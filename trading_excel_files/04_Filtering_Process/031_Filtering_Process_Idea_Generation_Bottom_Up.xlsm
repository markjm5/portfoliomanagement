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3935" yWindow="-20940" windowWidth="39960" windowHeight="20580" tabRatio="600" firstSheet="0" activeTab="3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Spin Off" sheetId="2" state="visible" r:id="rId2"/>
    <sheet xmlns:r="http://schemas.openxmlformats.org/officeDocument/2006/relationships" name="Economic Calendar" sheetId="3" state="visible" r:id="rId3"/>
    <sheet xmlns:r="http://schemas.openxmlformats.org/officeDocument/2006/relationships" name="Earnings Calendar" sheetId="4" state="visible" r:id="rId4"/>
    <sheet xmlns:r="http://schemas.openxmlformats.org/officeDocument/2006/relationships" name="FCF year" sheetId="5" state="visible" r:id="rId5"/>
    <sheet xmlns:r="http://schemas.openxmlformats.org/officeDocument/2006/relationships" name="Earnings" sheetId="6" state="visible" r:id="rId6"/>
    <sheet xmlns:r="http://schemas.openxmlformats.org/officeDocument/2006/relationships" name="Sales" sheetId="7" state="visible" r:id="rId7"/>
    <sheet xmlns:r="http://schemas.openxmlformats.org/officeDocument/2006/relationships" name="ROE" sheetId="8" state="visible" r:id="rId8"/>
    <sheet xmlns:r="http://schemas.openxmlformats.org/officeDocument/2006/relationships" name="AAII" sheetId="9" state="visible" r:id="rId9"/>
  </sheets>
  <definedNames>
    <definedName name="_xlnm._FilterDatabase" localSheetId="5" hidden="1">'Earnings'!$D$4:$K$487</definedName>
    <definedName name="_xlnm._FilterDatabase" localSheetId="7" hidden="1">'ROE'!$B$2:$C$2</definedName>
  </definedNames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#,##0.0"/>
    <numFmt numFmtId="166" formatCode="dd\-mm\-yyyy"/>
    <numFmt numFmtId="167" formatCode="dd-mm-YYYY"/>
  </numFmts>
  <fonts count="9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sz val="11"/>
      <scheme val="minor"/>
    </font>
    <font>
      <name val="Calibri"/>
      <family val="2"/>
      <sz val="11"/>
      <scheme val="minor"/>
    </font>
    <font>
      <name val="Calibri"/>
      <b val="1"/>
      <sz val="11"/>
    </font>
    <font>
      <b val="1"/>
    </font>
  </fonts>
  <fills count="7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BDE9F7"/>
        <bgColor rgb="FFBDE9F7"/>
      </patternFill>
    </fill>
    <fill>
      <patternFill patternType="solid">
        <fgColor rgb="00bde9f7"/>
        <bgColor rgb="00bde9f7"/>
      </patternFill>
    </fill>
  </fills>
  <borders count="3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4" fillId="0" borderId="0"/>
    <xf numFmtId="0" fontId="2" fillId="0" borderId="0"/>
    <xf numFmtId="9" fontId="4" fillId="0" borderId="0"/>
  </cellStyleXfs>
  <cellXfs count="79">
    <xf numFmtId="0" fontId="0" fillId="0" borderId="0" pivotButton="0" quotePrefix="0" xfId="0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3" fontId="0" fillId="2" borderId="0" applyAlignment="1" pivotButton="0" quotePrefix="0" xfId="0">
      <alignment horizontal="center"/>
    </xf>
    <xf numFmtId="2" fontId="0" fillId="2" borderId="0" pivotButton="0" quotePrefix="0" xfId="0"/>
    <xf numFmtId="0" fontId="2" fillId="2" borderId="0" applyAlignment="1" pivotButton="0" quotePrefix="0" xfId="1">
      <alignment vertical="center" readingOrder="1"/>
    </xf>
    <xf numFmtId="0" fontId="2" fillId="0" borderId="0" pivotButton="0" quotePrefix="0" xfId="1"/>
    <xf numFmtId="0" fontId="0" fillId="2" borderId="12" applyAlignment="1" pivotButton="0" quotePrefix="0" xfId="0">
      <alignment horizontal="center"/>
    </xf>
    <xf numFmtId="3" fontId="0" fillId="2" borderId="12" applyAlignment="1" pivotButton="0" quotePrefix="0" xfId="0">
      <alignment horizontal="center"/>
    </xf>
    <xf numFmtId="3" fontId="0" fillId="2" borderId="14" applyAlignment="1" pivotButton="0" quotePrefix="0" xfId="0">
      <alignment horizontal="center"/>
    </xf>
    <xf numFmtId="3" fontId="0" fillId="2" borderId="19" applyAlignment="1" pivotButton="0" quotePrefix="0" xfId="0">
      <alignment horizontal="center"/>
    </xf>
    <xf numFmtId="0" fontId="0" fillId="2" borderId="13" applyAlignment="1" pivotButton="0" quotePrefix="0" xfId="0">
      <alignment horizontal="center"/>
    </xf>
    <xf numFmtId="0" fontId="0" fillId="2" borderId="16" applyAlignment="1" pivotButton="0" quotePrefix="0" xfId="0">
      <alignment horizontal="center"/>
    </xf>
    <xf numFmtId="0" fontId="0" fillId="2" borderId="18" applyAlignment="1" pivotButton="0" quotePrefix="0" xfId="0">
      <alignment horizontal="center"/>
    </xf>
    <xf numFmtId="3" fontId="1" fillId="4" borderId="6" applyAlignment="1" pivotButton="0" quotePrefix="0" xfId="0">
      <alignment horizontal="center"/>
    </xf>
    <xf numFmtId="3" fontId="1" fillId="4" borderId="5" applyAlignment="1" pivotButton="0" quotePrefix="0" xfId="0">
      <alignment horizontal="center"/>
    </xf>
    <xf numFmtId="3" fontId="1" fillId="4" borderId="7" applyAlignment="1" pivotButton="0" quotePrefix="0" xfId="0">
      <alignment horizontal="center"/>
    </xf>
    <xf numFmtId="0" fontId="1" fillId="4" borderId="21" applyAlignment="1" pivotButton="0" quotePrefix="0" xfId="0">
      <alignment horizontal="center"/>
    </xf>
    <xf numFmtId="0" fontId="1" fillId="4" borderId="22" applyAlignment="1" pivotButton="0" quotePrefix="0" xfId="0">
      <alignment horizontal="center"/>
    </xf>
    <xf numFmtId="0" fontId="1" fillId="4" borderId="6" applyAlignment="1" pivotButton="0" quotePrefix="0" xfId="0">
      <alignment horizontal="center"/>
    </xf>
    <xf numFmtId="0" fontId="1" fillId="4" borderId="7" applyAlignment="1" pivotButton="0" quotePrefix="0" xfId="0">
      <alignment horizontal="center"/>
    </xf>
    <xf numFmtId="0" fontId="1" fillId="4" borderId="23" applyAlignment="1" pivotButton="0" quotePrefix="0" xfId="0">
      <alignment horizontal="center"/>
    </xf>
    <xf numFmtId="0" fontId="1" fillId="4" borderId="24" applyAlignment="1" pivotButton="0" quotePrefix="0" xfId="0">
      <alignment horizontal="center"/>
    </xf>
    <xf numFmtId="1" fontId="1" fillId="4" borderId="3" applyAlignment="1" pivotButton="0" quotePrefix="0" xfId="0">
      <alignment horizontal="center"/>
    </xf>
    <xf numFmtId="1" fontId="1" fillId="4" borderId="0" applyAlignment="1" pivotButton="0" quotePrefix="0" xfId="0">
      <alignment horizontal="center"/>
    </xf>
    <xf numFmtId="0" fontId="1" fillId="4" borderId="0" applyAlignment="1" pivotButton="0" quotePrefix="0" xfId="0">
      <alignment horizontal="center"/>
    </xf>
    <xf numFmtId="3" fontId="0" fillId="0" borderId="12" applyAlignment="1" pivotButton="0" quotePrefix="0" xfId="0">
      <alignment horizontal="center"/>
    </xf>
    <xf numFmtId="3" fontId="0" fillId="0" borderId="12" applyAlignment="1" pivotButton="0" quotePrefix="0" xfId="0">
      <alignment horizontal="center" wrapText="1"/>
    </xf>
    <xf numFmtId="0" fontId="1" fillId="4" borderId="25" applyAlignment="1" pivotButton="0" quotePrefix="0" xfId="0">
      <alignment horizontal="center"/>
    </xf>
    <xf numFmtId="1" fontId="1" fillId="4" borderId="4" applyAlignment="1" pivotButton="0" quotePrefix="0" xfId="0">
      <alignment horizontal="center"/>
    </xf>
    <xf numFmtId="0" fontId="1" fillId="4" borderId="4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3" fontId="1" fillId="4" borderId="3" applyAlignment="1" pivotButton="0" quotePrefix="0" xfId="0">
      <alignment horizontal="center"/>
    </xf>
    <xf numFmtId="3" fontId="1" fillId="4" borderId="0" applyAlignment="1" pivotButton="0" quotePrefix="0" xfId="0">
      <alignment horizontal="center"/>
    </xf>
    <xf numFmtId="3" fontId="1" fillId="4" borderId="4" applyAlignment="1" pivotButton="0" quotePrefix="0" xfId="0">
      <alignment horizontal="center"/>
    </xf>
    <xf numFmtId="14" fontId="0" fillId="2" borderId="0" pivotButton="0" quotePrefix="0" xfId="0"/>
    <xf numFmtId="0" fontId="5" fillId="4" borderId="23" applyAlignment="1" pivotButton="0" quotePrefix="0" xfId="0">
      <alignment horizontal="center" wrapText="1"/>
    </xf>
    <xf numFmtId="2" fontId="5" fillId="4" borderId="26" applyAlignment="1" pivotButton="0" quotePrefix="0" xfId="0">
      <alignment horizontal="center" wrapText="1"/>
    </xf>
    <xf numFmtId="0" fontId="5" fillId="4" borderId="26" applyAlignment="1" pivotButton="0" quotePrefix="0" xfId="0">
      <alignment horizontal="center" wrapText="1"/>
    </xf>
    <xf numFmtId="0" fontId="5" fillId="4" borderId="26" pivotButton="0" quotePrefix="0" xfId="0"/>
    <xf numFmtId="0" fontId="6" fillId="4" borderId="26" pivotButton="0" quotePrefix="0" xfId="0"/>
    <xf numFmtId="0" fontId="6" fillId="4" borderId="24" pivotButton="0" quotePrefix="0" xfId="0"/>
    <xf numFmtId="0" fontId="0" fillId="0" borderId="0" applyAlignment="1" pivotButton="0" quotePrefix="0" xfId="0">
      <alignment wrapText="1"/>
    </xf>
    <xf numFmtId="164" fontId="0" fillId="2" borderId="14" applyAlignment="1" pivotButton="0" quotePrefix="0" xfId="2">
      <alignment horizontal="center"/>
    </xf>
    <xf numFmtId="164" fontId="0" fillId="2" borderId="15" applyAlignment="1" pivotButton="0" quotePrefix="0" xfId="2">
      <alignment horizontal="center"/>
    </xf>
    <xf numFmtId="164" fontId="0" fillId="2" borderId="12" applyAlignment="1" pivotButton="0" quotePrefix="0" xfId="2">
      <alignment horizontal="center"/>
    </xf>
    <xf numFmtId="164" fontId="0" fillId="2" borderId="17" applyAlignment="1" pivotButton="0" quotePrefix="0" xfId="2">
      <alignment horizontal="center"/>
    </xf>
    <xf numFmtId="164" fontId="0" fillId="2" borderId="19" applyAlignment="1" pivotButton="0" quotePrefix="0" xfId="2">
      <alignment horizontal="center"/>
    </xf>
    <xf numFmtId="164" fontId="0" fillId="2" borderId="20" applyAlignment="1" pivotButton="0" quotePrefix="0" xfId="2">
      <alignment horizontal="center"/>
    </xf>
    <xf numFmtId="165" fontId="0" fillId="2" borderId="12" applyAlignment="1" pivotButton="0" quotePrefix="0" xfId="0">
      <alignment horizontal="center"/>
    </xf>
    <xf numFmtId="165" fontId="0" fillId="2" borderId="0" applyAlignment="1" pivotButton="0" quotePrefix="0" xfId="0">
      <alignment horizontal="center"/>
    </xf>
    <xf numFmtId="164" fontId="0" fillId="2" borderId="12" applyAlignment="1" pivotButton="0" quotePrefix="0" xfId="0">
      <alignment horizontal="center"/>
    </xf>
    <xf numFmtId="164" fontId="0" fillId="0" borderId="12" applyAlignment="1" pivotButton="0" quotePrefix="0" xfId="0">
      <alignment horizontal="center"/>
    </xf>
    <xf numFmtId="164" fontId="0" fillId="2" borderId="0" applyAlignment="1" pivotButton="0" quotePrefix="0" xfId="0">
      <alignment horizontal="center"/>
    </xf>
    <xf numFmtId="164" fontId="0" fillId="2" borderId="0" pivotButton="0" quotePrefix="0" xfId="2"/>
    <xf numFmtId="0" fontId="0" fillId="2" borderId="0" pivotButton="0" quotePrefix="0" xfId="0"/>
    <xf numFmtId="14" fontId="0" fillId="0" borderId="0" pivotButton="0" quotePrefix="0" xfId="0"/>
    <xf numFmtId="166" fontId="0" fillId="0" borderId="0" pivotButton="0" quotePrefix="0" xfId="0"/>
    <xf numFmtId="0" fontId="7" fillId="5" borderId="0" pivotButton="0" quotePrefix="0" xfId="0"/>
    <xf numFmtId="0" fontId="1" fillId="4" borderId="12" applyAlignment="1" pivotButton="0" quotePrefix="0" xfId="0">
      <alignment horizontal="center"/>
    </xf>
    <xf numFmtId="0" fontId="0" fillId="0" borderId="10" pivotButton="0" quotePrefix="0" xfId="0"/>
    <xf numFmtId="0" fontId="0" fillId="0" borderId="11" pivotButton="0" quotePrefix="0" xfId="0"/>
    <xf numFmtId="0" fontId="1" fillId="2" borderId="6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6" pivotButton="0" quotePrefix="0" xfId="0"/>
    <xf numFmtId="0" fontId="3" fillId="3" borderId="27" applyAlignment="1" pivotButton="0" quotePrefix="0" xfId="0">
      <alignment horizontal="center"/>
    </xf>
    <xf numFmtId="0" fontId="0" fillId="0" borderId="9" pivotButton="0" quotePrefix="0" xfId="0"/>
    <xf numFmtId="0" fontId="0" fillId="0" borderId="8" pivotButton="0" quotePrefix="0" xfId="0"/>
    <xf numFmtId="0" fontId="0" fillId="2" borderId="0" applyAlignment="1" pivotButton="0" quotePrefix="0" xfId="0">
      <alignment wrapText="1"/>
    </xf>
    <xf numFmtId="0" fontId="2" fillId="0" borderId="0" applyAlignment="1" pivotButton="0" quotePrefix="0" xfId="1">
      <alignment horizontal="justify" vertical="center" readingOrder="1"/>
    </xf>
    <xf numFmtId="0" fontId="2" fillId="2" borderId="0" applyAlignment="1" pivotButton="0" quotePrefix="0" xfId="1">
      <alignment wrapText="1"/>
    </xf>
    <xf numFmtId="3" fontId="1" fillId="4" borderId="21" applyAlignment="1" pivotButton="0" quotePrefix="0" xfId="0">
      <alignment horizontal="center"/>
    </xf>
    <xf numFmtId="0" fontId="0" fillId="0" borderId="1" pivotButton="0" quotePrefix="0" xfId="0"/>
    <xf numFmtId="0" fontId="0" fillId="0" borderId="2" pivotButton="0" quotePrefix="0" xfId="0"/>
    <xf numFmtId="0" fontId="1" fillId="4" borderId="2" applyAlignment="1" pivotButton="0" quotePrefix="0" xfId="0">
      <alignment horizontal="center"/>
    </xf>
    <xf numFmtId="166" fontId="0" fillId="0" borderId="0" pivotButton="0" quotePrefix="0" xfId="0"/>
    <xf numFmtId="0" fontId="0" fillId="0" borderId="0" pivotButton="0" quotePrefix="0" xfId="0"/>
    <xf numFmtId="0" fontId="8" fillId="6" borderId="0" pivotButton="0" quotePrefix="0" xfId="0"/>
    <xf numFmtId="167" fontId="0" fillId="0" borderId="0" pivotButton="0" quotePrefix="0" xfId="0"/>
  </cellXfs>
  <cellStyles count="3">
    <cellStyle name="Normal" xfId="0" builtinId="0"/>
    <cellStyle name="Hyperlink" xfId="1" builtinId="8"/>
    <cellStyle name="Percent" xfId="2" builtinId="5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benzinga.com/calendar/earnings" TargetMode="External" Id="rId1"/><Relationship Type="http://schemas.openxmlformats.org/officeDocument/2006/relationships/hyperlink" Target="https://www.earningswhispers.com/calendar" TargetMode="External" Id="rId2"/><Relationship Type="http://schemas.openxmlformats.org/officeDocument/2006/relationships/hyperlink" Target="https://www.sec.gov/cgi-bin/srch-edgar?text=form-type+%3D+10-12b&amp;first=2017&amp;last=2018" TargetMode="External" Id="rId3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K18"/>
  <sheetViews>
    <sheetView showGridLines="0" zoomScale="160" zoomScaleNormal="160" workbookViewId="0">
      <selection activeCell="L17" sqref="L17"/>
    </sheetView>
  </sheetViews>
  <sheetFormatPr baseColWidth="8" defaultColWidth="9.1796875" defaultRowHeight="14.5"/>
  <cols>
    <col width="9.1796875" customWidth="1" style="63" min="1" max="1"/>
    <col width="12.81640625" customWidth="1" style="63" min="2" max="10"/>
    <col width="9.1796875" customWidth="1" style="63" min="11" max="23"/>
    <col width="9.1796875" customWidth="1" style="63" min="24" max="16384"/>
  </cols>
  <sheetData>
    <row r="1">
      <c r="B1" s="62" t="n"/>
    </row>
    <row r="2" ht="16" customHeight="1" s="76" thickBot="1">
      <c r="B2" s="64" t="n"/>
      <c r="C2" s="64" t="n"/>
      <c r="D2" s="64" t="n"/>
      <c r="E2" s="64" t="n"/>
      <c r="F2" s="64" t="n"/>
      <c r="G2" s="64" t="n"/>
      <c r="H2" s="64" t="n"/>
      <c r="I2" s="64" t="n"/>
      <c r="J2" s="64" t="n"/>
    </row>
    <row r="3" ht="16" customHeight="1" s="76" thickBot="1">
      <c r="B3" s="65" t="inlineStr">
        <is>
          <t>Bottom Up</t>
        </is>
      </c>
      <c r="C3" s="66" t="n"/>
      <c r="D3" s="66" t="n"/>
      <c r="E3" s="66" t="n"/>
      <c r="F3" s="66" t="n"/>
      <c r="G3" s="66" t="n"/>
      <c r="H3" s="66" t="n"/>
      <c r="I3" s="66" t="n"/>
      <c r="J3" s="67" t="n"/>
    </row>
    <row r="6">
      <c r="B6" s="59" t="inlineStr">
        <is>
          <t>DATA</t>
        </is>
      </c>
      <c r="C6" s="60" t="n"/>
      <c r="D6" s="60" t="n"/>
      <c r="E6" s="60" t="n"/>
      <c r="F6" s="61" t="n"/>
      <c r="G6" s="59" t="inlineStr">
        <is>
          <t>WEBSITES</t>
        </is>
      </c>
      <c r="H6" s="60" t="n"/>
      <c r="I6" s="60" t="n"/>
      <c r="J6" s="61" t="n"/>
    </row>
    <row r="8" ht="26.25" customHeight="1" s="76">
      <c r="B8" s="68" t="inlineStr">
        <is>
          <t>Earnings calendar</t>
        </is>
      </c>
      <c r="G8" s="68" t="inlineStr">
        <is>
          <t>https://www.marketscreener.com/stock-exchange/calendar/finance/</t>
        </is>
      </c>
      <c r="K8" s="42" t="n"/>
    </row>
    <row r="9" ht="26.25" customHeight="1" s="76">
      <c r="G9" s="70" t="inlineStr">
        <is>
          <t>https://www.benzinga.com/calendar/earnings</t>
        </is>
      </c>
    </row>
    <row r="10">
      <c r="B10" s="63" t="inlineStr">
        <is>
          <t>Earnings expectations</t>
        </is>
      </c>
      <c r="G10" s="69" t="inlineStr">
        <is>
          <t>https://www.earningswhispers.com/calendar</t>
        </is>
      </c>
    </row>
    <row r="11">
      <c r="B11" s="63" t="inlineStr">
        <is>
          <t>Spin Off</t>
        </is>
      </c>
      <c r="G11" s="6" t="inlineStr">
        <is>
          <t>https://www.sec.gov/cgi-bin/srch-edgar?text=form-type+%3D+10-12b&amp;first=2017&amp;last=2018</t>
        </is>
      </c>
    </row>
    <row r="12">
      <c r="G12" s="6" t="n"/>
    </row>
    <row r="13">
      <c r="G13" s="6" t="n"/>
    </row>
    <row r="14">
      <c r="G14" s="5" t="n"/>
    </row>
    <row r="16">
      <c r="B16" s="1" t="n"/>
    </row>
    <row r="17" ht="30" customHeight="1" s="76">
      <c r="B17" s="68" t="n"/>
    </row>
    <row r="18">
      <c r="B18" s="2" t="n"/>
    </row>
    <row r="61" s="76"/>
  </sheetData>
  <mergeCells count="9">
    <mergeCell ref="B6:F6"/>
    <mergeCell ref="G6:J6"/>
    <mergeCell ref="B1:J2"/>
    <mergeCell ref="B3:J3"/>
    <mergeCell ref="B17:J17"/>
    <mergeCell ref="B8:F8"/>
    <mergeCell ref="G10:J10"/>
    <mergeCell ref="G8:J8"/>
    <mergeCell ref="G9:J9"/>
  </mergeCells>
  <hyperlinks>
    <hyperlink xmlns:r="http://schemas.openxmlformats.org/officeDocument/2006/relationships" ref="G9" r:id="rId1"/>
    <hyperlink xmlns:r="http://schemas.openxmlformats.org/officeDocument/2006/relationships" ref="G10" r:id="rId2"/>
    <hyperlink xmlns:r="http://schemas.openxmlformats.org/officeDocument/2006/relationships" ref="G11" r:id="rId3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A1"/>
  <sheetViews>
    <sheetView zoomScale="140" zoomScaleNormal="140" workbookViewId="0">
      <selection activeCell="G16" sqref="G16"/>
    </sheetView>
  </sheetViews>
  <sheetFormatPr baseColWidth="8" defaultColWidth="10.90625" defaultRowHeight="14.5"/>
  <cols>
    <col width="22.36328125" bestFit="1" customWidth="1" style="76" min="1" max="1"/>
    <col width="17.7265625" bestFit="1" customWidth="1" style="56" min="3" max="3"/>
  </cols>
  <sheetData>
    <row r="1">
      <c r="A1" s="77" t="n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E41"/>
  <sheetViews>
    <sheetView tabSelected="1" zoomScale="140" zoomScaleNormal="140" workbookViewId="0">
      <selection activeCell="G23" sqref="G23"/>
    </sheetView>
  </sheetViews>
  <sheetFormatPr baseColWidth="8" defaultColWidth="10.90625" defaultRowHeight="14.5"/>
  <cols>
    <col width="23.36328125" bestFit="1" customWidth="1" style="76" min="1" max="1"/>
    <col width="21.6328125" customWidth="1" style="56" min="3" max="3"/>
    <col width="46.1796875" bestFit="1" customWidth="1" style="76" min="4" max="4"/>
  </cols>
  <sheetData>
    <row r="1">
      <c r="A1" s="77" t="inlineStr">
        <is>
          <t>Date</t>
        </is>
      </c>
      <c r="B1" s="77" t="inlineStr">
        <is>
          <t>Time</t>
        </is>
      </c>
      <c r="C1" s="77" t="inlineStr">
        <is>
          <t>Country</t>
        </is>
      </c>
      <c r="D1" s="77" t="inlineStr">
        <is>
          <t>Events</t>
        </is>
      </c>
      <c r="E1" s="77" t="inlineStr">
        <is>
          <t>Previous period</t>
        </is>
      </c>
    </row>
    <row r="2">
      <c r="A2" s="78" t="inlineStr">
        <is>
          <t>THURSDAY 19 JANUARY</t>
        </is>
      </c>
      <c r="B2" t="inlineStr">
        <is>
          <t>18:50</t>
        </is>
      </c>
      <c r="C2" t="inlineStr">
        <is>
          <t>Japan</t>
        </is>
      </c>
      <c r="D2" t="inlineStr">
        <is>
          <t>Trade Balance Adjusted- December</t>
        </is>
      </c>
      <c r="E2" t="inlineStr">
        <is>
          <t>-</t>
        </is>
      </c>
    </row>
    <row r="3">
      <c r="A3" s="78" t="inlineStr">
        <is>
          <t>THURSDAY 19 JANUARY</t>
        </is>
      </c>
      <c r="B3" t="inlineStr">
        <is>
          <t>08:30</t>
        </is>
      </c>
      <c r="C3" t="inlineStr">
        <is>
          <t>US</t>
        </is>
      </c>
      <c r="D3" t="inlineStr">
        <is>
          <t>Building Permits- December</t>
        </is>
      </c>
      <c r="E3" t="inlineStr">
        <is>
          <t>-</t>
        </is>
      </c>
    </row>
    <row r="4">
      <c r="A4" s="78" t="inlineStr">
        <is>
          <t>THURSDAY 19 JANUARY</t>
        </is>
      </c>
      <c r="B4" t="inlineStr">
        <is>
          <t>08:30</t>
        </is>
      </c>
      <c r="C4" t="inlineStr">
        <is>
          <t>US</t>
        </is>
      </c>
      <c r="D4" t="inlineStr">
        <is>
          <t>Philadelphia Fed Business Outlook- January</t>
        </is>
      </c>
      <c r="E4" t="inlineStr">
        <is>
          <t>-13.8</t>
        </is>
      </c>
    </row>
    <row r="5">
      <c r="A5" s="78" t="inlineStr">
        <is>
          <t>THURSDAY 19 JANUARY</t>
        </is>
      </c>
      <c r="B5" t="inlineStr">
        <is>
          <t>08:30</t>
        </is>
      </c>
      <c r="C5" t="inlineStr">
        <is>
          <t>US</t>
        </is>
      </c>
      <c r="D5" t="inlineStr">
        <is>
          <t>Housing Starts- December</t>
        </is>
      </c>
      <c r="E5" t="inlineStr">
        <is>
          <t>-</t>
        </is>
      </c>
    </row>
    <row r="6">
      <c r="A6" s="78" t="inlineStr">
        <is>
          <t>THURSDAY 19 JANUARY</t>
        </is>
      </c>
      <c r="B6" t="inlineStr">
        <is>
          <t>08:30</t>
        </is>
      </c>
      <c r="C6" t="inlineStr">
        <is>
          <t>US</t>
        </is>
      </c>
      <c r="D6" t="inlineStr">
        <is>
          <t>Initial Jobless Claims</t>
        </is>
      </c>
      <c r="E6" t="inlineStr">
        <is>
          <t>--</t>
        </is>
      </c>
    </row>
    <row r="7">
      <c r="A7" s="78" t="inlineStr">
        <is>
          <t>THURSDAY 19 JANUARY</t>
        </is>
      </c>
      <c r="B7" t="inlineStr">
        <is>
          <t>11:00</t>
        </is>
      </c>
      <c r="C7" t="inlineStr">
        <is>
          <t>US</t>
        </is>
      </c>
      <c r="D7" t="inlineStr">
        <is>
          <t>DOE U.S. Crude Oil Inventories</t>
        </is>
      </c>
      <c r="E7" t="inlineStr">
        <is>
          <t>--</t>
        </is>
      </c>
    </row>
    <row r="8">
      <c r="A8" s="78" t="inlineStr">
        <is>
          <t>FRIDAY 20 JANUARY</t>
        </is>
      </c>
      <c r="B8" t="inlineStr">
        <is>
          <t>02:00</t>
        </is>
      </c>
      <c r="C8" t="inlineStr">
        <is>
          <t>Germany</t>
        </is>
      </c>
      <c r="D8" t="inlineStr">
        <is>
          <t>PPI MoM- December</t>
        </is>
      </c>
      <c r="E8" t="inlineStr">
        <is>
          <t>-3.9%</t>
        </is>
      </c>
    </row>
    <row r="9">
      <c r="A9" s="78" t="inlineStr">
        <is>
          <t>FRIDAY 20 JANUARY</t>
        </is>
      </c>
      <c r="B9" t="inlineStr">
        <is>
          <t>10:00</t>
        </is>
      </c>
      <c r="C9" t="inlineStr">
        <is>
          <t>US</t>
        </is>
      </c>
      <c r="D9" t="inlineStr">
        <is>
          <t>Existing Home Sales- December</t>
        </is>
      </c>
      <c r="E9" t="inlineStr">
        <is>
          <t>-</t>
        </is>
      </c>
    </row>
    <row r="10">
      <c r="A10" s="78" t="inlineStr">
        <is>
          <t>FRIDAY 20 JANUARY</t>
        </is>
      </c>
      <c r="B10" t="inlineStr">
        <is>
          <t>10:00</t>
        </is>
      </c>
      <c r="C10" t="inlineStr">
        <is>
          <t>US</t>
        </is>
      </c>
      <c r="D10" t="inlineStr">
        <is>
          <t>Existing Home Sales MoM- December</t>
        </is>
      </c>
      <c r="E10" t="inlineStr">
        <is>
          <t>-7.7%</t>
        </is>
      </c>
    </row>
    <row r="11">
      <c r="A11" s="78" t="inlineStr">
        <is>
          <t>MONDAY 23 JANUARY</t>
        </is>
      </c>
      <c r="B11" t="inlineStr">
        <is>
          <t>10:00</t>
        </is>
      </c>
      <c r="C11" t="inlineStr">
        <is>
          <t>US</t>
        </is>
      </c>
      <c r="D11" t="inlineStr">
        <is>
          <t>Leading Index- December</t>
        </is>
      </c>
      <c r="E11" t="inlineStr">
        <is>
          <t>-1.0%</t>
        </is>
      </c>
    </row>
    <row r="12">
      <c r="A12" s="78" t="inlineStr">
        <is>
          <t>TUESDAY 24 JANUARY</t>
        </is>
      </c>
      <c r="B12" t="inlineStr">
        <is>
          <t>19:30</t>
        </is>
      </c>
      <c r="C12" t="inlineStr">
        <is>
          <t>Japan</t>
        </is>
      </c>
      <c r="D12" t="inlineStr">
        <is>
          <t>Jibun Bank Japan PMI Composite</t>
        </is>
      </c>
      <c r="E12" t="inlineStr">
        <is>
          <t>--</t>
        </is>
      </c>
    </row>
    <row r="13">
      <c r="A13" s="78" t="inlineStr">
        <is>
          <t>TUESDAY 24 JANUARY</t>
        </is>
      </c>
      <c r="B13" t="inlineStr">
        <is>
          <t>19:30</t>
        </is>
      </c>
      <c r="C13" t="inlineStr">
        <is>
          <t>Japan</t>
        </is>
      </c>
      <c r="D13" t="inlineStr">
        <is>
          <t>Jibun Bank Japan PMI Mfg</t>
        </is>
      </c>
      <c r="E13" t="inlineStr">
        <is>
          <t>--</t>
        </is>
      </c>
    </row>
    <row r="14">
      <c r="A14" s="78" t="inlineStr">
        <is>
          <t>TUESDAY 24 JANUARY</t>
        </is>
      </c>
      <c r="B14" t="inlineStr">
        <is>
          <t>19:30</t>
        </is>
      </c>
      <c r="C14" t="inlineStr">
        <is>
          <t>Japan</t>
        </is>
      </c>
      <c r="D14" t="inlineStr">
        <is>
          <t>Jibun Bank Japan PMI Services</t>
        </is>
      </c>
      <c r="E14" t="inlineStr">
        <is>
          <t>--</t>
        </is>
      </c>
    </row>
    <row r="15">
      <c r="A15" s="78" t="inlineStr">
        <is>
          <t>TUESDAY 24 JANUARY</t>
        </is>
      </c>
      <c r="B15" t="inlineStr">
        <is>
          <t>03:30</t>
        </is>
      </c>
      <c r="C15" t="inlineStr">
        <is>
          <t>Germany</t>
        </is>
      </c>
      <c r="D15" t="inlineStr">
        <is>
          <t>S&amp;P Global Germany Composite PMI</t>
        </is>
      </c>
      <c r="E15" t="inlineStr">
        <is>
          <t>--</t>
        </is>
      </c>
    </row>
    <row r="16">
      <c r="A16" s="78" t="inlineStr">
        <is>
          <t>TUESDAY 24 JANUARY</t>
        </is>
      </c>
      <c r="B16" t="inlineStr">
        <is>
          <t>03:30</t>
        </is>
      </c>
      <c r="C16" t="inlineStr">
        <is>
          <t>Germany</t>
        </is>
      </c>
      <c r="D16" t="inlineStr">
        <is>
          <t>S&amp;P Global Germany Services PMI</t>
        </is>
      </c>
      <c r="E16" t="inlineStr">
        <is>
          <t>--</t>
        </is>
      </c>
    </row>
    <row r="17">
      <c r="A17" s="78" t="inlineStr">
        <is>
          <t>TUESDAY 24 JANUARY</t>
        </is>
      </c>
      <c r="B17" t="inlineStr">
        <is>
          <t>03:30</t>
        </is>
      </c>
      <c r="C17" t="inlineStr">
        <is>
          <t>Germany</t>
        </is>
      </c>
      <c r="D17" t="inlineStr">
        <is>
          <t>S&amp;P Global/BME Germany Manufacturing PMI</t>
        </is>
      </c>
      <c r="E17" t="inlineStr">
        <is>
          <t>47.1</t>
        </is>
      </c>
    </row>
    <row r="18">
      <c r="A18" s="78" t="inlineStr">
        <is>
          <t>TUESDAY 24 JANUARY</t>
        </is>
      </c>
      <c r="B18" t="inlineStr">
        <is>
          <t>04:00</t>
        </is>
      </c>
      <c r="C18" t="inlineStr">
        <is>
          <t>European Union</t>
        </is>
      </c>
      <c r="D18" t="inlineStr">
        <is>
          <t>S&amp;P Global Eurozone Composite PMI</t>
        </is>
      </c>
      <c r="E18" t="inlineStr">
        <is>
          <t>--</t>
        </is>
      </c>
    </row>
    <row r="19">
      <c r="A19" s="78" t="inlineStr">
        <is>
          <t>TUESDAY 24 JANUARY</t>
        </is>
      </c>
      <c r="B19" t="inlineStr">
        <is>
          <t>04:00</t>
        </is>
      </c>
      <c r="C19" t="inlineStr">
        <is>
          <t>European Union</t>
        </is>
      </c>
      <c r="D19" t="inlineStr">
        <is>
          <t>S&amp;P Global Eurozone Manufacturing PMI</t>
        </is>
      </c>
      <c r="E19" t="inlineStr">
        <is>
          <t>47.8</t>
        </is>
      </c>
    </row>
    <row r="20">
      <c r="A20" s="78" t="inlineStr">
        <is>
          <t>TUESDAY 24 JANUARY</t>
        </is>
      </c>
      <c r="B20" t="inlineStr">
        <is>
          <t>04:00</t>
        </is>
      </c>
      <c r="C20" t="inlineStr">
        <is>
          <t>European Union</t>
        </is>
      </c>
      <c r="D20" t="inlineStr">
        <is>
          <t>S&amp;P Global Eurozone Services PMI</t>
        </is>
      </c>
      <c r="E20" t="inlineStr">
        <is>
          <t>--</t>
        </is>
      </c>
    </row>
    <row r="21">
      <c r="A21" s="78" t="inlineStr">
        <is>
          <t>TUESDAY 24 JANUARY</t>
        </is>
      </c>
      <c r="B21" t="inlineStr">
        <is>
          <t>09:45</t>
        </is>
      </c>
      <c r="C21" t="inlineStr">
        <is>
          <t>US</t>
        </is>
      </c>
      <c r="D21" t="inlineStr">
        <is>
          <t>S&amp;P Global US Composite PMI</t>
        </is>
      </c>
      <c r="E21" t="inlineStr">
        <is>
          <t>--</t>
        </is>
      </c>
    </row>
    <row r="22">
      <c r="A22" s="78" t="inlineStr">
        <is>
          <t>TUESDAY 24 JANUARY</t>
        </is>
      </c>
      <c r="B22" t="inlineStr">
        <is>
          <t>09:45</t>
        </is>
      </c>
      <c r="C22" t="inlineStr">
        <is>
          <t>US</t>
        </is>
      </c>
      <c r="D22" t="inlineStr">
        <is>
          <t>S&amp;P Global US Manufacturing PMI</t>
        </is>
      </c>
      <c r="E22" t="inlineStr">
        <is>
          <t>--</t>
        </is>
      </c>
    </row>
    <row r="23">
      <c r="A23" s="78" t="inlineStr">
        <is>
          <t>TUESDAY 24 JANUARY</t>
        </is>
      </c>
      <c r="B23" t="inlineStr">
        <is>
          <t>09:45</t>
        </is>
      </c>
      <c r="C23" t="inlineStr">
        <is>
          <t>US</t>
        </is>
      </c>
      <c r="D23" t="inlineStr">
        <is>
          <t>S&amp;P Global US Services PMI</t>
        </is>
      </c>
      <c r="E23" t="inlineStr">
        <is>
          <t>--</t>
        </is>
      </c>
    </row>
    <row r="24">
      <c r="A24" s="78" t="inlineStr">
        <is>
          <t>TUESDAY 24 JANUARY</t>
        </is>
      </c>
      <c r="B24" t="inlineStr">
        <is>
          <t>10:00</t>
        </is>
      </c>
      <c r="C24" t="inlineStr">
        <is>
          <t>US</t>
        </is>
      </c>
      <c r="D24" t="inlineStr">
        <is>
          <t>Richmond Fed Manufact. Index- January</t>
        </is>
      </c>
      <c r="E24" t="inlineStr">
        <is>
          <t>--</t>
        </is>
      </c>
    </row>
    <row r="25">
      <c r="A25" s="78" t="inlineStr">
        <is>
          <t>WEDNESDAY 25 JANUARY</t>
        </is>
      </c>
      <c r="B25" t="inlineStr">
        <is>
          <t>04:00</t>
        </is>
      </c>
      <c r="C25" t="inlineStr">
        <is>
          <t>Germany</t>
        </is>
      </c>
      <c r="D25" t="inlineStr">
        <is>
          <t>IFO Business Climate- January</t>
        </is>
      </c>
      <c r="E25" t="inlineStr">
        <is>
          <t>88.6</t>
        </is>
      </c>
    </row>
    <row r="26">
      <c r="A26" s="78" t="inlineStr">
        <is>
          <t>WEDNESDAY 25 JANUARY</t>
        </is>
      </c>
      <c r="B26" t="inlineStr">
        <is>
          <t>04:00</t>
        </is>
      </c>
      <c r="C26" t="inlineStr">
        <is>
          <t>Germany</t>
        </is>
      </c>
      <c r="D26" t="inlineStr">
        <is>
          <t>IFO Current Assessment- January</t>
        </is>
      </c>
      <c r="E26" t="inlineStr">
        <is>
          <t>94.4</t>
        </is>
      </c>
    </row>
    <row r="27">
      <c r="A27" s="78" t="inlineStr">
        <is>
          <t>WEDNESDAY 25 JANUARY</t>
        </is>
      </c>
      <c r="B27" t="inlineStr">
        <is>
          <t>04:00</t>
        </is>
      </c>
      <c r="C27" t="inlineStr">
        <is>
          <t>Germany</t>
        </is>
      </c>
      <c r="D27" t="inlineStr">
        <is>
          <t>IFO Expectations- January</t>
        </is>
      </c>
      <c r="E27" t="inlineStr">
        <is>
          <t>83.2</t>
        </is>
      </c>
    </row>
    <row r="28">
      <c r="A28" s="78" t="inlineStr">
        <is>
          <t>THURSDAY 26 JANUARY</t>
        </is>
      </c>
      <c r="B28" t="inlineStr">
        <is>
          <t>01:00</t>
        </is>
      </c>
      <c r="C28" t="inlineStr">
        <is>
          <t>Japan</t>
        </is>
      </c>
      <c r="D28" t="inlineStr">
        <is>
          <t>Machine Tool Orders YoY</t>
        </is>
      </c>
      <c r="E28" t="inlineStr">
        <is>
          <t>--</t>
        </is>
      </c>
    </row>
    <row r="29">
      <c r="A29" s="78" t="inlineStr">
        <is>
          <t>THURSDAY 26 JANUARY</t>
        </is>
      </c>
      <c r="B29" t="inlineStr">
        <is>
          <t>08:30</t>
        </is>
      </c>
      <c r="C29" t="inlineStr">
        <is>
          <t>US</t>
        </is>
      </c>
      <c r="D29" t="inlineStr">
        <is>
          <t>GDP Annualized QoQ</t>
        </is>
      </c>
      <c r="E29" t="inlineStr">
        <is>
          <t>3.2%</t>
        </is>
      </c>
    </row>
    <row r="30">
      <c r="A30" s="78" t="inlineStr">
        <is>
          <t>THURSDAY 26 JANUARY</t>
        </is>
      </c>
      <c r="B30" t="inlineStr">
        <is>
          <t>08:30</t>
        </is>
      </c>
      <c r="C30" t="inlineStr">
        <is>
          <t>US</t>
        </is>
      </c>
      <c r="D30" t="inlineStr">
        <is>
          <t>Wholesale Inventories MoM</t>
        </is>
      </c>
      <c r="E30" t="inlineStr">
        <is>
          <t>--</t>
        </is>
      </c>
    </row>
    <row r="31">
      <c r="A31" s="78" t="inlineStr">
        <is>
          <t>THURSDAY 26 JANUARY</t>
        </is>
      </c>
      <c r="B31" t="inlineStr">
        <is>
          <t>08:30</t>
        </is>
      </c>
      <c r="C31" t="inlineStr">
        <is>
          <t>US</t>
        </is>
      </c>
      <c r="D31" t="inlineStr">
        <is>
          <t>Durable Goods Orders</t>
        </is>
      </c>
      <c r="E31" t="inlineStr">
        <is>
          <t>--</t>
        </is>
      </c>
    </row>
    <row r="32">
      <c r="A32" s="78" t="inlineStr">
        <is>
          <t>THURSDAY 26 JANUARY</t>
        </is>
      </c>
      <c r="B32" t="inlineStr">
        <is>
          <t>08:30</t>
        </is>
      </c>
      <c r="C32" t="inlineStr">
        <is>
          <t>US</t>
        </is>
      </c>
      <c r="D32" t="inlineStr">
        <is>
          <t>Chicago Fed Nat Activity Index- December</t>
        </is>
      </c>
      <c r="E32" t="inlineStr">
        <is>
          <t>-0.05</t>
        </is>
      </c>
    </row>
    <row r="33">
      <c r="A33" s="78" t="inlineStr">
        <is>
          <t>THURSDAY 26 JANUARY</t>
        </is>
      </c>
      <c r="B33" t="inlineStr">
        <is>
          <t>10:00</t>
        </is>
      </c>
      <c r="C33" t="inlineStr">
        <is>
          <t>US</t>
        </is>
      </c>
      <c r="D33" t="inlineStr">
        <is>
          <t>New Home Sales- December</t>
        </is>
      </c>
      <c r="E33" t="inlineStr">
        <is>
          <t>640000</t>
        </is>
      </c>
    </row>
    <row r="34">
      <c r="A34" s="78" t="inlineStr">
        <is>
          <t>THURSDAY 26 JANUARY</t>
        </is>
      </c>
      <c r="B34" t="inlineStr">
        <is>
          <t>10:00</t>
        </is>
      </c>
      <c r="C34" t="inlineStr">
        <is>
          <t>US</t>
        </is>
      </c>
      <c r="D34" t="inlineStr">
        <is>
          <t>New Home Sales MoM- December</t>
        </is>
      </c>
      <c r="E34" t="inlineStr">
        <is>
          <t>5.8%</t>
        </is>
      </c>
    </row>
    <row r="35">
      <c r="A35" s="78" t="inlineStr">
        <is>
          <t>FRIDAY 27 JANUARY</t>
        </is>
      </c>
      <c r="B35" t="inlineStr">
        <is>
          <t>04:00</t>
        </is>
      </c>
      <c r="C35" t="inlineStr">
        <is>
          <t>European Union</t>
        </is>
      </c>
      <c r="D35" t="inlineStr">
        <is>
          <t>M3 Money Supply YoY- December</t>
        </is>
      </c>
      <c r="E35" t="inlineStr">
        <is>
          <t>4.8%</t>
        </is>
      </c>
    </row>
    <row r="36">
      <c r="A36" s="78" t="inlineStr">
        <is>
          <t>FRIDAY 27 JANUARY</t>
        </is>
      </c>
      <c r="B36" t="inlineStr">
        <is>
          <t>08:30</t>
        </is>
      </c>
      <c r="C36" t="inlineStr">
        <is>
          <t>US</t>
        </is>
      </c>
      <c r="D36" t="inlineStr">
        <is>
          <t>PCE Core Deflator MoM- December</t>
        </is>
      </c>
      <c r="E36" t="inlineStr">
        <is>
          <t>0.2%</t>
        </is>
      </c>
    </row>
    <row r="37">
      <c r="A37" s="78" t="inlineStr">
        <is>
          <t>FRIDAY 27 JANUARY</t>
        </is>
      </c>
      <c r="B37" t="inlineStr">
        <is>
          <t>08:30</t>
        </is>
      </c>
      <c r="C37" t="inlineStr">
        <is>
          <t>US</t>
        </is>
      </c>
      <c r="D37" t="inlineStr">
        <is>
          <t>PCE Core Deflator YoY- December</t>
        </is>
      </c>
      <c r="E37" t="inlineStr">
        <is>
          <t>4.7%</t>
        </is>
      </c>
    </row>
    <row r="38">
      <c r="A38" s="78" t="inlineStr">
        <is>
          <t>FRIDAY 27 JANUARY</t>
        </is>
      </c>
      <c r="B38" t="inlineStr">
        <is>
          <t>08:30</t>
        </is>
      </c>
      <c r="C38" t="inlineStr">
        <is>
          <t>US</t>
        </is>
      </c>
      <c r="D38" t="inlineStr">
        <is>
          <t>Personal Income- December</t>
        </is>
      </c>
      <c r="E38" t="inlineStr">
        <is>
          <t>0.4%</t>
        </is>
      </c>
    </row>
    <row r="39">
      <c r="A39" s="78" t="inlineStr">
        <is>
          <t>FRIDAY 27 JANUARY</t>
        </is>
      </c>
      <c r="B39" t="inlineStr">
        <is>
          <t>08:30</t>
        </is>
      </c>
      <c r="C39" t="inlineStr">
        <is>
          <t>US</t>
        </is>
      </c>
      <c r="D39" t="inlineStr">
        <is>
          <t>Personal Spending- December</t>
        </is>
      </c>
      <c r="E39" t="inlineStr">
        <is>
          <t>0.1%</t>
        </is>
      </c>
    </row>
    <row r="40">
      <c r="A40" s="78" t="inlineStr">
        <is>
          <t>FRIDAY 27 JANUARY</t>
        </is>
      </c>
      <c r="B40" t="inlineStr">
        <is>
          <t>10:00</t>
        </is>
      </c>
      <c r="C40" t="inlineStr">
        <is>
          <t>US</t>
        </is>
      </c>
      <c r="D40" t="inlineStr">
        <is>
          <t>Pending Home Sales MoM- December</t>
        </is>
      </c>
      <c r="E40" t="inlineStr">
        <is>
          <t>-4.0%</t>
        </is>
      </c>
    </row>
    <row r="41">
      <c r="A41" s="78" t="inlineStr">
        <is>
          <t>FRIDAY 27 JANUARY</t>
        </is>
      </c>
      <c r="B41" t="inlineStr">
        <is>
          <t>10:00</t>
        </is>
      </c>
      <c r="C41" t="inlineStr">
        <is>
          <t>US</t>
        </is>
      </c>
      <c r="D41" t="inlineStr">
        <is>
          <t>U. of Mich. Sentiment</t>
        </is>
      </c>
      <c r="E41" t="inlineStr">
        <is>
          <t>--</t>
        </is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H1001"/>
  <sheetViews>
    <sheetView zoomScale="150" zoomScaleNormal="150" workbookViewId="0">
      <selection activeCell="L17" sqref="L17"/>
    </sheetView>
  </sheetViews>
  <sheetFormatPr baseColWidth="8" defaultColWidth="10.90625" defaultRowHeight="14.5"/>
  <cols>
    <col width="27" bestFit="1" customWidth="1" style="76" min="1" max="1"/>
    <col width="21.6328125" customWidth="1" style="76" min="3" max="3"/>
    <col width="30" bestFit="1" customWidth="1" style="76" min="4" max="4"/>
    <col width="14.36328125" bestFit="1" customWidth="1" style="76" min="5" max="5"/>
    <col width="14" customWidth="1" style="76" min="6" max="6"/>
  </cols>
  <sheetData>
    <row r="1">
      <c r="A1" s="77" t="inlineStr">
        <is>
          <t>Date</t>
        </is>
      </c>
      <c r="B1" s="77" t="inlineStr">
        <is>
          <t>Time</t>
        </is>
      </c>
      <c r="C1" s="77" t="inlineStr">
        <is>
          <t>Ticker</t>
        </is>
      </c>
      <c r="D1" s="77" t="inlineStr">
        <is>
          <t>Company Name</t>
        </is>
      </c>
      <c r="E1" s="77" t="inlineStr">
        <is>
          <t>Market Cap (Mil)</t>
        </is>
      </c>
      <c r="F1" s="77" t="inlineStr">
        <is>
          <t>EPS</t>
        </is>
      </c>
      <c r="G1" s="77" t="inlineStr">
        <is>
          <t>Revenue</t>
        </is>
      </c>
      <c r="H1" s="77" t="inlineStr">
        <is>
          <t>Expected Revenue Growth</t>
        </is>
      </c>
    </row>
    <row r="2">
      <c r="A2" s="78" t="inlineStr">
        <is>
          <t>Thursday, January 19, 2023</t>
        </is>
      </c>
      <c r="B2" t="inlineStr">
        <is>
          <t>4:00 PM ET</t>
        </is>
      </c>
      <c r="C2" t="inlineStr">
        <is>
          <t>OZK</t>
        </is>
      </c>
      <c r="D2" t="inlineStr">
        <is>
          <t>Bank OZK</t>
        </is>
      </c>
      <c r="E2" t="n">
        <v>5219.71</v>
      </c>
      <c r="F2" t="inlineStr">
        <is>
          <t>$1.33</t>
        </is>
      </c>
      <c r="G2" t="inlineStr">
        <is>
          <t>$339.64 M</t>
        </is>
      </c>
      <c r="H2" t="inlineStr">
        <is>
          <t>9.5%</t>
        </is>
      </c>
    </row>
    <row r="3">
      <c r="A3" s="78" t="inlineStr">
        <is>
          <t>Thursday, January 19, 2023</t>
        </is>
      </c>
      <c r="B3" t="inlineStr">
        <is>
          <t>6:40 AM ET</t>
        </is>
      </c>
      <c r="C3" t="inlineStr">
        <is>
          <t>CMA</t>
        </is>
      </c>
      <c r="D3" t="inlineStr">
        <is>
          <t>Comerica, Inc.</t>
        </is>
      </c>
      <c r="E3" t="n">
        <v>8930.959999999999</v>
      </c>
      <c r="F3" t="inlineStr">
        <is>
          <t>$2.56</t>
        </is>
      </c>
      <c r="G3" t="inlineStr">
        <is>
          <t>$1.01 B</t>
        </is>
      </c>
      <c r="H3" t="inlineStr">
        <is>
          <t>32.4%</t>
        </is>
      </c>
    </row>
    <row r="4">
      <c r="A4" s="78" t="inlineStr">
        <is>
          <t>Thursday, January 19, 2023</t>
        </is>
      </c>
      <c r="B4" t="inlineStr">
        <is>
          <t>6:00 AM ET</t>
        </is>
      </c>
      <c r="C4" t="inlineStr">
        <is>
          <t>CBSH</t>
        </is>
      </c>
      <c r="D4" t="inlineStr">
        <is>
          <t>Commerce Bancshares Inc.</t>
        </is>
      </c>
      <c r="E4" t="n">
        <v>8653.360000000001</v>
      </c>
      <c r="F4" t="inlineStr">
        <is>
          <t>$1.03</t>
        </is>
      </c>
      <c r="G4" t="inlineStr">
        <is>
          <t>$392.55 M</t>
        </is>
      </c>
      <c r="H4" t="inlineStr">
        <is>
          <t>9.6%</t>
        </is>
      </c>
    </row>
    <row r="5">
      <c r="A5" s="78" t="inlineStr">
        <is>
          <t>Thursday, January 19, 2023</t>
        </is>
      </c>
      <c r="B5" t="inlineStr">
        <is>
          <t>4:15 PM ET</t>
        </is>
      </c>
      <c r="C5" t="inlineStr">
        <is>
          <t>CNXC</t>
        </is>
      </c>
      <c r="D5" t="inlineStr">
        <is>
          <t>Concentrix Corporation</t>
        </is>
      </c>
      <c r="E5" t="n">
        <v>7389.76</v>
      </c>
      <c r="F5" t="inlineStr">
        <is>
          <t>$3.33</t>
        </is>
      </c>
      <c r="G5" t="inlineStr">
        <is>
          <t>$1.68 B</t>
        </is>
      </c>
      <c r="H5" t="inlineStr">
        <is>
          <t>14.6%</t>
        </is>
      </c>
    </row>
    <row r="6">
      <c r="A6" s="78" t="inlineStr">
        <is>
          <t>Thursday, January 19, 2023</t>
        </is>
      </c>
      <c r="B6" t="inlineStr">
        <is>
          <t>6:50 AM ET</t>
        </is>
      </c>
      <c r="C6" t="inlineStr">
        <is>
          <t>FAST</t>
        </is>
      </c>
      <c r="D6" t="inlineStr">
        <is>
          <t>Fastenal Co.</t>
        </is>
      </c>
      <c r="E6" t="n">
        <v>27618.48</v>
      </c>
      <c r="F6" t="inlineStr">
        <is>
          <t>$0.42</t>
        </is>
      </c>
      <c r="G6" t="inlineStr">
        <is>
          <t>$1.68 B</t>
        </is>
      </c>
      <c r="H6" t="inlineStr">
        <is>
          <t>9.7%</t>
        </is>
      </c>
    </row>
    <row r="7">
      <c r="A7" s="78" t="inlineStr">
        <is>
          <t>Thursday, January 19, 2023</t>
        </is>
      </c>
      <c r="B7" t="inlineStr">
        <is>
          <t>6:30 AM ET</t>
        </is>
      </c>
      <c r="C7" t="inlineStr">
        <is>
          <t>FITB</t>
        </is>
      </c>
      <c r="D7" t="inlineStr">
        <is>
          <t>Fifth Third Bancorp</t>
        </is>
      </c>
      <c r="E7" t="n">
        <v>23412.97</v>
      </c>
      <c r="F7" t="inlineStr">
        <is>
          <t>$1.00</t>
        </is>
      </c>
      <c r="G7" t="inlineStr">
        <is>
          <t>$2.33 B</t>
        </is>
      </c>
      <c r="H7" t="inlineStr">
        <is>
          <t>11.8%</t>
        </is>
      </c>
    </row>
    <row r="8">
      <c r="A8" s="78" t="inlineStr">
        <is>
          <t>Thursday, January 19, 2023</t>
        </is>
      </c>
      <c r="B8" t="inlineStr">
        <is>
          <t>4:05 PM ET</t>
        </is>
      </c>
      <c r="C8" t="inlineStr">
        <is>
          <t>FFIN</t>
        </is>
      </c>
      <c r="D8" t="inlineStr">
        <is>
          <t>First Financial Bankshares, Inc.</t>
        </is>
      </c>
      <c r="E8" t="n">
        <v>4916.86</v>
      </c>
      <c r="F8" t="inlineStr">
        <is>
          <t>$0.41</t>
        </is>
      </c>
      <c r="G8" t="inlineStr">
        <is>
          <t>$136.70 M</t>
        </is>
      </c>
      <c r="H8" t="inlineStr">
        <is>
          <t>4.4%</t>
        </is>
      </c>
    </row>
    <row r="9">
      <c r="A9" s="78" t="inlineStr">
        <is>
          <t>Thursday, January 19, 2023</t>
        </is>
      </c>
      <c r="B9" t="inlineStr">
        <is>
          <t>8:15 AM ET</t>
        </is>
      </c>
      <c r="C9" t="inlineStr">
        <is>
          <t>HOMB</t>
        </is>
      </c>
      <c r="D9" t="inlineStr">
        <is>
          <t>Home BancShares Inc.</t>
        </is>
      </c>
      <c r="E9" t="n">
        <v>4715.81</v>
      </c>
      <c r="F9" t="inlineStr">
        <is>
          <t>$0.54</t>
        </is>
      </c>
      <c r="G9" t="inlineStr">
        <is>
          <t>$262.01 M</t>
        </is>
      </c>
      <c r="H9" t="inlineStr">
        <is>
          <t>43.2%</t>
        </is>
      </c>
    </row>
    <row r="10">
      <c r="A10" s="78" t="inlineStr">
        <is>
          <t>Thursday, January 19, 2023</t>
        </is>
      </c>
      <c r="B10" t="inlineStr">
        <is>
          <t>4:10 PM ET</t>
        </is>
      </c>
      <c r="C10" t="inlineStr">
        <is>
          <t>INDB</t>
        </is>
      </c>
      <c r="D10" t="inlineStr">
        <is>
          <t>Independent Bank Corp.</t>
        </is>
      </c>
      <c r="E10" t="n">
        <v>3708.89</v>
      </c>
      <c r="F10" t="inlineStr">
        <is>
          <t>$1.65</t>
        </is>
      </c>
      <c r="G10" t="inlineStr">
        <is>
          <t>$196.62 M</t>
        </is>
      </c>
      <c r="H10" t="inlineStr">
        <is>
          <t>26.8%</t>
        </is>
      </c>
    </row>
    <row r="11">
      <c r="A11" s="78" t="inlineStr">
        <is>
          <t>Thursday, January 19, 2023</t>
        </is>
      </c>
      <c r="B11" t="inlineStr">
        <is>
          <t>6:30 AM ET</t>
        </is>
      </c>
      <c r="C11" t="inlineStr">
        <is>
          <t>KEY</t>
        </is>
      </c>
      <c r="D11" t="inlineStr">
        <is>
          <t>KeyCorp</t>
        </is>
      </c>
      <c r="E11" t="n">
        <v>16812.11</v>
      </c>
      <c r="F11" t="inlineStr">
        <is>
          <t>$0.55</t>
        </is>
      </c>
      <c r="G11" t="inlineStr">
        <is>
          <t>$1.96 B</t>
        </is>
      </c>
      <c r="H11" t="inlineStr">
        <is>
          <t>-2.6%</t>
        </is>
      </c>
    </row>
    <row r="12">
      <c r="A12" s="78" t="inlineStr">
        <is>
          <t>Thursday, January 19, 2023</t>
        </is>
      </c>
      <c r="B12" t="inlineStr">
        <is>
          <t>6:10 AM ET</t>
        </is>
      </c>
      <c r="C12" t="inlineStr">
        <is>
          <t>MTB</t>
        </is>
      </c>
      <c r="D12" t="inlineStr">
        <is>
          <t>M&amp;T Bank Corp</t>
        </is>
      </c>
      <c r="E12" t="n">
        <v>25985.21</v>
      </c>
      <c r="F12" t="inlineStr">
        <is>
          <t>$4.47</t>
        </is>
      </c>
      <c r="G12" t="inlineStr">
        <is>
          <t>$2.46 B</t>
        </is>
      </c>
      <c r="H12" t="inlineStr">
        <is>
          <t>60.0%</t>
        </is>
      </c>
    </row>
    <row r="13">
      <c r="A13" s="78" t="inlineStr">
        <is>
          <t>Thursday, January 19, 2023</t>
        </is>
      </c>
      <c r="B13" t="inlineStr">
        <is>
          <t>4:00 PM ET</t>
        </is>
      </c>
      <c r="C13" t="inlineStr">
        <is>
          <t>NFLX</t>
        </is>
      </c>
      <c r="D13" t="inlineStr">
        <is>
          <t>Netflix, Inc.</t>
        </is>
      </c>
      <c r="E13" t="n">
        <v>145174.58</v>
      </c>
      <c r="F13" t="inlineStr">
        <is>
          <t>$0.45</t>
        </is>
      </c>
      <c r="G13" t="inlineStr">
        <is>
          <t>$7.82 B</t>
        </is>
      </c>
      <c r="H13" t="inlineStr">
        <is>
          <t>1.4%</t>
        </is>
      </c>
    </row>
    <row r="14">
      <c r="A14" s="78" t="inlineStr">
        <is>
          <t>Thursday, January 19, 2023</t>
        </is>
      </c>
      <c r="B14" t="inlineStr">
        <is>
          <t>8:15 AM ET</t>
        </is>
      </c>
      <c r="C14" t="inlineStr">
        <is>
          <t>NTRS</t>
        </is>
      </c>
      <c r="D14" t="inlineStr">
        <is>
          <t>Northern Trust Corporation</t>
        </is>
      </c>
      <c r="E14" t="n">
        <v>20716.52</v>
      </c>
      <c r="F14" t="inlineStr">
        <is>
          <t>$1.81</t>
        </is>
      </c>
      <c r="G14" t="inlineStr">
        <is>
          <t>$1.76 B</t>
        </is>
      </c>
      <c r="H14" t="inlineStr">
        <is>
          <t>5.5%</t>
        </is>
      </c>
    </row>
    <row r="15">
      <c r="A15" s="78" t="inlineStr">
        <is>
          <t>Thursday, January 19, 2023</t>
        </is>
      </c>
      <c r="B15" t="inlineStr">
        <is>
          <t>4:30 PM ET</t>
        </is>
      </c>
      <c r="C15" t="inlineStr">
        <is>
          <t>PPG</t>
        </is>
      </c>
      <c r="D15" t="inlineStr">
        <is>
          <t>PPG Industries, Inc.</t>
        </is>
      </c>
      <c r="E15" t="n">
        <v>30699.28</v>
      </c>
      <c r="F15" t="inlineStr">
        <is>
          <t>$1.15</t>
        </is>
      </c>
      <c r="G15" t="inlineStr">
        <is>
          <t>$4.10 B</t>
        </is>
      </c>
      <c r="H15" t="inlineStr">
        <is>
          <t>-2.1%</t>
        </is>
      </c>
    </row>
    <row r="16">
      <c r="A16" s="78" t="inlineStr">
        <is>
          <t>Thursday, January 19, 2023</t>
        </is>
      </c>
      <c r="B16" t="inlineStr">
        <is>
          <t>6:55 AM ET</t>
        </is>
      </c>
      <c r="C16" t="inlineStr">
        <is>
          <t>PG</t>
        </is>
      </c>
      <c r="D16" t="inlineStr">
        <is>
          <t>Procter &amp; Gamble Co.</t>
        </is>
      </c>
      <c r="E16" t="n">
        <v>358874.53</v>
      </c>
      <c r="F16" t="inlineStr">
        <is>
          <t>$1.58</t>
        </is>
      </c>
      <c r="G16" t="inlineStr">
        <is>
          <t>$20.58 B</t>
        </is>
      </c>
      <c r="H16" t="inlineStr">
        <is>
          <t>-1.8%</t>
        </is>
      </c>
    </row>
    <row r="17">
      <c r="A17" s="78" t="inlineStr">
        <is>
          <t>Thursday, January 19, 2023</t>
        </is>
      </c>
      <c r="B17" t="inlineStr">
        <is>
          <t>4:25 PM ET</t>
        </is>
      </c>
      <c r="C17" t="inlineStr">
        <is>
          <t>SIVB</t>
        </is>
      </c>
      <c r="D17" t="inlineStr">
        <is>
          <t>SVB Financial Group</t>
        </is>
      </c>
      <c r="E17" t="n">
        <v>15366.48</v>
      </c>
      <c r="F17" t="inlineStr">
        <is>
          <t>$5.26</t>
        </is>
      </c>
      <c r="G17" t="inlineStr">
        <is>
          <t>$1.51 B</t>
        </is>
      </c>
      <c r="H17" t="inlineStr">
        <is>
          <t>-1.7%</t>
        </is>
      </c>
    </row>
    <row r="18">
      <c r="A18" s="78" t="inlineStr">
        <is>
          <t>Thursday, January 19, 2023</t>
        </is>
      </c>
      <c r="B18" t="inlineStr">
        <is>
          <t>4:00 AM ET</t>
        </is>
      </c>
      <c r="C18" t="inlineStr">
        <is>
          <t>TAL</t>
        </is>
      </c>
      <c r="D18" t="inlineStr">
        <is>
          <t>TAL Education Group</t>
        </is>
      </c>
      <c r="E18" t="n">
        <v>5191.19</v>
      </c>
      <c r="F18" t="inlineStr">
        <is>
          <t>-</t>
        </is>
      </c>
      <c r="G18" t="inlineStr">
        <is>
          <t>-</t>
        </is>
      </c>
      <c r="H18" t="inlineStr">
        <is>
          <t>-</t>
        </is>
      </c>
    </row>
    <row r="19">
      <c r="A19" s="78" t="inlineStr">
        <is>
          <t>Thursday, January 19, 2023</t>
        </is>
      </c>
      <c r="B19" t="inlineStr">
        <is>
          <t>5:45 AM ET</t>
        </is>
      </c>
      <c r="C19" t="inlineStr">
        <is>
          <t>TFC</t>
        </is>
      </c>
      <c r="D19" t="inlineStr">
        <is>
          <t>Truist Financial Corporation</t>
        </is>
      </c>
      <c r="E19" t="n">
        <v>62557.04</v>
      </c>
      <c r="F19" t="inlineStr">
        <is>
          <t>$1.28</t>
        </is>
      </c>
      <c r="G19" t="inlineStr">
        <is>
          <t>$6.17 B</t>
        </is>
      </c>
      <c r="H19" t="inlineStr">
        <is>
          <t>7.6%</t>
        </is>
      </c>
    </row>
    <row r="20">
      <c r="A20" s="78" t="inlineStr">
        <is>
          <t>Thursday, January 19, 2023</t>
        </is>
      </c>
      <c r="B20" t="inlineStr">
        <is>
          <t>6:00 AM ET</t>
        </is>
      </c>
      <c r="C20" t="inlineStr">
        <is>
          <t>WNS</t>
        </is>
      </c>
      <c r="D20" t="inlineStr">
        <is>
          <t>WNS Holdings Limited</t>
        </is>
      </c>
      <c r="E20" t="n">
        <v>4125.21</v>
      </c>
      <c r="F20" t="inlineStr">
        <is>
          <t>$0.98</t>
        </is>
      </c>
      <c r="G20" t="inlineStr">
        <is>
          <t>$290.08 M</t>
        </is>
      </c>
      <c r="H20" t="inlineStr">
        <is>
          <t>2.1%</t>
        </is>
      </c>
    </row>
    <row r="21">
      <c r="A21" s="78" t="inlineStr">
        <is>
          <t>Friday, January 20, 2023</t>
        </is>
      </c>
      <c r="B21" t="inlineStr">
        <is>
          <t>7:25 AM ET</t>
        </is>
      </c>
      <c r="C21" t="inlineStr">
        <is>
          <t>ALLY</t>
        </is>
      </c>
      <c r="D21" t="inlineStr">
        <is>
          <t>Ally Financial</t>
        </is>
      </c>
      <c r="E21" t="n">
        <v>8075.41</v>
      </c>
      <c r="F21" t="inlineStr">
        <is>
          <t>$0.98</t>
        </is>
      </c>
      <c r="G21" t="inlineStr">
        <is>
          <t>$2.04 B</t>
        </is>
      </c>
      <c r="H21" t="inlineStr">
        <is>
          <t>-7.2%</t>
        </is>
      </c>
    </row>
    <row r="22">
      <c r="A22" s="78" t="inlineStr">
        <is>
          <t>Friday, January 20, 2023</t>
        </is>
      </c>
      <c r="B22" t="inlineStr">
        <is>
          <t>7:00 AM ET</t>
        </is>
      </c>
      <c r="C22" t="inlineStr">
        <is>
          <t>HBAN</t>
        </is>
      </c>
      <c r="D22" t="inlineStr">
        <is>
          <t>Huntington Bancshares Incorporated</t>
        </is>
      </c>
      <c r="E22" t="n">
        <v>20919.65</v>
      </c>
      <c r="F22" t="inlineStr">
        <is>
          <t>$0.41</t>
        </is>
      </c>
      <c r="G22" t="inlineStr">
        <is>
          <t>$1.93 B</t>
        </is>
      </c>
      <c r="H22" t="inlineStr">
        <is>
          <t>13.7%</t>
        </is>
      </c>
    </row>
    <row r="23">
      <c r="A23" s="78" t="inlineStr">
        <is>
          <t>Friday, January 20, 2023</t>
        </is>
      </c>
      <c r="B23" t="inlineStr">
        <is>
          <t>6:00 AM ET</t>
        </is>
      </c>
      <c r="C23" t="inlineStr">
        <is>
          <t>RF</t>
        </is>
      </c>
      <c r="D23" t="inlineStr">
        <is>
          <t>Regions Financial Corporation</t>
        </is>
      </c>
      <c r="E23" t="n">
        <v>20959.62</v>
      </c>
      <c r="F23" t="inlineStr">
        <is>
          <t>$0.65</t>
        </is>
      </c>
      <c r="G23" t="inlineStr">
        <is>
          <t>$1.92 B</t>
        </is>
      </c>
      <c r="H23" t="inlineStr">
        <is>
          <t>14.9%</t>
        </is>
      </c>
    </row>
    <row r="24">
      <c r="A24" s="78" t="inlineStr">
        <is>
          <t>Friday, January 20, 2023</t>
        </is>
      </c>
      <c r="B24" t="inlineStr">
        <is>
          <t>6:50 AM ET</t>
        </is>
      </c>
      <c r="C24" t="inlineStr">
        <is>
          <t>SLB</t>
        </is>
      </c>
      <c r="D24" t="inlineStr">
        <is>
          <t>SLB</t>
        </is>
      </c>
      <c r="E24" t="n">
        <v>82895.91</v>
      </c>
      <c r="F24" t="inlineStr">
        <is>
          <t>$0.69</t>
        </is>
      </c>
      <c r="G24" t="inlineStr">
        <is>
          <t>$7.83 B</t>
        </is>
      </c>
      <c r="H24" t="inlineStr">
        <is>
          <t>25.8%</t>
        </is>
      </c>
    </row>
    <row r="25">
      <c r="A25" s="78" t="inlineStr">
        <is>
          <t>Friday, January 20, 2023</t>
        </is>
      </c>
      <c r="B25" t="inlineStr">
        <is>
          <t>7:40 AM ET</t>
        </is>
      </c>
      <c r="C25" t="inlineStr">
        <is>
          <t>STT</t>
        </is>
      </c>
      <c r="D25" t="inlineStr">
        <is>
          <t>State Street Corp.</t>
        </is>
      </c>
      <c r="E25" t="n">
        <v>30456.03</v>
      </c>
      <c r="F25" t="inlineStr">
        <is>
          <t>$2.00</t>
        </is>
      </c>
      <c r="G25" t="inlineStr">
        <is>
          <t>$2.96 B</t>
        </is>
      </c>
      <c r="H25" t="inlineStr">
        <is>
          <t>-3.0%</t>
        </is>
      </c>
    </row>
    <row r="26">
      <c r="A26" s="78" t="inlineStr">
        <is>
          <t>Monday, January 23, 2023</t>
        </is>
      </c>
      <c r="B26" t="inlineStr">
        <is>
          <t>7:00 AM ET</t>
        </is>
      </c>
      <c r="C26" t="inlineStr">
        <is>
          <t>BKR</t>
        </is>
      </c>
      <c r="D26" t="inlineStr">
        <is>
          <t>Baker Hughes</t>
        </is>
      </c>
      <c r="E26" t="n">
        <v>31746.56</v>
      </c>
      <c r="F26" t="inlineStr">
        <is>
          <t>$0.41</t>
        </is>
      </c>
      <c r="G26" t="inlineStr">
        <is>
          <t>$6.06 B</t>
        </is>
      </c>
      <c r="H26" t="inlineStr">
        <is>
          <t>9.8%</t>
        </is>
      </c>
    </row>
    <row r="27">
      <c r="A27" s="78" t="inlineStr">
        <is>
          <t>Monday, January 23, 2023</t>
        </is>
      </c>
      <c r="B27" t="inlineStr">
        <is>
          <t>6:45 AM ET</t>
        </is>
      </c>
      <c r="C27" t="inlineStr">
        <is>
          <t>BOH</t>
        </is>
      </c>
      <c r="D27" t="inlineStr">
        <is>
          <t>Bank of Hawaii Corp.</t>
        </is>
      </c>
      <c r="E27" t="n">
        <v>3209.83</v>
      </c>
      <c r="F27" t="inlineStr">
        <is>
          <t>$1.45</t>
        </is>
      </c>
      <c r="G27" t="inlineStr">
        <is>
          <t>$183.88 M</t>
        </is>
      </c>
      <c r="H27" t="inlineStr">
        <is>
          <t>5.1%</t>
        </is>
      </c>
    </row>
    <row r="28">
      <c r="A28" s="78" t="inlineStr">
        <is>
          <t>Monday, January 23, 2023</t>
        </is>
      </c>
      <c r="B28" t="inlineStr">
        <is>
          <t>5:25 PM ET</t>
        </is>
      </c>
      <c r="C28" t="inlineStr">
        <is>
          <t>BRO</t>
        </is>
      </c>
      <c r="D28" t="inlineStr">
        <is>
          <t>Brown &amp; Brown Inc.</t>
        </is>
      </c>
      <c r="E28" t="n">
        <v>17327.54</v>
      </c>
      <c r="F28" t="inlineStr">
        <is>
          <t>$0.44</t>
        </is>
      </c>
      <c r="G28" t="inlineStr">
        <is>
          <t>$897.07 M</t>
        </is>
      </c>
      <c r="H28" t="inlineStr">
        <is>
          <t>21.5%</t>
        </is>
      </c>
    </row>
    <row r="29">
      <c r="A29" s="78" t="inlineStr">
        <is>
          <t>Monday, January 23, 2023</t>
        </is>
      </c>
      <c r="B29" t="inlineStr">
        <is>
          <t>5:00 PM ET</t>
        </is>
      </c>
      <c r="C29" t="inlineStr">
        <is>
          <t>CR</t>
        </is>
      </c>
      <c r="D29" t="inlineStr">
        <is>
          <t>Crane Co.</t>
        </is>
      </c>
      <c r="E29" t="n">
        <v>6086.06</v>
      </c>
      <c r="F29" t="inlineStr">
        <is>
          <t>$1.89</t>
        </is>
      </c>
      <c r="G29" t="inlineStr">
        <is>
          <t>$825.58 M</t>
        </is>
      </c>
      <c r="H29" t="inlineStr">
        <is>
          <t>7.1%</t>
        </is>
      </c>
    </row>
    <row r="30">
      <c r="A30" s="78" t="inlineStr">
        <is>
          <t>Monday, January 23, 2023</t>
        </is>
      </c>
      <c r="B30" t="inlineStr">
        <is>
          <t>4:30 PM ET</t>
        </is>
      </c>
      <c r="C30" t="inlineStr">
        <is>
          <t>FNB</t>
        </is>
      </c>
      <c r="D30" t="inlineStr">
        <is>
          <t>F.N.B. Corporation</t>
        </is>
      </c>
      <c r="E30" t="n">
        <v>4616.32</v>
      </c>
      <c r="F30" t="inlineStr">
        <is>
          <t>$0.41</t>
        </is>
      </c>
      <c r="G30" t="inlineStr">
        <is>
          <t>$399.15 M</t>
        </is>
      </c>
      <c r="H30" t="inlineStr">
        <is>
          <t>23.3%</t>
        </is>
      </c>
    </row>
    <row r="31">
      <c r="A31" s="78" t="inlineStr">
        <is>
          <t>Monday, January 23, 2023</t>
        </is>
      </c>
      <c r="B31" t="inlineStr">
        <is>
          <t>9:00 PM ET</t>
        </is>
      </c>
      <c r="C31" t="inlineStr">
        <is>
          <t>LOGI</t>
        </is>
      </c>
      <c r="D31" t="inlineStr">
        <is>
          <t>Logitech International S.A.</t>
        </is>
      </c>
      <c r="E31" t="n">
        <v>8978.450000000001</v>
      </c>
      <c r="F31" t="inlineStr">
        <is>
          <t>$1.06</t>
        </is>
      </c>
      <c r="G31" t="inlineStr">
        <is>
          <t>$1.27 B</t>
        </is>
      </c>
      <c r="H31" t="inlineStr">
        <is>
          <t>-22.2%</t>
        </is>
      </c>
    </row>
    <row r="32">
      <c r="A32" s="78" t="inlineStr">
        <is>
          <t>Monday, January 23, 2023</t>
        </is>
      </c>
      <c r="B32" t="inlineStr">
        <is>
          <t>4:00 PM ET</t>
        </is>
      </c>
      <c r="C32" t="inlineStr">
        <is>
          <t>SFBS</t>
        </is>
      </c>
      <c r="D32" t="inlineStr">
        <is>
          <t>ServisFirst Bancshares, Inc.</t>
        </is>
      </c>
      <c r="E32" t="n">
        <v>3908.1</v>
      </c>
      <c r="F32" t="inlineStr">
        <is>
          <t>$1.24</t>
        </is>
      </c>
      <c r="G32" t="inlineStr">
        <is>
          <t>$137.35 M</t>
        </is>
      </c>
      <c r="H32" t="inlineStr">
        <is>
          <t>18.1%</t>
        </is>
      </c>
    </row>
    <row r="33">
      <c r="A33" s="78" t="inlineStr">
        <is>
          <t>Monday, January 23, 2023</t>
        </is>
      </c>
      <c r="B33" t="inlineStr">
        <is>
          <t>6:00 AM ET</t>
        </is>
      </c>
      <c r="C33" t="inlineStr">
        <is>
          <t>SYF</t>
        </is>
      </c>
      <c r="D33" t="inlineStr">
        <is>
          <t>Synchrony Financial</t>
        </is>
      </c>
      <c r="E33" t="n">
        <v>15169.73</v>
      </c>
      <c r="F33" t="inlineStr">
        <is>
          <t>$1.12</t>
        </is>
      </c>
      <c r="G33" t="inlineStr">
        <is>
          <t>$4.05 B</t>
        </is>
      </c>
      <c r="H33" t="inlineStr">
        <is>
          <t>-4.0%</t>
        </is>
      </c>
    </row>
    <row r="34">
      <c r="A34" s="78" t="inlineStr">
        <is>
          <t>Monday, January 23, 2023</t>
        </is>
      </c>
      <c r="B34" t="inlineStr">
        <is>
          <t>4:15 PM ET</t>
        </is>
      </c>
      <c r="C34" t="inlineStr">
        <is>
          <t>UMPQ</t>
        </is>
      </c>
      <c r="D34" t="inlineStr">
        <is>
          <t>Umpqua Holdings Corporation</t>
        </is>
      </c>
      <c r="E34" t="n">
        <v>3742</v>
      </c>
      <c r="F34" t="inlineStr">
        <is>
          <t>$0.52</t>
        </is>
      </c>
      <c r="G34" t="inlineStr">
        <is>
          <t>$354.07 M</t>
        </is>
      </c>
      <c r="H34" t="inlineStr">
        <is>
          <t>9.4%</t>
        </is>
      </c>
    </row>
    <row r="35">
      <c r="A35" s="78" t="inlineStr">
        <is>
          <t>Monday, January 23, 2023</t>
        </is>
      </c>
      <c r="B35" t="inlineStr">
        <is>
          <t>4:30 PM ET</t>
        </is>
      </c>
      <c r="C35" t="inlineStr">
        <is>
          <t>ZION</t>
        </is>
      </c>
      <c r="D35" t="inlineStr">
        <is>
          <t>Zions Bancorporation</t>
        </is>
      </c>
      <c r="E35" t="n">
        <v>7609.56</v>
      </c>
      <c r="F35" t="inlineStr">
        <is>
          <t>$1.66</t>
        </is>
      </c>
      <c r="G35" t="inlineStr">
        <is>
          <t>$858.14 M</t>
        </is>
      </c>
      <c r="H35" t="inlineStr">
        <is>
          <t>13.5%</t>
        </is>
      </c>
    </row>
    <row r="36">
      <c r="A36" s="78" t="inlineStr">
        <is>
          <t>Tuesday, January 24, 2023</t>
        </is>
      </c>
      <c r="B36" t="inlineStr">
        <is>
          <t>6:30 AM ET</t>
        </is>
      </c>
      <c r="C36" t="inlineStr">
        <is>
          <t>MMM</t>
        </is>
      </c>
      <c r="D36" t="inlineStr">
        <is>
          <t>3M Company</t>
        </is>
      </c>
      <c r="E36" t="n">
        <v>69977.25</v>
      </c>
      <c r="F36" t="inlineStr">
        <is>
          <t>$2.34</t>
        </is>
      </c>
      <c r="G36" t="inlineStr">
        <is>
          <t>$8.06 B</t>
        </is>
      </c>
      <c r="H36" t="inlineStr">
        <is>
          <t>-6.4%</t>
        </is>
      </c>
    </row>
    <row r="37">
      <c r="A37" s="78" t="inlineStr">
        <is>
          <t>Tuesday, January 24, 2023</t>
        </is>
      </c>
      <c r="B37" t="inlineStr">
        <is>
          <t>4:00 PM ET</t>
        </is>
      </c>
      <c r="C37" t="inlineStr">
        <is>
          <t>CNI</t>
        </is>
      </c>
      <c r="D37" t="inlineStr">
        <is>
          <t>Canadian National Railway Company</t>
        </is>
      </c>
      <c r="E37" t="n">
        <v>83749.39</v>
      </c>
      <c r="F37" t="inlineStr">
        <is>
          <t>$1.56</t>
        </is>
      </c>
      <c r="G37" t="inlineStr">
        <is>
          <t>$3.31 B</t>
        </is>
      </c>
      <c r="H37" t="inlineStr">
        <is>
          <t>11.2%</t>
        </is>
      </c>
    </row>
    <row r="38">
      <c r="A38" s="78" t="inlineStr">
        <is>
          <t>Tuesday, January 24, 2023</t>
        </is>
      </c>
      <c r="B38" t="inlineStr">
        <is>
          <t>4:05 PM ET</t>
        </is>
      </c>
      <c r="C38" t="inlineStr">
        <is>
          <t>COF</t>
        </is>
      </c>
      <c r="D38" t="inlineStr">
        <is>
          <t>Capital One Financial Corp.</t>
        </is>
      </c>
      <c r="E38" t="n">
        <v>39555.42</v>
      </c>
      <c r="F38" t="inlineStr">
        <is>
          <t>$3.90</t>
        </is>
      </c>
      <c r="G38" t="inlineStr">
        <is>
          <t>$8.78 B</t>
        </is>
      </c>
      <c r="H38" t="inlineStr">
        <is>
          <t>3.3%</t>
        </is>
      </c>
    </row>
    <row r="39">
      <c r="A39" s="78" t="inlineStr">
        <is>
          <t>Tuesday, January 24, 2023</t>
        </is>
      </c>
      <c r="B39" t="inlineStr">
        <is>
          <t>6:45 AM ET</t>
        </is>
      </c>
      <c r="C39" t="inlineStr">
        <is>
          <t>CBU</t>
        </is>
      </c>
      <c r="D39" t="inlineStr">
        <is>
          <t>Community Bank System Inc.</t>
        </is>
      </c>
      <c r="E39" t="n">
        <v>3378.82</v>
      </c>
      <c r="F39" t="inlineStr">
        <is>
          <t>$0.95</t>
        </is>
      </c>
      <c r="G39" t="inlineStr">
        <is>
          <t>$178.07 M</t>
        </is>
      </c>
      <c r="H39" t="inlineStr">
        <is>
          <t>9.5%</t>
        </is>
      </c>
    </row>
    <row r="40">
      <c r="A40" s="78" t="inlineStr">
        <is>
          <t>Tuesday, January 24, 2023</t>
        </is>
      </c>
      <c r="B40" t="inlineStr">
        <is>
          <t>6:30 AM ET</t>
        </is>
      </c>
      <c r="C40" t="inlineStr">
        <is>
          <t>DHI</t>
        </is>
      </c>
      <c r="D40" t="inlineStr">
        <is>
          <t>D.R. Horton, Inc.</t>
        </is>
      </c>
      <c r="E40" t="n">
        <v>32856.09</v>
      </c>
      <c r="F40" t="inlineStr">
        <is>
          <t>$2.25</t>
        </is>
      </c>
      <c r="G40" t="inlineStr">
        <is>
          <t>$6.51 B</t>
        </is>
      </c>
      <c r="H40" t="inlineStr">
        <is>
          <t>-7.7%</t>
        </is>
      </c>
    </row>
    <row r="41">
      <c r="A41" s="78" t="inlineStr">
        <is>
          <t>Tuesday, January 24, 2023</t>
        </is>
      </c>
      <c r="B41" t="inlineStr">
        <is>
          <t>6:00 AM ET</t>
        </is>
      </c>
      <c r="C41" t="inlineStr">
        <is>
          <t>DHR</t>
        </is>
      </c>
      <c r="D41" t="inlineStr">
        <is>
          <t>Danaher Corp.</t>
        </is>
      </c>
      <c r="E41" t="n">
        <v>200131.52</v>
      </c>
      <c r="F41" t="inlineStr">
        <is>
          <t>$2.44</t>
        </is>
      </c>
      <c r="G41" t="inlineStr">
        <is>
          <t>$7.69 B</t>
        </is>
      </c>
      <c r="H41" t="inlineStr">
        <is>
          <t>-5.6%</t>
        </is>
      </c>
    </row>
    <row r="42">
      <c r="A42" s="78" t="inlineStr">
        <is>
          <t>Tuesday, January 24, 2023</t>
        </is>
      </c>
      <c r="B42" t="inlineStr">
        <is>
          <t>4:05 PM ET</t>
        </is>
      </c>
      <c r="C42" t="inlineStr">
        <is>
          <t>FFIV</t>
        </is>
      </c>
      <c r="D42" t="inlineStr">
        <is>
          <t>F5 Networks, Inc.</t>
        </is>
      </c>
      <c r="E42" t="n">
        <v>8880.219999999999</v>
      </c>
      <c r="F42" t="inlineStr">
        <is>
          <t>$1.53</t>
        </is>
      </c>
      <c r="G42" t="inlineStr">
        <is>
          <t>$697.17 M</t>
        </is>
      </c>
      <c r="H42" t="inlineStr">
        <is>
          <t>1.5%</t>
        </is>
      </c>
    </row>
    <row r="43">
      <c r="A43" s="78" t="inlineStr">
        <is>
          <t>Tuesday, January 24, 2023</t>
        </is>
      </c>
      <c r="B43" t="inlineStr">
        <is>
          <t>8:30 AM ET</t>
        </is>
      </c>
      <c r="C43" t="inlineStr">
        <is>
          <t>GATX</t>
        </is>
      </c>
      <c r="D43" t="inlineStr">
        <is>
          <t>GATX Corporation</t>
        </is>
      </c>
      <c r="E43" t="n">
        <v>3917.76</v>
      </c>
      <c r="F43" t="inlineStr">
        <is>
          <t>$1.38</t>
        </is>
      </c>
      <c r="G43" t="inlineStr">
        <is>
          <t>$329.40 M</t>
        </is>
      </c>
      <c r="H43" t="inlineStr">
        <is>
          <t>2.6%</t>
        </is>
      </c>
    </row>
    <row r="44">
      <c r="A44" s="78" t="inlineStr">
        <is>
          <t>Tuesday, January 24, 2023</t>
        </is>
      </c>
      <c r="B44" t="inlineStr">
        <is>
          <t>6:30 AM ET</t>
        </is>
      </c>
      <c r="C44" t="inlineStr">
        <is>
          <t>GE</t>
        </is>
      </c>
      <c r="D44" t="inlineStr">
        <is>
          <t>General Electric Co.</t>
        </is>
      </c>
      <c r="E44" t="n">
        <v>87948.86</v>
      </c>
      <c r="F44" t="inlineStr">
        <is>
          <t>$1.10</t>
        </is>
      </c>
      <c r="G44" t="inlineStr">
        <is>
          <t>$21.68 B</t>
        </is>
      </c>
      <c r="H44" t="inlineStr">
        <is>
          <t>6.8%</t>
        </is>
      </c>
    </row>
    <row r="45">
      <c r="A45" s="78" t="inlineStr">
        <is>
          <t>Tuesday, January 24, 2023</t>
        </is>
      </c>
      <c r="B45" t="inlineStr">
        <is>
          <t>6:45 AM ET</t>
        </is>
      </c>
      <c r="C45" t="inlineStr">
        <is>
          <t>HAL</t>
        </is>
      </c>
      <c r="D45" t="inlineStr">
        <is>
          <t>Halliburton Company</t>
        </is>
      </c>
      <c r="E45" t="n">
        <v>38619.23</v>
      </c>
      <c r="F45" t="inlineStr">
        <is>
          <t>$0.67</t>
        </is>
      </c>
      <c r="G45" t="inlineStr">
        <is>
          <t>$5.58 B</t>
        </is>
      </c>
      <c r="H45" t="inlineStr">
        <is>
          <t>30.5%</t>
        </is>
      </c>
    </row>
    <row r="46">
      <c r="A46" s="78" t="inlineStr">
        <is>
          <t>Tuesday, January 24, 2023</t>
        </is>
      </c>
      <c r="B46" t="inlineStr">
        <is>
          <t>4:05 PM ET</t>
        </is>
      </c>
      <c r="C46" t="inlineStr">
        <is>
          <t>ISRG</t>
        </is>
      </c>
      <c r="D46" t="inlineStr">
        <is>
          <t>Intuitive Surgical, Inc.</t>
        </is>
      </c>
      <c r="E46" t="n">
        <v>92491.35000000001</v>
      </c>
      <c r="F46" t="inlineStr">
        <is>
          <t>$1.26</t>
        </is>
      </c>
      <c r="G46" t="inlineStr">
        <is>
          <t>$1.67 B</t>
        </is>
      </c>
      <c r="H46" t="inlineStr">
        <is>
          <t>7.7%</t>
        </is>
      </c>
    </row>
    <row r="47">
      <c r="A47" s="78" t="inlineStr">
        <is>
          <t>Tuesday, January 24, 2023</t>
        </is>
      </c>
      <c r="B47" t="inlineStr">
        <is>
          <t>6:55 AM ET</t>
        </is>
      </c>
      <c r="C47" t="inlineStr">
        <is>
          <t>IVZ</t>
        </is>
      </c>
      <c r="D47" t="inlineStr">
        <is>
          <t>Invesco PLC</t>
        </is>
      </c>
      <c r="E47" t="n">
        <v>8709.129999999999</v>
      </c>
      <c r="F47" t="inlineStr">
        <is>
          <t>$0.36</t>
        </is>
      </c>
      <c r="G47" t="inlineStr">
        <is>
          <t>$1.06 B</t>
        </is>
      </c>
      <c r="H47" t="inlineStr">
        <is>
          <t>-39.9%</t>
        </is>
      </c>
    </row>
    <row r="48">
      <c r="A48" s="78" t="inlineStr">
        <is>
          <t>Tuesday, January 24, 2023</t>
        </is>
      </c>
      <c r="B48" t="inlineStr">
        <is>
          <t>6:25 AM ET</t>
        </is>
      </c>
      <c r="C48" t="inlineStr">
        <is>
          <t>JNJ</t>
        </is>
      </c>
      <c r="D48" t="inlineStr">
        <is>
          <t>Johnson &amp; Johnson</t>
        </is>
      </c>
      <c r="E48" t="n">
        <v>450632.41</v>
      </c>
      <c r="F48" t="inlineStr">
        <is>
          <t>$2.22</t>
        </is>
      </c>
      <c r="G48" t="inlineStr">
        <is>
          <t>$23.91 B</t>
        </is>
      </c>
      <c r="H48" t="inlineStr">
        <is>
          <t>-3.6%</t>
        </is>
      </c>
    </row>
    <row r="49">
      <c r="A49" s="78" t="inlineStr">
        <is>
          <t>Tuesday, January 24, 2023</t>
        </is>
      </c>
      <c r="B49" t="inlineStr">
        <is>
          <t>7:30 AM ET</t>
        </is>
      </c>
      <c r="C49" t="inlineStr">
        <is>
          <t>LMT</t>
        </is>
      </c>
      <c r="D49" t="inlineStr">
        <is>
          <t>Lockheed Martin Corp.</t>
        </is>
      </c>
      <c r="E49" t="n">
        <v>117189</v>
      </c>
      <c r="F49" t="inlineStr">
        <is>
          <t>$7.41</t>
        </is>
      </c>
      <c r="G49" t="inlineStr">
        <is>
          <t>$18.28 B</t>
        </is>
      </c>
      <c r="H49" t="inlineStr">
        <is>
          <t>3.1%</t>
        </is>
      </c>
    </row>
    <row r="50">
      <c r="A50" s="78" t="inlineStr">
        <is>
          <t>Tuesday, January 24, 2023</t>
        </is>
      </c>
      <c r="B50" t="inlineStr">
        <is>
          <t>4:05 PM ET</t>
        </is>
      </c>
      <c r="C50" t="inlineStr">
        <is>
          <t>MSFT</t>
        </is>
      </c>
      <c r="D50" t="inlineStr">
        <is>
          <t>Microsoft Corp.</t>
        </is>
      </c>
      <c r="E50" t="n">
        <v>1792170.38</v>
      </c>
      <c r="F50" t="inlineStr">
        <is>
          <t>$2.29</t>
        </is>
      </c>
      <c r="G50" t="inlineStr">
        <is>
          <t>$53.48 B</t>
        </is>
      </c>
      <c r="H50" t="inlineStr">
        <is>
          <t>3.4%</t>
        </is>
      </c>
    </row>
    <row r="51">
      <c r="A51" s="78" t="inlineStr">
        <is>
          <t>Tuesday, January 24, 2023</t>
        </is>
      </c>
      <c r="B51" t="inlineStr">
        <is>
          <t>8:00 AM ET</t>
        </is>
      </c>
      <c r="C51" t="inlineStr">
        <is>
          <t>ONB</t>
        </is>
      </c>
      <c r="D51" t="inlineStr">
        <is>
          <t>Old National Bancorp</t>
        </is>
      </c>
      <c r="E51" t="n">
        <v>5383.32</v>
      </c>
      <c r="F51" t="inlineStr">
        <is>
          <t>$0.57</t>
        </is>
      </c>
      <c r="G51" t="inlineStr">
        <is>
          <t>$487.52 M</t>
        </is>
      </c>
      <c r="H51" t="inlineStr">
        <is>
          <t>133.9%</t>
        </is>
      </c>
    </row>
    <row r="52">
      <c r="A52" s="78" t="inlineStr">
        <is>
          <t>Tuesday, January 24, 2023</t>
        </is>
      </c>
      <c r="B52" t="inlineStr">
        <is>
          <t>8:00 AM ET</t>
        </is>
      </c>
      <c r="C52" t="inlineStr">
        <is>
          <t>PCAR</t>
        </is>
      </c>
      <c r="D52" t="inlineStr">
        <is>
          <t>PACCAR, Inc.</t>
        </is>
      </c>
      <c r="E52" t="n">
        <v>35336.66</v>
      </c>
      <c r="F52" t="inlineStr">
        <is>
          <t>$2.24</t>
        </is>
      </c>
      <c r="G52" t="inlineStr">
        <is>
          <t>$7.06 B</t>
        </is>
      </c>
      <c r="H52" t="inlineStr">
        <is>
          <t>5.6%</t>
        </is>
      </c>
    </row>
    <row r="53">
      <c r="A53" s="78" t="inlineStr">
        <is>
          <t>Tuesday, January 24, 2023</t>
        </is>
      </c>
      <c r="B53" t="inlineStr">
        <is>
          <t>6:55 AM ET</t>
        </is>
      </c>
      <c r="C53" t="inlineStr">
        <is>
          <t>RTX</t>
        </is>
      </c>
      <c r="D53" t="inlineStr">
        <is>
          <t>Raytheon Technologies</t>
        </is>
      </c>
      <c r="E53" t="n">
        <v>144698.08</v>
      </c>
      <c r="F53" t="inlineStr">
        <is>
          <t>$1.24</t>
        </is>
      </c>
      <c r="G53" t="inlineStr">
        <is>
          <t>$18.14 B</t>
        </is>
      </c>
      <c r="H53" t="inlineStr">
        <is>
          <t>6.4%</t>
        </is>
      </c>
    </row>
    <row r="54">
      <c r="A54" s="78" t="inlineStr">
        <is>
          <t>Tuesday, January 24, 2023</t>
        </is>
      </c>
      <c r="B54" t="inlineStr">
        <is>
          <t>4:00 PM ET</t>
        </is>
      </c>
      <c r="C54" t="inlineStr">
        <is>
          <t>TXN</t>
        </is>
      </c>
      <c r="D54" t="inlineStr">
        <is>
          <t>Texas Instruments, Inc.</t>
        </is>
      </c>
      <c r="E54" t="n">
        <v>159188.08</v>
      </c>
      <c r="F54" t="inlineStr">
        <is>
          <t>$1.96</t>
        </is>
      </c>
      <c r="G54" t="inlineStr">
        <is>
          <t>$4.61 B</t>
        </is>
      </c>
      <c r="H54" t="inlineStr">
        <is>
          <t>-4.6%</t>
        </is>
      </c>
    </row>
    <row r="55">
      <c r="A55" s="78" t="inlineStr">
        <is>
          <t>Tuesday, January 24, 2023</t>
        </is>
      </c>
      <c r="B55" t="inlineStr">
        <is>
          <t>6:55 AM ET</t>
        </is>
      </c>
      <c r="C55" t="inlineStr">
        <is>
          <t>TRV</t>
        </is>
      </c>
      <c r="D55" t="inlineStr">
        <is>
          <t>Travelers Companies, Inc.</t>
        </is>
      </c>
      <c r="E55" t="n">
        <v>43354.29</v>
      </c>
      <c r="F55" t="inlineStr">
        <is>
          <t>$3.79</t>
        </is>
      </c>
      <c r="G55" t="inlineStr">
        <is>
          <t>$8.67 B</t>
        </is>
      </c>
      <c r="H55" t="inlineStr">
        <is>
          <t>-3.8%</t>
        </is>
      </c>
    </row>
    <row r="56">
      <c r="A56" s="78" t="inlineStr">
        <is>
          <t>Tuesday, January 24, 2023</t>
        </is>
      </c>
      <c r="B56" t="inlineStr">
        <is>
          <t>4:15 PM ET</t>
        </is>
      </c>
      <c r="C56" t="inlineStr">
        <is>
          <t>UMBF</t>
        </is>
      </c>
      <c r="D56" t="inlineStr">
        <is>
          <t>UMB Financial Corporation</t>
        </is>
      </c>
      <c r="E56" t="n">
        <v>4124.42</v>
      </c>
      <c r="F56" t="inlineStr">
        <is>
          <t>$2.04</t>
        </is>
      </c>
      <c r="G56" t="inlineStr">
        <is>
          <t>$374.83 M</t>
        </is>
      </c>
      <c r="H56" t="inlineStr">
        <is>
          <t>10.1%</t>
        </is>
      </c>
    </row>
    <row r="57">
      <c r="A57" s="78" t="inlineStr">
        <is>
          <t>Tuesday, January 24, 2023</t>
        </is>
      </c>
      <c r="B57" t="inlineStr">
        <is>
          <t>7:45 AM ET</t>
        </is>
      </c>
      <c r="C57" t="inlineStr">
        <is>
          <t>UNP</t>
        </is>
      </c>
      <c r="D57" t="inlineStr">
        <is>
          <t>Union Pacific Corp.</t>
        </is>
      </c>
      <c r="E57" t="n">
        <v>131757.97</v>
      </c>
      <c r="F57" t="inlineStr">
        <is>
          <t>$2.74</t>
        </is>
      </c>
      <c r="G57" t="inlineStr">
        <is>
          <t>$6.40 B</t>
        </is>
      </c>
      <c r="H57" t="inlineStr">
        <is>
          <t>11.6%</t>
        </is>
      </c>
    </row>
    <row r="58">
      <c r="A58" s="78" t="inlineStr">
        <is>
          <t>Tuesday, January 24, 2023</t>
        </is>
      </c>
      <c r="B58" t="inlineStr">
        <is>
          <t>7:30 AM ET</t>
        </is>
      </c>
      <c r="C58" t="inlineStr">
        <is>
          <t>VZ</t>
        </is>
      </c>
      <c r="D58" t="inlineStr">
        <is>
          <t>Verizon Communications</t>
        </is>
      </c>
      <c r="E58" t="n">
        <v>171562.53</v>
      </c>
      <c r="F58" t="inlineStr">
        <is>
          <t>$1.21</t>
        </is>
      </c>
      <c r="G58" t="inlineStr">
        <is>
          <t>$35.37 B</t>
        </is>
      </c>
      <c r="H58" t="inlineStr">
        <is>
          <t>3.8%</t>
        </is>
      </c>
    </row>
    <row r="59">
      <c r="A59" s="78" t="inlineStr">
        <is>
          <t>Wednesday, January 25, 2023</t>
        </is>
      </c>
      <c r="B59" t="inlineStr">
        <is>
          <t>7:30 AM ET</t>
        </is>
      </c>
      <c r="C59" t="inlineStr">
        <is>
          <t>ABT</t>
        </is>
      </c>
      <c r="D59" t="inlineStr">
        <is>
          <t>Abbott</t>
        </is>
      </c>
      <c r="E59" t="n">
        <v>197703.83</v>
      </c>
      <c r="F59" t="inlineStr">
        <is>
          <t>$0.90</t>
        </is>
      </c>
      <c r="G59" t="inlineStr">
        <is>
          <t>$9.62 B</t>
        </is>
      </c>
      <c r="H59" t="inlineStr">
        <is>
          <t>-16.1%</t>
        </is>
      </c>
    </row>
    <row r="60">
      <c r="A60" s="78" t="inlineStr">
        <is>
          <t>Wednesday, January 25, 2023</t>
        </is>
      </c>
      <c r="B60" t="inlineStr">
        <is>
          <t>4:10 PM ET</t>
        </is>
      </c>
      <c r="C60" t="inlineStr">
        <is>
          <t>AMP</t>
        </is>
      </c>
      <c r="D60" t="inlineStr">
        <is>
          <t>Ameriprise Financial Inc</t>
        </is>
      </c>
      <c r="E60" t="n">
        <v>35785.98</v>
      </c>
      <c r="F60" t="inlineStr">
        <is>
          <t>$6.35</t>
        </is>
      </c>
      <c r="G60" t="inlineStr">
        <is>
          <t>$3.46 B</t>
        </is>
      </c>
      <c r="H60" t="inlineStr">
        <is>
          <t>-8.0%</t>
        </is>
      </c>
    </row>
    <row r="61" s="76">
      <c r="A61" s="78" t="inlineStr">
        <is>
          <t>Wednesday, January 25, 2023</t>
        </is>
      </c>
      <c r="B61" t="inlineStr">
        <is>
          <t>8:00 AM ET</t>
        </is>
      </c>
      <c r="C61" t="inlineStr">
        <is>
          <t>APH</t>
        </is>
      </c>
      <c r="D61" t="inlineStr">
        <is>
          <t>Amphenol Corp.</t>
        </is>
      </c>
      <c r="E61" t="n">
        <v>48018.18</v>
      </c>
      <c r="F61" t="inlineStr">
        <is>
          <t>$0.75</t>
        </is>
      </c>
      <c r="G61" t="inlineStr">
        <is>
          <t>$3.15 B</t>
        </is>
      </c>
      <c r="H61" t="inlineStr">
        <is>
          <t>4.1%</t>
        </is>
      </c>
    </row>
    <row r="62">
      <c r="A62" s="78" t="inlineStr">
        <is>
          <t>Wednesday, January 25, 2023</t>
        </is>
      </c>
      <c r="B62" t="inlineStr">
        <is>
          <t>4:05 PM ET</t>
        </is>
      </c>
      <c r="C62" t="inlineStr">
        <is>
          <t>AZPN</t>
        </is>
      </c>
      <c r="D62" t="inlineStr">
        <is>
          <t>Aspen Technology, Inc.</t>
        </is>
      </c>
      <c r="E62" t="n">
        <v>13208.76</v>
      </c>
      <c r="F62" t="inlineStr">
        <is>
          <t>$1.13</t>
        </is>
      </c>
      <c r="G62" t="inlineStr">
        <is>
          <t>$273.49 M</t>
        </is>
      </c>
      <c r="H62" t="inlineStr">
        <is>
          <t>59.6%</t>
        </is>
      </c>
    </row>
    <row r="63">
      <c r="A63" s="78" t="inlineStr">
        <is>
          <t>Wednesday, January 25, 2023</t>
        </is>
      </c>
      <c r="B63" t="inlineStr">
        <is>
          <t>6:30 AM ET</t>
        </is>
      </c>
      <c r="C63" t="inlineStr">
        <is>
          <t>T</t>
        </is>
      </c>
      <c r="D63" t="inlineStr">
        <is>
          <t>AT&amp;T Corp.</t>
        </is>
      </c>
      <c r="E63" t="n">
        <v>137764.91</v>
      </c>
      <c r="F63" t="inlineStr">
        <is>
          <t>$0.58</t>
        </is>
      </c>
      <c r="G63" t="inlineStr">
        <is>
          <t>$31.49 B</t>
        </is>
      </c>
      <c r="H63" t="inlineStr">
        <is>
          <t>-23.1%</t>
        </is>
      </c>
    </row>
    <row r="64">
      <c r="A64" s="78" t="inlineStr">
        <is>
          <t>Wednesday, January 25, 2023</t>
        </is>
      </c>
      <c r="B64" t="inlineStr">
        <is>
          <t>7:00 AM ET</t>
        </is>
      </c>
      <c r="C64" t="inlineStr">
        <is>
          <t>ADP</t>
        </is>
      </c>
      <c r="D64" t="inlineStr">
        <is>
          <t>Automatic Data Processing, Inc.</t>
        </is>
      </c>
      <c r="E64" t="n">
        <v>98222.92</v>
      </c>
      <c r="F64" t="inlineStr">
        <is>
          <t>$1.94</t>
        </is>
      </c>
      <c r="G64" t="inlineStr">
        <is>
          <t>$4.37 B</t>
        </is>
      </c>
      <c r="H64" t="inlineStr">
        <is>
          <t>8.6%</t>
        </is>
      </c>
    </row>
    <row r="65">
      <c r="A65" s="78" t="inlineStr">
        <is>
          <t>Wednesday, January 25, 2023</t>
        </is>
      </c>
      <c r="B65" t="inlineStr">
        <is>
          <t>4:20 PM ET</t>
        </is>
      </c>
      <c r="C65" t="inlineStr">
        <is>
          <t>AXTA</t>
        </is>
      </c>
      <c r="D65" t="inlineStr">
        <is>
          <t>Axalta Coating Systems Ltd.</t>
        </is>
      </c>
      <c r="E65" t="n">
        <v>5958.65</v>
      </c>
      <c r="F65" t="inlineStr">
        <is>
          <t>$0.36</t>
        </is>
      </c>
      <c r="G65" t="inlineStr">
        <is>
          <t>$1.22 B</t>
        </is>
      </c>
      <c r="H65" t="inlineStr">
        <is>
          <t>7.3%</t>
        </is>
      </c>
    </row>
    <row r="66">
      <c r="A66" s="78" t="inlineStr">
        <is>
          <t>Wednesday, January 25, 2023</t>
        </is>
      </c>
      <c r="B66" t="inlineStr">
        <is>
          <t>4:15 PM ET</t>
        </is>
      </c>
      <c r="C66" t="inlineStr">
        <is>
          <t>AXS</t>
        </is>
      </c>
      <c r="D66" t="inlineStr">
        <is>
          <t>Axis Capital Holdings Ltd</t>
        </is>
      </c>
      <c r="E66" t="n">
        <v>4770.98</v>
      </c>
      <c r="F66" t="inlineStr">
        <is>
          <t>$1.69</t>
        </is>
      </c>
      <c r="G66" t="inlineStr">
        <is>
          <t>$1.04 B</t>
        </is>
      </c>
      <c r="H66" t="inlineStr">
        <is>
          <t>-25.4%</t>
        </is>
      </c>
    </row>
    <row r="67">
      <c r="A67" s="78" t="inlineStr">
        <is>
          <t>Wednesday, January 25, 2023</t>
        </is>
      </c>
      <c r="B67" t="inlineStr">
        <is>
          <t>7:30 AM ET</t>
        </is>
      </c>
      <c r="C67" t="inlineStr">
        <is>
          <t>BA</t>
        </is>
      </c>
      <c r="D67" t="inlineStr">
        <is>
          <t>Boeing Co.</t>
        </is>
      </c>
      <c r="E67" t="n">
        <v>125537.63</v>
      </c>
      <c r="F67" t="inlineStr">
        <is>
          <t>$0.30</t>
        </is>
      </c>
      <c r="G67" t="inlineStr">
        <is>
          <t>$20.00 B</t>
        </is>
      </c>
      <c r="H67" t="inlineStr">
        <is>
          <t>35.2%</t>
        </is>
      </c>
    </row>
    <row r="68">
      <c r="A68" s="78" t="inlineStr">
        <is>
          <t>Wednesday, January 25, 2023</t>
        </is>
      </c>
      <c r="B68" t="inlineStr">
        <is>
          <t>7:55 AM ET</t>
        </is>
      </c>
      <c r="C68" t="inlineStr">
        <is>
          <t>BOKF</t>
        </is>
      </c>
      <c r="D68" t="inlineStr">
        <is>
          <t>BOK Financial Corp.</t>
        </is>
      </c>
      <c r="E68" t="n">
        <v>6775.21</v>
      </c>
      <c r="F68" t="inlineStr">
        <is>
          <t>$2.29</t>
        </is>
      </c>
      <c r="G68" t="inlineStr">
        <is>
          <t>$505.72 M</t>
        </is>
      </c>
      <c r="H68" t="inlineStr">
        <is>
          <t>15.3%</t>
        </is>
      </c>
    </row>
    <row r="69">
      <c r="A69" s="78" t="inlineStr">
        <is>
          <t>Wednesday, January 25, 2023</t>
        </is>
      </c>
      <c r="B69" t="inlineStr">
        <is>
          <t>4:15 PM ET</t>
        </is>
      </c>
      <c r="C69" t="inlineStr">
        <is>
          <t>CACI</t>
        </is>
      </c>
      <c r="D69" t="inlineStr">
        <is>
          <t>CACI International, Inc</t>
        </is>
      </c>
      <c r="E69" t="n">
        <v>6846.3</v>
      </c>
      <c r="F69" t="inlineStr">
        <is>
          <t>$4.33</t>
        </is>
      </c>
      <c r="G69" t="inlineStr">
        <is>
          <t>$1.61 B</t>
        </is>
      </c>
      <c r="H69" t="inlineStr">
        <is>
          <t>8.4%</t>
        </is>
      </c>
    </row>
    <row r="70">
      <c r="A70" s="78" t="inlineStr">
        <is>
          <t>Wednesday, January 25, 2023</t>
        </is>
      </c>
      <c r="B70" t="inlineStr">
        <is>
          <t>4:10 PM ET</t>
        </is>
      </c>
      <c r="C70" t="inlineStr">
        <is>
          <t>CALX</t>
        </is>
      </c>
      <c r="D70" t="inlineStr">
        <is>
          <t>Calix, Inc.</t>
        </is>
      </c>
      <c r="E70" t="n">
        <v>4071.1</v>
      </c>
      <c r="F70" t="inlineStr">
        <is>
          <t>$0.12</t>
        </is>
      </c>
      <c r="G70" t="inlineStr">
        <is>
          <t>$241.20 M</t>
        </is>
      </c>
      <c r="H70" t="inlineStr">
        <is>
          <t>36.7%</t>
        </is>
      </c>
    </row>
    <row r="71">
      <c r="A71" s="78" t="inlineStr">
        <is>
          <t>Wednesday, January 25, 2023</t>
        </is>
      </c>
      <c r="B71" t="inlineStr">
        <is>
          <t>4:30 PM ET</t>
        </is>
      </c>
      <c r="C71" t="inlineStr">
        <is>
          <t>CATY</t>
        </is>
      </c>
      <c r="D71" t="inlineStr">
        <is>
          <t>Cathay General Bancorp</t>
        </is>
      </c>
      <c r="E71" t="n">
        <v>3179.7</v>
      </c>
      <c r="F71" t="inlineStr">
        <is>
          <t>$1.39</t>
        </is>
      </c>
      <c r="G71" t="inlineStr">
        <is>
          <t>$215.37 M</t>
        </is>
      </c>
      <c r="H71" t="inlineStr">
        <is>
          <t>14.0%</t>
        </is>
      </c>
    </row>
    <row r="72">
      <c r="A72" s="78" t="inlineStr">
        <is>
          <t>Wednesday, January 25, 2023</t>
        </is>
      </c>
      <c r="B72" t="inlineStr">
        <is>
          <t>4:20 PM ET</t>
        </is>
      </c>
      <c r="C72" t="inlineStr">
        <is>
          <t>CNS</t>
        </is>
      </c>
      <c r="D72" t="inlineStr">
        <is>
          <t>Cohen &amp; Steers Inc</t>
        </is>
      </c>
      <c r="E72" t="n">
        <v>3556.05</v>
      </c>
      <c r="F72" t="inlineStr">
        <is>
          <t>-</t>
        </is>
      </c>
      <c r="G72" t="inlineStr">
        <is>
          <t>-</t>
        </is>
      </c>
      <c r="H72" t="inlineStr">
        <is>
          <t>-</t>
        </is>
      </c>
    </row>
    <row r="73">
      <c r="A73" s="78" t="inlineStr">
        <is>
          <t>Wednesday, January 25, 2023</t>
        </is>
      </c>
      <c r="B73" t="inlineStr">
        <is>
          <t>4:15 PM ET</t>
        </is>
      </c>
      <c r="C73" t="inlineStr">
        <is>
          <t>CCI</t>
        </is>
      </c>
      <c r="D73" t="inlineStr">
        <is>
          <t>Crown Castle International Corp.</t>
        </is>
      </c>
      <c r="E73" t="n">
        <v>65091.45</v>
      </c>
      <c r="F73" t="inlineStr">
        <is>
          <t>$1.78</t>
        </is>
      </c>
      <c r="G73" t="inlineStr">
        <is>
          <t>$1.74 B</t>
        </is>
      </c>
      <c r="H73" t="inlineStr">
        <is>
          <t>5.2%</t>
        </is>
      </c>
    </row>
    <row r="74">
      <c r="A74" s="78" t="inlineStr">
        <is>
          <t>Wednesday, January 25, 2023</t>
        </is>
      </c>
      <c r="B74" t="inlineStr">
        <is>
          <t>4:00 PM ET</t>
        </is>
      </c>
      <c r="C74" t="inlineStr">
        <is>
          <t>CSX</t>
        </is>
      </c>
      <c r="D74" t="inlineStr">
        <is>
          <t>CSX Corp.</t>
        </is>
      </c>
      <c r="E74" t="n">
        <v>68538.52</v>
      </c>
      <c r="F74" t="inlineStr">
        <is>
          <t>$0.47</t>
        </is>
      </c>
      <c r="G74" t="inlineStr">
        <is>
          <t>$3.77 B</t>
        </is>
      </c>
      <c r="H74" t="inlineStr">
        <is>
          <t>10.0%</t>
        </is>
      </c>
    </row>
    <row r="75">
      <c r="A75" s="78" t="inlineStr">
        <is>
          <t>Wednesday, January 25, 2023</t>
        </is>
      </c>
      <c r="B75" t="inlineStr">
        <is>
          <t>4:35 PM ET</t>
        </is>
      </c>
      <c r="C75" t="inlineStr">
        <is>
          <t>CVBF</t>
        </is>
      </c>
      <c r="D75" t="inlineStr">
        <is>
          <t>CVB Financial Corp.</t>
        </is>
      </c>
      <c r="E75" t="n">
        <v>3573.49</v>
      </c>
      <c r="F75" t="inlineStr">
        <is>
          <t>$0.47</t>
        </is>
      </c>
      <c r="G75" t="inlineStr">
        <is>
          <t>$138.46 M</t>
        </is>
      </c>
      <c r="H75" t="inlineStr">
        <is>
          <t>19.4%</t>
        </is>
      </c>
    </row>
    <row r="76">
      <c r="A76" s="78" t="inlineStr">
        <is>
          <t>Wednesday, January 25, 2023</t>
        </is>
      </c>
      <c r="B76" t="inlineStr">
        <is>
          <t>6:00 AM ET</t>
        </is>
      </c>
      <c r="C76" t="inlineStr">
        <is>
          <t>ELV</t>
        </is>
      </c>
      <c r="D76" t="inlineStr">
        <is>
          <t>Elevance Health</t>
        </is>
      </c>
      <c r="E76" t="n">
        <v>115430.73</v>
      </c>
      <c r="F76" t="inlineStr">
        <is>
          <t>$5.21</t>
        </is>
      </c>
      <c r="G76" t="inlineStr">
        <is>
          <t>$39.69 B</t>
        </is>
      </c>
      <c r="H76" t="inlineStr">
        <is>
          <t>-</t>
        </is>
      </c>
    </row>
    <row r="77">
      <c r="A77" s="78" t="inlineStr">
        <is>
          <t>Wednesday, January 25, 2023</t>
        </is>
      </c>
      <c r="B77" t="inlineStr">
        <is>
          <t>4:05 PM ET</t>
        </is>
      </c>
      <c r="C77" t="inlineStr">
        <is>
          <t>FLEX</t>
        </is>
      </c>
      <c r="D77" t="inlineStr">
        <is>
          <t>Flex</t>
        </is>
      </c>
      <c r="E77" t="n">
        <v>10826.06</v>
      </c>
      <c r="F77" t="inlineStr">
        <is>
          <t>$0.48</t>
        </is>
      </c>
      <c r="G77" t="inlineStr">
        <is>
          <t>$7.36 B</t>
        </is>
      </c>
      <c r="H77" t="inlineStr">
        <is>
          <t>11.2%</t>
        </is>
      </c>
    </row>
    <row r="78">
      <c r="A78" s="78" t="inlineStr">
        <is>
          <t>Wednesday, January 25, 2023</t>
        </is>
      </c>
      <c r="B78" t="inlineStr">
        <is>
          <t>8:00 AM ET</t>
        </is>
      </c>
      <c r="C78" t="inlineStr">
        <is>
          <t>FCX</t>
        </is>
      </c>
      <c r="D78" t="inlineStr">
        <is>
          <t>Freeport-McMoRan Copper &amp; Gold, Inc.</t>
        </is>
      </c>
      <c r="E78" t="n">
        <v>63104.8</v>
      </c>
      <c r="F78" t="inlineStr">
        <is>
          <t>$0.40</t>
        </is>
      </c>
      <c r="G78" t="inlineStr">
        <is>
          <t>$5.12 B</t>
        </is>
      </c>
      <c r="H78" t="inlineStr">
        <is>
          <t>-16.9%</t>
        </is>
      </c>
    </row>
    <row r="79">
      <c r="A79" s="78" t="inlineStr">
        <is>
          <t>Wednesday, January 25, 2023</t>
        </is>
      </c>
      <c r="B79" t="inlineStr">
        <is>
          <t>7:00 AM ET</t>
        </is>
      </c>
      <c r="C79" t="inlineStr">
        <is>
          <t>GD</t>
        </is>
      </c>
      <c r="D79" t="inlineStr">
        <is>
          <t>General Dynamics Corp.</t>
        </is>
      </c>
      <c r="E79" t="n">
        <v>66204.73</v>
      </c>
      <c r="F79" t="inlineStr">
        <is>
          <t>$3.55</t>
        </is>
      </c>
      <c r="G79" t="inlineStr">
        <is>
          <t>$10.77 B</t>
        </is>
      </c>
      <c r="H79" t="inlineStr">
        <is>
          <t>4.6%</t>
        </is>
      </c>
    </row>
    <row r="80">
      <c r="A80" s="78" t="inlineStr">
        <is>
          <t>Wednesday, January 25, 2023</t>
        </is>
      </c>
      <c r="B80" t="inlineStr">
        <is>
          <t>7:30 AM ET</t>
        </is>
      </c>
      <c r="C80" t="inlineStr">
        <is>
          <t>HES</t>
        </is>
      </c>
      <c r="D80" t="inlineStr">
        <is>
          <t>Hess Corp</t>
        </is>
      </c>
      <c r="E80" t="n">
        <v>46754.98</v>
      </c>
      <c r="F80" t="inlineStr">
        <is>
          <t>$1.72</t>
        </is>
      </c>
      <c r="G80" t="inlineStr">
        <is>
          <t>$2.63 B</t>
        </is>
      </c>
      <c r="H80" t="inlineStr">
        <is>
          <t>16.6%</t>
        </is>
      </c>
    </row>
    <row r="81">
      <c r="A81" s="78" t="inlineStr">
        <is>
          <t>Wednesday, January 25, 2023</t>
        </is>
      </c>
      <c r="B81" t="inlineStr">
        <is>
          <t>4:15 PM ET</t>
        </is>
      </c>
      <c r="C81" t="inlineStr">
        <is>
          <t>HXL</t>
        </is>
      </c>
      <c r="D81" t="inlineStr">
        <is>
          <t>Hexcel Corp.</t>
        </is>
      </c>
      <c r="E81" t="n">
        <v>5248.92</v>
      </c>
      <c r="F81" t="inlineStr">
        <is>
          <t>$0.31</t>
        </is>
      </c>
      <c r="G81" t="inlineStr">
        <is>
          <t>$404.28 M</t>
        </is>
      </c>
      <c r="H81" t="inlineStr">
        <is>
          <t>12.2%</t>
        </is>
      </c>
    </row>
    <row r="82">
      <c r="A82" s="78" t="inlineStr">
        <is>
          <t>Wednesday, January 25, 2023</t>
        </is>
      </c>
      <c r="B82" t="inlineStr">
        <is>
          <t>4:10 PM ET</t>
        </is>
      </c>
      <c r="C82" t="inlineStr">
        <is>
          <t>IBM</t>
        </is>
      </c>
      <c r="D82" t="inlineStr">
        <is>
          <t>International Business Machines Corp.</t>
        </is>
      </c>
      <c r="E82" t="n">
        <v>131270.11</v>
      </c>
      <c r="F82" t="inlineStr">
        <is>
          <t>$3.57</t>
        </is>
      </c>
      <c r="G82" t="inlineStr">
        <is>
          <t>$16.37 B</t>
        </is>
      </c>
      <c r="H82" t="inlineStr">
        <is>
          <t>-1.9%</t>
        </is>
      </c>
    </row>
    <row r="83">
      <c r="A83" s="78" t="inlineStr">
        <is>
          <t>Wednesday, January 25, 2023</t>
        </is>
      </c>
      <c r="B83" t="inlineStr">
        <is>
          <t>7:30 AM ET</t>
        </is>
      </c>
      <c r="C83" t="inlineStr">
        <is>
          <t>KMB</t>
        </is>
      </c>
      <c r="D83" t="inlineStr">
        <is>
          <t>Kimberly-Clark Corp.</t>
        </is>
      </c>
      <c r="E83" t="n">
        <v>46189.17</v>
      </c>
      <c r="F83" t="inlineStr">
        <is>
          <t>$1.50</t>
        </is>
      </c>
      <c r="G83" t="inlineStr">
        <is>
          <t>$4.96 B</t>
        </is>
      </c>
      <c r="H83" t="inlineStr">
        <is>
          <t>-0.1%</t>
        </is>
      </c>
    </row>
    <row r="84">
      <c r="A84" s="78" t="inlineStr">
        <is>
          <t>Wednesday, January 25, 2023</t>
        </is>
      </c>
      <c r="B84" t="inlineStr">
        <is>
          <t>4:00 PM ET</t>
        </is>
      </c>
      <c r="C84" t="inlineStr">
        <is>
          <t>KNX</t>
        </is>
      </c>
      <c r="D84" t="inlineStr">
        <is>
          <t>Knight-Swift Transportation Holdings Inc.</t>
        </is>
      </c>
      <c r="E84" t="n">
        <v>9045.58</v>
      </c>
      <c r="F84" t="inlineStr">
        <is>
          <t>$1.13</t>
        </is>
      </c>
      <c r="G84" t="inlineStr">
        <is>
          <t>$1.85 B</t>
        </is>
      </c>
      <c r="H84" t="inlineStr">
        <is>
          <t>1.8%</t>
        </is>
      </c>
    </row>
    <row r="85">
      <c r="A85" s="78" t="inlineStr">
        <is>
          <t>Wednesday, January 25, 2023</t>
        </is>
      </c>
      <c r="B85" t="inlineStr">
        <is>
          <t>4:05 PM ET</t>
        </is>
      </c>
      <c r="C85" t="inlineStr">
        <is>
          <t>LRCX</t>
        </is>
      </c>
      <c r="D85" t="inlineStr">
        <is>
          <t>Lam Research Corp.</t>
        </is>
      </c>
      <c r="E85" t="n">
        <v>64233.31</v>
      </c>
      <c r="F85" t="inlineStr">
        <is>
          <t>$9.96</t>
        </is>
      </c>
      <c r="G85" t="inlineStr">
        <is>
          <t>$5.11 B</t>
        </is>
      </c>
      <c r="H85" t="inlineStr">
        <is>
          <t>20.9%</t>
        </is>
      </c>
    </row>
    <row r="86">
      <c r="A86" s="78" t="inlineStr">
        <is>
          <t>Wednesday, January 25, 2023</t>
        </is>
      </c>
      <c r="B86" t="inlineStr">
        <is>
          <t>4:10 PM ET</t>
        </is>
      </c>
      <c r="C86" t="inlineStr">
        <is>
          <t>LEVI</t>
        </is>
      </c>
      <c r="D86" t="inlineStr">
        <is>
          <t>Levi Strauss &amp; Co.</t>
        </is>
      </c>
      <c r="E86" t="n">
        <v>6420.72</v>
      </c>
      <c r="F86" t="inlineStr">
        <is>
          <t>$0.31</t>
        </is>
      </c>
      <c r="G86" t="inlineStr">
        <is>
          <t>$1.58 B</t>
        </is>
      </c>
      <c r="H86" t="inlineStr">
        <is>
          <t>-6.2%</t>
        </is>
      </c>
    </row>
    <row r="87">
      <c r="A87" s="78" t="inlineStr">
        <is>
          <t>Wednesday, January 25, 2023</t>
        </is>
      </c>
      <c r="B87" t="inlineStr">
        <is>
          <t>6:30 AM ET</t>
        </is>
      </c>
      <c r="C87" t="inlineStr">
        <is>
          <t>MKTX</t>
        </is>
      </c>
      <c r="D87" t="inlineStr">
        <is>
          <t>MarketAxess Holdings Inc.</t>
        </is>
      </c>
      <c r="E87" t="n">
        <v>12346.38</v>
      </c>
      <c r="F87" t="inlineStr">
        <is>
          <t>$1.53</t>
        </is>
      </c>
      <c r="G87" t="inlineStr">
        <is>
          <t>$177.11 M</t>
        </is>
      </c>
      <c r="H87" t="inlineStr">
        <is>
          <t>7.3%</t>
        </is>
      </c>
    </row>
    <row r="88">
      <c r="A88" s="78" t="inlineStr">
        <is>
          <t>Wednesday, January 25, 2023</t>
        </is>
      </c>
      <c r="B88" t="inlineStr">
        <is>
          <t>7:00 AM ET</t>
        </is>
      </c>
      <c r="C88" t="inlineStr">
        <is>
          <t>NDAQ</t>
        </is>
      </c>
      <c r="D88" t="inlineStr">
        <is>
          <t>Nasdaq, Inc.</t>
        </is>
      </c>
      <c r="E88" t="n">
        <v>31132.38</v>
      </c>
      <c r="F88" t="inlineStr">
        <is>
          <t>$0.66</t>
        </is>
      </c>
      <c r="G88" t="inlineStr">
        <is>
          <t>$908.46 M</t>
        </is>
      </c>
      <c r="H88" t="inlineStr">
        <is>
          <t>-38.1%</t>
        </is>
      </c>
    </row>
    <row r="89">
      <c r="A89" s="78" t="inlineStr">
        <is>
          <t>Wednesday, January 25, 2023</t>
        </is>
      </c>
      <c r="B89" t="inlineStr">
        <is>
          <t>7:30 AM ET</t>
        </is>
      </c>
      <c r="C89" t="inlineStr">
        <is>
          <t>NEE</t>
        </is>
      </c>
      <c r="D89" t="inlineStr">
        <is>
          <t>NextEra Energy Inc</t>
        </is>
      </c>
      <c r="E89" t="n">
        <v>170379.41</v>
      </c>
      <c r="F89" t="inlineStr">
        <is>
          <t>$0.51</t>
        </is>
      </c>
      <c r="G89" t="inlineStr">
        <is>
          <t>$5.74 B</t>
        </is>
      </c>
      <c r="H89" t="inlineStr">
        <is>
          <t>13.8%</t>
        </is>
      </c>
    </row>
    <row r="90">
      <c r="A90" s="78" t="inlineStr">
        <is>
          <t>Wednesday, January 25, 2023</t>
        </is>
      </c>
      <c r="B90" t="inlineStr">
        <is>
          <t>7:30 AM ET</t>
        </is>
      </c>
      <c r="C90" t="inlineStr">
        <is>
          <t>NEP</t>
        </is>
      </c>
      <c r="D90" t="inlineStr">
        <is>
          <t>Nextera Energy Partners LP</t>
        </is>
      </c>
      <c r="E90" t="n">
        <v>6593.99</v>
      </c>
      <c r="F90" t="inlineStr">
        <is>
          <t>$0.52</t>
        </is>
      </c>
      <c r="G90" t="inlineStr">
        <is>
          <t>$313.13 M</t>
        </is>
      </c>
      <c r="H90" t="inlineStr">
        <is>
          <t>35.0%</t>
        </is>
      </c>
    </row>
    <row r="91">
      <c r="A91" s="78" t="inlineStr">
        <is>
          <t>Wednesday, January 25, 2023</t>
        </is>
      </c>
      <c r="B91" t="inlineStr">
        <is>
          <t>8:15 AM ET</t>
        </is>
      </c>
      <c r="C91" t="inlineStr">
        <is>
          <t>NSC</t>
        </is>
      </c>
      <c r="D91" t="inlineStr">
        <is>
          <t>Norfolk Southern Corporation</t>
        </is>
      </c>
      <c r="E91" t="n">
        <v>59420.44</v>
      </c>
      <c r="F91" t="inlineStr">
        <is>
          <t>$3.41</t>
        </is>
      </c>
      <c r="G91" t="inlineStr">
        <is>
          <t>$3.18 B</t>
        </is>
      </c>
      <c r="H91" t="inlineStr">
        <is>
          <t>11.5%</t>
        </is>
      </c>
    </row>
    <row r="92">
      <c r="A92" s="78" t="inlineStr">
        <is>
          <t>Wednesday, January 25, 2023</t>
        </is>
      </c>
      <c r="B92" t="inlineStr">
        <is>
          <t>4:30 PM ET</t>
        </is>
      </c>
      <c r="C92" t="inlineStr">
        <is>
          <t>PKG</t>
        </is>
      </c>
      <c r="D92" t="inlineStr">
        <is>
          <t>Packaging Corporation of America</t>
        </is>
      </c>
      <c r="E92" t="n">
        <v>12353.35</v>
      </c>
      <c r="F92" t="inlineStr">
        <is>
          <t>$2.24</t>
        </is>
      </c>
      <c r="G92" t="inlineStr">
        <is>
          <t>$2.04 B</t>
        </is>
      </c>
      <c r="H92" t="inlineStr">
        <is>
          <t>-0.2%</t>
        </is>
      </c>
    </row>
    <row r="93">
      <c r="A93" s="78" t="inlineStr">
        <is>
          <t>Wednesday, January 25, 2023</t>
        </is>
      </c>
      <c r="B93" t="inlineStr">
        <is>
          <t>4:15 PM ET</t>
        </is>
      </c>
      <c r="C93" t="inlineStr">
        <is>
          <t>PLXS</t>
        </is>
      </c>
      <c r="D93" t="inlineStr">
        <is>
          <t>Plexus Corp.</t>
        </is>
      </c>
      <c r="E93" t="n">
        <v>3112.78</v>
      </c>
      <c r="F93" t="inlineStr">
        <is>
          <t>$1.47</t>
        </is>
      </c>
      <c r="G93" t="inlineStr">
        <is>
          <t>$1.05 B</t>
        </is>
      </c>
      <c r="H93" t="inlineStr">
        <is>
          <t>28.4%</t>
        </is>
      </c>
    </row>
    <row r="94">
      <c r="A94" s="78" t="inlineStr">
        <is>
          <t>Wednesday, January 25, 2023</t>
        </is>
      </c>
      <c r="B94" t="inlineStr">
        <is>
          <t>8:00 AM ET</t>
        </is>
      </c>
      <c r="C94" t="inlineStr">
        <is>
          <t>BPOP</t>
        </is>
      </c>
      <c r="D94" t="inlineStr">
        <is>
          <t>Popular Inc.</t>
        </is>
      </c>
      <c r="E94" t="n">
        <v>4948.31</v>
      </c>
      <c r="F94" t="inlineStr">
        <is>
          <t>$2.75</t>
        </is>
      </c>
      <c r="G94" t="inlineStr">
        <is>
          <t>$565.86 M</t>
        </is>
      </c>
      <c r="H94" t="inlineStr">
        <is>
          <t>-19.6%</t>
        </is>
      </c>
    </row>
    <row r="95">
      <c r="A95" s="78" t="inlineStr">
        <is>
          <t>Wednesday, January 25, 2023</t>
        </is>
      </c>
      <c r="B95" t="inlineStr">
        <is>
          <t>8:15 AM ET</t>
        </is>
      </c>
      <c r="C95" t="inlineStr">
        <is>
          <t>PGR</t>
        </is>
      </c>
      <c r="D95" t="inlineStr">
        <is>
          <t>Progressive Corp.</t>
        </is>
      </c>
      <c r="E95" t="n">
        <v>76462.75999999999</v>
      </c>
      <c r="F95" t="inlineStr">
        <is>
          <t>$1.50</t>
        </is>
      </c>
      <c r="G95" t="inlineStr">
        <is>
          <t>$11.80 B</t>
        </is>
      </c>
      <c r="H95" t="inlineStr">
        <is>
          <t>-5.5%</t>
        </is>
      </c>
    </row>
    <row r="96">
      <c r="A96" s="78" t="inlineStr">
        <is>
          <t>Wednesday, January 25, 2023</t>
        </is>
      </c>
      <c r="B96" t="inlineStr">
        <is>
          <t>6:30 AM ET</t>
        </is>
      </c>
      <c r="C96" t="inlineStr">
        <is>
          <t>PB</t>
        </is>
      </c>
      <c r="D96" t="inlineStr">
        <is>
          <t>Prosperity Bancshares Inc.</t>
        </is>
      </c>
      <c r="E96" t="n">
        <v>6798.83</v>
      </c>
      <c r="F96" t="inlineStr">
        <is>
          <t>$1.50</t>
        </is>
      </c>
      <c r="G96" t="inlineStr">
        <is>
          <t>$302.06 M</t>
        </is>
      </c>
      <c r="H96" t="inlineStr">
        <is>
          <t>4.4%</t>
        </is>
      </c>
    </row>
    <row r="97">
      <c r="A97" s="78" t="inlineStr">
        <is>
          <t>Wednesday, January 25, 2023</t>
        </is>
      </c>
      <c r="B97" t="inlineStr">
        <is>
          <t>4:05 PM ET</t>
        </is>
      </c>
      <c r="C97" t="inlineStr">
        <is>
          <t>XM</t>
        </is>
      </c>
      <c r="D97" t="inlineStr">
        <is>
          <t>Qualtrics</t>
        </is>
      </c>
      <c r="E97" t="n">
        <v>6438.96</v>
      </c>
      <c r="F97" t="inlineStr">
        <is>
          <t>($0.38)</t>
        </is>
      </c>
      <c r="G97" t="inlineStr">
        <is>
          <t>$381.11 M</t>
        </is>
      </c>
      <c r="H97" t="inlineStr">
        <is>
          <t>20.6%</t>
        </is>
      </c>
    </row>
    <row r="98">
      <c r="A98" s="78" t="inlineStr">
        <is>
          <t>Wednesday, January 25, 2023</t>
        </is>
      </c>
      <c r="B98" t="inlineStr">
        <is>
          <t>4:20 PM ET</t>
        </is>
      </c>
      <c r="C98" t="inlineStr">
        <is>
          <t>RJF</t>
        </is>
      </c>
      <c r="D98" t="inlineStr">
        <is>
          <t>Raymond James Financial, Inc.</t>
        </is>
      </c>
      <c r="E98" t="n">
        <v>25290.69</v>
      </c>
      <c r="F98" t="inlineStr">
        <is>
          <t>$2.21</t>
        </is>
      </c>
      <c r="G98" t="inlineStr">
        <is>
          <t>$2.85 B</t>
        </is>
      </c>
      <c r="H98" t="inlineStr">
        <is>
          <t>1.1%</t>
        </is>
      </c>
    </row>
    <row r="99">
      <c r="A99" s="78" t="inlineStr">
        <is>
          <t>Wednesday, January 25, 2023</t>
        </is>
      </c>
      <c r="B99" t="inlineStr">
        <is>
          <t>4:05 PM ET</t>
        </is>
      </c>
      <c r="C99" t="inlineStr">
        <is>
          <t>RLI</t>
        </is>
      </c>
      <c r="D99" t="inlineStr">
        <is>
          <t>RLI Corp.</t>
        </is>
      </c>
      <c r="E99" t="n">
        <v>6234.05</v>
      </c>
      <c r="F99" t="inlineStr">
        <is>
          <t>$1.08</t>
        </is>
      </c>
      <c r="G99" t="inlineStr">
        <is>
          <t>$298.45 M</t>
        </is>
      </c>
      <c r="H99" t="inlineStr">
        <is>
          <t>-7.7%</t>
        </is>
      </c>
    </row>
    <row r="100">
      <c r="A100" s="78" t="inlineStr">
        <is>
          <t>Wednesday, January 25, 2023</t>
        </is>
      </c>
      <c r="B100" t="inlineStr">
        <is>
          <t>4:05 PM ET</t>
        </is>
      </c>
      <c r="C100" t="inlineStr">
        <is>
          <t>STX</t>
        </is>
      </c>
      <c r="D100" t="inlineStr">
        <is>
          <t>Seagate Technology plc</t>
        </is>
      </c>
      <c r="E100" t="n">
        <v>11763.77</v>
      </c>
      <c r="F100" t="inlineStr">
        <is>
          <t>$0.03</t>
        </is>
      </c>
      <c r="G100" t="inlineStr">
        <is>
          <t>$1.86 B</t>
        </is>
      </c>
      <c r="H100" t="inlineStr">
        <is>
          <t>-40.3%</t>
        </is>
      </c>
    </row>
    <row r="101">
      <c r="A101" s="78" t="inlineStr">
        <is>
          <t>Wednesday, January 25, 2023</t>
        </is>
      </c>
      <c r="B101" t="inlineStr">
        <is>
          <t>4:00 PM ET</t>
        </is>
      </c>
      <c r="C101" t="inlineStr">
        <is>
          <t>SEIC</t>
        </is>
      </c>
      <c r="D101" t="inlineStr">
        <is>
          <t>SEI Investments Co.</t>
        </is>
      </c>
      <c r="E101" t="n">
        <v>8340.49</v>
      </c>
      <c r="F101" t="inlineStr">
        <is>
          <t>$0.79</t>
        </is>
      </c>
      <c r="G101" t="inlineStr">
        <is>
          <t>$454.94 M</t>
        </is>
      </c>
      <c r="H101" t="inlineStr">
        <is>
          <t>-9.3%</t>
        </is>
      </c>
    </row>
    <row r="102">
      <c r="A102" s="78" t="inlineStr">
        <is>
          <t>Wednesday, January 25, 2023</t>
        </is>
      </c>
      <c r="B102" t="inlineStr">
        <is>
          <t>4:10 PM ET</t>
        </is>
      </c>
      <c r="C102" t="inlineStr">
        <is>
          <t>NOW</t>
        </is>
      </c>
      <c r="D102" t="inlineStr">
        <is>
          <t>ServiceNow, Inc.</t>
        </is>
      </c>
      <c r="E102" t="n">
        <v>84484.48</v>
      </c>
      <c r="F102" t="inlineStr">
        <is>
          <t>$0.59</t>
        </is>
      </c>
      <c r="G102" t="inlineStr">
        <is>
          <t>$1.94 B</t>
        </is>
      </c>
      <c r="H102" t="inlineStr">
        <is>
          <t>20.2%</t>
        </is>
      </c>
    </row>
    <row r="103">
      <c r="A103" s="78" t="inlineStr">
        <is>
          <t>Wednesday, January 25, 2023</t>
        </is>
      </c>
      <c r="B103" t="inlineStr">
        <is>
          <t>4:30 PM ET</t>
        </is>
      </c>
      <c r="C103" t="inlineStr">
        <is>
          <t>STLD</t>
        </is>
      </c>
      <c r="D103" t="inlineStr">
        <is>
          <t>Steel Dynamics, Inc.</t>
        </is>
      </c>
      <c r="E103" t="n">
        <v>19346.21</v>
      </c>
      <c r="F103" t="inlineStr">
        <is>
          <t>$3.60</t>
        </is>
      </c>
      <c r="G103" t="inlineStr">
        <is>
          <t>$4.66 B</t>
        </is>
      </c>
      <c r="H103" t="inlineStr">
        <is>
          <t>-12.3%</t>
        </is>
      </c>
    </row>
    <row r="104">
      <c r="A104" s="78" t="inlineStr">
        <is>
          <t>Wednesday, January 25, 2023</t>
        </is>
      </c>
      <c r="B104" t="inlineStr">
        <is>
          <t>6:00 AM ET</t>
        </is>
      </c>
      <c r="C104" t="inlineStr">
        <is>
          <t>TEL</t>
        </is>
      </c>
      <c r="D104" t="inlineStr">
        <is>
          <t>TE Connectivity Ltd.</t>
        </is>
      </c>
      <c r="E104" t="n">
        <v>39403.21</v>
      </c>
      <c r="F104" t="inlineStr">
        <is>
          <t>$1.50</t>
        </is>
      </c>
      <c r="G104" t="inlineStr">
        <is>
          <t>$3.76 B</t>
        </is>
      </c>
      <c r="H104" t="inlineStr">
        <is>
          <t>-1.5%</t>
        </is>
      </c>
    </row>
    <row r="105">
      <c r="A105" s="78" t="inlineStr">
        <is>
          <t>Wednesday, January 25, 2023</t>
        </is>
      </c>
      <c r="B105" t="inlineStr">
        <is>
          <t>6:55 AM ET</t>
        </is>
      </c>
      <c r="C105" t="inlineStr">
        <is>
          <t>TDY</t>
        </is>
      </c>
      <c r="D105" t="inlineStr">
        <is>
          <t>Teledyne Technologies Inc.</t>
        </is>
      </c>
      <c r="E105" t="n">
        <v>19496.97</v>
      </c>
      <c r="F105" t="inlineStr">
        <is>
          <t>$4.52</t>
        </is>
      </c>
      <c r="G105" t="inlineStr">
        <is>
          <t>$1.42 B</t>
        </is>
      </c>
      <c r="H105" t="inlineStr">
        <is>
          <t>3.2%</t>
        </is>
      </c>
    </row>
    <row r="106">
      <c r="A106" s="78" t="inlineStr">
        <is>
          <t>Wednesday, January 25, 2023</t>
        </is>
      </c>
      <c r="B106" t="inlineStr">
        <is>
          <t>5:00 PM ET</t>
        </is>
      </c>
      <c r="C106" t="inlineStr">
        <is>
          <t>TER</t>
        </is>
      </c>
      <c r="D106" t="inlineStr">
        <is>
          <t>Teradyne, Inc.</t>
        </is>
      </c>
      <c r="E106" t="n">
        <v>15052.27</v>
      </c>
      <c r="F106" t="inlineStr">
        <is>
          <t>$0.74</t>
        </is>
      </c>
      <c r="G106" t="inlineStr">
        <is>
          <t>$715.98 M</t>
        </is>
      </c>
      <c r="H106" t="inlineStr">
        <is>
          <t>-19.1%</t>
        </is>
      </c>
    </row>
    <row r="107">
      <c r="A107" s="78" t="inlineStr">
        <is>
          <t>Wednesday, January 25, 2023</t>
        </is>
      </c>
      <c r="B107" t="inlineStr">
        <is>
          <t>4:05 PM ET</t>
        </is>
      </c>
      <c r="C107" t="inlineStr">
        <is>
          <t>TSLA</t>
        </is>
      </c>
      <c r="D107" t="inlineStr">
        <is>
          <t>Tesla, Inc.</t>
        </is>
      </c>
      <c r="E107" t="n">
        <v>415212.91</v>
      </c>
      <c r="F107" t="inlineStr">
        <is>
          <t>$1.19</t>
        </is>
      </c>
      <c r="G107" t="inlineStr">
        <is>
          <t>$26.16 B</t>
        </is>
      </c>
      <c r="H107" t="inlineStr">
        <is>
          <t>47.6%</t>
        </is>
      </c>
    </row>
    <row r="108">
      <c r="A108" s="78" t="inlineStr">
        <is>
          <t>Wednesday, January 25, 2023</t>
        </is>
      </c>
      <c r="B108" t="inlineStr">
        <is>
          <t>6:30 AM ET</t>
        </is>
      </c>
      <c r="C108" t="inlineStr">
        <is>
          <t>TXT</t>
        </is>
      </c>
      <c r="D108" t="inlineStr">
        <is>
          <t>Textron, Inc.</t>
        </is>
      </c>
      <c r="E108" t="n">
        <v>14484.56</v>
      </c>
      <c r="F108" t="inlineStr">
        <is>
          <t>$1.01</t>
        </is>
      </c>
      <c r="G108" t="inlineStr">
        <is>
          <t>$3.62 B</t>
        </is>
      </c>
      <c r="H108" t="inlineStr">
        <is>
          <t>9.0%</t>
        </is>
      </c>
    </row>
    <row r="109">
      <c r="A109" s="78" t="inlineStr">
        <is>
          <t>Wednesday, January 25, 2023</t>
        </is>
      </c>
      <c r="B109" t="inlineStr">
        <is>
          <t>6:45 AM ET</t>
        </is>
      </c>
      <c r="C109" t="inlineStr">
        <is>
          <t>USB</t>
        </is>
      </c>
      <c r="D109" t="inlineStr">
        <is>
          <t>U.S. Bancorp</t>
        </is>
      </c>
      <c r="E109" t="n">
        <v>70487.46000000001</v>
      </c>
      <c r="F109" t="inlineStr">
        <is>
          <t>$1.11</t>
        </is>
      </c>
      <c r="G109" t="inlineStr">
        <is>
          <t>$6.59 B</t>
        </is>
      </c>
      <c r="H109" t="inlineStr">
        <is>
          <t>11.9%</t>
        </is>
      </c>
    </row>
    <row r="110">
      <c r="A110" s="78" t="inlineStr">
        <is>
          <t>Wednesday, January 25, 2023</t>
        </is>
      </c>
      <c r="B110" t="inlineStr">
        <is>
          <t>4:15 PM ET</t>
        </is>
      </c>
      <c r="C110" t="inlineStr">
        <is>
          <t>URI</t>
        </is>
      </c>
      <c r="D110" t="inlineStr">
        <is>
          <t>United Rentals, Inc.</t>
        </is>
      </c>
      <c r="E110" t="n">
        <v>26951.99</v>
      </c>
      <c r="F110" t="inlineStr">
        <is>
          <t>$10.04</t>
        </is>
      </c>
      <c r="G110" t="inlineStr">
        <is>
          <t>$3.22 B</t>
        </is>
      </c>
      <c r="H110" t="inlineStr">
        <is>
          <t>16.0%</t>
        </is>
      </c>
    </row>
    <row r="111">
      <c r="A111" s="78" t="inlineStr">
        <is>
          <t>Wednesday, January 25, 2023</t>
        </is>
      </c>
      <c r="B111" t="inlineStr">
        <is>
          <t>4:05 PM ET</t>
        </is>
      </c>
      <c r="C111" t="inlineStr">
        <is>
          <t>WHR</t>
        </is>
      </c>
      <c r="D111" t="inlineStr">
        <is>
          <t>Whirlpool Corp.</t>
        </is>
      </c>
      <c r="E111" t="n">
        <v>8438.700000000001</v>
      </c>
      <c r="F111" t="inlineStr">
        <is>
          <t>$3.19</t>
        </is>
      </c>
      <c r="G111" t="inlineStr">
        <is>
          <t>$5.12 B</t>
        </is>
      </c>
      <c r="H111" t="inlineStr">
        <is>
          <t>-12.0%</t>
        </is>
      </c>
    </row>
    <row r="112">
      <c r="A112" s="78" t="inlineStr">
        <is>
          <t>Wednesday, January 25, 2023</t>
        </is>
      </c>
      <c r="B112" t="inlineStr">
        <is>
          <t>4:05 PM ET</t>
        </is>
      </c>
      <c r="C112" t="inlineStr">
        <is>
          <t>WOLF</t>
        </is>
      </c>
      <c r="D112" t="inlineStr">
        <is>
          <t>Wolfspeed, Inc.</t>
        </is>
      </c>
      <c r="E112" t="n">
        <v>10051.34</v>
      </c>
      <c r="F112" t="inlineStr">
        <is>
          <t>($0.31)</t>
        </is>
      </c>
      <c r="G112" t="inlineStr">
        <is>
          <t>$235.90 M</t>
        </is>
      </c>
      <c r="H112" t="inlineStr">
        <is>
          <t>36.3%</t>
        </is>
      </c>
    </row>
    <row r="113">
      <c r="A113" s="78" t="inlineStr">
        <is>
          <t>Thursday, January 26, 2023</t>
        </is>
      </c>
      <c r="B113" t="inlineStr">
        <is>
          <t>6:50 AM ET</t>
        </is>
      </c>
      <c r="C113" t="inlineStr">
        <is>
          <t>VLVLY</t>
        </is>
      </c>
      <c r="D113" t="inlineStr">
        <is>
          <t>AB Volvo</t>
        </is>
      </c>
      <c r="E113" t="n">
        <v>39245.62</v>
      </c>
      <c r="F113" t="inlineStr">
        <is>
          <t>-</t>
        </is>
      </c>
      <c r="G113" t="inlineStr">
        <is>
          <t>$40.68 B</t>
        </is>
      </c>
      <c r="H113" t="inlineStr">
        <is>
          <t>251.9%</t>
        </is>
      </c>
    </row>
    <row r="114">
      <c r="A114" s="78" t="inlineStr">
        <is>
          <t>Thursday, January 26, 2023</t>
        </is>
      </c>
      <c r="B114" t="inlineStr">
        <is>
          <t>6:00 AM ET</t>
        </is>
      </c>
      <c r="C114" t="inlineStr">
        <is>
          <t>ALK</t>
        </is>
      </c>
      <c r="D114" t="inlineStr">
        <is>
          <t>Alaska Air Group, Inc.</t>
        </is>
      </c>
      <c r="E114" t="n">
        <v>6379.94</v>
      </c>
      <c r="F114" t="inlineStr">
        <is>
          <t>$0.88</t>
        </is>
      </c>
      <c r="G114" t="inlineStr">
        <is>
          <t>$2.51 B</t>
        </is>
      </c>
      <c r="H114" t="inlineStr">
        <is>
          <t>32.2%</t>
        </is>
      </c>
    </row>
    <row r="115">
      <c r="A115" s="78" t="inlineStr">
        <is>
          <t>Thursday, January 26, 2023</t>
        </is>
      </c>
      <c r="B115" t="inlineStr">
        <is>
          <t>7:00 AM ET</t>
        </is>
      </c>
      <c r="C115" t="inlineStr">
        <is>
          <t>AAL</t>
        </is>
      </c>
      <c r="D115" t="inlineStr">
        <is>
          <t>American Airlines Group Inc.</t>
        </is>
      </c>
      <c r="E115" t="n">
        <v>11100.31</v>
      </c>
      <c r="F115" t="inlineStr">
        <is>
          <t>$0.75</t>
        </is>
      </c>
      <c r="G115" t="inlineStr">
        <is>
          <t>$12.69 B</t>
        </is>
      </c>
      <c r="H115" t="inlineStr">
        <is>
          <t>34.6%</t>
        </is>
      </c>
    </row>
    <row r="116">
      <c r="A116" s="78" t="inlineStr">
        <is>
          <t>Thursday, January 26, 2023</t>
        </is>
      </c>
      <c r="B116" t="inlineStr">
        <is>
          <t>4:05 PM ET</t>
        </is>
      </c>
      <c r="C116" t="inlineStr">
        <is>
          <t>ABCB</t>
        </is>
      </c>
      <c r="D116" t="inlineStr">
        <is>
          <t>Ameris Bancorp</t>
        </is>
      </c>
      <c r="E116" t="n">
        <v>3395.46</v>
      </c>
      <c r="F116" t="inlineStr">
        <is>
          <t>$1.34</t>
        </is>
      </c>
      <c r="G116" t="inlineStr">
        <is>
          <t>$281.12 M</t>
        </is>
      </c>
      <c r="H116" t="inlineStr">
        <is>
          <t>8.1%</t>
        </is>
      </c>
    </row>
    <row r="117">
      <c r="A117" s="78" t="inlineStr">
        <is>
          <t>Thursday, January 26, 2023</t>
        </is>
      </c>
      <c r="B117" t="inlineStr">
        <is>
          <t>4:05 PM ET</t>
        </is>
      </c>
      <c r="C117" t="inlineStr">
        <is>
          <t>APPF</t>
        </is>
      </c>
      <c r="D117" t="inlineStr">
        <is>
          <t>AppFolio, Inc.</t>
        </is>
      </c>
      <c r="E117" t="n">
        <v>4191.56</v>
      </c>
      <c r="F117" t="inlineStr">
        <is>
          <t>($0.33)</t>
        </is>
      </c>
      <c r="G117" t="inlineStr">
        <is>
          <t>$117.67 M</t>
        </is>
      </c>
      <c r="H117" t="inlineStr">
        <is>
          <t>23.1%</t>
        </is>
      </c>
    </row>
    <row r="118">
      <c r="A118" s="78" t="inlineStr">
        <is>
          <t>Thursday, January 26, 2023</t>
        </is>
      </c>
      <c r="B118" t="inlineStr">
        <is>
          <t>6:30 AM ET</t>
        </is>
      </c>
      <c r="C118" t="inlineStr">
        <is>
          <t>AIT</t>
        </is>
      </c>
      <c r="D118" t="inlineStr">
        <is>
          <t>Applied Industrial Technologies</t>
        </is>
      </c>
      <c r="E118" t="n">
        <v>4808.38</v>
      </c>
      <c r="F118" t="inlineStr">
        <is>
          <t>$1.70</t>
        </is>
      </c>
      <c r="G118" t="inlineStr">
        <is>
          <t>$993.13 M</t>
        </is>
      </c>
      <c r="H118" t="inlineStr">
        <is>
          <t>13.3%</t>
        </is>
      </c>
    </row>
    <row r="119">
      <c r="A119" s="78" t="inlineStr">
        <is>
          <t>Thursday, January 26, 2023</t>
        </is>
      </c>
      <c r="B119" t="inlineStr">
        <is>
          <t>7:00 AM ET</t>
        </is>
      </c>
      <c r="C119" t="inlineStr">
        <is>
          <t>ADM</t>
        </is>
      </c>
      <c r="D119" t="inlineStr">
        <is>
          <t>Archer-Daniels-Midland Co.</t>
        </is>
      </c>
      <c r="E119" t="n">
        <v>48390.85</v>
      </c>
      <c r="F119" t="inlineStr">
        <is>
          <t>$1.58</t>
        </is>
      </c>
      <c r="G119" t="inlineStr">
        <is>
          <t>$25.26 B</t>
        </is>
      </c>
      <c r="H119" t="inlineStr">
        <is>
          <t>9.4%</t>
        </is>
      </c>
    </row>
    <row r="120">
      <c r="A120" s="78" t="inlineStr">
        <is>
          <t>Thursday, January 26, 2023</t>
        </is>
      </c>
      <c r="B120" t="inlineStr">
        <is>
          <t>4:15 PM ET</t>
        </is>
      </c>
      <c r="C120" t="inlineStr">
        <is>
          <t>AJG</t>
        </is>
      </c>
      <c r="D120" t="inlineStr">
        <is>
          <t>Arthur J. Gallagher &amp; Co.</t>
        </is>
      </c>
      <c r="E120" t="n">
        <v>41250.84</v>
      </c>
      <c r="F120" t="inlineStr">
        <is>
          <t>$1.51</t>
        </is>
      </c>
      <c r="G120" t="inlineStr">
        <is>
          <t>$1.94 B</t>
        </is>
      </c>
      <c r="H120" t="inlineStr">
        <is>
          <t>-1.7%</t>
        </is>
      </c>
    </row>
    <row r="121">
      <c r="A121" s="78" t="inlineStr">
        <is>
          <t>Thursday, January 26, 2023</t>
        </is>
      </c>
      <c r="B121" t="inlineStr">
        <is>
          <t>4:15 PM ET</t>
        </is>
      </c>
      <c r="C121" t="inlineStr">
        <is>
          <t>ASB</t>
        </is>
      </c>
      <c r="D121" t="inlineStr">
        <is>
          <t>Associated Banc-Corp</t>
        </is>
      </c>
      <c r="E121" t="n">
        <v>3447.74</v>
      </c>
      <c r="F121" t="inlineStr">
        <is>
          <t>$0.65</t>
        </is>
      </c>
      <c r="G121" t="inlineStr">
        <is>
          <t>$347.47 M</t>
        </is>
      </c>
      <c r="H121" t="inlineStr">
        <is>
          <t>22.7%</t>
        </is>
      </c>
    </row>
    <row r="122">
      <c r="A122" s="78" t="inlineStr">
        <is>
          <t>Thursday, January 26, 2023</t>
        </is>
      </c>
      <c r="B122" t="inlineStr">
        <is>
          <t>6:45 AM ET</t>
        </is>
      </c>
      <c r="C122" t="inlineStr">
        <is>
          <t>CNX</t>
        </is>
      </c>
      <c r="D122" t="inlineStr">
        <is>
          <t>CNX Resources Corporation</t>
        </is>
      </c>
      <c r="E122" t="n">
        <v>3006.75</v>
      </c>
      <c r="F122" t="inlineStr">
        <is>
          <t>$0.59</t>
        </is>
      </c>
      <c r="G122" t="inlineStr">
        <is>
          <t>$531.20 M</t>
        </is>
      </c>
      <c r="H122" t="inlineStr">
        <is>
          <t>-58.9%</t>
        </is>
      </c>
    </row>
    <row r="123">
      <c r="A123" s="78" t="inlineStr">
        <is>
          <t>Thursday, January 26, 2023</t>
        </is>
      </c>
      <c r="B123" t="inlineStr">
        <is>
          <t>7:00 AM ET</t>
        </is>
      </c>
      <c r="C123" t="inlineStr">
        <is>
          <t>CMCSA</t>
        </is>
      </c>
      <c r="D123" t="inlineStr">
        <is>
          <t>Comcast Corp.</t>
        </is>
      </c>
      <c r="E123" t="n">
        <v>168353.53</v>
      </c>
      <c r="F123" t="inlineStr">
        <is>
          <t>$0.77</t>
        </is>
      </c>
      <c r="G123" t="inlineStr">
        <is>
          <t>$30.35 B</t>
        </is>
      </c>
      <c r="H123" t="inlineStr">
        <is>
          <t>0.0%</t>
        </is>
      </c>
    </row>
    <row r="124">
      <c r="A124" s="78" t="inlineStr">
        <is>
          <t>Thursday, January 26, 2023</t>
        </is>
      </c>
      <c r="B124" t="inlineStr">
        <is>
          <t>9:00 AM ET</t>
        </is>
      </c>
      <c r="C124" t="inlineStr">
        <is>
          <t>CFR</t>
        </is>
      </c>
      <c r="D124" t="inlineStr">
        <is>
          <t>Cullen/Frost Bankers, Inc.</t>
        </is>
      </c>
      <c r="E124" t="n">
        <v>8781.280000000001</v>
      </c>
      <c r="F124" t="inlineStr">
        <is>
          <t>$2.75</t>
        </is>
      </c>
      <c r="G124" t="inlineStr">
        <is>
          <t>$501.42 M</t>
        </is>
      </c>
      <c r="H124" t="inlineStr">
        <is>
          <t>-</t>
        </is>
      </c>
    </row>
    <row r="125">
      <c r="A125" s="78" t="inlineStr">
        <is>
          <t>Thursday, January 26, 2023</t>
        </is>
      </c>
      <c r="B125" t="inlineStr">
        <is>
          <t>6:00 AM ET</t>
        </is>
      </c>
      <c r="C125" t="inlineStr">
        <is>
          <t>DOW</t>
        </is>
      </c>
      <c r="D125" t="inlineStr">
        <is>
          <t>Dow Chemical Co.</t>
        </is>
      </c>
      <c r="E125" t="n">
        <v>40395.79</v>
      </c>
      <c r="F125" t="inlineStr">
        <is>
          <t>$0.57</t>
        </is>
      </c>
      <c r="G125" t="inlineStr">
        <is>
          <t>$12.16 B</t>
        </is>
      </c>
      <c r="H125" t="inlineStr">
        <is>
          <t>-15.3%</t>
        </is>
      </c>
    </row>
    <row r="126">
      <c r="A126" s="78" t="inlineStr">
        <is>
          <t>Thursday, January 26, 2023</t>
        </is>
      </c>
      <c r="B126" t="inlineStr">
        <is>
          <t>6:30 AM ET</t>
        </is>
      </c>
      <c r="C126" t="inlineStr">
        <is>
          <t>EXP</t>
        </is>
      </c>
      <c r="D126" t="inlineStr">
        <is>
          <t>Eagle Materials Inc.</t>
        </is>
      </c>
      <c r="E126" t="n">
        <v>5244.47</v>
      </c>
      <c r="F126" t="inlineStr">
        <is>
          <t>$3.19</t>
        </is>
      </c>
      <c r="G126" t="inlineStr">
        <is>
          <t>$539.19 M</t>
        </is>
      </c>
      <c r="H126" t="inlineStr">
        <is>
          <t>16.5%</t>
        </is>
      </c>
    </row>
    <row r="127">
      <c r="A127" s="78" t="inlineStr">
        <is>
          <t>Thursday, January 26, 2023</t>
        </is>
      </c>
      <c r="B127" t="inlineStr">
        <is>
          <t>8:00 AM ET</t>
        </is>
      </c>
      <c r="C127" t="inlineStr">
        <is>
          <t>EWBC</t>
        </is>
      </c>
      <c r="D127" t="inlineStr">
        <is>
          <t>East West Bancorp Inc.</t>
        </is>
      </c>
      <c r="E127" t="n">
        <v>9650.610000000001</v>
      </c>
      <c r="F127" t="inlineStr">
        <is>
          <t>$2.22</t>
        </is>
      </c>
      <c r="G127" t="inlineStr">
        <is>
          <t>$577.14 M</t>
        </is>
      </c>
      <c r="H127" t="inlineStr">
        <is>
          <t>16.8%</t>
        </is>
      </c>
    </row>
    <row r="128">
      <c r="A128" s="78" t="inlineStr">
        <is>
          <t>Thursday, January 26, 2023</t>
        </is>
      </c>
      <c r="B128" t="inlineStr">
        <is>
          <t>4:15 PM ET</t>
        </is>
      </c>
      <c r="C128" t="inlineStr">
        <is>
          <t>EBC</t>
        </is>
      </c>
      <c r="D128" t="inlineStr">
        <is>
          <t>Eastern Bankshares, Inc.</t>
        </is>
      </c>
      <c r="E128" t="n">
        <v>3120.14</v>
      </c>
      <c r="F128" t="inlineStr">
        <is>
          <t>$0.36</t>
        </is>
      </c>
      <c r="G128" t="inlineStr">
        <is>
          <t>$158.36 M</t>
        </is>
      </c>
      <c r="H128" t="inlineStr">
        <is>
          <t>-</t>
        </is>
      </c>
    </row>
    <row r="129">
      <c r="A129" s="78" t="inlineStr">
        <is>
          <t>Thursday, January 26, 2023</t>
        </is>
      </c>
      <c r="B129" t="inlineStr">
        <is>
          <t>4:15 PM ET</t>
        </is>
      </c>
      <c r="C129" t="inlineStr">
        <is>
          <t>EMN</t>
        </is>
      </c>
      <c r="D129" t="inlineStr">
        <is>
          <t>Eastman Chemical Company</t>
        </is>
      </c>
      <c r="E129" t="n">
        <v>10733.14</v>
      </c>
      <c r="F129" t="inlineStr">
        <is>
          <t>$1.26</t>
        </is>
      </c>
      <c r="G129" t="inlineStr">
        <is>
          <t>$2.49 B</t>
        </is>
      </c>
      <c r="H129" t="inlineStr">
        <is>
          <t>-7.6%</t>
        </is>
      </c>
    </row>
    <row r="130">
      <c r="A130" s="78" t="inlineStr">
        <is>
          <t>Thursday, January 26, 2023</t>
        </is>
      </c>
      <c r="B130" t="inlineStr">
        <is>
          <t>4:15 PM ET</t>
        </is>
      </c>
      <c r="C130" t="inlineStr">
        <is>
          <t>FHI</t>
        </is>
      </c>
      <c r="D130" t="inlineStr">
        <is>
          <t>Federated Hermes, Inc.</t>
        </is>
      </c>
      <c r="E130" t="n">
        <v>3431.65</v>
      </c>
      <c r="F130" t="inlineStr">
        <is>
          <t>$0.75</t>
        </is>
      </c>
      <c r="G130" t="inlineStr">
        <is>
          <t>$381.53 M</t>
        </is>
      </c>
      <c r="H130" t="inlineStr">
        <is>
          <t>18.6%</t>
        </is>
      </c>
    </row>
    <row r="131">
      <c r="A131" s="78" t="inlineStr">
        <is>
          <t>Thursday, January 26, 2023</t>
        </is>
      </c>
      <c r="B131" t="inlineStr">
        <is>
          <t>6:40 AM ET</t>
        </is>
      </c>
      <c r="C131" t="inlineStr">
        <is>
          <t>FCNCA</t>
        </is>
      </c>
      <c r="D131" t="inlineStr">
        <is>
          <t>First Citizens BancShares Inc.</t>
        </is>
      </c>
      <c r="E131" t="n">
        <v>11951.07</v>
      </c>
      <c r="F131" t="inlineStr">
        <is>
          <t>$23.34</t>
        </is>
      </c>
      <c r="G131" t="inlineStr">
        <is>
          <t>$1.09 B</t>
        </is>
      </c>
      <c r="H131" t="inlineStr">
        <is>
          <t>124.2%</t>
        </is>
      </c>
    </row>
    <row r="132">
      <c r="A132" s="78" t="inlineStr">
        <is>
          <t>Thursday, January 26, 2023</t>
        </is>
      </c>
      <c r="B132" t="inlineStr">
        <is>
          <t>4:10 PM ET</t>
        </is>
      </c>
      <c r="C132" t="inlineStr">
        <is>
          <t>FIBK</t>
        </is>
      </c>
      <c r="D132" t="inlineStr">
        <is>
          <t>First Interstate Bancsystem Inc</t>
        </is>
      </c>
      <c r="E132" t="n">
        <v>4047.35</v>
      </c>
      <c r="F132" t="inlineStr">
        <is>
          <t>$1.05</t>
        </is>
      </c>
      <c r="G132" t="inlineStr">
        <is>
          <t>$313.35 M</t>
        </is>
      </c>
      <c r="H132" t="inlineStr">
        <is>
          <t>-</t>
        </is>
      </c>
    </row>
    <row r="133">
      <c r="A133" s="78" t="inlineStr">
        <is>
          <t>Thursday, January 26, 2023</t>
        </is>
      </c>
      <c r="B133" t="inlineStr">
        <is>
          <t>4:30 PM ET</t>
        </is>
      </c>
      <c r="C133" t="inlineStr">
        <is>
          <t>GBCI</t>
        </is>
      </c>
      <c r="D133" t="inlineStr">
        <is>
          <t>Glacier Bancorp Inc.</t>
        </is>
      </c>
      <c r="E133" t="n">
        <v>5460.81</v>
      </c>
      <c r="F133" t="inlineStr">
        <is>
          <t>$0.73</t>
        </is>
      </c>
      <c r="G133" t="inlineStr">
        <is>
          <t>$216.43 M</t>
        </is>
      </c>
      <c r="H133" t="inlineStr">
        <is>
          <t>-</t>
        </is>
      </c>
    </row>
    <row r="134">
      <c r="A134" s="78" t="inlineStr">
        <is>
          <t>Thursday, January 26, 2023</t>
        </is>
      </c>
      <c r="B134" t="inlineStr">
        <is>
          <t>4:00 PM ET</t>
        </is>
      </c>
      <c r="C134" t="inlineStr">
        <is>
          <t>INTC</t>
        </is>
      </c>
      <c r="D134" t="inlineStr">
        <is>
          <t>Intel Corp.</t>
        </is>
      </c>
      <c r="E134" t="n">
        <v>122159.2</v>
      </c>
      <c r="F134" t="inlineStr">
        <is>
          <t>$0.20</t>
        </is>
      </c>
      <c r="G134" t="inlineStr">
        <is>
          <t>$16.27 B</t>
        </is>
      </c>
      <c r="H134" t="inlineStr">
        <is>
          <t>-20.7%</t>
        </is>
      </c>
    </row>
    <row r="135">
      <c r="A135" s="78" t="inlineStr">
        <is>
          <t>Thursday, January 26, 2023</t>
        </is>
      </c>
      <c r="B135" t="inlineStr">
        <is>
          <t>4:05 PM ET</t>
        </is>
      </c>
      <c r="C135" t="inlineStr">
        <is>
          <t>KLAC</t>
        </is>
      </c>
      <c r="D135" t="inlineStr">
        <is>
          <t>KLA Corporation</t>
        </is>
      </c>
      <c r="E135" t="n">
        <v>58947.74</v>
      </c>
      <c r="F135" t="inlineStr">
        <is>
          <t>$7.00</t>
        </is>
      </c>
      <c r="G135" t="inlineStr">
        <is>
          <t>$2.82 B</t>
        </is>
      </c>
      <c r="H135" t="inlineStr">
        <is>
          <t>19.9%</t>
        </is>
      </c>
    </row>
    <row r="136">
      <c r="A136" s="78" t="inlineStr">
        <is>
          <t>Thursday, January 26, 2023</t>
        </is>
      </c>
      <c r="B136" t="inlineStr">
        <is>
          <t>4:05 PM ET</t>
        </is>
      </c>
      <c r="C136" t="inlineStr">
        <is>
          <t>LHX</t>
        </is>
      </c>
      <c r="D136" t="inlineStr">
        <is>
          <t>L3Harris Technologies</t>
        </is>
      </c>
      <c r="E136" t="n">
        <v>37061.9</v>
      </c>
      <c r="F136" t="inlineStr">
        <is>
          <t>$3.22</t>
        </is>
      </c>
      <c r="G136" t="inlineStr">
        <is>
          <t>$4.01 B</t>
        </is>
      </c>
      <c r="H136" t="inlineStr">
        <is>
          <t>-7.8%</t>
        </is>
      </c>
    </row>
    <row r="137">
      <c r="A137" s="78" t="inlineStr">
        <is>
          <t>Thursday, January 26, 2023</t>
        </is>
      </c>
      <c r="B137" t="inlineStr">
        <is>
          <t>7:00 AM ET</t>
        </is>
      </c>
      <c r="C137" t="inlineStr">
        <is>
          <t>MMC</t>
        </is>
      </c>
      <c r="D137" t="inlineStr">
        <is>
          <t>Marsh &amp; McLennan Companies, Inc.</t>
        </is>
      </c>
      <c r="E137" t="n">
        <v>85318.59</v>
      </c>
      <c r="F137" t="inlineStr">
        <is>
          <t>$1.41</t>
        </is>
      </c>
      <c r="G137" t="inlineStr">
        <is>
          <t>$5.15 B</t>
        </is>
      </c>
      <c r="H137" t="inlineStr">
        <is>
          <t>0.3%</t>
        </is>
      </c>
    </row>
    <row r="138">
      <c r="A138" s="78" t="inlineStr">
        <is>
          <t>Thursday, January 26, 2023</t>
        </is>
      </c>
      <c r="B138" t="inlineStr">
        <is>
          <t>8:00 AM ET</t>
        </is>
      </c>
      <c r="C138" t="inlineStr">
        <is>
          <t>MA</t>
        </is>
      </c>
      <c r="D138" t="inlineStr">
        <is>
          <t>Mastercard Inc</t>
        </is>
      </c>
      <c r="E138" t="n">
        <v>360547.41</v>
      </c>
      <c r="F138" t="inlineStr">
        <is>
          <t>$2.56</t>
        </is>
      </c>
      <c r="G138" t="inlineStr">
        <is>
          <t>$5.84 B</t>
        </is>
      </c>
      <c r="H138" t="inlineStr">
        <is>
          <t>12.0%</t>
        </is>
      </c>
    </row>
    <row r="139">
      <c r="A139" s="78" t="inlineStr">
        <is>
          <t>Thursday, January 26, 2023</t>
        </is>
      </c>
      <c r="B139" t="inlineStr">
        <is>
          <t>6:30 AM ET</t>
        </is>
      </c>
      <c r="C139" t="inlineStr">
        <is>
          <t>MKC</t>
        </is>
      </c>
      <c r="D139" t="inlineStr">
        <is>
          <t>McCormick &amp; Company, Incorporated</t>
        </is>
      </c>
      <c r="E139" t="n">
        <v>21751.59</v>
      </c>
      <c r="F139" t="inlineStr">
        <is>
          <t>$0.86</t>
        </is>
      </c>
      <c r="G139" t="inlineStr">
        <is>
          <t>$1.76 B</t>
        </is>
      </c>
      <c r="H139" t="inlineStr">
        <is>
          <t>1.7%</t>
        </is>
      </c>
    </row>
    <row r="140">
      <c r="A140" s="78" t="inlineStr">
        <is>
          <t>Thursday, January 26, 2023</t>
        </is>
      </c>
      <c r="B140" t="inlineStr">
        <is>
          <t>6:00 AM ET</t>
        </is>
      </c>
      <c r="C140" t="inlineStr">
        <is>
          <t>MUR</t>
        </is>
      </c>
      <c r="D140" t="inlineStr">
        <is>
          <t>Murphy Oil Corp.</t>
        </is>
      </c>
      <c r="E140" t="n">
        <v>6544.67</v>
      </c>
      <c r="F140" t="inlineStr">
        <is>
          <t>$1.19</t>
        </is>
      </c>
      <c r="G140" t="inlineStr">
        <is>
          <t>$839.23 M</t>
        </is>
      </c>
      <c r="H140" t="inlineStr">
        <is>
          <t>13.6%</t>
        </is>
      </c>
    </row>
    <row r="141">
      <c r="A141" s="78" t="inlineStr">
        <is>
          <t>Thursday, January 26, 2023</t>
        </is>
      </c>
      <c r="B141" t="inlineStr">
        <is>
          <t>7:00 AM ET</t>
        </is>
      </c>
      <c r="C141" t="inlineStr">
        <is>
          <t>NOC</t>
        </is>
      </c>
      <c r="D141" t="inlineStr">
        <is>
          <t>Northrop Grumman Corp.</t>
        </is>
      </c>
      <c r="E141" t="n">
        <v>70117.75999999999</v>
      </c>
      <c r="F141" t="inlineStr">
        <is>
          <t>$6.60</t>
        </is>
      </c>
      <c r="G141" t="inlineStr">
        <is>
          <t>$9.58 B</t>
        </is>
      </c>
      <c r="H141" t="inlineStr">
        <is>
          <t>10.9%</t>
        </is>
      </c>
    </row>
    <row r="142">
      <c r="A142" s="78" t="inlineStr">
        <is>
          <t>Thursday, January 26, 2023</t>
        </is>
      </c>
      <c r="B142" t="inlineStr">
        <is>
          <t>8:00 AM ET</t>
        </is>
      </c>
      <c r="C142" t="inlineStr">
        <is>
          <t>NUE</t>
        </is>
      </c>
      <c r="D142" t="inlineStr">
        <is>
          <t>Nucor Corp.</t>
        </is>
      </c>
      <c r="E142" t="n">
        <v>39797.63</v>
      </c>
      <c r="F142" t="inlineStr">
        <is>
          <t>$4.18</t>
        </is>
      </c>
      <c r="G142" t="inlineStr">
        <is>
          <t>$8.48 B</t>
        </is>
      </c>
      <c r="H142" t="inlineStr">
        <is>
          <t>-18.2%</t>
        </is>
      </c>
    </row>
    <row r="143">
      <c r="A143" s="78" t="inlineStr">
        <is>
          <t>Thursday, January 26, 2023</t>
        </is>
      </c>
      <c r="B143" t="inlineStr">
        <is>
          <t>4:05 PM ET</t>
        </is>
      </c>
      <c r="C143" t="inlineStr">
        <is>
          <t>OLN</t>
        </is>
      </c>
      <c r="D143" t="inlineStr">
        <is>
          <t>Olin Corporation</t>
        </is>
      </c>
      <c r="E143" t="n">
        <v>7589</v>
      </c>
      <c r="F143" t="inlineStr">
        <is>
          <t>$1.42</t>
        </is>
      </c>
      <c r="G143" t="inlineStr">
        <is>
          <t>$2.19 B</t>
        </is>
      </c>
      <c r="H143" t="inlineStr">
        <is>
          <t>-9.9%</t>
        </is>
      </c>
    </row>
    <row r="144">
      <c r="A144" s="78" t="inlineStr">
        <is>
          <t>Thursday, January 26, 2023</t>
        </is>
      </c>
      <c r="B144" t="inlineStr">
        <is>
          <t>4:05 PM ET</t>
        </is>
      </c>
      <c r="C144" t="inlineStr">
        <is>
          <t>RMD</t>
        </is>
      </c>
      <c r="D144" t="inlineStr">
        <is>
          <t>ResMed Inc.</t>
        </is>
      </c>
      <c r="E144" t="n">
        <v>33014.48</v>
      </c>
      <c r="F144" t="inlineStr">
        <is>
          <t>$1.60</t>
        </is>
      </c>
      <c r="G144" t="inlineStr">
        <is>
          <t>$994.02 M</t>
        </is>
      </c>
      <c r="H144" t="inlineStr">
        <is>
          <t>11.1%</t>
        </is>
      </c>
    </row>
    <row r="145">
      <c r="A145" s="78" t="inlineStr">
        <is>
          <t>Thursday, January 26, 2023</t>
        </is>
      </c>
      <c r="B145" t="inlineStr">
        <is>
          <t>7:00 AM ET</t>
        </is>
      </c>
      <c r="C145" t="inlineStr">
        <is>
          <t>ROK</t>
        </is>
      </c>
      <c r="D145" t="inlineStr">
        <is>
          <t>Rockwell Automation, Inc.</t>
        </is>
      </c>
      <c r="E145" t="n">
        <v>32407.87</v>
      </c>
      <c r="F145" t="inlineStr">
        <is>
          <t>$1.81</t>
        </is>
      </c>
      <c r="G145" t="inlineStr">
        <is>
          <t>$1.89 B</t>
        </is>
      </c>
      <c r="H145" t="inlineStr">
        <is>
          <t>1.8%</t>
        </is>
      </c>
    </row>
    <row r="146">
      <c r="A146" s="78" t="inlineStr">
        <is>
          <t>Thursday, January 26, 2023</t>
        </is>
      </c>
      <c r="B146" t="inlineStr">
        <is>
          <t>7:00 AM ET</t>
        </is>
      </c>
      <c r="C146" t="inlineStr">
        <is>
          <t>SHW</t>
        </is>
      </c>
      <c r="D146" t="inlineStr">
        <is>
          <t>Sherwin-Williams Co.</t>
        </is>
      </c>
      <c r="E146" t="n">
        <v>64215.74</v>
      </c>
      <c r="F146" t="inlineStr">
        <is>
          <t>$1.86</t>
        </is>
      </c>
      <c r="G146" t="inlineStr">
        <is>
          <t>$5.26 B</t>
        </is>
      </c>
      <c r="H146" t="inlineStr">
        <is>
          <t>10.5%</t>
        </is>
      </c>
    </row>
    <row r="147">
      <c r="A147" s="78" t="inlineStr">
        <is>
          <t>Thursday, January 26, 2023</t>
        </is>
      </c>
      <c r="B147" t="inlineStr">
        <is>
          <t>4:00 PM ET</t>
        </is>
      </c>
      <c r="C147" t="inlineStr">
        <is>
          <t>SSB</t>
        </is>
      </c>
      <c r="D147" t="inlineStr">
        <is>
          <t>South State Corporation</t>
        </is>
      </c>
      <c r="E147" t="n">
        <v>6088.95</v>
      </c>
      <c r="F147" t="inlineStr">
        <is>
          <t>$2.06</t>
        </is>
      </c>
      <c r="G147" t="inlineStr">
        <is>
          <t>$447.25 M</t>
        </is>
      </c>
      <c r="H147" t="inlineStr">
        <is>
          <t>24.5%</t>
        </is>
      </c>
    </row>
    <row r="148">
      <c r="A148" s="78" t="inlineStr">
        <is>
          <t>Thursday, January 26, 2023</t>
        </is>
      </c>
      <c r="B148" t="inlineStr">
        <is>
          <t>6:45 AM ET</t>
        </is>
      </c>
      <c r="C148" t="inlineStr">
        <is>
          <t>LUV</t>
        </is>
      </c>
      <c r="D148" t="inlineStr">
        <is>
          <t>Southwest Airlines Co.</t>
        </is>
      </c>
      <c r="E148" t="n">
        <v>21992.57</v>
      </c>
      <c r="F148" t="inlineStr">
        <is>
          <t>$0.22</t>
        </is>
      </c>
      <c r="G148" t="inlineStr">
        <is>
          <t>$6.23 B</t>
        </is>
      </c>
      <c r="H148" t="inlineStr">
        <is>
          <t>23.3%</t>
        </is>
      </c>
    </row>
    <row r="149">
      <c r="A149" s="78" t="inlineStr">
        <is>
          <t>Thursday, January 26, 2023</t>
        </is>
      </c>
      <c r="B149" t="inlineStr">
        <is>
          <t>7:00 AM ET</t>
        </is>
      </c>
      <c r="C149" t="inlineStr">
        <is>
          <t>TROW</t>
        </is>
      </c>
      <c r="D149" t="inlineStr">
        <is>
          <t>T. Rowe Price Group, Inc.</t>
        </is>
      </c>
      <c r="E149" t="n">
        <v>26511.87</v>
      </c>
      <c r="F149" t="inlineStr">
        <is>
          <t>$1.71</t>
        </is>
      </c>
      <c r="G149" t="inlineStr">
        <is>
          <t>$1.52 B</t>
        </is>
      </c>
      <c r="H149" t="inlineStr">
        <is>
          <t>-22.5%</t>
        </is>
      </c>
    </row>
    <row r="150">
      <c r="A150" s="78" t="inlineStr">
        <is>
          <t>Thursday, January 26, 2023</t>
        </is>
      </c>
      <c r="B150" t="inlineStr">
        <is>
          <t>6:05 AM ET</t>
        </is>
      </c>
      <c r="C150" t="inlineStr">
        <is>
          <t>TSCO</t>
        </is>
      </c>
      <c r="D150" t="inlineStr">
        <is>
          <t>Tractor Supply Company</t>
        </is>
      </c>
      <c r="E150" t="n">
        <v>24190.35</v>
      </c>
      <c r="F150" t="inlineStr">
        <is>
          <t>$2.35</t>
        </is>
      </c>
      <c r="G150" t="inlineStr">
        <is>
          <t>$3.88 B</t>
        </is>
      </c>
      <c r="H150" t="inlineStr">
        <is>
          <t>16.9%</t>
        </is>
      </c>
    </row>
    <row r="151">
      <c r="A151" s="78" t="inlineStr">
        <is>
          <t>Thursday, January 26, 2023</t>
        </is>
      </c>
      <c r="B151" t="inlineStr">
        <is>
          <t>6:35 AM ET</t>
        </is>
      </c>
      <c r="C151" t="inlineStr">
        <is>
          <t>VLO</t>
        </is>
      </c>
      <c r="D151" t="inlineStr">
        <is>
          <t>Valero Energy Corp.</t>
        </is>
      </c>
      <c r="E151" t="n">
        <v>53051.86</v>
      </c>
      <c r="F151" t="inlineStr">
        <is>
          <t>$7.19</t>
        </is>
      </c>
      <c r="G151" t="inlineStr">
        <is>
          <t>$44.32 B</t>
        </is>
      </c>
      <c r="H151" t="inlineStr">
        <is>
          <t>23.4%</t>
        </is>
      </c>
    </row>
    <row r="152">
      <c r="A152" s="78" t="inlineStr">
        <is>
          <t>Thursday, January 26, 2023</t>
        </is>
      </c>
      <c r="B152" t="inlineStr">
        <is>
          <t>7:00 AM ET</t>
        </is>
      </c>
      <c r="C152" t="inlineStr">
        <is>
          <t>VLY</t>
        </is>
      </c>
      <c r="D152" t="inlineStr">
        <is>
          <t>Valley National Bancorp</t>
        </is>
      </c>
      <c r="E152" t="n">
        <v>5681.32</v>
      </c>
      <c r="F152" t="inlineStr">
        <is>
          <t>$0.36</t>
        </is>
      </c>
      <c r="G152" t="inlineStr">
        <is>
          <t>$522.52 M</t>
        </is>
      </c>
      <c r="H152" t="inlineStr">
        <is>
          <t>38.2%</t>
        </is>
      </c>
    </row>
    <row r="153">
      <c r="A153" s="78" t="inlineStr">
        <is>
          <t>Thursday, January 26, 2023</t>
        </is>
      </c>
      <c r="B153" t="inlineStr">
        <is>
          <t>6:00 AM ET</t>
        </is>
      </c>
      <c r="C153" t="inlineStr">
        <is>
          <t>VIRT</t>
        </is>
      </c>
      <c r="D153" t="inlineStr">
        <is>
          <t>Virtu Financial, Inc.</t>
        </is>
      </c>
      <c r="E153" t="n">
        <v>3422.39</v>
      </c>
      <c r="F153" t="inlineStr">
        <is>
          <t>$0.49</t>
        </is>
      </c>
      <c r="G153" t="inlineStr">
        <is>
          <t>$311.53 M</t>
        </is>
      </c>
      <c r="H153" t="inlineStr">
        <is>
          <t>-55.8%</t>
        </is>
      </c>
    </row>
    <row r="154">
      <c r="A154" s="78" t="inlineStr">
        <is>
          <t>Thursday, January 26, 2023</t>
        </is>
      </c>
      <c r="B154" t="inlineStr">
        <is>
          <t>4:05 PM ET</t>
        </is>
      </c>
      <c r="C154" t="inlineStr">
        <is>
          <t>V</t>
        </is>
      </c>
      <c r="D154" t="inlineStr">
        <is>
          <t>Visa Inc</t>
        </is>
      </c>
      <c r="E154" t="n">
        <v>420019.31</v>
      </c>
      <c r="F154" t="inlineStr">
        <is>
          <t>$2.00</t>
        </is>
      </c>
      <c r="G154" t="inlineStr">
        <is>
          <t>$7.72 B</t>
        </is>
      </c>
      <c r="H154" t="inlineStr">
        <is>
          <t>9.4%</t>
        </is>
      </c>
    </row>
    <row r="155">
      <c r="A155" s="78" t="inlineStr">
        <is>
          <t>Thursday, January 26, 2023</t>
        </is>
      </c>
      <c r="B155" t="inlineStr">
        <is>
          <t>4:10 PM ET</t>
        </is>
      </c>
      <c r="C155" t="inlineStr">
        <is>
          <t>WRB</t>
        </is>
      </c>
      <c r="D155" t="inlineStr">
        <is>
          <t>W.R. Berkley Corp</t>
        </is>
      </c>
      <c r="E155" t="n">
        <v>19063.84</v>
      </c>
      <c r="F155" t="inlineStr">
        <is>
          <t>$1.08</t>
        </is>
      </c>
      <c r="G155" t="inlineStr">
        <is>
          <t>$2.91 B</t>
        </is>
      </c>
      <c r="H155" t="inlineStr">
        <is>
          <t>12.9%</t>
        </is>
      </c>
    </row>
    <row r="156">
      <c r="A156" s="78" t="inlineStr">
        <is>
          <t>Thursday, January 26, 2023</t>
        </is>
      </c>
      <c r="B156" t="inlineStr">
        <is>
          <t>7:30 AM ET</t>
        </is>
      </c>
      <c r="C156" t="inlineStr">
        <is>
          <t>WBS</t>
        </is>
      </c>
      <c r="D156" t="inlineStr">
        <is>
          <t>Webster Financial Corp.</t>
        </is>
      </c>
      <c r="E156" t="n">
        <v>8296.77</v>
      </c>
      <c r="F156" t="inlineStr">
        <is>
          <t>$1.66</t>
        </is>
      </c>
      <c r="G156" t="inlineStr">
        <is>
          <t>$593.18 M</t>
        </is>
      </c>
      <c r="H156" t="inlineStr">
        <is>
          <t>81.9%</t>
        </is>
      </c>
    </row>
    <row r="157">
      <c r="A157" s="78" t="inlineStr">
        <is>
          <t>Thursday, January 26, 2023</t>
        </is>
      </c>
      <c r="B157" t="inlineStr">
        <is>
          <t>4:15 PM ET</t>
        </is>
      </c>
      <c r="C157" t="inlineStr">
        <is>
          <t>WY</t>
        </is>
      </c>
      <c r="D157" t="inlineStr">
        <is>
          <t>Weyerhaeuser Co.</t>
        </is>
      </c>
      <c r="E157" t="n">
        <v>23335.93</v>
      </c>
      <c r="F157" t="inlineStr">
        <is>
          <t>$0.18</t>
        </is>
      </c>
      <c r="G157" t="inlineStr">
        <is>
          <t>$2.06 B</t>
        </is>
      </c>
      <c r="H157" t="inlineStr">
        <is>
          <t>-6.6%</t>
        </is>
      </c>
    </row>
    <row r="158">
      <c r="A158" s="78" t="inlineStr">
        <is>
          <t>Thursday, January 26, 2023</t>
        </is>
      </c>
      <c r="B158" t="inlineStr">
        <is>
          <t>6:00 AM ET</t>
        </is>
      </c>
      <c r="C158" t="inlineStr">
        <is>
          <t>XEL</t>
        </is>
      </c>
      <c r="D158" t="inlineStr">
        <is>
          <t>XCEL Energy, Inc.</t>
        </is>
      </c>
      <c r="E158" t="n">
        <v>38903.89</v>
      </c>
      <c r="F158" t="inlineStr">
        <is>
          <t>$0.67</t>
        </is>
      </c>
      <c r="G158" t="inlineStr">
        <is>
          <t>$3.37 B</t>
        </is>
      </c>
      <c r="H158" t="inlineStr">
        <is>
          <t>0.4%</t>
        </is>
      </c>
    </row>
    <row r="159">
      <c r="A159" s="78" t="inlineStr">
        <is>
          <t>Friday, January 27, 2023</t>
        </is>
      </c>
      <c r="B159" t="inlineStr">
        <is>
          <t>7:00 AM ET</t>
        </is>
      </c>
      <c r="C159" t="inlineStr">
        <is>
          <t>AXP</t>
        </is>
      </c>
      <c r="D159" t="inlineStr">
        <is>
          <t>American Express Co.</t>
        </is>
      </c>
      <c r="E159" t="n">
        <v>114887.03</v>
      </c>
      <c r="F159" t="inlineStr">
        <is>
          <t>$2.18</t>
        </is>
      </c>
      <c r="G159" t="inlineStr">
        <is>
          <t>$14.22 B</t>
        </is>
      </c>
      <c r="H159" t="inlineStr">
        <is>
          <t>17.1%</t>
        </is>
      </c>
    </row>
    <row r="160">
      <c r="A160" s="78" t="inlineStr">
        <is>
          <t>Friday, January 27, 2023</t>
        </is>
      </c>
      <c r="B160" t="inlineStr">
        <is>
          <t>6:50 AM ET</t>
        </is>
      </c>
      <c r="C160" t="inlineStr">
        <is>
          <t>ALV</t>
        </is>
      </c>
      <c r="D160" t="inlineStr">
        <is>
          <t>Autoliv Inc.</t>
        </is>
      </c>
      <c r="E160" t="n">
        <v>7045.92</v>
      </c>
      <c r="F160" t="inlineStr">
        <is>
          <t>$1.63</t>
        </is>
      </c>
      <c r="G160" t="inlineStr">
        <is>
          <t>$2.45 B</t>
        </is>
      </c>
      <c r="H160" t="inlineStr">
        <is>
          <t>15.6%</t>
        </is>
      </c>
    </row>
    <row r="161">
      <c r="A161" s="78" t="inlineStr">
        <is>
          <t>Friday, January 27, 2023</t>
        </is>
      </c>
      <c r="B161" t="inlineStr">
        <is>
          <t>8:30 AM ET</t>
        </is>
      </c>
      <c r="C161" t="inlineStr">
        <is>
          <t>BMI</t>
        </is>
      </c>
      <c r="D161" t="inlineStr">
        <is>
          <t>Badger Meter, Inc.</t>
        </is>
      </c>
      <c r="E161" t="n">
        <v>3407.51</v>
      </c>
      <c r="F161" t="inlineStr">
        <is>
          <t>$0.60</t>
        </is>
      </c>
      <c r="G161" t="inlineStr">
        <is>
          <t>$143.58 M</t>
        </is>
      </c>
      <c r="H161" t="inlineStr">
        <is>
          <t>5.8%</t>
        </is>
      </c>
    </row>
    <row r="162">
      <c r="A162" s="78" t="inlineStr">
        <is>
          <t>Friday, January 27, 2023</t>
        </is>
      </c>
      <c r="B162" t="inlineStr">
        <is>
          <t>6:45 AM ET</t>
        </is>
      </c>
      <c r="C162" t="inlineStr">
        <is>
          <t>BAH</t>
        </is>
      </c>
      <c r="D162" t="inlineStr">
        <is>
          <t>Booz Allen Hamilton Holding Corporation</t>
        </is>
      </c>
      <c r="E162" t="n">
        <v>12548.26</v>
      </c>
      <c r="F162" t="inlineStr">
        <is>
          <t>$1.03</t>
        </is>
      </c>
      <c r="G162" t="inlineStr">
        <is>
          <t>$2.22 B</t>
        </is>
      </c>
      <c r="H162" t="inlineStr">
        <is>
          <t>9.3%</t>
        </is>
      </c>
    </row>
    <row r="163">
      <c r="A163" s="78" t="inlineStr">
        <is>
          <t>Friday, January 27, 2023</t>
        </is>
      </c>
      <c r="B163" t="inlineStr">
        <is>
          <t>7:00 AM ET</t>
        </is>
      </c>
      <c r="C163" t="inlineStr">
        <is>
          <t>CHTR</t>
        </is>
      </c>
      <c r="D163" t="inlineStr">
        <is>
          <t>Charter Communications Inc.</t>
        </is>
      </c>
      <c r="E163" t="n">
        <v>60455.33</v>
      </c>
      <c r="F163" t="inlineStr">
        <is>
          <t>$8.03</t>
        </is>
      </c>
      <c r="G163" t="inlineStr">
        <is>
          <t>$13.73 B</t>
        </is>
      </c>
      <c r="H163" t="inlineStr">
        <is>
          <t>3.9%</t>
        </is>
      </c>
    </row>
    <row r="164">
      <c r="A164" s="78" t="inlineStr">
        <is>
          <t>Friday, January 27, 2023</t>
        </is>
      </c>
      <c r="B164" t="inlineStr">
        <is>
          <t>6:15 AM ET</t>
        </is>
      </c>
      <c r="C164" t="inlineStr">
        <is>
          <t>CVX</t>
        </is>
      </c>
      <c r="D164" t="inlineStr">
        <is>
          <t>Chevron Corporation</t>
        </is>
      </c>
      <c r="E164" t="n">
        <v>349002.44</v>
      </c>
      <c r="F164" t="inlineStr">
        <is>
          <t>$4.27</t>
        </is>
      </c>
      <c r="G164" t="inlineStr">
        <is>
          <t>$53.56 B</t>
        </is>
      </c>
      <c r="H164" t="inlineStr">
        <is>
          <t>11.3%</t>
        </is>
      </c>
    </row>
    <row r="165">
      <c r="A165" s="78" t="inlineStr">
        <is>
          <t>Friday, January 27, 2023</t>
        </is>
      </c>
      <c r="B165" t="inlineStr">
        <is>
          <t>6:55 AM ET</t>
        </is>
      </c>
      <c r="C165" t="inlineStr">
        <is>
          <t>CHD</t>
        </is>
      </c>
      <c r="D165" t="inlineStr">
        <is>
          <t>Church &amp; Dwight Co., Inc.</t>
        </is>
      </c>
      <c r="E165" t="n">
        <v>20660.53</v>
      </c>
      <c r="F165" t="inlineStr">
        <is>
          <t>$0.60</t>
        </is>
      </c>
      <c r="G165" t="inlineStr">
        <is>
          <t>$1.40 B</t>
        </is>
      </c>
      <c r="H165" t="inlineStr">
        <is>
          <t>2.3%</t>
        </is>
      </c>
    </row>
    <row r="166">
      <c r="A166" s="78" t="inlineStr">
        <is>
          <t>Friday, January 27, 2023</t>
        </is>
      </c>
      <c r="B166" t="inlineStr">
        <is>
          <t>6:55 AM ET</t>
        </is>
      </c>
      <c r="C166" t="inlineStr">
        <is>
          <t>CL</t>
        </is>
      </c>
      <c r="D166" t="inlineStr">
        <is>
          <t>Colgate-Palmolive Co.</t>
        </is>
      </c>
      <c r="E166" t="n">
        <v>65338.81</v>
      </c>
      <c r="F166" t="inlineStr">
        <is>
          <t>$0.76</t>
        </is>
      </c>
      <c r="G166" t="inlineStr">
        <is>
          <t>$4.56 B</t>
        </is>
      </c>
      <c r="H166" t="inlineStr">
        <is>
          <t>3.6%</t>
        </is>
      </c>
    </row>
    <row r="167">
      <c r="A167" s="78" t="inlineStr">
        <is>
          <t>Friday, January 27, 2023</t>
        </is>
      </c>
      <c r="B167" t="inlineStr">
        <is>
          <t>9:10 AM ET</t>
        </is>
      </c>
      <c r="C167" t="inlineStr">
        <is>
          <t>RDY</t>
        </is>
      </c>
      <c r="D167" t="inlineStr">
        <is>
          <t>Dr. Reddys Laboratories Ltd.</t>
        </is>
      </c>
      <c r="E167" t="n">
        <v>8957.309999999999</v>
      </c>
      <c r="F167" t="inlineStr">
        <is>
          <t>$0.60</t>
        </is>
      </c>
      <c r="G167" t="inlineStr">
        <is>
          <t>$769.25 M</t>
        </is>
      </c>
      <c r="H167" t="inlineStr">
        <is>
          <t>7.6%</t>
        </is>
      </c>
    </row>
    <row r="168">
      <c r="A168" s="78" t="inlineStr">
        <is>
          <t>Friday, January 27, 2023</t>
        </is>
      </c>
      <c r="B168" t="inlineStr">
        <is>
          <t>8:00 AM ET</t>
        </is>
      </c>
      <c r="C168" t="inlineStr">
        <is>
          <t>FHB</t>
        </is>
      </c>
      <c r="D168" t="inlineStr">
        <is>
          <t>First Hawaiian, Inc</t>
        </is>
      </c>
      <c r="E168" t="n">
        <v>3415.46</v>
      </c>
      <c r="F168" t="inlineStr">
        <is>
          <t>$0.57</t>
        </is>
      </c>
      <c r="G168" t="inlineStr">
        <is>
          <t>$219.63 M</t>
        </is>
      </c>
      <c r="H168" t="inlineStr">
        <is>
          <t>20.1%</t>
        </is>
      </c>
    </row>
    <row r="169">
      <c r="A169" s="78" t="inlineStr">
        <is>
          <t>Friday, January 27, 2023</t>
        </is>
      </c>
      <c r="B169" t="inlineStr">
        <is>
          <t>9:25 AM ET</t>
        </is>
      </c>
      <c r="C169" t="inlineStr">
        <is>
          <t>FMX</t>
        </is>
      </c>
      <c r="D169" t="inlineStr">
        <is>
          <t>Fomento Economico Mexicano S.A</t>
        </is>
      </c>
      <c r="E169" t="n">
        <v>30833.58</v>
      </c>
      <c r="F169" t="inlineStr">
        <is>
          <t>$1.25</t>
        </is>
      </c>
      <c r="G169" t="inlineStr">
        <is>
          <t>$9.11 B</t>
        </is>
      </c>
      <c r="H169" t="inlineStr">
        <is>
          <t>24.7%</t>
        </is>
      </c>
    </row>
    <row r="170">
      <c r="A170" s="78" t="inlineStr">
        <is>
          <t>Friday, January 27, 2023</t>
        </is>
      </c>
      <c r="B170" t="inlineStr">
        <is>
          <t>8:00 AM ET</t>
        </is>
      </c>
      <c r="C170" t="inlineStr">
        <is>
          <t>GNTX</t>
        </is>
      </c>
      <c r="D170" t="inlineStr">
        <is>
          <t>Gentex Corp.</t>
        </is>
      </c>
      <c r="E170" t="n">
        <v>6664.48</v>
      </c>
      <c r="F170" t="inlineStr">
        <is>
          <t>$0.39</t>
        </is>
      </c>
      <c r="G170" t="inlineStr">
        <is>
          <t>$496.44 M</t>
        </is>
      </c>
      <c r="H170" t="inlineStr">
        <is>
          <t>18.2%</t>
        </is>
      </c>
    </row>
    <row r="171">
      <c r="A171" s="78" t="inlineStr">
        <is>
          <t>Friday, January 27, 2023</t>
        </is>
      </c>
      <c r="B171" t="inlineStr">
        <is>
          <t>6:30 AM ET</t>
        </is>
      </c>
      <c r="C171" t="inlineStr">
        <is>
          <t>HCA</t>
        </is>
      </c>
      <c r="D171" t="inlineStr">
        <is>
          <t>HCA Healthcare, Inc.</t>
        </is>
      </c>
      <c r="E171" t="n">
        <v>73031.38</v>
      </c>
      <c r="F171" t="inlineStr">
        <is>
          <t>$4.76</t>
        </is>
      </c>
      <c r="G171" t="inlineStr">
        <is>
          <t>$15.59 B</t>
        </is>
      </c>
      <c r="H171" t="inlineStr">
        <is>
          <t>3.5%</t>
        </is>
      </c>
    </row>
    <row r="172">
      <c r="A172" s="78" t="inlineStr">
        <is>
          <t>Friday, January 27, 2023</t>
        </is>
      </c>
      <c r="B172" t="inlineStr">
        <is>
          <t>6:30 AM ET</t>
        </is>
      </c>
      <c r="C172" t="inlineStr">
        <is>
          <t>LYB</t>
        </is>
      </c>
      <c r="D172" t="inlineStr">
        <is>
          <t>LyondellBasell Industries</t>
        </is>
      </c>
      <c r="E172" t="n">
        <v>29823.94</v>
      </c>
      <c r="F172" t="inlineStr">
        <is>
          <t>$1.09</t>
        </is>
      </c>
      <c r="G172" t="inlineStr">
        <is>
          <t>$10.60 B</t>
        </is>
      </c>
      <c r="H172" t="inlineStr">
        <is>
          <t>-17.4%</t>
        </is>
      </c>
    </row>
    <row r="173">
      <c r="A173" s="78" t="inlineStr">
        <is>
          <t>Friday, January 27, 2023</t>
        </is>
      </c>
      <c r="B173" t="inlineStr">
        <is>
          <t>6:55 AM ET</t>
        </is>
      </c>
      <c r="C173" t="inlineStr">
        <is>
          <t>ROP</t>
        </is>
      </c>
      <c r="D173" t="inlineStr">
        <is>
          <t>Roper Technologies, Inc.</t>
        </is>
      </c>
      <c r="E173" t="n">
        <v>47199.53</v>
      </c>
      <c r="F173" t="inlineStr">
        <is>
          <t>$3.77</t>
        </is>
      </c>
      <c r="G173" t="inlineStr">
        <is>
          <t>$1.43 B</t>
        </is>
      </c>
      <c r="H173" t="inlineStr">
        <is>
          <t>-5.4%</t>
        </is>
      </c>
    </row>
    <row r="174">
      <c r="A174" s="78" t="inlineStr">
        <is>
          <t>Monday, January 30, 2023</t>
        </is>
      </c>
      <c r="B174" t="inlineStr">
        <is>
          <t>4:05 PM ET</t>
        </is>
      </c>
      <c r="C174" t="inlineStr">
        <is>
          <t>ACHC</t>
        </is>
      </c>
      <c r="D174" t="inlineStr">
        <is>
          <t>Acadia Healthcare Company, Inc.</t>
        </is>
      </c>
      <c r="E174" t="n">
        <v>7689.35</v>
      </c>
      <c r="F174" t="inlineStr">
        <is>
          <t>$0.74</t>
        </is>
      </c>
      <c r="G174" t="inlineStr">
        <is>
          <t>$660.46 M</t>
        </is>
      </c>
      <c r="H174" t="inlineStr">
        <is>
          <t>11.3%</t>
        </is>
      </c>
    </row>
    <row r="175">
      <c r="A175" s="78" t="inlineStr">
        <is>
          <t>Monday, January 30, 2023</t>
        </is>
      </c>
      <c r="B175" t="inlineStr">
        <is>
          <t>4:00 PM ET</t>
        </is>
      </c>
      <c r="C175" t="inlineStr">
        <is>
          <t>AGNC</t>
        </is>
      </c>
      <c r="D175" t="inlineStr">
        <is>
          <t>AGNC Investment Corp.</t>
        </is>
      </c>
      <c r="E175" t="n">
        <v>6407.88</v>
      </c>
      <c r="F175" t="inlineStr">
        <is>
          <t>$0.66</t>
        </is>
      </c>
      <c r="G175" t="inlineStr">
        <is>
          <t>$398.75 M</t>
        </is>
      </c>
      <c r="H175" t="inlineStr">
        <is>
          <t>61.4%</t>
        </is>
      </c>
    </row>
    <row r="176">
      <c r="A176" s="78" t="inlineStr">
        <is>
          <t>Monday, January 30, 2023</t>
        </is>
      </c>
      <c r="B176" t="inlineStr">
        <is>
          <t>4:10 PM ET</t>
        </is>
      </c>
      <c r="C176" t="inlineStr">
        <is>
          <t>ARE</t>
        </is>
      </c>
      <c r="D176" t="inlineStr">
        <is>
          <t>Alexandria Real Estate Equities, Inc.</t>
        </is>
      </c>
      <c r="E176" t="n">
        <v>25623.87</v>
      </c>
      <c r="F176" t="inlineStr">
        <is>
          <t>$2.13</t>
        </is>
      </c>
      <c r="G176" t="inlineStr">
        <is>
          <t>$507.42 M</t>
        </is>
      </c>
      <c r="H176" t="inlineStr">
        <is>
          <t>-12.0%</t>
        </is>
      </c>
    </row>
    <row r="177">
      <c r="A177" s="78" t="inlineStr">
        <is>
          <t>Monday, January 30, 2023</t>
        </is>
      </c>
      <c r="B177" t="inlineStr">
        <is>
          <t>4:15 PM ET</t>
        </is>
      </c>
      <c r="C177" t="inlineStr">
        <is>
          <t>CIVI</t>
        </is>
      </c>
      <c r="D177" t="inlineStr">
        <is>
          <t>Civitas Solutions Inc.</t>
        </is>
      </c>
      <c r="E177" t="n">
        <v>5140.69</v>
      </c>
      <c r="F177" t="inlineStr">
        <is>
          <t>$2.55</t>
        </is>
      </c>
      <c r="G177" t="inlineStr">
        <is>
          <t>$843.20 M</t>
        </is>
      </c>
      <c r="H177" t="inlineStr">
        <is>
          <t>65.2%</t>
        </is>
      </c>
    </row>
    <row r="178">
      <c r="A178" s="78" t="inlineStr">
        <is>
          <t>Monday, January 30, 2023</t>
        </is>
      </c>
      <c r="B178" t="inlineStr">
        <is>
          <t>4:00 PM ET</t>
        </is>
      </c>
      <c r="C178" t="inlineStr">
        <is>
          <t>CFLT</t>
        </is>
      </c>
      <c r="D178" t="inlineStr">
        <is>
          <t>Confluent Inc</t>
        </is>
      </c>
      <c r="E178" t="n">
        <v>6123.27</v>
      </c>
      <c r="F178" t="inlineStr">
        <is>
          <t>($0.41)</t>
        </is>
      </c>
      <c r="G178" t="inlineStr">
        <is>
          <t>$162.48 M</t>
        </is>
      </c>
      <c r="H178" t="inlineStr">
        <is>
          <t>35.5%</t>
        </is>
      </c>
    </row>
    <row r="179">
      <c r="A179" s="78" t="inlineStr">
        <is>
          <t>Monday, January 30, 2023</t>
        </is>
      </c>
      <c r="B179" t="inlineStr">
        <is>
          <t>4:00 PM ET</t>
        </is>
      </c>
      <c r="C179" t="inlineStr">
        <is>
          <t>CACC</t>
        </is>
      </c>
      <c r="D179" t="inlineStr">
        <is>
          <t>Credit Acceptance Corp.</t>
        </is>
      </c>
      <c r="E179" t="n">
        <v>5121.42</v>
      </c>
      <c r="F179" t="inlineStr">
        <is>
          <t>$9.28</t>
        </is>
      </c>
      <c r="G179" t="inlineStr">
        <is>
          <t>$450.15 M</t>
        </is>
      </c>
      <c r="H179" t="inlineStr">
        <is>
          <t>-2.8%</t>
        </is>
      </c>
    </row>
    <row r="180">
      <c r="A180" s="78" t="inlineStr">
        <is>
          <t>Monday, January 30, 2023</t>
        </is>
      </c>
      <c r="B180" t="inlineStr">
        <is>
          <t>4:15 PM ET</t>
        </is>
      </c>
      <c r="C180" t="inlineStr">
        <is>
          <t>ELS</t>
        </is>
      </c>
      <c r="D180" t="inlineStr">
        <is>
          <t>Equity LifeStyle Properties, Inc.</t>
        </is>
      </c>
      <c r="E180" t="n">
        <v>12676.02</v>
      </c>
      <c r="F180" t="inlineStr">
        <is>
          <t>$0.60</t>
        </is>
      </c>
      <c r="G180" t="inlineStr">
        <is>
          <t>$333.76 M</t>
        </is>
      </c>
      <c r="H180" t="inlineStr">
        <is>
          <t>2.6%</t>
        </is>
      </c>
    </row>
    <row r="181">
      <c r="A181" s="78" t="inlineStr">
        <is>
          <t>Monday, January 30, 2023</t>
        </is>
      </c>
      <c r="B181" t="inlineStr">
        <is>
          <t>4:15 PM ET</t>
        </is>
      </c>
      <c r="C181" t="inlineStr">
        <is>
          <t>FN</t>
        </is>
      </c>
      <c r="D181" t="inlineStr">
        <is>
          <t>Fabrinet</t>
        </is>
      </c>
      <c r="E181" t="n">
        <v>5042.48</v>
      </c>
      <c r="F181" t="inlineStr">
        <is>
          <t>$1.70</t>
        </is>
      </c>
      <c r="G181" t="inlineStr">
        <is>
          <t>$634.33 M</t>
        </is>
      </c>
      <c r="H181" t="inlineStr">
        <is>
          <t>11.9%</t>
        </is>
      </c>
    </row>
    <row r="182">
      <c r="A182" s="78" t="inlineStr">
        <is>
          <t>Monday, January 30, 2023</t>
        </is>
      </c>
      <c r="B182" t="inlineStr">
        <is>
          <t>8:30 AM ET</t>
        </is>
      </c>
      <c r="C182" t="inlineStr">
        <is>
          <t>BEN</t>
        </is>
      </c>
      <c r="D182" t="inlineStr">
        <is>
          <t>Franklin Resources Inc.</t>
        </is>
      </c>
      <c r="E182" t="n">
        <v>14897.69</v>
      </c>
      <c r="F182" t="inlineStr">
        <is>
          <t>$0.54</t>
        </is>
      </c>
      <c r="G182" t="inlineStr">
        <is>
          <t>$1.86 B</t>
        </is>
      </c>
      <c r="H182" t="inlineStr">
        <is>
          <t>-16.4%</t>
        </is>
      </c>
    </row>
    <row r="183">
      <c r="A183" s="78" t="inlineStr">
        <is>
          <t>Monday, January 30, 2023</t>
        </is>
      </c>
      <c r="B183" t="inlineStr">
        <is>
          <t>8:30 AM ET</t>
        </is>
      </c>
      <c r="C183" t="inlineStr">
        <is>
          <t>GEHC</t>
        </is>
      </c>
      <c r="D183" t="inlineStr">
        <is>
          <t>GE HealthCare</t>
        </is>
      </c>
      <c r="E183" t="n">
        <v>28796.79</v>
      </c>
      <c r="F183" t="inlineStr">
        <is>
          <t>-</t>
        </is>
      </c>
      <c r="G183" t="inlineStr">
        <is>
          <t>-</t>
        </is>
      </c>
      <c r="H183" t="inlineStr">
        <is>
          <t>-</t>
        </is>
      </c>
    </row>
    <row r="184">
      <c r="A184" s="78" t="inlineStr">
        <is>
          <t>Monday, January 30, 2023</t>
        </is>
      </c>
      <c r="B184" t="inlineStr">
        <is>
          <t>4:10 PM ET</t>
        </is>
      </c>
      <c r="C184" t="inlineStr">
        <is>
          <t>GGG</t>
        </is>
      </c>
      <c r="D184" t="inlineStr">
        <is>
          <t>Graco Inc.</t>
        </is>
      </c>
      <c r="E184" t="n">
        <v>11706.02</v>
      </c>
      <c r="F184" t="inlineStr">
        <is>
          <t>$0.68</t>
        </is>
      </c>
      <c r="G184" t="inlineStr">
        <is>
          <t>$551.04 M</t>
        </is>
      </c>
      <c r="H184" t="inlineStr">
        <is>
          <t>2.1%</t>
        </is>
      </c>
    </row>
    <row r="185">
      <c r="A185" s="78" t="inlineStr">
        <is>
          <t>Monday, January 30, 2023</t>
        </is>
      </c>
      <c r="B185" t="inlineStr">
        <is>
          <t>4:15 PM ET</t>
        </is>
      </c>
      <c r="C185" t="inlineStr">
        <is>
          <t>HP</t>
        </is>
      </c>
      <c r="D185" t="inlineStr">
        <is>
          <t>Helmerich &amp; Payne, Inc.</t>
        </is>
      </c>
      <c r="E185" t="n">
        <v>5250.74</v>
      </c>
      <c r="F185" t="inlineStr">
        <is>
          <t>$0.81</t>
        </is>
      </c>
      <c r="G185" t="inlineStr">
        <is>
          <t>$692.55 M</t>
        </is>
      </c>
      <c r="H185" t="inlineStr">
        <is>
          <t>69.0%</t>
        </is>
      </c>
    </row>
    <row r="186">
      <c r="A186" s="78" t="inlineStr">
        <is>
          <t>Monday, January 30, 2023</t>
        </is>
      </c>
      <c r="B186" t="inlineStr">
        <is>
          <t>4:05 PM ET</t>
        </is>
      </c>
      <c r="C186" t="inlineStr">
        <is>
          <t>KMPR</t>
        </is>
      </c>
      <c r="D186" t="inlineStr">
        <is>
          <t>Kemper Corporation</t>
        </is>
      </c>
      <c r="E186" t="n">
        <v>3486.85</v>
      </c>
      <c r="F186" t="inlineStr">
        <is>
          <t>($0.09)</t>
        </is>
      </c>
      <c r="G186" t="inlineStr">
        <is>
          <t>$1.38 B</t>
        </is>
      </c>
      <c r="H186" t="inlineStr">
        <is>
          <t>-7.6%</t>
        </is>
      </c>
    </row>
    <row r="187">
      <c r="A187" s="78" t="inlineStr">
        <is>
          <t>Monday, January 30, 2023</t>
        </is>
      </c>
      <c r="B187" t="inlineStr">
        <is>
          <t>4:00 PM ET</t>
        </is>
      </c>
      <c r="C187" t="inlineStr">
        <is>
          <t>NXPI</t>
        </is>
      </c>
      <c r="D187" t="inlineStr">
        <is>
          <t>NXP Semiconductors N.V.</t>
        </is>
      </c>
      <c r="E187" t="n">
        <v>44138.44</v>
      </c>
      <c r="F187" t="inlineStr">
        <is>
          <t>$3.28</t>
        </is>
      </c>
      <c r="G187" t="inlineStr">
        <is>
          <t>$3.29 B</t>
        </is>
      </c>
      <c r="H187" t="inlineStr">
        <is>
          <t>8.3%</t>
        </is>
      </c>
    </row>
    <row r="188">
      <c r="A188" s="78" t="inlineStr">
        <is>
          <t>Monday, January 30, 2023</t>
        </is>
      </c>
      <c r="B188" t="inlineStr">
        <is>
          <t>4:10 PM ET</t>
        </is>
      </c>
      <c r="C188" t="inlineStr">
        <is>
          <t>PCH</t>
        </is>
      </c>
      <c r="D188" t="inlineStr">
        <is>
          <t>PotlatchDeltic Corporation</t>
        </is>
      </c>
      <c r="E188" t="n">
        <v>3556.59</v>
      </c>
      <c r="F188" t="inlineStr">
        <is>
          <t>$0.19</t>
        </is>
      </c>
      <c r="G188" t="inlineStr">
        <is>
          <t>$254.00 M</t>
        </is>
      </c>
      <c r="H188" t="inlineStr">
        <is>
          <t>2.3%</t>
        </is>
      </c>
    </row>
    <row r="189">
      <c r="A189" s="78" t="inlineStr">
        <is>
          <t>Monday, January 30, 2023</t>
        </is>
      </c>
      <c r="B189" t="inlineStr">
        <is>
          <t>4:15 PM ET</t>
        </is>
      </c>
      <c r="C189" t="inlineStr">
        <is>
          <t>PFG</t>
        </is>
      </c>
      <c r="D189" t="inlineStr">
        <is>
          <t>Principal Financial Group, Inc.</t>
        </is>
      </c>
      <c r="E189" t="n">
        <v>21859.96</v>
      </c>
      <c r="F189" t="inlineStr">
        <is>
          <t>$1.51</t>
        </is>
      </c>
      <c r="G189" t="inlineStr">
        <is>
          <t>$3.16 B</t>
        </is>
      </c>
      <c r="H189" t="inlineStr">
        <is>
          <t>-22.8%</t>
        </is>
      </c>
    </row>
    <row r="190">
      <c r="A190" s="78" t="inlineStr">
        <is>
          <t>Monday, January 30, 2023</t>
        </is>
      </c>
      <c r="B190" t="inlineStr">
        <is>
          <t>5:00 AM ET</t>
        </is>
      </c>
      <c r="C190" t="inlineStr">
        <is>
          <t>PHG</t>
        </is>
      </c>
      <c r="D190" t="inlineStr">
        <is>
          <t>Royal Philips</t>
        </is>
      </c>
      <c r="E190" t="n">
        <v>14833.78</v>
      </c>
      <c r="F190" t="inlineStr">
        <is>
          <t>$0.06</t>
        </is>
      </c>
      <c r="G190" t="inlineStr">
        <is>
          <t>$4.82 B</t>
        </is>
      </c>
      <c r="H190" t="inlineStr">
        <is>
          <t>-14.8%</t>
        </is>
      </c>
    </row>
    <row r="191">
      <c r="A191" s="78" t="inlineStr">
        <is>
          <t>Monday, January 30, 2023</t>
        </is>
      </c>
      <c r="B191" t="inlineStr">
        <is>
          <t>4:00 PM ET</t>
        </is>
      </c>
      <c r="C191" t="inlineStr">
        <is>
          <t>SANM</t>
        </is>
      </c>
      <c r="D191" t="inlineStr">
        <is>
          <t>Sanmina Corporation</t>
        </is>
      </c>
      <c r="E191" t="n">
        <v>3499.77</v>
      </c>
      <c r="F191" t="inlineStr">
        <is>
          <t>$1.27</t>
        </is>
      </c>
      <c r="G191" t="inlineStr">
        <is>
          <t>-</t>
        </is>
      </c>
      <c r="H191" t="inlineStr">
        <is>
          <t>-</t>
        </is>
      </c>
    </row>
    <row r="192">
      <c r="A192" s="78" t="inlineStr">
        <is>
          <t>Monday, January 30, 2023</t>
        </is>
      </c>
      <c r="B192" t="inlineStr">
        <is>
          <t>4:00 PM ET</t>
        </is>
      </c>
      <c r="C192" t="inlineStr">
        <is>
          <t>SBAC</t>
        </is>
      </c>
      <c r="D192" t="inlineStr">
        <is>
          <t>SBA Communications Corporation</t>
        </is>
      </c>
      <c r="E192" t="n">
        <v>32694.13</v>
      </c>
      <c r="F192" t="inlineStr">
        <is>
          <t>$2.88</t>
        </is>
      </c>
      <c r="G192" t="inlineStr">
        <is>
          <t>$678.92 M</t>
        </is>
      </c>
      <c r="H192" t="inlineStr">
        <is>
          <t>14.1%</t>
        </is>
      </c>
    </row>
    <row r="193">
      <c r="A193" s="78" t="inlineStr">
        <is>
          <t>Monday, January 30, 2023</t>
        </is>
      </c>
      <c r="B193" t="inlineStr">
        <is>
          <t>7:00 AM ET</t>
        </is>
      </c>
      <c r="C193" t="inlineStr">
        <is>
          <t>SOFI</t>
        </is>
      </c>
      <c r="D193" t="inlineStr">
        <is>
          <t>SoFi</t>
        </is>
      </c>
      <c r="E193" t="n">
        <v>5233.57</v>
      </c>
      <c r="F193" t="inlineStr">
        <is>
          <t>($0.09)</t>
        </is>
      </c>
      <c r="G193" t="inlineStr">
        <is>
          <t>$419.20 M</t>
        </is>
      </c>
      <c r="H193" t="inlineStr">
        <is>
          <t>46.8%</t>
        </is>
      </c>
    </row>
    <row r="194">
      <c r="A194" s="78" t="inlineStr">
        <is>
          <t>Monday, January 30, 2023</t>
        </is>
      </c>
      <c r="B194" t="inlineStr">
        <is>
          <t>4:05 PM ET</t>
        </is>
      </c>
      <c r="C194" t="inlineStr">
        <is>
          <t>TREX</t>
        </is>
      </c>
      <c r="D194" t="inlineStr">
        <is>
          <t>Trex Company, Inc.</t>
        </is>
      </c>
      <c r="E194" t="n">
        <v>5572.52</v>
      </c>
      <c r="F194" t="inlineStr">
        <is>
          <t>$0.22</t>
        </is>
      </c>
      <c r="G194" t="inlineStr">
        <is>
          <t>$185.59 M</t>
        </is>
      </c>
      <c r="H194" t="inlineStr">
        <is>
          <t>-38.9%</t>
        </is>
      </c>
    </row>
    <row r="195">
      <c r="A195" s="78" t="inlineStr">
        <is>
          <t>Monday, January 30, 2023</t>
        </is>
      </c>
      <c r="B195" t="inlineStr">
        <is>
          <t>4:05 PM ET</t>
        </is>
      </c>
      <c r="C195" t="inlineStr">
        <is>
          <t>WWD</t>
        </is>
      </c>
      <c r="D195" t="inlineStr">
        <is>
          <t>Woodward, Inc.</t>
        </is>
      </c>
      <c r="E195" t="n">
        <v>6443.46</v>
      </c>
      <c r="F195" t="inlineStr">
        <is>
          <t>$0.60</t>
        </is>
      </c>
      <c r="G195" t="inlineStr">
        <is>
          <t>$599.27 M</t>
        </is>
      </c>
      <c r="H195" t="inlineStr">
        <is>
          <t>10.7%</t>
        </is>
      </c>
    </row>
    <row r="196">
      <c r="A196" s="78" t="inlineStr">
        <is>
          <t>Tuesday, January 31, 2023</t>
        </is>
      </c>
      <c r="B196" t="inlineStr">
        <is>
          <t>6:55 AM ET</t>
        </is>
      </c>
      <c r="C196" t="inlineStr">
        <is>
          <t>AOS</t>
        </is>
      </c>
      <c r="D196" t="inlineStr">
        <is>
          <t>A.O. Smith Corp.</t>
        </is>
      </c>
      <c r="E196" t="n">
        <v>9171.110000000001</v>
      </c>
      <c r="F196" t="inlineStr">
        <is>
          <t>$0.80</t>
        </is>
      </c>
      <c r="G196" t="inlineStr">
        <is>
          <t>$934.33 M</t>
        </is>
      </c>
      <c r="H196" t="inlineStr">
        <is>
          <t>-6.1%</t>
        </is>
      </c>
    </row>
    <row r="197">
      <c r="A197" s="78" t="inlineStr">
        <is>
          <t>Tuesday, January 31, 2023</t>
        </is>
      </c>
      <c r="B197" t="inlineStr">
        <is>
          <t>4:15 PM ET</t>
        </is>
      </c>
      <c r="C197" t="inlineStr">
        <is>
          <t>AMD</t>
        </is>
      </c>
      <c r="D197" t="inlineStr">
        <is>
          <t>Advanced Micro Devices, Inc.</t>
        </is>
      </c>
      <c r="E197" t="n">
        <v>115428.58</v>
      </c>
      <c r="F197" t="inlineStr">
        <is>
          <t>$0.67</t>
        </is>
      </c>
      <c r="G197" t="inlineStr">
        <is>
          <t>$5.52 B</t>
        </is>
      </c>
      <c r="H197" t="inlineStr">
        <is>
          <t>14.4%</t>
        </is>
      </c>
    </row>
    <row r="198">
      <c r="A198" s="78" t="inlineStr">
        <is>
          <t>Tuesday, January 31, 2023</t>
        </is>
      </c>
      <c r="B198" t="inlineStr">
        <is>
          <t>7:00 AM ET</t>
        </is>
      </c>
      <c r="C198" t="inlineStr">
        <is>
          <t>ALGM</t>
        </is>
      </c>
      <c r="D198" t="inlineStr">
        <is>
          <t>Allegro MicroSystems, Inc.</t>
        </is>
      </c>
      <c r="E198" t="n">
        <v>6487.26</v>
      </c>
      <c r="F198" t="inlineStr">
        <is>
          <t>$0.28</t>
        </is>
      </c>
      <c r="G198" t="inlineStr">
        <is>
          <t>$245.25 M</t>
        </is>
      </c>
      <c r="H198" t="inlineStr">
        <is>
          <t>66.6%</t>
        </is>
      </c>
    </row>
    <row r="199">
      <c r="A199" s="78" t="inlineStr">
        <is>
          <t>Tuesday, January 31, 2023</t>
        </is>
      </c>
      <c r="B199" t="inlineStr">
        <is>
          <t>5:15 PM ET</t>
        </is>
      </c>
      <c r="C199" t="inlineStr">
        <is>
          <t>AMCR</t>
        </is>
      </c>
      <c r="D199" t="inlineStr">
        <is>
          <t>Amcor plc</t>
        </is>
      </c>
      <c r="E199" t="n">
        <v>18091.59</v>
      </c>
      <c r="F199" t="inlineStr">
        <is>
          <t>$0.18</t>
        </is>
      </c>
      <c r="G199" t="inlineStr">
        <is>
          <t>$3.51 B</t>
        </is>
      </c>
      <c r="H199" t="inlineStr">
        <is>
          <t>0.1%</t>
        </is>
      </c>
    </row>
    <row r="200">
      <c r="A200" s="78" t="inlineStr">
        <is>
          <t>Tuesday, January 31, 2023</t>
        </is>
      </c>
      <c r="B200" t="inlineStr">
        <is>
          <t>4:00 PM ET</t>
        </is>
      </c>
      <c r="C200" t="inlineStr">
        <is>
          <t>DOX</t>
        </is>
      </c>
      <c r="D200" t="inlineStr">
        <is>
          <t>Amdocs, Ltd.</t>
        </is>
      </c>
      <c r="E200" t="n">
        <v>10916.99</v>
      </c>
      <c r="F200" t="inlineStr">
        <is>
          <t>$1.19</t>
        </is>
      </c>
      <c r="G200" t="inlineStr">
        <is>
          <t>$1.18 B</t>
        </is>
      </c>
      <c r="H200" t="inlineStr">
        <is>
          <t>6.8%</t>
        </is>
      </c>
    </row>
    <row r="201">
      <c r="A201" s="78" t="inlineStr">
        <is>
          <t>Tuesday, January 31, 2023</t>
        </is>
      </c>
      <c r="B201" t="inlineStr">
        <is>
          <t>4:05 PM ET</t>
        </is>
      </c>
      <c r="C201" t="inlineStr">
        <is>
          <t>AMRC</t>
        </is>
      </c>
      <c r="D201" t="inlineStr">
        <is>
          <t>Ameresco, Inc.</t>
        </is>
      </c>
      <c r="E201" t="n">
        <v>3161.57</v>
      </c>
      <c r="F201" t="inlineStr">
        <is>
          <t>$0.39</t>
        </is>
      </c>
      <c r="G201" t="inlineStr">
        <is>
          <t>$368.97 M</t>
        </is>
      </c>
      <c r="H201" t="inlineStr">
        <is>
          <t>-11.3%</t>
        </is>
      </c>
    </row>
    <row r="202">
      <c r="A202" s="78" t="inlineStr">
        <is>
          <t>Tuesday, January 31, 2023</t>
        </is>
      </c>
      <c r="B202" t="inlineStr">
        <is>
          <t>4:00 PM ET</t>
        </is>
      </c>
      <c r="C202" t="inlineStr">
        <is>
          <t>AMGN</t>
        </is>
      </c>
      <c r="D202" t="inlineStr">
        <is>
          <t>Amgen, Inc.</t>
        </is>
      </c>
      <c r="E202" t="n">
        <v>143756.92</v>
      </c>
      <c r="F202" t="inlineStr">
        <is>
          <t>$4.02</t>
        </is>
      </c>
      <c r="G202" t="inlineStr">
        <is>
          <t>$6.76 B</t>
        </is>
      </c>
      <c r="H202" t="inlineStr">
        <is>
          <t>-1.3%</t>
        </is>
      </c>
    </row>
    <row r="203">
      <c r="A203" s="78" t="inlineStr">
        <is>
          <t>Tuesday, January 31, 2023</t>
        </is>
      </c>
      <c r="B203" t="inlineStr">
        <is>
          <t>5:00 PM ET</t>
        </is>
      </c>
      <c r="C203" t="inlineStr">
        <is>
          <t>ASH</t>
        </is>
      </c>
      <c r="D203" t="inlineStr">
        <is>
          <t>Ashland, Inc.</t>
        </is>
      </c>
      <c r="E203" t="n">
        <v>6056.4</v>
      </c>
      <c r="F203" t="inlineStr">
        <is>
          <t>$1.07</t>
        </is>
      </c>
      <c r="G203" t="inlineStr">
        <is>
          <t>$542.42 M</t>
        </is>
      </c>
      <c r="H203" t="inlineStr">
        <is>
          <t>5.9%</t>
        </is>
      </c>
    </row>
    <row r="204">
      <c r="A204" s="78" t="inlineStr">
        <is>
          <t>Tuesday, January 31, 2023</t>
        </is>
      </c>
      <c r="B204" t="inlineStr">
        <is>
          <t>5:50 PM ET</t>
        </is>
      </c>
      <c r="C204" t="inlineStr">
        <is>
          <t>BXP</t>
        </is>
      </c>
      <c r="D204" t="inlineStr">
        <is>
          <t>Boston Properties, Inc.</t>
        </is>
      </c>
      <c r="E204" t="n">
        <v>11254.99</v>
      </c>
      <c r="F204" t="inlineStr">
        <is>
          <t>$1.83</t>
        </is>
      </c>
      <c r="G204" t="inlineStr">
        <is>
          <t>$771.26 M</t>
        </is>
      </c>
      <c r="H204" t="inlineStr">
        <is>
          <t>5.5%</t>
        </is>
      </c>
    </row>
    <row r="205">
      <c r="A205" s="78" t="inlineStr">
        <is>
          <t>Tuesday, January 31, 2023</t>
        </is>
      </c>
      <c r="B205" t="inlineStr">
        <is>
          <t>7:00 AM ET</t>
        </is>
      </c>
      <c r="C205" t="inlineStr">
        <is>
          <t>BR</t>
        </is>
      </c>
      <c r="D205" t="inlineStr">
        <is>
          <t>Broadridge Financial Solutions, Inc.</t>
        </is>
      </c>
      <c r="E205" t="n">
        <v>17076.49</v>
      </c>
      <c r="F205" t="inlineStr">
        <is>
          <t>$0.91</t>
        </is>
      </c>
      <c r="G205" t="inlineStr">
        <is>
          <t>$1.35 B</t>
        </is>
      </c>
      <c r="H205" t="inlineStr">
        <is>
          <t>7.2%</t>
        </is>
      </c>
    </row>
    <row r="206">
      <c r="A206" s="78" t="inlineStr">
        <is>
          <t>Tuesday, January 31, 2023</t>
        </is>
      </c>
      <c r="B206" t="inlineStr">
        <is>
          <t>7:00 AM ET</t>
        </is>
      </c>
      <c r="C206" t="inlineStr">
        <is>
          <t>CTLT</t>
        </is>
      </c>
      <c r="D206" t="inlineStr">
        <is>
          <t>Catalent, Inc.</t>
        </is>
      </c>
      <c r="E206" t="n">
        <v>8631.049999999999</v>
      </c>
      <c r="F206" t="inlineStr">
        <is>
          <t>$0.64</t>
        </is>
      </c>
      <c r="G206" t="inlineStr">
        <is>
          <t>$1.10 B</t>
        </is>
      </c>
      <c r="H206" t="inlineStr">
        <is>
          <t>-9.6%</t>
        </is>
      </c>
    </row>
    <row r="207">
      <c r="A207" s="78" t="inlineStr">
        <is>
          <t>Tuesday, January 31, 2023</t>
        </is>
      </c>
      <c r="B207" t="inlineStr">
        <is>
          <t>6:30 AM ET</t>
        </is>
      </c>
      <c r="C207" t="inlineStr">
        <is>
          <t>CAT</t>
        </is>
      </c>
      <c r="D207" t="inlineStr">
        <is>
          <t>Caterpillar, Inc.</t>
        </is>
      </c>
      <c r="E207" t="n">
        <v>133360.11</v>
      </c>
      <c r="F207" t="inlineStr">
        <is>
          <t>$3.95</t>
        </is>
      </c>
      <c r="G207" t="inlineStr">
        <is>
          <t>$16.22 B</t>
        </is>
      </c>
      <c r="H207" t="inlineStr">
        <is>
          <t>17.6%</t>
        </is>
      </c>
    </row>
    <row r="208">
      <c r="A208" s="78" t="inlineStr">
        <is>
          <t>Tuesday, January 31, 2023</t>
        </is>
      </c>
      <c r="B208" t="inlineStr">
        <is>
          <t>4:45 PM ET</t>
        </is>
      </c>
      <c r="C208" t="inlineStr">
        <is>
          <t>CB</t>
        </is>
      </c>
      <c r="D208" t="inlineStr">
        <is>
          <t>Chubb Corporation</t>
        </is>
      </c>
      <c r="E208" t="n">
        <v>93232.74000000001</v>
      </c>
      <c r="F208" t="inlineStr">
        <is>
          <t>$4.26</t>
        </is>
      </c>
      <c r="G208" t="inlineStr">
        <is>
          <t>$11.38 B</t>
        </is>
      </c>
      <c r="H208" t="inlineStr">
        <is>
          <t>12.0%</t>
        </is>
      </c>
    </row>
    <row r="209">
      <c r="A209" s="78" t="inlineStr">
        <is>
          <t>Tuesday, January 31, 2023</t>
        </is>
      </c>
      <c r="B209" t="inlineStr">
        <is>
          <t>7:10 AM ET</t>
        </is>
      </c>
      <c r="C209" t="inlineStr">
        <is>
          <t>GLW</t>
        </is>
      </c>
      <c r="D209" t="inlineStr">
        <is>
          <t>Corning Inc.</t>
        </is>
      </c>
      <c r="E209" t="n">
        <v>30406.92</v>
      </c>
      <c r="F209" t="inlineStr">
        <is>
          <t>$0.44</t>
        </is>
      </c>
      <c r="G209" t="inlineStr">
        <is>
          <t>$3.46 B</t>
        </is>
      </c>
      <c r="H209" t="inlineStr">
        <is>
          <t>-5.9%</t>
        </is>
      </c>
    </row>
    <row r="210">
      <c r="A210" s="78" t="inlineStr">
        <is>
          <t>Tuesday, January 31, 2023</t>
        </is>
      </c>
      <c r="B210" t="inlineStr">
        <is>
          <t>6:30 AM ET</t>
        </is>
      </c>
      <c r="C210" t="inlineStr">
        <is>
          <t>DOV</t>
        </is>
      </c>
      <c r="D210" t="inlineStr">
        <is>
          <t>Dover Corp.</t>
        </is>
      </c>
      <c r="E210" t="n">
        <v>20254.48</v>
      </c>
      <c r="F210" t="inlineStr">
        <is>
          <t>$2.15</t>
        </is>
      </c>
      <c r="G210" t="inlineStr">
        <is>
          <t>$2.12 B</t>
        </is>
      </c>
      <c r="H210" t="inlineStr">
        <is>
          <t>6.6%</t>
        </is>
      </c>
    </row>
    <row r="211">
      <c r="A211" s="78" t="inlineStr">
        <is>
          <t>Tuesday, January 31, 2023</t>
        </is>
      </c>
      <c r="B211" t="inlineStr">
        <is>
          <t>4:15 PM ET</t>
        </is>
      </c>
      <c r="C211" t="inlineStr">
        <is>
          <t>EW</t>
        </is>
      </c>
      <c r="D211" t="inlineStr">
        <is>
          <t>Edwards Lifesciences Corp.</t>
        </is>
      </c>
      <c r="E211" t="n">
        <v>48756.02</v>
      </c>
      <c r="F211" t="inlineStr">
        <is>
          <t>$0.61</t>
        </is>
      </c>
      <c r="G211" t="inlineStr">
        <is>
          <t>$1.35 B</t>
        </is>
      </c>
      <c r="H211" t="inlineStr">
        <is>
          <t>1.5%</t>
        </is>
      </c>
    </row>
    <row r="212">
      <c r="A212" s="78" t="inlineStr">
        <is>
          <t>Tuesday, January 31, 2023</t>
        </is>
      </c>
      <c r="B212" t="inlineStr">
        <is>
          <t>4:00 PM ET</t>
        </is>
      </c>
      <c r="C212" t="inlineStr">
        <is>
          <t>EA</t>
        </is>
      </c>
      <c r="D212" t="inlineStr">
        <is>
          <t>Electronic Arts Inc</t>
        </is>
      </c>
      <c r="E212" t="n">
        <v>34151.13</v>
      </c>
      <c r="F212" t="inlineStr">
        <is>
          <t>$2.62</t>
        </is>
      </c>
      <c r="G212" t="inlineStr">
        <is>
          <t>$2.49 B</t>
        </is>
      </c>
      <c r="H212" t="inlineStr">
        <is>
          <t>39.2%</t>
        </is>
      </c>
    </row>
    <row r="213">
      <c r="A213" s="78" t="inlineStr">
        <is>
          <t>Tuesday, January 31, 2023</t>
        </is>
      </c>
      <c r="B213" t="inlineStr">
        <is>
          <t>6:00 AM ET</t>
        </is>
      </c>
      <c r="C213" t="inlineStr">
        <is>
          <t>ENTG</t>
        </is>
      </c>
      <c r="D213" t="inlineStr">
        <is>
          <t>Entegris Inc.</t>
        </is>
      </c>
      <c r="E213" t="n">
        <v>11873.59</v>
      </c>
      <c r="F213" t="inlineStr">
        <is>
          <t>$0.78</t>
        </is>
      </c>
      <c r="G213" t="inlineStr">
        <is>
          <t>$950.50 M</t>
        </is>
      </c>
      <c r="H213" t="inlineStr">
        <is>
          <t>49.6%</t>
        </is>
      </c>
    </row>
    <row r="214">
      <c r="A214" s="78" t="inlineStr">
        <is>
          <t>Tuesday, January 31, 2023</t>
        </is>
      </c>
      <c r="B214" t="inlineStr">
        <is>
          <t>7:00 AM ET</t>
        </is>
      </c>
      <c r="C214" t="inlineStr">
        <is>
          <t>AQUA</t>
        </is>
      </c>
      <c r="D214" t="inlineStr">
        <is>
          <t>Evoqua Water Technologies Corp.</t>
        </is>
      </c>
      <c r="E214" t="n">
        <v>5097.59</v>
      </c>
      <c r="F214" t="inlineStr">
        <is>
          <t>$0.12</t>
        </is>
      </c>
      <c r="G214" t="inlineStr">
        <is>
          <t>$426.96 M</t>
        </is>
      </c>
      <c r="H214" t="inlineStr">
        <is>
          <t>16.6%</t>
        </is>
      </c>
    </row>
    <row r="215">
      <c r="A215" s="78" t="inlineStr">
        <is>
          <t>Tuesday, January 31, 2023</t>
        </is>
      </c>
      <c r="B215" t="inlineStr">
        <is>
          <t>6:30 AM ET</t>
        </is>
      </c>
      <c r="C215" t="inlineStr">
        <is>
          <t>XOM</t>
        </is>
      </c>
      <c r="D215" t="inlineStr">
        <is>
          <t>Exxon Mobil Corp.</t>
        </is>
      </c>
      <c r="E215" t="n">
        <v>465078.88</v>
      </c>
      <c r="F215" t="inlineStr">
        <is>
          <t>$3.20</t>
        </is>
      </c>
      <c r="G215" t="inlineStr">
        <is>
          <t>$105.64 B</t>
        </is>
      </c>
      <c r="H215" t="inlineStr">
        <is>
          <t>24.3%</t>
        </is>
      </c>
    </row>
    <row r="216">
      <c r="A216" s="78" t="inlineStr">
        <is>
          <t>Tuesday, January 31, 2023</t>
        </is>
      </c>
      <c r="B216" t="inlineStr">
        <is>
          <t>4:05 PM ET</t>
        </is>
      </c>
      <c r="C216" t="inlineStr">
        <is>
          <t>FRPT</t>
        </is>
      </c>
      <c r="D216" t="inlineStr">
        <is>
          <t>Freshpet, Inc.</t>
        </is>
      </c>
      <c r="E216" t="n">
        <v>3036.31</v>
      </c>
      <c r="F216" t="inlineStr">
        <is>
          <t>($0.08)</t>
        </is>
      </c>
      <c r="G216" t="inlineStr">
        <is>
          <t>$150.76 M</t>
        </is>
      </c>
      <c r="H216" t="inlineStr">
        <is>
          <t>30.1%</t>
        </is>
      </c>
    </row>
    <row r="217">
      <c r="A217" s="78" t="inlineStr">
        <is>
          <t>Tuesday, January 31, 2023</t>
        </is>
      </c>
      <c r="B217" t="inlineStr">
        <is>
          <t>6:30 AM ET</t>
        </is>
      </c>
      <c r="C217" t="inlineStr">
        <is>
          <t>GM</t>
        </is>
      </c>
      <c r="D217" t="inlineStr">
        <is>
          <t>General Motors Corp.</t>
        </is>
      </c>
      <c r="E217" t="n">
        <v>52011.71</v>
      </c>
      <c r="F217" t="inlineStr">
        <is>
          <t>$1.64</t>
        </is>
      </c>
      <c r="G217" t="inlineStr">
        <is>
          <t>$40.63 B</t>
        </is>
      </c>
      <c r="H217" t="inlineStr">
        <is>
          <t>21.0%</t>
        </is>
      </c>
    </row>
    <row r="218">
      <c r="A218" s="78" t="inlineStr">
        <is>
          <t>Tuesday, January 31, 2023</t>
        </is>
      </c>
      <c r="B218" t="inlineStr">
        <is>
          <t>4:00 PM ET</t>
        </is>
      </c>
      <c r="C218" t="inlineStr">
        <is>
          <t>GILD</t>
        </is>
      </c>
      <c r="D218" t="inlineStr">
        <is>
          <t>Gilead Sciences, Inc.</t>
        </is>
      </c>
      <c r="E218" t="n">
        <v>107124.98</v>
      </c>
      <c r="F218" t="inlineStr">
        <is>
          <t>$1.50</t>
        </is>
      </c>
      <c r="G218" t="inlineStr">
        <is>
          <t>$6.56 B</t>
        </is>
      </c>
      <c r="H218" t="inlineStr">
        <is>
          <t>-9.4%</t>
        </is>
      </c>
    </row>
    <row r="219">
      <c r="A219" s="78" t="inlineStr">
        <is>
          <t>Tuesday, January 31, 2023</t>
        </is>
      </c>
      <c r="B219" t="inlineStr">
        <is>
          <t>4:15 PM ET</t>
        </is>
      </c>
      <c r="C219" t="inlineStr">
        <is>
          <t>HLI</t>
        </is>
      </c>
      <c r="D219" t="inlineStr">
        <is>
          <t>Houlihan Lokey, Inc.</t>
        </is>
      </c>
      <c r="E219" t="n">
        <v>6631.19</v>
      </c>
      <c r="F219" t="inlineStr">
        <is>
          <t>$1.12</t>
        </is>
      </c>
      <c r="G219" t="inlineStr">
        <is>
          <t>$486.45 M</t>
        </is>
      </c>
      <c r="H219" t="inlineStr">
        <is>
          <t>-45.3%</t>
        </is>
      </c>
    </row>
    <row r="220">
      <c r="A220" s="78" t="inlineStr">
        <is>
          <t>Tuesday, January 31, 2023</t>
        </is>
      </c>
      <c r="B220" t="inlineStr">
        <is>
          <t>7:30 AM ET</t>
        </is>
      </c>
      <c r="C220" t="inlineStr">
        <is>
          <t>HUBB</t>
        </is>
      </c>
      <c r="D220" t="inlineStr">
        <is>
          <t>Hubbell Incorporated</t>
        </is>
      </c>
      <c r="E220" t="n">
        <v>12351.27</v>
      </c>
      <c r="F220" t="inlineStr">
        <is>
          <t>$2.41</t>
        </is>
      </c>
      <c r="G220" t="inlineStr">
        <is>
          <t>$1.21 B</t>
        </is>
      </c>
      <c r="H220" t="inlineStr">
        <is>
          <t>10.0%</t>
        </is>
      </c>
    </row>
    <row r="221">
      <c r="A221" s="78" t="inlineStr">
        <is>
          <t>Tuesday, January 31, 2023</t>
        </is>
      </c>
      <c r="B221" t="inlineStr">
        <is>
          <t>7:00 AM ET</t>
        </is>
      </c>
      <c r="C221" t="inlineStr">
        <is>
          <t>IP</t>
        </is>
      </c>
      <c r="D221" t="inlineStr">
        <is>
          <t>International Paper Co.</t>
        </is>
      </c>
      <c r="E221" t="n">
        <v>13351.85</v>
      </c>
      <c r="F221" t="inlineStr">
        <is>
          <t>$0.69</t>
        </is>
      </c>
      <c r="G221" t="inlineStr">
        <is>
          <t>$5.41 B</t>
        </is>
      </c>
      <c r="H221" t="inlineStr">
        <is>
          <t>6.4%</t>
        </is>
      </c>
    </row>
    <row r="222">
      <c r="A222" s="78" t="inlineStr">
        <is>
          <t>Tuesday, January 31, 2023</t>
        </is>
      </c>
      <c r="B222" t="inlineStr">
        <is>
          <t>4:15 PM ET</t>
        </is>
      </c>
      <c r="C222" t="inlineStr">
        <is>
          <t>JNPR</t>
        </is>
      </c>
      <c r="D222" t="inlineStr">
        <is>
          <t>Juniper Networks, Inc.</t>
        </is>
      </c>
      <c r="E222" t="n">
        <v>10424.72</v>
      </c>
      <c r="F222" t="inlineStr">
        <is>
          <t>$0.50</t>
        </is>
      </c>
      <c r="G222" t="inlineStr">
        <is>
          <t>$1.49 B</t>
        </is>
      </c>
      <c r="H222" t="inlineStr">
        <is>
          <t>14.6%</t>
        </is>
      </c>
    </row>
    <row r="223">
      <c r="A223" s="78" t="inlineStr">
        <is>
          <t>Tuesday, January 31, 2023</t>
        </is>
      </c>
      <c r="B223" t="inlineStr">
        <is>
          <t>7:00 AM ET</t>
        </is>
      </c>
      <c r="C223" t="inlineStr">
        <is>
          <t>KEX</t>
        </is>
      </c>
      <c r="D223" t="inlineStr">
        <is>
          <t>Kirby Corp.</t>
        </is>
      </c>
      <c r="E223" t="n">
        <v>3765.91</v>
      </c>
      <c r="F223" t="inlineStr">
        <is>
          <t>$0.64</t>
        </is>
      </c>
      <c r="G223" t="inlineStr">
        <is>
          <t>$722.87 M</t>
        </is>
      </c>
      <c r="H223" t="inlineStr">
        <is>
          <t>22.3%</t>
        </is>
      </c>
    </row>
    <row r="224">
      <c r="A224" s="78" t="inlineStr">
        <is>
          <t>Tuesday, January 31, 2023</t>
        </is>
      </c>
      <c r="B224" t="inlineStr">
        <is>
          <t>7:00 AM ET</t>
        </is>
      </c>
      <c r="C224" t="inlineStr">
        <is>
          <t>KLBAY</t>
        </is>
      </c>
      <c r="D224" t="inlineStr">
        <is>
          <t>Klabin SA Sponsored ADR repres</t>
        </is>
      </c>
      <c r="E224" t="n">
        <v>4447.69</v>
      </c>
      <c r="F224" t="inlineStr">
        <is>
          <t>-</t>
        </is>
      </c>
      <c r="G224" t="inlineStr">
        <is>
          <t>$1.01 B</t>
        </is>
      </c>
      <c r="H224" t="inlineStr">
        <is>
          <t>-</t>
        </is>
      </c>
    </row>
    <row r="225">
      <c r="A225" s="78" t="inlineStr">
        <is>
          <t>Tuesday, January 31, 2023</t>
        </is>
      </c>
      <c r="B225" t="inlineStr">
        <is>
          <t>8:30 AM ET</t>
        </is>
      </c>
      <c r="C225" t="inlineStr">
        <is>
          <t>LEGN</t>
        </is>
      </c>
      <c r="D225" t="inlineStr">
        <is>
          <t>Legend Biotech Corporation</t>
        </is>
      </c>
      <c r="E225" t="n">
        <v>9052.950000000001</v>
      </c>
      <c r="F225" t="inlineStr">
        <is>
          <t>($0.75)</t>
        </is>
      </c>
      <c r="G225" t="inlineStr">
        <is>
          <t>$46.50 M</t>
        </is>
      </c>
      <c r="H225" t="inlineStr">
        <is>
          <t>19.2%</t>
        </is>
      </c>
    </row>
    <row r="226">
      <c r="A226" s="78" t="inlineStr">
        <is>
          <t>Tuesday, January 31, 2023</t>
        </is>
      </c>
      <c r="B226" t="inlineStr">
        <is>
          <t>7:30 AM ET</t>
        </is>
      </c>
      <c r="C226" t="inlineStr">
        <is>
          <t>LII</t>
        </is>
      </c>
      <c r="D226" t="inlineStr">
        <is>
          <t>Lennox International, Inc.</t>
        </is>
      </c>
      <c r="E226" t="n">
        <v>8956.08</v>
      </c>
      <c r="F226" t="inlineStr">
        <is>
          <t>$2.57</t>
        </is>
      </c>
      <c r="G226" t="inlineStr">
        <is>
          <t>$1.08 B</t>
        </is>
      </c>
      <c r="H226" t="inlineStr">
        <is>
          <t>11.9%</t>
        </is>
      </c>
    </row>
    <row r="227">
      <c r="A227" s="78" t="inlineStr">
        <is>
          <t>Tuesday, January 31, 2023</t>
        </is>
      </c>
      <c r="B227" t="inlineStr">
        <is>
          <t>7:30 AM ET</t>
        </is>
      </c>
      <c r="C227" t="inlineStr">
        <is>
          <t>MAN</t>
        </is>
      </c>
      <c r="D227" t="inlineStr">
        <is>
          <t>ManpowerGroup</t>
        </is>
      </c>
      <c r="E227" t="n">
        <v>4352.97</v>
      </c>
      <c r="F227" t="inlineStr">
        <is>
          <t>$2.14</t>
        </is>
      </c>
      <c r="G227" t="inlineStr">
        <is>
          <t>$4.99 B</t>
        </is>
      </c>
      <c r="H227" t="inlineStr">
        <is>
          <t>-7.3%</t>
        </is>
      </c>
    </row>
    <row r="228">
      <c r="A228" s="78" t="inlineStr">
        <is>
          <t>Tuesday, January 31, 2023</t>
        </is>
      </c>
      <c r="B228" t="inlineStr">
        <is>
          <t>6:25 AM ET</t>
        </is>
      </c>
      <c r="C228" t="inlineStr">
        <is>
          <t>MPC</t>
        </is>
      </c>
      <c r="D228" t="inlineStr">
        <is>
          <t>Marathon Petroleum Corp.</t>
        </is>
      </c>
      <c r="E228" t="n">
        <v>57068.83</v>
      </c>
      <c r="F228" t="inlineStr">
        <is>
          <t>$5.88</t>
        </is>
      </c>
      <c r="G228" t="inlineStr">
        <is>
          <t>$35.19 B</t>
        </is>
      </c>
      <c r="H228" t="inlineStr">
        <is>
          <t>-1.2%</t>
        </is>
      </c>
    </row>
    <row r="229">
      <c r="A229" s="78" t="inlineStr">
        <is>
          <t>Tuesday, January 31, 2023</t>
        </is>
      </c>
      <c r="B229" t="inlineStr">
        <is>
          <t>4:10 PM ET</t>
        </is>
      </c>
      <c r="C229" t="inlineStr">
        <is>
          <t>MTCH</t>
        </is>
      </c>
      <c r="D229" t="inlineStr">
        <is>
          <t>Match Group, Inc.</t>
        </is>
      </c>
      <c r="E229" t="n">
        <v>13208.39</v>
      </c>
      <c r="F229" t="inlineStr">
        <is>
          <t>$0.48</t>
        </is>
      </c>
      <c r="G229" t="inlineStr">
        <is>
          <t>$788.93 M</t>
        </is>
      </c>
      <c r="H229" t="inlineStr">
        <is>
          <t>-2.1%</t>
        </is>
      </c>
    </row>
    <row r="230">
      <c r="A230" s="78" t="inlineStr">
        <is>
          <t>Tuesday, January 31, 2023</t>
        </is>
      </c>
      <c r="B230" t="inlineStr">
        <is>
          <t>7:00 AM ET</t>
        </is>
      </c>
      <c r="C230" t="inlineStr">
        <is>
          <t>MCD</t>
        </is>
      </c>
      <c r="D230" t="inlineStr">
        <is>
          <t>McDonalds Corp.</t>
        </is>
      </c>
      <c r="E230" t="n">
        <v>200764.7</v>
      </c>
      <c r="F230" t="inlineStr">
        <is>
          <t>$2.44</t>
        </is>
      </c>
      <c r="G230" t="inlineStr">
        <is>
          <t>$5.69 B</t>
        </is>
      </c>
      <c r="H230" t="inlineStr">
        <is>
          <t>-5.3%</t>
        </is>
      </c>
    </row>
    <row r="231">
      <c r="A231" s="78" t="inlineStr">
        <is>
          <t>Tuesday, January 31, 2023</t>
        </is>
      </c>
      <c r="B231" t="inlineStr">
        <is>
          <t>4:05 PM ET</t>
        </is>
      </c>
      <c r="C231" t="inlineStr">
        <is>
          <t>MDLZ</t>
        </is>
      </c>
      <c r="D231" t="inlineStr">
        <is>
          <t>Mondelez International Inc.</t>
        </is>
      </c>
      <c r="E231" t="n">
        <v>91523.75</v>
      </c>
      <c r="F231" t="inlineStr">
        <is>
          <t>$0.71</t>
        </is>
      </c>
      <c r="G231" t="inlineStr">
        <is>
          <t>$8.30 B</t>
        </is>
      </c>
      <c r="H231" t="inlineStr">
        <is>
          <t>8.4%</t>
        </is>
      </c>
    </row>
    <row r="232">
      <c r="A232" s="78" t="inlineStr">
        <is>
          <t>Tuesday, January 31, 2023</t>
        </is>
      </c>
      <c r="B232" t="inlineStr">
        <is>
          <t>7:00 AM ET</t>
        </is>
      </c>
      <c r="C232" t="inlineStr">
        <is>
          <t>MCO</t>
        </is>
      </c>
      <c r="D232" t="inlineStr">
        <is>
          <t>Moody's Corporation</t>
        </is>
      </c>
      <c r="E232" t="n">
        <v>57447.85</v>
      </c>
      <c r="F232" t="inlineStr">
        <is>
          <t>$1.42</t>
        </is>
      </c>
      <c r="G232" t="inlineStr">
        <is>
          <t>$1.28 B</t>
        </is>
      </c>
      <c r="H232" t="inlineStr">
        <is>
          <t>-16.8%</t>
        </is>
      </c>
    </row>
    <row r="233">
      <c r="A233" s="78" t="inlineStr">
        <is>
          <t>Tuesday, January 31, 2023</t>
        </is>
      </c>
      <c r="B233" t="inlineStr">
        <is>
          <t>6:30 AM ET</t>
        </is>
      </c>
      <c r="C233" t="inlineStr">
        <is>
          <t>MPLX</t>
        </is>
      </c>
      <c r="D233" t="inlineStr">
        <is>
          <t>MPLX LP</t>
        </is>
      </c>
      <c r="E233" t="n">
        <v>34361.07</v>
      </c>
      <c r="F233" t="inlineStr">
        <is>
          <t>$0.85</t>
        </is>
      </c>
      <c r="G233" t="inlineStr">
        <is>
          <t>$2.66 B</t>
        </is>
      </c>
      <c r="H233" t="inlineStr">
        <is>
          <t>-2.7%</t>
        </is>
      </c>
    </row>
    <row r="234">
      <c r="A234" s="78" t="inlineStr">
        <is>
          <t>Tuesday, January 31, 2023</t>
        </is>
      </c>
      <c r="B234" t="inlineStr">
        <is>
          <t>6:45 AM ET</t>
        </is>
      </c>
      <c r="C234" t="inlineStr">
        <is>
          <t>MSCI</t>
        </is>
      </c>
      <c r="D234" t="inlineStr">
        <is>
          <t>MSCI Inc.</t>
        </is>
      </c>
      <c r="E234" t="n">
        <v>40801.05</v>
      </c>
      <c r="F234" t="inlineStr">
        <is>
          <t>$2.71</t>
        </is>
      </c>
      <c r="G234" t="inlineStr">
        <is>
          <t>$573.27 M</t>
        </is>
      </c>
      <c r="H234" t="inlineStr">
        <is>
          <t>4.3%</t>
        </is>
      </c>
    </row>
    <row r="235">
      <c r="A235" s="78" t="inlineStr">
        <is>
          <t>Tuesday, January 31, 2023</t>
        </is>
      </c>
      <c r="B235" t="inlineStr">
        <is>
          <t>7:00 AM ET</t>
        </is>
      </c>
      <c r="C235" t="inlineStr">
        <is>
          <t>MLI</t>
        </is>
      </c>
      <c r="D235" t="inlineStr">
        <is>
          <t>Mueller Industries Inc.</t>
        </is>
      </c>
      <c r="E235" t="n">
        <v>3754.16</v>
      </c>
      <c r="F235" t="inlineStr">
        <is>
          <t>-</t>
        </is>
      </c>
      <c r="G235" t="inlineStr">
        <is>
          <t>-</t>
        </is>
      </c>
      <c r="H235" t="inlineStr">
        <is>
          <t>-</t>
        </is>
      </c>
    </row>
    <row r="236">
      <c r="A236" s="78" t="inlineStr">
        <is>
          <t>Tuesday, January 31, 2023</t>
        </is>
      </c>
      <c r="B236" t="inlineStr">
        <is>
          <t>4:00 PM ET</t>
        </is>
      </c>
      <c r="C236" t="inlineStr">
        <is>
          <t>NATI</t>
        </is>
      </c>
      <c r="D236" t="inlineStr">
        <is>
          <t>National Instruments Corporation</t>
        </is>
      </c>
      <c r="E236" t="n">
        <v>6794.79</v>
      </c>
      <c r="F236" t="inlineStr">
        <is>
          <t>$0.48</t>
        </is>
      </c>
      <c r="G236" t="inlineStr">
        <is>
          <t>$488.19 M</t>
        </is>
      </c>
      <c r="H236" t="inlineStr">
        <is>
          <t>16.1%</t>
        </is>
      </c>
    </row>
    <row r="237">
      <c r="A237" s="78" t="inlineStr">
        <is>
          <t>Tuesday, January 31, 2023</t>
        </is>
      </c>
      <c r="B237" t="inlineStr">
        <is>
          <t>7:00 AM ET</t>
        </is>
      </c>
      <c r="C237" t="inlineStr">
        <is>
          <t>NYCB</t>
        </is>
      </c>
      <c r="D237" t="inlineStr">
        <is>
          <t>New York Community Bancorp, In</t>
        </is>
      </c>
      <c r="E237" t="n">
        <v>4488.89</v>
      </c>
      <c r="F237" t="inlineStr">
        <is>
          <t>$0.27</t>
        </is>
      </c>
      <c r="G237" t="inlineStr">
        <is>
          <t>$582.58 M</t>
        </is>
      </c>
      <c r="H237" t="inlineStr">
        <is>
          <t>33.6%</t>
        </is>
      </c>
    </row>
    <row r="238">
      <c r="A238" s="78" t="inlineStr">
        <is>
          <t>Tuesday, January 31, 2023</t>
        </is>
      </c>
      <c r="B238" t="inlineStr">
        <is>
          <t>5:00 PM ET</t>
        </is>
      </c>
      <c r="C238" t="inlineStr">
        <is>
          <t>NEU</t>
        </is>
      </c>
      <c r="D238" t="inlineStr">
        <is>
          <t>NewMarket Corporation</t>
        </is>
      </c>
      <c r="E238" t="n">
        <v>3354.22</v>
      </c>
      <c r="F238" t="inlineStr">
        <is>
          <t>-</t>
        </is>
      </c>
      <c r="G238" t="inlineStr">
        <is>
          <t>-</t>
        </is>
      </c>
      <c r="H238" t="inlineStr">
        <is>
          <t>-</t>
        </is>
      </c>
    </row>
    <row r="239">
      <c r="A239" s="78" t="inlineStr">
        <is>
          <t>Tuesday, January 31, 2023</t>
        </is>
      </c>
      <c r="B239" t="inlineStr">
        <is>
          <t>9:00 AM ET</t>
        </is>
      </c>
      <c r="C239" t="inlineStr">
        <is>
          <t>NVR</t>
        </is>
      </c>
      <c r="D239" t="inlineStr">
        <is>
          <t>NVR Inc</t>
        </is>
      </c>
      <c r="E239" t="n">
        <v>15946.58</v>
      </c>
      <c r="F239" t="inlineStr">
        <is>
          <t>$104.10</t>
        </is>
      </c>
      <c r="G239" t="inlineStr">
        <is>
          <t>$2.51 B</t>
        </is>
      </c>
      <c r="H239" t="inlineStr">
        <is>
          <t>15.3%</t>
        </is>
      </c>
    </row>
    <row r="240">
      <c r="A240" s="78" t="inlineStr">
        <is>
          <t>Tuesday, January 31, 2023</t>
        </is>
      </c>
      <c r="B240" t="inlineStr">
        <is>
          <t>7:00 AM ET</t>
        </is>
      </c>
      <c r="C240" t="inlineStr">
        <is>
          <t>OSK</t>
        </is>
      </c>
      <c r="D240" t="inlineStr">
        <is>
          <t>Oshkosh Corporation</t>
        </is>
      </c>
      <c r="E240" t="n">
        <v>6148.33</v>
      </c>
      <c r="F240" t="inlineStr">
        <is>
          <t>$1.73</t>
        </is>
      </c>
      <c r="G240" t="inlineStr">
        <is>
          <t>$2.11 B</t>
        </is>
      </c>
      <c r="H240" t="inlineStr">
        <is>
          <t>17.8%</t>
        </is>
      </c>
    </row>
    <row r="241">
      <c r="A241" s="78" t="inlineStr">
        <is>
          <t>Tuesday, January 31, 2023</t>
        </is>
      </c>
      <c r="B241" t="inlineStr">
        <is>
          <t>6:55 AM ET</t>
        </is>
      </c>
      <c r="C241" t="inlineStr">
        <is>
          <t>PNR</t>
        </is>
      </c>
      <c r="D241" t="inlineStr">
        <is>
          <t>Pentair Inc.</t>
        </is>
      </c>
      <c r="E241" t="n">
        <v>8312.1</v>
      </c>
      <c r="F241" t="inlineStr">
        <is>
          <t>$0.79</t>
        </is>
      </c>
      <c r="G241" t="inlineStr">
        <is>
          <t>$1.00 B</t>
        </is>
      </c>
      <c r="H241" t="inlineStr">
        <is>
          <t>1.2%</t>
        </is>
      </c>
    </row>
    <row r="242">
      <c r="A242" s="78" t="inlineStr">
        <is>
          <t>Tuesday, January 31, 2023</t>
        </is>
      </c>
      <c r="B242" t="inlineStr">
        <is>
          <t>6:45 AM ET</t>
        </is>
      </c>
      <c r="C242" t="inlineStr">
        <is>
          <t>PFE</t>
        </is>
      </c>
      <c r="D242" t="inlineStr">
        <is>
          <t>Pfizer, Inc.</t>
        </is>
      </c>
      <c r="E242" t="n">
        <v>258661.55</v>
      </c>
      <c r="F242" t="inlineStr">
        <is>
          <t>$1.04</t>
        </is>
      </c>
      <c r="G242" t="inlineStr">
        <is>
          <t>$24.40 B</t>
        </is>
      </c>
      <c r="H242" t="inlineStr">
        <is>
          <t>2.4%</t>
        </is>
      </c>
    </row>
    <row r="243">
      <c r="A243" s="78" t="inlineStr">
        <is>
          <t>Tuesday, January 31, 2023</t>
        </is>
      </c>
      <c r="B243" t="inlineStr">
        <is>
          <t>7:00 AM ET</t>
        </is>
      </c>
      <c r="C243" t="inlineStr">
        <is>
          <t>PSX</t>
        </is>
      </c>
      <c r="D243" t="inlineStr">
        <is>
          <t>Phillips 66</t>
        </is>
      </c>
      <c r="E243" t="n">
        <v>48449.53</v>
      </c>
      <c r="F243" t="inlineStr">
        <is>
          <t>$4.40</t>
        </is>
      </c>
      <c r="G243" t="inlineStr">
        <is>
          <t>$38.49 B</t>
        </is>
      </c>
      <c r="H243" t="inlineStr">
        <is>
          <t>14.7%</t>
        </is>
      </c>
    </row>
    <row r="244">
      <c r="A244" s="78" t="inlineStr">
        <is>
          <t>Tuesday, January 31, 2023</t>
        </is>
      </c>
      <c r="B244" t="inlineStr">
        <is>
          <t>6:00 AM ET</t>
        </is>
      </c>
      <c r="C244" t="inlineStr">
        <is>
          <t>PII</t>
        </is>
      </c>
      <c r="D244" t="inlineStr">
        <is>
          <t>Polaris Industries, Inc</t>
        </is>
      </c>
      <c r="E244" t="n">
        <v>6198.08</v>
      </c>
      <c r="F244" t="inlineStr">
        <is>
          <t>$3.28</t>
        </is>
      </c>
      <c r="G244" t="inlineStr">
        <is>
          <t>$2.39 B</t>
        </is>
      </c>
      <c r="H244" t="inlineStr">
        <is>
          <t>10.1%</t>
        </is>
      </c>
    </row>
    <row r="245">
      <c r="A245" s="78" t="inlineStr">
        <is>
          <t>Tuesday, January 31, 2023</t>
        </is>
      </c>
      <c r="B245" t="inlineStr">
        <is>
          <t>6:30 AM ET</t>
        </is>
      </c>
      <c r="C245" t="inlineStr">
        <is>
          <t>PHM</t>
        </is>
      </c>
      <c r="D245" t="inlineStr">
        <is>
          <t>PulteGroup, Inc.</t>
        </is>
      </c>
      <c r="E245" t="n">
        <v>11634.75</v>
      </c>
      <c r="F245" t="inlineStr">
        <is>
          <t>$2.87</t>
        </is>
      </c>
      <c r="G245" t="inlineStr">
        <is>
          <t>$5.15 B</t>
        </is>
      </c>
      <c r="H245" t="inlineStr">
        <is>
          <t>18.2%</t>
        </is>
      </c>
    </row>
    <row r="246">
      <c r="A246" s="78" t="inlineStr">
        <is>
          <t>Tuesday, January 31, 2023</t>
        </is>
      </c>
      <c r="B246" t="inlineStr">
        <is>
          <t>4:15 PM ET</t>
        </is>
      </c>
      <c r="C246" t="inlineStr">
        <is>
          <t>RNR</t>
        </is>
      </c>
      <c r="D246" t="inlineStr">
        <is>
          <t>RenaissanceRe Holdings, Ltd.</t>
        </is>
      </c>
      <c r="E246" t="n">
        <v>8505.26</v>
      </c>
      <c r="F246" t="inlineStr">
        <is>
          <t>$5.58</t>
        </is>
      </c>
      <c r="G246" t="inlineStr">
        <is>
          <t>$1.66 B</t>
        </is>
      </c>
      <c r="H246" t="inlineStr">
        <is>
          <t>19.1%</t>
        </is>
      </c>
    </row>
    <row r="247">
      <c r="A247" s="78" t="inlineStr">
        <is>
          <t>Tuesday, January 31, 2023</t>
        </is>
      </c>
      <c r="B247" t="inlineStr">
        <is>
          <t>6:00 AM ET</t>
        </is>
      </c>
      <c r="C247" t="inlineStr">
        <is>
          <t>ST</t>
        </is>
      </c>
      <c r="D247" t="inlineStr">
        <is>
          <t>Sensata Technologies Holding N.V</t>
        </is>
      </c>
      <c r="E247" t="n">
        <v>6858.8</v>
      </c>
      <c r="F247" t="inlineStr">
        <is>
          <t>$0.88</t>
        </is>
      </c>
      <c r="G247" t="inlineStr">
        <is>
          <t>$1.00 B</t>
        </is>
      </c>
      <c r="H247" t="inlineStr">
        <is>
          <t>7.0%</t>
        </is>
      </c>
    </row>
    <row r="248">
      <c r="A248" s="78" t="inlineStr">
        <is>
          <t>Tuesday, January 31, 2023</t>
        </is>
      </c>
      <c r="B248" t="inlineStr">
        <is>
          <t>4:35 PM ET</t>
        </is>
      </c>
      <c r="C248" t="inlineStr">
        <is>
          <t>SGFY</t>
        </is>
      </c>
      <c r="D248" t="inlineStr">
        <is>
          <t>Signify Health, Inc</t>
        </is>
      </c>
      <c r="E248" t="n">
        <v>6809.48</v>
      </c>
      <c r="F248" t="inlineStr">
        <is>
          <t>$0.04</t>
        </is>
      </c>
      <c r="G248" t="inlineStr">
        <is>
          <t>$221.86 M</t>
        </is>
      </c>
      <c r="H248" t="inlineStr">
        <is>
          <t>22.3%</t>
        </is>
      </c>
    </row>
    <row r="249">
      <c r="A249" s="78" t="inlineStr">
        <is>
          <t>Tuesday, January 31, 2023</t>
        </is>
      </c>
      <c r="B249" t="inlineStr">
        <is>
          <t>4:10 PM ET</t>
        </is>
      </c>
      <c r="C249" t="inlineStr">
        <is>
          <t>SNAP</t>
        </is>
      </c>
      <c r="D249" t="inlineStr">
        <is>
          <t>Snap Inc.</t>
        </is>
      </c>
      <c r="E249" t="n">
        <v>15598.69</v>
      </c>
      <c r="F249" t="inlineStr">
        <is>
          <t>($0.10)</t>
        </is>
      </c>
      <c r="G249" t="inlineStr">
        <is>
          <t>$1.31 B</t>
        </is>
      </c>
      <c r="H249" t="inlineStr">
        <is>
          <t>0.9%</t>
        </is>
      </c>
    </row>
    <row r="250">
      <c r="A250" s="78" t="inlineStr">
        <is>
          <t>Tuesday, January 31, 2023</t>
        </is>
      </c>
      <c r="B250" t="inlineStr">
        <is>
          <t>6:00 AM ET</t>
        </is>
      </c>
      <c r="C250" t="inlineStr">
        <is>
          <t>SPOT</t>
        </is>
      </c>
      <c r="D250" t="inlineStr">
        <is>
          <t>Spotify Technology S.A.</t>
        </is>
      </c>
      <c r="E250" t="n">
        <v>17629.93</v>
      </c>
      <c r="F250" t="inlineStr">
        <is>
          <t>($1.27)</t>
        </is>
      </c>
      <c r="G250" t="inlineStr">
        <is>
          <t>$3.07 B</t>
        </is>
      </c>
      <c r="H250" t="inlineStr">
        <is>
          <t>-0.2%</t>
        </is>
      </c>
    </row>
    <row r="251">
      <c r="A251" s="78" t="inlineStr">
        <is>
          <t>Tuesday, January 31, 2023</t>
        </is>
      </c>
      <c r="B251" t="inlineStr">
        <is>
          <t>4:05 PM ET</t>
        </is>
      </c>
      <c r="C251" t="inlineStr">
        <is>
          <t>SYK</t>
        </is>
      </c>
      <c r="D251" t="inlineStr">
        <is>
          <t>Stryker Corp.</t>
        </is>
      </c>
      <c r="E251" t="n">
        <v>97029.42999999999</v>
      </c>
      <c r="F251" t="inlineStr">
        <is>
          <t>$2.83</t>
        </is>
      </c>
      <c r="G251" t="inlineStr">
        <is>
          <t>$4.96 B</t>
        </is>
      </c>
      <c r="H251" t="inlineStr">
        <is>
          <t>5.5%</t>
        </is>
      </c>
    </row>
    <row r="252">
      <c r="A252" s="78" t="inlineStr">
        <is>
          <t>Tuesday, January 31, 2023</t>
        </is>
      </c>
      <c r="B252" t="inlineStr">
        <is>
          <t>4:15 PM ET</t>
        </is>
      </c>
      <c r="C252" t="inlineStr">
        <is>
          <t>SMCI</t>
        </is>
      </c>
      <c r="D252" t="inlineStr">
        <is>
          <t>Supermicro</t>
        </is>
      </c>
      <c r="E252" t="n">
        <v>4489.45</v>
      </c>
      <c r="F252" t="inlineStr">
        <is>
          <t>$2.58</t>
        </is>
      </c>
      <c r="G252" t="inlineStr">
        <is>
          <t>$1.75 B</t>
        </is>
      </c>
      <c r="H252" t="inlineStr">
        <is>
          <t>49.3%</t>
        </is>
      </c>
    </row>
    <row r="253">
      <c r="A253" s="78" t="inlineStr">
        <is>
          <t>Tuesday, January 31, 2023</t>
        </is>
      </c>
      <c r="B253" t="inlineStr">
        <is>
          <t>8:00 AM ET</t>
        </is>
      </c>
      <c r="C253" t="inlineStr">
        <is>
          <t>SYY</t>
        </is>
      </c>
      <c r="D253" t="inlineStr">
        <is>
          <t>SYSCO Corp.</t>
        </is>
      </c>
      <c r="E253" t="n">
        <v>40475.52</v>
      </c>
      <c r="F253" t="inlineStr">
        <is>
          <t>$0.84</t>
        </is>
      </c>
      <c r="G253" t="inlineStr">
        <is>
          <t>$18.68 B</t>
        </is>
      </c>
      <c r="H253" t="inlineStr">
        <is>
          <t>14.5%</t>
        </is>
      </c>
    </row>
    <row r="254">
      <c r="A254" s="78" t="inlineStr">
        <is>
          <t>Tuesday, January 31, 2023</t>
        </is>
      </c>
      <c r="B254" t="inlineStr">
        <is>
          <t>4:05 PM ET</t>
        </is>
      </c>
      <c r="C254" t="inlineStr">
        <is>
          <t>TENB</t>
        </is>
      </c>
      <c r="D254" t="inlineStr">
        <is>
          <t>Tenable Holdings, Inc.</t>
        </is>
      </c>
      <c r="E254" t="n">
        <v>4300.29</v>
      </c>
      <c r="F254" t="inlineStr">
        <is>
          <t>($0.13)</t>
        </is>
      </c>
      <c r="G254" t="inlineStr">
        <is>
          <t>$181.65 M</t>
        </is>
      </c>
      <c r="H254" t="inlineStr">
        <is>
          <t>21.9%</t>
        </is>
      </c>
    </row>
    <row r="255">
      <c r="A255" s="78" t="inlineStr">
        <is>
          <t>Tuesday, January 31, 2023</t>
        </is>
      </c>
      <c r="B255" t="inlineStr">
        <is>
          <t>6:00 AM ET</t>
        </is>
      </c>
      <c r="C255" t="inlineStr">
        <is>
          <t>UPS</t>
        </is>
      </c>
      <c r="D255" t="inlineStr">
        <is>
          <t>United Parcel Service, Inc.</t>
        </is>
      </c>
      <c r="E255" t="n">
        <v>154820.34</v>
      </c>
      <c r="F255" t="inlineStr">
        <is>
          <t>$3.59</t>
        </is>
      </c>
      <c r="G255" t="inlineStr">
        <is>
          <t>$28.06 B</t>
        </is>
      </c>
      <c r="H255" t="inlineStr">
        <is>
          <t>1.0%</t>
        </is>
      </c>
    </row>
    <row r="256">
      <c r="A256" s="78" t="inlineStr">
        <is>
          <t>Tuesday, January 31, 2023</t>
        </is>
      </c>
      <c r="B256" t="inlineStr">
        <is>
          <t>4:15 PM ET</t>
        </is>
      </c>
      <c r="C256" t="inlineStr">
        <is>
          <t>UNVR</t>
        </is>
      </c>
      <c r="D256" t="inlineStr">
        <is>
          <t>Univar Inc.</t>
        </is>
      </c>
      <c r="E256" t="n">
        <v>5384.49</v>
      </c>
      <c r="F256" t="inlineStr">
        <is>
          <t>$0.56</t>
        </is>
      </c>
      <c r="G256" t="inlineStr">
        <is>
          <t>$2.80 B</t>
        </is>
      </c>
      <c r="H256" t="inlineStr">
        <is>
          <t>-</t>
        </is>
      </c>
    </row>
    <row r="257">
      <c r="A257" s="78" t="inlineStr">
        <is>
          <t>Tuesday, January 31, 2023</t>
        </is>
      </c>
      <c r="B257" t="inlineStr">
        <is>
          <t>4:15 PM ET</t>
        </is>
      </c>
      <c r="C257" t="inlineStr">
        <is>
          <t>UNM</t>
        </is>
      </c>
      <c r="D257" t="inlineStr">
        <is>
          <t>Unum Group</t>
        </is>
      </c>
      <c r="E257" t="n">
        <v>8180.45</v>
      </c>
      <c r="F257" t="inlineStr">
        <is>
          <t>$1.47</t>
        </is>
      </c>
      <c r="G257" t="inlineStr">
        <is>
          <t>$3.01 B</t>
        </is>
      </c>
      <c r="H257" t="inlineStr">
        <is>
          <t>1.0%</t>
        </is>
      </c>
    </row>
    <row r="258">
      <c r="A258" s="78" t="inlineStr">
        <is>
          <t>Tuesday, January 31, 2023</t>
        </is>
      </c>
      <c r="B258" t="inlineStr">
        <is>
          <t>4:20 PM ET</t>
        </is>
      </c>
      <c r="C258" t="inlineStr">
        <is>
          <t>ZWS</t>
        </is>
      </c>
      <c r="D258" t="inlineStr">
        <is>
          <t>Zurn Elkay Water Solutions Corporation</t>
        </is>
      </c>
      <c r="E258" t="n">
        <v>3929.26</v>
      </c>
      <c r="F258" t="inlineStr">
        <is>
          <t>$0.17</t>
        </is>
      </c>
      <c r="G258" t="inlineStr">
        <is>
          <t>$358.40 M</t>
        </is>
      </c>
      <c r="H258" t="inlineStr">
        <is>
          <t>54.3%</t>
        </is>
      </c>
    </row>
    <row r="259">
      <c r="A259" s="78" t="inlineStr">
        <is>
          <t>Wednesday, February 1, 2023</t>
        </is>
      </c>
      <c r="B259" t="inlineStr">
        <is>
          <t>4:05 PM ET</t>
        </is>
      </c>
      <c r="C259" t="inlineStr">
        <is>
          <t>AFL</t>
        </is>
      </c>
      <c r="D259" t="inlineStr">
        <is>
          <t>AFLAC, Inc.</t>
        </is>
      </c>
      <c r="E259" t="n">
        <v>45042.36</v>
      </c>
      <c r="F259" t="inlineStr">
        <is>
          <t>$1.21</t>
        </is>
      </c>
      <c r="G259" t="inlineStr">
        <is>
          <t>$4.46 B</t>
        </is>
      </c>
      <c r="H259" t="inlineStr">
        <is>
          <t>-17.9%</t>
        </is>
      </c>
    </row>
    <row r="260">
      <c r="A260" s="78" t="inlineStr">
        <is>
          <t>Wednesday, February 1, 2023</t>
        </is>
      </c>
      <c r="B260" t="inlineStr">
        <is>
          <t>4:00 PM ET</t>
        </is>
      </c>
      <c r="C260" t="inlineStr">
        <is>
          <t>ALGN</t>
        </is>
      </c>
      <c r="D260" t="inlineStr">
        <is>
          <t>Align Technology, Inc.</t>
        </is>
      </c>
      <c r="E260" t="n">
        <v>19218.76</v>
      </c>
      <c r="F260" t="inlineStr">
        <is>
          <t>$1.24</t>
        </is>
      </c>
      <c r="G260" t="inlineStr">
        <is>
          <t>$924.87 M</t>
        </is>
      </c>
      <c r="H260" t="inlineStr">
        <is>
          <t>-10.3%</t>
        </is>
      </c>
    </row>
    <row r="261">
      <c r="A261" s="78" t="inlineStr">
        <is>
          <t>Wednesday, February 1, 2023</t>
        </is>
      </c>
      <c r="B261" t="inlineStr">
        <is>
          <t>4:25 PM ET</t>
        </is>
      </c>
      <c r="C261" t="inlineStr">
        <is>
          <t>ALL</t>
        </is>
      </c>
      <c r="D261" t="inlineStr">
        <is>
          <t>Allstate Corp.</t>
        </is>
      </c>
      <c r="E261" t="n">
        <v>35941.2</v>
      </c>
      <c r="F261" t="inlineStr">
        <is>
          <t>$1.57</t>
        </is>
      </c>
      <c r="G261" t="inlineStr">
        <is>
          <t>$11.25 B</t>
        </is>
      </c>
      <c r="H261" t="inlineStr">
        <is>
          <t>-13.5%</t>
        </is>
      </c>
    </row>
    <row r="262">
      <c r="A262" s="78" t="inlineStr">
        <is>
          <t>Wednesday, February 1, 2023</t>
        </is>
      </c>
      <c r="B262" t="inlineStr">
        <is>
          <t>7:00 AM ET</t>
        </is>
      </c>
      <c r="C262" t="inlineStr">
        <is>
          <t>MO</t>
        </is>
      </c>
      <c r="D262" t="inlineStr">
        <is>
          <t>Altria Group Inc</t>
        </is>
      </c>
      <c r="E262" t="n">
        <v>80934.52</v>
      </c>
      <c r="F262" t="inlineStr">
        <is>
          <t>$1.18</t>
        </is>
      </c>
      <c r="G262" t="inlineStr">
        <is>
          <t>$5.13 B</t>
        </is>
      </c>
      <c r="H262" t="inlineStr">
        <is>
          <t>-18.0%</t>
        </is>
      </c>
    </row>
    <row r="263">
      <c r="A263" s="78" t="inlineStr">
        <is>
          <t>Wednesday, February 1, 2023</t>
        </is>
      </c>
      <c r="B263" t="inlineStr">
        <is>
          <t>5:00 PM ET</t>
        </is>
      </c>
      <c r="C263" t="inlineStr">
        <is>
          <t>AFG</t>
        </is>
      </c>
      <c r="D263" t="inlineStr">
        <is>
          <t>American Financial Group, Inc.</t>
        </is>
      </c>
      <c r="E263" t="n">
        <v>11987.35</v>
      </c>
      <c r="F263" t="inlineStr">
        <is>
          <t>$2.95</t>
        </is>
      </c>
      <c r="G263" t="inlineStr">
        <is>
          <t>$1.55 B</t>
        </is>
      </c>
      <c r="H263" t="inlineStr">
        <is>
          <t>-11.8%</t>
        </is>
      </c>
    </row>
    <row r="264">
      <c r="A264" s="78" t="inlineStr">
        <is>
          <t>Wednesday, February 1, 2023</t>
        </is>
      </c>
      <c r="B264" t="inlineStr">
        <is>
          <t>6:30 AM ET</t>
        </is>
      </c>
      <c r="C264" t="inlineStr">
        <is>
          <t>ABC</t>
        </is>
      </c>
      <c r="D264" t="inlineStr">
        <is>
          <t>AmerisourceBergen Corporation</t>
        </is>
      </c>
      <c r="E264" t="n">
        <v>33763.7</v>
      </c>
      <c r="F264" t="inlineStr">
        <is>
          <t>$2.59</t>
        </is>
      </c>
      <c r="G264" t="inlineStr">
        <is>
          <t>$62.58 B</t>
        </is>
      </c>
      <c r="H264" t="inlineStr">
        <is>
          <t>4.9%</t>
        </is>
      </c>
    </row>
    <row r="265">
      <c r="A265" s="78" t="inlineStr">
        <is>
          <t>Wednesday, February 1, 2023</t>
        </is>
      </c>
      <c r="B265" t="inlineStr">
        <is>
          <t>4:00 PM ET</t>
        </is>
      </c>
      <c r="C265" t="inlineStr">
        <is>
          <t>ASND</t>
        </is>
      </c>
      <c r="D265" t="inlineStr">
        <is>
          <t>Ascendis Pharma A/S</t>
        </is>
      </c>
      <c r="E265" t="n">
        <v>6823.31</v>
      </c>
      <c r="F265" t="inlineStr">
        <is>
          <t>($2.41)</t>
        </is>
      </c>
      <c r="G265" t="inlineStr">
        <is>
          <t>$19.73 M</t>
        </is>
      </c>
      <c r="H265" t="inlineStr">
        <is>
          <t>252.3%</t>
        </is>
      </c>
    </row>
    <row r="266">
      <c r="A266" s="78" t="inlineStr">
        <is>
          <t>Wednesday, February 1, 2023</t>
        </is>
      </c>
      <c r="B266" t="inlineStr">
        <is>
          <t>6:00 AM ET</t>
        </is>
      </c>
      <c r="C266" t="inlineStr">
        <is>
          <t>ATKR</t>
        </is>
      </c>
      <c r="D266" t="inlineStr">
        <is>
          <t>Atkore International Group Inc.</t>
        </is>
      </c>
      <c r="E266" t="n">
        <v>4897.45</v>
      </c>
      <c r="F266" t="inlineStr">
        <is>
          <t>$3.80</t>
        </is>
      </c>
      <c r="G266" t="inlineStr">
        <is>
          <t>$818.45 M</t>
        </is>
      </c>
      <c r="H266" t="inlineStr">
        <is>
          <t>-2.7%</t>
        </is>
      </c>
    </row>
    <row r="267">
      <c r="A267" s="78" t="inlineStr">
        <is>
          <t>Wednesday, February 1, 2023</t>
        </is>
      </c>
      <c r="B267" t="inlineStr">
        <is>
          <t>4:05 PM ET</t>
        </is>
      </c>
      <c r="C267" t="inlineStr">
        <is>
          <t>AVT</t>
        </is>
      </c>
      <c r="D267" t="inlineStr">
        <is>
          <t>Avnet, Inc.</t>
        </is>
      </c>
      <c r="E267" t="n">
        <v>4077.09</v>
      </c>
      <c r="F267" t="inlineStr">
        <is>
          <t>$1.85</t>
        </is>
      </c>
      <c r="G267" t="inlineStr">
        <is>
          <t>$6.54 B</t>
        </is>
      </c>
      <c r="H267" t="inlineStr">
        <is>
          <t>11.5%</t>
        </is>
      </c>
    </row>
    <row r="268">
      <c r="A268" s="78" t="inlineStr">
        <is>
          <t>Wednesday, February 1, 2023</t>
        </is>
      </c>
      <c r="B268" t="inlineStr">
        <is>
          <t>7:00 AM ET</t>
        </is>
      </c>
      <c r="C268" t="inlineStr">
        <is>
          <t>BLCO</t>
        </is>
      </c>
      <c r="D268" t="inlineStr">
        <is>
          <t>Bausch + Lomb Corporation</t>
        </is>
      </c>
      <c r="E268" t="n">
        <v>5971.01</v>
      </c>
      <c r="F268" t="inlineStr">
        <is>
          <t>$0.22</t>
        </is>
      </c>
      <c r="G268" t="inlineStr">
        <is>
          <t>-</t>
        </is>
      </c>
      <c r="H268" t="inlineStr">
        <is>
          <t>-</t>
        </is>
      </c>
    </row>
    <row r="269">
      <c r="A269" s="78" t="inlineStr">
        <is>
          <t>Wednesday, February 1, 2023</t>
        </is>
      </c>
      <c r="B269" t="inlineStr">
        <is>
          <t>6:30 AM ET</t>
        </is>
      </c>
      <c r="C269" t="inlineStr">
        <is>
          <t>BSX</t>
        </is>
      </c>
      <c r="D269" t="inlineStr">
        <is>
          <t>Boston Scientific Corporation</t>
        </is>
      </c>
      <c r="E269" t="n">
        <v>65943.61</v>
      </c>
      <c r="F269" t="inlineStr">
        <is>
          <t>$0.47</t>
        </is>
      </c>
      <c r="G269" t="inlineStr">
        <is>
          <t>$3.24 B</t>
        </is>
      </c>
      <c r="H269" t="inlineStr">
        <is>
          <t>3.6%</t>
        </is>
      </c>
    </row>
    <row r="270">
      <c r="A270" s="78" t="inlineStr">
        <is>
          <t>Wednesday, February 1, 2023</t>
        </is>
      </c>
      <c r="B270" t="inlineStr">
        <is>
          <t>4:05 PM ET</t>
        </is>
      </c>
      <c r="C270" t="inlineStr">
        <is>
          <t>CHRW</t>
        </is>
      </c>
      <c r="D270" t="inlineStr">
        <is>
          <t>C.H. Robinson Worldwide Inc.</t>
        </is>
      </c>
      <c r="E270" t="n">
        <v>10909.31</v>
      </c>
      <c r="F270" t="inlineStr">
        <is>
          <t>$1.36</t>
        </is>
      </c>
      <c r="G270" t="inlineStr">
        <is>
          <t>$5.78 B</t>
        </is>
      </c>
      <c r="H270" t="inlineStr">
        <is>
          <t>-11.1%</t>
        </is>
      </c>
    </row>
    <row r="271">
      <c r="A271" s="78" t="inlineStr">
        <is>
          <t>Wednesday, February 1, 2023</t>
        </is>
      </c>
      <c r="B271" t="inlineStr">
        <is>
          <t>6:30 AM ET</t>
        </is>
      </c>
      <c r="C271" t="inlineStr">
        <is>
          <t>GIB</t>
        </is>
      </c>
      <c r="D271" t="inlineStr">
        <is>
          <t>CGI Group Inc. Subordinated</t>
        </is>
      </c>
      <c r="E271" t="n">
        <v>20679.21</v>
      </c>
      <c r="F271" t="inlineStr">
        <is>
          <t>$1.19</t>
        </is>
      </c>
      <c r="G271" t="inlineStr">
        <is>
          <t>$2.46 B</t>
        </is>
      </c>
      <c r="H271" t="inlineStr">
        <is>
          <t>0.3%</t>
        </is>
      </c>
    </row>
    <row r="272">
      <c r="A272" s="78" t="inlineStr">
        <is>
          <t>Wednesday, February 1, 2023</t>
        </is>
      </c>
      <c r="B272" t="inlineStr">
        <is>
          <t>4:30 PM ET</t>
        </is>
      </c>
      <c r="C272" t="inlineStr">
        <is>
          <t>CHX</t>
        </is>
      </c>
      <c r="D272" t="inlineStr">
        <is>
          <t>ChampionX Corporation</t>
        </is>
      </c>
      <c r="E272" t="n">
        <v>6411.41</v>
      </c>
      <c r="F272" t="inlineStr">
        <is>
          <t>$0.39</t>
        </is>
      </c>
      <c r="G272" t="inlineStr">
        <is>
          <t>$1.01 B</t>
        </is>
      </c>
      <c r="H272" t="inlineStr">
        <is>
          <t>22.8%</t>
        </is>
      </c>
    </row>
    <row r="273">
      <c r="A273" s="78" t="inlineStr">
        <is>
          <t>Wednesday, February 1, 2023</t>
        </is>
      </c>
      <c r="B273" t="inlineStr">
        <is>
          <t>4:40 PM ET</t>
        </is>
      </c>
      <c r="C273" t="inlineStr">
        <is>
          <t>CHRD</t>
        </is>
      </c>
      <c r="D273" t="inlineStr">
        <is>
          <t>Chordiant Software Inc.</t>
        </is>
      </c>
      <c r="E273" t="n">
        <v>5692.98</v>
      </c>
      <c r="F273" t="inlineStr">
        <is>
          <t>$5.78</t>
        </is>
      </c>
      <c r="G273" t="inlineStr">
        <is>
          <t>$860.50 M</t>
        </is>
      </c>
      <c r="H273" t="inlineStr">
        <is>
          <t>-</t>
        </is>
      </c>
    </row>
    <row r="274">
      <c r="A274" s="78" t="inlineStr">
        <is>
          <t>Wednesday, February 1, 2023</t>
        </is>
      </c>
      <c r="B274" t="inlineStr">
        <is>
          <t>5:00 AM ET</t>
        </is>
      </c>
      <c r="C274" t="inlineStr">
        <is>
          <t>CHT</t>
        </is>
      </c>
      <c r="D274" t="inlineStr">
        <is>
          <t>Chunghwa Telecom Co. Ltd. ADSs</t>
        </is>
      </c>
      <c r="E274" t="n">
        <v>29377.45</v>
      </c>
      <c r="F274" t="inlineStr">
        <is>
          <t>-</t>
        </is>
      </c>
      <c r="G274" t="inlineStr">
        <is>
          <t>-</t>
        </is>
      </c>
      <c r="H274" t="inlineStr">
        <is>
          <t>-</t>
        </is>
      </c>
    </row>
    <row r="275">
      <c r="A275" s="78" t="inlineStr">
        <is>
          <t>Wednesday, February 1, 2023</t>
        </is>
      </c>
      <c r="B275" t="inlineStr">
        <is>
          <t>4:15 PM ET</t>
        </is>
      </c>
      <c r="C275" t="inlineStr">
        <is>
          <t>CWAN</t>
        </is>
      </c>
      <c r="D275" t="inlineStr">
        <is>
          <t>Clearwater Analytics Holdings Inc</t>
        </is>
      </c>
      <c r="E275" t="n">
        <v>4480.83</v>
      </c>
      <c r="F275" t="inlineStr">
        <is>
          <t>($0.01)</t>
        </is>
      </c>
      <c r="G275" t="inlineStr">
        <is>
          <t>$80.38 M</t>
        </is>
      </c>
      <c r="H275" t="inlineStr">
        <is>
          <t>15.2%</t>
        </is>
      </c>
    </row>
    <row r="276">
      <c r="A276" s="78" t="inlineStr">
        <is>
          <t>Wednesday, February 1, 2023</t>
        </is>
      </c>
      <c r="B276" t="inlineStr">
        <is>
          <t>6:15 AM ET</t>
        </is>
      </c>
      <c r="C276" t="inlineStr">
        <is>
          <t>CWEN</t>
        </is>
      </c>
      <c r="D276" t="inlineStr">
        <is>
          <t>Clearway Energy, Inc.</t>
        </is>
      </c>
      <c r="E276" t="n">
        <v>6948.71</v>
      </c>
      <c r="F276" t="inlineStr">
        <is>
          <t>($0.87)</t>
        </is>
      </c>
      <c r="G276" t="inlineStr">
        <is>
          <t>$313.21 M</t>
        </is>
      </c>
      <c r="H276" t="inlineStr">
        <is>
          <t>-1.5%</t>
        </is>
      </c>
    </row>
    <row r="277">
      <c r="A277" s="78" t="inlineStr">
        <is>
          <t>Wednesday, February 1, 2023</t>
        </is>
      </c>
      <c r="B277" t="inlineStr">
        <is>
          <t>5:00 PM ET</t>
        </is>
      </c>
      <c r="C277" t="inlineStr">
        <is>
          <t>CTVA</t>
        </is>
      </c>
      <c r="D277" t="inlineStr">
        <is>
          <t>Corteva, Inc.</t>
        </is>
      </c>
      <c r="E277" t="n">
        <v>44798.65</v>
      </c>
      <c r="F277" t="inlineStr">
        <is>
          <t>$0.06</t>
        </is>
      </c>
      <c r="G277" t="inlineStr">
        <is>
          <t>$3.88 B</t>
        </is>
      </c>
      <c r="H277" t="inlineStr">
        <is>
          <t>11.5%</t>
        </is>
      </c>
    </row>
    <row r="278">
      <c r="A278" s="78" t="inlineStr">
        <is>
          <t>Wednesday, February 1, 2023</t>
        </is>
      </c>
      <c r="B278" t="inlineStr">
        <is>
          <t>6:30 AM ET</t>
        </is>
      </c>
      <c r="C278" t="inlineStr">
        <is>
          <t>CPG</t>
        </is>
      </c>
      <c r="D278" t="inlineStr">
        <is>
          <t>Crescent Point Energy Corp.</t>
        </is>
      </c>
      <c r="E278" t="n">
        <v>3974.94</v>
      </c>
      <c r="F278" t="inlineStr">
        <is>
          <t>$0.28</t>
        </is>
      </c>
      <c r="G278" t="inlineStr">
        <is>
          <t>$737.46 M</t>
        </is>
      </c>
      <c r="H278" t="inlineStr">
        <is>
          <t>3.2%</t>
        </is>
      </c>
    </row>
    <row r="279">
      <c r="A279" s="78" t="inlineStr">
        <is>
          <t>Wednesday, February 1, 2023</t>
        </is>
      </c>
      <c r="B279" t="inlineStr">
        <is>
          <t>4:15 PM ET</t>
        </is>
      </c>
      <c r="C279" t="inlineStr">
        <is>
          <t>DXC</t>
        </is>
      </c>
      <c r="D279" t="inlineStr">
        <is>
          <t>DXC Technology Company</t>
        </is>
      </c>
      <c r="E279" t="n">
        <v>6694.9</v>
      </c>
      <c r="F279" t="inlineStr">
        <is>
          <t>$0.84</t>
        </is>
      </c>
      <c r="G279" t="inlineStr">
        <is>
          <t>$3.58 B</t>
        </is>
      </c>
      <c r="H279" t="inlineStr">
        <is>
          <t>-12.4%</t>
        </is>
      </c>
    </row>
    <row r="280">
      <c r="A280" s="78" t="inlineStr">
        <is>
          <t>Wednesday, February 1, 2023</t>
        </is>
      </c>
      <c r="B280" t="inlineStr">
        <is>
          <t>6:30 AM ET</t>
        </is>
      </c>
      <c r="C280" t="inlineStr">
        <is>
          <t>DT</t>
        </is>
      </c>
      <c r="D280" t="inlineStr">
        <is>
          <t>Dynatrace, Inc</t>
        </is>
      </c>
      <c r="E280" t="n">
        <v>10808.88</v>
      </c>
      <c r="F280" t="inlineStr">
        <is>
          <t>$0.11</t>
        </is>
      </c>
      <c r="G280" t="inlineStr">
        <is>
          <t>$285.17 M</t>
        </is>
      </c>
      <c r="H280" t="inlineStr">
        <is>
          <t>18.4%</t>
        </is>
      </c>
    </row>
    <row r="281">
      <c r="A281" s="78" t="inlineStr">
        <is>
          <t>Wednesday, February 1, 2023</t>
        </is>
      </c>
      <c r="B281" t="inlineStr">
        <is>
          <t>6:00 AM ET</t>
        </is>
      </c>
      <c r="C281" t="inlineStr">
        <is>
          <t>ENOV</t>
        </is>
      </c>
      <c r="D281" t="inlineStr">
        <is>
          <t>Enovis Corporation</t>
        </is>
      </c>
      <c r="E281" t="n">
        <v>3136.35</v>
      </c>
      <c r="F281" t="inlineStr">
        <is>
          <t>$0.69</t>
        </is>
      </c>
      <c r="G281" t="inlineStr">
        <is>
          <t>$414.85 M</t>
        </is>
      </c>
      <c r="H281" t="inlineStr">
        <is>
          <t>-</t>
        </is>
      </c>
    </row>
    <row r="282">
      <c r="A282" s="78" t="inlineStr">
        <is>
          <t>Wednesday, February 1, 2023</t>
        </is>
      </c>
      <c r="B282" t="inlineStr">
        <is>
          <t>6:05 AM ET</t>
        </is>
      </c>
      <c r="C282" t="inlineStr">
        <is>
          <t>EPD</t>
        </is>
      </c>
      <c r="D282" t="inlineStr">
        <is>
          <t>Enterprise Products Partners L.P.</t>
        </is>
      </c>
      <c r="E282" t="n">
        <v>55585.8</v>
      </c>
      <c r="F282" t="inlineStr">
        <is>
          <t>$0.61</t>
        </is>
      </c>
      <c r="G282" t="inlineStr">
        <is>
          <t>$14.30 B</t>
        </is>
      </c>
      <c r="H282" t="inlineStr">
        <is>
          <t>25.8%</t>
        </is>
      </c>
    </row>
    <row r="283">
      <c r="A283" s="78" t="inlineStr">
        <is>
          <t>Wednesday, February 1, 2023</t>
        </is>
      </c>
      <c r="B283" t="inlineStr">
        <is>
          <t>7:10 PM ET</t>
        </is>
      </c>
      <c r="C283" t="inlineStr">
        <is>
          <t>EVA</t>
        </is>
      </c>
      <c r="D283" t="inlineStr">
        <is>
          <t>Enviva Partners, LP</t>
        </is>
      </c>
      <c r="E283" t="n">
        <v>3346.93</v>
      </c>
      <c r="F283" t="inlineStr">
        <is>
          <t>$0.67</t>
        </is>
      </c>
      <c r="G283" t="inlineStr">
        <is>
          <t>$449.88 M</t>
        </is>
      </c>
      <c r="H283" t="inlineStr">
        <is>
          <t>-</t>
        </is>
      </c>
    </row>
    <row r="284">
      <c r="A284" s="78" t="inlineStr">
        <is>
          <t>Wednesday, February 1, 2023</t>
        </is>
      </c>
      <c r="B284" t="inlineStr">
        <is>
          <t>6:45 AM ET</t>
        </is>
      </c>
      <c r="C284" t="inlineStr">
        <is>
          <t>EVR</t>
        </is>
      </c>
      <c r="D284" t="inlineStr">
        <is>
          <t>Evercore</t>
        </is>
      </c>
      <c r="E284" t="n">
        <v>4909.87</v>
      </c>
      <c r="F284" t="inlineStr">
        <is>
          <t>$2.65</t>
        </is>
      </c>
      <c r="G284" t="inlineStr">
        <is>
          <t>$609.33 M</t>
        </is>
      </c>
      <c r="H284" t="inlineStr">
        <is>
          <t>-45.4%</t>
        </is>
      </c>
    </row>
    <row r="285">
      <c r="A285" s="78" t="inlineStr">
        <is>
          <t>Wednesday, February 1, 2023</t>
        </is>
      </c>
      <c r="B285" t="inlineStr">
        <is>
          <t>8:05 AM ET</t>
        </is>
      </c>
      <c r="C285" t="inlineStr">
        <is>
          <t>RACE</t>
        </is>
      </c>
      <c r="D285" t="inlineStr">
        <is>
          <t>Ferrari N.V.</t>
        </is>
      </c>
      <c r="E285" t="n">
        <v>43944.13</v>
      </c>
      <c r="F285" t="inlineStr">
        <is>
          <t>$1.16</t>
        </is>
      </c>
      <c r="G285" t="inlineStr">
        <is>
          <t>$1.31 B</t>
        </is>
      </c>
      <c r="H285" t="inlineStr">
        <is>
          <t>-2.3%</t>
        </is>
      </c>
    </row>
    <row r="286">
      <c r="A286" s="78" t="inlineStr">
        <is>
          <t>Wednesday, February 1, 2023</t>
        </is>
      </c>
      <c r="B286" t="inlineStr">
        <is>
          <t>7:30 AM ET</t>
        </is>
      </c>
      <c r="C286" t="inlineStr">
        <is>
          <t>FTV</t>
        </is>
      </c>
      <c r="D286" t="inlineStr">
        <is>
          <t>Fortive Corporation</t>
        </is>
      </c>
      <c r="E286" t="n">
        <v>23821.91</v>
      </c>
      <c r="F286" t="inlineStr">
        <is>
          <t>$0.84</t>
        </is>
      </c>
      <c r="G286" t="inlineStr">
        <is>
          <t>$1.48 B</t>
        </is>
      </c>
      <c r="H286" t="inlineStr">
        <is>
          <t>7.7%</t>
        </is>
      </c>
    </row>
    <row r="287">
      <c r="A287" s="78" t="inlineStr">
        <is>
          <t>Wednesday, February 1, 2023</t>
        </is>
      </c>
      <c r="B287" t="inlineStr">
        <is>
          <t>4:10 PM ET</t>
        </is>
      </c>
      <c r="C287" t="inlineStr">
        <is>
          <t>GL</t>
        </is>
      </c>
      <c r="D287" t="inlineStr">
        <is>
          <t>Globe Life Inc.</t>
        </is>
      </c>
      <c r="E287" t="n">
        <v>11726.9</v>
      </c>
      <c r="F287" t="inlineStr">
        <is>
          <t>$2.18</t>
        </is>
      </c>
      <c r="G287" t="inlineStr">
        <is>
          <t>$1.33 B</t>
        </is>
      </c>
      <c r="H287" t="inlineStr">
        <is>
          <t>2.5%</t>
        </is>
      </c>
    </row>
    <row r="288">
      <c r="A288" s="78" t="inlineStr">
        <is>
          <t>Wednesday, February 1, 2023</t>
        </is>
      </c>
      <c r="B288" t="inlineStr">
        <is>
          <t>4:05 PM ET</t>
        </is>
      </c>
      <c r="C288" t="inlineStr">
        <is>
          <t>THG</t>
        </is>
      </c>
      <c r="D288" t="inlineStr">
        <is>
          <t>Hanover Insurance Group, Inc.</t>
        </is>
      </c>
      <c r="E288" t="n">
        <v>4740.46</v>
      </c>
      <c r="F288" t="inlineStr">
        <is>
          <t>$2.19</t>
        </is>
      </c>
      <c r="G288" t="inlineStr">
        <is>
          <t>$1.44 B</t>
        </is>
      </c>
      <c r="H288" t="inlineStr">
        <is>
          <t>4.5%</t>
        </is>
      </c>
    </row>
    <row r="289">
      <c r="A289" s="78" t="inlineStr">
        <is>
          <t>Wednesday, February 1, 2023</t>
        </is>
      </c>
      <c r="B289" t="inlineStr">
        <is>
          <t>4:00 PM ET</t>
        </is>
      </c>
      <c r="C289" t="inlineStr">
        <is>
          <t>HOLX</t>
        </is>
      </c>
      <c r="D289" t="inlineStr">
        <is>
          <t>Hologic, Inc.</t>
        </is>
      </c>
      <c r="E289" t="n">
        <v>19533.95</v>
      </c>
      <c r="F289" t="inlineStr">
        <is>
          <t>$0.91</t>
        </is>
      </c>
      <c r="G289" t="inlineStr">
        <is>
          <t>$962.24 M</t>
        </is>
      </c>
      <c r="H289" t="inlineStr">
        <is>
          <t>-34.6%</t>
        </is>
      </c>
    </row>
    <row r="290">
      <c r="A290" s="78" t="inlineStr">
        <is>
          <t>Wednesday, February 1, 2023</t>
        </is>
      </c>
      <c r="B290" t="inlineStr">
        <is>
          <t>7:00 AM ET</t>
        </is>
      </c>
      <c r="C290" t="inlineStr">
        <is>
          <t>HZNP</t>
        </is>
      </c>
      <c r="D290" t="inlineStr">
        <is>
          <t>Horizon Therapeutics plc</t>
        </is>
      </c>
      <c r="E290" t="n">
        <v>25633.15</v>
      </c>
      <c r="F290" t="inlineStr">
        <is>
          <t>$1.09</t>
        </is>
      </c>
      <c r="G290" t="inlineStr">
        <is>
          <t>$920.32 M</t>
        </is>
      </c>
      <c r="H290" t="inlineStr">
        <is>
          <t>-9.3%</t>
        </is>
      </c>
    </row>
    <row r="291">
      <c r="A291" s="78" t="inlineStr">
        <is>
          <t>Wednesday, February 1, 2023</t>
        </is>
      </c>
      <c r="B291" t="inlineStr">
        <is>
          <t>4:05 PM ET</t>
        </is>
      </c>
      <c r="C291" t="inlineStr">
        <is>
          <t>TWNK</t>
        </is>
      </c>
      <c r="D291" t="inlineStr">
        <is>
          <t>Hostess Brands, Inc.</t>
        </is>
      </c>
      <c r="E291" t="n">
        <v>3078.06</v>
      </c>
      <c r="F291" t="inlineStr">
        <is>
          <t>$0.24</t>
        </is>
      </c>
      <c r="G291" t="inlineStr">
        <is>
          <t>$329.39 M</t>
        </is>
      </c>
      <c r="H291" t="inlineStr">
        <is>
          <t>10.8%</t>
        </is>
      </c>
    </row>
    <row r="292">
      <c r="A292" s="78" t="inlineStr">
        <is>
          <t>Wednesday, February 1, 2023</t>
        </is>
      </c>
      <c r="B292" t="inlineStr">
        <is>
          <t>6:30 AM ET</t>
        </is>
      </c>
      <c r="C292" t="inlineStr">
        <is>
          <t>HUM</t>
        </is>
      </c>
      <c r="D292" t="inlineStr">
        <is>
          <t>Humana, Inc.</t>
        </is>
      </c>
      <c r="E292" t="n">
        <v>62092.39</v>
      </c>
      <c r="F292" t="inlineStr">
        <is>
          <t>$1.47</t>
        </is>
      </c>
      <c r="G292" t="inlineStr">
        <is>
          <t>$22.47 B</t>
        </is>
      </c>
      <c r="H292" t="inlineStr">
        <is>
          <t>6.7%</t>
        </is>
      </c>
    </row>
    <row r="293">
      <c r="A293" s="78" t="inlineStr">
        <is>
          <t>Wednesday, February 1, 2023</t>
        </is>
      </c>
      <c r="B293" t="inlineStr">
        <is>
          <t>7:00 AM ET</t>
        </is>
      </c>
      <c r="C293" t="inlineStr">
        <is>
          <t>IEX</t>
        </is>
      </c>
      <c r="D293" t="inlineStr">
        <is>
          <t>IDEX Corporation</t>
        </is>
      </c>
      <c r="E293" t="n">
        <v>17852.18</v>
      </c>
      <c r="F293" t="inlineStr">
        <is>
          <t>$1.97</t>
        </is>
      </c>
      <c r="G293" t="inlineStr">
        <is>
          <t>$761.53 M</t>
        </is>
      </c>
      <c r="H293" t="inlineStr">
        <is>
          <t>6.5%</t>
        </is>
      </c>
    </row>
    <row r="294">
      <c r="A294" s="78" t="inlineStr">
        <is>
          <t>Wednesday, February 1, 2023</t>
        </is>
      </c>
      <c r="B294" t="inlineStr">
        <is>
          <t>6:30 AM ET</t>
        </is>
      </c>
      <c r="C294" t="inlineStr">
        <is>
          <t>IDXX</t>
        </is>
      </c>
      <c r="D294" t="inlineStr">
        <is>
          <t>IDEXX Laboratories, Inc.</t>
        </is>
      </c>
      <c r="E294" t="n">
        <v>39767.88</v>
      </c>
      <c r="F294" t="inlineStr">
        <is>
          <t>$1.93</t>
        </is>
      </c>
      <c r="G294" t="inlineStr">
        <is>
          <t>$819.38 M</t>
        </is>
      </c>
      <c r="H294" t="inlineStr">
        <is>
          <t>2.3%</t>
        </is>
      </c>
    </row>
    <row r="295">
      <c r="A295" s="78" t="inlineStr">
        <is>
          <t>Wednesday, February 1, 2023</t>
        </is>
      </c>
      <c r="B295" t="inlineStr">
        <is>
          <t>6:55 AM ET</t>
        </is>
      </c>
      <c r="C295" t="inlineStr">
        <is>
          <t>JCI</t>
        </is>
      </c>
      <c r="D295" t="inlineStr">
        <is>
          <t>Johnson Controls, Inc.</t>
        </is>
      </c>
      <c r="E295" t="n">
        <v>46537.92</v>
      </c>
      <c r="F295" t="inlineStr">
        <is>
          <t>$0.66</t>
        </is>
      </c>
      <c r="G295" t="inlineStr">
        <is>
          <t>$6.19 B</t>
        </is>
      </c>
      <c r="H295" t="inlineStr">
        <is>
          <t>5.6%</t>
        </is>
      </c>
    </row>
    <row r="296">
      <c r="A296" s="78" t="inlineStr">
        <is>
          <t>Wednesday, February 1, 2023</t>
        </is>
      </c>
      <c r="B296" t="inlineStr">
        <is>
          <t>4:45 PM ET</t>
        </is>
      </c>
      <c r="C296" t="inlineStr">
        <is>
          <t>KRC</t>
        </is>
      </c>
      <c r="D296" t="inlineStr">
        <is>
          <t>Kilroy Realty Corp.</t>
        </is>
      </c>
      <c r="E296" t="n">
        <v>4768.6</v>
      </c>
      <c r="F296" t="inlineStr">
        <is>
          <t>$1.15</t>
        </is>
      </c>
      <c r="G296" t="inlineStr">
        <is>
          <t>$277.20 M</t>
        </is>
      </c>
      <c r="H296" t="inlineStr">
        <is>
          <t>6.2%</t>
        </is>
      </c>
    </row>
    <row r="297">
      <c r="A297" s="78" t="inlineStr">
        <is>
          <t>Wednesday, February 1, 2023</t>
        </is>
      </c>
      <c r="B297" t="inlineStr">
        <is>
          <t>4:15 PM ET</t>
        </is>
      </c>
      <c r="C297" t="inlineStr">
        <is>
          <t>LSTR</t>
        </is>
      </c>
      <c r="D297" t="inlineStr">
        <is>
          <t>Landstar System, Inc.</t>
        </is>
      </c>
      <c r="E297" t="n">
        <v>6049.46</v>
      </c>
      <c r="F297" t="inlineStr">
        <is>
          <t>$2.62</t>
        </is>
      </c>
      <c r="G297" t="inlineStr">
        <is>
          <t>$1.77 B</t>
        </is>
      </c>
      <c r="H297" t="inlineStr">
        <is>
          <t>-9.0%</t>
        </is>
      </c>
    </row>
    <row r="298">
      <c r="A298" s="78" t="inlineStr">
        <is>
          <t>Wednesday, February 1, 2023</t>
        </is>
      </c>
      <c r="B298" t="inlineStr">
        <is>
          <t>4:05 PM ET</t>
        </is>
      </c>
      <c r="C298" t="inlineStr">
        <is>
          <t>LVS</t>
        </is>
      </c>
      <c r="D298" t="inlineStr">
        <is>
          <t>Las Vegas Sands Corp</t>
        </is>
      </c>
      <c r="E298" t="n">
        <v>41608.85</v>
      </c>
      <c r="F298" t="inlineStr">
        <is>
          <t>($0.10)</t>
        </is>
      </c>
      <c r="G298" t="inlineStr">
        <is>
          <t>$1.20 B</t>
        </is>
      </c>
      <c r="H298" t="inlineStr">
        <is>
          <t>19.0%</t>
        </is>
      </c>
    </row>
    <row r="299">
      <c r="A299" s="78" t="inlineStr">
        <is>
          <t>Wednesday, February 1, 2023</t>
        </is>
      </c>
      <c r="B299" t="inlineStr">
        <is>
          <t>5:00 PM ET</t>
        </is>
      </c>
      <c r="C299" t="inlineStr">
        <is>
          <t>LFUS</t>
        </is>
      </c>
      <c r="D299" t="inlineStr">
        <is>
          <t>Littelfuse Inc.</t>
        </is>
      </c>
      <c r="E299" t="n">
        <v>6088.22</v>
      </c>
      <c r="F299" t="inlineStr">
        <is>
          <t>$3.24</t>
        </is>
      </c>
      <c r="G299" t="inlineStr">
        <is>
          <t>$615.93 M</t>
        </is>
      </c>
      <c r="H299" t="inlineStr">
        <is>
          <t>11.4%</t>
        </is>
      </c>
    </row>
    <row r="300">
      <c r="A300" s="78" t="inlineStr">
        <is>
          <t>Wednesday, February 1, 2023</t>
        </is>
      </c>
      <c r="B300" t="inlineStr">
        <is>
          <t>4:10 PM ET</t>
        </is>
      </c>
      <c r="C300" t="inlineStr">
        <is>
          <t>MCK</t>
        </is>
      </c>
      <c r="D300" t="inlineStr">
        <is>
          <t>McKesson Corp.</t>
        </is>
      </c>
      <c r="E300" t="n">
        <v>54373.55</v>
      </c>
      <c r="F300" t="inlineStr">
        <is>
          <t>$6.34</t>
        </is>
      </c>
      <c r="G300" t="inlineStr">
        <is>
          <t>$69.79 B</t>
        </is>
      </c>
      <c r="H300" t="inlineStr">
        <is>
          <t>1.7%</t>
        </is>
      </c>
    </row>
    <row r="301">
      <c r="A301" s="78" t="inlineStr">
        <is>
          <t>Wednesday, February 1, 2023</t>
        </is>
      </c>
      <c r="B301" t="inlineStr">
        <is>
          <t>7:55 AM ET</t>
        </is>
      </c>
      <c r="C301" t="inlineStr">
        <is>
          <t>MLCO</t>
        </is>
      </c>
      <c r="D301" t="inlineStr">
        <is>
          <t>Melco Resorts &amp; Entertainment Limited</t>
        </is>
      </c>
      <c r="E301" t="n">
        <v>5821.76</v>
      </c>
      <c r="F301" t="inlineStr">
        <is>
          <t>($0.62)</t>
        </is>
      </c>
      <c r="G301" t="inlineStr">
        <is>
          <t>$361.50 M</t>
        </is>
      </c>
      <c r="H301" t="inlineStr">
        <is>
          <t>-24.8%</t>
        </is>
      </c>
    </row>
    <row r="302">
      <c r="A302" s="78" t="inlineStr">
        <is>
          <t>Wednesday, February 1, 2023</t>
        </is>
      </c>
      <c r="B302" t="inlineStr">
        <is>
          <t>4:30 PM ET</t>
        </is>
      </c>
      <c r="C302" t="inlineStr">
        <is>
          <t>MTH</t>
        </is>
      </c>
      <c r="D302" t="inlineStr">
        <is>
          <t>Meritage Homes Corporation</t>
        </is>
      </c>
      <c r="E302" t="n">
        <v>3652.02</v>
      </c>
      <c r="F302" t="inlineStr">
        <is>
          <t>$6.92</t>
        </is>
      </c>
      <c r="G302" t="inlineStr">
        <is>
          <t>$1.85 B</t>
        </is>
      </c>
      <c r="H302" t="inlineStr">
        <is>
          <t>23.0%</t>
        </is>
      </c>
    </row>
    <row r="303">
      <c r="A303" s="78" t="inlineStr">
        <is>
          <t>Wednesday, February 1, 2023</t>
        </is>
      </c>
      <c r="B303" t="inlineStr">
        <is>
          <t>4:05 PM ET</t>
        </is>
      </c>
      <c r="C303" t="inlineStr">
        <is>
          <t>META</t>
        </is>
      </c>
      <c r="D303" t="inlineStr">
        <is>
          <t>Meta Platforms, Inc.</t>
        </is>
      </c>
      <c r="E303" t="n">
        <v>358913.63</v>
      </c>
      <c r="F303" t="inlineStr">
        <is>
          <t>$2.12</t>
        </is>
      </c>
      <c r="G303" t="inlineStr">
        <is>
          <t>$31.64 B</t>
        </is>
      </c>
      <c r="H303" t="inlineStr">
        <is>
          <t>-6.0%</t>
        </is>
      </c>
    </row>
    <row r="304">
      <c r="A304" s="78" t="inlineStr">
        <is>
          <t>Wednesday, February 1, 2023</t>
        </is>
      </c>
      <c r="B304" t="inlineStr">
        <is>
          <t>4:15 PM ET</t>
        </is>
      </c>
      <c r="C304" t="inlineStr">
        <is>
          <t>MET</t>
        </is>
      </c>
      <c r="D304" t="inlineStr">
        <is>
          <t>Metlife Inc.</t>
        </is>
      </c>
      <c r="E304" t="n">
        <v>56154.27</v>
      </c>
      <c r="F304" t="inlineStr">
        <is>
          <t>$1.80</t>
        </is>
      </c>
      <c r="G304" t="inlineStr">
        <is>
          <t>$17.01 B</t>
        </is>
      </c>
      <c r="H304" t="inlineStr">
        <is>
          <t>-15.3%</t>
        </is>
      </c>
    </row>
    <row r="305">
      <c r="A305" s="78" t="inlineStr">
        <is>
          <t>Wednesday, February 1, 2023</t>
        </is>
      </c>
      <c r="B305" t="inlineStr">
        <is>
          <t>4:10 PM ET</t>
        </is>
      </c>
      <c r="C305" t="inlineStr">
        <is>
          <t>MTG</t>
        </is>
      </c>
      <c r="D305" t="inlineStr">
        <is>
          <t>MGIC Investment Corp.</t>
        </is>
      </c>
      <c r="E305" t="n">
        <v>3962.32</v>
      </c>
      <c r="F305" t="inlineStr">
        <is>
          <t>$0.59</t>
        </is>
      </c>
      <c r="G305" t="inlineStr">
        <is>
          <t>$334.06 M</t>
        </is>
      </c>
      <c r="H305" t="inlineStr">
        <is>
          <t>13.6%</t>
        </is>
      </c>
    </row>
    <row r="306">
      <c r="A306" s="78" t="inlineStr">
        <is>
          <t>Wednesday, February 1, 2023</t>
        </is>
      </c>
      <c r="B306" t="inlineStr">
        <is>
          <t>4:15 PM ET</t>
        </is>
      </c>
      <c r="C306" t="inlineStr">
        <is>
          <t>MAA</t>
        </is>
      </c>
      <c r="D306" t="inlineStr">
        <is>
          <t>Mid-America Apartment Communities, Inc.</t>
        </is>
      </c>
      <c r="E306" t="n">
        <v>18634.53</v>
      </c>
      <c r="F306" t="inlineStr">
        <is>
          <t>$2.28</t>
        </is>
      </c>
      <c r="G306" t="inlineStr">
        <is>
          <t>$515.79 M</t>
        </is>
      </c>
      <c r="H306" t="inlineStr">
        <is>
          <t>11.3%</t>
        </is>
      </c>
    </row>
    <row r="307">
      <c r="A307" s="78" t="inlineStr">
        <is>
          <t>Wednesday, February 1, 2023</t>
        </is>
      </c>
      <c r="B307" t="inlineStr">
        <is>
          <t>4:30 PM ET</t>
        </is>
      </c>
      <c r="C307" t="inlineStr">
        <is>
          <t>MKSI</t>
        </is>
      </c>
      <c r="D307" t="inlineStr">
        <is>
          <t>MKS Instruments, Inc.</t>
        </is>
      </c>
      <c r="E307" t="n">
        <v>6640.7</v>
      </c>
      <c r="F307" t="inlineStr">
        <is>
          <t>$1.32</t>
        </is>
      </c>
      <c r="G307" t="inlineStr">
        <is>
          <t>$996.70 M</t>
        </is>
      </c>
      <c r="H307" t="inlineStr">
        <is>
          <t>30.5%</t>
        </is>
      </c>
    </row>
    <row r="308">
      <c r="A308" s="78" t="inlineStr">
        <is>
          <t>Wednesday, February 1, 2023</t>
        </is>
      </c>
      <c r="B308" t="inlineStr">
        <is>
          <t>4:30 PM ET</t>
        </is>
      </c>
      <c r="C308" t="inlineStr">
        <is>
          <t>MUSA</t>
        </is>
      </c>
      <c r="D308" t="inlineStr">
        <is>
          <t>Murphy USA Inc.</t>
        </is>
      </c>
      <c r="E308" t="n">
        <v>6053.38</v>
      </c>
      <c r="F308" t="inlineStr">
        <is>
          <t>$3.67</t>
        </is>
      </c>
      <c r="G308" t="inlineStr">
        <is>
          <t>$5.66 B</t>
        </is>
      </c>
      <c r="H308" t="inlineStr">
        <is>
          <t>18.7%</t>
        </is>
      </c>
    </row>
    <row r="309">
      <c r="A309" s="78" t="inlineStr">
        <is>
          <t>Wednesday, February 1, 2023</t>
        </is>
      </c>
      <c r="B309" t="inlineStr">
        <is>
          <t>7:00 AM ET</t>
        </is>
      </c>
      <c r="C309" t="inlineStr">
        <is>
          <t>ODFL</t>
        </is>
      </c>
      <c r="D309" t="inlineStr">
        <is>
          <t>Old Dominion Freight Line Inc.</t>
        </is>
      </c>
      <c r="E309" t="n">
        <v>34755.31</v>
      </c>
      <c r="F309" t="inlineStr">
        <is>
          <t>$2.68</t>
        </is>
      </c>
      <c r="G309" t="inlineStr">
        <is>
          <t>$1.53 B</t>
        </is>
      </c>
      <c r="H309" t="inlineStr">
        <is>
          <t>8.5%</t>
        </is>
      </c>
    </row>
    <row r="310">
      <c r="A310" s="78" t="inlineStr">
        <is>
          <t>Wednesday, February 1, 2023</t>
        </is>
      </c>
      <c r="B310" t="inlineStr">
        <is>
          <t>6:15 AM ET</t>
        </is>
      </c>
      <c r="C310" t="inlineStr">
        <is>
          <t>OTIS</t>
        </is>
      </c>
      <c r="D310" t="inlineStr">
        <is>
          <t>Otis Worldwide Corporation</t>
        </is>
      </c>
      <c r="E310" t="n">
        <v>34568.32</v>
      </c>
      <c r="F310" t="inlineStr">
        <is>
          <t>$0.73</t>
        </is>
      </c>
      <c r="G310" t="inlineStr">
        <is>
          <t>$3.46 B</t>
        </is>
      </c>
      <c r="H310" t="inlineStr">
        <is>
          <t>-3.1%</t>
        </is>
      </c>
    </row>
    <row r="311">
      <c r="A311" s="78" t="inlineStr">
        <is>
          <t>Wednesday, February 1, 2023</t>
        </is>
      </c>
      <c r="B311" t="inlineStr">
        <is>
          <t>4:15 PM ET</t>
        </is>
      </c>
      <c r="C311" t="inlineStr">
        <is>
          <t>PDCE</t>
        </is>
      </c>
      <c r="D311" t="inlineStr">
        <is>
          <t>PDC Energy, Inc.</t>
        </is>
      </c>
      <c r="E311" t="n">
        <v>6134.99</v>
      </c>
      <c r="F311" t="inlineStr">
        <is>
          <t>$3.24</t>
        </is>
      </c>
      <c r="G311" t="inlineStr">
        <is>
          <t>$1.02 B</t>
        </is>
      </c>
      <c r="H311" t="inlineStr">
        <is>
          <t>19.3%</t>
        </is>
      </c>
    </row>
    <row r="312">
      <c r="A312" s="78" t="inlineStr">
        <is>
          <t>Wednesday, February 1, 2023</t>
        </is>
      </c>
      <c r="B312" t="inlineStr">
        <is>
          <t>7:00 AM ET</t>
        </is>
      </c>
      <c r="C312" t="inlineStr">
        <is>
          <t>PTON</t>
        </is>
      </c>
      <c r="D312" t="inlineStr">
        <is>
          <t>Peloton Interactive</t>
        </is>
      </c>
      <c r="E312" t="n">
        <v>4060.24</v>
      </c>
      <c r="F312" t="inlineStr">
        <is>
          <t>($0.66)</t>
        </is>
      </c>
      <c r="G312" t="inlineStr">
        <is>
          <t>$712.71 M</t>
        </is>
      </c>
      <c r="H312" t="inlineStr">
        <is>
          <t>-37.1%</t>
        </is>
      </c>
    </row>
    <row r="313">
      <c r="A313" s="78" t="inlineStr">
        <is>
          <t>Wednesday, February 1, 2023</t>
        </is>
      </c>
      <c r="B313" t="inlineStr">
        <is>
          <t>4:00 PM ET</t>
        </is>
      </c>
      <c r="C313" t="inlineStr">
        <is>
          <t>QRVO</t>
        </is>
      </c>
      <c r="D313" t="inlineStr">
        <is>
          <t>Qorvo, Inc.</t>
        </is>
      </c>
      <c r="E313" t="n">
        <v>10267.71</v>
      </c>
      <c r="F313" t="inlineStr">
        <is>
          <t>$0.41</t>
        </is>
      </c>
      <c r="G313" t="inlineStr">
        <is>
          <t>$726.67 M</t>
        </is>
      </c>
      <c r="H313" t="inlineStr">
        <is>
          <t>-34.8%</t>
        </is>
      </c>
    </row>
    <row r="314">
      <c r="A314" s="78" t="inlineStr">
        <is>
          <t>Wednesday, February 1, 2023</t>
        </is>
      </c>
      <c r="B314" t="inlineStr">
        <is>
          <t>4:10 PM ET</t>
        </is>
      </c>
      <c r="C314" t="inlineStr">
        <is>
          <t>RYN</t>
        </is>
      </c>
      <c r="D314" t="inlineStr">
        <is>
          <t>Rayonier Inc.</t>
        </is>
      </c>
      <c r="E314" t="n">
        <v>5038.45</v>
      </c>
      <c r="F314" t="inlineStr">
        <is>
          <t>$0.10</t>
        </is>
      </c>
      <c r="G314" t="inlineStr">
        <is>
          <t>$233.10 M</t>
        </is>
      </c>
      <c r="H314" t="inlineStr">
        <is>
          <t>-11.0%</t>
        </is>
      </c>
    </row>
    <row r="315">
      <c r="A315" s="78" t="inlineStr">
        <is>
          <t>Wednesday, February 1, 2023</t>
        </is>
      </c>
      <c r="B315" t="inlineStr">
        <is>
          <t>7:20 PM ET</t>
        </is>
      </c>
      <c r="C315" t="inlineStr">
        <is>
          <t>RRX</t>
        </is>
      </c>
      <c r="D315" t="inlineStr">
        <is>
          <t>Regal Rexnord Corporation</t>
        </is>
      </c>
      <c r="E315" t="n">
        <v>9038.24</v>
      </c>
      <c r="F315" t="inlineStr">
        <is>
          <t>$2.30</t>
        </is>
      </c>
      <c r="G315" t="inlineStr">
        <is>
          <t>$1.28 B</t>
        </is>
      </c>
      <c r="H315" t="inlineStr">
        <is>
          <t>5.2%</t>
        </is>
      </c>
    </row>
    <row r="316">
      <c r="A316" s="78" t="inlineStr">
        <is>
          <t>Wednesday, February 1, 2023</t>
        </is>
      </c>
      <c r="B316" t="inlineStr">
        <is>
          <t>6:45 AM ET</t>
        </is>
      </c>
      <c r="C316" t="inlineStr">
        <is>
          <t>RITM</t>
        </is>
      </c>
      <c r="D316" t="inlineStr">
        <is>
          <t>Rithm Capital Corp</t>
        </is>
      </c>
      <c r="E316" t="n">
        <v>4187.64</v>
      </c>
      <c r="F316" t="inlineStr">
        <is>
          <t>$0.29</t>
        </is>
      </c>
      <c r="G316" t="inlineStr">
        <is>
          <t>$765.00 M</t>
        </is>
      </c>
      <c r="H316" t="inlineStr">
        <is>
          <t>-</t>
        </is>
      </c>
    </row>
    <row r="317">
      <c r="A317" s="78" t="inlineStr">
        <is>
          <t>Wednesday, February 1, 2023</t>
        </is>
      </c>
      <c r="B317" t="inlineStr">
        <is>
          <t>4:30 PM ET</t>
        </is>
      </c>
      <c r="C317" t="inlineStr">
        <is>
          <t>SLM</t>
        </is>
      </c>
      <c r="D317" t="inlineStr">
        <is>
          <t>Sallie Mae</t>
        </is>
      </c>
      <c r="E317" t="n">
        <v>4218.32</v>
      </c>
      <c r="F317" t="inlineStr">
        <is>
          <t>$0.46</t>
        </is>
      </c>
      <c r="G317" t="inlineStr">
        <is>
          <t>$369.64 M</t>
        </is>
      </c>
      <c r="H317" t="inlineStr">
        <is>
          <t>-39.5%</t>
        </is>
      </c>
    </row>
    <row r="318">
      <c r="A318" s="78" t="inlineStr">
        <is>
          <t>Wednesday, February 1, 2023</t>
        </is>
      </c>
      <c r="B318" t="inlineStr">
        <is>
          <t>4:05 PM ET</t>
        </is>
      </c>
      <c r="C318" t="inlineStr">
        <is>
          <t>SRPT</t>
        </is>
      </c>
      <c r="D318" t="inlineStr">
        <is>
          <t>Sarepta Therapeutics, Inc.</t>
        </is>
      </c>
      <c r="E318" t="n">
        <v>11411.74</v>
      </c>
      <c r="F318" t="inlineStr">
        <is>
          <t>($1.33)</t>
        </is>
      </c>
      <c r="G318" t="inlineStr">
        <is>
          <t>$248.51 M</t>
        </is>
      </c>
      <c r="H318" t="inlineStr">
        <is>
          <t>23.4%</t>
        </is>
      </c>
    </row>
    <row r="319">
      <c r="A319" s="78" t="inlineStr">
        <is>
          <t>Wednesday, February 1, 2023</t>
        </is>
      </c>
      <c r="B319" t="inlineStr">
        <is>
          <t>7:00 AM ET</t>
        </is>
      </c>
      <c r="C319" t="inlineStr">
        <is>
          <t>SMG</t>
        </is>
      </c>
      <c r="D319" t="inlineStr">
        <is>
          <t>Scotts Miracle-Gro Company</t>
        </is>
      </c>
      <c r="E319" t="n">
        <v>3448.24</v>
      </c>
      <c r="F319" t="inlineStr">
        <is>
          <t>($1.36)</t>
        </is>
      </c>
      <c r="G319" t="inlineStr">
        <is>
          <t>$505.69 M</t>
        </is>
      </c>
      <c r="H319" t="inlineStr">
        <is>
          <t>-10.7%</t>
        </is>
      </c>
    </row>
    <row r="320">
      <c r="A320" s="78" t="inlineStr">
        <is>
          <t>Wednesday, February 1, 2023</t>
        </is>
      </c>
      <c r="B320" t="inlineStr">
        <is>
          <t>7:05 AM ET</t>
        </is>
      </c>
      <c r="C320" t="inlineStr">
        <is>
          <t>SLAB</t>
        </is>
      </c>
      <c r="D320" t="inlineStr">
        <is>
          <t>Silicon Laboratories Inc.</t>
        </is>
      </c>
      <c r="E320" t="n">
        <v>5016.4</v>
      </c>
      <c r="F320" t="inlineStr">
        <is>
          <t>$0.64</t>
        </is>
      </c>
      <c r="G320" t="inlineStr">
        <is>
          <t>$273.54 M</t>
        </is>
      </c>
      <c r="H320" t="inlineStr">
        <is>
          <t>31.1%</t>
        </is>
      </c>
    </row>
    <row r="321">
      <c r="A321" s="78" t="inlineStr">
        <is>
          <t>Wednesday, February 1, 2023</t>
        </is>
      </c>
      <c r="B321" t="inlineStr">
        <is>
          <t>7:00 AM ET</t>
        </is>
      </c>
      <c r="C321" t="inlineStr">
        <is>
          <t>SHC</t>
        </is>
      </c>
      <c r="D321" t="inlineStr">
        <is>
          <t>Sotera Health Company</t>
        </is>
      </c>
      <c r="E321" t="n">
        <v>4917.24</v>
      </c>
      <c r="F321" t="inlineStr">
        <is>
          <t>$0.21</t>
        </is>
      </c>
      <c r="G321" t="inlineStr">
        <is>
          <t>$247.66 M</t>
        </is>
      </c>
      <c r="H321" t="inlineStr">
        <is>
          <t>2.7%</t>
        </is>
      </c>
    </row>
    <row r="322">
      <c r="A322" s="78" t="inlineStr">
        <is>
          <t>Wednesday, February 1, 2023</t>
        </is>
      </c>
      <c r="B322" t="inlineStr">
        <is>
          <t>4:40 PM ET</t>
        </is>
      </c>
      <c r="C322" t="inlineStr">
        <is>
          <t>SJI</t>
        </is>
      </c>
      <c r="D322" t="inlineStr">
        <is>
          <t>South Jersey Industries, Inc.</t>
        </is>
      </c>
      <c r="E322" t="n">
        <v>4372.39</v>
      </c>
      <c r="F322" t="inlineStr">
        <is>
          <t>$0.63</t>
        </is>
      </c>
      <c r="G322" t="inlineStr">
        <is>
          <t>$484.76 M</t>
        </is>
      </c>
      <c r="H322" t="inlineStr">
        <is>
          <t>-</t>
        </is>
      </c>
    </row>
    <row r="323">
      <c r="A323" s="78" t="inlineStr">
        <is>
          <t>Wednesday, February 1, 2023</t>
        </is>
      </c>
      <c r="B323" t="inlineStr">
        <is>
          <t>8:00 AM ET</t>
        </is>
      </c>
      <c r="C323" t="inlineStr">
        <is>
          <t>SR</t>
        </is>
      </c>
      <c r="D323" t="inlineStr">
        <is>
          <t>Spire Inc.</t>
        </is>
      </c>
      <c r="E323" t="n">
        <v>3763.98</v>
      </c>
      <c r="F323" t="inlineStr">
        <is>
          <t>$1.06</t>
        </is>
      </c>
      <c r="G323" t="inlineStr">
        <is>
          <t>$534.60 M</t>
        </is>
      </c>
      <c r="H323" t="inlineStr">
        <is>
          <t>-3.7%</t>
        </is>
      </c>
    </row>
    <row r="324">
      <c r="A324" s="78" t="inlineStr">
        <is>
          <t>Wednesday, February 1, 2023</t>
        </is>
      </c>
      <c r="B324" t="inlineStr">
        <is>
          <t>7:30 AM ET</t>
        </is>
      </c>
      <c r="C324" t="inlineStr">
        <is>
          <t>SPR</t>
        </is>
      </c>
      <c r="D324" t="inlineStr">
        <is>
          <t>Spirit AeroSystems Holdings, Inc.</t>
        </is>
      </c>
      <c r="E324" t="n">
        <v>3545.99</v>
      </c>
      <c r="F324" t="inlineStr">
        <is>
          <t>($0.48)</t>
        </is>
      </c>
      <c r="G324" t="inlineStr">
        <is>
          <t>$1.33 B</t>
        </is>
      </c>
      <c r="H324" t="inlineStr">
        <is>
          <t>24.3%</t>
        </is>
      </c>
    </row>
    <row r="325">
      <c r="A325" s="78" t="inlineStr">
        <is>
          <t>Wednesday, February 1, 2023</t>
        </is>
      </c>
      <c r="B325" t="inlineStr">
        <is>
          <t>6:00 AM ET</t>
        </is>
      </c>
      <c r="C325" t="inlineStr">
        <is>
          <t>SF</t>
        </is>
      </c>
      <c r="D325" t="inlineStr">
        <is>
          <t>Stifel Financial Corp.</t>
        </is>
      </c>
      <c r="E325" t="n">
        <v>6706.31</v>
      </c>
      <c r="F325" t="inlineStr">
        <is>
          <t>-</t>
        </is>
      </c>
      <c r="G325" t="inlineStr">
        <is>
          <t>-</t>
        </is>
      </c>
      <c r="H325" t="inlineStr">
        <is>
          <t>-</t>
        </is>
      </c>
    </row>
    <row r="326">
      <c r="A326" s="78" t="inlineStr">
        <is>
          <t>Wednesday, February 1, 2023</t>
        </is>
      </c>
      <c r="B326" t="inlineStr">
        <is>
          <t>4:00 PM ET</t>
        </is>
      </c>
      <c r="C326" t="inlineStr">
        <is>
          <t>TTEK</t>
        </is>
      </c>
      <c r="D326" t="inlineStr">
        <is>
          <t>Tetra Tech Inc.</t>
        </is>
      </c>
      <c r="E326" t="n">
        <v>7993.79</v>
      </c>
      <c r="F326" t="inlineStr">
        <is>
          <t>$1.20</t>
        </is>
      </c>
      <c r="G326" t="inlineStr">
        <is>
          <t>$720.70 M</t>
        </is>
      </c>
      <c r="H326" t="inlineStr">
        <is>
          <t>-16.1%</t>
        </is>
      </c>
    </row>
    <row r="327">
      <c r="A327" s="78" t="inlineStr">
        <is>
          <t>Wednesday, February 1, 2023</t>
        </is>
      </c>
      <c r="B327" t="inlineStr">
        <is>
          <t>6:00 AM ET</t>
        </is>
      </c>
      <c r="C327" t="inlineStr">
        <is>
          <t>TMO</t>
        </is>
      </c>
      <c r="D327" t="inlineStr">
        <is>
          <t>Thermo Fisher Scientific Inc.</t>
        </is>
      </c>
      <c r="E327" t="n">
        <v>230556.08</v>
      </c>
      <c r="F327" t="inlineStr">
        <is>
          <t>$5.19</t>
        </is>
      </c>
      <c r="G327" t="inlineStr">
        <is>
          <t>$10.45 B</t>
        </is>
      </c>
      <c r="H327" t="inlineStr">
        <is>
          <t>-2.4%</t>
        </is>
      </c>
    </row>
    <row r="328">
      <c r="A328" s="78" t="inlineStr">
        <is>
          <t>Wednesday, February 1, 2023</t>
        </is>
      </c>
      <c r="B328" t="inlineStr">
        <is>
          <t>4:30 PM ET</t>
        </is>
      </c>
      <c r="C328" t="inlineStr">
        <is>
          <t>UGI</t>
        </is>
      </c>
      <c r="D328" t="inlineStr">
        <is>
          <t>UGI Corporation</t>
        </is>
      </c>
      <c r="E328" t="n">
        <v>8491.110000000001</v>
      </c>
      <c r="F328" t="inlineStr">
        <is>
          <t>$1.06</t>
        </is>
      </c>
      <c r="G328" t="inlineStr">
        <is>
          <t>-</t>
        </is>
      </c>
      <c r="H328" t="inlineStr">
        <is>
          <t>-</t>
        </is>
      </c>
    </row>
    <row r="329">
      <c r="A329" s="78" t="inlineStr">
        <is>
          <t>Wednesday, February 1, 2023</t>
        </is>
      </c>
      <c r="B329" t="inlineStr">
        <is>
          <t>6:30 AM ET</t>
        </is>
      </c>
      <c r="C329" t="inlineStr">
        <is>
          <t>WRK</t>
        </is>
      </c>
      <c r="D329" t="inlineStr">
        <is>
          <t>WestRock Company</t>
        </is>
      </c>
      <c r="E329" t="n">
        <v>9442.620000000001</v>
      </c>
      <c r="F329" t="inlineStr">
        <is>
          <t>$0.60</t>
        </is>
      </c>
      <c r="G329" t="inlineStr">
        <is>
          <t>$5.09 B</t>
        </is>
      </c>
      <c r="H329" t="inlineStr">
        <is>
          <t>2.8%</t>
        </is>
      </c>
    </row>
    <row r="330">
      <c r="A330" s="78" t="inlineStr">
        <is>
          <t>Wednesday, February 1, 2023</t>
        </is>
      </c>
      <c r="B330" t="inlineStr">
        <is>
          <t>7:05 AM ET</t>
        </is>
      </c>
      <c r="C330" t="inlineStr">
        <is>
          <t>WM</t>
        </is>
      </c>
      <c r="D330" t="inlineStr">
        <is>
          <t>WM</t>
        </is>
      </c>
      <c r="E330" t="n">
        <v>63365.34</v>
      </c>
      <c r="F330" t="inlineStr">
        <is>
          <t>$1.42</t>
        </is>
      </c>
      <c r="G330" t="inlineStr">
        <is>
          <t>$4.97 B</t>
        </is>
      </c>
      <c r="H330" t="inlineStr">
        <is>
          <t>6.2%</t>
        </is>
      </c>
    </row>
    <row r="331">
      <c r="A331" s="78" t="inlineStr">
        <is>
          <t>Thursday, February 2, 2023</t>
        </is>
      </c>
      <c r="B331" t="inlineStr">
        <is>
          <t>6:40 AM ET</t>
        </is>
      </c>
      <c r="C331" t="inlineStr">
        <is>
          <t>GOLF</t>
        </is>
      </c>
      <c r="D331" t="inlineStr">
        <is>
          <t>Acushnet Holdings Corp.</t>
        </is>
      </c>
      <c r="E331" t="n">
        <v>3389.69</v>
      </c>
      <c r="F331" t="inlineStr">
        <is>
          <t>($0.05)</t>
        </is>
      </c>
      <c r="G331" t="inlineStr">
        <is>
          <t>$432.45 M</t>
        </is>
      </c>
      <c r="H331" t="inlineStr">
        <is>
          <t>2.8%</t>
        </is>
      </c>
    </row>
    <row r="332">
      <c r="A332" s="78" t="inlineStr">
        <is>
          <t>Thursday, February 2, 2023</t>
        </is>
      </c>
      <c r="B332" t="inlineStr">
        <is>
          <t>6:55 AM ET</t>
        </is>
      </c>
      <c r="C332" t="inlineStr">
        <is>
          <t>ADT</t>
        </is>
      </c>
      <c r="D332" t="inlineStr">
        <is>
          <t>ADT Corporation</t>
        </is>
      </c>
      <c r="E332" t="n">
        <v>8705.34</v>
      </c>
      <c r="F332" t="inlineStr">
        <is>
          <t>$0.19</t>
        </is>
      </c>
      <c r="G332" t="inlineStr">
        <is>
          <t>$1.62 B</t>
        </is>
      </c>
      <c r="H332" t="inlineStr">
        <is>
          <t>17.3%</t>
        </is>
      </c>
    </row>
    <row r="333">
      <c r="A333" s="78" t="inlineStr">
        <is>
          <t>Thursday, February 2, 2023</t>
        </is>
      </c>
      <c r="B333" t="inlineStr">
        <is>
          <t>6:40 AM ET</t>
        </is>
      </c>
      <c r="C333" t="inlineStr">
        <is>
          <t>WMS</t>
        </is>
      </c>
      <c r="D333" t="inlineStr">
        <is>
          <t>Advanced Drainage Systems, Inc.</t>
        </is>
      </c>
      <c r="E333" t="n">
        <v>7486.02</v>
      </c>
      <c r="F333" t="inlineStr">
        <is>
          <t>$1.04</t>
        </is>
      </c>
      <c r="G333" t="inlineStr">
        <is>
          <t>$698.94 M</t>
        </is>
      </c>
      <c r="H333" t="inlineStr">
        <is>
          <t>-2.3%</t>
        </is>
      </c>
    </row>
    <row r="334">
      <c r="A334" s="78" t="inlineStr">
        <is>
          <t>Thursday, February 2, 2023</t>
        </is>
      </c>
      <c r="B334" t="inlineStr">
        <is>
          <t>7:00 AM ET</t>
        </is>
      </c>
      <c r="C334" t="inlineStr">
        <is>
          <t>AER</t>
        </is>
      </c>
      <c r="D334" t="inlineStr">
        <is>
          <t>AerCap Holdings N.V.</t>
        </is>
      </c>
      <c r="E334" t="n">
        <v>15707.76</v>
      </c>
      <c r="F334" t="inlineStr">
        <is>
          <t>$1.97</t>
        </is>
      </c>
      <c r="G334" t="inlineStr">
        <is>
          <t>$1.81 B</t>
        </is>
      </c>
      <c r="H334" t="inlineStr">
        <is>
          <t>25.5%</t>
        </is>
      </c>
    </row>
    <row r="335">
      <c r="A335" s="78" t="inlineStr">
        <is>
          <t>Thursday, February 2, 2023</t>
        </is>
      </c>
      <c r="B335" t="inlineStr">
        <is>
          <t>4:10 PM ET</t>
        </is>
      </c>
      <c r="C335" t="inlineStr">
        <is>
          <t>AGL</t>
        </is>
      </c>
      <c r="D335" t="inlineStr">
        <is>
          <t>agilon health, inc.</t>
        </is>
      </c>
      <c r="E335" t="n">
        <v>8138.25</v>
      </c>
      <c r="F335" t="inlineStr">
        <is>
          <t>($0.08)</t>
        </is>
      </c>
      <c r="G335" t="inlineStr">
        <is>
          <t>$665.22 M</t>
        </is>
      </c>
      <c r="H335" t="inlineStr">
        <is>
          <t>43.7%</t>
        </is>
      </c>
    </row>
    <row r="336">
      <c r="A336" s="78" t="inlineStr">
        <is>
          <t>Thursday, February 2, 2023</t>
        </is>
      </c>
      <c r="B336" t="inlineStr">
        <is>
          <t>6:00 AM ET</t>
        </is>
      </c>
      <c r="C336" t="inlineStr">
        <is>
          <t>APD</t>
        </is>
      </c>
      <c r="D336" t="inlineStr">
        <is>
          <t>Air Products &amp; Chemicals, Inc.</t>
        </is>
      </c>
      <c r="E336" t="n">
        <v>67975.3</v>
      </c>
      <c r="F336" t="inlineStr">
        <is>
          <t>$2.72</t>
        </is>
      </c>
      <c r="G336" t="inlineStr">
        <is>
          <t>$3.25 B</t>
        </is>
      </c>
      <c r="H336" t="inlineStr">
        <is>
          <t>8.5%</t>
        </is>
      </c>
    </row>
    <row r="337">
      <c r="A337" s="78" t="inlineStr">
        <is>
          <t>Thursday, February 2, 2023</t>
        </is>
      </c>
      <c r="B337" t="inlineStr">
        <is>
          <t>7:30 AM ET</t>
        </is>
      </c>
      <c r="C337" t="inlineStr">
        <is>
          <t>ATI</t>
        </is>
      </c>
      <c r="D337" t="inlineStr">
        <is>
          <t>Allegheny Technologies Incorporated</t>
        </is>
      </c>
      <c r="E337" t="n">
        <v>4502.44</v>
      </c>
      <c r="F337" t="inlineStr">
        <is>
          <t>$0.52</t>
        </is>
      </c>
      <c r="G337" t="inlineStr">
        <is>
          <t>$990.13 M</t>
        </is>
      </c>
      <c r="H337" t="inlineStr">
        <is>
          <t>29.4%</t>
        </is>
      </c>
    </row>
    <row r="338">
      <c r="A338" s="78" t="inlineStr">
        <is>
          <t>Thursday, February 2, 2023</t>
        </is>
      </c>
      <c r="B338" t="inlineStr">
        <is>
          <t>4:00 PM ET</t>
        </is>
      </c>
      <c r="C338" t="inlineStr">
        <is>
          <t>GOOGL</t>
        </is>
      </c>
      <c r="D338" t="inlineStr">
        <is>
          <t>Alphabet Inc.</t>
        </is>
      </c>
      <c r="E338" t="n">
        <v>1181566.5</v>
      </c>
      <c r="F338" t="inlineStr">
        <is>
          <t>$1.17</t>
        </is>
      </c>
      <c r="G338" t="inlineStr">
        <is>
          <t>$63.71 B</t>
        </is>
      </c>
      <c r="H338" t="inlineStr">
        <is>
          <t>-15.4%</t>
        </is>
      </c>
    </row>
    <row r="339">
      <c r="A339" s="78" t="inlineStr">
        <is>
          <t>Thursday, February 2, 2023</t>
        </is>
      </c>
      <c r="B339" t="inlineStr">
        <is>
          <t>4:00 PM ET</t>
        </is>
      </c>
      <c r="C339" t="inlineStr">
        <is>
          <t>AMZN</t>
        </is>
      </c>
      <c r="D339" t="inlineStr">
        <is>
          <t>Amazon.com, Inc.</t>
        </is>
      </c>
      <c r="E339" t="n">
        <v>979868.9399999999</v>
      </c>
      <c r="F339" t="inlineStr">
        <is>
          <t>$0.17</t>
        </is>
      </c>
      <c r="G339" t="inlineStr">
        <is>
          <t>$145.64 B</t>
        </is>
      </c>
      <c r="H339" t="inlineStr">
        <is>
          <t>6.0%</t>
        </is>
      </c>
    </row>
    <row r="340">
      <c r="A340" s="78" t="inlineStr">
        <is>
          <t>Thursday, February 2, 2023</t>
        </is>
      </c>
      <c r="B340" t="inlineStr">
        <is>
          <t>6:55 AM ET</t>
        </is>
      </c>
      <c r="C340" t="inlineStr">
        <is>
          <t>AME</t>
        </is>
      </c>
      <c r="D340" t="inlineStr">
        <is>
          <t>AMETEK, Inc.</t>
        </is>
      </c>
      <c r="E340" t="n">
        <v>33214.92</v>
      </c>
      <c r="F340" t="inlineStr">
        <is>
          <t>$1.47</t>
        </is>
      </c>
      <c r="G340" t="inlineStr">
        <is>
          <t>$1.59 B</t>
        </is>
      </c>
      <c r="H340" t="inlineStr">
        <is>
          <t>5.7%</t>
        </is>
      </c>
    </row>
    <row r="341">
      <c r="A341" s="78" t="inlineStr">
        <is>
          <t>Thursday, February 2, 2023</t>
        </is>
      </c>
      <c r="B341" t="inlineStr">
        <is>
          <t>4:30 PM ET</t>
        </is>
      </c>
      <c r="C341" t="inlineStr">
        <is>
          <t>AAPL</t>
        </is>
      </c>
      <c r="D341" t="inlineStr">
        <is>
          <t>Apple, Inc.</t>
        </is>
      </c>
      <c r="E341" t="n">
        <v>2152774.75</v>
      </c>
      <c r="F341" t="inlineStr">
        <is>
          <t>$1.93</t>
        </is>
      </c>
      <c r="G341" t="inlineStr">
        <is>
          <t>$127.08 B</t>
        </is>
      </c>
      <c r="H341" t="inlineStr">
        <is>
          <t>2.5%</t>
        </is>
      </c>
    </row>
    <row r="342">
      <c r="A342" s="78" t="inlineStr">
        <is>
          <t>Thursday, February 2, 2023</t>
        </is>
      </c>
      <c r="B342" t="inlineStr">
        <is>
          <t>6:45 AM ET</t>
        </is>
      </c>
      <c r="C342" t="inlineStr">
        <is>
          <t>APTV</t>
        </is>
      </c>
      <c r="D342" t="inlineStr">
        <is>
          <t>Aptiv PLC</t>
        </is>
      </c>
      <c r="E342" t="n">
        <v>27785.88</v>
      </c>
      <c r="F342" t="inlineStr">
        <is>
          <t>$1.21</t>
        </is>
      </c>
      <c r="G342" t="inlineStr">
        <is>
          <t>$4.48 B</t>
        </is>
      </c>
      <c r="H342" t="inlineStr">
        <is>
          <t>8.4%</t>
        </is>
      </c>
    </row>
    <row r="343">
      <c r="A343" s="78" t="inlineStr">
        <is>
          <t>Thursday, February 2, 2023</t>
        </is>
      </c>
      <c r="B343" t="inlineStr">
        <is>
          <t>8:00 AM ET</t>
        </is>
      </c>
      <c r="C343" t="inlineStr">
        <is>
          <t>ARW</t>
        </is>
      </c>
      <c r="D343" t="inlineStr">
        <is>
          <t>Arrow Electronics, Inc.</t>
        </is>
      </c>
      <c r="E343" t="n">
        <v>7008.87</v>
      </c>
      <c r="F343" t="inlineStr">
        <is>
          <t>$5.70</t>
        </is>
      </c>
      <c r="G343" t="inlineStr">
        <is>
          <t>$9.29 B</t>
        </is>
      </c>
      <c r="H343" t="inlineStr">
        <is>
          <t>3.0%</t>
        </is>
      </c>
    </row>
    <row r="344">
      <c r="A344" s="78" t="inlineStr">
        <is>
          <t>Thursday, February 2, 2023</t>
        </is>
      </c>
      <c r="B344" t="inlineStr">
        <is>
          <t>7:00 AM ET</t>
        </is>
      </c>
      <c r="C344" t="inlineStr">
        <is>
          <t>ABG</t>
        </is>
      </c>
      <c r="D344" t="inlineStr">
        <is>
          <t>Asbury Automotive Group Inc</t>
        </is>
      </c>
      <c r="E344" t="n">
        <v>4120.95</v>
      </c>
      <c r="F344" t="inlineStr">
        <is>
          <t>$8.19</t>
        </is>
      </c>
      <c r="G344" t="inlineStr">
        <is>
          <t>$3.92 B</t>
        </is>
      </c>
      <c r="H344" t="inlineStr">
        <is>
          <t>47.7%</t>
        </is>
      </c>
    </row>
    <row r="345">
      <c r="A345" s="78" t="inlineStr">
        <is>
          <t>Thursday, February 2, 2023</t>
        </is>
      </c>
      <c r="B345" t="inlineStr">
        <is>
          <t>4:05 PM ET</t>
        </is>
      </c>
      <c r="C345" t="inlineStr">
        <is>
          <t>TEAM</t>
        </is>
      </c>
      <c r="D345" t="inlineStr">
        <is>
          <t>Atlassian Corporation Plc</t>
        </is>
      </c>
      <c r="E345" t="n">
        <v>39071.56</v>
      </c>
      <c r="F345" t="inlineStr">
        <is>
          <t>($0.26)</t>
        </is>
      </c>
      <c r="G345" t="inlineStr">
        <is>
          <t>$845.38 M</t>
        </is>
      </c>
      <c r="H345" t="inlineStr">
        <is>
          <t>22.8%</t>
        </is>
      </c>
    </row>
    <row r="346">
      <c r="A346" s="78" t="inlineStr">
        <is>
          <t>Thursday, February 2, 2023</t>
        </is>
      </c>
      <c r="B346" t="inlineStr">
        <is>
          <t>6:45 AM ET</t>
        </is>
      </c>
      <c r="C346" t="inlineStr">
        <is>
          <t>AVY</t>
        </is>
      </c>
      <c r="D346" t="inlineStr">
        <is>
          <t>Avery Dennison Corp.</t>
        </is>
      </c>
      <c r="E346" t="n">
        <v>15668.31</v>
      </c>
      <c r="F346" t="inlineStr">
        <is>
          <t>$2.14</t>
        </is>
      </c>
      <c r="G346" t="inlineStr">
        <is>
          <t>$2.28 B</t>
        </is>
      </c>
      <c r="H346" t="inlineStr">
        <is>
          <t>4.4%</t>
        </is>
      </c>
    </row>
    <row r="347">
      <c r="A347" s="78" t="inlineStr">
        <is>
          <t>Thursday, February 2, 2023</t>
        </is>
      </c>
      <c r="B347" t="inlineStr">
        <is>
          <t>6:00 AM ET</t>
        </is>
      </c>
      <c r="C347" t="inlineStr">
        <is>
          <t>BALL</t>
        </is>
      </c>
      <c r="D347" t="inlineStr">
        <is>
          <t>Ball Corporation</t>
        </is>
      </c>
      <c r="E347" t="n">
        <v>17880.89</v>
      </c>
      <c r="F347" t="inlineStr">
        <is>
          <t>$0.54</t>
        </is>
      </c>
      <c r="G347" t="inlineStr">
        <is>
          <t>$3.82 B</t>
        </is>
      </c>
      <c r="H347" t="inlineStr">
        <is>
          <t>-</t>
        </is>
      </c>
    </row>
    <row r="348">
      <c r="A348" s="78" t="inlineStr">
        <is>
          <t>Thursday, February 2, 2023</t>
        </is>
      </c>
      <c r="B348" t="inlineStr">
        <is>
          <t>6:50 PM ET</t>
        </is>
      </c>
      <c r="C348" t="inlineStr">
        <is>
          <t>BSMX</t>
        </is>
      </c>
      <c r="D348" t="inlineStr">
        <is>
          <t>Banco Santander México</t>
        </is>
      </c>
      <c r="E348" t="n">
        <v>8470.17</v>
      </c>
      <c r="F348" t="inlineStr">
        <is>
          <t>$0.21</t>
        </is>
      </c>
      <c r="G348" t="inlineStr">
        <is>
          <t>$1.29 B</t>
        </is>
      </c>
      <c r="H348" t="inlineStr">
        <is>
          <t>-20.8%</t>
        </is>
      </c>
    </row>
    <row r="349">
      <c r="A349" s="78" t="inlineStr">
        <is>
          <t>Thursday, February 2, 2023</t>
        </is>
      </c>
      <c r="B349" t="inlineStr">
        <is>
          <t>7:00 AM ET</t>
        </is>
      </c>
      <c r="C349" t="inlineStr">
        <is>
          <t>BCE</t>
        </is>
      </c>
      <c r="D349" t="inlineStr">
        <is>
          <t>BCE, Inc.</t>
        </is>
      </c>
      <c r="E349" t="n">
        <v>42863.2</v>
      </c>
      <c r="F349" t="inlineStr">
        <is>
          <t>$0.52</t>
        </is>
      </c>
      <c r="G349" t="inlineStr">
        <is>
          <t>$4.73 B</t>
        </is>
      </c>
      <c r="H349" t="inlineStr">
        <is>
          <t>-4.5%</t>
        </is>
      </c>
    </row>
    <row r="350">
      <c r="A350" s="78" t="inlineStr">
        <is>
          <t>Thursday, February 2, 2023</t>
        </is>
      </c>
      <c r="B350" t="inlineStr">
        <is>
          <t>4:00 PM ET</t>
        </is>
      </c>
      <c r="C350" t="inlineStr">
        <is>
          <t>BECN</t>
        </is>
      </c>
      <c r="D350" t="inlineStr">
        <is>
          <t>Beacon Roofing Supply Inc</t>
        </is>
      </c>
      <c r="E350" t="n">
        <v>3525.71</v>
      </c>
      <c r="F350" t="inlineStr">
        <is>
          <t>$1.26</t>
        </is>
      </c>
      <c r="G350" t="inlineStr">
        <is>
          <t>$2.03 B</t>
        </is>
      </c>
      <c r="H350" t="inlineStr">
        <is>
          <t>15.7%</t>
        </is>
      </c>
    </row>
    <row r="351">
      <c r="A351" s="78" t="inlineStr">
        <is>
          <t>Thursday, February 2, 2023</t>
        </is>
      </c>
      <c r="B351" t="inlineStr">
        <is>
          <t>6:30 AM ET</t>
        </is>
      </c>
      <c r="C351" t="inlineStr">
        <is>
          <t>BDX</t>
        </is>
      </c>
      <c r="D351" t="inlineStr">
        <is>
          <t>Becton, Dickinson &amp; Co.</t>
        </is>
      </c>
      <c r="E351" t="n">
        <v>72772.60000000001</v>
      </c>
      <c r="F351" t="inlineStr">
        <is>
          <t>$2.67</t>
        </is>
      </c>
      <c r="G351" t="inlineStr">
        <is>
          <t>$4.52 B</t>
        </is>
      </c>
      <c r="H351" t="inlineStr">
        <is>
          <t>-9.5%</t>
        </is>
      </c>
    </row>
    <row r="352">
      <c r="A352" s="78" t="inlineStr">
        <is>
          <t>Thursday, February 2, 2023</t>
        </is>
      </c>
      <c r="B352" t="inlineStr">
        <is>
          <t>7:35 AM ET</t>
        </is>
      </c>
      <c r="C352" t="inlineStr">
        <is>
          <t>BERY</t>
        </is>
      </c>
      <c r="D352" t="inlineStr">
        <is>
          <t>Berry Global Group, Inc.</t>
        </is>
      </c>
      <c r="E352" t="n">
        <v>7418.89</v>
      </c>
      <c r="F352" t="inlineStr">
        <is>
          <t>$1.27</t>
        </is>
      </c>
      <c r="G352" t="inlineStr">
        <is>
          <t>$3.41 B</t>
        </is>
      </c>
      <c r="H352" t="inlineStr">
        <is>
          <t>-4.6%</t>
        </is>
      </c>
    </row>
    <row r="353">
      <c r="A353" s="78" t="inlineStr">
        <is>
          <t>Thursday, February 2, 2023</t>
        </is>
      </c>
      <c r="B353" t="inlineStr">
        <is>
          <t>4:05 PM ET</t>
        </is>
      </c>
      <c r="C353" t="inlineStr">
        <is>
          <t>BILL</t>
        </is>
      </c>
      <c r="D353" t="inlineStr">
        <is>
          <t>Bill.com Holdings, Inc.</t>
        </is>
      </c>
      <c r="E353" t="n">
        <v>11259.31</v>
      </c>
      <c r="F353" t="inlineStr">
        <is>
          <t>($0.88)</t>
        </is>
      </c>
      <c r="G353" t="inlineStr">
        <is>
          <t>$244.33 M</t>
        </is>
      </c>
      <c r="H353" t="inlineStr">
        <is>
          <t>56.1%</t>
        </is>
      </c>
    </row>
    <row r="354">
      <c r="A354" s="78" t="inlineStr">
        <is>
          <t>Thursday, February 2, 2023</t>
        </is>
      </c>
      <c r="B354" t="inlineStr">
        <is>
          <t>6:30 AM ET</t>
        </is>
      </c>
      <c r="C354" t="inlineStr">
        <is>
          <t>TECH</t>
        </is>
      </c>
      <c r="D354" t="inlineStr">
        <is>
          <t>Bio-Techne Corp.</t>
        </is>
      </c>
      <c r="E354" t="n">
        <v>12690.99</v>
      </c>
      <c r="F354" t="inlineStr">
        <is>
          <t>$0.42</t>
        </is>
      </c>
      <c r="G354" t="inlineStr">
        <is>
          <t>$292.70 M</t>
        </is>
      </c>
      <c r="H354" t="inlineStr">
        <is>
          <t>8.7%</t>
        </is>
      </c>
    </row>
    <row r="355">
      <c r="A355" s="78" t="inlineStr">
        <is>
          <t>Thursday, February 2, 2023</t>
        </is>
      </c>
      <c r="B355" t="inlineStr">
        <is>
          <t>7:15 AM ET</t>
        </is>
      </c>
      <c r="C355" t="inlineStr">
        <is>
          <t>BIIB</t>
        </is>
      </c>
      <c r="D355" t="inlineStr">
        <is>
          <t>Biogen Inc.</t>
        </is>
      </c>
      <c r="E355" t="n">
        <v>41701.37</v>
      </c>
      <c r="F355" t="inlineStr">
        <is>
          <t>$3.41</t>
        </is>
      </c>
      <c r="G355" t="inlineStr">
        <is>
          <t>$2.44 B</t>
        </is>
      </c>
      <c r="H355" t="inlineStr">
        <is>
          <t>-10.7%</t>
        </is>
      </c>
    </row>
    <row r="356">
      <c r="A356" s="78" t="inlineStr">
        <is>
          <t>Thursday, February 2, 2023</t>
        </is>
      </c>
      <c r="B356" t="inlineStr">
        <is>
          <t>4:05 PM ET</t>
        </is>
      </c>
      <c r="C356" t="inlineStr">
        <is>
          <t>BYD</t>
        </is>
      </c>
      <c r="D356" t="inlineStr">
        <is>
          <t>Boyd Gaming Corp.</t>
        </is>
      </c>
      <c r="E356" t="n">
        <v>6203.01</v>
      </c>
      <c r="F356" t="inlineStr">
        <is>
          <t>$1.48</t>
        </is>
      </c>
      <c r="G356" t="inlineStr">
        <is>
          <t>$887.61 M</t>
        </is>
      </c>
      <c r="H356" t="inlineStr">
        <is>
          <t>0.9%</t>
        </is>
      </c>
    </row>
    <row r="357">
      <c r="A357" s="78" t="inlineStr">
        <is>
          <t>Thursday, February 2, 2023</t>
        </is>
      </c>
      <c r="B357" t="inlineStr">
        <is>
          <t>7:00 AM ET</t>
        </is>
      </c>
      <c r="C357" t="inlineStr">
        <is>
          <t>BMY</t>
        </is>
      </c>
      <c r="D357" t="inlineStr">
        <is>
          <t>Bristol-Myers Squibb Co.</t>
        </is>
      </c>
      <c r="E357" t="n">
        <v>153742.66</v>
      </c>
      <c r="F357" t="inlineStr">
        <is>
          <t>$1.72</t>
        </is>
      </c>
      <c r="G357" t="inlineStr">
        <is>
          <t>$11.19 B</t>
        </is>
      </c>
      <c r="H357" t="inlineStr">
        <is>
          <t>-6.6%</t>
        </is>
      </c>
    </row>
    <row r="358">
      <c r="A358" s="78" t="inlineStr">
        <is>
          <t>Thursday, February 2, 2023</t>
        </is>
      </c>
      <c r="B358" t="inlineStr">
        <is>
          <t>6:55 AM ET</t>
        </is>
      </c>
      <c r="C358" t="inlineStr">
        <is>
          <t>BIP</t>
        </is>
      </c>
      <c r="D358" t="inlineStr">
        <is>
          <t>Brookfield Infrastructure Partners L.P</t>
        </is>
      </c>
      <c r="E358" t="n">
        <v>15980.13</v>
      </c>
      <c r="F358" t="inlineStr">
        <is>
          <t>$0.71</t>
        </is>
      </c>
      <c r="G358" t="inlineStr">
        <is>
          <t>$3.00 B</t>
        </is>
      </c>
      <c r="H358" t="inlineStr">
        <is>
          <t>-7.7%</t>
        </is>
      </c>
    </row>
    <row r="359">
      <c r="A359" s="78" t="inlineStr">
        <is>
          <t>Thursday, February 2, 2023</t>
        </is>
      </c>
      <c r="B359" t="inlineStr">
        <is>
          <t>6:15 AM ET</t>
        </is>
      </c>
      <c r="C359" t="inlineStr">
        <is>
          <t>BC</t>
        </is>
      </c>
      <c r="D359" t="inlineStr">
        <is>
          <t>Brunswick Corporation</t>
        </is>
      </c>
      <c r="E359" t="n">
        <v>5754.12</v>
      </c>
      <c r="F359" t="inlineStr">
        <is>
          <t>$1.97</t>
        </is>
      </c>
      <c r="G359" t="inlineStr">
        <is>
          <t>$1.67 B</t>
        </is>
      </c>
      <c r="H359" t="inlineStr">
        <is>
          <t>16.7%</t>
        </is>
      </c>
    </row>
    <row r="360">
      <c r="A360" s="78" t="inlineStr">
        <is>
          <t>Thursday, February 2, 2023</t>
        </is>
      </c>
      <c r="B360" t="inlineStr">
        <is>
          <t>4:15 PM ET</t>
        </is>
      </c>
      <c r="C360" t="inlineStr">
        <is>
          <t>CPT</t>
        </is>
      </c>
      <c r="D360" t="inlineStr">
        <is>
          <t>Camden Property Trust</t>
        </is>
      </c>
      <c r="E360" t="n">
        <v>12542.61</v>
      </c>
      <c r="F360" t="inlineStr">
        <is>
          <t>$1.75</t>
        </is>
      </c>
      <c r="G360" t="inlineStr">
        <is>
          <t>$377.74 M</t>
        </is>
      </c>
      <c r="H360" t="inlineStr">
        <is>
          <t>23.7%</t>
        </is>
      </c>
    </row>
    <row r="361">
      <c r="A361" s="78" t="inlineStr">
        <is>
          <t>Thursday, February 2, 2023</t>
        </is>
      </c>
      <c r="B361" t="inlineStr">
        <is>
          <t>6:55 AM ET</t>
        </is>
      </c>
      <c r="C361" t="inlineStr">
        <is>
          <t>CAH</t>
        </is>
      </c>
      <c r="D361" t="inlineStr">
        <is>
          <t>Cardinal Health, Inc.</t>
        </is>
      </c>
      <c r="E361" t="n">
        <v>20032.28</v>
      </c>
      <c r="F361" t="inlineStr">
        <is>
          <t>$1.13</t>
        </is>
      </c>
      <c r="G361" t="inlineStr">
        <is>
          <t>$50.21 B</t>
        </is>
      </c>
      <c r="H361" t="inlineStr">
        <is>
          <t>10.5%</t>
        </is>
      </c>
    </row>
    <row r="362">
      <c r="A362" s="78" t="inlineStr">
        <is>
          <t>Thursday, February 2, 2023</t>
        </is>
      </c>
      <c r="B362" t="inlineStr">
        <is>
          <t>6:25 AM ET</t>
        </is>
      </c>
      <c r="C362" t="inlineStr">
        <is>
          <t>CG</t>
        </is>
      </c>
      <c r="D362" t="inlineStr">
        <is>
          <t>Carlyle Group L.P.</t>
        </is>
      </c>
      <c r="E362" t="n">
        <v>12195.32</v>
      </c>
      <c r="F362" t="inlineStr">
        <is>
          <t>$0.94</t>
        </is>
      </c>
      <c r="G362" t="inlineStr">
        <is>
          <t>$1.03 B</t>
        </is>
      </c>
      <c r="H362" t="inlineStr">
        <is>
          <t>-48.5%</t>
        </is>
      </c>
    </row>
    <row r="363">
      <c r="A363" s="78" t="inlineStr">
        <is>
          <t>Thursday, February 2, 2023</t>
        </is>
      </c>
      <c r="B363" t="inlineStr">
        <is>
          <t>4:00 PM ET</t>
        </is>
      </c>
      <c r="C363" t="inlineStr">
        <is>
          <t>CRUS</t>
        </is>
      </c>
      <c r="D363" t="inlineStr">
        <is>
          <t>Cirrus Logic, Inc.</t>
        </is>
      </c>
      <c r="E363" t="n">
        <v>4716.49</v>
      </c>
      <c r="F363" t="inlineStr">
        <is>
          <t>$1.69</t>
        </is>
      </c>
      <c r="G363" t="inlineStr">
        <is>
          <t>$549.52 M</t>
        </is>
      </c>
      <c r="H363" t="inlineStr">
        <is>
          <t>0.2%</t>
        </is>
      </c>
    </row>
    <row r="364">
      <c r="A364" s="78" t="inlineStr">
        <is>
          <t>Thursday, February 2, 2023</t>
        </is>
      </c>
      <c r="B364" t="inlineStr">
        <is>
          <t>4:10 PM ET</t>
        </is>
      </c>
      <c r="C364" t="inlineStr">
        <is>
          <t>CLX</t>
        </is>
      </c>
      <c r="D364" t="inlineStr">
        <is>
          <t>Clorox Co.</t>
        </is>
      </c>
      <c r="E364" t="n">
        <v>18259.72</v>
      </c>
      <c r="F364" t="inlineStr">
        <is>
          <t>$0.65</t>
        </is>
      </c>
      <c r="G364" t="inlineStr">
        <is>
          <t>$1.66 B</t>
        </is>
      </c>
      <c r="H364" t="inlineStr">
        <is>
          <t>-1.8%</t>
        </is>
      </c>
    </row>
    <row r="365">
      <c r="A365" s="78" t="inlineStr">
        <is>
          <t>Thursday, February 2, 2023</t>
        </is>
      </c>
      <c r="B365" t="inlineStr">
        <is>
          <t>7:00 AM ET</t>
        </is>
      </c>
      <c r="C365" t="inlineStr">
        <is>
          <t>CMS</t>
        </is>
      </c>
      <c r="D365" t="inlineStr">
        <is>
          <t>CMS Energy Corp.</t>
        </is>
      </c>
      <c r="E365" t="n">
        <v>18425.17</v>
      </c>
      <c r="F365" t="inlineStr">
        <is>
          <t>$0.61</t>
        </is>
      </c>
      <c r="G365" t="inlineStr">
        <is>
          <t>$1.74 B</t>
        </is>
      </c>
      <c r="H365" t="inlineStr">
        <is>
          <t>-14.4%</t>
        </is>
      </c>
    </row>
    <row r="366">
      <c r="A366" s="78" t="inlineStr">
        <is>
          <t>Thursday, February 2, 2023</t>
        </is>
      </c>
      <c r="B366" t="inlineStr">
        <is>
          <t>4:00 PM ET</t>
        </is>
      </c>
      <c r="C366" t="inlineStr">
        <is>
          <t>CTSH</t>
        </is>
      </c>
      <c r="D366" t="inlineStr">
        <is>
          <t>Cognizant Technology Solutions Corp.</t>
        </is>
      </c>
      <c r="E366" t="n">
        <v>32356.49</v>
      </c>
      <c r="F366" t="inlineStr">
        <is>
          <t>$1.04</t>
        </is>
      </c>
      <c r="G366" t="inlineStr">
        <is>
          <t>$4.75 B</t>
        </is>
      </c>
      <c r="H366" t="inlineStr">
        <is>
          <t>-0.6%</t>
        </is>
      </c>
    </row>
    <row r="367">
      <c r="A367" s="78" t="inlineStr">
        <is>
          <t>Thursday, February 2, 2023</t>
        </is>
      </c>
      <c r="B367" t="inlineStr">
        <is>
          <t>4:05 PM ET</t>
        </is>
      </c>
      <c r="C367" t="inlineStr">
        <is>
          <t>COLM</t>
        </is>
      </c>
      <c r="D367" t="inlineStr">
        <is>
          <t>Columbia Sportswear Company</t>
        </is>
      </c>
      <c r="E367" t="n">
        <v>5679.67</v>
      </c>
      <c r="F367" t="inlineStr">
        <is>
          <t>$2.31</t>
        </is>
      </c>
      <c r="G367" t="inlineStr">
        <is>
          <t>$1.16 B</t>
        </is>
      </c>
      <c r="H367" t="inlineStr">
        <is>
          <t>2.7%</t>
        </is>
      </c>
    </row>
    <row r="368">
      <c r="A368" s="78" t="inlineStr">
        <is>
          <t>Thursday, February 2, 2023</t>
        </is>
      </c>
      <c r="B368" t="inlineStr">
        <is>
          <t>7:00 AM ET</t>
        </is>
      </c>
      <c r="C368" t="inlineStr">
        <is>
          <t>COP</t>
        </is>
      </c>
      <c r="D368" t="inlineStr">
        <is>
          <t>ConocoPhillips</t>
        </is>
      </c>
      <c r="E368" t="n">
        <v>149827.58</v>
      </c>
      <c r="F368" t="inlineStr">
        <is>
          <t>$3.08</t>
        </is>
      </c>
      <c r="G368" t="inlineStr">
        <is>
          <t>$19.12 B</t>
        </is>
      </c>
      <c r="H368" t="inlineStr">
        <is>
          <t>19.8%</t>
        </is>
      </c>
    </row>
    <row r="369">
      <c r="A369" s="78" t="inlineStr">
        <is>
          <t>Thursday, February 2, 2023</t>
        </is>
      </c>
      <c r="B369" t="inlineStr">
        <is>
          <t>6:30 AM ET</t>
        </is>
      </c>
      <c r="C369" t="inlineStr">
        <is>
          <t>DQ</t>
        </is>
      </c>
      <c r="D369" t="inlineStr">
        <is>
          <t>Daqo New Energy Corp.</t>
        </is>
      </c>
      <c r="E369" t="n">
        <v>3485.43</v>
      </c>
      <c r="F369" t="inlineStr">
        <is>
          <t>$7.02</t>
        </is>
      </c>
      <c r="G369" t="inlineStr">
        <is>
          <t>$1.12 B</t>
        </is>
      </c>
      <c r="H369" t="inlineStr">
        <is>
          <t>183.2%</t>
        </is>
      </c>
    </row>
    <row r="370">
      <c r="A370" s="78" t="inlineStr">
        <is>
          <t>Thursday, February 2, 2023</t>
        </is>
      </c>
      <c r="B370" t="inlineStr">
        <is>
          <t>4:05 PM ET</t>
        </is>
      </c>
      <c r="C370" t="inlineStr">
        <is>
          <t>DECK</t>
        </is>
      </c>
      <c r="D370" t="inlineStr">
        <is>
          <t>Deckers Brands</t>
        </is>
      </c>
      <c r="E370" t="n">
        <v>11116.05</v>
      </c>
      <c r="F370" t="inlineStr">
        <is>
          <t>$9.41</t>
        </is>
      </c>
      <c r="G370" t="inlineStr">
        <is>
          <t>$1.24 B</t>
        </is>
      </c>
      <c r="H370" t="inlineStr">
        <is>
          <t>4.4%</t>
        </is>
      </c>
    </row>
    <row r="371">
      <c r="A371" s="78" t="inlineStr">
        <is>
          <t>Thursday, February 2, 2023</t>
        </is>
      </c>
      <c r="B371" t="inlineStr">
        <is>
          <t>4:00 PM ET</t>
        </is>
      </c>
      <c r="C371" t="inlineStr">
        <is>
          <t>DNLI</t>
        </is>
      </c>
      <c r="D371" t="inlineStr">
        <is>
          <t>DENALI THERAPTC</t>
        </is>
      </c>
      <c r="E371" t="n">
        <v>4087.99</v>
      </c>
      <c r="F371" t="inlineStr">
        <is>
          <t>($0.76)</t>
        </is>
      </c>
      <c r="G371" t="inlineStr">
        <is>
          <t>$12.49 M</t>
        </is>
      </c>
      <c r="H371" t="inlineStr">
        <is>
          <t>-0.2%</t>
        </is>
      </c>
    </row>
    <row r="372">
      <c r="A372" s="78" t="inlineStr">
        <is>
          <t>Thursday, February 2, 2023</t>
        </is>
      </c>
      <c r="B372" t="inlineStr">
        <is>
          <t>4:15 PM ET</t>
        </is>
      </c>
      <c r="C372" t="inlineStr">
        <is>
          <t>DLB</t>
        </is>
      </c>
      <c r="D372" t="inlineStr">
        <is>
          <t>Dolby Laboratories Inc</t>
        </is>
      </c>
      <c r="E372" t="n">
        <v>7253.43</v>
      </c>
      <c r="F372" t="inlineStr">
        <is>
          <t>$0.53</t>
        </is>
      </c>
      <c r="G372" t="inlineStr">
        <is>
          <t>$307.93 M</t>
        </is>
      </c>
      <c r="H372" t="inlineStr">
        <is>
          <t>-12.4%</t>
        </is>
      </c>
    </row>
    <row r="373">
      <c r="A373" s="78" t="inlineStr">
        <is>
          <t>Thursday, February 2, 2023</t>
        </is>
      </c>
      <c r="B373" t="inlineStr">
        <is>
          <t>6:25 AM ET</t>
        </is>
      </c>
      <c r="C373" t="inlineStr">
        <is>
          <t>LLY</t>
        </is>
      </c>
      <c r="D373" t="inlineStr">
        <is>
          <t>Eli Lilly &amp; Co.</t>
        </is>
      </c>
      <c r="E373" t="n">
        <v>339916.63</v>
      </c>
      <c r="F373" t="inlineStr">
        <is>
          <t>$1.91</t>
        </is>
      </c>
      <c r="G373" t="inlineStr">
        <is>
          <t>$7.38 B</t>
        </is>
      </c>
      <c r="H373" t="inlineStr">
        <is>
          <t>-7.7%</t>
        </is>
      </c>
    </row>
    <row r="374">
      <c r="A374" s="78" t="inlineStr">
        <is>
          <t>Thursday, February 2, 2023</t>
        </is>
      </c>
      <c r="B374" t="inlineStr">
        <is>
          <t>6:30 AM ET</t>
        </is>
      </c>
      <c r="C374" t="inlineStr">
        <is>
          <t>ESAB</t>
        </is>
      </c>
      <c r="D374" t="inlineStr">
        <is>
          <t>ESAB Corporation</t>
        </is>
      </c>
      <c r="E374" t="n">
        <v>3229.72</v>
      </c>
      <c r="F374" t="inlineStr">
        <is>
          <t>$0.92</t>
        </is>
      </c>
      <c r="G374" t="inlineStr">
        <is>
          <t>$586.25 M</t>
        </is>
      </c>
      <c r="H374" t="inlineStr">
        <is>
          <t>-</t>
        </is>
      </c>
    </row>
    <row r="375">
      <c r="A375" s="78" t="inlineStr">
        <is>
          <t>Thursday, February 2, 2023</t>
        </is>
      </c>
      <c r="B375" t="inlineStr">
        <is>
          <t>6:45 AM ET</t>
        </is>
      </c>
      <c r="C375" t="inlineStr">
        <is>
          <t>EL</t>
        </is>
      </c>
      <c r="D375" t="inlineStr">
        <is>
          <t>Estee Lauder Companies, Inc.</t>
        </is>
      </c>
      <c r="E375" t="n">
        <v>95283.16</v>
      </c>
      <c r="F375" t="inlineStr">
        <is>
          <t>$1.30</t>
        </is>
      </c>
      <c r="G375" t="inlineStr">
        <is>
          <t>$4.54 B</t>
        </is>
      </c>
      <c r="H375" t="inlineStr">
        <is>
          <t>-18.0%</t>
        </is>
      </c>
    </row>
    <row r="376">
      <c r="A376" s="78" t="inlineStr">
        <is>
          <t>Thursday, February 2, 2023</t>
        </is>
      </c>
      <c r="B376" t="inlineStr">
        <is>
          <t>4:00 PM ET</t>
        </is>
      </c>
      <c r="C376" t="inlineStr">
        <is>
          <t>EXPO</t>
        </is>
      </c>
      <c r="D376" t="inlineStr">
        <is>
          <t>Exponent Inc.</t>
        </is>
      </c>
      <c r="E376" t="n">
        <v>5116.99</v>
      </c>
      <c r="F376" t="inlineStr">
        <is>
          <t>$0.40</t>
        </is>
      </c>
      <c r="G376" t="inlineStr">
        <is>
          <t>$111.47 M</t>
        </is>
      </c>
      <c r="H376" t="inlineStr">
        <is>
          <t>-1.8%</t>
        </is>
      </c>
    </row>
    <row r="377">
      <c r="A377" s="78" t="inlineStr">
        <is>
          <t>Thursday, February 2, 2023</t>
        </is>
      </c>
      <c r="B377" t="inlineStr">
        <is>
          <t>8:00 AM ET</t>
        </is>
      </c>
      <c r="C377" t="inlineStr">
        <is>
          <t>FSS</t>
        </is>
      </c>
      <c r="D377" t="inlineStr">
        <is>
          <t>Federal Signal Corp.</t>
        </is>
      </c>
      <c r="E377" t="n">
        <v>3006.97</v>
      </c>
      <c r="F377" t="inlineStr">
        <is>
          <t>$0.56</t>
        </is>
      </c>
      <c r="G377" t="inlineStr">
        <is>
          <t>$376.70 M</t>
        </is>
      </c>
      <c r="H377" t="inlineStr">
        <is>
          <t>25.0%</t>
        </is>
      </c>
    </row>
    <row r="378">
      <c r="A378" s="78" t="inlineStr">
        <is>
          <t>Thursday, February 2, 2023</t>
        </is>
      </c>
      <c r="B378" t="inlineStr">
        <is>
          <t>4:00 PM ET</t>
        </is>
      </c>
      <c r="C378" t="inlineStr">
        <is>
          <t>FSLR</t>
        </is>
      </c>
      <c r="D378" t="inlineStr">
        <is>
          <t>First Solar Inc</t>
        </is>
      </c>
      <c r="E378" t="n">
        <v>18933.16</v>
      </c>
      <c r="F378" t="inlineStr">
        <is>
          <t>($0.17)</t>
        </is>
      </c>
      <c r="G378" t="inlineStr">
        <is>
          <t>$875.36 M</t>
        </is>
      </c>
      <c r="H378" t="inlineStr">
        <is>
          <t>-3.5%</t>
        </is>
      </c>
    </row>
    <row r="379">
      <c r="A379" s="78" t="inlineStr">
        <is>
          <t>Thursday, February 2, 2023</t>
        </is>
      </c>
      <c r="B379" t="inlineStr">
        <is>
          <t>6:00 AM ET</t>
        </is>
      </c>
      <c r="C379" t="inlineStr">
        <is>
          <t>FCFS</t>
        </is>
      </c>
      <c r="D379" t="inlineStr">
        <is>
          <t>FirstCash, Inc.</t>
        </is>
      </c>
      <c r="E379" t="n">
        <v>4062.09</v>
      </c>
      <c r="F379" t="inlineStr">
        <is>
          <t>$1.56</t>
        </is>
      </c>
      <c r="G379" t="inlineStr">
        <is>
          <t>$731.65 M</t>
        </is>
      </c>
      <c r="H379" t="inlineStr">
        <is>
          <t>45.8%</t>
        </is>
      </c>
    </row>
    <row r="380">
      <c r="A380" s="78" t="inlineStr">
        <is>
          <t>Thursday, February 2, 2023</t>
        </is>
      </c>
      <c r="B380" t="inlineStr">
        <is>
          <t>4:05 PM ET</t>
        </is>
      </c>
      <c r="C380" t="inlineStr">
        <is>
          <t>F</t>
        </is>
      </c>
      <c r="D380" t="inlineStr">
        <is>
          <t>Ford Motor Company</t>
        </is>
      </c>
      <c r="E380" t="n">
        <v>50939.66</v>
      </c>
      <c r="F380" t="inlineStr">
        <is>
          <t>$0.59</t>
        </is>
      </c>
      <c r="G380" t="inlineStr">
        <is>
          <t>$40.24 B</t>
        </is>
      </c>
      <c r="H380" t="inlineStr">
        <is>
          <t>6.7%</t>
        </is>
      </c>
    </row>
    <row r="381">
      <c r="A381" s="78" t="inlineStr">
        <is>
          <t>Thursday, February 2, 2023</t>
        </is>
      </c>
      <c r="B381" t="inlineStr">
        <is>
          <t>4:00 PM ET</t>
        </is>
      </c>
      <c r="C381" t="inlineStr">
        <is>
          <t>GLPG</t>
        </is>
      </c>
      <c r="D381" t="inlineStr">
        <is>
          <t>Galapagos NV</t>
        </is>
      </c>
      <c r="E381" t="n">
        <v>3160.1</v>
      </c>
      <c r="F381" t="inlineStr">
        <is>
          <t>($1.20)</t>
        </is>
      </c>
      <c r="G381" t="inlineStr">
        <is>
          <t>$128.55 M</t>
        </is>
      </c>
      <c r="H381" t="inlineStr">
        <is>
          <t>-</t>
        </is>
      </c>
    </row>
    <row r="382">
      <c r="A382" s="78" t="inlineStr">
        <is>
          <t>Thursday, February 2, 2023</t>
        </is>
      </c>
      <c r="B382" t="inlineStr">
        <is>
          <t>4:00 PM ET</t>
        </is>
      </c>
      <c r="C382" t="inlineStr">
        <is>
          <t>GEN</t>
        </is>
      </c>
      <c r="D382" t="inlineStr">
        <is>
          <t>Genesis Healthcare Inc.</t>
        </is>
      </c>
      <c r="E382" t="n">
        <v>14714.22</v>
      </c>
      <c r="F382" t="inlineStr">
        <is>
          <t>$0.40</t>
        </is>
      </c>
      <c r="G382" t="inlineStr">
        <is>
          <t>$715.58 M</t>
        </is>
      </c>
      <c r="H382" t="inlineStr">
        <is>
          <t>-</t>
        </is>
      </c>
    </row>
    <row r="383">
      <c r="A383" s="78" t="inlineStr">
        <is>
          <t>Thursday, February 2, 2023</t>
        </is>
      </c>
      <c r="B383" t="inlineStr">
        <is>
          <t>4:15 PM ET</t>
        </is>
      </c>
      <c r="C383" t="inlineStr">
        <is>
          <t>GOOG</t>
        </is>
      </c>
      <c r="D383" t="inlineStr">
        <is>
          <t>Google</t>
        </is>
      </c>
      <c r="E383" t="n">
        <v>1192826.88</v>
      </c>
      <c r="F383" t="inlineStr">
        <is>
          <t>$1.20</t>
        </is>
      </c>
      <c r="G383" t="inlineStr">
        <is>
          <t>$63.63 B</t>
        </is>
      </c>
      <c r="H383" t="inlineStr">
        <is>
          <t>-15.5%</t>
        </is>
      </c>
    </row>
    <row r="384">
      <c r="A384" s="78" t="inlineStr">
        <is>
          <t>Thursday, February 2, 2023</t>
        </is>
      </c>
      <c r="B384" t="inlineStr">
        <is>
          <t>7:00 AM ET</t>
        </is>
      </c>
      <c r="C384" t="inlineStr">
        <is>
          <t>HOG</t>
        </is>
      </c>
      <c r="D384" t="inlineStr">
        <is>
          <t>Harley-Davidson, Inc.</t>
        </is>
      </c>
      <c r="E384" t="n">
        <v>6570.97</v>
      </c>
      <c r="F384" t="inlineStr">
        <is>
          <t>$0.03</t>
        </is>
      </c>
      <c r="G384" t="inlineStr">
        <is>
          <t>$886.84 M</t>
        </is>
      </c>
      <c r="H384" t="inlineStr">
        <is>
          <t>-12.7%</t>
        </is>
      </c>
    </row>
    <row r="385">
      <c r="A385" s="78" t="inlineStr">
        <is>
          <t>Thursday, February 2, 2023</t>
        </is>
      </c>
      <c r="B385" t="inlineStr">
        <is>
          <t>4:15 PM ET</t>
        </is>
      </c>
      <c r="C385" t="inlineStr">
        <is>
          <t>HIG</t>
        </is>
      </c>
      <c r="D385" t="inlineStr">
        <is>
          <t>Hartford Financial Services Group, Inc.</t>
        </is>
      </c>
      <c r="E385" t="n">
        <v>24162.79</v>
      </c>
      <c r="F385" t="inlineStr">
        <is>
          <t>$1.88</t>
        </is>
      </c>
      <c r="G385" t="inlineStr">
        <is>
          <t>$3.83 B</t>
        </is>
      </c>
      <c r="H385" t="inlineStr">
        <is>
          <t>-34.1%</t>
        </is>
      </c>
    </row>
    <row r="386">
      <c r="A386" s="78" t="inlineStr">
        <is>
          <t>Thursday, February 2, 2023</t>
        </is>
      </c>
      <c r="B386" t="inlineStr">
        <is>
          <t>6:45 AM ET</t>
        </is>
      </c>
      <c r="C386" t="inlineStr">
        <is>
          <t>HSY</t>
        </is>
      </c>
      <c r="D386" t="inlineStr">
        <is>
          <t>Hershey Company</t>
        </is>
      </c>
      <c r="E386" t="n">
        <v>46381.48</v>
      </c>
      <c r="F386" t="inlineStr">
        <is>
          <t>$1.78</t>
        </is>
      </c>
      <c r="G386" t="inlineStr">
        <is>
          <t>$2.57 B</t>
        </is>
      </c>
      <c r="H386" t="inlineStr">
        <is>
          <t>10.5%</t>
        </is>
      </c>
    </row>
    <row r="387">
      <c r="A387" s="78" t="inlineStr">
        <is>
          <t>Thursday, February 2, 2023</t>
        </is>
      </c>
      <c r="B387" t="inlineStr">
        <is>
          <t>6:30 AM ET</t>
        </is>
      </c>
      <c r="C387" t="inlineStr">
        <is>
          <t>HON</t>
        </is>
      </c>
      <c r="D387" t="inlineStr">
        <is>
          <t>Honeywell International, Inc.</t>
        </is>
      </c>
      <c r="E387" t="n">
        <v>142693.69</v>
      </c>
      <c r="F387" t="inlineStr">
        <is>
          <t>$2.49</t>
        </is>
      </c>
      <c r="G387" t="inlineStr">
        <is>
          <t>$9.30 B</t>
        </is>
      </c>
      <c r="H387" t="inlineStr">
        <is>
          <t>7.4%</t>
        </is>
      </c>
    </row>
    <row r="388">
      <c r="A388" s="78" t="inlineStr">
        <is>
          <t>Thursday, February 2, 2023</t>
        </is>
      </c>
      <c r="B388" t="inlineStr">
        <is>
          <t>8:00 AM ET</t>
        </is>
      </c>
      <c r="C388" t="inlineStr">
        <is>
          <t>ITW</t>
        </is>
      </c>
      <c r="D388" t="inlineStr">
        <is>
          <t>Illinois Tool Works, Inc.</t>
        </is>
      </c>
      <c r="E388" t="n">
        <v>71362.47</v>
      </c>
      <c r="F388" t="inlineStr">
        <is>
          <t>$2.61</t>
        </is>
      </c>
      <c r="G388" t="inlineStr">
        <is>
          <t>$3.86 B</t>
        </is>
      </c>
      <c r="H388" t="inlineStr">
        <is>
          <t>4.9%</t>
        </is>
      </c>
    </row>
    <row r="389">
      <c r="A389" s="78" t="inlineStr">
        <is>
          <t>Thursday, February 2, 2023</t>
        </is>
      </c>
      <c r="B389" t="inlineStr">
        <is>
          <t>7:30 AM ET</t>
        </is>
      </c>
      <c r="C389" t="inlineStr">
        <is>
          <t>ICE</t>
        </is>
      </c>
      <c r="D389" t="inlineStr">
        <is>
          <t>IntercontinentalExchange Inc</t>
        </is>
      </c>
      <c r="E389" t="n">
        <v>59994.04</v>
      </c>
      <c r="F389" t="inlineStr">
        <is>
          <t>$1.27</t>
        </is>
      </c>
      <c r="G389" t="inlineStr">
        <is>
          <t>$1.82 B</t>
        </is>
      </c>
      <c r="H389" t="inlineStr">
        <is>
          <t>-21.8%</t>
        </is>
      </c>
    </row>
    <row r="390">
      <c r="A390" s="78" t="inlineStr">
        <is>
          <t>Thursday, February 2, 2023</t>
        </is>
      </c>
      <c r="B390" t="inlineStr">
        <is>
          <t>7:30 AM ET</t>
        </is>
      </c>
      <c r="C390" t="inlineStr">
        <is>
          <t>ITCI</t>
        </is>
      </c>
      <c r="D390" t="inlineStr">
        <is>
          <t>Intra-Cellular Therapies, Inc.</t>
        </is>
      </c>
      <c r="E390" t="n">
        <v>4616.87</v>
      </c>
      <c r="F390" t="inlineStr">
        <is>
          <t>($0.64)</t>
        </is>
      </c>
      <c r="G390" t="inlineStr">
        <is>
          <t>$82.66 M</t>
        </is>
      </c>
      <c r="H390" t="inlineStr">
        <is>
          <t>222.0%</t>
        </is>
      </c>
    </row>
    <row r="391">
      <c r="A391" s="78" t="inlineStr">
        <is>
          <t>Thursday, February 2, 2023</t>
        </is>
      </c>
      <c r="B391" t="inlineStr">
        <is>
          <t>4:00 AM ET</t>
        </is>
      </c>
      <c r="C391" t="inlineStr">
        <is>
          <t>JHG</t>
        </is>
      </c>
      <c r="D391" t="inlineStr">
        <is>
          <t>Janus Henderson Group plc</t>
        </is>
      </c>
      <c r="E391" t="n">
        <v>4404.84</v>
      </c>
      <c r="F391" t="inlineStr">
        <is>
          <t>$0.42</t>
        </is>
      </c>
      <c r="G391" t="inlineStr">
        <is>
          <t>$459.26 M</t>
        </is>
      </c>
      <c r="H391" t="inlineStr">
        <is>
          <t>-34.1%</t>
        </is>
      </c>
    </row>
    <row r="392">
      <c r="A392" s="78" t="inlineStr">
        <is>
          <t>Thursday, February 2, 2023</t>
        </is>
      </c>
      <c r="B392" t="inlineStr">
        <is>
          <t>7:30 AM ET</t>
        </is>
      </c>
      <c r="C392" t="inlineStr">
        <is>
          <t>LANC</t>
        </is>
      </c>
      <c r="D392" t="inlineStr">
        <is>
          <t>Lancaster Colony Corp.</t>
        </is>
      </c>
      <c r="E392" t="n">
        <v>5436.48</v>
      </c>
      <c r="F392" t="inlineStr">
        <is>
          <t>$1.51</t>
        </is>
      </c>
      <c r="G392" t="inlineStr">
        <is>
          <t>$475.12 M</t>
        </is>
      </c>
      <c r="H392" t="inlineStr">
        <is>
          <t>10.9%</t>
        </is>
      </c>
    </row>
    <row r="393">
      <c r="A393" s="78" t="inlineStr">
        <is>
          <t>Thursday, February 2, 2023</t>
        </is>
      </c>
      <c r="B393" t="inlineStr">
        <is>
          <t>6:45 AM ET</t>
        </is>
      </c>
      <c r="C393" t="inlineStr">
        <is>
          <t>LAZ</t>
        </is>
      </c>
      <c r="D393" t="inlineStr">
        <is>
          <t>Lazard Ltd</t>
        </is>
      </c>
      <c r="E393" t="n">
        <v>4397.88</v>
      </c>
      <c r="F393" t="inlineStr">
        <is>
          <t>$0.72</t>
        </is>
      </c>
      <c r="G393" t="inlineStr">
        <is>
          <t>$677.50 M</t>
        </is>
      </c>
      <c r="H393" t="inlineStr">
        <is>
          <t>-33.1%</t>
        </is>
      </c>
    </row>
    <row r="394">
      <c r="A394" s="78" t="inlineStr">
        <is>
          <t>Thursday, February 2, 2023</t>
        </is>
      </c>
      <c r="B394" t="inlineStr">
        <is>
          <t>6:30 AM ET</t>
        </is>
      </c>
      <c r="C394" t="inlineStr">
        <is>
          <t>LEA</t>
        </is>
      </c>
      <c r="D394" t="inlineStr">
        <is>
          <t>Lear Corp.</t>
        </is>
      </c>
      <c r="E394" t="n">
        <v>8087.43</v>
      </c>
      <c r="F394" t="inlineStr">
        <is>
          <t>$2.53</t>
        </is>
      </c>
      <c r="G394" t="inlineStr">
        <is>
          <t>$5.28 B</t>
        </is>
      </c>
      <c r="H394" t="inlineStr">
        <is>
          <t>8.2%</t>
        </is>
      </c>
    </row>
    <row r="395">
      <c r="A395" s="78" t="inlineStr">
        <is>
          <t>Thursday, February 2, 2023</t>
        </is>
      </c>
      <c r="B395" t="inlineStr">
        <is>
          <t>4:05 PM ET</t>
        </is>
      </c>
      <c r="C395" t="inlineStr">
        <is>
          <t>LPLA</t>
        </is>
      </c>
      <c r="D395" t="inlineStr">
        <is>
          <t>LPL Financial Holdings Inc.</t>
        </is>
      </c>
      <c r="E395" t="n">
        <v>18530.17</v>
      </c>
      <c r="F395" t="inlineStr">
        <is>
          <t>$3.95</t>
        </is>
      </c>
      <c r="G395" t="inlineStr">
        <is>
          <t>$2.29 B</t>
        </is>
      </c>
      <c r="H395" t="inlineStr">
        <is>
          <t>9.4%</t>
        </is>
      </c>
    </row>
    <row r="396">
      <c r="A396" s="78" t="inlineStr">
        <is>
          <t>Thursday, February 2, 2023</t>
        </is>
      </c>
      <c r="B396" t="inlineStr">
        <is>
          <t>7:30 AM ET</t>
        </is>
      </c>
      <c r="C396" t="inlineStr">
        <is>
          <t>LITE</t>
        </is>
      </c>
      <c r="D396" t="inlineStr">
        <is>
          <t>Lumentum Holdings Inc.</t>
        </is>
      </c>
      <c r="E396" t="n">
        <v>3969.92</v>
      </c>
      <c r="F396" t="inlineStr">
        <is>
          <t>$0.82</t>
        </is>
      </c>
      <c r="G396" t="inlineStr">
        <is>
          <t>$506.40 M</t>
        </is>
      </c>
      <c r="H396" t="inlineStr">
        <is>
          <t>13.4%</t>
        </is>
      </c>
    </row>
    <row r="397">
      <c r="A397" s="78" t="inlineStr">
        <is>
          <t>Thursday, February 2, 2023</t>
        </is>
      </c>
      <c r="B397" t="inlineStr">
        <is>
          <t>7:30 AM ET</t>
        </is>
      </c>
      <c r="C397" t="inlineStr">
        <is>
          <t>MTSI</t>
        </is>
      </c>
      <c r="D397" t="inlineStr">
        <is>
          <t>MACOM Technology Solutions Holdings, Inc.</t>
        </is>
      </c>
      <c r="E397" t="n">
        <v>4574.37</v>
      </c>
      <c r="F397" t="inlineStr">
        <is>
          <t>$0.64</t>
        </is>
      </c>
      <c r="G397" t="inlineStr">
        <is>
          <t>$179.48 M</t>
        </is>
      </c>
      <c r="H397" t="inlineStr">
        <is>
          <t>12.4%</t>
        </is>
      </c>
    </row>
    <row r="398">
      <c r="A398" s="78" t="inlineStr">
        <is>
          <t>Thursday, February 2, 2023</t>
        </is>
      </c>
      <c r="B398" t="inlineStr">
        <is>
          <t>7:30 AM ET</t>
        </is>
      </c>
      <c r="C398" t="inlineStr">
        <is>
          <t>MSGS</t>
        </is>
      </c>
      <c r="D398" t="inlineStr">
        <is>
          <t>Madison Square Garden Sports Corp.</t>
        </is>
      </c>
      <c r="E398" t="n">
        <v>4332.35</v>
      </c>
      <c r="F398" t="inlineStr">
        <is>
          <t>$1.33</t>
        </is>
      </c>
      <c r="G398" t="inlineStr">
        <is>
          <t>$310.51 M</t>
        </is>
      </c>
      <c r="H398" t="inlineStr">
        <is>
          <t>7.2%</t>
        </is>
      </c>
    </row>
    <row r="399">
      <c r="A399" s="78" t="inlineStr">
        <is>
          <t>Thursday, February 2, 2023</t>
        </is>
      </c>
      <c r="B399" t="inlineStr">
        <is>
          <t>8:00 AM ET</t>
        </is>
      </c>
      <c r="C399" t="inlineStr">
        <is>
          <t>MMP</t>
        </is>
      </c>
      <c r="D399" t="inlineStr">
        <is>
          <t>Magellan Midstream Partners</t>
        </is>
      </c>
      <c r="E399" t="n">
        <v>10789.88</v>
      </c>
      <c r="F399" t="inlineStr">
        <is>
          <t>$1.31</t>
        </is>
      </c>
      <c r="G399" t="inlineStr">
        <is>
          <t>$843.92 M</t>
        </is>
      </c>
      <c r="H399" t="inlineStr">
        <is>
          <t>4.3%</t>
        </is>
      </c>
    </row>
    <row r="400">
      <c r="A400" s="78" t="inlineStr">
        <is>
          <t>Thursday, February 2, 2023</t>
        </is>
      </c>
      <c r="B400" t="inlineStr">
        <is>
          <t>4:05 PM ET</t>
        </is>
      </c>
      <c r="C400" t="inlineStr">
        <is>
          <t>MANH</t>
        </is>
      </c>
      <c r="D400" t="inlineStr">
        <is>
          <t>Manhattan Associates, Inc.</t>
        </is>
      </c>
      <c r="E400" t="n">
        <v>7689.16</v>
      </c>
      <c r="F400" t="inlineStr">
        <is>
          <t>$0.30</t>
        </is>
      </c>
      <c r="G400" t="inlineStr">
        <is>
          <t>$182.64 M</t>
        </is>
      </c>
      <c r="H400" t="inlineStr">
        <is>
          <t>6.5%</t>
        </is>
      </c>
    </row>
    <row r="401">
      <c r="A401" s="78" t="inlineStr">
        <is>
          <t>Thursday, February 2, 2023</t>
        </is>
      </c>
      <c r="B401" t="inlineStr">
        <is>
          <t>4:45 PM ET</t>
        </is>
      </c>
      <c r="C401" t="inlineStr">
        <is>
          <t>MTZ</t>
        </is>
      </c>
      <c r="D401" t="inlineStr">
        <is>
          <t>MasTec Inc.</t>
        </is>
      </c>
      <c r="E401" t="n">
        <v>7474.98</v>
      </c>
      <c r="F401" t="inlineStr">
        <is>
          <t>$0.92</t>
        </is>
      </c>
      <c r="G401" t="inlineStr">
        <is>
          <t>$2.92 B</t>
        </is>
      </c>
      <c r="H401" t="inlineStr">
        <is>
          <t>-</t>
        </is>
      </c>
    </row>
    <row r="402">
      <c r="A402" s="78" t="inlineStr">
        <is>
          <t>Thursday, February 2, 2023</t>
        </is>
      </c>
      <c r="B402" t="inlineStr">
        <is>
          <t>8:00 AM ET</t>
        </is>
      </c>
      <c r="C402" t="inlineStr">
        <is>
          <t>MPW</t>
        </is>
      </c>
      <c r="D402" t="inlineStr">
        <is>
          <t>Medical Properties Trust Inc</t>
        </is>
      </c>
      <c r="E402" t="n">
        <v>8126.82</v>
      </c>
      <c r="F402" t="inlineStr">
        <is>
          <t>$0.43</t>
        </is>
      </c>
      <c r="G402" t="inlineStr">
        <is>
          <t>$391.64 M</t>
        </is>
      </c>
      <c r="H402" t="inlineStr">
        <is>
          <t>-4.3%</t>
        </is>
      </c>
    </row>
    <row r="403">
      <c r="A403" s="78" t="inlineStr">
        <is>
          <t>Thursday, February 2, 2023</t>
        </is>
      </c>
      <c r="B403" t="inlineStr">
        <is>
          <t>6:30 AM ET</t>
        </is>
      </c>
      <c r="C403" t="inlineStr">
        <is>
          <t>MRK</t>
        </is>
      </c>
      <c r="D403" t="inlineStr">
        <is>
          <t>Merck &amp; Co., Inc.</t>
        </is>
      </c>
      <c r="E403" t="n">
        <v>280034.47</v>
      </c>
      <c r="F403" t="inlineStr">
        <is>
          <t>$1.55</t>
        </is>
      </c>
      <c r="G403" t="inlineStr">
        <is>
          <t>$13.76 B</t>
        </is>
      </c>
      <c r="H403" t="inlineStr">
        <is>
          <t>1.8%</t>
        </is>
      </c>
    </row>
    <row r="404">
      <c r="A404" s="78" t="inlineStr">
        <is>
          <t>Thursday, February 2, 2023</t>
        </is>
      </c>
      <c r="B404" t="inlineStr">
        <is>
          <t>5:00 PM ET</t>
        </is>
      </c>
      <c r="C404" t="inlineStr">
        <is>
          <t>MEOH</t>
        </is>
      </c>
      <c r="D404" t="inlineStr">
        <is>
          <t>Methanex Corp.</t>
        </is>
      </c>
      <c r="E404" t="n">
        <v>3090.89</v>
      </c>
      <c r="F404" t="inlineStr">
        <is>
          <t>$0.46</t>
        </is>
      </c>
      <c r="G404" t="inlineStr">
        <is>
          <t>$1.08 B</t>
        </is>
      </c>
      <c r="H404" t="inlineStr">
        <is>
          <t>-13.8%</t>
        </is>
      </c>
    </row>
    <row r="405">
      <c r="A405" s="78" t="inlineStr">
        <is>
          <t>Thursday, February 2, 2023</t>
        </is>
      </c>
      <c r="B405" t="inlineStr">
        <is>
          <t>4:15 PM ET</t>
        </is>
      </c>
      <c r="C405" t="inlineStr">
        <is>
          <t>MCHP</t>
        </is>
      </c>
      <c r="D405" t="inlineStr">
        <is>
          <t>Microchip Technology Inc.</t>
        </is>
      </c>
      <c r="E405" t="n">
        <v>40970.15</v>
      </c>
      <c r="F405" t="inlineStr">
        <is>
          <t>$1.48</t>
        </is>
      </c>
      <c r="G405" t="inlineStr">
        <is>
          <t>$2.16 B</t>
        </is>
      </c>
      <c r="H405" t="inlineStr">
        <is>
          <t>22.9%</t>
        </is>
      </c>
    </row>
    <row r="406">
      <c r="A406" s="78" t="inlineStr">
        <is>
          <t>Thursday, February 2, 2023</t>
        </is>
      </c>
      <c r="B406" t="inlineStr">
        <is>
          <t>7:00 AM ET</t>
        </is>
      </c>
      <c r="C406" t="inlineStr">
        <is>
          <t>NJR</t>
        </is>
      </c>
      <c r="D406" t="inlineStr">
        <is>
          <t>New Jersey Resources Corp.</t>
        </is>
      </c>
      <c r="E406" t="n">
        <v>4868.77</v>
      </c>
      <c r="F406" t="inlineStr">
        <is>
          <t>$0.78</t>
        </is>
      </c>
      <c r="G406" t="inlineStr">
        <is>
          <t>$633.16 M</t>
        </is>
      </c>
      <c r="H406" t="inlineStr">
        <is>
          <t>-6.3%</t>
        </is>
      </c>
    </row>
    <row r="407">
      <c r="A407" s="78" t="inlineStr">
        <is>
          <t>Thursday, February 2, 2023</t>
        </is>
      </c>
      <c r="B407" t="inlineStr">
        <is>
          <t>4:45 PM ET</t>
        </is>
      </c>
      <c r="C407" t="inlineStr">
        <is>
          <t>NWS</t>
        </is>
      </c>
      <c r="D407" t="inlineStr">
        <is>
          <t>News Corp</t>
        </is>
      </c>
      <c r="E407" t="n">
        <v>11293.82</v>
      </c>
      <c r="F407" t="inlineStr">
        <is>
          <t>-</t>
        </is>
      </c>
      <c r="G407" t="inlineStr">
        <is>
          <t>-</t>
        </is>
      </c>
      <c r="H407" t="inlineStr">
        <is>
          <t>-</t>
        </is>
      </c>
    </row>
    <row r="408">
      <c r="A408" s="78" t="inlineStr">
        <is>
          <t>Thursday, February 2, 2023</t>
        </is>
      </c>
      <c r="B408" t="inlineStr">
        <is>
          <t>7:00 AM ET</t>
        </is>
      </c>
      <c r="C408" t="inlineStr">
        <is>
          <t>NVEI</t>
        </is>
      </c>
      <c r="D408" t="inlineStr">
        <is>
          <t>Nuvei Corporation</t>
        </is>
      </c>
      <c r="E408" t="n">
        <v>4574.17</v>
      </c>
      <c r="F408" t="inlineStr">
        <is>
          <t>$0.29</t>
        </is>
      </c>
      <c r="G408" t="inlineStr">
        <is>
          <t>$219.17 M</t>
        </is>
      </c>
      <c r="H408" t="inlineStr">
        <is>
          <t>3.4%</t>
        </is>
      </c>
    </row>
    <row r="409">
      <c r="A409" s="78" t="inlineStr">
        <is>
          <t>Thursday, February 2, 2023</t>
        </is>
      </c>
      <c r="B409" t="inlineStr">
        <is>
          <t>4:15 PM ET</t>
        </is>
      </c>
      <c r="C409" t="inlineStr">
        <is>
          <t>OHI</t>
        </is>
      </c>
      <c r="D409" t="inlineStr">
        <is>
          <t>Omega HealthCare Investors, Inc.</t>
        </is>
      </c>
      <c r="E409" t="n">
        <v>6636.74</v>
      </c>
      <c r="F409" t="inlineStr">
        <is>
          <t>$0.71</t>
        </is>
      </c>
      <c r="G409" t="inlineStr">
        <is>
          <t>$248.79 M</t>
        </is>
      </c>
      <c r="H409" t="inlineStr">
        <is>
          <t>-0.5%</t>
        </is>
      </c>
    </row>
    <row r="410">
      <c r="A410" s="78" t="inlineStr">
        <is>
          <t>Thursday, February 2, 2023</t>
        </is>
      </c>
      <c r="B410" t="inlineStr">
        <is>
          <t>4:00 PM ET</t>
        </is>
      </c>
      <c r="C410" t="inlineStr">
        <is>
          <t>OTEX</t>
        </is>
      </c>
      <c r="D410" t="inlineStr">
        <is>
          <t>Open Text Corp.</t>
        </is>
      </c>
      <c r="E410" t="n">
        <v>8866.42</v>
      </c>
      <c r="F410" t="inlineStr">
        <is>
          <t>$0.72</t>
        </is>
      </c>
      <c r="G410" t="inlineStr">
        <is>
          <t>$884.00 M</t>
        </is>
      </c>
      <c r="H410" t="inlineStr">
        <is>
          <t>0.8%</t>
        </is>
      </c>
    </row>
    <row r="411">
      <c r="A411" s="78" t="inlineStr">
        <is>
          <t>Thursday, February 2, 2023</t>
        </is>
      </c>
      <c r="B411" t="inlineStr">
        <is>
          <t>6:30 AM ET</t>
        </is>
      </c>
      <c r="C411" t="inlineStr">
        <is>
          <t>PRMRF</t>
        </is>
      </c>
      <c r="D411" t="inlineStr">
        <is>
          <t>Paramount Resources Ltd.</t>
        </is>
      </c>
      <c r="E411" t="n">
        <v>3337.11</v>
      </c>
      <c r="F411" t="inlineStr">
        <is>
          <t>-</t>
        </is>
      </c>
      <c r="G411" t="inlineStr">
        <is>
          <t>-</t>
        </is>
      </c>
      <c r="H411" t="inlineStr">
        <is>
          <t>-</t>
        </is>
      </c>
    </row>
    <row r="412">
      <c r="A412" s="78" t="inlineStr">
        <is>
          <t>Thursday, February 2, 2023</t>
        </is>
      </c>
      <c r="B412" t="inlineStr">
        <is>
          <t>7:30 AM ET</t>
        </is>
      </c>
      <c r="C412" t="inlineStr">
        <is>
          <t>PH</t>
        </is>
      </c>
      <c r="D412" t="inlineStr">
        <is>
          <t>Parker-Hannifin Corporation</t>
        </is>
      </c>
      <c r="E412" t="n">
        <v>40410.57</v>
      </c>
      <c r="F412" t="inlineStr">
        <is>
          <t>$4.45</t>
        </is>
      </c>
      <c r="G412" t="inlineStr">
        <is>
          <t>$4.43 B</t>
        </is>
      </c>
      <c r="H412" t="inlineStr">
        <is>
          <t>15.8%</t>
        </is>
      </c>
    </row>
    <row r="413">
      <c r="A413" s="78" t="inlineStr">
        <is>
          <t>Thursday, February 2, 2023</t>
        </is>
      </c>
      <c r="B413" t="inlineStr">
        <is>
          <t>4:05 PM ET</t>
        </is>
      </c>
      <c r="C413" t="inlineStr">
        <is>
          <t>PCTY</t>
        </is>
      </c>
      <c r="D413" t="inlineStr">
        <is>
          <t>Paylocity Holding Corp</t>
        </is>
      </c>
      <c r="E413" t="n">
        <v>11053.49</v>
      </c>
      <c r="F413" t="inlineStr">
        <is>
          <t>$0.24</t>
        </is>
      </c>
      <c r="G413" t="inlineStr">
        <is>
          <t>$259.75 M</t>
        </is>
      </c>
      <c r="H413" t="inlineStr">
        <is>
          <t>32.5%</t>
        </is>
      </c>
    </row>
    <row r="414">
      <c r="A414" s="78" t="inlineStr">
        <is>
          <t>Thursday, February 2, 2023</t>
        </is>
      </c>
      <c r="B414" t="inlineStr">
        <is>
          <t>5:00 PM ET</t>
        </is>
      </c>
      <c r="C414" t="inlineStr">
        <is>
          <t>PBA</t>
        </is>
      </c>
      <c r="D414" t="inlineStr">
        <is>
          <t>Pembina Pipeline Corporation</t>
        </is>
      </c>
      <c r="E414" t="n">
        <v>19959.58</v>
      </c>
      <c r="F414" t="inlineStr">
        <is>
          <t>$0.51</t>
        </is>
      </c>
      <c r="G414" t="inlineStr">
        <is>
          <t>$8.42 B</t>
        </is>
      </c>
      <c r="H414" t="inlineStr">
        <is>
          <t>-</t>
        </is>
      </c>
    </row>
    <row r="415">
      <c r="A415" s="78" t="inlineStr">
        <is>
          <t>Thursday, February 2, 2023</t>
        </is>
      </c>
      <c r="B415" t="inlineStr">
        <is>
          <t>7:00 AM ET</t>
        </is>
      </c>
      <c r="C415" t="inlineStr">
        <is>
          <t>PENN</t>
        </is>
      </c>
      <c r="D415" t="inlineStr">
        <is>
          <t>Penn National Gaming, Inc.</t>
        </is>
      </c>
      <c r="E415" t="n">
        <v>5038.22</v>
      </c>
      <c r="F415" t="inlineStr">
        <is>
          <t>$0.33</t>
        </is>
      </c>
      <c r="G415" t="inlineStr">
        <is>
          <t>$1.58 B</t>
        </is>
      </c>
      <c r="H415" t="inlineStr">
        <is>
          <t>0.5%</t>
        </is>
      </c>
    </row>
    <row r="416">
      <c r="A416" s="78" t="inlineStr">
        <is>
          <t>Thursday, February 2, 2023</t>
        </is>
      </c>
      <c r="B416" t="inlineStr">
        <is>
          <t>4:30 PM ET</t>
        </is>
      </c>
      <c r="C416" t="inlineStr">
        <is>
          <t>PFSI</t>
        </is>
      </c>
      <c r="D416" t="inlineStr">
        <is>
          <t>PennyMac Financial Services, Inc.</t>
        </is>
      </c>
      <c r="E416" t="n">
        <v>3214.73</v>
      </c>
      <c r="F416" t="inlineStr">
        <is>
          <t>$1.22</t>
        </is>
      </c>
      <c r="G416" t="inlineStr">
        <is>
          <t>$353.70 M</t>
        </is>
      </c>
      <c r="H416" t="inlineStr">
        <is>
          <t>-49.0%</t>
        </is>
      </c>
    </row>
    <row r="417">
      <c r="A417" s="78" t="inlineStr">
        <is>
          <t>Thursday, February 2, 2023</t>
        </is>
      </c>
      <c r="B417" t="inlineStr">
        <is>
          <t>4:05 PM ET</t>
        </is>
      </c>
      <c r="C417" t="inlineStr">
        <is>
          <t>PINS</t>
        </is>
      </c>
      <c r="D417" t="inlineStr">
        <is>
          <t>Pinterest, Inc.</t>
        </is>
      </c>
      <c r="E417" t="n">
        <v>18054.51</v>
      </c>
      <c r="F417" t="inlineStr">
        <is>
          <t>$0.07</t>
        </is>
      </c>
      <c r="G417" t="inlineStr">
        <is>
          <t>$884.57 M</t>
        </is>
      </c>
      <c r="H417" t="inlineStr">
        <is>
          <t>4.5%</t>
        </is>
      </c>
    </row>
    <row r="418">
      <c r="A418" s="78" t="inlineStr">
        <is>
          <t>Thursday, February 2, 2023</t>
        </is>
      </c>
      <c r="B418" t="inlineStr">
        <is>
          <t>5:00 PM ET</t>
        </is>
      </c>
      <c r="C418" t="inlineStr">
        <is>
          <t>POST</t>
        </is>
      </c>
      <c r="D418" t="inlineStr">
        <is>
          <t>Post Holdings, Inc.</t>
        </is>
      </c>
      <c r="E418" t="n">
        <v>5577.31</v>
      </c>
      <c r="F418" t="inlineStr">
        <is>
          <t>$0.58</t>
        </is>
      </c>
      <c r="G418" t="inlineStr">
        <is>
          <t>$1.49 B</t>
        </is>
      </c>
      <c r="H418" t="inlineStr">
        <is>
          <t>-9.4%</t>
        </is>
      </c>
    </row>
    <row r="419">
      <c r="A419" s="78" t="inlineStr">
        <is>
          <t>Thursday, February 2, 2023</t>
        </is>
      </c>
      <c r="B419" t="inlineStr">
        <is>
          <t>6:00 AM ET</t>
        </is>
      </c>
      <c r="C419" t="inlineStr">
        <is>
          <t>PBH</t>
        </is>
      </c>
      <c r="D419" t="inlineStr">
        <is>
          <t>Prestige Consumer Healthcare Inc.</t>
        </is>
      </c>
      <c r="E419" t="n">
        <v>3260.79</v>
      </c>
      <c r="F419" t="inlineStr">
        <is>
          <t>$1.01</t>
        </is>
      </c>
      <c r="G419" t="inlineStr">
        <is>
          <t>$276.30 M</t>
        </is>
      </c>
      <c r="H419" t="inlineStr">
        <is>
          <t>0.7%</t>
        </is>
      </c>
    </row>
    <row r="420">
      <c r="A420" s="78" t="inlineStr">
        <is>
          <t>Thursday, February 2, 2023</t>
        </is>
      </c>
      <c r="B420" t="inlineStr">
        <is>
          <t>4:00 PM ET</t>
        </is>
      </c>
      <c r="C420" t="inlineStr">
        <is>
          <t>PGNY</t>
        </is>
      </c>
      <c r="D420" t="inlineStr">
        <is>
          <t>Progyny Inc</t>
        </is>
      </c>
      <c r="E420" t="n">
        <v>3133.88</v>
      </c>
      <c r="F420" t="inlineStr">
        <is>
          <t>$0.03</t>
        </is>
      </c>
      <c r="G420" t="inlineStr">
        <is>
          <t>$207.26 M</t>
        </is>
      </c>
      <c r="H420" t="inlineStr">
        <is>
          <t>62.5%</t>
        </is>
      </c>
    </row>
    <row r="421">
      <c r="A421" s="78" t="inlineStr">
        <is>
          <t>Thursday, February 2, 2023</t>
        </is>
      </c>
      <c r="B421" t="inlineStr">
        <is>
          <t>4:00 PM ET</t>
        </is>
      </c>
      <c r="C421" t="inlineStr">
        <is>
          <t>QCOM</t>
        </is>
      </c>
      <c r="D421" t="inlineStr">
        <is>
          <t>QUALCOMM Incorporated</t>
        </is>
      </c>
      <c r="E421" t="n">
        <v>134833.89</v>
      </c>
      <c r="F421" t="inlineStr">
        <is>
          <t>$2.02</t>
        </is>
      </c>
      <c r="G421" t="inlineStr">
        <is>
          <t>$9.62 B</t>
        </is>
      </c>
      <c r="H421" t="inlineStr">
        <is>
          <t>-10.1%</t>
        </is>
      </c>
    </row>
    <row r="422">
      <c r="A422" s="78" t="inlineStr">
        <is>
          <t>Thursday, February 2, 2023</t>
        </is>
      </c>
      <c r="B422" t="inlineStr">
        <is>
          <t>6:45 AM ET</t>
        </is>
      </c>
      <c r="C422" t="inlineStr">
        <is>
          <t>DGX</t>
        </is>
      </c>
      <c r="D422" t="inlineStr">
        <is>
          <t>Quest Diagnostics, Inc.</t>
        </is>
      </c>
      <c r="E422" t="n">
        <v>16804.1</v>
      </c>
      <c r="F422" t="inlineStr">
        <is>
          <t>$1.89</t>
        </is>
      </c>
      <c r="G422" t="inlineStr">
        <is>
          <t>$2.25 B</t>
        </is>
      </c>
      <c r="H422" t="inlineStr">
        <is>
          <t>-18.0%</t>
        </is>
      </c>
    </row>
    <row r="423">
      <c r="A423" s="78" t="inlineStr">
        <is>
          <t>Thursday, February 2, 2023</t>
        </is>
      </c>
      <c r="B423" t="inlineStr">
        <is>
          <t>4:15 PM ET</t>
        </is>
      </c>
      <c r="C423" t="inlineStr">
        <is>
          <t>RGA</t>
        </is>
      </c>
      <c r="D423" t="inlineStr">
        <is>
          <t>Reinsurance Group of America, Incorporated</t>
        </is>
      </c>
      <c r="E423" t="n">
        <v>9643.77</v>
      </c>
      <c r="F423" t="inlineStr">
        <is>
          <t>$3.56</t>
        </is>
      </c>
      <c r="G423" t="inlineStr">
        <is>
          <t>$4.27 B</t>
        </is>
      </c>
      <c r="H423" t="inlineStr">
        <is>
          <t>-2.0%</t>
        </is>
      </c>
    </row>
    <row r="424">
      <c r="A424" s="78" t="inlineStr">
        <is>
          <t>Thursday, February 2, 2023</t>
        </is>
      </c>
      <c r="B424" t="inlineStr">
        <is>
          <t>4:05 PM ET</t>
        </is>
      </c>
      <c r="C424" t="inlineStr">
        <is>
          <t>RHI</t>
        </is>
      </c>
      <c r="D424" t="inlineStr">
        <is>
          <t>Robert Half International, Inc</t>
        </is>
      </c>
      <c r="E424" t="n">
        <v>8334.860000000001</v>
      </c>
      <c r="F424" t="inlineStr">
        <is>
          <t>$1.35</t>
        </is>
      </c>
      <c r="G424" t="inlineStr">
        <is>
          <t>$1.74 B</t>
        </is>
      </c>
      <c r="H424" t="inlineStr">
        <is>
          <t>-</t>
        </is>
      </c>
    </row>
    <row r="425">
      <c r="A425" s="78" t="inlineStr">
        <is>
          <t>Thursday, February 2, 2023</t>
        </is>
      </c>
      <c r="B425" t="inlineStr">
        <is>
          <t>7:00 AM ET</t>
        </is>
      </c>
      <c r="C425" t="inlineStr">
        <is>
          <t>RCI</t>
        </is>
      </c>
      <c r="D425" t="inlineStr">
        <is>
          <t>Rogers Communications Inc</t>
        </is>
      </c>
      <c r="E425" t="n">
        <v>24635.31</v>
      </c>
      <c r="F425" t="inlineStr">
        <is>
          <t>$0.73</t>
        </is>
      </c>
      <c r="G425" t="inlineStr">
        <is>
          <t>$3.20 B</t>
        </is>
      </c>
      <c r="H425" t="inlineStr">
        <is>
          <t>2.9%</t>
        </is>
      </c>
    </row>
    <row r="426">
      <c r="A426" s="78" t="inlineStr">
        <is>
          <t>Thursday, February 2, 2023</t>
        </is>
      </c>
      <c r="B426" t="inlineStr">
        <is>
          <t>9:00 AM ET</t>
        </is>
      </c>
      <c r="C426" t="inlineStr">
        <is>
          <t>SNDR</t>
        </is>
      </c>
      <c r="D426" t="inlineStr">
        <is>
          <t>Schneider National, Inc.</t>
        </is>
      </c>
      <c r="E426" t="n">
        <v>4418.27</v>
      </c>
      <c r="F426" t="inlineStr">
        <is>
          <t>$0.61</t>
        </is>
      </c>
      <c r="G426" t="inlineStr">
        <is>
          <t>$1.74 B</t>
        </is>
      </c>
      <c r="H426" t="inlineStr">
        <is>
          <t>10.5%</t>
        </is>
      </c>
    </row>
    <row r="427">
      <c r="A427" s="78" t="inlineStr">
        <is>
          <t>Thursday, February 2, 2023</t>
        </is>
      </c>
      <c r="B427" t="inlineStr">
        <is>
          <t>4:15 PM ET</t>
        </is>
      </c>
      <c r="C427" t="inlineStr">
        <is>
          <t>SIGI</t>
        </is>
      </c>
      <c r="D427" t="inlineStr">
        <is>
          <t>Selective Insurance Group Inc.</t>
        </is>
      </c>
      <c r="E427" t="n">
        <v>5571.84</v>
      </c>
      <c r="F427" t="inlineStr">
        <is>
          <t>$1.44</t>
        </is>
      </c>
      <c r="G427" t="inlineStr">
        <is>
          <t>$947.95 M</t>
        </is>
      </c>
      <c r="H427" t="inlineStr">
        <is>
          <t>9.0%</t>
        </is>
      </c>
    </row>
    <row r="428">
      <c r="A428" s="78" t="inlineStr">
        <is>
          <t>Thursday, February 2, 2023</t>
        </is>
      </c>
      <c r="B428" t="inlineStr">
        <is>
          <t>7:00 AM ET</t>
        </is>
      </c>
      <c r="C428" t="inlineStr">
        <is>
          <t>SIRI</t>
        </is>
      </c>
      <c r="D428" t="inlineStr">
        <is>
          <t>SiriusXM Holdings Inc.</t>
        </is>
      </c>
      <c r="E428" t="n">
        <v>23259.43</v>
      </c>
      <c r="F428" t="inlineStr">
        <is>
          <t>$0.08</t>
        </is>
      </c>
      <c r="G428" t="inlineStr">
        <is>
          <t>$2.31 B</t>
        </is>
      </c>
      <c r="H428" t="inlineStr">
        <is>
          <t>1.2%</t>
        </is>
      </c>
    </row>
    <row r="429">
      <c r="A429" s="78" t="inlineStr">
        <is>
          <t>Thursday, February 2, 2023</t>
        </is>
      </c>
      <c r="B429" t="inlineStr">
        <is>
          <t>4:05 PM ET</t>
        </is>
      </c>
      <c r="C429" t="inlineStr">
        <is>
          <t>SKX</t>
        </is>
      </c>
      <c r="D429" t="inlineStr">
        <is>
          <t>Skechers U.S.A. Inc.</t>
        </is>
      </c>
      <c r="E429" t="n">
        <v>7168.76</v>
      </c>
      <c r="F429" t="inlineStr">
        <is>
          <t>$0.36</t>
        </is>
      </c>
      <c r="G429" t="inlineStr">
        <is>
          <t>$1.77 B</t>
        </is>
      </c>
      <c r="H429" t="inlineStr">
        <is>
          <t>7.4%</t>
        </is>
      </c>
    </row>
    <row r="430">
      <c r="A430" s="78" t="inlineStr">
        <is>
          <t>Thursday, February 2, 2023</t>
        </is>
      </c>
      <c r="B430" t="inlineStr">
        <is>
          <t>4:00 PM ET</t>
        </is>
      </c>
      <c r="C430" t="inlineStr">
        <is>
          <t>SWKS</t>
        </is>
      </c>
      <c r="D430" t="inlineStr">
        <is>
          <t>Skyworks Solutions, Inc.</t>
        </is>
      </c>
      <c r="E430" t="n">
        <v>16427.72</v>
      </c>
      <c r="F430" t="inlineStr">
        <is>
          <t>$2.36</t>
        </is>
      </c>
      <c r="G430" t="inlineStr">
        <is>
          <t>$1.33 B</t>
        </is>
      </c>
      <c r="H430" t="inlineStr">
        <is>
          <t>-11.9%</t>
        </is>
      </c>
    </row>
    <row r="431">
      <c r="A431" s="78" t="inlineStr">
        <is>
          <t>Thursday, February 2, 2023</t>
        </is>
      </c>
      <c r="B431" t="inlineStr">
        <is>
          <t>6:30 AM ET</t>
        </is>
      </c>
      <c r="C431" t="inlineStr">
        <is>
          <t>SNA</t>
        </is>
      </c>
      <c r="D431" t="inlineStr">
        <is>
          <t>Snap-On, Inc.</t>
        </is>
      </c>
      <c r="E431" t="n">
        <v>13043.09</v>
      </c>
      <c r="F431" t="inlineStr">
        <is>
          <t>$4.09</t>
        </is>
      </c>
      <c r="G431" t="inlineStr">
        <is>
          <t>$1.15 B</t>
        </is>
      </c>
      <c r="H431" t="inlineStr">
        <is>
          <t>3.8%</t>
        </is>
      </c>
    </row>
    <row r="432">
      <c r="A432" s="78" t="inlineStr">
        <is>
          <t>Thursday, February 2, 2023</t>
        </is>
      </c>
      <c r="B432" t="inlineStr">
        <is>
          <t>6:00 AM ET</t>
        </is>
      </c>
      <c r="C432" t="inlineStr">
        <is>
          <t>SWK</t>
        </is>
      </c>
      <c r="D432" t="inlineStr">
        <is>
          <t>Stanley Black &amp; Decker</t>
        </is>
      </c>
      <c r="E432" t="n">
        <v>13122.44</v>
      </c>
      <c r="F432" t="inlineStr">
        <is>
          <t>($0.27)</t>
        </is>
      </c>
      <c r="G432" t="inlineStr">
        <is>
          <t>$3.94 B</t>
        </is>
      </c>
      <c r="H432" t="inlineStr">
        <is>
          <t>-3.2%</t>
        </is>
      </c>
    </row>
    <row r="433">
      <c r="A433" s="78" t="inlineStr">
        <is>
          <t>Thursday, February 2, 2023</t>
        </is>
      </c>
      <c r="B433" t="inlineStr">
        <is>
          <t>4:05 PM ET</t>
        </is>
      </c>
      <c r="C433" t="inlineStr">
        <is>
          <t>SBUX</t>
        </is>
      </c>
      <c r="D433" t="inlineStr">
        <is>
          <t>Starbucks Corp.</t>
        </is>
      </c>
      <c r="E433" t="n">
        <v>122527.66</v>
      </c>
      <c r="F433" t="inlineStr">
        <is>
          <t>$0.76</t>
        </is>
      </c>
      <c r="G433" t="inlineStr">
        <is>
          <t>$8.80 B</t>
        </is>
      </c>
      <c r="H433" t="inlineStr">
        <is>
          <t>9.3%</t>
        </is>
      </c>
    </row>
    <row r="434">
      <c r="A434" s="78" t="inlineStr">
        <is>
          <t>Thursday, February 2, 2023</t>
        </is>
      </c>
      <c r="B434" t="inlineStr">
        <is>
          <t>4:05 PM ET</t>
        </is>
      </c>
      <c r="C434" t="inlineStr">
        <is>
          <t>SYNA</t>
        </is>
      </c>
      <c r="D434" t="inlineStr">
        <is>
          <t>Synaptics, Inc.</t>
        </is>
      </c>
      <c r="E434" t="n">
        <v>4519.77</v>
      </c>
      <c r="F434" t="inlineStr">
        <is>
          <t>$1.79</t>
        </is>
      </c>
      <c r="G434" t="inlineStr">
        <is>
          <t>$365.85 M</t>
        </is>
      </c>
      <c r="H434" t="inlineStr">
        <is>
          <t>-13.0%</t>
        </is>
      </c>
    </row>
    <row r="435">
      <c r="A435" s="78" t="inlineStr">
        <is>
          <t>Thursday, February 2, 2023</t>
        </is>
      </c>
      <c r="B435" t="inlineStr">
        <is>
          <t>5:10 PM ET</t>
        </is>
      </c>
      <c r="C435" t="inlineStr">
        <is>
          <t>TFSL</t>
        </is>
      </c>
      <c r="D435" t="inlineStr">
        <is>
          <t>TFS Financial Corp</t>
        </is>
      </c>
      <c r="E435" t="n">
        <v>4213.01</v>
      </c>
      <c r="F435" t="inlineStr">
        <is>
          <t>$0.08</t>
        </is>
      </c>
      <c r="G435" t="inlineStr">
        <is>
          <t>$76.94 M</t>
        </is>
      </c>
      <c r="H435" t="inlineStr">
        <is>
          <t>-</t>
        </is>
      </c>
    </row>
    <row r="436">
      <c r="A436" s="78" t="inlineStr">
        <is>
          <t>Thursday, February 2, 2023</t>
        </is>
      </c>
      <c r="B436" t="inlineStr">
        <is>
          <t>4:15 PM ET</t>
        </is>
      </c>
      <c r="C436" t="inlineStr">
        <is>
          <t>MODG</t>
        </is>
      </c>
      <c r="D436" t="inlineStr">
        <is>
          <t>Topgolf Callaway Brands Corp.</t>
        </is>
      </c>
      <c r="E436" t="n">
        <v>4214.53</v>
      </c>
      <c r="F436" t="inlineStr">
        <is>
          <t>($0.19)</t>
        </is>
      </c>
      <c r="G436" t="inlineStr">
        <is>
          <t>$837.90 M</t>
        </is>
      </c>
      <c r="H436" t="inlineStr">
        <is>
          <t>-</t>
        </is>
      </c>
    </row>
    <row r="437">
      <c r="A437" s="78" t="inlineStr">
        <is>
          <t>Thursday, February 2, 2023</t>
        </is>
      </c>
      <c r="B437" t="inlineStr">
        <is>
          <t>7:00 AM ET</t>
        </is>
      </c>
      <c r="C437" t="inlineStr">
        <is>
          <t>TW</t>
        </is>
      </c>
      <c r="D437" t="inlineStr">
        <is>
          <t>Tradeweb Markets Inc.</t>
        </is>
      </c>
      <c r="E437" t="n">
        <v>16946.46</v>
      </c>
      <c r="F437" t="inlineStr">
        <is>
          <t>$0.44</t>
        </is>
      </c>
      <c r="G437" t="inlineStr">
        <is>
          <t>$294.41 M</t>
        </is>
      </c>
      <c r="H437" t="inlineStr">
        <is>
          <t>6.3%</t>
        </is>
      </c>
    </row>
    <row r="438">
      <c r="A438" s="78" t="inlineStr">
        <is>
          <t>Thursday, February 2, 2023</t>
        </is>
      </c>
      <c r="B438" t="inlineStr">
        <is>
          <t>6:30 AM ET</t>
        </is>
      </c>
      <c r="C438" t="inlineStr">
        <is>
          <t>TT</t>
        </is>
      </c>
      <c r="D438" t="inlineStr">
        <is>
          <t>Trane Technologies plc</t>
        </is>
      </c>
      <c r="E438" t="n">
        <v>41395.43</v>
      </c>
      <c r="F438" t="inlineStr">
        <is>
          <t>$1.64</t>
        </is>
      </c>
      <c r="G438" t="inlineStr">
        <is>
          <t>$3.94 B</t>
        </is>
      </c>
      <c r="H438" t="inlineStr">
        <is>
          <t>10.4%</t>
        </is>
      </c>
    </row>
    <row r="439">
      <c r="A439" s="78" t="inlineStr">
        <is>
          <t>Thursday, February 2, 2023</t>
        </is>
      </c>
      <c r="B439" t="inlineStr">
        <is>
          <t>7:50 AM ET</t>
        </is>
      </c>
      <c r="C439" t="inlineStr">
        <is>
          <t>UBSI</t>
        </is>
      </c>
      <c r="D439" t="inlineStr">
        <is>
          <t>United Bankshares Inc.</t>
        </is>
      </c>
      <c r="E439" t="n">
        <v>5469.85</v>
      </c>
      <c r="F439" t="inlineStr">
        <is>
          <t>$0.78</t>
        </is>
      </c>
      <c r="G439" t="inlineStr">
        <is>
          <t>$272.47 M</t>
        </is>
      </c>
      <c r="H439" t="inlineStr">
        <is>
          <t>9.3%</t>
        </is>
      </c>
    </row>
    <row r="440">
      <c r="A440" s="78" t="inlineStr">
        <is>
          <t>Thursday, February 2, 2023</t>
        </is>
      </c>
      <c r="B440" t="inlineStr">
        <is>
          <t>4:15 PM ET</t>
        </is>
      </c>
      <c r="C440" t="inlineStr">
        <is>
          <t>X</t>
        </is>
      </c>
      <c r="D440" t="inlineStr">
        <is>
          <t>United States Steel Corp.</t>
        </is>
      </c>
      <c r="E440" t="n">
        <v>6585.3</v>
      </c>
      <c r="F440" t="inlineStr">
        <is>
          <t>$0.56</t>
        </is>
      </c>
      <c r="G440" t="inlineStr">
        <is>
          <t>$4.30 B</t>
        </is>
      </c>
      <c r="H440" t="inlineStr">
        <is>
          <t>-23.5%</t>
        </is>
      </c>
    </row>
    <row r="441">
      <c r="A441" s="78" t="inlineStr">
        <is>
          <t>Thursday, February 2, 2023</t>
        </is>
      </c>
      <c r="B441" t="inlineStr">
        <is>
          <t>8:00 AM ET</t>
        </is>
      </c>
      <c r="C441" t="inlineStr">
        <is>
          <t>GWW</t>
        </is>
      </c>
      <c r="D441" t="inlineStr">
        <is>
          <t>W.W. Grainger, Inc.</t>
        </is>
      </c>
      <c r="E441" t="n">
        <v>28886.06</v>
      </c>
      <c r="F441" t="inlineStr">
        <is>
          <t>$6.91</t>
        </is>
      </c>
      <c r="G441" t="inlineStr">
        <is>
          <t>$3.76 B</t>
        </is>
      </c>
      <c r="H441" t="inlineStr">
        <is>
          <t>11.9%</t>
        </is>
      </c>
    </row>
    <row r="442">
      <c r="A442" s="78" t="inlineStr">
        <is>
          <t>Thursday, February 2, 2023</t>
        </is>
      </c>
      <c r="B442" t="inlineStr">
        <is>
          <t>6:00 AM ET</t>
        </is>
      </c>
      <c r="C442" t="inlineStr">
        <is>
          <t>WD</t>
        </is>
      </c>
      <c r="D442" t="inlineStr">
        <is>
          <t>Walker &amp; Dunlop, Inc.</t>
        </is>
      </c>
      <c r="E442" t="n">
        <v>3068.8</v>
      </c>
      <c r="F442" t="inlineStr">
        <is>
          <t>$1.55</t>
        </is>
      </c>
      <c r="G442" t="inlineStr">
        <is>
          <t>$423.78 M</t>
        </is>
      </c>
      <c r="H442" t="inlineStr">
        <is>
          <t>4.1%</t>
        </is>
      </c>
    </row>
    <row r="443">
      <c r="A443" s="78" t="inlineStr">
        <is>
          <t>Thursday, February 2, 2023</t>
        </is>
      </c>
      <c r="B443" t="inlineStr">
        <is>
          <t>4:00 PM ET</t>
        </is>
      </c>
      <c r="C443" t="inlineStr">
        <is>
          <t>WBD</t>
        </is>
      </c>
      <c r="D443" t="inlineStr">
        <is>
          <t>Warner Bros. Discovery, Inc.</t>
        </is>
      </c>
      <c r="E443" t="n">
        <v>32127.68</v>
      </c>
      <c r="F443" t="inlineStr">
        <is>
          <t>$0.14</t>
        </is>
      </c>
      <c r="G443" t="inlineStr">
        <is>
          <t>$11.68 B</t>
        </is>
      </c>
      <c r="H443" t="inlineStr">
        <is>
          <t>-</t>
        </is>
      </c>
    </row>
    <row r="444">
      <c r="A444" s="78" t="inlineStr">
        <is>
          <t>Thursday, February 2, 2023</t>
        </is>
      </c>
      <c r="B444" t="inlineStr">
        <is>
          <t>7:00 AM ET</t>
        </is>
      </c>
      <c r="C444" t="inlineStr">
        <is>
          <t>WEC</t>
        </is>
      </c>
      <c r="D444" t="inlineStr">
        <is>
          <t>WEC Energy Group Inc.</t>
        </is>
      </c>
      <c r="E444" t="n">
        <v>29978.9</v>
      </c>
      <c r="F444" t="inlineStr">
        <is>
          <t>$0.74</t>
        </is>
      </c>
      <c r="G444" t="inlineStr">
        <is>
          <t>$2.26 B</t>
        </is>
      </c>
      <c r="H444" t="inlineStr">
        <is>
          <t>2.6%</t>
        </is>
      </c>
    </row>
    <row r="445">
      <c r="A445" s="78" t="inlineStr">
        <is>
          <t>Thursday, February 2, 2023</t>
        </is>
      </c>
      <c r="B445" t="inlineStr">
        <is>
          <t>4:30 PM ET</t>
        </is>
      </c>
      <c r="C445" t="inlineStr">
        <is>
          <t>WAL</t>
        </is>
      </c>
      <c r="D445" t="inlineStr">
        <is>
          <t>Western Alliance Bancorporation</t>
        </is>
      </c>
      <c r="E445" t="n">
        <v>7033.54</v>
      </c>
      <c r="F445" t="inlineStr">
        <is>
          <t>$2.67</t>
        </is>
      </c>
      <c r="G445" t="inlineStr">
        <is>
          <t>$724.29 M</t>
        </is>
      </c>
      <c r="H445" t="inlineStr">
        <is>
          <t>-</t>
        </is>
      </c>
    </row>
    <row r="446">
      <c r="A446" s="78" t="inlineStr">
        <is>
          <t>Thursday, February 2, 2023</t>
        </is>
      </c>
      <c r="B446" t="inlineStr">
        <is>
          <t>5:00 PM ET</t>
        </is>
      </c>
      <c r="C446" t="inlineStr">
        <is>
          <t>WPM</t>
        </is>
      </c>
      <c r="D446" t="inlineStr">
        <is>
          <t>Wheaton Precious Metals Corp.</t>
        </is>
      </c>
      <c r="E446" t="n">
        <v>19920.3</v>
      </c>
      <c r="F446" t="inlineStr">
        <is>
          <t>$0.24</t>
        </is>
      </c>
      <c r="G446" t="inlineStr">
        <is>
          <t>$269.92 M</t>
        </is>
      </c>
      <c r="H446" t="inlineStr">
        <is>
          <t>-3.0%</t>
        </is>
      </c>
    </row>
    <row r="447">
      <c r="A447" s="78" t="inlineStr">
        <is>
          <t>Friday, February 3, 2023</t>
        </is>
      </c>
      <c r="B447" t="inlineStr">
        <is>
          <t>6:00 AM ET</t>
        </is>
      </c>
      <c r="C447" t="inlineStr">
        <is>
          <t>AON</t>
        </is>
      </c>
      <c r="D447" t="inlineStr">
        <is>
          <t>AON Plc</t>
        </is>
      </c>
      <c r="E447" t="n">
        <v>65559.98</v>
      </c>
      <c r="F447" t="inlineStr">
        <is>
          <t>$3.67</t>
        </is>
      </c>
      <c r="G447" t="inlineStr">
        <is>
          <t>$3.11 B</t>
        </is>
      </c>
      <c r="H447" t="inlineStr">
        <is>
          <t>1.0%</t>
        </is>
      </c>
    </row>
    <row r="448">
      <c r="A448" s="78" t="inlineStr">
        <is>
          <t>Friday, February 3, 2023</t>
        </is>
      </c>
      <c r="B448" t="inlineStr">
        <is>
          <t>6:05 AM ET</t>
        </is>
      </c>
      <c r="C448" t="inlineStr">
        <is>
          <t>AVTR</t>
        </is>
      </c>
      <c r="D448" t="inlineStr">
        <is>
          <t>Avantor, Inc.</t>
        </is>
      </c>
      <c r="E448" t="n">
        <v>15007.79</v>
      </c>
      <c r="F448" t="inlineStr">
        <is>
          <t>$0.30</t>
        </is>
      </c>
      <c r="G448" t="inlineStr">
        <is>
          <t>$1.80 B</t>
        </is>
      </c>
      <c r="H448" t="inlineStr">
        <is>
          <t>-5.6%</t>
        </is>
      </c>
    </row>
    <row r="449">
      <c r="A449" s="78" t="inlineStr">
        <is>
          <t>Friday, February 3, 2023</t>
        </is>
      </c>
      <c r="B449" t="inlineStr">
        <is>
          <t>6:50 AM ET</t>
        </is>
      </c>
      <c r="C449" t="inlineStr">
        <is>
          <t>BEP</t>
        </is>
      </c>
      <c r="D449" t="inlineStr">
        <is>
          <t>Brookfield Renewable Partners</t>
        </is>
      </c>
      <c r="E449" t="n">
        <v>8012.94</v>
      </c>
      <c r="F449" t="inlineStr">
        <is>
          <t>($0.03)</t>
        </is>
      </c>
      <c r="G449" t="inlineStr">
        <is>
          <t>$1.07 B</t>
        </is>
      </c>
      <c r="H449" t="inlineStr">
        <is>
          <t>-1.9%</t>
        </is>
      </c>
    </row>
    <row r="450">
      <c r="A450" s="78" t="inlineStr">
        <is>
          <t>Friday, February 3, 2023</t>
        </is>
      </c>
      <c r="B450" t="inlineStr">
        <is>
          <t>7:30 AM ET</t>
        </is>
      </c>
      <c r="C450" t="inlineStr">
        <is>
          <t>CBOE</t>
        </is>
      </c>
      <c r="D450" t="inlineStr">
        <is>
          <t>Cboe Global Markets, Inc</t>
        </is>
      </c>
      <c r="E450" t="n">
        <v>13113.88</v>
      </c>
      <c r="F450" t="inlineStr">
        <is>
          <t>$1.71</t>
        </is>
      </c>
      <c r="G450" t="inlineStr">
        <is>
          <t>$446.71 M</t>
        </is>
      </c>
      <c r="H450" t="inlineStr">
        <is>
          <t>-48.4%</t>
        </is>
      </c>
    </row>
    <row r="451">
      <c r="A451" s="78" t="inlineStr">
        <is>
          <t>Friday, February 3, 2023</t>
        </is>
      </c>
      <c r="B451" t="inlineStr">
        <is>
          <t>7:00 AM ET</t>
        </is>
      </c>
      <c r="C451" t="inlineStr">
        <is>
          <t>CCCS</t>
        </is>
      </c>
      <c r="D451" t="inlineStr">
        <is>
          <t>CCC Intelligent Solutions Holdings Inc.</t>
        </is>
      </c>
      <c r="E451" t="n">
        <v>5425.02</v>
      </c>
      <c r="F451" t="inlineStr">
        <is>
          <t>$0.07</t>
        </is>
      </c>
      <c r="G451" t="inlineStr">
        <is>
          <t>$201.36 M</t>
        </is>
      </c>
      <c r="H451" t="inlineStr">
        <is>
          <t>7.6%</t>
        </is>
      </c>
    </row>
    <row r="452">
      <c r="A452" s="78" t="inlineStr">
        <is>
          <t>Friday, February 3, 2023</t>
        </is>
      </c>
      <c r="B452" t="inlineStr">
        <is>
          <t>6:00 AM ET</t>
        </is>
      </c>
      <c r="C452" t="inlineStr">
        <is>
          <t>CI</t>
        </is>
      </c>
      <c r="D452" t="inlineStr">
        <is>
          <t>CIGNA Corp.</t>
        </is>
      </c>
      <c r="E452" t="n">
        <v>96307.78999999999</v>
      </c>
      <c r="F452" t="inlineStr">
        <is>
          <t>$4.84</t>
        </is>
      </c>
      <c r="G452" t="inlineStr">
        <is>
          <t>$45.74 B</t>
        </is>
      </c>
      <c r="H452" t="inlineStr">
        <is>
          <t>0.1%</t>
        </is>
      </c>
    </row>
    <row r="453">
      <c r="A453" s="78" t="inlineStr">
        <is>
          <t>Friday, February 3, 2023</t>
        </is>
      </c>
      <c r="B453" t="inlineStr">
        <is>
          <t>6:30 AM ET</t>
        </is>
      </c>
      <c r="C453" t="inlineStr">
        <is>
          <t>ETN</t>
        </is>
      </c>
      <c r="D453" t="inlineStr">
        <is>
          <t>Eaton Corp.</t>
        </is>
      </c>
      <c r="E453" t="n">
        <v>64590.46</v>
      </c>
      <c r="F453" t="inlineStr">
        <is>
          <t>$2.05</t>
        </is>
      </c>
      <c r="G453" t="inlineStr">
        <is>
          <t>$5.31 B</t>
        </is>
      </c>
      <c r="H453" t="inlineStr">
        <is>
          <t>10.7%</t>
        </is>
      </c>
    </row>
    <row r="454">
      <c r="A454" s="78" t="inlineStr">
        <is>
          <t>Friday, February 3, 2023</t>
        </is>
      </c>
      <c r="B454" t="inlineStr">
        <is>
          <t>5:00 AM ET</t>
        </is>
      </c>
      <c r="C454" t="inlineStr">
        <is>
          <t>NFG</t>
        </is>
      </c>
      <c r="D454" t="inlineStr">
        <is>
          <t>National Fuel Gas Company</t>
        </is>
      </c>
      <c r="E454" t="n">
        <v>5525.71</v>
      </c>
      <c r="F454" t="inlineStr">
        <is>
          <t>$1.77</t>
        </is>
      </c>
      <c r="G454" t="inlineStr">
        <is>
          <t>$629.66 M</t>
        </is>
      </c>
      <c r="H454" t="inlineStr">
        <is>
          <t>15.2%</t>
        </is>
      </c>
    </row>
    <row r="455">
      <c r="A455" s="78" t="inlineStr">
        <is>
          <t>Friday, February 3, 2023</t>
        </is>
      </c>
      <c r="B455" t="inlineStr">
        <is>
          <t>6:30 AM ET</t>
        </is>
      </c>
      <c r="C455" t="inlineStr">
        <is>
          <t>PNM</t>
        </is>
      </c>
      <c r="D455" t="inlineStr">
        <is>
          <t>PNM Resources, Inc.</t>
        </is>
      </c>
      <c r="E455" t="n">
        <v>4246.25</v>
      </c>
      <c r="F455" t="inlineStr">
        <is>
          <t>-</t>
        </is>
      </c>
      <c r="G455" t="inlineStr">
        <is>
          <t>-</t>
        </is>
      </c>
      <c r="H455" t="inlineStr">
        <is>
          <t>-</t>
        </is>
      </c>
    </row>
    <row r="456">
      <c r="A456" s="78" t="inlineStr">
        <is>
          <t>Friday, February 3, 2023</t>
        </is>
      </c>
      <c r="B456" t="inlineStr">
        <is>
          <t>6:30 AM ET</t>
        </is>
      </c>
      <c r="C456" t="inlineStr">
        <is>
          <t>REGN</t>
        </is>
      </c>
      <c r="D456" t="inlineStr">
        <is>
          <t>Regeneron Pharmaceuticals Inc.</t>
        </is>
      </c>
      <c r="E456" t="n">
        <v>79292.59</v>
      </c>
      <c r="F456" t="inlineStr">
        <is>
          <t>$8.33</t>
        </is>
      </c>
      <c r="G456" t="inlineStr">
        <is>
          <t>$3.17 B</t>
        </is>
      </c>
      <c r="H456" t="inlineStr">
        <is>
          <t>-36.0%</t>
        </is>
      </c>
    </row>
    <row r="457">
      <c r="A457" s="78" t="inlineStr">
        <is>
          <t>Friday, February 3, 2023</t>
        </is>
      </c>
      <c r="B457" t="inlineStr">
        <is>
          <t>8:20 AM ET</t>
        </is>
      </c>
      <c r="C457" t="inlineStr">
        <is>
          <t>RCL</t>
        </is>
      </c>
      <c r="D457" t="inlineStr">
        <is>
          <t>Royal Caribbean Cruises Ltd.</t>
        </is>
      </c>
      <c r="E457" t="n">
        <v>16372.48</v>
      </c>
      <c r="F457" t="inlineStr">
        <is>
          <t>($1.35)</t>
        </is>
      </c>
      <c r="G457" t="inlineStr">
        <is>
          <t>$2.58 B</t>
        </is>
      </c>
      <c r="H457" t="inlineStr">
        <is>
          <t>162.7%</t>
        </is>
      </c>
    </row>
    <row r="458">
      <c r="A458" s="78" t="inlineStr">
        <is>
          <t>Friday, February 3, 2023</t>
        </is>
      </c>
      <c r="B458" t="inlineStr">
        <is>
          <t>7:30 AM ET</t>
        </is>
      </c>
      <c r="C458" t="inlineStr">
        <is>
          <t>SAIA</t>
        </is>
      </c>
      <c r="D458" t="inlineStr">
        <is>
          <t>Saia Inc.</t>
        </is>
      </c>
      <c r="E458" t="n">
        <v>6304.95</v>
      </c>
      <c r="F458" t="inlineStr">
        <is>
          <t>$2.86</t>
        </is>
      </c>
      <c r="G458" t="inlineStr">
        <is>
          <t>$671.95 M</t>
        </is>
      </c>
      <c r="H458" t="inlineStr">
        <is>
          <t>8.9%</t>
        </is>
      </c>
    </row>
    <row r="459">
      <c r="A459" s="78" t="inlineStr">
        <is>
          <t>Friday, February 3, 2023</t>
        </is>
      </c>
      <c r="B459" t="inlineStr">
        <is>
          <t>7:10 AM ET</t>
        </is>
      </c>
      <c r="C459" t="inlineStr">
        <is>
          <t>UI</t>
        </is>
      </c>
      <c r="D459" t="inlineStr">
        <is>
          <t>Ubiquiti Inc.</t>
        </is>
      </c>
      <c r="E459" t="n">
        <v>17577.53</v>
      </c>
      <c r="F459" t="inlineStr">
        <is>
          <t>$1.86</t>
        </is>
      </c>
      <c r="G459" t="inlineStr">
        <is>
          <t>$439.87 M</t>
        </is>
      </c>
      <c r="H459" t="inlineStr">
        <is>
          <t>1.9%</t>
        </is>
      </c>
    </row>
    <row r="460">
      <c r="A460" s="78" t="inlineStr">
        <is>
          <t>Friday, February 3, 2023</t>
        </is>
      </c>
      <c r="B460" t="inlineStr">
        <is>
          <t>6:30 AM ET</t>
        </is>
      </c>
      <c r="C460" t="inlineStr">
        <is>
          <t>ZBH</t>
        </is>
      </c>
      <c r="D460" t="inlineStr">
        <is>
          <t>Zimmer Biomet Holdings, Inc.</t>
        </is>
      </c>
      <c r="E460" t="n">
        <v>25813.95</v>
      </c>
      <c r="F460" t="inlineStr">
        <is>
          <t>$1.83</t>
        </is>
      </c>
      <c r="G460" t="inlineStr">
        <is>
          <t>$1.76 B</t>
        </is>
      </c>
      <c r="H460" t="inlineStr">
        <is>
          <t>-13.6%</t>
        </is>
      </c>
    </row>
    <row r="461">
      <c r="A461" s="78" t="inlineStr">
        <is>
          <t>Monday, February 6, 2023</t>
        </is>
      </c>
      <c r="B461" t="inlineStr">
        <is>
          <t>4:00 PM ET</t>
        </is>
      </c>
      <c r="C461" t="inlineStr">
        <is>
          <t>AAON</t>
        </is>
      </c>
      <c r="D461" t="inlineStr">
        <is>
          <t>AAON Inc.</t>
        </is>
      </c>
      <c r="E461" t="n">
        <v>4101.68</v>
      </c>
      <c r="F461" t="inlineStr">
        <is>
          <t>$0.55</t>
        </is>
      </c>
      <c r="G461" t="inlineStr">
        <is>
          <t>$240.91 M</t>
        </is>
      </c>
      <c r="H461" t="inlineStr">
        <is>
          <t>76.8%</t>
        </is>
      </c>
    </row>
    <row r="462">
      <c r="A462" s="78" t="inlineStr">
        <is>
          <t>Monday, February 6, 2023</t>
        </is>
      </c>
      <c r="B462" t="inlineStr">
        <is>
          <t>4:05 PM ET</t>
        </is>
      </c>
      <c r="C462" t="inlineStr">
        <is>
          <t>ATVI</t>
        </is>
      </c>
      <c r="D462" t="inlineStr">
        <is>
          <t>Activision Blizzard, Inc.</t>
        </is>
      </c>
      <c r="E462" t="n">
        <v>58352.55</v>
      </c>
      <c r="F462" t="inlineStr">
        <is>
          <t>$1.38</t>
        </is>
      </c>
      <c r="G462" t="inlineStr">
        <is>
          <t>$3.20 B</t>
        </is>
      </c>
      <c r="H462" t="inlineStr">
        <is>
          <t>47.9%</t>
        </is>
      </c>
    </row>
    <row r="463">
      <c r="A463" s="78" t="inlineStr">
        <is>
          <t>Monday, February 6, 2023</t>
        </is>
      </c>
      <c r="B463" t="inlineStr">
        <is>
          <t>7:00 AM ET</t>
        </is>
      </c>
      <c r="C463" t="inlineStr">
        <is>
          <t>AMG</t>
        </is>
      </c>
      <c r="D463" t="inlineStr">
        <is>
          <t>Affiliated Managers Group Inc.</t>
        </is>
      </c>
      <c r="E463" t="n">
        <v>6298.95</v>
      </c>
      <c r="F463" t="inlineStr">
        <is>
          <t>$6.79</t>
        </is>
      </c>
      <c r="G463" t="inlineStr">
        <is>
          <t>$580.67 M</t>
        </is>
      </c>
      <c r="H463" t="inlineStr">
        <is>
          <t>-16.1%</t>
        </is>
      </c>
    </row>
    <row r="464">
      <c r="A464" s="78" t="inlineStr">
        <is>
          <t>Monday, February 6, 2023</t>
        </is>
      </c>
      <c r="B464" t="inlineStr">
        <is>
          <t>4:05 PM ET</t>
        </is>
      </c>
      <c r="C464" t="inlineStr">
        <is>
          <t>APLS</t>
        </is>
      </c>
      <c r="D464" t="inlineStr">
        <is>
          <t>Apellis Pharmaceuticals, Inc.</t>
        </is>
      </c>
      <c r="E464" t="n">
        <v>5751.03</v>
      </c>
      <c r="F464" t="inlineStr">
        <is>
          <t>($1.63)</t>
        </is>
      </c>
      <c r="G464" t="inlineStr">
        <is>
          <t>$25.58 M</t>
        </is>
      </c>
      <c r="H464" t="inlineStr">
        <is>
          <t>-57.6%</t>
        </is>
      </c>
    </row>
    <row r="465">
      <c r="A465" s="78" t="inlineStr">
        <is>
          <t>Monday, February 6, 2023</t>
        </is>
      </c>
      <c r="B465" t="inlineStr">
        <is>
          <t>6:30 AM ET</t>
        </is>
      </c>
      <c r="C465" t="inlineStr">
        <is>
          <t>BEAM</t>
        </is>
      </c>
      <c r="D465" t="inlineStr">
        <is>
          <t>Beam Inc.</t>
        </is>
      </c>
      <c r="E465" t="n">
        <v>3132.34</v>
      </c>
      <c r="F465" t="inlineStr">
        <is>
          <t>($1.32)</t>
        </is>
      </c>
      <c r="G465" t="inlineStr">
        <is>
          <t>$13.78 M</t>
        </is>
      </c>
      <c r="H465" t="inlineStr">
        <is>
          <t>-73.0%</t>
        </is>
      </c>
    </row>
    <row r="466">
      <c r="A466" s="78" t="inlineStr">
        <is>
          <t>Monday, February 6, 2023</t>
        </is>
      </c>
      <c r="B466" t="inlineStr">
        <is>
          <t>5:00 PM ET</t>
        </is>
      </c>
      <c r="C466" t="inlineStr">
        <is>
          <t>BRBR</t>
        </is>
      </c>
      <c r="D466" t="inlineStr">
        <is>
          <t>BellRing Brands, Inc.</t>
        </is>
      </c>
      <c r="E466" t="n">
        <v>3639.15</v>
      </c>
      <c r="F466" t="inlineStr">
        <is>
          <t>$0.27</t>
        </is>
      </c>
      <c r="G466" t="inlineStr">
        <is>
          <t>$342.49 M</t>
        </is>
      </c>
      <c r="H466" t="inlineStr">
        <is>
          <t>11.7%</t>
        </is>
      </c>
    </row>
    <row r="467">
      <c r="A467" s="78" t="inlineStr">
        <is>
          <t>Monday, February 6, 2023</t>
        </is>
      </c>
      <c r="B467" t="inlineStr">
        <is>
          <t>6:00 AM ET</t>
        </is>
      </c>
      <c r="C467" t="inlineStr">
        <is>
          <t>BNTX</t>
        </is>
      </c>
      <c r="D467" t="inlineStr">
        <is>
          <t>BioNTech SE</t>
        </is>
      </c>
      <c r="E467" t="n">
        <v>34752.55</v>
      </c>
      <c r="F467" t="inlineStr">
        <is>
          <t>$8.71</t>
        </is>
      </c>
      <c r="G467" t="inlineStr">
        <is>
          <t>$4.31 B</t>
        </is>
      </c>
      <c r="H467" t="inlineStr">
        <is>
          <t>-31.9%</t>
        </is>
      </c>
    </row>
    <row r="468">
      <c r="A468" s="78" t="inlineStr">
        <is>
          <t>Monday, February 6, 2023</t>
        </is>
      </c>
      <c r="B468" t="inlineStr">
        <is>
          <t>6:45 AM ET</t>
        </is>
      </c>
      <c r="C468" t="inlineStr">
        <is>
          <t>WHD</t>
        </is>
      </c>
      <c r="D468" t="inlineStr">
        <is>
          <t>Cactus, Inc.</t>
        </is>
      </c>
      <c r="E468" t="n">
        <v>4210.48</v>
      </c>
      <c r="F468" t="inlineStr">
        <is>
          <t>$0.51</t>
        </is>
      </c>
      <c r="G468" t="inlineStr">
        <is>
          <t>$190.53 M</t>
        </is>
      </c>
      <c r="H468" t="inlineStr">
        <is>
          <t>46.7%</t>
        </is>
      </c>
    </row>
    <row r="469">
      <c r="A469" s="78" t="inlineStr">
        <is>
          <t>Monday, February 6, 2023</t>
        </is>
      </c>
      <c r="B469" t="inlineStr">
        <is>
          <t>4:05 PM ET</t>
        </is>
      </c>
      <c r="C469" t="inlineStr">
        <is>
          <t>CHGG</t>
        </is>
      </c>
      <c r="D469" t="inlineStr">
        <is>
          <t>Chegg Inc.</t>
        </is>
      </c>
      <c r="E469" t="n">
        <v>3066.67</v>
      </c>
      <c r="F469" t="inlineStr">
        <is>
          <t>$0.17</t>
        </is>
      </c>
      <c r="G469" t="inlineStr">
        <is>
          <t>$202.06 M</t>
        </is>
      </c>
      <c r="H469" t="inlineStr">
        <is>
          <t>-2.6%</t>
        </is>
      </c>
    </row>
    <row r="470">
      <c r="A470" s="78" t="inlineStr">
        <is>
          <t>Monday, February 6, 2023</t>
        </is>
      </c>
      <c r="B470" t="inlineStr">
        <is>
          <t>4:05 PM ET</t>
        </is>
      </c>
      <c r="C470" t="inlineStr">
        <is>
          <t>CINF</t>
        </is>
      </c>
      <c r="D470" t="inlineStr">
        <is>
          <t>Cincinnati Financial Corporation</t>
        </is>
      </c>
      <c r="E470" t="n">
        <v>16691.4</v>
      </c>
      <c r="F470" t="inlineStr">
        <is>
          <t>$1.26</t>
        </is>
      </c>
      <c r="G470" t="inlineStr">
        <is>
          <t>$1.99 B</t>
        </is>
      </c>
      <c r="H470" t="inlineStr">
        <is>
          <t>-40.1%</t>
        </is>
      </c>
    </row>
    <row r="471">
      <c r="A471" s="78" t="inlineStr">
        <is>
          <t>Monday, February 6, 2023</t>
        </is>
      </c>
      <c r="B471" t="inlineStr">
        <is>
          <t>6:00 AM ET</t>
        </is>
      </c>
      <c r="C471" t="inlineStr">
        <is>
          <t>CNA</t>
        </is>
      </c>
      <c r="D471" t="inlineStr">
        <is>
          <t>CNA Financial Corp.</t>
        </is>
      </c>
      <c r="E471" t="n">
        <v>11610.49</v>
      </c>
      <c r="F471" t="inlineStr">
        <is>
          <t>$0.85</t>
        </is>
      </c>
      <c r="G471" t="inlineStr">
        <is>
          <t>$2.28 B</t>
        </is>
      </c>
      <c r="H471" t="inlineStr">
        <is>
          <t>-25.3%</t>
        </is>
      </c>
    </row>
    <row r="472">
      <c r="A472" s="78" t="inlineStr">
        <is>
          <t>Monday, February 6, 2023</t>
        </is>
      </c>
      <c r="B472" t="inlineStr">
        <is>
          <t>7:30 AM ET</t>
        </is>
      </c>
      <c r="C472" t="inlineStr">
        <is>
          <t>CMI</t>
        </is>
      </c>
      <c r="D472" t="inlineStr">
        <is>
          <t>Cummins, Inc.</t>
        </is>
      </c>
      <c r="E472" t="n">
        <v>35134.34</v>
      </c>
      <c r="F472" t="inlineStr">
        <is>
          <t>$4.88</t>
        </is>
      </c>
      <c r="G472" t="inlineStr">
        <is>
          <t>$7.07 B</t>
        </is>
      </c>
      <c r="H472" t="inlineStr">
        <is>
          <t>20.9%</t>
        </is>
      </c>
    </row>
    <row r="473">
      <c r="A473" s="78" t="inlineStr">
        <is>
          <t>Monday, February 6, 2023</t>
        </is>
      </c>
      <c r="B473" t="inlineStr">
        <is>
          <t>4:05 PM ET</t>
        </is>
      </c>
      <c r="C473" t="inlineStr">
        <is>
          <t>DIOD</t>
        </is>
      </c>
      <c r="D473" t="inlineStr">
        <is>
          <t>Diodes, Inc.</t>
        </is>
      </c>
      <c r="E473" t="n">
        <v>3977.24</v>
      </c>
      <c r="F473" t="inlineStr">
        <is>
          <t>$1.66</t>
        </is>
      </c>
      <c r="G473" t="inlineStr">
        <is>
          <t>$491.22 M</t>
        </is>
      </c>
      <c r="H473" t="inlineStr">
        <is>
          <t>2.3%</t>
        </is>
      </c>
    </row>
    <row r="474">
      <c r="A474" s="78" t="inlineStr">
        <is>
          <t>Monday, February 6, 2023</t>
        </is>
      </c>
      <c r="B474" t="inlineStr">
        <is>
          <t>4:25 PM ET</t>
        </is>
      </c>
      <c r="C474" t="inlineStr">
        <is>
          <t>ACT</t>
        </is>
      </c>
      <c r="D474" t="inlineStr">
        <is>
          <t>Enact Holdings, Inc.</t>
        </is>
      </c>
      <c r="E474" t="n">
        <v>3942.42</v>
      </c>
      <c r="F474" t="inlineStr">
        <is>
          <t>$0.92</t>
        </is>
      </c>
      <c r="G474" t="inlineStr">
        <is>
          <t>$274.87 M</t>
        </is>
      </c>
      <c r="H474" t="inlineStr">
        <is>
          <t>0.7%</t>
        </is>
      </c>
    </row>
    <row r="475">
      <c r="A475" s="78" t="inlineStr">
        <is>
          <t>Monday, February 6, 2023</t>
        </is>
      </c>
      <c r="B475" t="inlineStr">
        <is>
          <t>7:00 AM ET</t>
        </is>
      </c>
      <c r="C475" t="inlineStr">
        <is>
          <t>FNV</t>
        </is>
      </c>
      <c r="D475" t="inlineStr">
        <is>
          <t>Franco-Nevada Corporation</t>
        </is>
      </c>
      <c r="E475" t="n">
        <v>27271.79</v>
      </c>
      <c r="F475" t="inlineStr">
        <is>
          <t>$0.86</t>
        </is>
      </c>
      <c r="G475" t="inlineStr">
        <is>
          <t>$1.26 B</t>
        </is>
      </c>
      <c r="H475" t="inlineStr">
        <is>
          <t>284.5%</t>
        </is>
      </c>
    </row>
    <row r="476">
      <c r="A476" s="78" t="inlineStr">
        <is>
          <t>Monday, February 6, 2023</t>
        </is>
      </c>
      <c r="B476" t="inlineStr">
        <is>
          <t>4:15 PM ET</t>
        </is>
      </c>
      <c r="C476" t="inlineStr">
        <is>
          <t>FSK</t>
        </is>
      </c>
      <c r="D476" t="inlineStr">
        <is>
          <t>FS KKR Capital Corp.</t>
        </is>
      </c>
      <c r="E476" t="n">
        <v>5370.92</v>
      </c>
      <c r="F476" t="inlineStr">
        <is>
          <t>$0.75</t>
        </is>
      </c>
      <c r="G476" t="inlineStr">
        <is>
          <t>$419.11 M</t>
        </is>
      </c>
      <c r="H476" t="inlineStr">
        <is>
          <t>15.1%</t>
        </is>
      </c>
    </row>
    <row r="477">
      <c r="A477" s="78" t="inlineStr">
        <is>
          <t>Monday, February 6, 2023</t>
        </is>
      </c>
      <c r="B477" t="inlineStr">
        <is>
          <t>6:30 AM ET</t>
        </is>
      </c>
      <c r="C477" t="inlineStr">
        <is>
          <t>HAS</t>
        </is>
      </c>
      <c r="D477" t="inlineStr">
        <is>
          <t>Hasbro, Inc.</t>
        </is>
      </c>
      <c r="E477" t="n">
        <v>9035.4</v>
      </c>
      <c r="F477" t="inlineStr">
        <is>
          <t>$1.53</t>
        </is>
      </c>
      <c r="G477" t="inlineStr">
        <is>
          <t>$1.98 B</t>
        </is>
      </c>
      <c r="H477" t="inlineStr">
        <is>
          <t>-1.7%</t>
        </is>
      </c>
    </row>
    <row r="478">
      <c r="A478" s="78" t="inlineStr">
        <is>
          <t>Monday, February 6, 2023</t>
        </is>
      </c>
      <c r="B478" t="inlineStr">
        <is>
          <t>4:25 PM ET</t>
        </is>
      </c>
      <c r="C478" t="inlineStr">
        <is>
          <t>JHX</t>
        </is>
      </c>
      <c r="D478" t="inlineStr">
        <is>
          <t>James Hardie Industries N.V.</t>
        </is>
      </c>
      <c r="E478" t="n">
        <v>9434.35</v>
      </c>
      <c r="F478" t="inlineStr">
        <is>
          <t>-</t>
        </is>
      </c>
      <c r="G478" t="inlineStr">
        <is>
          <t>$4.05 B</t>
        </is>
      </c>
      <c r="H478" t="inlineStr">
        <is>
          <t>350.0%</t>
        </is>
      </c>
    </row>
    <row r="479">
      <c r="A479" s="78" t="inlineStr">
        <is>
          <t>Monday, February 6, 2023</t>
        </is>
      </c>
      <c r="B479" t="inlineStr">
        <is>
          <t>4:10 PM ET</t>
        </is>
      </c>
      <c r="C479" t="inlineStr">
        <is>
          <t>LEG</t>
        </is>
      </c>
      <c r="D479" t="inlineStr">
        <is>
          <t>Leggett &amp; Platt, Inc.</t>
        </is>
      </c>
      <c r="E479" t="n">
        <v>4624.3</v>
      </c>
      <c r="F479" t="inlineStr">
        <is>
          <t>$0.47</t>
        </is>
      </c>
      <c r="G479" t="inlineStr">
        <is>
          <t>$1.22 B</t>
        </is>
      </c>
      <c r="H479" t="inlineStr">
        <is>
          <t>-8.5%</t>
        </is>
      </c>
    </row>
    <row r="480">
      <c r="A480" s="78" t="inlineStr">
        <is>
          <t>Monday, February 6, 2023</t>
        </is>
      </c>
      <c r="B480" t="inlineStr">
        <is>
          <t>6:00 AM ET</t>
        </is>
      </c>
      <c r="C480" t="inlineStr">
        <is>
          <t>L</t>
        </is>
      </c>
      <c r="D480" t="inlineStr">
        <is>
          <t>Loews Corp</t>
        </is>
      </c>
      <c r="E480" t="n">
        <v>14091.3</v>
      </c>
      <c r="F480" t="inlineStr">
        <is>
          <t>-</t>
        </is>
      </c>
      <c r="G480" t="inlineStr">
        <is>
          <t>-</t>
        </is>
      </c>
      <c r="H480" t="inlineStr">
        <is>
          <t>-</t>
        </is>
      </c>
    </row>
    <row r="481">
      <c r="A481" s="78" t="inlineStr">
        <is>
          <t>Monday, February 6, 2023</t>
        </is>
      </c>
      <c r="B481" t="inlineStr">
        <is>
          <t>4:15 PM ET</t>
        </is>
      </c>
      <c r="C481" t="inlineStr">
        <is>
          <t>NNI</t>
        </is>
      </c>
      <c r="D481" t="inlineStr">
        <is>
          <t>Nelnet Inc</t>
        </is>
      </c>
      <c r="E481" t="n">
        <v>3457.98</v>
      </c>
      <c r="F481" t="inlineStr">
        <is>
          <t>-</t>
        </is>
      </c>
      <c r="G481" t="inlineStr">
        <is>
          <t>-</t>
        </is>
      </c>
      <c r="H481" t="inlineStr">
        <is>
          <t>-</t>
        </is>
      </c>
    </row>
    <row r="482">
      <c r="A482" s="78" t="inlineStr">
        <is>
          <t>Monday, February 6, 2023</t>
        </is>
      </c>
      <c r="B482" t="inlineStr">
        <is>
          <t>7:30 AM ET</t>
        </is>
      </c>
      <c r="C482" t="inlineStr">
        <is>
          <t>NBIX</t>
        </is>
      </c>
      <c r="D482" t="inlineStr">
        <is>
          <t>Neurocrine Biosciences, Inc.</t>
        </is>
      </c>
      <c r="E482" t="n">
        <v>10406.55</v>
      </c>
      <c r="F482" t="inlineStr">
        <is>
          <t>$1.26</t>
        </is>
      </c>
      <c r="G482" t="inlineStr">
        <is>
          <t>$409.32 M</t>
        </is>
      </c>
      <c r="H482" t="inlineStr">
        <is>
          <t>31.2%</t>
        </is>
      </c>
    </row>
    <row r="483">
      <c r="A483" s="78" t="inlineStr">
        <is>
          <t>Monday, February 6, 2023</t>
        </is>
      </c>
      <c r="B483" t="inlineStr">
        <is>
          <t>5:00 PM ET</t>
        </is>
      </c>
      <c r="C483" t="inlineStr">
        <is>
          <t>NOV</t>
        </is>
      </c>
      <c r="D483" t="inlineStr">
        <is>
          <t>NOV Inc.</t>
        </is>
      </c>
      <c r="E483" t="n">
        <v>9258.41</v>
      </c>
      <c r="F483" t="inlineStr">
        <is>
          <t>$0.23</t>
        </is>
      </c>
      <c r="G483" t="inlineStr">
        <is>
          <t>$1.94 B</t>
        </is>
      </c>
      <c r="H483" t="inlineStr">
        <is>
          <t>27.9%</t>
        </is>
      </c>
    </row>
    <row r="484">
      <c r="A484" s="78" t="inlineStr">
        <is>
          <t>Monday, February 6, 2023</t>
        </is>
      </c>
      <c r="B484" t="inlineStr">
        <is>
          <t>4:05 PM ET</t>
        </is>
      </c>
      <c r="C484" t="inlineStr">
        <is>
          <t>OSH</t>
        </is>
      </c>
      <c r="D484" t="inlineStr">
        <is>
          <t>Oak Street Health, Inc.</t>
        </is>
      </c>
      <c r="E484" t="n">
        <v>6714.2</v>
      </c>
      <c r="F484" t="inlineStr">
        <is>
          <t>($0.62)</t>
        </is>
      </c>
      <c r="G484" t="inlineStr">
        <is>
          <t>$562.36 M</t>
        </is>
      </c>
      <c r="H484" t="inlineStr">
        <is>
          <t>42.7%</t>
        </is>
      </c>
    </row>
    <row r="485">
      <c r="A485" s="78" t="inlineStr">
        <is>
          <t>Monday, February 6, 2023</t>
        </is>
      </c>
      <c r="B485" t="inlineStr">
        <is>
          <t>8:00 AM ET</t>
        </is>
      </c>
      <c r="C485" t="inlineStr">
        <is>
          <t>ON</t>
        </is>
      </c>
      <c r="D485" t="inlineStr">
        <is>
          <t>onsemi</t>
        </is>
      </c>
      <c r="E485" t="n">
        <v>28483.74</v>
      </c>
      <c r="F485" t="inlineStr">
        <is>
          <t>$1.27</t>
        </is>
      </c>
      <c r="G485" t="inlineStr">
        <is>
          <t>$2.09 B</t>
        </is>
      </c>
      <c r="H485" t="inlineStr">
        <is>
          <t>13.2%</t>
        </is>
      </c>
    </row>
    <row r="486">
      <c r="A486" s="78" t="inlineStr">
        <is>
          <t>Monday, February 6, 2023</t>
        </is>
      </c>
      <c r="B486" t="inlineStr">
        <is>
          <t>4:00 PM ET</t>
        </is>
      </c>
      <c r="C486" t="inlineStr">
        <is>
          <t>POWI</t>
        </is>
      </c>
      <c r="D486" t="inlineStr">
        <is>
          <t>Power Integrations, Inc.</t>
        </is>
      </c>
      <c r="E486" t="n">
        <v>4735.98</v>
      </c>
      <c r="F486" t="inlineStr">
        <is>
          <t>$0.34</t>
        </is>
      </c>
      <c r="G486" t="inlineStr">
        <is>
          <t>$125.99 M</t>
        </is>
      </c>
      <c r="H486" t="inlineStr">
        <is>
          <t>-27.0%</t>
        </is>
      </c>
    </row>
    <row r="487">
      <c r="A487" s="78" t="inlineStr">
        <is>
          <t>Monday, February 6, 2023</t>
        </is>
      </c>
      <c r="B487" t="inlineStr">
        <is>
          <t>4:15 PM ET</t>
        </is>
      </c>
      <c r="C487" t="inlineStr">
        <is>
          <t>PWSC</t>
        </is>
      </c>
      <c r="D487" t="inlineStr">
        <is>
          <t>PowerSchool Holdings, Inc.</t>
        </is>
      </c>
      <c r="E487" t="n">
        <v>4921.73</v>
      </c>
      <c r="F487" t="inlineStr">
        <is>
          <t>$0.12</t>
        </is>
      </c>
      <c r="G487" t="inlineStr">
        <is>
          <t>$162.15 M</t>
        </is>
      </c>
      <c r="H487" t="inlineStr">
        <is>
          <t>11.0%</t>
        </is>
      </c>
    </row>
    <row r="488">
      <c r="A488" s="78" t="inlineStr">
        <is>
          <t>Monday, February 6, 2023</t>
        </is>
      </c>
      <c r="B488" t="inlineStr">
        <is>
          <t>4:05 PM ET</t>
        </is>
      </c>
      <c r="C488" t="inlineStr">
        <is>
          <t>RMBS</t>
        </is>
      </c>
      <c r="D488" t="inlineStr">
        <is>
          <t>Rambus, Inc.</t>
        </is>
      </c>
      <c r="E488" t="n">
        <v>4236.94</v>
      </c>
      <c r="F488" t="inlineStr">
        <is>
          <t>$0.41</t>
        </is>
      </c>
      <c r="G488" t="inlineStr">
        <is>
          <t>$151.98 M</t>
        </is>
      </c>
      <c r="H488" t="inlineStr">
        <is>
          <t>65.6%</t>
        </is>
      </c>
    </row>
    <row r="489">
      <c r="A489" s="78" t="inlineStr">
        <is>
          <t>Monday, February 6, 2023</t>
        </is>
      </c>
      <c r="B489" t="inlineStr">
        <is>
          <t>7:00 AM ET</t>
        </is>
      </c>
      <c r="C489" t="inlineStr">
        <is>
          <t>FOUR</t>
        </is>
      </c>
      <c r="D489" t="inlineStr">
        <is>
          <t>Shift4 Payments, Inc.</t>
        </is>
      </c>
      <c r="E489" t="n">
        <v>5438.72</v>
      </c>
      <c r="F489" t="inlineStr">
        <is>
          <t>$0.31</t>
        </is>
      </c>
      <c r="G489" t="inlineStr">
        <is>
          <t>$190.09 M</t>
        </is>
      </c>
      <c r="H489" t="inlineStr">
        <is>
          <t>-52.4%</t>
        </is>
      </c>
    </row>
    <row r="490">
      <c r="A490" s="78" t="inlineStr">
        <is>
          <t>Monday, February 6, 2023</t>
        </is>
      </c>
      <c r="B490" t="inlineStr">
        <is>
          <t>4:05 PM ET</t>
        </is>
      </c>
      <c r="C490" t="inlineStr">
        <is>
          <t>SPG</t>
        </is>
      </c>
      <c r="D490" t="inlineStr">
        <is>
          <t>Simon Property Group, Inc.</t>
        </is>
      </c>
      <c r="E490" t="n">
        <v>40875.76</v>
      </c>
      <c r="F490" t="inlineStr">
        <is>
          <t>$3.14</t>
        </is>
      </c>
      <c r="G490" t="inlineStr">
        <is>
          <t>$1.40 B</t>
        </is>
      </c>
      <c r="H490" t="inlineStr">
        <is>
          <t>5.6%</t>
        </is>
      </c>
    </row>
    <row r="491">
      <c r="A491" s="78" t="inlineStr">
        <is>
          <t>Monday, February 6, 2023</t>
        </is>
      </c>
      <c r="B491" t="inlineStr">
        <is>
          <t>4:15 PM ET</t>
        </is>
      </c>
      <c r="C491" t="inlineStr">
        <is>
          <t>SSD</t>
        </is>
      </c>
      <c r="D491" t="inlineStr">
        <is>
          <t>Simpson Manufacturing Co. Inc.</t>
        </is>
      </c>
      <c r="E491" t="n">
        <v>4208.67</v>
      </c>
      <c r="F491" t="inlineStr">
        <is>
          <t>$1.11</t>
        </is>
      </c>
      <c r="G491" t="inlineStr">
        <is>
          <t>$475.25 M</t>
        </is>
      </c>
      <c r="H491" t="inlineStr">
        <is>
          <t>13.5%</t>
        </is>
      </c>
    </row>
    <row r="492">
      <c r="A492" s="78" t="inlineStr">
        <is>
          <t>Monday, February 6, 2023</t>
        </is>
      </c>
      <c r="B492" t="inlineStr">
        <is>
          <t>4:40 PM ET</t>
        </is>
      </c>
      <c r="C492" t="inlineStr">
        <is>
          <t>SKY</t>
        </is>
      </c>
      <c r="D492" t="inlineStr">
        <is>
          <t>Skyline Corp.</t>
        </is>
      </c>
      <c r="E492" t="n">
        <v>3266.9</v>
      </c>
      <c r="F492" t="inlineStr">
        <is>
          <t>$0.97</t>
        </is>
      </c>
      <c r="G492" t="inlineStr">
        <is>
          <t>$560.25 M</t>
        </is>
      </c>
      <c r="H492" t="inlineStr">
        <is>
          <t>4.8%</t>
        </is>
      </c>
    </row>
    <row r="493">
      <c r="A493" s="78" t="inlineStr">
        <is>
          <t>Monday, February 6, 2023</t>
        </is>
      </c>
      <c r="B493" t="inlineStr">
        <is>
          <t>4:05 PM ET</t>
        </is>
      </c>
      <c r="C493" t="inlineStr">
        <is>
          <t>TTWO</t>
        </is>
      </c>
      <c r="D493" t="inlineStr">
        <is>
          <t>Take-Two Interactive Software, Inc.</t>
        </is>
      </c>
      <c r="E493" t="n">
        <v>17543.81</v>
      </c>
      <c r="F493" t="inlineStr">
        <is>
          <t>$0.38</t>
        </is>
      </c>
      <c r="G493" t="inlineStr">
        <is>
          <t>$1.66 B</t>
        </is>
      </c>
      <c r="H493" t="inlineStr">
        <is>
          <t>83.8%</t>
        </is>
      </c>
    </row>
    <row r="494">
      <c r="A494" s="78" t="inlineStr">
        <is>
          <t>Monday, February 6, 2023</t>
        </is>
      </c>
      <c r="B494" t="inlineStr">
        <is>
          <t>4:05 PM ET</t>
        </is>
      </c>
      <c r="C494" t="inlineStr">
        <is>
          <t>TDC</t>
        </is>
      </c>
      <c r="D494" t="inlineStr">
        <is>
          <t>Teradata Corp</t>
        </is>
      </c>
      <c r="E494" t="n">
        <v>3382.81</v>
      </c>
      <c r="F494" t="inlineStr">
        <is>
          <t>$0.10</t>
        </is>
      </c>
      <c r="G494" t="inlineStr">
        <is>
          <t>$422.75 M</t>
        </is>
      </c>
      <c r="H494" t="inlineStr">
        <is>
          <t>-11.0%</t>
        </is>
      </c>
    </row>
    <row r="495">
      <c r="A495" s="78" t="inlineStr">
        <is>
          <t>Monday, February 6, 2023</t>
        </is>
      </c>
      <c r="B495" t="inlineStr">
        <is>
          <t>4:05 PM ET</t>
        </is>
      </c>
      <c r="C495" t="inlineStr">
        <is>
          <t>TFII</t>
        </is>
      </c>
      <c r="D495" t="inlineStr">
        <is>
          <t>TFI International Inc.</t>
        </is>
      </c>
      <c r="E495" t="n">
        <v>9130.790000000001</v>
      </c>
      <c r="F495" t="inlineStr">
        <is>
          <t>$1.74</t>
        </is>
      </c>
      <c r="G495" t="inlineStr">
        <is>
          <t>$2.12 B</t>
        </is>
      </c>
      <c r="H495" t="inlineStr">
        <is>
          <t>-1.0%</t>
        </is>
      </c>
    </row>
    <row r="496">
      <c r="A496" s="78" t="inlineStr">
        <is>
          <t>Monday, February 6, 2023</t>
        </is>
      </c>
      <c r="B496" t="inlineStr">
        <is>
          <t>6:50 AM ET</t>
        </is>
      </c>
      <c r="C496" t="inlineStr">
        <is>
          <t>TKR</t>
        </is>
      </c>
      <c r="D496" t="inlineStr">
        <is>
          <t>Timken Company</t>
        </is>
      </c>
      <c r="E496" t="n">
        <v>5616.53</v>
      </c>
      <c r="F496" t="inlineStr">
        <is>
          <t>$1.08</t>
        </is>
      </c>
      <c r="G496" t="inlineStr">
        <is>
          <t>$1.06 B</t>
        </is>
      </c>
      <c r="H496" t="inlineStr">
        <is>
          <t>5.2%</t>
        </is>
      </c>
    </row>
    <row r="497">
      <c r="A497" s="78" t="inlineStr">
        <is>
          <t>Monday, February 6, 2023</t>
        </is>
      </c>
      <c r="B497" t="inlineStr">
        <is>
          <t>6:55 AM ET</t>
        </is>
      </c>
      <c r="C497" t="inlineStr">
        <is>
          <t>TSN</t>
        </is>
      </c>
      <c r="D497" t="inlineStr">
        <is>
          <t>Tyson Foods Inc.</t>
        </is>
      </c>
      <c r="E497" t="n">
        <v>23502.76</v>
      </c>
      <c r="F497" t="inlineStr">
        <is>
          <t>$1.49</t>
        </is>
      </c>
      <c r="G497" t="inlineStr">
        <is>
          <t>$13.13 B</t>
        </is>
      </c>
      <c r="H497" t="inlineStr">
        <is>
          <t>1.5%</t>
        </is>
      </c>
    </row>
    <row r="498">
      <c r="A498" s="78" t="inlineStr">
        <is>
          <t>Monday, February 6, 2023</t>
        </is>
      </c>
      <c r="B498" t="inlineStr">
        <is>
          <t>4:15 PM ET</t>
        </is>
      </c>
      <c r="C498" t="inlineStr">
        <is>
          <t>UDR</t>
        </is>
      </c>
      <c r="D498" t="inlineStr">
        <is>
          <t>UDR, Inc</t>
        </is>
      </c>
      <c r="E498" t="n">
        <v>13174.68</v>
      </c>
      <c r="F498" t="inlineStr">
        <is>
          <t>$0.61</t>
        </is>
      </c>
      <c r="G498" t="inlineStr">
        <is>
          <t>$391.79 M</t>
        </is>
      </c>
      <c r="H498" t="inlineStr">
        <is>
          <t>12.5%</t>
        </is>
      </c>
    </row>
    <row r="499">
      <c r="A499" s="78" t="inlineStr">
        <is>
          <t>Monday, February 6, 2023</t>
        </is>
      </c>
      <c r="B499" t="inlineStr">
        <is>
          <t>4:10 PM ET</t>
        </is>
      </c>
      <c r="C499" t="inlineStr">
        <is>
          <t>PCVX</t>
        </is>
      </c>
      <c r="D499" t="inlineStr">
        <is>
          <t>Vaxcyte, Inc.</t>
        </is>
      </c>
      <c r="E499" t="n">
        <v>3563.88</v>
      </c>
      <c r="F499" t="inlineStr">
        <is>
          <t>($0.84)</t>
        </is>
      </c>
      <c r="G499" t="inlineStr">
        <is>
          <t>-</t>
        </is>
      </c>
      <c r="H499" t="inlineStr">
        <is>
          <t>-</t>
        </is>
      </c>
    </row>
    <row r="500">
      <c r="A500" s="78" t="inlineStr">
        <is>
          <t>Monday, February 6, 2023</t>
        </is>
      </c>
      <c r="B500" t="inlineStr">
        <is>
          <t>6:50 AM ET</t>
        </is>
      </c>
      <c r="C500" t="inlineStr">
        <is>
          <t>VTRS</t>
        </is>
      </c>
      <c r="D500" t="inlineStr">
        <is>
          <t>Viatris Inc.</t>
        </is>
      </c>
      <c r="E500" t="n">
        <v>14358.19</v>
      </c>
      <c r="F500" t="inlineStr">
        <is>
          <t>$0.73</t>
        </is>
      </c>
      <c r="G500" t="inlineStr">
        <is>
          <t>$4.07 B</t>
        </is>
      </c>
      <c r="H500" t="inlineStr">
        <is>
          <t>-6.3%</t>
        </is>
      </c>
    </row>
    <row r="501">
      <c r="A501" s="78" t="inlineStr">
        <is>
          <t>Monday, February 6, 2023</t>
        </is>
      </c>
      <c r="B501" t="inlineStr">
        <is>
          <t>4:05 PM ET</t>
        </is>
      </c>
      <c r="C501" t="inlineStr">
        <is>
          <t>ZI</t>
        </is>
      </c>
      <c r="D501" t="inlineStr">
        <is>
          <t>ZoomInfo Technologies Inc.</t>
        </is>
      </c>
      <c r="E501" t="n">
        <v>10652.51</v>
      </c>
      <c r="F501" t="inlineStr">
        <is>
          <t>$0.13</t>
        </is>
      </c>
      <c r="G501" t="inlineStr">
        <is>
          <t>$298.80 M</t>
        </is>
      </c>
      <c r="H501" t="inlineStr">
        <is>
          <t>34.4%</t>
        </is>
      </c>
    </row>
    <row r="502">
      <c r="A502" s="78" t="inlineStr">
        <is>
          <t>Tuesday, February 7, 2023</t>
        </is>
      </c>
      <c r="B502" t="inlineStr">
        <is>
          <t>6:50 AM ET</t>
        </is>
      </c>
      <c r="C502" t="inlineStr">
        <is>
          <t>ADNT</t>
        </is>
      </c>
      <c r="D502" t="inlineStr">
        <is>
          <t>Adient plc</t>
        </is>
      </c>
      <c r="E502" t="n">
        <v>3979.3</v>
      </c>
      <c r="F502" t="inlineStr">
        <is>
          <t>$0.47</t>
        </is>
      </c>
      <c r="G502" t="inlineStr">
        <is>
          <t>$3.60 B</t>
        </is>
      </c>
      <c r="H502" t="inlineStr">
        <is>
          <t>3.4%</t>
        </is>
      </c>
    </row>
    <row r="503">
      <c r="A503" s="78" t="inlineStr">
        <is>
          <t>Tuesday, February 7, 2023</t>
        </is>
      </c>
      <c r="B503" t="inlineStr">
        <is>
          <t>7:30 AM ET</t>
        </is>
      </c>
      <c r="C503" t="inlineStr">
        <is>
          <t>AGCO</t>
        </is>
      </c>
      <c r="D503" t="inlineStr">
        <is>
          <t>AGCO Corporation</t>
        </is>
      </c>
      <c r="E503" t="n">
        <v>10519.82</v>
      </c>
      <c r="F503" t="inlineStr">
        <is>
          <t>$3.82</t>
        </is>
      </c>
      <c r="G503" t="inlineStr">
        <is>
          <t>$3.71 B</t>
        </is>
      </c>
      <c r="H503" t="inlineStr">
        <is>
          <t>17.6%</t>
        </is>
      </c>
    </row>
    <row r="504">
      <c r="A504" s="78" t="inlineStr">
        <is>
          <t>Tuesday, February 7, 2023</t>
        </is>
      </c>
      <c r="B504" t="inlineStr">
        <is>
          <t>4:15 PM ET</t>
        </is>
      </c>
      <c r="C504" t="inlineStr">
        <is>
          <t>AMC</t>
        </is>
      </c>
      <c r="D504" t="inlineStr">
        <is>
          <t>AMC Entertainment Holdings, Inc</t>
        </is>
      </c>
      <c r="E504" t="n">
        <v>3137.1</v>
      </c>
      <c r="F504" t="inlineStr">
        <is>
          <t>($0.17)</t>
        </is>
      </c>
      <c r="G504" t="inlineStr">
        <is>
          <t>$1.21 B</t>
        </is>
      </c>
      <c r="H504" t="inlineStr">
        <is>
          <t>3.3%</t>
        </is>
      </c>
    </row>
    <row r="505">
      <c r="A505" s="78" t="inlineStr">
        <is>
          <t>Tuesday, February 7, 2023</t>
        </is>
      </c>
      <c r="B505" t="inlineStr">
        <is>
          <t>7:30 PM ET</t>
        </is>
      </c>
      <c r="C505" t="inlineStr">
        <is>
          <t>AMX</t>
        </is>
      </c>
      <c r="D505" t="inlineStr">
        <is>
          <t>America Movil S.A.B. de C.V.</t>
        </is>
      </c>
      <c r="E505" t="n">
        <v>65857.8</v>
      </c>
      <c r="F505" t="inlineStr">
        <is>
          <t>$0.36</t>
        </is>
      </c>
      <c r="G505" t="inlineStr">
        <is>
          <t>$11.13 B</t>
        </is>
      </c>
      <c r="H505" t="inlineStr">
        <is>
          <t>1.5%</t>
        </is>
      </c>
    </row>
    <row r="506">
      <c r="A506" s="78" t="inlineStr">
        <is>
          <t>Tuesday, February 7, 2023</t>
        </is>
      </c>
      <c r="B506" t="inlineStr">
        <is>
          <t>6:30 AM ET</t>
        </is>
      </c>
      <c r="C506" t="inlineStr">
        <is>
          <t>ARMK</t>
        </is>
      </c>
      <c r="D506" t="inlineStr">
        <is>
          <t>Aramark Holdings Corp.</t>
        </is>
      </c>
      <c r="E506" t="n">
        <v>11723.85</v>
      </c>
      <c r="F506" t="inlineStr">
        <is>
          <t>$0.42</t>
        </is>
      </c>
      <c r="G506" t="inlineStr">
        <is>
          <t>$4.53 B</t>
        </is>
      </c>
      <c r="H506" t="inlineStr">
        <is>
          <t>14.7%</t>
        </is>
      </c>
    </row>
    <row r="507">
      <c r="A507" s="78" t="inlineStr">
        <is>
          <t>Tuesday, February 7, 2023</t>
        </is>
      </c>
      <c r="B507" t="inlineStr">
        <is>
          <t>7:00 AM ET</t>
        </is>
      </c>
      <c r="C507" t="inlineStr">
        <is>
          <t>ARCC</t>
        </is>
      </c>
      <c r="D507" t="inlineStr">
        <is>
          <t>Ares Capital Corp</t>
        </is>
      </c>
      <c r="E507" t="n">
        <v>9601.02</v>
      </c>
      <c r="F507" t="inlineStr">
        <is>
          <t>$0.59</t>
        </is>
      </c>
      <c r="G507" t="inlineStr">
        <is>
          <t>$568.07 M</t>
        </is>
      </c>
      <c r="H507" t="inlineStr">
        <is>
          <t>7.4%</t>
        </is>
      </c>
    </row>
    <row r="508">
      <c r="A508" s="78" t="inlineStr">
        <is>
          <t>Tuesday, February 7, 2023</t>
        </is>
      </c>
      <c r="B508" t="inlineStr">
        <is>
          <t>4:00 PM ET</t>
        </is>
      </c>
      <c r="C508" t="inlineStr">
        <is>
          <t>ARRY</t>
        </is>
      </c>
      <c r="D508" t="inlineStr">
        <is>
          <t>Array Technologies Inc</t>
        </is>
      </c>
      <c r="E508" t="n">
        <v>3553.08</v>
      </c>
      <c r="F508" t="inlineStr">
        <is>
          <t>$0.10</t>
        </is>
      </c>
      <c r="G508" t="inlineStr">
        <is>
          <t>$346.85 M</t>
        </is>
      </c>
      <c r="H508" t="inlineStr">
        <is>
          <t>57.7%</t>
        </is>
      </c>
    </row>
    <row r="509">
      <c r="A509" s="78" t="inlineStr">
        <is>
          <t>Tuesday, February 7, 2023</t>
        </is>
      </c>
      <c r="B509" t="inlineStr">
        <is>
          <t>4:15 PM ET</t>
        </is>
      </c>
      <c r="C509" t="inlineStr">
        <is>
          <t>AIZ</t>
        </is>
      </c>
      <c r="D509" t="inlineStr">
        <is>
          <t>Assurant Inc</t>
        </is>
      </c>
      <c r="E509" t="n">
        <v>6762.42</v>
      </c>
      <c r="F509" t="inlineStr">
        <is>
          <t>$2.63</t>
        </is>
      </c>
      <c r="G509" t="inlineStr">
        <is>
          <t>$2.63 B</t>
        </is>
      </c>
      <c r="H509" t="inlineStr">
        <is>
          <t>2.1%</t>
        </is>
      </c>
    </row>
    <row r="510">
      <c r="A510" s="78" t="inlineStr">
        <is>
          <t>Tuesday, February 7, 2023</t>
        </is>
      </c>
      <c r="B510" t="inlineStr">
        <is>
          <t>4:35 PM ET</t>
        </is>
      </c>
      <c r="C510" t="inlineStr">
        <is>
          <t>ATO</t>
        </is>
      </c>
      <c r="D510" t="inlineStr">
        <is>
          <t>Atmos Energy Corp.</t>
        </is>
      </c>
      <c r="E510" t="n">
        <v>16068.77</v>
      </c>
      <c r="F510" t="inlineStr">
        <is>
          <t>$1.84</t>
        </is>
      </c>
      <c r="G510" t="inlineStr">
        <is>
          <t>$1.13 B</t>
        </is>
      </c>
      <c r="H510" t="inlineStr">
        <is>
          <t>11.6%</t>
        </is>
      </c>
    </row>
    <row r="511">
      <c r="A511" s="78" t="inlineStr">
        <is>
          <t>Tuesday, February 7, 2023</t>
        </is>
      </c>
      <c r="B511" t="inlineStr">
        <is>
          <t>7:00 AM ET</t>
        </is>
      </c>
      <c r="C511" t="inlineStr">
        <is>
          <t>BSY</t>
        </is>
      </c>
      <c r="D511" t="inlineStr">
        <is>
          <t>Bentley Systems, Incorporated</t>
        </is>
      </c>
      <c r="E511" t="n">
        <v>10556.81</v>
      </c>
      <c r="F511" t="inlineStr">
        <is>
          <t>$0.14</t>
        </is>
      </c>
      <c r="G511" t="inlineStr">
        <is>
          <t>$279.89 M</t>
        </is>
      </c>
      <c r="H511" t="inlineStr">
        <is>
          <t>4.5%</t>
        </is>
      </c>
    </row>
    <row r="512">
      <c r="A512" s="78" t="inlineStr">
        <is>
          <t>Tuesday, February 7, 2023</t>
        </is>
      </c>
      <c r="B512" t="inlineStr">
        <is>
          <t>4:15 PM ET</t>
        </is>
      </c>
      <c r="C512" t="inlineStr">
        <is>
          <t>BKH</t>
        </is>
      </c>
      <c r="D512" t="inlineStr">
        <is>
          <t>Black Hills Corp.</t>
        </is>
      </c>
      <c r="E512" t="n">
        <v>4646.59</v>
      </c>
      <c r="F512" t="inlineStr">
        <is>
          <t>-</t>
        </is>
      </c>
      <c r="G512" t="inlineStr">
        <is>
          <t>$432.45 M</t>
        </is>
      </c>
      <c r="H512" t="inlineStr">
        <is>
          <t>-23.1%</t>
        </is>
      </c>
    </row>
    <row r="513">
      <c r="A513" s="78" t="inlineStr">
        <is>
          <t>Tuesday, February 7, 2023</t>
        </is>
      </c>
      <c r="B513" t="inlineStr">
        <is>
          <t>5:00 AM ET</t>
        </is>
      </c>
      <c r="C513" t="inlineStr">
        <is>
          <t>BP</t>
        </is>
      </c>
      <c r="D513" t="inlineStr">
        <is>
          <t>BP p.l.c</t>
        </is>
      </c>
      <c r="E513" t="n">
        <v>110634.09</v>
      </c>
      <c r="F513" t="inlineStr">
        <is>
          <t>$1.75</t>
        </is>
      </c>
      <c r="G513" t="inlineStr">
        <is>
          <t>$57.80 B</t>
        </is>
      </c>
      <c r="H513" t="inlineStr">
        <is>
          <t>10.6%</t>
        </is>
      </c>
    </row>
    <row r="514">
      <c r="A514" s="78" t="inlineStr">
        <is>
          <t>Tuesday, February 7, 2023</t>
        </is>
      </c>
      <c r="B514" t="inlineStr">
        <is>
          <t>7:00 AM ET</t>
        </is>
      </c>
      <c r="C514" t="inlineStr">
        <is>
          <t>BLDR</t>
        </is>
      </c>
      <c r="D514" t="inlineStr">
        <is>
          <t>Builders FirstSource Inc</t>
        </is>
      </c>
      <c r="E514" t="n">
        <v>10558.38</v>
      </c>
      <c r="F514" t="inlineStr">
        <is>
          <t>$2.27</t>
        </is>
      </c>
      <c r="G514" t="inlineStr">
        <is>
          <t>$4.29 B</t>
        </is>
      </c>
      <c r="H514" t="inlineStr">
        <is>
          <t>-7.4%</t>
        </is>
      </c>
    </row>
    <row r="515">
      <c r="A515" s="78" t="inlineStr">
        <is>
          <t>Tuesday, February 7, 2023</t>
        </is>
      </c>
      <c r="B515" t="inlineStr">
        <is>
          <t>4:05 PM ET</t>
        </is>
      </c>
      <c r="C515" t="inlineStr">
        <is>
          <t>CSL</t>
        </is>
      </c>
      <c r="D515" t="inlineStr">
        <is>
          <t>Carlisle Companies, Inc.</t>
        </is>
      </c>
      <c r="E515" t="n">
        <v>12317.19</v>
      </c>
      <c r="F515" t="inlineStr">
        <is>
          <t>$3.86</t>
        </is>
      </c>
      <c r="G515" t="inlineStr">
        <is>
          <t>$1.48 B</t>
        </is>
      </c>
      <c r="H515" t="inlineStr">
        <is>
          <t>7.6%</t>
        </is>
      </c>
    </row>
    <row r="516">
      <c r="A516" s="78" t="inlineStr">
        <is>
          <t>Tuesday, February 7, 2023</t>
        </is>
      </c>
      <c r="B516" t="inlineStr">
        <is>
          <t>6:30 AM ET</t>
        </is>
      </c>
      <c r="C516" t="inlineStr">
        <is>
          <t>CARR</t>
        </is>
      </c>
      <c r="D516" t="inlineStr">
        <is>
          <t>Carrier Global Corporation</t>
        </is>
      </c>
      <c r="E516" t="n">
        <v>37991.36</v>
      </c>
      <c r="F516" t="inlineStr">
        <is>
          <t>$0.40</t>
        </is>
      </c>
      <c r="G516" t="inlineStr">
        <is>
          <t>$5.09 B</t>
        </is>
      </c>
      <c r="H516" t="inlineStr">
        <is>
          <t>-0.8%</t>
        </is>
      </c>
    </row>
    <row r="517">
      <c r="A517" s="78" t="inlineStr">
        <is>
          <t>Tuesday, February 7, 2023</t>
        </is>
      </c>
      <c r="B517" t="inlineStr">
        <is>
          <t>6:00 AM ET</t>
        </is>
      </c>
      <c r="C517" t="inlineStr">
        <is>
          <t>CNC</t>
        </is>
      </c>
      <c r="D517" t="inlineStr">
        <is>
          <t>Centene Corporation</t>
        </is>
      </c>
      <c r="E517" t="n">
        <v>43454.77</v>
      </c>
      <c r="F517" t="inlineStr">
        <is>
          <t>$0.87</t>
        </is>
      </c>
      <c r="G517" t="inlineStr">
        <is>
          <t>$35.39 B</t>
        </is>
      </c>
      <c r="H517" t="inlineStr">
        <is>
          <t>8.7%</t>
        </is>
      </c>
    </row>
    <row r="518">
      <c r="A518" s="78" t="inlineStr">
        <is>
          <t>Tuesday, February 7, 2023</t>
        </is>
      </c>
      <c r="B518" t="inlineStr">
        <is>
          <t>6:30 AM ET</t>
        </is>
      </c>
      <c r="C518" t="inlineStr">
        <is>
          <t>CERE</t>
        </is>
      </c>
      <c r="D518" t="inlineStr">
        <is>
          <t>Cerevel Therapeutics</t>
        </is>
      </c>
      <c r="E518" t="n">
        <v>5173.5</v>
      </c>
      <c r="F518" t="inlineStr">
        <is>
          <t>($0.64)</t>
        </is>
      </c>
      <c r="G518" t="inlineStr">
        <is>
          <t>-</t>
        </is>
      </c>
      <c r="H518" t="inlineStr">
        <is>
          <t>-</t>
        </is>
      </c>
    </row>
    <row r="519">
      <c r="A519" s="78" t="inlineStr">
        <is>
          <t>Tuesday, February 7, 2023</t>
        </is>
      </c>
      <c r="B519" t="inlineStr">
        <is>
          <t>4:10 PM ET</t>
        </is>
      </c>
      <c r="C519" t="inlineStr">
        <is>
          <t>CMG</t>
        </is>
      </c>
      <c r="D519" t="inlineStr">
        <is>
          <t>Chipotle Mexican Grill Inc</t>
        </is>
      </c>
      <c r="E519" t="n">
        <v>43010.41</v>
      </c>
      <c r="F519" t="inlineStr">
        <is>
          <t>$8.85</t>
        </is>
      </c>
      <c r="G519" t="inlineStr">
        <is>
          <t>$2.24 B</t>
        </is>
      </c>
      <c r="H519" t="inlineStr">
        <is>
          <t>14.2%</t>
        </is>
      </c>
    </row>
    <row r="520">
      <c r="A520" s="78" t="inlineStr">
        <is>
          <t>Tuesday, February 7, 2023</t>
        </is>
      </c>
      <c r="B520" t="inlineStr">
        <is>
          <t>6:00 AM ET</t>
        </is>
      </c>
      <c r="C520" t="inlineStr">
        <is>
          <t>CLVT</t>
        </is>
      </c>
      <c r="D520" t="inlineStr">
        <is>
          <t>Clarivate Plc</t>
        </is>
      </c>
      <c r="E520" t="n">
        <v>7153.84</v>
      </c>
      <c r="F520" t="inlineStr">
        <is>
          <t>$0.13</t>
        </is>
      </c>
      <c r="G520" t="inlineStr">
        <is>
          <t>$652.16 M</t>
        </is>
      </c>
      <c r="H520" t="inlineStr">
        <is>
          <t>16.3%</t>
        </is>
      </c>
    </row>
    <row r="521">
      <c r="A521" s="78" t="inlineStr">
        <is>
          <t>Tuesday, February 7, 2023</t>
        </is>
      </c>
      <c r="B521" t="inlineStr">
        <is>
          <t>7:30 AM ET</t>
        </is>
      </c>
      <c r="C521" t="inlineStr">
        <is>
          <t>CNHI</t>
        </is>
      </c>
      <c r="D521" t="inlineStr">
        <is>
          <t>CNH Industrial</t>
        </is>
      </c>
      <c r="E521" t="n">
        <v>22936.83</v>
      </c>
      <c r="F521" t="inlineStr">
        <is>
          <t>$0.36</t>
        </is>
      </c>
      <c r="G521" t="inlineStr">
        <is>
          <t>$5.75 B</t>
        </is>
      </c>
      <c r="H521" t="inlineStr">
        <is>
          <t>-36.6%</t>
        </is>
      </c>
    </row>
    <row r="522">
      <c r="A522" s="78" t="inlineStr">
        <is>
          <t>Tuesday, February 7, 2023</t>
        </is>
      </c>
      <c r="B522" t="inlineStr">
        <is>
          <t>6:50 AM ET</t>
        </is>
      </c>
      <c r="C522" t="inlineStr">
        <is>
          <t>CEG</t>
        </is>
      </c>
      <c r="D522" t="inlineStr">
        <is>
          <t>Constellation Energy Group, Inc.</t>
        </is>
      </c>
      <c r="E522" t="n">
        <v>27263.48</v>
      </c>
      <c r="F522" t="inlineStr">
        <is>
          <t>$0.49</t>
        </is>
      </c>
      <c r="G522" t="inlineStr">
        <is>
          <t>$2.66 B</t>
        </is>
      </c>
      <c r="H522" t="inlineStr">
        <is>
          <t>-</t>
        </is>
      </c>
    </row>
    <row r="523">
      <c r="A523" s="78" t="inlineStr">
        <is>
          <t>Tuesday, February 7, 2023</t>
        </is>
      </c>
      <c r="B523" t="inlineStr">
        <is>
          <t>6:30 AM ET</t>
        </is>
      </c>
      <c r="C523" t="inlineStr">
        <is>
          <t>COTY</t>
        </is>
      </c>
      <c r="D523" t="inlineStr">
        <is>
          <t>Coty Inc.</t>
        </is>
      </c>
      <c r="E523" t="n">
        <v>7988.32</v>
      </c>
      <c r="F523" t="inlineStr">
        <is>
          <t>$0.15</t>
        </is>
      </c>
      <c r="G523" t="inlineStr">
        <is>
          <t>$1.51 B</t>
        </is>
      </c>
      <c r="H523" t="inlineStr">
        <is>
          <t>-4.3%</t>
        </is>
      </c>
    </row>
    <row r="524">
      <c r="A524" s="78" t="inlineStr">
        <is>
          <t>Tuesday, February 7, 2023</t>
        </is>
      </c>
      <c r="B524" t="inlineStr">
        <is>
          <t>5:10 PM ET</t>
        </is>
      </c>
      <c r="C524" t="inlineStr">
        <is>
          <t>CCK</t>
        </is>
      </c>
      <c r="D524" t="inlineStr">
        <is>
          <t>Crown Holdings, Inc.</t>
        </is>
      </c>
      <c r="E524" t="n">
        <v>10404.13</v>
      </c>
      <c r="F524" t="inlineStr">
        <is>
          <t>$1.07</t>
        </is>
      </c>
      <c r="G524" t="inlineStr">
        <is>
          <t>$3.18 B</t>
        </is>
      </c>
      <c r="H524" t="inlineStr">
        <is>
          <t>4.1%</t>
        </is>
      </c>
    </row>
    <row r="525">
      <c r="A525" s="78" t="inlineStr">
        <is>
          <t>Tuesday, February 7, 2023</t>
        </is>
      </c>
      <c r="B525" t="inlineStr">
        <is>
          <t>4:35 PM ET</t>
        </is>
      </c>
      <c r="C525" t="inlineStr">
        <is>
          <t>DAR</t>
        </is>
      </c>
      <c r="D525" t="inlineStr">
        <is>
          <t>Darling Ingredients Inc.</t>
        </is>
      </c>
      <c r="E525" t="n">
        <v>10690.1</v>
      </c>
      <c r="F525" t="inlineStr">
        <is>
          <t>$1.43</t>
        </is>
      </c>
      <c r="G525" t="inlineStr">
        <is>
          <t>$1.75 B</t>
        </is>
      </c>
      <c r="H525" t="inlineStr">
        <is>
          <t>33.6%</t>
        </is>
      </c>
    </row>
    <row r="526">
      <c r="A526" s="78" t="inlineStr">
        <is>
          <t>Tuesday, February 7, 2023</t>
        </is>
      </c>
      <c r="B526" t="inlineStr">
        <is>
          <t>4:15 PM ET</t>
        </is>
      </c>
      <c r="C526" t="inlineStr">
        <is>
          <t>DV</t>
        </is>
      </c>
      <c r="D526" t="inlineStr">
        <is>
          <t>DoubleVerify</t>
        </is>
      </c>
      <c r="E526" t="n">
        <v>3904.24</v>
      </c>
      <c r="F526" t="inlineStr">
        <is>
          <t>$0.14</t>
        </is>
      </c>
      <c r="G526" t="inlineStr">
        <is>
          <t>$133.22 M</t>
        </is>
      </c>
      <c r="H526" t="inlineStr">
        <is>
          <t>26.2%</t>
        </is>
      </c>
    </row>
    <row r="527">
      <c r="A527" s="78" t="inlineStr">
        <is>
          <t>Tuesday, February 7, 2023</t>
        </is>
      </c>
      <c r="B527" t="inlineStr">
        <is>
          <t>6:00 AM ET</t>
        </is>
      </c>
      <c r="C527" t="inlineStr">
        <is>
          <t>DD</t>
        </is>
      </c>
      <c r="D527" t="inlineStr">
        <is>
          <t>DuPont</t>
        </is>
      </c>
      <c r="E527" t="n">
        <v>36926.32</v>
      </c>
      <c r="F527" t="inlineStr">
        <is>
          <t>$0.79</t>
        </is>
      </c>
      <c r="G527" t="inlineStr">
        <is>
          <t>$3.15 B</t>
        </is>
      </c>
      <c r="H527" t="inlineStr">
        <is>
          <t>-26.2%</t>
        </is>
      </c>
    </row>
    <row r="528">
      <c r="A528" s="78" t="inlineStr">
        <is>
          <t>Tuesday, February 7, 2023</t>
        </is>
      </c>
      <c r="B528" t="inlineStr">
        <is>
          <t>4:05 PM ET</t>
        </is>
      </c>
      <c r="C528" t="inlineStr">
        <is>
          <t>EGP</t>
        </is>
      </c>
      <c r="D528" t="inlineStr">
        <is>
          <t>EastGroup Properties Inc.</t>
        </is>
      </c>
      <c r="E528" t="n">
        <v>6938.97</v>
      </c>
      <c r="F528" t="inlineStr">
        <is>
          <t>$1.77</t>
        </is>
      </c>
      <c r="G528" t="inlineStr">
        <is>
          <t>$127.93 M</t>
        </is>
      </c>
      <c r="H528" t="inlineStr">
        <is>
          <t>19.1%</t>
        </is>
      </c>
    </row>
    <row r="529">
      <c r="A529" s="78" t="inlineStr">
        <is>
          <t>Tuesday, February 7, 2023</t>
        </is>
      </c>
      <c r="B529" t="inlineStr">
        <is>
          <t>5:35 PM ET</t>
        </is>
      </c>
      <c r="C529" t="inlineStr">
        <is>
          <t>EHC</t>
        </is>
      </c>
      <c r="D529" t="inlineStr">
        <is>
          <t>Encompass Health Corporation</t>
        </is>
      </c>
      <c r="E529" t="n">
        <v>6103.06</v>
      </c>
      <c r="F529" t="inlineStr">
        <is>
          <t>$0.85</t>
        </is>
      </c>
      <c r="G529" t="inlineStr">
        <is>
          <t>$1.10 B</t>
        </is>
      </c>
      <c r="H529" t="inlineStr">
        <is>
          <t>-16.6%</t>
        </is>
      </c>
    </row>
    <row r="530">
      <c r="A530" s="78" t="inlineStr">
        <is>
          <t>Tuesday, February 7, 2023</t>
        </is>
      </c>
      <c r="B530" t="inlineStr">
        <is>
          <t>4:05 PM ET</t>
        </is>
      </c>
      <c r="C530" t="inlineStr">
        <is>
          <t>ENPH</t>
        </is>
      </c>
      <c r="D530" t="inlineStr">
        <is>
          <t>Enphase Energy Inc</t>
        </is>
      </c>
      <c r="E530" t="n">
        <v>34124.97</v>
      </c>
      <c r="F530" t="inlineStr">
        <is>
          <t>$1.24</t>
        </is>
      </c>
      <c r="G530" t="inlineStr">
        <is>
          <t>$706.34 M</t>
        </is>
      </c>
      <c r="H530" t="inlineStr">
        <is>
          <t>71.1%</t>
        </is>
      </c>
    </row>
    <row r="531">
      <c r="A531" s="78" t="inlineStr">
        <is>
          <t>Tuesday, February 7, 2023</t>
        </is>
      </c>
      <c r="B531" t="inlineStr">
        <is>
          <t>4:15 PM ET</t>
        </is>
      </c>
      <c r="C531" t="inlineStr">
        <is>
          <t>ESS</t>
        </is>
      </c>
      <c r="D531" t="inlineStr">
        <is>
          <t>Essex Property Trust Inc.</t>
        </is>
      </c>
      <c r="E531" t="n">
        <v>14251.02</v>
      </c>
      <c r="F531" t="inlineStr">
        <is>
          <t>$3.75</t>
        </is>
      </c>
      <c r="G531" t="inlineStr">
        <is>
          <t>$413.95 M</t>
        </is>
      </c>
      <c r="H531" t="inlineStr">
        <is>
          <t>11.4%</t>
        </is>
      </c>
    </row>
    <row r="532">
      <c r="A532" s="78" t="inlineStr">
        <is>
          <t>Tuesday, February 7, 2023</t>
        </is>
      </c>
      <c r="B532" t="inlineStr">
        <is>
          <t>4:05 PM ET</t>
        </is>
      </c>
      <c r="C532" t="inlineStr">
        <is>
          <t>EXEL</t>
        </is>
      </c>
      <c r="D532" t="inlineStr">
        <is>
          <t>Exelixis, Inc.</t>
        </is>
      </c>
      <c r="E532" t="n">
        <v>5264.2</v>
      </c>
      <c r="F532" t="inlineStr">
        <is>
          <t>($0.13)</t>
        </is>
      </c>
      <c r="G532" t="inlineStr">
        <is>
          <t>$418.83 M</t>
        </is>
      </c>
      <c r="H532" t="inlineStr">
        <is>
          <t>-7.2%</t>
        </is>
      </c>
    </row>
    <row r="533">
      <c r="A533" s="78" t="inlineStr">
        <is>
          <t>Tuesday, February 7, 2023</t>
        </is>
      </c>
      <c r="B533" t="inlineStr">
        <is>
          <t>7:30 AM ET</t>
        </is>
      </c>
      <c r="C533" t="inlineStr">
        <is>
          <t>FSV</t>
        </is>
      </c>
      <c r="D533" t="inlineStr">
        <is>
          <t>FirstService Corporation</t>
        </is>
      </c>
      <c r="E533" t="n">
        <v>6132.21</v>
      </c>
      <c r="F533" t="inlineStr">
        <is>
          <t>$1.14</t>
        </is>
      </c>
      <c r="G533" t="inlineStr">
        <is>
          <t>$944.74 M</t>
        </is>
      </c>
      <c r="H533" t="inlineStr">
        <is>
          <t>10.2%</t>
        </is>
      </c>
    </row>
    <row r="534">
      <c r="A534" s="78" t="inlineStr">
        <is>
          <t>Tuesday, February 7, 2023</t>
        </is>
      </c>
      <c r="B534" t="inlineStr">
        <is>
          <t>7:00 AM ET</t>
        </is>
      </c>
      <c r="C534" t="inlineStr">
        <is>
          <t>FISV</t>
        </is>
      </c>
      <c r="D534" t="inlineStr">
        <is>
          <t>Fiserv, Inc.</t>
        </is>
      </c>
      <c r="E534" t="n">
        <v>66049.27</v>
      </c>
      <c r="F534" t="inlineStr">
        <is>
          <t>$1.93</t>
        </is>
      </c>
      <c r="G534" t="inlineStr">
        <is>
          <t>$4.33 B</t>
        </is>
      </c>
      <c r="H534" t="inlineStr">
        <is>
          <t>1.7%</t>
        </is>
      </c>
    </row>
    <row r="535">
      <c r="A535" s="78" t="inlineStr">
        <is>
          <t>Tuesday, February 7, 2023</t>
        </is>
      </c>
      <c r="B535" t="inlineStr">
        <is>
          <t>4:05 PM ET</t>
        </is>
      </c>
      <c r="C535" t="inlineStr">
        <is>
          <t>FLT</t>
        </is>
      </c>
      <c r="D535" t="inlineStr">
        <is>
          <t>FleetCor Technologies, Inc.</t>
        </is>
      </c>
      <c r="E535" t="n">
        <v>14359.58</v>
      </c>
      <c r="F535" t="inlineStr">
        <is>
          <t>$3.62</t>
        </is>
      </c>
      <c r="G535" t="inlineStr">
        <is>
          <t>$871.93 M</t>
        </is>
      </c>
      <c r="H535" t="inlineStr">
        <is>
          <t>8.7%</t>
        </is>
      </c>
    </row>
    <row r="536">
      <c r="A536" s="78" t="inlineStr">
        <is>
          <t>Tuesday, February 7, 2023</t>
        </is>
      </c>
      <c r="B536" t="inlineStr">
        <is>
          <t>4:30 PM ET</t>
        </is>
      </c>
      <c r="C536" t="inlineStr">
        <is>
          <t>FMC</t>
        </is>
      </c>
      <c r="D536" t="inlineStr">
        <is>
          <t>FMC Corporation</t>
        </is>
      </c>
      <c r="E536" t="n">
        <v>16203</v>
      </c>
      <c r="F536" t="inlineStr">
        <is>
          <t>$2.32</t>
        </is>
      </c>
      <c r="G536" t="inlineStr">
        <is>
          <t>$1.50 B</t>
        </is>
      </c>
      <c r="H536" t="inlineStr">
        <is>
          <t>6.1%</t>
        </is>
      </c>
    </row>
    <row r="537">
      <c r="A537" s="78" t="inlineStr">
        <is>
          <t>Tuesday, February 7, 2023</t>
        </is>
      </c>
      <c r="B537" t="inlineStr">
        <is>
          <t>4:05 PM ET</t>
        </is>
      </c>
      <c r="C537" t="inlineStr">
        <is>
          <t>FTNT</t>
        </is>
      </c>
      <c r="D537" t="inlineStr">
        <is>
          <t>Fortinet</t>
        </is>
      </c>
      <c r="E537" t="n">
        <v>39139.92</v>
      </c>
      <c r="F537" t="inlineStr">
        <is>
          <t>$0.32</t>
        </is>
      </c>
      <c r="G537" t="inlineStr">
        <is>
          <t>$1.29 B</t>
        </is>
      </c>
      <c r="H537" t="inlineStr">
        <is>
          <t>33.9%</t>
        </is>
      </c>
    </row>
    <row r="538">
      <c r="A538" s="78" t="inlineStr">
        <is>
          <t>Tuesday, February 7, 2023</t>
        </is>
      </c>
      <c r="B538" t="inlineStr">
        <is>
          <t>4:05 PM ET</t>
        </is>
      </c>
      <c r="C538" t="inlineStr">
        <is>
          <t>FRSH</t>
        </is>
      </c>
      <c r="D538" t="inlineStr">
        <is>
          <t>Freshworks Inc.</t>
        </is>
      </c>
      <c r="E538" t="n">
        <v>4664.25</v>
      </c>
      <c r="F538" t="inlineStr">
        <is>
          <t>($0.19)</t>
        </is>
      </c>
      <c r="G538" t="inlineStr">
        <is>
          <t>$130.01 M</t>
        </is>
      </c>
      <c r="H538" t="inlineStr">
        <is>
          <t>23.3%</t>
        </is>
      </c>
    </row>
    <row r="539">
      <c r="A539" s="78" t="inlineStr">
        <is>
          <t>Tuesday, February 7, 2023</t>
        </is>
      </c>
      <c r="B539" t="inlineStr">
        <is>
          <t>6:00 AM ET</t>
        </is>
      </c>
      <c r="C539" t="inlineStr">
        <is>
          <t>IT</t>
        </is>
      </c>
      <c r="D539" t="inlineStr">
        <is>
          <t>Gartner, Inc.</t>
        </is>
      </c>
      <c r="E539" t="n">
        <v>26387.03</v>
      </c>
      <c r="F539" t="inlineStr">
        <is>
          <t>$2.56</t>
        </is>
      </c>
      <c r="G539" t="inlineStr">
        <is>
          <t>$1.44 B</t>
        </is>
      </c>
      <c r="H539" t="inlineStr">
        <is>
          <t>10.2%</t>
        </is>
      </c>
    </row>
    <row r="540">
      <c r="A540" s="78" t="inlineStr">
        <is>
          <t>Tuesday, February 7, 2023</t>
        </is>
      </c>
      <c r="B540" t="inlineStr">
        <is>
          <t>6:30 AM ET</t>
        </is>
      </c>
      <c r="C540" t="inlineStr">
        <is>
          <t>GPK</t>
        </is>
      </c>
      <c r="D540" t="inlineStr">
        <is>
          <t>Graphic Packaging International Corp.</t>
        </is>
      </c>
      <c r="E540" t="n">
        <v>6827.23</v>
      </c>
      <c r="F540" t="inlineStr">
        <is>
          <t>$0.58</t>
        </is>
      </c>
      <c r="G540" t="inlineStr">
        <is>
          <t>$2.31 B</t>
        </is>
      </c>
      <c r="H540" t="inlineStr">
        <is>
          <t>16.2%</t>
        </is>
      </c>
    </row>
    <row r="541">
      <c r="A541" s="78" t="inlineStr">
        <is>
          <t>Tuesday, February 7, 2023</t>
        </is>
      </c>
      <c r="B541" t="inlineStr">
        <is>
          <t>4:00 PM ET</t>
        </is>
      </c>
      <c r="C541" t="inlineStr">
        <is>
          <t>HRB</t>
        </is>
      </c>
      <c r="D541" t="inlineStr">
        <is>
          <t>H&amp;R Block  Inc.</t>
        </is>
      </c>
      <c r="E541" t="n">
        <v>5932.67</v>
      </c>
      <c r="F541" t="inlineStr">
        <is>
          <t>($1.48)</t>
        </is>
      </c>
      <c r="G541" t="inlineStr">
        <is>
          <t>$153.04 M</t>
        </is>
      </c>
      <c r="H541" t="inlineStr">
        <is>
          <t>-3.6%</t>
        </is>
      </c>
    </row>
    <row r="542">
      <c r="A542" s="78" t="inlineStr">
        <is>
          <t>Tuesday, February 7, 2023</t>
        </is>
      </c>
      <c r="B542" t="inlineStr">
        <is>
          <t>6:00 AM ET</t>
        </is>
      </c>
      <c r="C542" t="inlineStr">
        <is>
          <t>HAE</t>
        </is>
      </c>
      <c r="D542" t="inlineStr">
        <is>
          <t>Haemonetics Corp.</t>
        </is>
      </c>
      <c r="E542" t="n">
        <v>4346.25</v>
      </c>
      <c r="F542" t="inlineStr">
        <is>
          <t>$0.79</t>
        </is>
      </c>
      <c r="G542" t="inlineStr">
        <is>
          <t>$280.82 M</t>
        </is>
      </c>
      <c r="H542" t="inlineStr">
        <is>
          <t>8.1%</t>
        </is>
      </c>
    </row>
    <row r="543">
      <c r="A543" s="78" t="inlineStr">
        <is>
          <t>Tuesday, February 7, 2023</t>
        </is>
      </c>
      <c r="B543" t="inlineStr">
        <is>
          <t>7:00 AM ET</t>
        </is>
      </c>
      <c r="C543" t="inlineStr">
        <is>
          <t>HLNE</t>
        </is>
      </c>
      <c r="D543" t="inlineStr">
        <is>
          <t>Hamilton Lane Incorporated</t>
        </is>
      </c>
      <c r="E543" t="n">
        <v>3935.48</v>
      </c>
      <c r="F543" t="inlineStr">
        <is>
          <t>$0.82</t>
        </is>
      </c>
      <c r="G543" t="inlineStr">
        <is>
          <t>$118.88 M</t>
        </is>
      </c>
      <c r="H543" t="inlineStr">
        <is>
          <t>29.6%</t>
        </is>
      </c>
    </row>
    <row r="544">
      <c r="A544" s="78" t="inlineStr">
        <is>
          <t>Tuesday, February 7, 2023</t>
        </is>
      </c>
      <c r="B544" t="inlineStr">
        <is>
          <t>4:15 PM ET</t>
        </is>
      </c>
      <c r="C544" t="inlineStr">
        <is>
          <t>PEAK</t>
        </is>
      </c>
      <c r="D544" t="inlineStr">
        <is>
          <t>Healthpeak Properties, Inc.</t>
        </is>
      </c>
      <c r="E544" t="n">
        <v>14524.33</v>
      </c>
      <c r="F544" t="inlineStr">
        <is>
          <t>$0.43</t>
        </is>
      </c>
      <c r="G544" t="inlineStr">
        <is>
          <t>$521.07 M</t>
        </is>
      </c>
      <c r="H544" t="inlineStr">
        <is>
          <t>7.8%</t>
        </is>
      </c>
    </row>
    <row r="545">
      <c r="A545" s="78" t="inlineStr">
        <is>
          <t>Tuesday, February 7, 2023</t>
        </is>
      </c>
      <c r="B545" t="inlineStr">
        <is>
          <t>7:30 AM ET</t>
        </is>
      </c>
      <c r="C545" t="inlineStr">
        <is>
          <t>HTZ</t>
        </is>
      </c>
      <c r="D545" t="inlineStr">
        <is>
          <t>Hertz Global Holdings, Inc.</t>
        </is>
      </c>
      <c r="E545" t="n">
        <v>5607.06</v>
      </c>
      <c r="F545" t="inlineStr">
        <is>
          <t>$0.46</t>
        </is>
      </c>
      <c r="G545" t="inlineStr">
        <is>
          <t>$2.12 B</t>
        </is>
      </c>
      <c r="H545" t="inlineStr">
        <is>
          <t>8.8%</t>
        </is>
      </c>
    </row>
    <row r="546">
      <c r="A546" s="78" t="inlineStr">
        <is>
          <t>Tuesday, February 7, 2023</t>
        </is>
      </c>
      <c r="B546" t="inlineStr">
        <is>
          <t>4:15 PM ET</t>
        </is>
      </c>
      <c r="C546" t="inlineStr">
        <is>
          <t>HIW</t>
        </is>
      </c>
      <c r="D546" t="inlineStr">
        <is>
          <t>Highwoods Properties, Inc.</t>
        </is>
      </c>
      <c r="E546" t="n">
        <v>3146.46</v>
      </c>
      <c r="F546" t="inlineStr">
        <is>
          <t>$0.97</t>
        </is>
      </c>
      <c r="G546" t="inlineStr">
        <is>
          <t>$206.67 M</t>
        </is>
      </c>
      <c r="H546" t="inlineStr">
        <is>
          <t>1.7%</t>
        </is>
      </c>
    </row>
    <row r="547">
      <c r="A547" s="78" t="inlineStr">
        <is>
          <t>Tuesday, February 7, 2023</t>
        </is>
      </c>
      <c r="B547" t="inlineStr">
        <is>
          <t>4:05 PM ET</t>
        </is>
      </c>
      <c r="C547" t="inlineStr">
        <is>
          <t>ILMN</t>
        </is>
      </c>
      <c r="D547" t="inlineStr">
        <is>
          <t>Illumina Inc.</t>
        </is>
      </c>
      <c r="E547" t="n">
        <v>32473.01</v>
      </c>
      <c r="F547" t="inlineStr">
        <is>
          <t>$0.25</t>
        </is>
      </c>
      <c r="G547" t="inlineStr">
        <is>
          <t>$1.18 B</t>
        </is>
      </c>
      <c r="H547" t="inlineStr">
        <is>
          <t>-1.5%</t>
        </is>
      </c>
    </row>
    <row r="548">
      <c r="A548" s="78" t="inlineStr">
        <is>
          <t>Tuesday, February 7, 2023</t>
        </is>
      </c>
      <c r="B548" t="inlineStr">
        <is>
          <t>7:00 AM ET</t>
        </is>
      </c>
      <c r="C548" t="inlineStr">
        <is>
          <t>INCY</t>
        </is>
      </c>
      <c r="D548" t="inlineStr">
        <is>
          <t>Incyte Corp.</t>
        </is>
      </c>
      <c r="E548" t="n">
        <v>18078.36</v>
      </c>
      <c r="F548" t="inlineStr">
        <is>
          <t>$0.44</t>
        </is>
      </c>
      <c r="G548" t="inlineStr">
        <is>
          <t>$892.54 M</t>
        </is>
      </c>
      <c r="H548" t="inlineStr">
        <is>
          <t>3.4%</t>
        </is>
      </c>
    </row>
    <row r="549">
      <c r="A549" s="78" t="inlineStr">
        <is>
          <t>Tuesday, February 7, 2023</t>
        </is>
      </c>
      <c r="B549" t="inlineStr">
        <is>
          <t>4:00 PM ET</t>
        </is>
      </c>
      <c r="C549" t="inlineStr">
        <is>
          <t>INSP</t>
        </is>
      </c>
      <c r="D549" t="inlineStr">
        <is>
          <t>Inspire Medical Systems, Inc.</t>
        </is>
      </c>
      <c r="E549" t="n">
        <v>7385.76</v>
      </c>
      <c r="F549" t="inlineStr">
        <is>
          <t>($0.59)</t>
        </is>
      </c>
      <c r="G549" t="inlineStr">
        <is>
          <t>$115.92 M</t>
        </is>
      </c>
      <c r="H549" t="inlineStr">
        <is>
          <t>47.9%</t>
        </is>
      </c>
    </row>
    <row r="550">
      <c r="A550" s="78" t="inlineStr">
        <is>
          <t>Tuesday, February 7, 2023</t>
        </is>
      </c>
      <c r="B550" t="inlineStr">
        <is>
          <t>6:45 AM ET</t>
        </is>
      </c>
      <c r="C550" t="inlineStr">
        <is>
          <t>IGT</t>
        </is>
      </c>
      <c r="D550" t="inlineStr">
        <is>
          <t>International Game Technology</t>
        </is>
      </c>
      <c r="E550" t="n">
        <v>5035.17</v>
      </c>
      <c r="F550" t="inlineStr">
        <is>
          <t>$0.26</t>
        </is>
      </c>
      <c r="G550" t="inlineStr">
        <is>
          <t>$1.03 B</t>
        </is>
      </c>
      <c r="H550" t="inlineStr">
        <is>
          <t>-1.9%</t>
        </is>
      </c>
    </row>
    <row r="551">
      <c r="A551" s="78" t="inlineStr">
        <is>
          <t>Tuesday, February 7, 2023</t>
        </is>
      </c>
      <c r="B551" t="inlineStr">
        <is>
          <t>4:15 PM ET</t>
        </is>
      </c>
      <c r="C551" t="inlineStr">
        <is>
          <t>JKHY</t>
        </is>
      </c>
      <c r="D551" t="inlineStr">
        <is>
          <t>Jack Henry &amp; Associates, Inc.</t>
        </is>
      </c>
      <c r="E551" t="n">
        <v>13261.48</v>
      </c>
      <c r="F551" t="inlineStr">
        <is>
          <t>$1.11</t>
        </is>
      </c>
      <c r="G551" t="inlineStr">
        <is>
          <t>$516.93 M</t>
        </is>
      </c>
      <c r="H551" t="inlineStr">
        <is>
          <t>4.7%</t>
        </is>
      </c>
    </row>
    <row r="552">
      <c r="A552" s="78" t="inlineStr">
        <is>
          <t>Tuesday, February 7, 2023</t>
        </is>
      </c>
      <c r="B552" t="inlineStr">
        <is>
          <t>6:50 AM ET</t>
        </is>
      </c>
      <c r="C552" t="inlineStr">
        <is>
          <t>KKR</t>
        </is>
      </c>
      <c r="D552" t="inlineStr">
        <is>
          <t>KKR &amp; Co. L.P.</t>
        </is>
      </c>
      <c r="E552" t="n">
        <v>46095.32</v>
      </c>
      <c r="F552" t="inlineStr">
        <is>
          <t>$0.75</t>
        </is>
      </c>
      <c r="G552" t="inlineStr">
        <is>
          <t>$885.23 M</t>
        </is>
      </c>
      <c r="H552" t="inlineStr">
        <is>
          <t>-78.2%</t>
        </is>
      </c>
    </row>
    <row r="553">
      <c r="A553" s="78" t="inlineStr">
        <is>
          <t>Tuesday, February 7, 2023</t>
        </is>
      </c>
      <c r="B553" t="inlineStr">
        <is>
          <t>4:05 PM ET</t>
        </is>
      </c>
      <c r="C553" t="inlineStr">
        <is>
          <t>LCID</t>
        </is>
      </c>
      <c r="D553" t="inlineStr">
        <is>
          <t>Lucid Group</t>
        </is>
      </c>
      <c r="E553" t="n">
        <v>13527.47</v>
      </c>
      <c r="F553" t="inlineStr">
        <is>
          <t>($0.42)</t>
        </is>
      </c>
      <c r="G553" t="inlineStr">
        <is>
          <t>$375.00 M</t>
        </is>
      </c>
      <c r="H553" t="inlineStr">
        <is>
          <t>1,320.9%</t>
        </is>
      </c>
    </row>
    <row r="554">
      <c r="A554" s="78" t="inlineStr">
        <is>
          <t>Tuesday, February 7, 2023</t>
        </is>
      </c>
      <c r="B554" t="inlineStr">
        <is>
          <t>4:05 PM ET</t>
        </is>
      </c>
      <c r="C554" t="inlineStr">
        <is>
          <t>LUMN</t>
        </is>
      </c>
      <c r="D554" t="inlineStr">
        <is>
          <t>Lumen Technologies</t>
        </is>
      </c>
      <c r="E554" t="n">
        <v>5783.32</v>
      </c>
      <c r="F554" t="inlineStr">
        <is>
          <t>$0.13</t>
        </is>
      </c>
      <c r="G554" t="inlineStr">
        <is>
          <t>$3.86 B</t>
        </is>
      </c>
      <c r="H554" t="inlineStr">
        <is>
          <t>-20.4%</t>
        </is>
      </c>
    </row>
    <row r="555">
      <c r="A555" s="78" t="inlineStr">
        <is>
          <t>Tuesday, February 7, 2023</t>
        </is>
      </c>
      <c r="B555" t="inlineStr">
        <is>
          <t>4:05 PM ET</t>
        </is>
      </c>
      <c r="C555" t="inlineStr">
        <is>
          <t>LYFT</t>
        </is>
      </c>
      <c r="D555" t="inlineStr">
        <is>
          <t>Lyft, Inc.</t>
        </is>
      </c>
      <c r="E555" t="n">
        <v>5179.42</v>
      </c>
      <c r="F555" t="inlineStr">
        <is>
          <t>($0.58)</t>
        </is>
      </c>
      <c r="G555" t="inlineStr">
        <is>
          <t>$1.16 B</t>
        </is>
      </c>
      <c r="H555" t="inlineStr">
        <is>
          <t>19.6%</t>
        </is>
      </c>
    </row>
    <row r="556">
      <c r="A556" s="78" t="inlineStr">
        <is>
          <t>Tuesday, February 7, 2023</t>
        </is>
      </c>
      <c r="B556" t="inlineStr">
        <is>
          <t>4:05 PM ET</t>
        </is>
      </c>
      <c r="C556" t="inlineStr">
        <is>
          <t>NCR</t>
        </is>
      </c>
      <c r="D556" t="inlineStr">
        <is>
          <t>NCR Corporation</t>
        </is>
      </c>
      <c r="E556" t="n">
        <v>3524.31</v>
      </c>
      <c r="F556" t="inlineStr">
        <is>
          <t>$0.82</t>
        </is>
      </c>
      <c r="G556" t="inlineStr">
        <is>
          <t>$2.03 B</t>
        </is>
      </c>
      <c r="H556" t="inlineStr">
        <is>
          <t>-0.2%</t>
        </is>
      </c>
    </row>
    <row r="557">
      <c r="A557" s="78" t="inlineStr">
        <is>
          <t>Tuesday, February 7, 2023</t>
        </is>
      </c>
      <c r="B557" t="inlineStr">
        <is>
          <t>6:00 AM ET</t>
        </is>
      </c>
      <c r="C557" t="inlineStr">
        <is>
          <t>NFE</t>
        </is>
      </c>
      <c r="D557" t="inlineStr">
        <is>
          <t>New Fortress Energy LLC</t>
        </is>
      </c>
      <c r="E557" t="n">
        <v>7764.16</v>
      </c>
      <c r="F557" t="inlineStr">
        <is>
          <t>$0.94</t>
        </is>
      </c>
      <c r="G557" t="inlineStr">
        <is>
          <t>$805.46 M</t>
        </is>
      </c>
      <c r="H557" t="inlineStr">
        <is>
          <t>24.2%</t>
        </is>
      </c>
    </row>
    <row r="558">
      <c r="A558" s="78" t="inlineStr">
        <is>
          <t>Tuesday, February 7, 2023</t>
        </is>
      </c>
      <c r="B558" t="inlineStr">
        <is>
          <t>4:05 PM ET</t>
        </is>
      </c>
      <c r="C558" t="inlineStr">
        <is>
          <t>NEWR</t>
        </is>
      </c>
      <c r="D558" t="inlineStr">
        <is>
          <t>New Relic Inc</t>
        </is>
      </c>
      <c r="E558" t="n">
        <v>4036.05</v>
      </c>
      <c r="F558" t="inlineStr">
        <is>
          <t>($0.47)</t>
        </is>
      </c>
      <c r="G558" t="inlineStr">
        <is>
          <t>$232.58 M</t>
        </is>
      </c>
      <c r="H558" t="inlineStr">
        <is>
          <t>14.2%</t>
        </is>
      </c>
    </row>
    <row r="559">
      <c r="A559" s="78" t="inlineStr">
        <is>
          <t>Tuesday, February 7, 2023</t>
        </is>
      </c>
      <c r="B559" t="inlineStr">
        <is>
          <t>7:00 AM ET</t>
        </is>
      </c>
      <c r="C559" t="inlineStr">
        <is>
          <t>NOVT</t>
        </is>
      </c>
      <c r="D559" t="inlineStr">
        <is>
          <t>Novanta Inc.</t>
        </is>
      </c>
      <c r="E559" t="n">
        <v>5401</v>
      </c>
      <c r="F559" t="inlineStr">
        <is>
          <t>$0.69</t>
        </is>
      </c>
      <c r="G559" t="inlineStr">
        <is>
          <t>$215.71 M</t>
        </is>
      </c>
      <c r="H559" t="inlineStr">
        <is>
          <t>8.4%</t>
        </is>
      </c>
    </row>
    <row r="560">
      <c r="A560" s="78" t="inlineStr">
        <is>
          <t>Tuesday, February 7, 2023</t>
        </is>
      </c>
      <c r="B560" t="inlineStr">
        <is>
          <t>6:30 AM ET</t>
        </is>
      </c>
      <c r="C560" t="inlineStr">
        <is>
          <t>NVT</t>
        </is>
      </c>
      <c r="D560" t="inlineStr">
        <is>
          <t>nVent Electric plc</t>
        </is>
      </c>
      <c r="E560" t="n">
        <v>6640.17</v>
      </c>
      <c r="F560" t="inlineStr">
        <is>
          <t>$0.58</t>
        </is>
      </c>
      <c r="G560" t="inlineStr">
        <is>
          <t>$707.20 M</t>
        </is>
      </c>
      <c r="H560" t="inlineStr">
        <is>
          <t>5.7%</t>
        </is>
      </c>
    </row>
    <row r="561">
      <c r="A561" s="78" t="inlineStr">
        <is>
          <t>Tuesday, February 7, 2023</t>
        </is>
      </c>
      <c r="B561" t="inlineStr">
        <is>
          <t>4:05 PM ET</t>
        </is>
      </c>
      <c r="C561" t="inlineStr">
        <is>
          <t>OMC</t>
        </is>
      </c>
      <c r="D561" t="inlineStr">
        <is>
          <t>Omnicom Group, Inc.</t>
        </is>
      </c>
      <c r="E561" t="n">
        <v>17063.7</v>
      </c>
      <c r="F561" t="inlineStr">
        <is>
          <t>$1.93</t>
        </is>
      </c>
      <c r="G561" t="inlineStr">
        <is>
          <t>$3.76 B</t>
        </is>
      </c>
      <c r="H561" t="inlineStr">
        <is>
          <t>-2.5%</t>
        </is>
      </c>
    </row>
    <row r="562">
      <c r="A562" s="78" t="inlineStr">
        <is>
          <t>Tuesday, February 7, 2023</t>
        </is>
      </c>
      <c r="B562" t="inlineStr">
        <is>
          <t>8:00 AM ET</t>
        </is>
      </c>
      <c r="C562" t="inlineStr">
        <is>
          <t>OMF</t>
        </is>
      </c>
      <c r="D562" t="inlineStr">
        <is>
          <t>OneMain Holdings, Inc.</t>
        </is>
      </c>
      <c r="E562" t="n">
        <v>4826.15</v>
      </c>
      <c r="F562" t="inlineStr">
        <is>
          <t>$1.50</t>
        </is>
      </c>
      <c r="G562" t="inlineStr">
        <is>
          <t>$913.08 M</t>
        </is>
      </c>
      <c r="H562" t="inlineStr">
        <is>
          <t>-27.3%</t>
        </is>
      </c>
    </row>
    <row r="563">
      <c r="A563" s="78" t="inlineStr">
        <is>
          <t>Tuesday, February 7, 2023</t>
        </is>
      </c>
      <c r="B563" t="inlineStr">
        <is>
          <t>4:05 PM ET</t>
        </is>
      </c>
      <c r="C563" t="inlineStr">
        <is>
          <t>PAYC</t>
        </is>
      </c>
      <c r="D563" t="inlineStr">
        <is>
          <t>Paycom Software Inc.</t>
        </is>
      </c>
      <c r="E563" t="n">
        <v>18624.32</v>
      </c>
      <c r="F563" t="inlineStr">
        <is>
          <t>$1.15</t>
        </is>
      </c>
      <c r="G563" t="inlineStr">
        <is>
          <t>$367.13 M</t>
        </is>
      </c>
      <c r="H563" t="inlineStr">
        <is>
          <t>28.8%</t>
        </is>
      </c>
    </row>
    <row r="564">
      <c r="A564" s="78" t="inlineStr">
        <is>
          <t>Tuesday, February 7, 2023</t>
        </is>
      </c>
      <c r="B564" t="inlineStr">
        <is>
          <t>6:30 AM ET</t>
        </is>
      </c>
      <c r="C564" t="inlineStr">
        <is>
          <t>PRGO</t>
        </is>
      </c>
      <c r="D564" t="inlineStr">
        <is>
          <t>Perrigo Co.</t>
        </is>
      </c>
      <c r="E564" t="n">
        <v>4953.4</v>
      </c>
      <c r="F564" t="inlineStr">
        <is>
          <t>$0.72</t>
        </is>
      </c>
      <c r="G564" t="inlineStr">
        <is>
          <t>$1.18 B</t>
        </is>
      </c>
      <c r="H564" t="inlineStr">
        <is>
          <t>6.8%</t>
        </is>
      </c>
    </row>
    <row r="565">
      <c r="A565" s="78" t="inlineStr">
        <is>
          <t>Tuesday, February 7, 2023</t>
        </is>
      </c>
      <c r="B565" t="inlineStr">
        <is>
          <t>4:00 PM ET</t>
        </is>
      </c>
      <c r="C565" t="inlineStr">
        <is>
          <t>PLUG</t>
        </is>
      </c>
      <c r="D565" t="inlineStr">
        <is>
          <t>Plug Power, Inc.</t>
        </is>
      </c>
      <c r="E565" t="n">
        <v>9810.280000000001</v>
      </c>
      <c r="F565" t="inlineStr">
        <is>
          <t>($0.23)</t>
        </is>
      </c>
      <c r="G565" t="inlineStr">
        <is>
          <t>$327.41 M</t>
        </is>
      </c>
      <c r="H565" t="inlineStr">
        <is>
          <t>102.2%</t>
        </is>
      </c>
    </row>
    <row r="566">
      <c r="A566" s="78" t="inlineStr">
        <is>
          <t>Tuesday, February 7, 2023</t>
        </is>
      </c>
      <c r="B566" t="inlineStr">
        <is>
          <t>6:30 AM ET</t>
        </is>
      </c>
      <c r="C566" t="inlineStr">
        <is>
          <t>PINC</t>
        </is>
      </c>
      <c r="D566" t="inlineStr">
        <is>
          <t>Premier, Inc.</t>
        </is>
      </c>
      <c r="E566" t="n">
        <v>4015.35</v>
      </c>
      <c r="F566" t="inlineStr">
        <is>
          <t>$0.59</t>
        </is>
      </c>
      <c r="G566" t="inlineStr">
        <is>
          <t>$359.87 M</t>
        </is>
      </c>
      <c r="H566" t="inlineStr">
        <is>
          <t>-5.1%</t>
        </is>
      </c>
    </row>
    <row r="567">
      <c r="A567" s="78" t="inlineStr">
        <is>
          <t>Tuesday, February 7, 2023</t>
        </is>
      </c>
      <c r="B567" t="inlineStr">
        <is>
          <t>4:05 PM ET</t>
        </is>
      </c>
      <c r="C567" t="inlineStr">
        <is>
          <t>PR</t>
        </is>
      </c>
      <c r="D567" t="inlineStr">
        <is>
          <t>PRICE COMMUNICATIONS CP</t>
        </is>
      </c>
      <c r="E567" t="n">
        <v>5633.79</v>
      </c>
      <c r="F567" t="inlineStr">
        <is>
          <t>$0.54</t>
        </is>
      </c>
      <c r="G567" t="inlineStr">
        <is>
          <t>$781.81 M</t>
        </is>
      </c>
      <c r="H567" t="inlineStr">
        <is>
          <t>-</t>
        </is>
      </c>
    </row>
    <row r="568">
      <c r="A568" s="78" t="inlineStr">
        <is>
          <t>Tuesday, February 7, 2023</t>
        </is>
      </c>
      <c r="B568" t="inlineStr">
        <is>
          <t>4:20 PM ET</t>
        </is>
      </c>
      <c r="C568" t="inlineStr">
        <is>
          <t>PRU</t>
        </is>
      </c>
      <c r="D568" t="inlineStr">
        <is>
          <t>Prudential Financial, Inc.</t>
        </is>
      </c>
      <c r="E568" t="n">
        <v>37601.76</v>
      </c>
      <c r="F568" t="inlineStr">
        <is>
          <t>$2.78</t>
        </is>
      </c>
      <c r="G568" t="inlineStr">
        <is>
          <t>$13.05 B</t>
        </is>
      </c>
      <c r="H568" t="inlineStr">
        <is>
          <t>-5.0%</t>
        </is>
      </c>
    </row>
    <row r="569">
      <c r="A569" s="78" t="inlineStr">
        <is>
          <t>Tuesday, February 7, 2023</t>
        </is>
      </c>
      <c r="B569" t="inlineStr">
        <is>
          <t>4:05 PM ET</t>
        </is>
      </c>
      <c r="C569" t="inlineStr">
        <is>
          <t>QGEN</t>
        </is>
      </c>
      <c r="D569" t="inlineStr">
        <is>
          <t>Qiagen N.V.</t>
        </is>
      </c>
      <c r="E569" t="n">
        <v>11403.63</v>
      </c>
      <c r="F569" t="inlineStr">
        <is>
          <t>$0.47</t>
        </is>
      </c>
      <c r="G569" t="inlineStr">
        <is>
          <t>$487.20 M</t>
        </is>
      </c>
      <c r="H569" t="inlineStr">
        <is>
          <t>-16.3%</t>
        </is>
      </c>
    </row>
    <row r="570">
      <c r="A570" s="78" t="inlineStr">
        <is>
          <t>Tuesday, February 7, 2023</t>
        </is>
      </c>
      <c r="B570" t="inlineStr">
        <is>
          <t>4:00 PM ET</t>
        </is>
      </c>
      <c r="C570" t="inlineStr">
        <is>
          <t>RRR</t>
        </is>
      </c>
      <c r="D570" t="inlineStr">
        <is>
          <t>Red Rock Resorts, Inc.</t>
        </is>
      </c>
      <c r="E570" t="n">
        <v>4536.92</v>
      </c>
      <c r="F570" t="inlineStr">
        <is>
          <t>$0.56</t>
        </is>
      </c>
      <c r="G570" t="inlineStr">
        <is>
          <t>$421.69 M</t>
        </is>
      </c>
      <c r="H570" t="inlineStr">
        <is>
          <t>-0.2%</t>
        </is>
      </c>
    </row>
    <row r="571">
      <c r="A571" s="78" t="inlineStr">
        <is>
          <t>Tuesday, February 7, 2023</t>
        </is>
      </c>
      <c r="B571" t="inlineStr">
        <is>
          <t>4:05 PM ET</t>
        </is>
      </c>
      <c r="C571" t="inlineStr">
        <is>
          <t>STEP</t>
        </is>
      </c>
      <c r="D571" t="inlineStr">
        <is>
          <t>StepStone Group Inc.</t>
        </is>
      </c>
      <c r="E571" t="n">
        <v>3116.5</v>
      </c>
      <c r="F571" t="inlineStr">
        <is>
          <t>$0.27</t>
        </is>
      </c>
      <c r="G571" t="inlineStr">
        <is>
          <t>$142.16 M</t>
        </is>
      </c>
      <c r="H571" t="inlineStr">
        <is>
          <t>-65.4%</t>
        </is>
      </c>
    </row>
    <row r="572">
      <c r="A572" s="78" t="inlineStr">
        <is>
          <t>Tuesday, February 7, 2023</t>
        </is>
      </c>
      <c r="B572" t="inlineStr">
        <is>
          <t>4:30 PM ET</t>
        </is>
      </c>
      <c r="C572" t="inlineStr">
        <is>
          <t>STE</t>
        </is>
      </c>
      <c r="D572" t="inlineStr">
        <is>
          <t>STERIS Corp.</t>
        </is>
      </c>
      <c r="E572" t="n">
        <v>19952.61</v>
      </c>
      <c r="F572" t="inlineStr">
        <is>
          <t>$2.22</t>
        </is>
      </c>
      <c r="G572" t="inlineStr">
        <is>
          <t>$1.28 B</t>
        </is>
      </c>
      <c r="H572" t="inlineStr">
        <is>
          <t>5.9%</t>
        </is>
      </c>
    </row>
    <row r="573">
      <c r="A573" s="78" t="inlineStr">
        <is>
          <t>Tuesday, February 7, 2023</t>
        </is>
      </c>
      <c r="B573" t="inlineStr">
        <is>
          <t>6:30 AM ET</t>
        </is>
      </c>
      <c r="C573" t="inlineStr">
        <is>
          <t>STVN</t>
        </is>
      </c>
      <c r="D573" t="inlineStr">
        <is>
          <t>Stevanato Group S.p.A.</t>
        </is>
      </c>
      <c r="E573" t="n">
        <v>5795.54</v>
      </c>
      <c r="F573" t="inlineStr">
        <is>
          <t>$0.16</t>
        </is>
      </c>
      <c r="G573" t="inlineStr">
        <is>
          <t>$272.05 M</t>
        </is>
      </c>
      <c r="H573" t="inlineStr">
        <is>
          <t>-1.1%</t>
        </is>
      </c>
    </row>
    <row r="574">
      <c r="A574" s="78" t="inlineStr">
        <is>
          <t>Tuesday, February 7, 2023</t>
        </is>
      </c>
      <c r="B574" t="inlineStr">
        <is>
          <t>4:00 PM ET</t>
        </is>
      </c>
      <c r="C574" t="inlineStr">
        <is>
          <t>VRTX</t>
        </is>
      </c>
      <c r="D574" t="inlineStr">
        <is>
          <t>Vertex Pharmaceuticals Inc.</t>
        </is>
      </c>
      <c r="E574" t="n">
        <v>80082.61</v>
      </c>
      <c r="F574" t="inlineStr">
        <is>
          <t>$3.12</t>
        </is>
      </c>
      <c r="G574" t="inlineStr">
        <is>
          <t>$2.26 B</t>
        </is>
      </c>
      <c r="H574" t="inlineStr">
        <is>
          <t>9.0%</t>
        </is>
      </c>
    </row>
    <row r="575">
      <c r="A575" s="78" t="inlineStr">
        <is>
          <t>Tuesday, February 7, 2023</t>
        </is>
      </c>
      <c r="B575" t="inlineStr">
        <is>
          <t>4:05 PM ET</t>
        </is>
      </c>
      <c r="C575" t="inlineStr">
        <is>
          <t>VFC</t>
        </is>
      </c>
      <c r="D575" t="inlineStr">
        <is>
          <t>VF Corp.</t>
        </is>
      </c>
      <c r="E575" t="n">
        <v>11894.01</v>
      </c>
      <c r="F575" t="inlineStr">
        <is>
          <t>$1.00</t>
        </is>
      </c>
      <c r="G575" t="inlineStr">
        <is>
          <t>$3.57 B</t>
        </is>
      </c>
      <c r="H575" t="inlineStr">
        <is>
          <t>-1.5%</t>
        </is>
      </c>
    </row>
    <row r="576">
      <c r="A576" s="78" t="inlineStr">
        <is>
          <t>Tuesday, February 7, 2023</t>
        </is>
      </c>
      <c r="B576" t="inlineStr">
        <is>
          <t>4:20 PM ET</t>
        </is>
      </c>
      <c r="C576" t="inlineStr">
        <is>
          <t>VOYA</t>
        </is>
      </c>
      <c r="D576" t="inlineStr">
        <is>
          <t>Voya Financial, Inc.</t>
        </is>
      </c>
      <c r="E576" t="n">
        <v>6688.41</v>
      </c>
      <c r="F576" t="inlineStr">
        <is>
          <t>$1.53</t>
        </is>
      </c>
      <c r="G576" t="inlineStr">
        <is>
          <t>$262.61 M</t>
        </is>
      </c>
      <c r="H576" t="inlineStr">
        <is>
          <t>-84.3%</t>
        </is>
      </c>
    </row>
    <row r="577">
      <c r="A577" s="78" t="inlineStr">
        <is>
          <t>Tuesday, February 7, 2023</t>
        </is>
      </c>
      <c r="B577" t="inlineStr">
        <is>
          <t>8:00 AM ET</t>
        </is>
      </c>
      <c r="C577" t="inlineStr">
        <is>
          <t>WTM</t>
        </is>
      </c>
      <c r="D577" t="inlineStr">
        <is>
          <t>White Mountains Insurance Grou</t>
        </is>
      </c>
      <c r="E577" t="n">
        <v>3737.52</v>
      </c>
      <c r="F577" t="inlineStr">
        <is>
          <t>-</t>
        </is>
      </c>
      <c r="G577" t="inlineStr">
        <is>
          <t>-</t>
        </is>
      </c>
      <c r="H577" t="inlineStr">
        <is>
          <t>-</t>
        </is>
      </c>
    </row>
    <row r="578">
      <c r="A578" s="78" t="inlineStr">
        <is>
          <t>Tuesday, February 7, 2023</t>
        </is>
      </c>
      <c r="B578" t="inlineStr">
        <is>
          <t>4:10 PM ET</t>
        </is>
      </c>
      <c r="C578" t="inlineStr">
        <is>
          <t>XP</t>
        </is>
      </c>
      <c r="D578" t="inlineStr">
        <is>
          <t>XP Inc.</t>
        </is>
      </c>
      <c r="E578" t="n">
        <v>9053.5</v>
      </c>
      <c r="F578" t="inlineStr">
        <is>
          <t>$0.31</t>
        </is>
      </c>
      <c r="G578" t="inlineStr">
        <is>
          <t>$710.17 M</t>
        </is>
      </c>
      <c r="H578" t="inlineStr">
        <is>
          <t>21.6%</t>
        </is>
      </c>
    </row>
    <row r="579">
      <c r="A579" s="78" t="inlineStr">
        <is>
          <t>Tuesday, February 7, 2023</t>
        </is>
      </c>
      <c r="B579" t="inlineStr">
        <is>
          <t>6:55 AM ET</t>
        </is>
      </c>
      <c r="C579" t="inlineStr">
        <is>
          <t>XYL</t>
        </is>
      </c>
      <c r="D579" t="inlineStr">
        <is>
          <t>Xylem Inc.</t>
        </is>
      </c>
      <c r="E579" t="n">
        <v>20905.7</v>
      </c>
      <c r="F579" t="inlineStr">
        <is>
          <t>$0.79</t>
        </is>
      </c>
      <c r="G579" t="inlineStr">
        <is>
          <t>$1.40 B</t>
        </is>
      </c>
      <c r="H579" t="inlineStr">
        <is>
          <t>5.8%</t>
        </is>
      </c>
    </row>
    <row r="580">
      <c r="A580" s="78" t="inlineStr">
        <is>
          <t>Tuesday, February 7, 2023</t>
        </is>
      </c>
      <c r="B580" t="inlineStr">
        <is>
          <t>4:30 PM ET</t>
        </is>
      </c>
      <c r="C580" t="inlineStr">
        <is>
          <t>YUMC</t>
        </is>
      </c>
      <c r="D580" t="inlineStr">
        <is>
          <t>Yum China Holdings, Inc.</t>
        </is>
      </c>
      <c r="E580" t="n">
        <v>23888.02</v>
      </c>
      <c r="F580" t="inlineStr">
        <is>
          <t>$0.16</t>
        </is>
      </c>
      <c r="G580" t="inlineStr">
        <is>
          <t>$2.19 B</t>
        </is>
      </c>
      <c r="H580" t="inlineStr">
        <is>
          <t>-4.4%</t>
        </is>
      </c>
    </row>
    <row r="581">
      <c r="A581" s="78" t="inlineStr">
        <is>
          <t>Wednesday, February 8, 2023</t>
        </is>
      </c>
      <c r="B581" t="inlineStr">
        <is>
          <t>8:00 AM ET</t>
        </is>
      </c>
      <c r="C581" t="inlineStr">
        <is>
          <t>FOX</t>
        </is>
      </c>
      <c r="D581" t="inlineStr">
        <is>
          <t>21St Century Fox Class B</t>
        </is>
      </c>
      <c r="E581" t="n">
        <v>16215.68</v>
      </c>
      <c r="F581" t="inlineStr">
        <is>
          <t>-</t>
        </is>
      </c>
      <c r="G581" t="inlineStr">
        <is>
          <t>-</t>
        </is>
      </c>
      <c r="H581" t="inlineStr">
        <is>
          <t>-</t>
        </is>
      </c>
    </row>
    <row r="582">
      <c r="A582" s="78" t="inlineStr">
        <is>
          <t>Wednesday, February 8, 2023</t>
        </is>
      </c>
      <c r="B582" t="inlineStr">
        <is>
          <t>4:05 PM ET</t>
        </is>
      </c>
      <c r="C582" t="inlineStr">
        <is>
          <t>AEIS</t>
        </is>
      </c>
      <c r="D582" t="inlineStr">
        <is>
          <t>Advanced Energy Industries, Inc.</t>
        </is>
      </c>
      <c r="E582" t="n">
        <v>3454.57</v>
      </c>
      <c r="F582" t="inlineStr">
        <is>
          <t>$1.48</t>
        </is>
      </c>
      <c r="G582" t="inlineStr">
        <is>
          <t>$469.26 M</t>
        </is>
      </c>
      <c r="H582" t="inlineStr">
        <is>
          <t>18.2%</t>
        </is>
      </c>
    </row>
    <row r="583">
      <c r="A583" s="78" t="inlineStr">
        <is>
          <t>Wednesday, February 8, 2023</t>
        </is>
      </c>
      <c r="B583" t="inlineStr">
        <is>
          <t>4:05 PM ET</t>
        </is>
      </c>
      <c r="C583" t="inlineStr">
        <is>
          <t>AFRM</t>
        </is>
      </c>
      <c r="D583" t="inlineStr">
        <is>
          <t>Affirm Holdings, Inc.</t>
        </is>
      </c>
      <c r="E583" t="n">
        <v>3902.52</v>
      </c>
      <c r="F583" t="inlineStr">
        <is>
          <t>($1.00)</t>
        </is>
      </c>
      <c r="G583" t="inlineStr">
        <is>
          <t>$415.81 M</t>
        </is>
      </c>
      <c r="H583" t="inlineStr">
        <is>
          <t>15.2%</t>
        </is>
      </c>
    </row>
    <row r="584">
      <c r="A584" s="78" t="inlineStr">
        <is>
          <t>Wednesday, February 8, 2023</t>
        </is>
      </c>
      <c r="B584" t="inlineStr">
        <is>
          <t>5:10 PM ET</t>
        </is>
      </c>
      <c r="C584" t="inlineStr">
        <is>
          <t>UHAL</t>
        </is>
      </c>
      <c r="D584" t="inlineStr">
        <is>
          <t>AMERCO</t>
        </is>
      </c>
      <c r="E584" t="n">
        <v>12996.04</v>
      </c>
      <c r="F584" t="inlineStr">
        <is>
          <t>$1.45</t>
        </is>
      </c>
      <c r="G584" t="inlineStr">
        <is>
          <t>$1.61 B</t>
        </is>
      </c>
      <c r="H584" t="inlineStr">
        <is>
          <t>14.6%</t>
        </is>
      </c>
    </row>
    <row r="585">
      <c r="A585" s="78" t="inlineStr">
        <is>
          <t>Wednesday, February 8, 2023</t>
        </is>
      </c>
      <c r="B585" t="inlineStr">
        <is>
          <t>4:15 PM ET</t>
        </is>
      </c>
      <c r="C585" t="inlineStr">
        <is>
          <t>NLY</t>
        </is>
      </c>
      <c r="D585" t="inlineStr">
        <is>
          <t>Annaly Capital Management, Inc.</t>
        </is>
      </c>
      <c r="E585" t="n">
        <v>10526.97</v>
      </c>
      <c r="F585" t="inlineStr">
        <is>
          <t>$0.87</t>
        </is>
      </c>
      <c r="G585" t="inlineStr">
        <is>
          <t>$643.36 M</t>
        </is>
      </c>
      <c r="H585" t="inlineStr">
        <is>
          <t>52.2%</t>
        </is>
      </c>
    </row>
    <row r="586">
      <c r="A586" s="78" t="inlineStr">
        <is>
          <t>Wednesday, February 8, 2023</t>
        </is>
      </c>
      <c r="B586" t="inlineStr">
        <is>
          <t>4:15 PM ET</t>
        </is>
      </c>
      <c r="C586" t="inlineStr">
        <is>
          <t>ASGN</t>
        </is>
      </c>
      <c r="D586" t="inlineStr">
        <is>
          <t>ASGN Incorporated</t>
        </is>
      </c>
      <c r="E586" t="n">
        <v>4299.88</v>
      </c>
      <c r="F586" t="inlineStr">
        <is>
          <t>$1.50</t>
        </is>
      </c>
      <c r="G586" t="inlineStr">
        <is>
          <t>$1.14 B</t>
        </is>
      </c>
      <c r="H586" t="inlineStr">
        <is>
          <t>8.2%</t>
        </is>
      </c>
    </row>
    <row r="587">
      <c r="A587" s="78" t="inlineStr">
        <is>
          <t>Wednesday, February 8, 2023</t>
        </is>
      </c>
      <c r="B587" t="inlineStr">
        <is>
          <t>4:15 PM ET</t>
        </is>
      </c>
      <c r="C587" t="inlineStr">
        <is>
          <t>AVB</t>
        </is>
      </c>
      <c r="D587" t="inlineStr">
        <is>
          <t>AvalonBay Communities Inc.</t>
        </is>
      </c>
      <c r="E587" t="n">
        <v>23783.95</v>
      </c>
      <c r="F587" t="inlineStr">
        <is>
          <t>$2.58</t>
        </is>
      </c>
      <c r="G587" t="inlineStr">
        <is>
          <t>$671.22 M</t>
        </is>
      </c>
      <c r="H587" t="inlineStr">
        <is>
          <t>11.6%</t>
        </is>
      </c>
    </row>
    <row r="588">
      <c r="A588" s="78" t="inlineStr">
        <is>
          <t>Wednesday, February 8, 2023</t>
        </is>
      </c>
      <c r="B588" t="inlineStr">
        <is>
          <t>4:00 PM ET</t>
        </is>
      </c>
      <c r="C588" t="inlineStr">
        <is>
          <t>ACLS</t>
        </is>
      </c>
      <c r="D588" t="inlineStr">
        <is>
          <t>Axcelis Technologies, Inc.</t>
        </is>
      </c>
      <c r="E588" t="n">
        <v>3350.56</v>
      </c>
      <c r="F588" t="inlineStr">
        <is>
          <t>$1.46</t>
        </is>
      </c>
      <c r="G588" t="inlineStr">
        <is>
          <t>$235.97 M</t>
        </is>
      </c>
      <c r="H588" t="inlineStr">
        <is>
          <t>14.7%</t>
        </is>
      </c>
    </row>
    <row r="589">
      <c r="A589" s="78" t="inlineStr">
        <is>
          <t>Wednesday, February 8, 2023</t>
        </is>
      </c>
      <c r="B589" t="inlineStr">
        <is>
          <t>7:30 AM ET</t>
        </is>
      </c>
      <c r="C589" t="inlineStr">
        <is>
          <t>BDC</t>
        </is>
      </c>
      <c r="D589" t="inlineStr">
        <is>
          <t>Belden, Inc.</t>
        </is>
      </c>
      <c r="E589" t="n">
        <v>3439.86</v>
      </c>
      <c r="F589" t="inlineStr">
        <is>
          <t>$1.66</t>
        </is>
      </c>
      <c r="G589" t="inlineStr">
        <is>
          <t>$639.35 M</t>
        </is>
      </c>
      <c r="H589" t="inlineStr">
        <is>
          <t>0.1%</t>
        </is>
      </c>
    </row>
    <row r="590">
      <c r="A590" s="78" t="inlineStr">
        <is>
          <t>Wednesday, February 8, 2023</t>
        </is>
      </c>
      <c r="B590" t="inlineStr">
        <is>
          <t>6:45 AM ET</t>
        </is>
      </c>
      <c r="C590" t="inlineStr">
        <is>
          <t>BAM</t>
        </is>
      </c>
      <c r="D590" t="inlineStr">
        <is>
          <t>Brookfield Asset Management</t>
        </is>
      </c>
      <c r="E590" t="n">
        <v>13132.76</v>
      </c>
      <c r="F590" t="inlineStr">
        <is>
          <t>$0.30</t>
        </is>
      </c>
      <c r="G590" t="inlineStr">
        <is>
          <t>$11.42 B</t>
        </is>
      </c>
      <c r="H590" t="inlineStr">
        <is>
          <t>-47.6%</t>
        </is>
      </c>
    </row>
    <row r="591">
      <c r="A591" s="78" t="inlineStr">
        <is>
          <t>Wednesday, February 8, 2023</t>
        </is>
      </c>
      <c r="B591" t="inlineStr">
        <is>
          <t>4:05 PM ET</t>
        </is>
      </c>
      <c r="C591" t="inlineStr">
        <is>
          <t>BMBL</t>
        </is>
      </c>
      <c r="D591" t="inlineStr">
        <is>
          <t>Bumble Inc.</t>
        </is>
      </c>
      <c r="E591" t="n">
        <v>3068.6</v>
      </c>
      <c r="F591" t="inlineStr">
        <is>
          <t>($0.01)</t>
        </is>
      </c>
      <c r="G591" t="inlineStr">
        <is>
          <t>$237.77 M</t>
        </is>
      </c>
      <c r="H591" t="inlineStr">
        <is>
          <t>14.2%</t>
        </is>
      </c>
    </row>
    <row r="592">
      <c r="A592" s="78" t="inlineStr">
        <is>
          <t>Wednesday, February 8, 2023</t>
        </is>
      </c>
      <c r="B592" t="inlineStr">
        <is>
          <t>6:00 AM ET</t>
        </is>
      </c>
      <c r="C592" t="inlineStr">
        <is>
          <t>BG</t>
        </is>
      </c>
      <c r="D592" t="inlineStr">
        <is>
          <t>Bunge Ltd.</t>
        </is>
      </c>
      <c r="E592" t="n">
        <v>15159.78</v>
      </c>
      <c r="F592" t="inlineStr">
        <is>
          <t>$3.17</t>
        </is>
      </c>
      <c r="G592" t="inlineStr">
        <is>
          <t>$18.18 B</t>
        </is>
      </c>
      <c r="H592" t="inlineStr">
        <is>
          <t>9.0%</t>
        </is>
      </c>
    </row>
    <row r="593">
      <c r="A593" s="78" t="inlineStr">
        <is>
          <t>Wednesday, February 8, 2023</t>
        </is>
      </c>
      <c r="B593" t="inlineStr">
        <is>
          <t>6:45 AM ET</t>
        </is>
      </c>
      <c r="C593" t="inlineStr">
        <is>
          <t>CPRI</t>
        </is>
      </c>
      <c r="D593" t="inlineStr">
        <is>
          <t>Capri Holdings Limited</t>
        </is>
      </c>
      <c r="E593" t="n">
        <v>8160.33</v>
      </c>
      <c r="F593" t="inlineStr">
        <is>
          <t>$2.21</t>
        </is>
      </c>
      <c r="G593" t="inlineStr">
        <is>
          <t>$1.54 B</t>
        </is>
      </c>
      <c r="H593" t="inlineStr">
        <is>
          <t>-4.3%</t>
        </is>
      </c>
    </row>
    <row r="594">
      <c r="A594" s="78" t="inlineStr">
        <is>
          <t>Wednesday, February 8, 2023</t>
        </is>
      </c>
      <c r="B594" t="inlineStr">
        <is>
          <t>7:00 AM ET</t>
        </is>
      </c>
      <c r="C594" t="inlineStr">
        <is>
          <t>CDW</t>
        </is>
      </c>
      <c r="D594" t="inlineStr">
        <is>
          <t>CDW Corp</t>
        </is>
      </c>
      <c r="E594" t="n">
        <v>26755.96</v>
      </c>
      <c r="F594" t="inlineStr">
        <is>
          <t>$2.36</t>
        </is>
      </c>
      <c r="G594" t="inlineStr">
        <is>
          <t>$6.18 B</t>
        </is>
      </c>
      <c r="H594" t="inlineStr">
        <is>
          <t>11.6%</t>
        </is>
      </c>
    </row>
    <row r="595">
      <c r="A595" s="78" t="inlineStr">
        <is>
          <t>Wednesday, February 8, 2023</t>
        </is>
      </c>
      <c r="B595" t="inlineStr">
        <is>
          <t>4:00 PM ET</t>
        </is>
      </c>
      <c r="C595" t="inlineStr">
        <is>
          <t>CELH</t>
        </is>
      </c>
      <c r="D595" t="inlineStr">
        <is>
          <t>Celsius Holdings, Inc.</t>
        </is>
      </c>
      <c r="E595" t="n">
        <v>8589.059999999999</v>
      </c>
      <c r="F595" t="inlineStr">
        <is>
          <t>($0.05)</t>
        </is>
      </c>
      <c r="G595" t="inlineStr">
        <is>
          <t>$174.48 M</t>
        </is>
      </c>
      <c r="H595" t="inlineStr">
        <is>
          <t>67.4%</t>
        </is>
      </c>
    </row>
    <row r="596">
      <c r="A596" s="78" t="inlineStr">
        <is>
          <t>Wednesday, February 8, 2023</t>
        </is>
      </c>
      <c r="B596" t="inlineStr">
        <is>
          <t>4:15 PM ET</t>
        </is>
      </c>
      <c r="C596" t="inlineStr">
        <is>
          <t>CDAY</t>
        </is>
      </c>
      <c r="D596" t="inlineStr">
        <is>
          <t>Ceridian HCM Holding Inc.</t>
        </is>
      </c>
      <c r="E596" t="n">
        <v>10280.58</v>
      </c>
      <c r="F596" t="inlineStr">
        <is>
          <t>($0.09)</t>
        </is>
      </c>
      <c r="G596" t="inlineStr">
        <is>
          <t>$440.42 M</t>
        </is>
      </c>
      <c r="H596" t="inlineStr">
        <is>
          <t>56.1%</t>
        </is>
      </c>
    </row>
    <row r="597">
      <c r="A597" s="78" t="inlineStr">
        <is>
          <t>Wednesday, February 8, 2023</t>
        </is>
      </c>
      <c r="B597" t="inlineStr">
        <is>
          <t>7:00 AM ET</t>
        </is>
      </c>
      <c r="C597" t="inlineStr">
        <is>
          <t>CME</t>
        </is>
      </c>
      <c r="D597" t="inlineStr">
        <is>
          <t>CME Group Inc</t>
        </is>
      </c>
      <c r="E597" t="n">
        <v>63308.55</v>
      </c>
      <c r="F597" t="inlineStr">
        <is>
          <t>$1.90</t>
        </is>
      </c>
      <c r="G597" t="inlineStr">
        <is>
          <t>$1.24 B</t>
        </is>
      </c>
      <c r="H597" t="inlineStr">
        <is>
          <t>8.1%</t>
        </is>
      </c>
    </row>
    <row r="598">
      <c r="A598" s="78" t="inlineStr">
        <is>
          <t>Wednesday, February 8, 2023</t>
        </is>
      </c>
      <c r="B598" t="inlineStr">
        <is>
          <t>6:00 AM ET</t>
        </is>
      </c>
      <c r="C598" t="inlineStr">
        <is>
          <t>COHR</t>
        </is>
      </c>
      <c r="D598" t="inlineStr">
        <is>
          <t>Coherent Inc.</t>
        </is>
      </c>
      <c r="E598" t="n">
        <v>5892.94</v>
      </c>
      <c r="F598" t="inlineStr">
        <is>
          <t>$0.74</t>
        </is>
      </c>
      <c r="G598" t="inlineStr">
        <is>
          <t>$1.37 B</t>
        </is>
      </c>
      <c r="H598" t="inlineStr">
        <is>
          <t>256.3%</t>
        </is>
      </c>
    </row>
    <row r="599">
      <c r="A599" s="78" t="inlineStr">
        <is>
          <t>Wednesday, February 8, 2023</t>
        </is>
      </c>
      <c r="B599" t="inlineStr">
        <is>
          <t>6:00 AM ET</t>
        </is>
      </c>
      <c r="C599" t="inlineStr">
        <is>
          <t>CRBG</t>
        </is>
      </c>
      <c r="D599" t="inlineStr">
        <is>
          <t>COREBRIDGE FINL</t>
        </is>
      </c>
      <c r="E599" t="n">
        <v>13699.8</v>
      </c>
      <c r="F599" t="inlineStr">
        <is>
          <t>$0.74</t>
        </is>
      </c>
      <c r="G599" t="inlineStr">
        <is>
          <t>$5.30 B</t>
        </is>
      </c>
      <c r="H599" t="inlineStr">
        <is>
          <t>-</t>
        </is>
      </c>
    </row>
    <row r="600">
      <c r="A600" s="78" t="inlineStr">
        <is>
          <t>Wednesday, February 8, 2023</t>
        </is>
      </c>
      <c r="B600" t="inlineStr">
        <is>
          <t>4:05 PM ET</t>
        </is>
      </c>
      <c r="C600" t="inlineStr">
        <is>
          <t>CPNG</t>
        </is>
      </c>
      <c r="D600" t="inlineStr">
        <is>
          <t>Coupang, Inc.</t>
        </is>
      </c>
      <c r="E600" t="n">
        <v>30095.07</v>
      </c>
      <c r="F600" t="inlineStr">
        <is>
          <t>$0.05</t>
        </is>
      </c>
      <c r="G600" t="inlineStr">
        <is>
          <t>$5.51 B</t>
        </is>
      </c>
      <c r="H600" t="inlineStr">
        <is>
          <t>8.5%</t>
        </is>
      </c>
    </row>
    <row r="601">
      <c r="A601" s="78" t="inlineStr">
        <is>
          <t>Wednesday, February 8, 2023</t>
        </is>
      </c>
      <c r="B601" t="inlineStr">
        <is>
          <t>6:30 AM ET</t>
        </is>
      </c>
      <c r="C601" t="inlineStr">
        <is>
          <t>CVS</t>
        </is>
      </c>
      <c r="D601" t="inlineStr">
        <is>
          <t>CVS Health</t>
        </is>
      </c>
      <c r="E601" t="n">
        <v>117429.23</v>
      </c>
      <c r="F601" t="inlineStr">
        <is>
          <t>$1.91</t>
        </is>
      </c>
      <c r="G601" t="inlineStr">
        <is>
          <t>$76.21 B</t>
        </is>
      </c>
      <c r="H601" t="inlineStr">
        <is>
          <t>-0.5%</t>
        </is>
      </c>
    </row>
    <row r="602">
      <c r="A602" s="78" t="inlineStr">
        <is>
          <t>Wednesday, February 8, 2023</t>
        </is>
      </c>
      <c r="B602" t="inlineStr">
        <is>
          <t>4:15 PM ET</t>
        </is>
      </c>
      <c r="C602" t="inlineStr">
        <is>
          <t>DCP</t>
        </is>
      </c>
      <c r="D602" t="inlineStr">
        <is>
          <t>DCP Midstream, LP</t>
        </is>
      </c>
      <c r="E602" t="n">
        <v>8748.49</v>
      </c>
      <c r="F602" t="inlineStr">
        <is>
          <t>$1.06</t>
        </is>
      </c>
      <c r="G602" t="inlineStr">
        <is>
          <t>$3.13 B</t>
        </is>
      </c>
      <c r="H602" t="inlineStr">
        <is>
          <t>-10.0%</t>
        </is>
      </c>
    </row>
    <row r="603">
      <c r="A603" s="78" t="inlineStr">
        <is>
          <t>Wednesday, February 8, 2023</t>
        </is>
      </c>
      <c r="B603" t="inlineStr">
        <is>
          <t>7:30 AM ET</t>
        </is>
      </c>
      <c r="C603" t="inlineStr">
        <is>
          <t>D</t>
        </is>
      </c>
      <c r="D603" t="inlineStr">
        <is>
          <t>Dominion Energy, Inc.</t>
        </is>
      </c>
      <c r="E603" t="n">
        <v>52096.37</v>
      </c>
      <c r="F603" t="inlineStr">
        <is>
          <t>$1.05</t>
        </is>
      </c>
      <c r="G603" t="inlineStr">
        <is>
          <t>$4.10 B</t>
        </is>
      </c>
      <c r="H603" t="inlineStr">
        <is>
          <t>5.7%</t>
        </is>
      </c>
    </row>
    <row r="604">
      <c r="A604" s="78" t="inlineStr">
        <is>
          <t>Wednesday, February 8, 2023</t>
        </is>
      </c>
      <c r="B604" t="inlineStr">
        <is>
          <t>6:30 AM ET</t>
        </is>
      </c>
      <c r="C604" t="inlineStr">
        <is>
          <t>EMR</t>
        </is>
      </c>
      <c r="D604" t="inlineStr">
        <is>
          <t>Emerson Electric Co.</t>
        </is>
      </c>
      <c r="E604" t="n">
        <v>53959.34</v>
      </c>
      <c r="F604" t="inlineStr">
        <is>
          <t>$0.88</t>
        </is>
      </c>
      <c r="G604" t="inlineStr">
        <is>
          <t>$3.73 B</t>
        </is>
      </c>
      <c r="H604" t="inlineStr">
        <is>
          <t>-16.6%</t>
        </is>
      </c>
    </row>
    <row r="605">
      <c r="A605" s="78" t="inlineStr">
        <is>
          <t>Wednesday, February 8, 2023</t>
        </is>
      </c>
      <c r="B605" t="inlineStr">
        <is>
          <t>4:15 PM ET</t>
        </is>
      </c>
      <c r="C605" t="inlineStr">
        <is>
          <t>ENS</t>
        </is>
      </c>
      <c r="D605" t="inlineStr">
        <is>
          <t>EnerSys</t>
        </is>
      </c>
      <c r="E605" t="n">
        <v>3293.72</v>
      </c>
      <c r="F605" t="inlineStr">
        <is>
          <t>$1.24</t>
        </is>
      </c>
      <c r="G605" t="inlineStr">
        <is>
          <t>$914.91 M</t>
        </is>
      </c>
      <c r="H605" t="inlineStr">
        <is>
          <t>8.4%</t>
        </is>
      </c>
    </row>
    <row r="606">
      <c r="A606" s="78" t="inlineStr">
        <is>
          <t>Wednesday, February 8, 2023</t>
        </is>
      </c>
      <c r="B606" t="inlineStr">
        <is>
          <t>4:00 PM ET</t>
        </is>
      </c>
      <c r="C606" t="inlineStr">
        <is>
          <t>ENSG</t>
        </is>
      </c>
      <c r="D606" t="inlineStr">
        <is>
          <t>Ensign Group, Inc.</t>
        </is>
      </c>
      <c r="E606" t="n">
        <v>5250.48</v>
      </c>
      <c r="F606" t="inlineStr">
        <is>
          <t>$1.02</t>
        </is>
      </c>
      <c r="G606" t="inlineStr">
        <is>
          <t>$777.12 M</t>
        </is>
      </c>
      <c r="H606" t="inlineStr">
        <is>
          <t>12.1%</t>
        </is>
      </c>
    </row>
    <row r="607">
      <c r="A607" s="78" t="inlineStr">
        <is>
          <t>Wednesday, February 8, 2023</t>
        </is>
      </c>
      <c r="B607" t="inlineStr">
        <is>
          <t>4:10 PM ET</t>
        </is>
      </c>
      <c r="C607" t="inlineStr">
        <is>
          <t>NVST</t>
        </is>
      </c>
      <c r="D607" t="inlineStr">
        <is>
          <t>Envista Holdings Corporation</t>
        </is>
      </c>
      <c r="E607" t="n">
        <v>5820.71</v>
      </c>
      <c r="F607" t="inlineStr">
        <is>
          <t>$0.49</t>
        </is>
      </c>
      <c r="G607" t="inlineStr">
        <is>
          <t>$677.34 M</t>
        </is>
      </c>
      <c r="H607" t="inlineStr">
        <is>
          <t>3.9%</t>
        </is>
      </c>
    </row>
    <row r="608">
      <c r="A608" s="78" t="inlineStr">
        <is>
          <t>Wednesday, February 8, 2023</t>
        </is>
      </c>
      <c r="B608" t="inlineStr">
        <is>
          <t>4:25 PM ET</t>
        </is>
      </c>
      <c r="C608" t="inlineStr">
        <is>
          <t>EFX</t>
        </is>
      </c>
      <c r="D608" t="inlineStr">
        <is>
          <t>Equifax Inc.</t>
        </is>
      </c>
      <c r="E608" t="n">
        <v>26457.58</v>
      </c>
      <c r="F608" t="inlineStr">
        <is>
          <t>$1.48</t>
        </is>
      </c>
      <c r="G608" t="inlineStr">
        <is>
          <t>$1.19 B</t>
        </is>
      </c>
      <c r="H608" t="inlineStr">
        <is>
          <t>-5.0%</t>
        </is>
      </c>
    </row>
    <row r="609">
      <c r="A609" s="78" t="inlineStr">
        <is>
          <t>Wednesday, February 8, 2023</t>
        </is>
      </c>
      <c r="B609" t="inlineStr">
        <is>
          <t>4:15 PM ET</t>
        </is>
      </c>
      <c r="C609" t="inlineStr">
        <is>
          <t>RE</t>
        </is>
      </c>
      <c r="D609" t="inlineStr">
        <is>
          <t>Everest Re Group Ltd.</t>
        </is>
      </c>
      <c r="E609" t="n">
        <v>13577.34</v>
      </c>
      <c r="F609" t="inlineStr">
        <is>
          <t>$8.96</t>
        </is>
      </c>
      <c r="G609" t="inlineStr">
        <is>
          <t>$3.31 B</t>
        </is>
      </c>
      <c r="H609" t="inlineStr">
        <is>
          <t>6.1%</t>
        </is>
      </c>
    </row>
    <row r="610">
      <c r="A610" s="78" t="inlineStr">
        <is>
          <t>Wednesday, February 8, 2023</t>
        </is>
      </c>
      <c r="B610" t="inlineStr">
        <is>
          <t>4:15 PM ET</t>
        </is>
      </c>
      <c r="C610" t="inlineStr">
        <is>
          <t>FICO</t>
        </is>
      </c>
      <c r="D610" t="inlineStr">
        <is>
          <t>FICO</t>
        </is>
      </c>
      <c r="E610" t="n">
        <v>15681.69</v>
      </c>
      <c r="F610" t="inlineStr">
        <is>
          <t>$3.20</t>
        </is>
      </c>
      <c r="G610" t="inlineStr">
        <is>
          <t>$346.02 M</t>
        </is>
      </c>
      <c r="H610" t="inlineStr">
        <is>
          <t>-</t>
        </is>
      </c>
    </row>
    <row r="611">
      <c r="A611" s="78" t="inlineStr">
        <is>
          <t>Wednesday, February 8, 2023</t>
        </is>
      </c>
      <c r="B611" t="inlineStr">
        <is>
          <t>5:00 PM ET</t>
        </is>
      </c>
      <c r="C611" t="inlineStr">
        <is>
          <t>FR</t>
        </is>
      </c>
      <c r="D611" t="inlineStr">
        <is>
          <t>First Industrial Realty Trust, Inc.</t>
        </is>
      </c>
      <c r="E611" t="n">
        <v>6774.57</v>
      </c>
      <c r="F611" t="inlineStr">
        <is>
          <t>$0.57</t>
        </is>
      </c>
      <c r="G611" t="inlineStr">
        <is>
          <t>$136.55 M</t>
        </is>
      </c>
      <c r="H611" t="inlineStr">
        <is>
          <t>12.3%</t>
        </is>
      </c>
    </row>
    <row r="612">
      <c r="A612" s="78" t="inlineStr">
        <is>
          <t>Wednesday, February 8, 2023</t>
        </is>
      </c>
      <c r="B612" t="inlineStr">
        <is>
          <t>8:00 AM ET</t>
        </is>
      </c>
      <c r="C612" t="inlineStr">
        <is>
          <t>FOXA</t>
        </is>
      </c>
      <c r="D612" t="inlineStr">
        <is>
          <t>Fox Corporation</t>
        </is>
      </c>
      <c r="E612" t="n">
        <v>17241.38</v>
      </c>
      <c r="F612" t="inlineStr">
        <is>
          <t>$0.49</t>
        </is>
      </c>
      <c r="G612" t="inlineStr">
        <is>
          <t>$4.58 B</t>
        </is>
      </c>
      <c r="H612" t="inlineStr">
        <is>
          <t>3.1%</t>
        </is>
      </c>
    </row>
    <row r="613">
      <c r="A613" s="78" t="inlineStr">
        <is>
          <t>Wednesday, February 8, 2023</t>
        </is>
      </c>
      <c r="B613" t="inlineStr">
        <is>
          <t>7:10 PM ET</t>
        </is>
      </c>
      <c r="C613" t="inlineStr">
        <is>
          <t>GRP.U</t>
        </is>
      </c>
      <c r="D613" t="inlineStr">
        <is>
          <t>Granite Real Estate Investment Trust</t>
        </is>
      </c>
      <c r="E613" t="n">
        <v>3626.25</v>
      </c>
      <c r="F613" t="inlineStr">
        <is>
          <t>$0.89</t>
        </is>
      </c>
      <c r="G613" t="inlineStr">
        <is>
          <t>-</t>
        </is>
      </c>
      <c r="H613" t="inlineStr">
        <is>
          <t>-</t>
        </is>
      </c>
    </row>
    <row r="614">
      <c r="A614" s="78" t="inlineStr">
        <is>
          <t>Wednesday, February 8, 2023</t>
        </is>
      </c>
      <c r="B614" t="inlineStr">
        <is>
          <t>4:25 PM ET</t>
        </is>
      </c>
      <c r="C614" t="inlineStr">
        <is>
          <t>HI</t>
        </is>
      </c>
      <c r="D614" t="inlineStr">
        <is>
          <t>Hillenbrand, Inc.</t>
        </is>
      </c>
      <c r="E614" t="n">
        <v>3186.11</v>
      </c>
      <c r="F614" t="inlineStr">
        <is>
          <t>$0.91</t>
        </is>
      </c>
      <c r="G614" t="inlineStr">
        <is>
          <t>-</t>
        </is>
      </c>
      <c r="H614" t="inlineStr">
        <is>
          <t>-</t>
        </is>
      </c>
    </row>
    <row r="615">
      <c r="A615" s="78" t="inlineStr">
        <is>
          <t>Wednesday, February 8, 2023</t>
        </is>
      </c>
      <c r="B615" t="inlineStr">
        <is>
          <t>7:30 AM ET</t>
        </is>
      </c>
      <c r="C615" t="inlineStr">
        <is>
          <t>HGV</t>
        </is>
      </c>
      <c r="D615" t="inlineStr">
        <is>
          <t>Hilton Grand Vacations Inc.</t>
        </is>
      </c>
      <c r="E615" t="n">
        <v>5110.87</v>
      </c>
      <c r="F615" t="inlineStr">
        <is>
          <t>$0.77</t>
        </is>
      </c>
      <c r="G615" t="inlineStr">
        <is>
          <t>$977.83 M</t>
        </is>
      </c>
      <c r="H615" t="inlineStr">
        <is>
          <t>16.7%</t>
        </is>
      </c>
    </row>
    <row r="616">
      <c r="A616" s="78" t="inlineStr">
        <is>
          <t>Wednesday, February 8, 2023</t>
        </is>
      </c>
      <c r="B616" t="inlineStr">
        <is>
          <t>8:50 AM ET</t>
        </is>
      </c>
      <c r="C616" t="inlineStr">
        <is>
          <t>HMC</t>
        </is>
      </c>
      <c r="D616" t="inlineStr">
        <is>
          <t>Honda Motor Co., Ltd.</t>
        </is>
      </c>
      <c r="E616" t="n">
        <v>41020.2</v>
      </c>
      <c r="F616" t="inlineStr">
        <is>
          <t>$0.97</t>
        </is>
      </c>
      <c r="G616" t="inlineStr">
        <is>
          <t>$33.49 B</t>
        </is>
      </c>
      <c r="H616" t="inlineStr">
        <is>
          <t>3.1%</t>
        </is>
      </c>
    </row>
    <row r="617">
      <c r="A617" s="78" t="inlineStr">
        <is>
          <t>Wednesday, February 8, 2023</t>
        </is>
      </c>
      <c r="B617" t="inlineStr">
        <is>
          <t>4:15 PM ET</t>
        </is>
      </c>
      <c r="C617" t="inlineStr">
        <is>
          <t>PI</t>
        </is>
      </c>
      <c r="D617" t="inlineStr">
        <is>
          <t>Impinj, Inc.</t>
        </is>
      </c>
      <c r="E617" t="n">
        <v>3304.42</v>
      </c>
      <c r="F617" t="inlineStr">
        <is>
          <t>$0.00</t>
        </is>
      </c>
      <c r="G617" t="inlineStr">
        <is>
          <t>$68.41 M</t>
        </is>
      </c>
      <c r="H617" t="inlineStr">
        <is>
          <t>30.1%</t>
        </is>
      </c>
    </row>
    <row r="618">
      <c r="A618" s="78" t="inlineStr">
        <is>
          <t>Wednesday, February 8, 2023</t>
        </is>
      </c>
      <c r="B618" t="inlineStr">
        <is>
          <t>6:05 AM ET</t>
        </is>
      </c>
      <c r="C618" t="inlineStr">
        <is>
          <t>INGR</t>
        </is>
      </c>
      <c r="D618" t="inlineStr">
        <is>
          <t>Ingredion Incorporated</t>
        </is>
      </c>
      <c r="E618" t="n">
        <v>6846.6</v>
      </c>
      <c r="F618" t="inlineStr">
        <is>
          <t>-</t>
        </is>
      </c>
      <c r="G618" t="inlineStr">
        <is>
          <t>-</t>
        </is>
      </c>
      <c r="H618" t="inlineStr">
        <is>
          <t>-</t>
        </is>
      </c>
    </row>
    <row r="619">
      <c r="A619" s="78" t="inlineStr">
        <is>
          <t>Wednesday, February 8, 2023</t>
        </is>
      </c>
      <c r="B619" t="inlineStr">
        <is>
          <t>4:05 PM ET</t>
        </is>
      </c>
      <c r="C619" t="inlineStr">
        <is>
          <t>IPAR</t>
        </is>
      </c>
      <c r="D619" t="inlineStr">
        <is>
          <t>Inter Parfums Inc.</t>
        </is>
      </c>
      <c r="E619" t="n">
        <v>3527.99</v>
      </c>
      <c r="F619" t="inlineStr">
        <is>
          <t>$0.29</t>
        </is>
      </c>
      <c r="G619" t="inlineStr">
        <is>
          <t>$238.46 M</t>
        </is>
      </c>
      <c r="H619" t="inlineStr">
        <is>
          <t>13.2%</t>
        </is>
      </c>
    </row>
    <row r="620">
      <c r="A620" s="78" t="inlineStr">
        <is>
          <t>Wednesday, February 8, 2023</t>
        </is>
      </c>
      <c r="B620" t="inlineStr">
        <is>
          <t>4:15 PM ET</t>
        </is>
      </c>
      <c r="C620" t="inlineStr">
        <is>
          <t>IFF</t>
        </is>
      </c>
      <c r="D620" t="inlineStr">
        <is>
          <t>International Flavors &amp; Fragrances, Inc</t>
        </is>
      </c>
      <c r="E620" t="n">
        <v>29723.5</v>
      </c>
      <c r="F620" t="inlineStr">
        <is>
          <t>$0.95</t>
        </is>
      </c>
      <c r="G620" t="inlineStr">
        <is>
          <t>$3.01 B</t>
        </is>
      </c>
      <c r="H620" t="inlineStr">
        <is>
          <t>-0.7%</t>
        </is>
      </c>
    </row>
    <row r="621">
      <c r="A621" s="78" t="inlineStr">
        <is>
          <t>Wednesday, February 8, 2023</t>
        </is>
      </c>
      <c r="B621" t="inlineStr">
        <is>
          <t>4:05 PM ET</t>
        </is>
      </c>
      <c r="C621" t="inlineStr">
        <is>
          <t>JAZZ</t>
        </is>
      </c>
      <c r="D621" t="inlineStr">
        <is>
          <t>Jazz Pharmaceuticals Inc</t>
        </is>
      </c>
      <c r="E621" t="n">
        <v>9808.889999999999</v>
      </c>
      <c r="F621" t="inlineStr">
        <is>
          <t>$3.96</t>
        </is>
      </c>
      <c r="G621" t="inlineStr">
        <is>
          <t>$965.36 M</t>
        </is>
      </c>
      <c r="H621" t="inlineStr">
        <is>
          <t>7.7%</t>
        </is>
      </c>
    </row>
    <row r="622">
      <c r="A622" s="78" t="inlineStr">
        <is>
          <t>Wednesday, February 8, 2023</t>
        </is>
      </c>
      <c r="B622" t="inlineStr">
        <is>
          <t>6:45 AM ET</t>
        </is>
      </c>
      <c r="C622" t="inlineStr">
        <is>
          <t>LTH</t>
        </is>
      </c>
      <c r="D622" t="inlineStr">
        <is>
          <t>Life Time Group Holdings Inc</t>
        </is>
      </c>
      <c r="E622" t="n">
        <v>3390.53</v>
      </c>
      <c r="F622" t="inlineStr">
        <is>
          <t>$0.03</t>
        </is>
      </c>
      <c r="G622" t="inlineStr">
        <is>
          <t>$474.56 M</t>
        </is>
      </c>
      <c r="H622" t="inlineStr">
        <is>
          <t>31.6%</t>
        </is>
      </c>
    </row>
    <row r="623">
      <c r="A623" s="78" t="inlineStr">
        <is>
          <t>Wednesday, February 8, 2023</t>
        </is>
      </c>
      <c r="B623" t="inlineStr">
        <is>
          <t>4:05 PM ET</t>
        </is>
      </c>
      <c r="C623" t="inlineStr">
        <is>
          <t>LNW</t>
        </is>
      </c>
      <c r="D623" t="inlineStr">
        <is>
          <t>LIGHT&amp;WONDER</t>
        </is>
      </c>
      <c r="E623" t="n">
        <v>5902.37</v>
      </c>
      <c r="F623" t="inlineStr">
        <is>
          <t>$0.37</t>
        </is>
      </c>
      <c r="G623" t="inlineStr">
        <is>
          <t>$654.53 M</t>
        </is>
      </c>
      <c r="H623" t="inlineStr">
        <is>
          <t>-</t>
        </is>
      </c>
    </row>
    <row r="624">
      <c r="A624" s="78" t="inlineStr">
        <is>
          <t>Wednesday, February 8, 2023</t>
        </is>
      </c>
      <c r="B624" t="inlineStr">
        <is>
          <t>4:15 PM ET</t>
        </is>
      </c>
      <c r="C624" t="inlineStr">
        <is>
          <t>LNC</t>
        </is>
      </c>
      <c r="D624" t="inlineStr">
        <is>
          <t>Lincoln National Corp.</t>
        </is>
      </c>
      <c r="E624" t="n">
        <v>5309.98</v>
      </c>
      <c r="F624" t="inlineStr">
        <is>
          <t>$1.98</t>
        </is>
      </c>
      <c r="G624" t="inlineStr">
        <is>
          <t>$4.46 B</t>
        </is>
      </c>
      <c r="H624" t="inlineStr">
        <is>
          <t>-3.1%</t>
        </is>
      </c>
    </row>
    <row r="625">
      <c r="A625" s="78" t="inlineStr">
        <is>
          <t>Wednesday, February 8, 2023</t>
        </is>
      </c>
      <c r="B625" t="inlineStr">
        <is>
          <t>5:00 AM ET</t>
        </is>
      </c>
      <c r="C625" t="inlineStr">
        <is>
          <t>LAD</t>
        </is>
      </c>
      <c r="D625" t="inlineStr">
        <is>
          <t>Lithia &amp; Driveway</t>
        </is>
      </c>
      <c r="E625" t="n">
        <v>6374.5</v>
      </c>
      <c r="F625" t="inlineStr">
        <is>
          <t>$9.98</t>
        </is>
      </c>
      <c r="G625" t="inlineStr">
        <is>
          <t>$7.18 B</t>
        </is>
      </c>
      <c r="H625" t="inlineStr">
        <is>
          <t>13.8%</t>
        </is>
      </c>
    </row>
    <row r="626">
      <c r="A626" s="78" t="inlineStr">
        <is>
          <t>Wednesday, February 8, 2023</t>
        </is>
      </c>
      <c r="B626" t="inlineStr">
        <is>
          <t>4:05 PM ET</t>
        </is>
      </c>
      <c r="C626" t="inlineStr">
        <is>
          <t>MQ</t>
        </is>
      </c>
      <c r="D626" t="inlineStr">
        <is>
          <t>Marqeta, Inc.</t>
        </is>
      </c>
      <c r="E626" t="n">
        <v>3564.97</v>
      </c>
      <c r="F626" t="inlineStr">
        <is>
          <t>($0.10)</t>
        </is>
      </c>
      <c r="G626" t="inlineStr">
        <is>
          <t>$190.51 M</t>
        </is>
      </c>
      <c r="H626" t="inlineStr">
        <is>
          <t>22.6%</t>
        </is>
      </c>
    </row>
    <row r="627">
      <c r="A627" s="78" t="inlineStr">
        <is>
          <t>Wednesday, February 8, 2023</t>
        </is>
      </c>
      <c r="B627" t="inlineStr">
        <is>
          <t>4:05 PM ET</t>
        </is>
      </c>
      <c r="C627" t="inlineStr">
        <is>
          <t>MAT</t>
        </is>
      </c>
      <c r="D627" t="inlineStr">
        <is>
          <t>Mattel, Inc.</t>
        </is>
      </c>
      <c r="E627" t="n">
        <v>7045.5</v>
      </c>
      <c r="F627" t="inlineStr">
        <is>
          <t>$0.28</t>
        </is>
      </c>
      <c r="G627" t="inlineStr">
        <is>
          <t>$1.70 B</t>
        </is>
      </c>
      <c r="H627" t="inlineStr">
        <is>
          <t>-5.3%</t>
        </is>
      </c>
    </row>
    <row r="628">
      <c r="A628" s="78" t="inlineStr">
        <is>
          <t>Wednesday, February 8, 2023</t>
        </is>
      </c>
      <c r="B628" t="inlineStr">
        <is>
          <t>4:45 PM ET</t>
        </is>
      </c>
      <c r="C628" t="inlineStr">
        <is>
          <t>MMS</t>
        </is>
      </c>
      <c r="D628" t="inlineStr">
        <is>
          <t>MAXIMUS, Inc.</t>
        </is>
      </c>
      <c r="E628" t="n">
        <v>4440.7</v>
      </c>
      <c r="F628" t="inlineStr">
        <is>
          <t>$0.79</t>
        </is>
      </c>
      <c r="G628" t="inlineStr">
        <is>
          <t>$1.15 B</t>
        </is>
      </c>
      <c r="H628" t="inlineStr">
        <is>
          <t>-0.1%</t>
        </is>
      </c>
    </row>
    <row r="629">
      <c r="A629" s="78" t="inlineStr">
        <is>
          <t>Wednesday, February 8, 2023</t>
        </is>
      </c>
      <c r="B629" t="inlineStr">
        <is>
          <t>7:25 AM ET</t>
        </is>
      </c>
      <c r="C629" t="inlineStr">
        <is>
          <t>MDU</t>
        </is>
      </c>
      <c r="D629" t="inlineStr">
        <is>
          <t>MDU Resources Group, Inc.</t>
        </is>
      </c>
      <c r="E629" t="n">
        <v>6232.7</v>
      </c>
      <c r="F629" t="inlineStr">
        <is>
          <t>$0.51</t>
        </is>
      </c>
      <c r="G629" t="inlineStr">
        <is>
          <t>-</t>
        </is>
      </c>
      <c r="H629" t="inlineStr">
        <is>
          <t>-</t>
        </is>
      </c>
    </row>
    <row r="630">
      <c r="A630" s="78" t="inlineStr">
        <is>
          <t>Wednesday, February 8, 2023</t>
        </is>
      </c>
      <c r="B630" t="inlineStr">
        <is>
          <t>4:15 PM ET</t>
        </is>
      </c>
      <c r="C630" t="inlineStr">
        <is>
          <t>MGM</t>
        </is>
      </c>
      <c r="D630" t="inlineStr">
        <is>
          <t>MGM Resorts International</t>
        </is>
      </c>
      <c r="E630" t="n">
        <v>14965.27</v>
      </c>
      <c r="F630" t="inlineStr">
        <is>
          <t>($1.64)</t>
        </is>
      </c>
      <c r="G630" t="inlineStr">
        <is>
          <t>$3.31 B</t>
        </is>
      </c>
      <c r="H630" t="inlineStr">
        <is>
          <t>8.3%</t>
        </is>
      </c>
    </row>
    <row r="631">
      <c r="A631" s="78" t="inlineStr">
        <is>
          <t>Wednesday, February 8, 2023</t>
        </is>
      </c>
      <c r="B631" t="inlineStr">
        <is>
          <t>4:15 PM ET</t>
        </is>
      </c>
      <c r="C631" t="inlineStr">
        <is>
          <t>MC</t>
        </is>
      </c>
      <c r="D631" t="inlineStr">
        <is>
          <t>Moelis &amp; Company</t>
        </is>
      </c>
      <c r="E631" t="n">
        <v>3079.53</v>
      </c>
      <c r="F631" t="inlineStr">
        <is>
          <t>$0.37</t>
        </is>
      </c>
      <c r="G631" t="inlineStr">
        <is>
          <t>$244.80 M</t>
        </is>
      </c>
      <c r="H631" t="inlineStr">
        <is>
          <t>-42.4%</t>
        </is>
      </c>
    </row>
    <row r="632">
      <c r="A632" s="78" t="inlineStr">
        <is>
          <t>Wednesday, February 8, 2023</t>
        </is>
      </c>
      <c r="B632" t="inlineStr">
        <is>
          <t>4:15 PM ET</t>
        </is>
      </c>
      <c r="C632" t="inlineStr">
        <is>
          <t>MOH</t>
        </is>
      </c>
      <c r="D632" t="inlineStr">
        <is>
          <t>Molina Healthcare Inc.</t>
        </is>
      </c>
      <c r="E632" t="n">
        <v>17480.29</v>
      </c>
      <c r="F632" t="inlineStr">
        <is>
          <t>$4.06</t>
        </is>
      </c>
      <c r="G632" t="inlineStr">
        <is>
          <t>$7.87 B</t>
        </is>
      </c>
      <c r="H632" t="inlineStr">
        <is>
          <t>6.2%</t>
        </is>
      </c>
    </row>
    <row r="633">
      <c r="A633" s="78" t="inlineStr">
        <is>
          <t>Wednesday, February 8, 2023</t>
        </is>
      </c>
      <c r="B633" t="inlineStr">
        <is>
          <t>4:00 PM ET</t>
        </is>
      </c>
      <c r="C633" t="inlineStr">
        <is>
          <t>MPWR</t>
        </is>
      </c>
      <c r="D633" t="inlineStr">
        <is>
          <t>Monolithic Power Systems Inc</t>
        </is>
      </c>
      <c r="E633" t="n">
        <v>18855.66</v>
      </c>
      <c r="F633" t="inlineStr">
        <is>
          <t>$2.43</t>
        </is>
      </c>
      <c r="G633" t="inlineStr">
        <is>
          <t>$460.12 M</t>
        </is>
      </c>
      <c r="H633" t="inlineStr">
        <is>
          <t>36.7%</t>
        </is>
      </c>
    </row>
    <row r="634">
      <c r="A634" s="78" t="inlineStr">
        <is>
          <t>Wednesday, February 8, 2023</t>
        </is>
      </c>
      <c r="B634" t="inlineStr">
        <is>
          <t>4:10 PM ET</t>
        </is>
      </c>
      <c r="C634" t="inlineStr">
        <is>
          <t>MSI</t>
        </is>
      </c>
      <c r="D634" t="inlineStr">
        <is>
          <t>Motorola Solutions, Inc.</t>
        </is>
      </c>
      <c r="E634" t="n">
        <v>44022.94</v>
      </c>
      <c r="F634" t="inlineStr">
        <is>
          <t>$3.20</t>
        </is>
      </c>
      <c r="G634" t="inlineStr">
        <is>
          <t>$2.53 B</t>
        </is>
      </c>
      <c r="H634" t="inlineStr">
        <is>
          <t>9.1%</t>
        </is>
      </c>
    </row>
    <row r="635">
      <c r="A635" s="78" t="inlineStr">
        <is>
          <t>Wednesday, February 8, 2023</t>
        </is>
      </c>
      <c r="B635" t="inlineStr">
        <is>
          <t>7:00 AM ET</t>
        </is>
      </c>
      <c r="C635" t="inlineStr">
        <is>
          <t>NYT</t>
        </is>
      </c>
      <c r="D635" t="inlineStr">
        <is>
          <t>New York Times Co.</t>
        </is>
      </c>
      <c r="E635" t="n">
        <v>5639.1</v>
      </c>
      <c r="F635" t="inlineStr">
        <is>
          <t>$0.44</t>
        </is>
      </c>
      <c r="G635" t="inlineStr">
        <is>
          <t>$646.87 M</t>
        </is>
      </c>
      <c r="H635" t="inlineStr">
        <is>
          <t>8.9%</t>
        </is>
      </c>
    </row>
    <row r="636">
      <c r="A636" s="78" t="inlineStr">
        <is>
          <t>Wednesday, February 8, 2023</t>
        </is>
      </c>
      <c r="B636" t="inlineStr">
        <is>
          <t>4:30 PM ET</t>
        </is>
      </c>
      <c r="C636" t="inlineStr">
        <is>
          <t>ORLY</t>
        </is>
      </c>
      <c r="D636" t="inlineStr">
        <is>
          <t>O'Reilly Automotive, Inc.</t>
        </is>
      </c>
      <c r="E636" t="n">
        <v>50670.22</v>
      </c>
      <c r="F636" t="inlineStr">
        <is>
          <t>$7.63</t>
        </is>
      </c>
      <c r="G636" t="inlineStr">
        <is>
          <t>$3.45 B</t>
        </is>
      </c>
      <c r="H636" t="inlineStr">
        <is>
          <t>4.8%</t>
        </is>
      </c>
    </row>
    <row r="637">
      <c r="A637" s="78" t="inlineStr">
        <is>
          <t>Wednesday, February 8, 2023</t>
        </is>
      </c>
      <c r="B637" t="inlineStr">
        <is>
          <t>6:45 AM ET</t>
        </is>
      </c>
      <c r="C637" t="inlineStr">
        <is>
          <t>OLPX</t>
        </is>
      </c>
      <c r="D637" t="inlineStr">
        <is>
          <t>Olaplex Holdings Inc</t>
        </is>
      </c>
      <c r="E637" t="n">
        <v>4167.74</v>
      </c>
      <c r="F637" t="inlineStr">
        <is>
          <t>$0.06</t>
        </is>
      </c>
      <c r="G637" t="inlineStr">
        <is>
          <t>$132.56 M</t>
        </is>
      </c>
      <c r="H637" t="inlineStr">
        <is>
          <t>-20.4%</t>
        </is>
      </c>
    </row>
    <row r="638">
      <c r="A638" s="78" t="inlineStr">
        <is>
          <t>Wednesday, February 8, 2023</t>
        </is>
      </c>
      <c r="B638" t="inlineStr">
        <is>
          <t>5:05 PM ET</t>
        </is>
      </c>
      <c r="C638" t="inlineStr">
        <is>
          <t>PTEN</t>
        </is>
      </c>
      <c r="D638" t="inlineStr">
        <is>
          <t>Patterson-UTI Energy, Inc.</t>
        </is>
      </c>
      <c r="E638" t="n">
        <v>3725</v>
      </c>
      <c r="F638" t="inlineStr">
        <is>
          <t>$0.43</t>
        </is>
      </c>
      <c r="G638" t="inlineStr">
        <is>
          <t>$735.31 M</t>
        </is>
      </c>
      <c r="H638" t="inlineStr">
        <is>
          <t>57.6%</t>
        </is>
      </c>
    </row>
    <row r="639">
      <c r="A639" s="78" t="inlineStr">
        <is>
          <t>Wednesday, February 8, 2023</t>
        </is>
      </c>
      <c r="B639" t="inlineStr">
        <is>
          <t>4:15 PM ET</t>
        </is>
      </c>
      <c r="C639" t="inlineStr">
        <is>
          <t>PYCR</t>
        </is>
      </c>
      <c r="D639" t="inlineStr">
        <is>
          <t>Paycor HCM, Inc</t>
        </is>
      </c>
      <c r="E639" t="n">
        <v>4224.06</v>
      </c>
      <c r="F639" t="inlineStr">
        <is>
          <t>($0.01)</t>
        </is>
      </c>
      <c r="G639" t="inlineStr">
        <is>
          <t>$126.18 M</t>
        </is>
      </c>
      <c r="H639" t="inlineStr">
        <is>
          <t>22.4%</t>
        </is>
      </c>
    </row>
    <row r="640">
      <c r="A640" s="78" t="inlineStr">
        <is>
          <t>Wednesday, February 8, 2023</t>
        </is>
      </c>
      <c r="B640" t="inlineStr">
        <is>
          <t>7:00 AM ET</t>
        </is>
      </c>
      <c r="C640" t="inlineStr">
        <is>
          <t>PAG</t>
        </is>
      </c>
      <c r="D640" t="inlineStr">
        <is>
          <t>Penske Automotive Group Inc.</t>
        </is>
      </c>
      <c r="E640" t="n">
        <v>8266.92</v>
      </c>
      <c r="F640" t="inlineStr">
        <is>
          <t>$4.02</t>
        </is>
      </c>
      <c r="G640" t="inlineStr">
        <is>
          <t>$6.59 B</t>
        </is>
      </c>
      <c r="H640" t="inlineStr">
        <is>
          <t>4.7%</t>
        </is>
      </c>
    </row>
    <row r="641">
      <c r="A641" s="78" t="inlineStr">
        <is>
          <t>Wednesday, February 8, 2023</t>
        </is>
      </c>
      <c r="B641" t="inlineStr">
        <is>
          <t>7:00 AM ET</t>
        </is>
      </c>
      <c r="C641" t="inlineStr">
        <is>
          <t>PFGC</t>
        </is>
      </c>
      <c r="D641" t="inlineStr">
        <is>
          <t>Performance Food Group Company</t>
        </is>
      </c>
      <c r="E641" t="n">
        <v>9223.620000000001</v>
      </c>
      <c r="F641" t="inlineStr">
        <is>
          <t>$0.76</t>
        </is>
      </c>
      <c r="G641" t="inlineStr">
        <is>
          <t>$13.69 B</t>
        </is>
      </c>
      <c r="H641" t="inlineStr">
        <is>
          <t>6.6%</t>
        </is>
      </c>
    </row>
    <row r="642">
      <c r="A642" s="78" t="inlineStr">
        <is>
          <t>Wednesday, February 8, 2023</t>
        </is>
      </c>
      <c r="B642" t="inlineStr">
        <is>
          <t>4:30 PM ET</t>
        </is>
      </c>
      <c r="C642" t="inlineStr">
        <is>
          <t>PPC</t>
        </is>
      </c>
      <c r="D642" t="inlineStr">
        <is>
          <t>Pilgrim’s Pride Corp.</t>
        </is>
      </c>
      <c r="E642" t="n">
        <v>6212.05</v>
      </c>
      <c r="F642" t="inlineStr">
        <is>
          <t>$0.00</t>
        </is>
      </c>
      <c r="G642" t="inlineStr">
        <is>
          <t>$4.12 B</t>
        </is>
      </c>
      <c r="H642" t="inlineStr">
        <is>
          <t>2.0%</t>
        </is>
      </c>
    </row>
    <row r="643">
      <c r="A643" s="78" t="inlineStr">
        <is>
          <t>Wednesday, February 8, 2023</t>
        </is>
      </c>
      <c r="B643" t="inlineStr">
        <is>
          <t>4:15 PM ET</t>
        </is>
      </c>
      <c r="C643" t="inlineStr">
        <is>
          <t>PAA</t>
        </is>
      </c>
      <c r="D643" t="inlineStr">
        <is>
          <t>Plains All American Pipeline, L.P.</t>
        </is>
      </c>
      <c r="E643" t="n">
        <v>8428.879999999999</v>
      </c>
      <c r="F643" t="inlineStr">
        <is>
          <t>$0.42</t>
        </is>
      </c>
      <c r="G643" t="inlineStr">
        <is>
          <t>$14.17 B</t>
        </is>
      </c>
      <c r="H643" t="inlineStr">
        <is>
          <t>9.4%</t>
        </is>
      </c>
    </row>
    <row r="644">
      <c r="A644" s="78" t="inlineStr">
        <is>
          <t>Wednesday, February 8, 2023</t>
        </is>
      </c>
      <c r="B644" t="inlineStr">
        <is>
          <t>4:00 PM ET</t>
        </is>
      </c>
      <c r="C644" t="inlineStr">
        <is>
          <t>RXDX</t>
        </is>
      </c>
      <c r="D644" t="inlineStr">
        <is>
          <t>Prometheus Biosciences, Inc.</t>
        </is>
      </c>
      <c r="E644" t="n">
        <v>4991.13</v>
      </c>
      <c r="F644" t="inlineStr">
        <is>
          <t>($0.92)</t>
        </is>
      </c>
      <c r="G644" t="inlineStr">
        <is>
          <t>$0.77 M</t>
        </is>
      </c>
      <c r="H644" t="inlineStr">
        <is>
          <t>-25.7%</t>
        </is>
      </c>
    </row>
    <row r="645">
      <c r="A645" s="78" t="inlineStr">
        <is>
          <t>Wednesday, February 8, 2023</t>
        </is>
      </c>
      <c r="B645" t="inlineStr">
        <is>
          <t>4:10 PM ET</t>
        </is>
      </c>
      <c r="C645" t="inlineStr">
        <is>
          <t>REXR</t>
        </is>
      </c>
      <c r="D645" t="inlineStr">
        <is>
          <t>Rexford Industrial Realty, Inc.</t>
        </is>
      </c>
      <c r="E645" t="n">
        <v>10747.17</v>
      </c>
      <c r="F645" t="inlineStr">
        <is>
          <t>$0.48</t>
        </is>
      </c>
      <c r="G645" t="inlineStr">
        <is>
          <t>$169.07 M</t>
        </is>
      </c>
      <c r="H645" t="inlineStr">
        <is>
          <t>27.4%</t>
        </is>
      </c>
    </row>
    <row r="646">
      <c r="A646" s="78" t="inlineStr">
        <is>
          <t>Wednesday, February 8, 2023</t>
        </is>
      </c>
      <c r="B646" t="inlineStr">
        <is>
          <t>7:00 AM ET</t>
        </is>
      </c>
      <c r="C646" t="inlineStr">
        <is>
          <t>REYN</t>
        </is>
      </c>
      <c r="D646" t="inlineStr">
        <is>
          <t>Reynolds Consumer Products Inc.</t>
        </is>
      </c>
      <c r="E646" t="n">
        <v>6293.78</v>
      </c>
      <c r="F646" t="inlineStr">
        <is>
          <t>$0.57</t>
        </is>
      </c>
      <c r="G646" t="inlineStr">
        <is>
          <t>$1.11 B</t>
        </is>
      </c>
      <c r="H646" t="inlineStr">
        <is>
          <t>8.7%</t>
        </is>
      </c>
    </row>
    <row r="647">
      <c r="A647" s="78" t="inlineStr">
        <is>
          <t>Wednesday, February 8, 2023</t>
        </is>
      </c>
      <c r="B647" t="inlineStr">
        <is>
          <t>4:10 PM ET</t>
        </is>
      </c>
      <c r="C647" t="inlineStr">
        <is>
          <t>RIVN</t>
        </is>
      </c>
      <c r="D647" t="inlineStr">
        <is>
          <t>Rivian Automotive, Inc.</t>
        </is>
      </c>
      <c r="E647" t="n">
        <v>15591.78</v>
      </c>
      <c r="F647" t="inlineStr">
        <is>
          <t>($1.88)</t>
        </is>
      </c>
      <c r="G647" t="inlineStr">
        <is>
          <t>$768.28 M</t>
        </is>
      </c>
      <c r="H647" t="inlineStr">
        <is>
          <t>1,322.7%</t>
        </is>
      </c>
    </row>
    <row r="648">
      <c r="A648" s="78" t="inlineStr">
        <is>
          <t>Wednesday, February 8, 2023</t>
        </is>
      </c>
      <c r="B648" t="inlineStr">
        <is>
          <t>4:05 PM ET</t>
        </is>
      </c>
      <c r="C648" t="inlineStr">
        <is>
          <t>HOOD</t>
        </is>
      </c>
      <c r="D648" t="inlineStr">
        <is>
          <t>Robinhood Markets, Inc.</t>
        </is>
      </c>
      <c r="E648" t="n">
        <v>8441.959999999999</v>
      </c>
      <c r="F648" t="inlineStr">
        <is>
          <t>($0.13)</t>
        </is>
      </c>
      <c r="G648" t="inlineStr">
        <is>
          <t>$394.23 M</t>
        </is>
      </c>
      <c r="H648" t="inlineStr">
        <is>
          <t>8.7%</t>
        </is>
      </c>
    </row>
    <row r="649">
      <c r="A649" s="78" t="inlineStr">
        <is>
          <t>Wednesday, February 8, 2023</t>
        </is>
      </c>
      <c r="B649" t="inlineStr">
        <is>
          <t>4:00 PM ET</t>
        </is>
      </c>
      <c r="C649" t="inlineStr">
        <is>
          <t>SGEN</t>
        </is>
      </c>
      <c r="D649" t="inlineStr">
        <is>
          <t>Seagen Inc.</t>
        </is>
      </c>
      <c r="E649" t="n">
        <v>24110.44</v>
      </c>
      <c r="F649" t="inlineStr">
        <is>
          <t>($1.02)</t>
        </is>
      </c>
      <c r="G649" t="inlineStr">
        <is>
          <t>$478.64 M</t>
        </is>
      </c>
      <c r="H649" t="inlineStr">
        <is>
          <t>11.4%</t>
        </is>
      </c>
    </row>
    <row r="650">
      <c r="A650" s="78" t="inlineStr">
        <is>
          <t>Wednesday, February 8, 2023</t>
        </is>
      </c>
      <c r="B650" t="inlineStr">
        <is>
          <t>8:30 AM ET</t>
        </is>
      </c>
      <c r="C650" t="inlineStr">
        <is>
          <t>SWX</t>
        </is>
      </c>
      <c r="D650" t="inlineStr">
        <is>
          <t>Southwest Gas Corp.</t>
        </is>
      </c>
      <c r="E650" t="n">
        <v>4433.85</v>
      </c>
      <c r="F650" t="inlineStr">
        <is>
          <t>$1.54</t>
        </is>
      </c>
      <c r="G650" t="inlineStr">
        <is>
          <t>$1.25 B</t>
        </is>
      </c>
      <c r="H650" t="inlineStr">
        <is>
          <t>15.3%</t>
        </is>
      </c>
    </row>
    <row r="651">
      <c r="A651" s="78" t="inlineStr">
        <is>
          <t>Wednesday, February 8, 2023</t>
        </is>
      </c>
      <c r="B651" t="inlineStr">
        <is>
          <t>4:05 PM ET</t>
        </is>
      </c>
      <c r="C651" t="inlineStr">
        <is>
          <t>SPSC</t>
        </is>
      </c>
      <c r="D651" t="inlineStr">
        <is>
          <t>SPS Commerce</t>
        </is>
      </c>
      <c r="E651" t="n">
        <v>4836.08</v>
      </c>
      <c r="F651" t="inlineStr">
        <is>
          <t>$0.37</t>
        </is>
      </c>
      <c r="G651" t="inlineStr">
        <is>
          <t>$120.68 M</t>
        </is>
      </c>
      <c r="H651" t="inlineStr">
        <is>
          <t>17.4%</t>
        </is>
      </c>
    </row>
    <row r="652">
      <c r="A652" s="78" t="inlineStr">
        <is>
          <t>Wednesday, February 8, 2023</t>
        </is>
      </c>
      <c r="B652" t="inlineStr">
        <is>
          <t>5:00 PM ET</t>
        </is>
      </c>
      <c r="C652" t="inlineStr">
        <is>
          <t>SLF</t>
        </is>
      </c>
      <c r="D652" t="inlineStr">
        <is>
          <t>Sun Life Financial Services of Canada, Inc.</t>
        </is>
      </c>
      <c r="E652" t="n">
        <v>28463.26</v>
      </c>
      <c r="F652" t="inlineStr">
        <is>
          <t>$1.14</t>
        </is>
      </c>
      <c r="G652" t="inlineStr">
        <is>
          <t>$22.35 B</t>
        </is>
      </c>
      <c r="H652" t="inlineStr">
        <is>
          <t>116.8%</t>
        </is>
      </c>
    </row>
    <row r="653">
      <c r="A653" s="78" t="inlineStr">
        <is>
          <t>Wednesday, February 8, 2023</t>
        </is>
      </c>
      <c r="B653" t="inlineStr">
        <is>
          <t>9:00 AM ET</t>
        </is>
      </c>
      <c r="C653" t="inlineStr">
        <is>
          <t>TGNA</t>
        </is>
      </c>
      <c r="D653" t="inlineStr">
        <is>
          <t>TEGNA Inc.</t>
        </is>
      </c>
      <c r="E653" t="n">
        <v>4434.61</v>
      </c>
      <c r="F653" t="inlineStr">
        <is>
          <t>$0.91</t>
        </is>
      </c>
      <c r="G653" t="inlineStr">
        <is>
          <t>$934.00 M</t>
        </is>
      </c>
      <c r="H653" t="inlineStr">
        <is>
          <t>20.6%</t>
        </is>
      </c>
    </row>
    <row r="654">
      <c r="A654" s="78" t="inlineStr">
        <is>
          <t>Wednesday, February 8, 2023</t>
        </is>
      </c>
      <c r="B654" t="inlineStr">
        <is>
          <t>9:15 AM ET</t>
        </is>
      </c>
      <c r="C654" t="inlineStr">
        <is>
          <t>TRNO</t>
        </is>
      </c>
      <c r="D654" t="inlineStr">
        <is>
          <t>Terreno Realty Corporation</t>
        </is>
      </c>
      <c r="E654" t="n">
        <v>4770.9</v>
      </c>
      <c r="F654" t="inlineStr">
        <is>
          <t>$0.52</t>
        </is>
      </c>
      <c r="G654" t="inlineStr">
        <is>
          <t>$70.15 M</t>
        </is>
      </c>
      <c r="H654" t="inlineStr">
        <is>
          <t>15.6%</t>
        </is>
      </c>
    </row>
    <row r="655">
      <c r="A655" s="78" t="inlineStr">
        <is>
          <t>Wednesday, February 8, 2023</t>
        </is>
      </c>
      <c r="B655" t="inlineStr">
        <is>
          <t>7:00 AM ET</t>
        </is>
      </c>
      <c r="C655" t="inlineStr">
        <is>
          <t>TEVA</t>
        </is>
      </c>
      <c r="D655" t="inlineStr">
        <is>
          <t>Teva Pharmaceutical Industries, Ltd</t>
        </is>
      </c>
      <c r="E655" t="n">
        <v>12238.42</v>
      </c>
      <c r="F655" t="inlineStr">
        <is>
          <t>$0.64</t>
        </is>
      </c>
      <c r="G655" t="inlineStr">
        <is>
          <t>$3.98 B</t>
        </is>
      </c>
      <c r="H655" t="inlineStr">
        <is>
          <t>-2.9%</t>
        </is>
      </c>
    </row>
    <row r="656">
      <c r="A656" s="78" t="inlineStr">
        <is>
          <t>Wednesday, February 8, 2023</t>
        </is>
      </c>
      <c r="B656" t="inlineStr">
        <is>
          <t>6:55 AM ET</t>
        </is>
      </c>
      <c r="C656" t="inlineStr">
        <is>
          <t>TRMB</t>
        </is>
      </c>
      <c r="D656" t="inlineStr">
        <is>
          <t>Trimble Inc.</t>
        </is>
      </c>
      <c r="E656" t="n">
        <v>13670.41</v>
      </c>
      <c r="F656" t="inlineStr">
        <is>
          <t>$0.51</t>
        </is>
      </c>
      <c r="G656" t="inlineStr">
        <is>
          <t>$872.78 M</t>
        </is>
      </c>
      <c r="H656" t="inlineStr">
        <is>
          <t>-5.7%</t>
        </is>
      </c>
    </row>
    <row r="657">
      <c r="A657" s="78" t="inlineStr">
        <is>
          <t>Wednesday, February 8, 2023</t>
        </is>
      </c>
      <c r="B657" t="inlineStr">
        <is>
          <t>6:55 AM ET</t>
        </is>
      </c>
      <c r="C657" t="inlineStr">
        <is>
          <t>UBER</t>
        </is>
      </c>
      <c r="D657" t="inlineStr">
        <is>
          <t>Uber Technologies, Inc.</t>
        </is>
      </c>
      <c r="E657" t="n">
        <v>58236.7</v>
      </c>
      <c r="F657" t="inlineStr">
        <is>
          <t>($0.20)</t>
        </is>
      </c>
      <c r="G657" t="inlineStr">
        <is>
          <t>$8.50 B</t>
        </is>
      </c>
      <c r="H657" t="inlineStr">
        <is>
          <t>47.1%</t>
        </is>
      </c>
    </row>
    <row r="658">
      <c r="A658" s="78" t="inlineStr">
        <is>
          <t>Wednesday, February 8, 2023</t>
        </is>
      </c>
      <c r="B658" t="inlineStr">
        <is>
          <t>7:00 AM ET</t>
        </is>
      </c>
      <c r="C658" t="inlineStr">
        <is>
          <t>VSH</t>
        </is>
      </c>
      <c r="D658" t="inlineStr">
        <is>
          <t>Vishay Intertechnology, Inc.</t>
        </is>
      </c>
      <c r="E658" t="n">
        <v>3238.46</v>
      </c>
      <c r="F658" t="inlineStr">
        <is>
          <t>$0.78</t>
        </is>
      </c>
      <c r="G658" t="inlineStr">
        <is>
          <t>$881.10 M</t>
        </is>
      </c>
      <c r="H658" t="inlineStr">
        <is>
          <t>4.5%</t>
        </is>
      </c>
    </row>
    <row r="659">
      <c r="A659" s="78" t="inlineStr">
        <is>
          <t>Wednesday, February 8, 2023</t>
        </is>
      </c>
      <c r="B659" t="inlineStr">
        <is>
          <t>4:05 PM ET</t>
        </is>
      </c>
      <c r="C659" t="inlineStr">
        <is>
          <t>DIS</t>
        </is>
      </c>
      <c r="D659" t="inlineStr">
        <is>
          <t>Walt Disney Co</t>
        </is>
      </c>
      <c r="E659" t="n">
        <v>182195.08</v>
      </c>
      <c r="F659" t="inlineStr">
        <is>
          <t>$0.75</t>
        </is>
      </c>
      <c r="G659" t="inlineStr">
        <is>
          <t>$23.44 B</t>
        </is>
      </c>
      <c r="H659" t="inlineStr">
        <is>
          <t>7.4%</t>
        </is>
      </c>
    </row>
    <row r="660">
      <c r="A660" s="78" t="inlineStr">
        <is>
          <t>Wednesday, February 8, 2023</t>
        </is>
      </c>
      <c r="B660" t="inlineStr">
        <is>
          <t>4:30 PM ET</t>
        </is>
      </c>
      <c r="C660" t="inlineStr">
        <is>
          <t>WTS</t>
        </is>
      </c>
      <c r="D660" t="inlineStr">
        <is>
          <t>Watts Water Technologies</t>
        </is>
      </c>
      <c r="E660" t="n">
        <v>5215.38</v>
      </c>
      <c r="F660" t="inlineStr">
        <is>
          <t>$1.54</t>
        </is>
      </c>
      <c r="G660" t="inlineStr">
        <is>
          <t>$477.33 M</t>
        </is>
      </c>
      <c r="H660" t="inlineStr">
        <is>
          <t>0.7%</t>
        </is>
      </c>
    </row>
    <row r="661">
      <c r="A661" s="78" t="inlineStr">
        <is>
          <t>Wednesday, February 8, 2023</t>
        </is>
      </c>
      <c r="B661" t="inlineStr">
        <is>
          <t>7:00 AM ET</t>
        </is>
      </c>
      <c r="C661" t="inlineStr">
        <is>
          <t>WEN</t>
        </is>
      </c>
      <c r="D661" t="inlineStr">
        <is>
          <t>Wendy's International, Inc.</t>
        </is>
      </c>
      <c r="E661" t="n">
        <v>4861.27</v>
      </c>
      <c r="F661" t="inlineStr">
        <is>
          <t>$0.20</t>
        </is>
      </c>
      <c r="G661" t="inlineStr">
        <is>
          <t>$525.48 M</t>
        </is>
      </c>
      <c r="H661" t="inlineStr">
        <is>
          <t>11.0%</t>
        </is>
      </c>
    </row>
    <row r="662">
      <c r="A662" s="78" t="inlineStr">
        <is>
          <t>Wednesday, February 8, 2023</t>
        </is>
      </c>
      <c r="B662" t="inlineStr">
        <is>
          <t>4:10 PM ET</t>
        </is>
      </c>
      <c r="C662" t="inlineStr">
        <is>
          <t>XPO</t>
        </is>
      </c>
      <c r="D662" t="inlineStr">
        <is>
          <t>XPO Logistics, Inc.</t>
        </is>
      </c>
      <c r="E662" t="n">
        <v>4262.17</v>
      </c>
      <c r="F662" t="inlineStr">
        <is>
          <t>$0.82</t>
        </is>
      </c>
      <c r="G662" t="inlineStr">
        <is>
          <t>$3.07 B</t>
        </is>
      </c>
      <c r="H662" t="inlineStr">
        <is>
          <t>-8.7%</t>
        </is>
      </c>
    </row>
    <row r="663">
      <c r="A663" s="78" t="inlineStr">
        <is>
          <t>Wednesday, February 8, 2023</t>
        </is>
      </c>
      <c r="B663" t="inlineStr">
        <is>
          <t>7:00 AM ET</t>
        </is>
      </c>
      <c r="C663" t="inlineStr">
        <is>
          <t>YUM</t>
        </is>
      </c>
      <c r="D663" t="inlineStr">
        <is>
          <t>Yum! Brands, Inc.</t>
        </is>
      </c>
      <c r="E663" t="n">
        <v>36712.38</v>
      </c>
      <c r="F663" t="inlineStr">
        <is>
          <t>$1.23</t>
        </is>
      </c>
      <c r="G663" t="inlineStr">
        <is>
          <t>$1.92 B</t>
        </is>
      </c>
      <c r="H663" t="inlineStr">
        <is>
          <t>1.6%</t>
        </is>
      </c>
    </row>
    <row r="664">
      <c r="A664" s="78" t="inlineStr">
        <is>
          <t>Wednesday, February 8, 2023</t>
        </is>
      </c>
      <c r="B664" t="inlineStr">
        <is>
          <t>4:00 PM ET</t>
        </is>
      </c>
      <c r="C664" t="inlineStr">
        <is>
          <t>ZLAB</t>
        </is>
      </c>
      <c r="D664" t="inlineStr">
        <is>
          <t>Zai Lab Limited</t>
        </is>
      </c>
      <c r="E664" t="n">
        <v>4419.6</v>
      </c>
      <c r="F664" t="inlineStr">
        <is>
          <t>($1.04)</t>
        </is>
      </c>
      <c r="G664" t="inlineStr">
        <is>
          <t>$61.27 M</t>
        </is>
      </c>
      <c r="H664" t="inlineStr">
        <is>
          <t>38.7%</t>
        </is>
      </c>
    </row>
    <row r="665">
      <c r="A665" s="78" t="inlineStr">
        <is>
          <t>Thursday, February 9, 2023</t>
        </is>
      </c>
      <c r="B665" t="inlineStr">
        <is>
          <t>7:45 AM ET</t>
        </is>
      </c>
      <c r="C665" t="inlineStr">
        <is>
          <t>ABBV</t>
        </is>
      </c>
      <c r="D665" t="inlineStr">
        <is>
          <t>AbbVie Inc.</t>
        </is>
      </c>
      <c r="E665" t="n">
        <v>270276.88</v>
      </c>
      <c r="F665" t="inlineStr">
        <is>
          <t>$3.57</t>
        </is>
      </c>
      <c r="G665" t="inlineStr">
        <is>
          <t>$15.32 B</t>
        </is>
      </c>
      <c r="H665" t="inlineStr">
        <is>
          <t>2.9%</t>
        </is>
      </c>
    </row>
    <row r="666">
      <c r="A666" s="78" t="inlineStr">
        <is>
          <t>Thursday, February 9, 2023</t>
        </is>
      </c>
      <c r="B666" t="inlineStr">
        <is>
          <t>8:00 AM ET</t>
        </is>
      </c>
      <c r="C666" t="inlineStr">
        <is>
          <t>ALNY</t>
        </is>
      </c>
      <c r="D666" t="inlineStr">
        <is>
          <t>Alnylam Pharmaceuticals Inc</t>
        </is>
      </c>
      <c r="E666" t="n">
        <v>28755.39</v>
      </c>
      <c r="F666" t="inlineStr">
        <is>
          <t>($2.16)</t>
        </is>
      </c>
      <c r="G666" t="inlineStr">
        <is>
          <t>$311.82 M</t>
        </is>
      </c>
      <c r="H666" t="inlineStr">
        <is>
          <t>20.6%</t>
        </is>
      </c>
    </row>
    <row r="667">
      <c r="A667" s="78" t="inlineStr">
        <is>
          <t>Thursday, February 9, 2023</t>
        </is>
      </c>
      <c r="B667" t="inlineStr">
        <is>
          <t>4:05 PM ET</t>
        </is>
      </c>
      <c r="C667" t="inlineStr">
        <is>
          <t>AYX</t>
        </is>
      </c>
      <c r="D667" t="inlineStr">
        <is>
          <t>Alteryx, Inc.</t>
        </is>
      </c>
      <c r="E667" t="n">
        <v>3557.59</v>
      </c>
      <c r="F667" t="inlineStr">
        <is>
          <t>($0.14)</t>
        </is>
      </c>
      <c r="G667" t="inlineStr">
        <is>
          <t>$277.11 M</t>
        </is>
      </c>
      <c r="H667" t="inlineStr">
        <is>
          <t>59.4%</t>
        </is>
      </c>
    </row>
    <row r="668">
      <c r="A668" s="78" t="inlineStr">
        <is>
          <t>Thursday, February 9, 2023</t>
        </is>
      </c>
      <c r="B668" t="inlineStr">
        <is>
          <t>6:40 PM ET</t>
        </is>
      </c>
      <c r="C668" t="inlineStr">
        <is>
          <t>AIRC</t>
        </is>
      </c>
      <c r="D668" t="inlineStr">
        <is>
          <t>Apartment Income REIT Corp.</t>
        </is>
      </c>
      <c r="E668" t="n">
        <v>5481.38</v>
      </c>
      <c r="F668" t="inlineStr">
        <is>
          <t>$0.59</t>
        </is>
      </c>
      <c r="G668" t="inlineStr">
        <is>
          <t>$201.06 M</t>
        </is>
      </c>
      <c r="H668" t="inlineStr">
        <is>
          <t>3.5%</t>
        </is>
      </c>
    </row>
    <row r="669">
      <c r="A669" s="78" t="inlineStr">
        <is>
          <t>Thursday, February 9, 2023</t>
        </is>
      </c>
      <c r="B669" t="inlineStr">
        <is>
          <t>6:55 AM ET</t>
        </is>
      </c>
      <c r="C669" t="inlineStr">
        <is>
          <t>APO</t>
        </is>
      </c>
      <c r="D669" t="inlineStr">
        <is>
          <t>Apollo Global Management, LLC</t>
        </is>
      </c>
      <c r="E669" t="n">
        <v>39539.07</v>
      </c>
      <c r="F669" t="inlineStr">
        <is>
          <t>$1.39</t>
        </is>
      </c>
      <c r="G669" t="inlineStr">
        <is>
          <t>$697.99 M</t>
        </is>
      </c>
      <c r="H669" t="inlineStr">
        <is>
          <t>-41.6%</t>
        </is>
      </c>
    </row>
    <row r="670">
      <c r="A670" s="78" t="inlineStr">
        <is>
          <t>Thursday, February 9, 2023</t>
        </is>
      </c>
      <c r="B670" t="inlineStr">
        <is>
          <t>6:00 AM ET</t>
        </is>
      </c>
      <c r="C670" t="inlineStr">
        <is>
          <t>ARES</t>
        </is>
      </c>
      <c r="D670" t="inlineStr">
        <is>
          <t>Ares Management LP</t>
        </is>
      </c>
      <c r="E670" t="n">
        <v>22967.11</v>
      </c>
      <c r="F670" t="inlineStr">
        <is>
          <t>$1.06</t>
        </is>
      </c>
      <c r="G670" t="inlineStr">
        <is>
          <t>$920.16 M</t>
        </is>
      </c>
      <c r="H670" t="inlineStr">
        <is>
          <t>-29.8%</t>
        </is>
      </c>
    </row>
    <row r="671">
      <c r="A671" s="78" t="inlineStr">
        <is>
          <t>Thursday, February 9, 2023</t>
        </is>
      </c>
      <c r="B671" t="inlineStr">
        <is>
          <t>5:00 AM ET</t>
        </is>
      </c>
      <c r="C671" t="inlineStr">
        <is>
          <t>AZN</t>
        </is>
      </c>
      <c r="D671" t="inlineStr">
        <is>
          <t>AstraZeneca PLC</t>
        </is>
      </c>
      <c r="E671" t="n">
        <v>219211.95</v>
      </c>
      <c r="F671" t="inlineStr">
        <is>
          <t>$0.71</t>
        </is>
      </c>
      <c r="G671" t="inlineStr">
        <is>
          <t>$11.51 B</t>
        </is>
      </c>
      <c r="H671" t="inlineStr">
        <is>
          <t>-4.2%</t>
        </is>
      </c>
    </row>
    <row r="672">
      <c r="A672" s="78" t="inlineStr">
        <is>
          <t>Thursday, February 9, 2023</t>
        </is>
      </c>
      <c r="B672" t="inlineStr">
        <is>
          <t>4:15 PM ET</t>
        </is>
      </c>
      <c r="C672" t="inlineStr">
        <is>
          <t>EQH</t>
        </is>
      </c>
      <c r="D672" t="inlineStr">
        <is>
          <t>AXA Equitable Holdings, Inc.</t>
        </is>
      </c>
      <c r="E672" t="n">
        <v>11382.5</v>
      </c>
      <c r="F672" t="inlineStr">
        <is>
          <t>$1.32</t>
        </is>
      </c>
      <c r="G672" t="inlineStr">
        <is>
          <t>$3.24 B</t>
        </is>
      </c>
      <c r="H672" t="inlineStr">
        <is>
          <t>-2.4%</t>
        </is>
      </c>
    </row>
    <row r="673">
      <c r="A673" s="78" t="inlineStr">
        <is>
          <t>Thursday, February 9, 2023</t>
        </is>
      </c>
      <c r="B673" t="inlineStr">
        <is>
          <t>7:15 AM ET</t>
        </is>
      </c>
      <c r="C673" t="inlineStr">
        <is>
          <t>BAX</t>
        </is>
      </c>
      <c r="D673" t="inlineStr">
        <is>
          <t>Baxter International, Inc.</t>
        </is>
      </c>
      <c r="E673" t="n">
        <v>22554.36</v>
      </c>
      <c r="F673" t="inlineStr">
        <is>
          <t>$0.94</t>
        </is>
      </c>
      <c r="G673" t="inlineStr">
        <is>
          <t>$3.76 B</t>
        </is>
      </c>
      <c r="H673" t="inlineStr">
        <is>
          <t>7.0%</t>
        </is>
      </c>
    </row>
    <row r="674">
      <c r="A674" s="78" t="inlineStr">
        <is>
          <t>Thursday, February 9, 2023</t>
        </is>
      </c>
      <c r="B674" t="inlineStr">
        <is>
          <t>4:05 PM ET</t>
        </is>
      </c>
      <c r="C674" t="inlineStr">
        <is>
          <t>BL</t>
        </is>
      </c>
      <c r="D674" t="inlineStr">
        <is>
          <t>BlackLine, Inc.</t>
        </is>
      </c>
      <c r="E674" t="n">
        <v>4193.94</v>
      </c>
      <c r="F674" t="inlineStr">
        <is>
          <t>($0.12)</t>
        </is>
      </c>
      <c r="G674" t="inlineStr">
        <is>
          <t>$139.90 M</t>
        </is>
      </c>
      <c r="H674" t="inlineStr">
        <is>
          <t>21.3%</t>
        </is>
      </c>
    </row>
    <row r="675">
      <c r="A675" s="78" t="inlineStr">
        <is>
          <t>Thursday, February 9, 2023</t>
        </is>
      </c>
      <c r="B675" t="inlineStr">
        <is>
          <t>4:00 PM ET</t>
        </is>
      </c>
      <c r="C675" t="inlineStr">
        <is>
          <t>BE</t>
        </is>
      </c>
      <c r="D675" t="inlineStr">
        <is>
          <t>Bloom Energy Corporation</t>
        </is>
      </c>
      <c r="E675" t="n">
        <v>4668.69</v>
      </c>
      <c r="F675" t="inlineStr">
        <is>
          <t>$0.02</t>
        </is>
      </c>
      <c r="G675" t="inlineStr">
        <is>
          <t>$402.65 M</t>
        </is>
      </c>
      <c r="H675" t="inlineStr">
        <is>
          <t>17.6%</t>
        </is>
      </c>
    </row>
    <row r="676">
      <c r="A676" s="78" t="inlineStr">
        <is>
          <t>Thursday, February 9, 2023</t>
        </is>
      </c>
      <c r="B676" t="inlineStr">
        <is>
          <t>6:30 AM ET</t>
        </is>
      </c>
      <c r="C676" t="inlineStr">
        <is>
          <t>BWA</t>
        </is>
      </c>
      <c r="D676" t="inlineStr">
        <is>
          <t>BorgWarner Inc.</t>
        </is>
      </c>
      <c r="E676" t="n">
        <v>10361.31</v>
      </c>
      <c r="F676" t="inlineStr">
        <is>
          <t>$1.03</t>
        </is>
      </c>
      <c r="G676" t="inlineStr">
        <is>
          <t>$3.90 B</t>
        </is>
      </c>
      <c r="H676" t="inlineStr">
        <is>
          <t>6.7%</t>
        </is>
      </c>
    </row>
    <row r="677">
      <c r="A677" s="78" t="inlineStr">
        <is>
          <t>Thursday, February 9, 2023</t>
        </is>
      </c>
      <c r="B677" t="inlineStr">
        <is>
          <t>4:15 PM ET</t>
        </is>
      </c>
      <c r="C677" t="inlineStr">
        <is>
          <t>BHF</t>
        </is>
      </c>
      <c r="D677" t="inlineStr">
        <is>
          <t>Brighthouse Financial, Inc.</t>
        </is>
      </c>
      <c r="E677" t="n">
        <v>3728.85</v>
      </c>
      <c r="F677" t="inlineStr">
        <is>
          <t>$2.73</t>
        </is>
      </c>
      <c r="G677" t="inlineStr">
        <is>
          <t>$2.00 B</t>
        </is>
      </c>
      <c r="H677" t="inlineStr">
        <is>
          <t>-0.8%</t>
        </is>
      </c>
    </row>
    <row r="678">
      <c r="A678" s="78" t="inlineStr">
        <is>
          <t>Thursday, February 9, 2023</t>
        </is>
      </c>
      <c r="B678" t="inlineStr">
        <is>
          <t>4:50 PM ET</t>
        </is>
      </c>
      <c r="C678" t="inlineStr">
        <is>
          <t>CBT</t>
        </is>
      </c>
      <c r="D678" t="inlineStr">
        <is>
          <t>Cabot Corporation</t>
        </is>
      </c>
      <c r="E678" t="n">
        <v>4055.68</v>
      </c>
      <c r="F678" t="inlineStr">
        <is>
          <t>$1.12</t>
        </is>
      </c>
      <c r="G678" t="inlineStr">
        <is>
          <t>$1.05 B</t>
        </is>
      </c>
      <c r="H678" t="inlineStr">
        <is>
          <t>8.5%</t>
        </is>
      </c>
    </row>
    <row r="679">
      <c r="A679" s="78" t="inlineStr">
        <is>
          <t>Thursday, February 9, 2023</t>
        </is>
      </c>
      <c r="B679" t="inlineStr">
        <is>
          <t>6:40 AM ET</t>
        </is>
      </c>
      <c r="C679" t="inlineStr">
        <is>
          <t>CCJ</t>
        </is>
      </c>
      <c r="D679" t="inlineStr">
        <is>
          <t>Cameco Corp.</t>
        </is>
      </c>
      <c r="E679" t="n">
        <v>10994.62</v>
      </c>
      <c r="F679" t="inlineStr">
        <is>
          <t>$0.09</t>
        </is>
      </c>
      <c r="G679" t="inlineStr">
        <is>
          <t>$340.00 M</t>
        </is>
      </c>
      <c r="H679" t="inlineStr">
        <is>
          <t>-7.8%</t>
        </is>
      </c>
    </row>
    <row r="680">
      <c r="A680" s="78" t="inlineStr">
        <is>
          <t>Thursday, February 9, 2023</t>
        </is>
      </c>
      <c r="B680" t="inlineStr">
        <is>
          <t>4:15 PM ET</t>
        </is>
      </c>
      <c r="C680" t="inlineStr">
        <is>
          <t>CC</t>
        </is>
      </c>
      <c r="D680" t="inlineStr">
        <is>
          <t>Chemours Company</t>
        </is>
      </c>
      <c r="E680" t="n">
        <v>4993.87</v>
      </c>
      <c r="F680" t="inlineStr">
        <is>
          <t>$0.21</t>
        </is>
      </c>
      <c r="G680" t="inlineStr">
        <is>
          <t>$1.63 B</t>
        </is>
      </c>
      <c r="H680" t="inlineStr">
        <is>
          <t>3.5%</t>
        </is>
      </c>
    </row>
    <row r="681">
      <c r="A681" s="78" t="inlineStr">
        <is>
          <t>Thursday, February 9, 2023</t>
        </is>
      </c>
      <c r="B681" t="inlineStr">
        <is>
          <t>8:00 PM ET</t>
        </is>
      </c>
      <c r="C681" t="inlineStr">
        <is>
          <t>SBS</t>
        </is>
      </c>
      <c r="D681" t="inlineStr">
        <is>
          <t>Cia De Saneamento Basico Do Estado</t>
        </is>
      </c>
      <c r="E681" t="n">
        <v>7422.92</v>
      </c>
      <c r="F681" t="inlineStr">
        <is>
          <t>-</t>
        </is>
      </c>
      <c r="G681" t="inlineStr">
        <is>
          <t>-</t>
        </is>
      </c>
      <c r="H681" t="inlineStr">
        <is>
          <t>-</t>
        </is>
      </c>
    </row>
    <row r="682">
      <c r="A682" s="78" t="inlineStr">
        <is>
          <t>Thursday, February 9, 2023</t>
        </is>
      </c>
      <c r="B682" t="inlineStr">
        <is>
          <t>4:15 PM ET</t>
        </is>
      </c>
      <c r="C682" t="inlineStr">
        <is>
          <t>NET</t>
        </is>
      </c>
      <c r="D682" t="inlineStr">
        <is>
          <t>Cloudflare, Inc.</t>
        </is>
      </c>
      <c r="E682" t="n">
        <v>15235.05</v>
      </c>
      <c r="F682" t="inlineStr">
        <is>
          <t>($0.09)</t>
        </is>
      </c>
      <c r="G682" t="inlineStr">
        <is>
          <t>$274.03 M</t>
        </is>
      </c>
      <c r="H682" t="inlineStr">
        <is>
          <t>41.5%</t>
        </is>
      </c>
    </row>
    <row r="683">
      <c r="A683" s="78" t="inlineStr">
        <is>
          <t>Thursday, February 9, 2023</t>
        </is>
      </c>
      <c r="B683" t="inlineStr">
        <is>
          <t>7:00 AM ET</t>
        </is>
      </c>
      <c r="C683" t="inlineStr">
        <is>
          <t>CIGI</t>
        </is>
      </c>
      <c r="D683" t="inlineStr">
        <is>
          <t>Colliers International Group Inc.</t>
        </is>
      </c>
      <c r="E683" t="n">
        <v>4182.38</v>
      </c>
      <c r="F683" t="inlineStr">
        <is>
          <t>$2.31</t>
        </is>
      </c>
      <c r="G683" t="inlineStr">
        <is>
          <t>$1.32 B</t>
        </is>
      </c>
      <c r="H683" t="inlineStr">
        <is>
          <t>-1.9%</t>
        </is>
      </c>
    </row>
    <row r="684">
      <c r="A684" s="78" t="inlineStr">
        <is>
          <t>Thursday, February 9, 2023</t>
        </is>
      </c>
      <c r="B684" t="inlineStr">
        <is>
          <t>4:15 PM ET</t>
        </is>
      </c>
      <c r="C684" t="inlineStr">
        <is>
          <t>OFC</t>
        </is>
      </c>
      <c r="D684" t="inlineStr">
        <is>
          <t>Corporate Office Properties Trust</t>
        </is>
      </c>
      <c r="E684" t="n">
        <v>3170.34</v>
      </c>
      <c r="F684" t="inlineStr">
        <is>
          <t>$0.59</t>
        </is>
      </c>
      <c r="G684" t="inlineStr">
        <is>
          <t>$194.90 M</t>
        </is>
      </c>
      <c r="H684" t="inlineStr">
        <is>
          <t>4.8%</t>
        </is>
      </c>
    </row>
    <row r="685">
      <c r="A685" s="78" t="inlineStr">
        <is>
          <t>Thursday, February 9, 2023</t>
        </is>
      </c>
      <c r="B685" t="inlineStr">
        <is>
          <t>4:35 PM ET</t>
        </is>
      </c>
      <c r="C685" t="inlineStr">
        <is>
          <t>CUZ</t>
        </is>
      </c>
      <c r="D685" t="inlineStr">
        <is>
          <t>Cousins Properties, Inc.</t>
        </is>
      </c>
      <c r="E685" t="n">
        <v>3967.58</v>
      </c>
      <c r="F685" t="inlineStr">
        <is>
          <t>$0.65</t>
        </is>
      </c>
      <c r="G685" t="inlineStr">
        <is>
          <t>$194.24 M</t>
        </is>
      </c>
      <c r="H685" t="inlineStr">
        <is>
          <t>2.1%</t>
        </is>
      </c>
    </row>
    <row r="686">
      <c r="A686" s="78" t="inlineStr">
        <is>
          <t>Thursday, February 9, 2023</t>
        </is>
      </c>
      <c r="B686" t="inlineStr">
        <is>
          <t>7:25 PM ET</t>
        </is>
      </c>
      <c r="C686" t="inlineStr">
        <is>
          <t>BAP</t>
        </is>
      </c>
      <c r="D686" t="inlineStr">
        <is>
          <t>Credicorp, Ltd</t>
        </is>
      </c>
      <c r="E686" t="n">
        <v>11408.21</v>
      </c>
      <c r="F686" t="inlineStr">
        <is>
          <t>$3.91</t>
        </is>
      </c>
      <c r="G686" t="inlineStr">
        <is>
          <t>$4.65 B</t>
        </is>
      </c>
      <c r="H686" t="inlineStr">
        <is>
          <t>326.3%</t>
        </is>
      </c>
    </row>
    <row r="687">
      <c r="A687" s="78" t="inlineStr">
        <is>
          <t>Thursday, February 9, 2023</t>
        </is>
      </c>
      <c r="B687" t="inlineStr">
        <is>
          <t>7:00 AM ET</t>
        </is>
      </c>
      <c r="C687" t="inlineStr">
        <is>
          <t>CYBR</t>
        </is>
      </c>
      <c r="D687" t="inlineStr">
        <is>
          <t>CyberArk</t>
        </is>
      </c>
      <c r="E687" t="n">
        <v>5205.58</v>
      </c>
      <c r="F687" t="inlineStr">
        <is>
          <t>($0.63)</t>
        </is>
      </c>
      <c r="G687" t="inlineStr">
        <is>
          <t>$174.48 M</t>
        </is>
      </c>
      <c r="H687" t="inlineStr">
        <is>
          <t>15.3%</t>
        </is>
      </c>
    </row>
    <row r="688">
      <c r="A688" s="78" t="inlineStr">
        <is>
          <t>Thursday, February 9, 2023</t>
        </is>
      </c>
      <c r="B688" t="inlineStr">
        <is>
          <t>7:00 AM ET</t>
        </is>
      </c>
      <c r="C688" t="inlineStr">
        <is>
          <t>DDOG</t>
        </is>
      </c>
      <c r="D688" t="inlineStr">
        <is>
          <t>Datadog, Inc.</t>
        </is>
      </c>
      <c r="E688" t="n">
        <v>23200.92</v>
      </c>
      <c r="F688" t="inlineStr">
        <is>
          <t>($0.09)</t>
        </is>
      </c>
      <c r="G688" t="inlineStr">
        <is>
          <t>$447.39 M</t>
        </is>
      </c>
      <c r="H688" t="inlineStr">
        <is>
          <t>37.2%</t>
        </is>
      </c>
    </row>
    <row r="689">
      <c r="A689" s="78" t="inlineStr">
        <is>
          <t>Thursday, February 9, 2023</t>
        </is>
      </c>
      <c r="B689" t="inlineStr">
        <is>
          <t>6:30 AM ET</t>
        </is>
      </c>
      <c r="C689" t="inlineStr">
        <is>
          <t>DVA</t>
        </is>
      </c>
      <c r="D689" t="inlineStr">
        <is>
          <t>DaVita Inc.</t>
        </is>
      </c>
      <c r="E689" t="n">
        <v>7124.21</v>
      </c>
      <c r="F689" t="inlineStr">
        <is>
          <t>$0.88</t>
        </is>
      </c>
      <c r="G689" t="inlineStr">
        <is>
          <t>$2.96 B</t>
        </is>
      </c>
      <c r="H689" t="inlineStr">
        <is>
          <t>0.5%</t>
        </is>
      </c>
    </row>
    <row r="690">
      <c r="A690" s="78" t="inlineStr">
        <is>
          <t>Thursday, February 9, 2023</t>
        </is>
      </c>
      <c r="B690" t="inlineStr">
        <is>
          <t>4:00 PM ET</t>
        </is>
      </c>
      <c r="C690" t="inlineStr">
        <is>
          <t>DXCM</t>
        </is>
      </c>
      <c r="D690" t="inlineStr">
        <is>
          <t>DexCom Inc</t>
        </is>
      </c>
      <c r="E690" t="n">
        <v>42299.13</v>
      </c>
      <c r="F690" t="inlineStr">
        <is>
          <t>$0.26</t>
        </is>
      </c>
      <c r="G690" t="inlineStr">
        <is>
          <t>$810.29 M</t>
        </is>
      </c>
      <c r="H690" t="inlineStr">
        <is>
          <t>16.1%</t>
        </is>
      </c>
    </row>
    <row r="691">
      <c r="A691" s="78" t="inlineStr">
        <is>
          <t>Thursday, February 9, 2023</t>
        </is>
      </c>
      <c r="B691" t="inlineStr">
        <is>
          <t>6:50 AM ET</t>
        </is>
      </c>
      <c r="C691" t="inlineStr">
        <is>
          <t>DDS</t>
        </is>
      </c>
      <c r="D691" t="inlineStr">
        <is>
          <t>Dillard's, Inc.</t>
        </is>
      </c>
      <c r="E691" t="n">
        <v>6468.25</v>
      </c>
      <c r="F691" t="inlineStr">
        <is>
          <t>$8.85</t>
        </is>
      </c>
      <c r="G691" t="inlineStr">
        <is>
          <t>$2.12 B</t>
        </is>
      </c>
      <c r="H691" t="inlineStr">
        <is>
          <t>0.3%</t>
        </is>
      </c>
    </row>
    <row r="692">
      <c r="A692" s="78" t="inlineStr">
        <is>
          <t>Thursday, February 9, 2023</t>
        </is>
      </c>
      <c r="B692" t="inlineStr">
        <is>
          <t>4:00 PM ET</t>
        </is>
      </c>
      <c r="C692" t="inlineStr">
        <is>
          <t>DOCS</t>
        </is>
      </c>
      <c r="D692" t="inlineStr">
        <is>
          <t>Doximity, Inc.</t>
        </is>
      </c>
      <c r="E692" t="n">
        <v>6200.04</v>
      </c>
      <c r="F692" t="inlineStr">
        <is>
          <t>$0.13</t>
        </is>
      </c>
      <c r="G692" t="inlineStr">
        <is>
          <t>$112.78 M</t>
        </is>
      </c>
      <c r="H692" t="inlineStr">
        <is>
          <t>15.2%</t>
        </is>
      </c>
    </row>
    <row r="693">
      <c r="A693" s="78" t="inlineStr">
        <is>
          <t>Thursday, February 9, 2023</t>
        </is>
      </c>
      <c r="B693" t="inlineStr">
        <is>
          <t>7:00 AM ET</t>
        </is>
      </c>
      <c r="C693" t="inlineStr">
        <is>
          <t>DUK</t>
        </is>
      </c>
      <c r="D693" t="inlineStr">
        <is>
          <t>Duke Energy Corp.</t>
        </is>
      </c>
      <c r="E693" t="n">
        <v>80255.95</v>
      </c>
      <c r="F693" t="inlineStr">
        <is>
          <t>$1.11</t>
        </is>
      </c>
      <c r="G693" t="inlineStr">
        <is>
          <t>$6.66 B</t>
        </is>
      </c>
      <c r="H693" t="inlineStr">
        <is>
          <t>6.8%</t>
        </is>
      </c>
    </row>
    <row r="694">
      <c r="A694" s="78" t="inlineStr">
        <is>
          <t>Thursday, February 9, 2023</t>
        </is>
      </c>
      <c r="B694" t="inlineStr">
        <is>
          <t>4:00 PM ET</t>
        </is>
      </c>
      <c r="C694" t="inlineStr">
        <is>
          <t>DUOL</t>
        </is>
      </c>
      <c r="D694" t="inlineStr">
        <is>
          <t>Duolingo, Inc.</t>
        </is>
      </c>
      <c r="E694" t="n">
        <v>3271.96</v>
      </c>
      <c r="F694" t="inlineStr">
        <is>
          <t>($0.53)</t>
        </is>
      </c>
      <c r="G694" t="inlineStr">
        <is>
          <t>$99.91 M</t>
        </is>
      </c>
      <c r="H694" t="inlineStr">
        <is>
          <t>36.8%</t>
        </is>
      </c>
    </row>
    <row r="695">
      <c r="A695" s="78" t="inlineStr">
        <is>
          <t>Thursday, February 9, 2023</t>
        </is>
      </c>
      <c r="B695" t="inlineStr">
        <is>
          <t>4:05 PM ET</t>
        </is>
      </c>
      <c r="C695" t="inlineStr">
        <is>
          <t>EDR</t>
        </is>
      </c>
      <c r="D695" t="inlineStr">
        <is>
          <t>Endeavor Group Holdings, Inc.</t>
        </is>
      </c>
      <c r="E695" t="n">
        <v>15214.2</v>
      </c>
      <c r="F695" t="inlineStr">
        <is>
          <t>$0.15</t>
        </is>
      </c>
      <c r="G695" t="inlineStr">
        <is>
          <t>$1.28 B</t>
        </is>
      </c>
      <c r="H695" t="inlineStr">
        <is>
          <t>-15.0%</t>
        </is>
      </c>
    </row>
    <row r="696">
      <c r="A696" s="78" t="inlineStr">
        <is>
          <t>Thursday, February 9, 2023</t>
        </is>
      </c>
      <c r="B696" t="inlineStr">
        <is>
          <t>4:15 PM ET</t>
        </is>
      </c>
      <c r="C696" t="inlineStr">
        <is>
          <t>EQR</t>
        </is>
      </c>
      <c r="D696" t="inlineStr">
        <is>
          <t>Equity Residential</t>
        </is>
      </c>
      <c r="E696" t="n">
        <v>23192.88</v>
      </c>
      <c r="F696" t="inlineStr">
        <is>
          <t>$0.94</t>
        </is>
      </c>
      <c r="G696" t="inlineStr">
        <is>
          <t>$703.20 M</t>
        </is>
      </c>
      <c r="H696" t="inlineStr">
        <is>
          <t>9.0%</t>
        </is>
      </c>
    </row>
    <row r="697">
      <c r="A697" s="78" t="inlineStr">
        <is>
          <t>Thursday, February 9, 2023</t>
        </is>
      </c>
      <c r="B697" t="inlineStr">
        <is>
          <t>4:00 PM ET</t>
        </is>
      </c>
      <c r="C697" t="inlineStr">
        <is>
          <t>EXPE</t>
        </is>
      </c>
      <c r="D697" t="inlineStr">
        <is>
          <t>Expedia, Inc.</t>
        </is>
      </c>
      <c r="E697" t="n">
        <v>16631.48</v>
      </c>
      <c r="F697" t="inlineStr">
        <is>
          <t>$1.66</t>
        </is>
      </c>
      <c r="G697" t="inlineStr">
        <is>
          <t>$2.75 B</t>
        </is>
      </c>
      <c r="H697" t="inlineStr">
        <is>
          <t>20.7%</t>
        </is>
      </c>
    </row>
    <row r="698">
      <c r="A698" s="78" t="inlineStr">
        <is>
          <t>Thursday, February 9, 2023</t>
        </is>
      </c>
      <c r="B698" t="inlineStr">
        <is>
          <t>6:45 AM ET</t>
        </is>
      </c>
      <c r="C698" t="inlineStr">
        <is>
          <t>FAF</t>
        </is>
      </c>
      <c r="D698" t="inlineStr">
        <is>
          <t>First American Corp</t>
        </is>
      </c>
      <c r="E698" t="n">
        <v>6057.19</v>
      </c>
      <c r="F698" t="inlineStr">
        <is>
          <t>$1.45</t>
        </is>
      </c>
      <c r="G698" t="inlineStr">
        <is>
          <t>$1.84 B</t>
        </is>
      </c>
      <c r="H698" t="inlineStr">
        <is>
          <t>-22.5%</t>
        </is>
      </c>
    </row>
    <row r="699">
      <c r="A699" s="78" t="inlineStr">
        <is>
          <t>Thursday, February 9, 2023</t>
        </is>
      </c>
      <c r="B699" t="inlineStr">
        <is>
          <t>4:10 PM ET</t>
        </is>
      </c>
      <c r="C699" t="inlineStr">
        <is>
          <t>FLO</t>
        </is>
      </c>
      <c r="D699" t="inlineStr">
        <is>
          <t>Flowers Foods Inc.</t>
        </is>
      </c>
      <c r="E699" t="n">
        <v>5909.62</v>
      </c>
      <c r="F699" t="inlineStr">
        <is>
          <t>$0.23</t>
        </is>
      </c>
      <c r="G699" t="inlineStr">
        <is>
          <t>$1.10 B</t>
        </is>
      </c>
      <c r="H699" t="inlineStr">
        <is>
          <t>11.8%</t>
        </is>
      </c>
    </row>
    <row r="700">
      <c r="A700" s="78" t="inlineStr">
        <is>
          <t>Thursday, February 9, 2023</t>
        </is>
      </c>
      <c r="B700" t="inlineStr">
        <is>
          <t>8:00 AM ET</t>
        </is>
      </c>
      <c r="C700" t="inlineStr">
        <is>
          <t>GTES</t>
        </is>
      </c>
      <c r="D700" t="inlineStr">
        <is>
          <t>Gates Industrial Corporation plc</t>
        </is>
      </c>
      <c r="E700" t="n">
        <v>3539.87</v>
      </c>
      <c r="F700" t="inlineStr">
        <is>
          <t>$0.18</t>
        </is>
      </c>
      <c r="G700" t="inlineStr">
        <is>
          <t>$859.05 M</t>
        </is>
      </c>
      <c r="H700" t="inlineStr">
        <is>
          <t>5.3%</t>
        </is>
      </c>
    </row>
    <row r="701">
      <c r="A701" s="78" t="inlineStr">
        <is>
          <t>Thursday, February 9, 2023</t>
        </is>
      </c>
      <c r="B701" t="inlineStr">
        <is>
          <t>4:00 PM ET</t>
        </is>
      </c>
      <c r="C701" t="inlineStr">
        <is>
          <t>G</t>
        </is>
      </c>
      <c r="D701" t="inlineStr">
        <is>
          <t>Genpact Limited</t>
        </is>
      </c>
      <c r="E701" t="n">
        <v>8682.77</v>
      </c>
      <c r="F701" t="inlineStr">
        <is>
          <t>$0.59</t>
        </is>
      </c>
      <c r="G701" t="inlineStr">
        <is>
          <t>$1.08 B</t>
        </is>
      </c>
      <c r="H701" t="inlineStr">
        <is>
          <t>0.7%</t>
        </is>
      </c>
    </row>
    <row r="702">
      <c r="A702" s="78" t="inlineStr">
        <is>
          <t>Thursday, February 9, 2023</t>
        </is>
      </c>
      <c r="B702" t="inlineStr">
        <is>
          <t>6:55 AM ET</t>
        </is>
      </c>
      <c r="C702" t="inlineStr">
        <is>
          <t>GPN</t>
        </is>
      </c>
      <c r="D702" t="inlineStr">
        <is>
          <t>Global Payments, Inc.</t>
        </is>
      </c>
      <c r="E702" t="n">
        <v>30138.91</v>
      </c>
      <c r="F702" t="inlineStr">
        <is>
          <t>$2.35</t>
        </is>
      </c>
      <c r="G702" t="inlineStr">
        <is>
          <t>$1.98 B</t>
        </is>
      </c>
      <c r="H702" t="inlineStr">
        <is>
          <t>-9.8%</t>
        </is>
      </c>
    </row>
    <row r="703">
      <c r="A703" s="78" t="inlineStr">
        <is>
          <t>Thursday, February 9, 2023</t>
        </is>
      </c>
      <c r="B703" t="inlineStr">
        <is>
          <t>7:00 AM ET</t>
        </is>
      </c>
      <c r="C703" t="inlineStr">
        <is>
          <t>HGTY</t>
        </is>
      </c>
      <c r="D703" t="inlineStr">
        <is>
          <t>Hagerty, Inc.</t>
        </is>
      </c>
      <c r="E703" t="n">
        <v>3064.95</v>
      </c>
      <c r="F703" t="inlineStr">
        <is>
          <t>($0.08)</t>
        </is>
      </c>
      <c r="G703" t="inlineStr">
        <is>
          <t>$198.58 M</t>
        </is>
      </c>
      <c r="H703" t="inlineStr">
        <is>
          <t>28.6%</t>
        </is>
      </c>
    </row>
    <row r="704">
      <c r="A704" s="78" t="inlineStr">
        <is>
          <t>Thursday, February 9, 2023</t>
        </is>
      </c>
      <c r="B704" t="inlineStr">
        <is>
          <t>6:30 AM ET</t>
        </is>
      </c>
      <c r="C704" t="inlineStr">
        <is>
          <t>HRI</t>
        </is>
      </c>
      <c r="D704" t="inlineStr">
        <is>
          <t>Herc Holdings Inc.</t>
        </is>
      </c>
      <c r="E704" t="n">
        <v>4187.14</v>
      </c>
      <c r="F704" t="inlineStr">
        <is>
          <t>$3.57</t>
        </is>
      </c>
      <c r="G704" t="inlineStr">
        <is>
          <t>$781.00 M</t>
        </is>
      </c>
      <c r="H704" t="inlineStr">
        <is>
          <t>35.1%</t>
        </is>
      </c>
    </row>
    <row r="705">
      <c r="A705" s="78" t="inlineStr">
        <is>
          <t>Thursday, February 9, 2023</t>
        </is>
      </c>
      <c r="B705" t="inlineStr">
        <is>
          <t>6:00 AM ET</t>
        </is>
      </c>
      <c r="C705" t="inlineStr">
        <is>
          <t>HLT</t>
        </is>
      </c>
      <c r="D705" t="inlineStr">
        <is>
          <t>Hilton Worldwide Holdings Inc.</t>
        </is>
      </c>
      <c r="E705" t="n">
        <v>36833.41</v>
      </c>
      <c r="F705" t="inlineStr">
        <is>
          <t>$1.23</t>
        </is>
      </c>
      <c r="G705" t="inlineStr">
        <is>
          <t>$2.36 B</t>
        </is>
      </c>
      <c r="H705" t="inlineStr">
        <is>
          <t>28.5%</t>
        </is>
      </c>
    </row>
    <row r="706">
      <c r="A706" s="78" t="inlineStr">
        <is>
          <t>Thursday, February 9, 2023</t>
        </is>
      </c>
      <c r="B706" t="inlineStr">
        <is>
          <t>4:10 PM ET</t>
        </is>
      </c>
      <c r="C706" t="inlineStr">
        <is>
          <t>HUBS</t>
        </is>
      </c>
      <c r="D706" t="inlineStr">
        <is>
          <t>HubSpot, Inc.</t>
        </is>
      </c>
      <c r="E706" t="n">
        <v>15635.22</v>
      </c>
      <c r="F706" t="inlineStr">
        <is>
          <t>($0.42)</t>
        </is>
      </c>
      <c r="G706" t="inlineStr">
        <is>
          <t>$445.11 M</t>
        </is>
      </c>
      <c r="H706" t="inlineStr">
        <is>
          <t>20.5%</t>
        </is>
      </c>
    </row>
    <row r="707">
      <c r="A707" s="78" t="inlineStr">
        <is>
          <t>Thursday, February 9, 2023</t>
        </is>
      </c>
      <c r="B707" t="inlineStr">
        <is>
          <t>7:15 AM ET</t>
        </is>
      </c>
      <c r="C707" t="inlineStr">
        <is>
          <t>HII</t>
        </is>
      </c>
      <c r="D707" t="inlineStr">
        <is>
          <t>Huntington Ingalls Industries, Inc.</t>
        </is>
      </c>
      <c r="E707" t="n">
        <v>8840.629999999999</v>
      </c>
      <c r="F707" t="inlineStr">
        <is>
          <t>$3.14</t>
        </is>
      </c>
      <c r="G707" t="inlineStr">
        <is>
          <t>$2.87 B</t>
        </is>
      </c>
      <c r="H707" t="inlineStr">
        <is>
          <t>7.2%</t>
        </is>
      </c>
    </row>
    <row r="708">
      <c r="A708" s="78" t="inlineStr">
        <is>
          <t>Thursday, February 9, 2023</t>
        </is>
      </c>
      <c r="B708" t="inlineStr">
        <is>
          <t>8:00 AM ET</t>
        </is>
      </c>
      <c r="C708" t="inlineStr">
        <is>
          <t>NSIT</t>
        </is>
      </c>
      <c r="D708" t="inlineStr">
        <is>
          <t>Insight Enterprises, Inc.</t>
        </is>
      </c>
      <c r="E708" t="n">
        <v>3858.25</v>
      </c>
      <c r="F708" t="inlineStr">
        <is>
          <t>$2.13</t>
        </is>
      </c>
      <c r="G708" t="inlineStr">
        <is>
          <t>$2.64 B</t>
        </is>
      </c>
      <c r="H708" t="inlineStr">
        <is>
          <t>2.9%</t>
        </is>
      </c>
    </row>
    <row r="709">
      <c r="A709" s="78" t="inlineStr">
        <is>
          <t>Thursday, February 9, 2023</t>
        </is>
      </c>
      <c r="B709" t="inlineStr">
        <is>
          <t>9:00 AM ET</t>
        </is>
      </c>
      <c r="C709" t="inlineStr">
        <is>
          <t>NSP</t>
        </is>
      </c>
      <c r="D709" t="inlineStr">
        <is>
          <t>Insperity, Inc.</t>
        </is>
      </c>
      <c r="E709" t="n">
        <v>4262.3</v>
      </c>
      <c r="F709" t="inlineStr">
        <is>
          <t>$0.71</t>
        </is>
      </c>
      <c r="G709" t="inlineStr">
        <is>
          <t>$1.51 B</t>
        </is>
      </c>
      <c r="H709" t="inlineStr">
        <is>
          <t>16.9%</t>
        </is>
      </c>
    </row>
    <row r="710">
      <c r="A710" s="78" t="inlineStr">
        <is>
          <t>Thursday, February 9, 2023</t>
        </is>
      </c>
      <c r="B710" t="inlineStr">
        <is>
          <t>7:00 AM ET</t>
        </is>
      </c>
      <c r="C710" t="inlineStr">
        <is>
          <t>IPG</t>
        </is>
      </c>
      <c r="D710" t="inlineStr">
        <is>
          <t>Interpublic Group of Companies, Inc.</t>
        </is>
      </c>
      <c r="E710" t="n">
        <v>13823.71</v>
      </c>
      <c r="F710" t="inlineStr">
        <is>
          <t>$1.02</t>
        </is>
      </c>
      <c r="G710" t="inlineStr">
        <is>
          <t>$2.51 B</t>
        </is>
      </c>
      <c r="H710" t="inlineStr">
        <is>
          <t>-14.4%</t>
        </is>
      </c>
    </row>
    <row r="711">
      <c r="A711" s="78" t="inlineStr">
        <is>
          <t>Thursday, February 9, 2023</t>
        </is>
      </c>
      <c r="B711" t="inlineStr">
        <is>
          <t>4:40 PM ET</t>
        </is>
      </c>
      <c r="C711" t="inlineStr">
        <is>
          <t>ITUB</t>
        </is>
      </c>
      <c r="D711" t="inlineStr">
        <is>
          <t>Itaú Unibanco Holding S.A.</t>
        </is>
      </c>
      <c r="E711" t="n">
        <v>49980</v>
      </c>
      <c r="F711" t="inlineStr">
        <is>
          <t>$0.16</t>
        </is>
      </c>
      <c r="G711" t="inlineStr">
        <is>
          <t>$7.38 B</t>
        </is>
      </c>
      <c r="H711" t="inlineStr">
        <is>
          <t>-31.6%</t>
        </is>
      </c>
    </row>
    <row r="712">
      <c r="A712" s="78" t="inlineStr">
        <is>
          <t>Thursday, February 9, 2023</t>
        </is>
      </c>
      <c r="B712" t="inlineStr">
        <is>
          <t>6:30 AM ET</t>
        </is>
      </c>
      <c r="C712" t="inlineStr">
        <is>
          <t>ITT</t>
        </is>
      </c>
      <c r="D712" t="inlineStr">
        <is>
          <t>ITT Industries, Inc.</t>
        </is>
      </c>
      <c r="E712" t="n">
        <v>7175.05</v>
      </c>
      <c r="F712" t="inlineStr">
        <is>
          <t>$1.25</t>
        </is>
      </c>
      <c r="G712" t="inlineStr">
        <is>
          <t>$762.36 M</t>
        </is>
      </c>
      <c r="H712" t="inlineStr">
        <is>
          <t>11.2%</t>
        </is>
      </c>
    </row>
    <row r="713">
      <c r="A713" s="78" t="inlineStr">
        <is>
          <t>Thursday, February 9, 2023</t>
        </is>
      </c>
      <c r="B713" t="inlineStr">
        <is>
          <t>8:00 AM ET</t>
        </is>
      </c>
      <c r="C713" t="inlineStr">
        <is>
          <t>K</t>
        </is>
      </c>
      <c r="D713" t="inlineStr">
        <is>
          <t>Kellogg Company</t>
        </is>
      </c>
      <c r="E713" t="n">
        <v>23794.12</v>
      </c>
      <c r="F713" t="inlineStr">
        <is>
          <t>$0.84</t>
        </is>
      </c>
      <c r="G713" t="inlineStr">
        <is>
          <t>$3.60 B</t>
        </is>
      </c>
      <c r="H713" t="inlineStr">
        <is>
          <t>5.2%</t>
        </is>
      </c>
    </row>
    <row r="714">
      <c r="A714" s="78" t="inlineStr">
        <is>
          <t>Thursday, February 9, 2023</t>
        </is>
      </c>
      <c r="B714" t="inlineStr">
        <is>
          <t>6:50 AM ET</t>
        </is>
      </c>
      <c r="C714" t="inlineStr">
        <is>
          <t>KIM</t>
        </is>
      </c>
      <c r="D714" t="inlineStr">
        <is>
          <t>Kimco Realty Corporation</t>
        </is>
      </c>
      <c r="E714" t="n">
        <v>13575.22</v>
      </c>
      <c r="F714" t="inlineStr">
        <is>
          <t>$0.39</t>
        </is>
      </c>
      <c r="G714" t="inlineStr">
        <is>
          <t>$434.17 M</t>
        </is>
      </c>
      <c r="H714" t="inlineStr">
        <is>
          <t>2.2%</t>
        </is>
      </c>
    </row>
    <row r="715">
      <c r="A715" s="78" t="inlineStr">
        <is>
          <t>Thursday, February 9, 2023</t>
        </is>
      </c>
      <c r="B715" t="inlineStr">
        <is>
          <t>6:55 AM ET</t>
        </is>
      </c>
      <c r="C715" t="inlineStr">
        <is>
          <t>MLM</t>
        </is>
      </c>
      <c r="D715" t="inlineStr">
        <is>
          <t>Martin Marietta Materials Inc.</t>
        </is>
      </c>
      <c r="E715" t="n">
        <v>21923.6</v>
      </c>
      <c r="F715" t="inlineStr">
        <is>
          <t>$3.10</t>
        </is>
      </c>
      <c r="G715" t="inlineStr">
        <is>
          <t>$1.50 B</t>
        </is>
      </c>
      <c r="H715" t="inlineStr">
        <is>
          <t>0.2%</t>
        </is>
      </c>
    </row>
    <row r="716">
      <c r="A716" s="78" t="inlineStr">
        <is>
          <t>Thursday, February 9, 2023</t>
        </is>
      </c>
      <c r="B716" t="inlineStr">
        <is>
          <t>7:00 AM ET</t>
        </is>
      </c>
      <c r="C716" t="inlineStr">
        <is>
          <t>MAS</t>
        </is>
      </c>
      <c r="D716" t="inlineStr">
        <is>
          <t>Masco Corp.</t>
        </is>
      </c>
      <c r="E716" t="n">
        <v>11486.2</v>
      </c>
      <c r="F716" t="inlineStr">
        <is>
          <t>$0.66</t>
        </is>
      </c>
      <c r="G716" t="inlineStr">
        <is>
          <t>$2.06 B</t>
        </is>
      </c>
      <c r="H716" t="inlineStr">
        <is>
          <t>1.9%</t>
        </is>
      </c>
    </row>
    <row r="717">
      <c r="A717" s="78" t="inlineStr">
        <is>
          <t>Thursday, February 9, 2023</t>
        </is>
      </c>
      <c r="B717" t="inlineStr">
        <is>
          <t>4:10 PM ET</t>
        </is>
      </c>
      <c r="C717" t="inlineStr">
        <is>
          <t>MTD</t>
        </is>
      </c>
      <c r="D717" t="inlineStr">
        <is>
          <t>Mettler-Toledo International Inc.</t>
        </is>
      </c>
      <c r="E717" t="n">
        <v>34139.09</v>
      </c>
      <c r="F717" t="inlineStr">
        <is>
          <t>$11.63</t>
        </is>
      </c>
      <c r="G717" t="inlineStr">
        <is>
          <t>$1.03 B</t>
        </is>
      </c>
      <c r="H717" t="inlineStr">
        <is>
          <t>-0.7%</t>
        </is>
      </c>
    </row>
    <row r="718">
      <c r="A718" s="78" t="inlineStr">
        <is>
          <t>Thursday, February 9, 2023</t>
        </is>
      </c>
      <c r="B718" t="inlineStr">
        <is>
          <t>4:05 PM ET</t>
        </is>
      </c>
      <c r="C718" t="inlineStr">
        <is>
          <t>MCW</t>
        </is>
      </c>
      <c r="D718" t="inlineStr">
        <is>
          <t>Mister Car Wash, Inc.</t>
        </is>
      </c>
      <c r="E718" t="n">
        <v>3082.49</v>
      </c>
      <c r="F718" t="inlineStr">
        <is>
          <t>$0.05</t>
        </is>
      </c>
      <c r="G718" t="inlineStr">
        <is>
          <t>$213.98 M</t>
        </is>
      </c>
      <c r="H718" t="inlineStr">
        <is>
          <t>11.8%</t>
        </is>
      </c>
    </row>
    <row r="719">
      <c r="A719" s="78" t="inlineStr">
        <is>
          <t>Thursday, February 9, 2023</t>
        </is>
      </c>
      <c r="B719" t="inlineStr">
        <is>
          <t>4:10 PM ET</t>
        </is>
      </c>
      <c r="C719" t="inlineStr">
        <is>
          <t>MHK</t>
        </is>
      </c>
      <c r="D719" t="inlineStr">
        <is>
          <t>Mohawk Industries Inc.</t>
        </is>
      </c>
      <c r="E719" t="n">
        <v>7063.71</v>
      </c>
      <c r="F719" t="inlineStr">
        <is>
          <t>$1.29</t>
        </is>
      </c>
      <c r="G719" t="inlineStr">
        <is>
          <t>$2.76 B</t>
        </is>
      </c>
      <c r="H719" t="inlineStr">
        <is>
          <t>0.0%</t>
        </is>
      </c>
    </row>
    <row r="720">
      <c r="A720" s="78" t="inlineStr">
        <is>
          <t>Thursday, February 9, 2023</t>
        </is>
      </c>
      <c r="B720" t="inlineStr">
        <is>
          <t>8:30 AM ET</t>
        </is>
      </c>
      <c r="C720" t="inlineStr">
        <is>
          <t>NNN</t>
        </is>
      </c>
      <c r="D720" t="inlineStr">
        <is>
          <t>National Retail Properties Inc</t>
        </is>
      </c>
      <c r="E720" t="n">
        <v>8532.700000000001</v>
      </c>
      <c r="F720" t="inlineStr">
        <is>
          <t>$0.79</t>
        </is>
      </c>
      <c r="G720" t="inlineStr">
        <is>
          <t>$195.74 M</t>
        </is>
      </c>
      <c r="H720" t="inlineStr">
        <is>
          <t>4.5%</t>
        </is>
      </c>
    </row>
    <row r="721">
      <c r="A721" s="78" t="inlineStr">
        <is>
          <t>Thursday, February 9, 2023</t>
        </is>
      </c>
      <c r="B721" t="inlineStr">
        <is>
          <t>6:00 AM ET</t>
        </is>
      </c>
      <c r="C721" t="inlineStr">
        <is>
          <t>EYE</t>
        </is>
      </c>
      <c r="D721" t="inlineStr">
        <is>
          <t>National Vision Holdings, Inc.</t>
        </is>
      </c>
      <c r="E721" t="n">
        <v>3072.06</v>
      </c>
      <c r="F721" t="inlineStr">
        <is>
          <t>($0.11)</t>
        </is>
      </c>
      <c r="G721" t="inlineStr">
        <is>
          <t>$470.02 M</t>
        </is>
      </c>
      <c r="H721" t="inlineStr">
        <is>
          <t>-1.6%</t>
        </is>
      </c>
    </row>
    <row r="722">
      <c r="A722" s="78" t="inlineStr">
        <is>
          <t>Thursday, February 9, 2023</t>
        </is>
      </c>
      <c r="B722" t="inlineStr">
        <is>
          <t>5:30 AM ET</t>
        </is>
      </c>
      <c r="C722" t="inlineStr">
        <is>
          <t>NICE</t>
        </is>
      </c>
      <c r="D722" t="inlineStr">
        <is>
          <t>NICE Ltd.</t>
        </is>
      </c>
      <c r="E722" t="n">
        <v>13084.8</v>
      </c>
      <c r="F722" t="inlineStr">
        <is>
          <t>$1.43</t>
        </is>
      </c>
      <c r="G722" t="inlineStr">
        <is>
          <t>$570.13 M</t>
        </is>
      </c>
      <c r="H722" t="inlineStr">
        <is>
          <t>10.6%</t>
        </is>
      </c>
    </row>
    <row r="723">
      <c r="A723" s="78" t="inlineStr">
        <is>
          <t>Thursday, February 9, 2023</t>
        </is>
      </c>
      <c r="B723" t="inlineStr">
        <is>
          <t>5:00 AM ET</t>
        </is>
      </c>
      <c r="C723" t="inlineStr">
        <is>
          <t>NIO</t>
        </is>
      </c>
      <c r="D723" t="inlineStr">
        <is>
          <t>NIO Inc.</t>
        </is>
      </c>
      <c r="E723" t="n">
        <v>19043.36</v>
      </c>
      <c r="F723" t="inlineStr">
        <is>
          <t>-</t>
        </is>
      </c>
      <c r="G723" t="inlineStr">
        <is>
          <t>$6.86 B</t>
        </is>
      </c>
      <c r="H723" t="inlineStr">
        <is>
          <t>341.5%</t>
        </is>
      </c>
    </row>
    <row r="724">
      <c r="A724" s="78" t="inlineStr">
        <is>
          <t>Thursday, February 9, 2023</t>
        </is>
      </c>
      <c r="B724" t="inlineStr">
        <is>
          <t>7:05 PM ET</t>
        </is>
      </c>
      <c r="C724" t="inlineStr">
        <is>
          <t>NWE</t>
        </is>
      </c>
      <c r="D724" t="inlineStr">
        <is>
          <t>NorthWestern Corporation</t>
        </is>
      </c>
      <c r="E724" t="n">
        <v>3354.63</v>
      </c>
      <c r="F724" t="inlineStr">
        <is>
          <t>$1.19</t>
        </is>
      </c>
      <c r="G724" t="inlineStr">
        <is>
          <t>$390.30 M</t>
        </is>
      </c>
      <c r="H724" t="inlineStr">
        <is>
          <t>12.4%</t>
        </is>
      </c>
    </row>
    <row r="725">
      <c r="A725" s="78" t="inlineStr">
        <is>
          <t>Thursday, February 9, 2023</t>
        </is>
      </c>
      <c r="B725" t="inlineStr">
        <is>
          <t>4:05 PM ET</t>
        </is>
      </c>
      <c r="C725" t="inlineStr">
        <is>
          <t>ONTO</t>
        </is>
      </c>
      <c r="D725" t="inlineStr">
        <is>
          <t>Onto Innovation Inc.</t>
        </is>
      </c>
      <c r="E725" t="n">
        <v>3813.3</v>
      </c>
      <c r="F725" t="inlineStr">
        <is>
          <t>$1.32</t>
        </is>
      </c>
      <c r="G725" t="inlineStr">
        <is>
          <t>$250.00 M</t>
        </is>
      </c>
      <c r="H725" t="inlineStr">
        <is>
          <t>10.8%</t>
        </is>
      </c>
    </row>
    <row r="726">
      <c r="A726" s="78" t="inlineStr">
        <is>
          <t>Thursday, February 9, 2023</t>
        </is>
      </c>
      <c r="B726" t="inlineStr">
        <is>
          <t>4:25 PM ET</t>
        </is>
      </c>
      <c r="C726" t="inlineStr">
        <is>
          <t>PYPL</t>
        </is>
      </c>
      <c r="D726" t="inlineStr">
        <is>
          <t>PayPal</t>
        </is>
      </c>
      <c r="E726" t="n">
        <v>91407.42999999999</v>
      </c>
      <c r="F726" t="inlineStr">
        <is>
          <t>$1.19</t>
        </is>
      </c>
      <c r="G726" t="inlineStr">
        <is>
          <t>$7.39 B</t>
        </is>
      </c>
      <c r="H726" t="inlineStr">
        <is>
          <t>6.8%</t>
        </is>
      </c>
    </row>
    <row r="727">
      <c r="A727" s="78" t="inlineStr">
        <is>
          <t>Thursday, February 9, 2023</t>
        </is>
      </c>
      <c r="B727" t="inlineStr">
        <is>
          <t>8:00 AM ET</t>
        </is>
      </c>
      <c r="C727" t="inlineStr">
        <is>
          <t>BTU</t>
        </is>
      </c>
      <c r="D727" t="inlineStr">
        <is>
          <t>Peabody Energy Corp.</t>
        </is>
      </c>
      <c r="E727" t="n">
        <v>4144.32</v>
      </c>
      <c r="F727" t="inlineStr">
        <is>
          <t>$2.21</t>
        </is>
      </c>
      <c r="G727" t="inlineStr">
        <is>
          <t>$1.38 B</t>
        </is>
      </c>
      <c r="H727" t="inlineStr">
        <is>
          <t>9.1%</t>
        </is>
      </c>
    </row>
    <row r="728">
      <c r="A728" s="78" t="inlineStr">
        <is>
          <t>Thursday, February 9, 2023</t>
        </is>
      </c>
      <c r="B728" t="inlineStr">
        <is>
          <t>6:00 AM ET</t>
        </is>
      </c>
      <c r="C728" t="inlineStr">
        <is>
          <t>PEP</t>
        </is>
      </c>
      <c r="D728" t="inlineStr">
        <is>
          <t>PepsiCo, Inc.</t>
        </is>
      </c>
      <c r="E728" t="n">
        <v>242559.48</v>
      </c>
      <c r="F728" t="inlineStr">
        <is>
          <t>$1.64</t>
        </is>
      </c>
      <c r="G728" t="inlineStr">
        <is>
          <t>$26.36 B</t>
        </is>
      </c>
      <c r="H728" t="inlineStr">
        <is>
          <t>4.4%</t>
        </is>
      </c>
    </row>
    <row r="729">
      <c r="A729" s="78" t="inlineStr">
        <is>
          <t>Thursday, February 9, 2023</t>
        </is>
      </c>
      <c r="B729" t="inlineStr">
        <is>
          <t>7:00 AM ET</t>
        </is>
      </c>
      <c r="C729" t="inlineStr">
        <is>
          <t>PM</t>
        </is>
      </c>
      <c r="D729" t="inlineStr">
        <is>
          <t>Philip Morris International Inc</t>
        </is>
      </c>
      <c r="E729" t="n">
        <v>156927</v>
      </c>
      <c r="F729" t="inlineStr">
        <is>
          <t>$1.30</t>
        </is>
      </c>
      <c r="G729" t="inlineStr">
        <is>
          <t>$7.46 B</t>
        </is>
      </c>
      <c r="H729" t="inlineStr">
        <is>
          <t>-64.2%</t>
        </is>
      </c>
    </row>
    <row r="730">
      <c r="A730" s="78" t="inlineStr">
        <is>
          <t>Thursday, February 9, 2023</t>
        </is>
      </c>
      <c r="B730" t="inlineStr">
        <is>
          <t>4:10 PM ET</t>
        </is>
      </c>
      <c r="C730" t="inlineStr">
        <is>
          <t>PECO</t>
        </is>
      </c>
      <c r="D730" t="inlineStr">
        <is>
          <t>Phillips Edison &amp; Company, Inc.</t>
        </is>
      </c>
      <c r="E730" t="n">
        <v>3929.88</v>
      </c>
      <c r="F730" t="inlineStr">
        <is>
          <t>$0.54</t>
        </is>
      </c>
      <c r="G730" t="inlineStr">
        <is>
          <t>$144.47 M</t>
        </is>
      </c>
      <c r="H730" t="inlineStr">
        <is>
          <t>5.4%</t>
        </is>
      </c>
    </row>
    <row r="731">
      <c r="A731" s="78" t="inlineStr">
        <is>
          <t>Thursday, February 9, 2023</t>
        </is>
      </c>
      <c r="B731" t="inlineStr">
        <is>
          <t>6:30 AM ET</t>
        </is>
      </c>
      <c r="C731" t="inlineStr">
        <is>
          <t>PRVA</t>
        </is>
      </c>
      <c r="D731" t="inlineStr">
        <is>
          <t>Privia Health Group Inc</t>
        </is>
      </c>
      <c r="E731" t="n">
        <v>3049.49</v>
      </c>
      <c r="F731" t="inlineStr">
        <is>
          <t>($0.03)</t>
        </is>
      </c>
      <c r="G731" t="inlineStr">
        <is>
          <t>$332.92 M</t>
        </is>
      </c>
      <c r="H731" t="inlineStr">
        <is>
          <t>20.9%</t>
        </is>
      </c>
    </row>
    <row r="732">
      <c r="A732" s="78" t="inlineStr">
        <is>
          <t>Thursday, February 9, 2023</t>
        </is>
      </c>
      <c r="B732" t="inlineStr">
        <is>
          <t>4:15 PM ET</t>
        </is>
      </c>
      <c r="C732" t="inlineStr">
        <is>
          <t>QLYS</t>
        </is>
      </c>
      <c r="D732" t="inlineStr">
        <is>
          <t>Qualys, Inc.</t>
        </is>
      </c>
      <c r="E732" t="n">
        <v>4071.18</v>
      </c>
      <c r="F732" t="inlineStr">
        <is>
          <t>$0.58</t>
        </is>
      </c>
      <c r="G732" t="inlineStr">
        <is>
          <t>$130.35 M</t>
        </is>
      </c>
      <c r="H732" t="inlineStr">
        <is>
          <t>18.7%</t>
        </is>
      </c>
    </row>
    <row r="733">
      <c r="A733" s="78" t="inlineStr">
        <is>
          <t>Thursday, February 9, 2023</t>
        </is>
      </c>
      <c r="B733" t="inlineStr">
        <is>
          <t>8:00 AM ET</t>
        </is>
      </c>
      <c r="C733" t="inlineStr">
        <is>
          <t>RL</t>
        </is>
      </c>
      <c r="D733" t="inlineStr">
        <is>
          <t>Ralph Lauren Corporation</t>
        </is>
      </c>
      <c r="E733" t="n">
        <v>7868.54</v>
      </c>
      <c r="F733" t="inlineStr">
        <is>
          <t>$2.91</t>
        </is>
      </c>
      <c r="G733" t="inlineStr">
        <is>
          <t>$1.75 B</t>
        </is>
      </c>
      <c r="H733" t="inlineStr">
        <is>
          <t>-3.6%</t>
        </is>
      </c>
    </row>
    <row r="734">
      <c r="A734" s="78" t="inlineStr">
        <is>
          <t>Thursday, February 9, 2023</t>
        </is>
      </c>
      <c r="B734" t="inlineStr">
        <is>
          <t>4:15 PM ET</t>
        </is>
      </c>
      <c r="C734" t="inlineStr">
        <is>
          <t>REG</t>
        </is>
      </c>
      <c r="D734" t="inlineStr">
        <is>
          <t>Regency Realty Corp.</t>
        </is>
      </c>
      <c r="E734" t="n">
        <v>11288.97</v>
      </c>
      <c r="F734" t="inlineStr">
        <is>
          <t>$0.98</t>
        </is>
      </c>
      <c r="G734" t="inlineStr">
        <is>
          <t>$303.07 M</t>
        </is>
      </c>
      <c r="H734" t="inlineStr">
        <is>
          <t>2.1%</t>
        </is>
      </c>
    </row>
    <row r="735">
      <c r="A735" s="78" t="inlineStr">
        <is>
          <t>Thursday, February 9, 2023</t>
        </is>
      </c>
      <c r="B735" t="inlineStr">
        <is>
          <t>7:10 AM ET</t>
        </is>
      </c>
      <c r="C735" t="inlineStr">
        <is>
          <t>SPGI</t>
        </is>
      </c>
      <c r="D735" t="inlineStr">
        <is>
          <t>S&amp;P Global</t>
        </is>
      </c>
      <c r="E735" t="n">
        <v>119702.17</v>
      </c>
      <c r="F735" t="inlineStr">
        <is>
          <t>$2.47</t>
        </is>
      </c>
      <c r="G735" t="inlineStr">
        <is>
          <t>$2.86 B</t>
        </is>
      </c>
      <c r="H735" t="inlineStr">
        <is>
          <t>37.0%</t>
        </is>
      </c>
    </row>
    <row r="736">
      <c r="A736" s="78" t="inlineStr">
        <is>
          <t>Thursday, February 9, 2023</t>
        </is>
      </c>
      <c r="B736" t="inlineStr">
        <is>
          <t>7:00 AM ET</t>
        </is>
      </c>
      <c r="C736" t="inlineStr">
        <is>
          <t>SEE</t>
        </is>
      </c>
      <c r="D736" t="inlineStr">
        <is>
          <t>Sealed Air Corp.</t>
        </is>
      </c>
      <c r="E736" t="n">
        <v>7804.27</v>
      </c>
      <c r="F736" t="inlineStr">
        <is>
          <t>$1.00</t>
        </is>
      </c>
      <c r="G736" t="inlineStr">
        <is>
          <t>$1.50 B</t>
        </is>
      </c>
      <c r="H736" t="inlineStr">
        <is>
          <t>-2.1%</t>
        </is>
      </c>
    </row>
    <row r="737">
      <c r="A737" s="78" t="inlineStr">
        <is>
          <t>Thursday, February 9, 2023</t>
        </is>
      </c>
      <c r="B737" t="inlineStr">
        <is>
          <t>4:05 PM ET</t>
        </is>
      </c>
      <c r="C737" t="inlineStr">
        <is>
          <t>SSNC</t>
        </is>
      </c>
      <c r="D737" t="inlineStr">
        <is>
          <t>SS&amp;C Technologies Holdings Inc</t>
        </is>
      </c>
      <c r="E737" t="n">
        <v>14275.79</v>
      </c>
      <c r="F737" t="inlineStr">
        <is>
          <t>$1.03</t>
        </is>
      </c>
      <c r="G737" t="inlineStr">
        <is>
          <t>$1.33 B</t>
        </is>
      </c>
      <c r="H737" t="inlineStr">
        <is>
          <t>2.8%</t>
        </is>
      </c>
    </row>
    <row r="738">
      <c r="A738" s="78" t="inlineStr">
        <is>
          <t>Thursday, February 9, 2023</t>
        </is>
      </c>
      <c r="B738" t="inlineStr">
        <is>
          <t>6:45 AM ET</t>
        </is>
      </c>
      <c r="C738" t="inlineStr">
        <is>
          <t>TPR</t>
        </is>
      </c>
      <c r="D738" t="inlineStr">
        <is>
          <t>Tapestry, Inc.</t>
        </is>
      </c>
      <c r="E738" t="n">
        <v>10513.14</v>
      </c>
      <c r="F738" t="inlineStr">
        <is>
          <t>$1.26</t>
        </is>
      </c>
      <c r="G738" t="inlineStr">
        <is>
          <t>$2.03 B</t>
        </is>
      </c>
      <c r="H738" t="inlineStr">
        <is>
          <t>-5.2%</t>
        </is>
      </c>
    </row>
    <row r="739">
      <c r="A739" s="78" t="inlineStr">
        <is>
          <t>Thursday, February 9, 2023</t>
        </is>
      </c>
      <c r="B739" t="inlineStr">
        <is>
          <t>6:45 AM ET</t>
        </is>
      </c>
      <c r="C739" t="inlineStr">
        <is>
          <t>TIXT</t>
        </is>
      </c>
      <c r="D739" t="inlineStr">
        <is>
          <t>TELUS International</t>
        </is>
      </c>
      <c r="E739" t="n">
        <v>5930.76</v>
      </c>
      <c r="F739" t="inlineStr">
        <is>
          <t>$0.30</t>
        </is>
      </c>
      <c r="G739" t="inlineStr">
        <is>
          <t>$626.26 M</t>
        </is>
      </c>
      <c r="H739" t="inlineStr">
        <is>
          <t>4.4%</t>
        </is>
      </c>
    </row>
    <row r="740">
      <c r="A740" s="78" t="inlineStr">
        <is>
          <t>Thursday, February 9, 2023</t>
        </is>
      </c>
      <c r="B740" t="inlineStr">
        <is>
          <t>6:35 AM ET</t>
        </is>
      </c>
      <c r="C740" t="inlineStr">
        <is>
          <t>TPX</t>
        </is>
      </c>
      <c r="D740" t="inlineStr">
        <is>
          <t>Tempur Sealy International, Inc.</t>
        </is>
      </c>
      <c r="E740" t="n">
        <v>6627.35</v>
      </c>
      <c r="F740" t="inlineStr">
        <is>
          <t>$0.52</t>
        </is>
      </c>
      <c r="G740" t="inlineStr">
        <is>
          <t>$1.22 B</t>
        </is>
      </c>
      <c r="H740" t="inlineStr">
        <is>
          <t>-10.3%</t>
        </is>
      </c>
    </row>
    <row r="741">
      <c r="A741" s="78" t="inlineStr">
        <is>
          <t>Thursday, February 9, 2023</t>
        </is>
      </c>
      <c r="B741" t="inlineStr">
        <is>
          <t>4:05 PM ET</t>
        </is>
      </c>
      <c r="C741" t="inlineStr">
        <is>
          <t>THC</t>
        </is>
      </c>
      <c r="D741" t="inlineStr">
        <is>
          <t>Tenet Healthcare Corp.</t>
        </is>
      </c>
      <c r="E741" t="n">
        <v>5735.94</v>
      </c>
      <c r="F741" t="inlineStr">
        <is>
          <t>$1.27</t>
        </is>
      </c>
      <c r="G741" t="inlineStr">
        <is>
          <t>$4.91 B</t>
        </is>
      </c>
      <c r="H741" t="inlineStr">
        <is>
          <t>1.1%</t>
        </is>
      </c>
    </row>
    <row r="742">
      <c r="A742" s="78" t="inlineStr">
        <is>
          <t>Thursday, February 9, 2023</t>
        </is>
      </c>
      <c r="B742" t="inlineStr">
        <is>
          <t>4:10 PM ET</t>
        </is>
      </c>
      <c r="C742" t="inlineStr">
        <is>
          <t>TEX</t>
        </is>
      </c>
      <c r="D742" t="inlineStr">
        <is>
          <t>Terex Corp.</t>
        </is>
      </c>
      <c r="E742" t="n">
        <v>3172.5</v>
      </c>
      <c r="F742" t="inlineStr">
        <is>
          <t>$1.13</t>
        </is>
      </c>
      <c r="G742" t="inlineStr">
        <is>
          <t>$1.09 B</t>
        </is>
      </c>
      <c r="H742" t="inlineStr">
        <is>
          <t>10.1%</t>
        </is>
      </c>
    </row>
    <row r="743">
      <c r="A743" s="78" t="inlineStr">
        <is>
          <t>Thursday, February 9, 2023</t>
        </is>
      </c>
      <c r="B743" t="inlineStr">
        <is>
          <t>6:40 AM ET</t>
        </is>
      </c>
      <c r="C743" t="inlineStr">
        <is>
          <t>TRI</t>
        </is>
      </c>
      <c r="D743" t="inlineStr">
        <is>
          <t>Thomson Reuters Corporation</t>
        </is>
      </c>
      <c r="E743" t="n">
        <v>56465</v>
      </c>
      <c r="F743" t="inlineStr">
        <is>
          <t>$0.64</t>
        </is>
      </c>
      <c r="G743" t="inlineStr">
        <is>
          <t>$1.75 B</t>
        </is>
      </c>
      <c r="H743" t="inlineStr">
        <is>
          <t>2.3%</t>
        </is>
      </c>
    </row>
    <row r="744">
      <c r="A744" s="78" t="inlineStr">
        <is>
          <t>Thursday, February 9, 2023</t>
        </is>
      </c>
      <c r="B744" t="inlineStr">
        <is>
          <t>4:05 PM ET</t>
        </is>
      </c>
      <c r="C744" t="inlineStr">
        <is>
          <t>TOST</t>
        </is>
      </c>
      <c r="D744" t="inlineStr">
        <is>
          <t>Toast</t>
        </is>
      </c>
      <c r="E744" t="n">
        <v>10324.62</v>
      </c>
      <c r="F744" t="inlineStr">
        <is>
          <t>($0.18)</t>
        </is>
      </c>
      <c r="G744" t="inlineStr">
        <is>
          <t>$749.15 M</t>
        </is>
      </c>
      <c r="H744" t="inlineStr">
        <is>
          <t>46.3%</t>
        </is>
      </c>
    </row>
    <row r="745">
      <c r="A745" s="78" t="inlineStr">
        <is>
          <t>Thursday, February 9, 2023</t>
        </is>
      </c>
      <c r="B745" t="inlineStr">
        <is>
          <t>7:40 AM ET</t>
        </is>
      </c>
      <c r="C745" t="inlineStr">
        <is>
          <t>TTE</t>
        </is>
      </c>
      <c r="D745" t="inlineStr">
        <is>
          <t>TotalEnergies SE</t>
        </is>
      </c>
      <c r="E745" t="n">
        <v>166587.05</v>
      </c>
      <c r="F745" t="inlineStr">
        <is>
          <t>$2.98</t>
        </is>
      </c>
      <c r="G745" t="inlineStr">
        <is>
          <t>$251.52 B</t>
        </is>
      </c>
      <c r="H745" t="inlineStr">
        <is>
          <t>354.8%</t>
        </is>
      </c>
    </row>
    <row r="746">
      <c r="A746" s="78" t="inlineStr">
        <is>
          <t>Thursday, February 9, 2023</t>
        </is>
      </c>
      <c r="B746" t="inlineStr">
        <is>
          <t>7:15 AM ET</t>
        </is>
      </c>
      <c r="C746" t="inlineStr">
        <is>
          <t>TDG</t>
        </is>
      </c>
      <c r="D746" t="inlineStr">
        <is>
          <t>TransDigm Group Inc.</t>
        </is>
      </c>
      <c r="E746" t="n">
        <v>36993.75</v>
      </c>
      <c r="F746" t="inlineStr">
        <is>
          <t>$3.68</t>
        </is>
      </c>
      <c r="G746" t="inlineStr">
        <is>
          <t>$1.37 B</t>
        </is>
      </c>
      <c r="H746" t="inlineStr">
        <is>
          <t>14.7%</t>
        </is>
      </c>
    </row>
    <row r="747">
      <c r="A747" s="78" t="inlineStr">
        <is>
          <t>Thursday, February 9, 2023</t>
        </is>
      </c>
      <c r="B747" t="inlineStr">
        <is>
          <t>4:10 PM ET</t>
        </is>
      </c>
      <c r="C747" t="inlineStr">
        <is>
          <t>VTR</t>
        </is>
      </c>
      <c r="D747" t="inlineStr">
        <is>
          <t>Ventas, Inc.</t>
        </is>
      </c>
      <c r="E747" t="n">
        <v>19622.16</v>
      </c>
      <c r="F747" t="inlineStr">
        <is>
          <t>$0.72</t>
        </is>
      </c>
      <c r="G747" t="inlineStr">
        <is>
          <t>$1.04 B</t>
        </is>
      </c>
      <c r="H747" t="inlineStr">
        <is>
          <t>1.7%</t>
        </is>
      </c>
    </row>
    <row r="748">
      <c r="A748" s="78" t="inlineStr">
        <is>
          <t>Thursday, February 9, 2023</t>
        </is>
      </c>
      <c r="B748" t="inlineStr">
        <is>
          <t>4:05 PM ET</t>
        </is>
      </c>
      <c r="C748" t="inlineStr">
        <is>
          <t>VRSN</t>
        </is>
      </c>
      <c r="D748" t="inlineStr">
        <is>
          <t>VeriSign Inc.</t>
        </is>
      </c>
      <c r="E748" t="n">
        <v>22738.41</v>
      </c>
      <c r="F748" t="inlineStr">
        <is>
          <t>$1.53</t>
        </is>
      </c>
      <c r="G748" t="inlineStr">
        <is>
          <t>$363.60 M</t>
        </is>
      </c>
      <c r="H748" t="inlineStr">
        <is>
          <t>6.8%</t>
        </is>
      </c>
    </row>
    <row r="749">
      <c r="A749" s="78" t="inlineStr">
        <is>
          <t>Thursday, February 9, 2023</t>
        </is>
      </c>
      <c r="B749" t="inlineStr">
        <is>
          <t>7:30 AM ET</t>
        </is>
      </c>
      <c r="C749" t="inlineStr">
        <is>
          <t>WMG</t>
        </is>
      </c>
      <c r="D749" t="inlineStr">
        <is>
          <t>Warner Music Group Corp</t>
        </is>
      </c>
      <c r="E749" t="n">
        <v>17067.41</v>
      </c>
      <c r="F749" t="inlineStr">
        <is>
          <t>$0.28</t>
        </is>
      </c>
      <c r="G749" t="inlineStr">
        <is>
          <t>$1.61 B</t>
        </is>
      </c>
      <c r="H749" t="inlineStr">
        <is>
          <t>-0.2%</t>
        </is>
      </c>
    </row>
    <row r="750">
      <c r="A750" s="78" t="inlineStr">
        <is>
          <t>Thursday, February 9, 2023</t>
        </is>
      </c>
      <c r="B750" t="inlineStr">
        <is>
          <t>7:30 AM ET</t>
        </is>
      </c>
      <c r="C750" t="inlineStr">
        <is>
          <t>WSO</t>
        </is>
      </c>
      <c r="D750" t="inlineStr">
        <is>
          <t>Watsco, Inc.</t>
        </is>
      </c>
      <c r="E750" t="n">
        <v>10588.15</v>
      </c>
      <c r="F750" t="inlineStr">
        <is>
          <t>$2.12</t>
        </is>
      </c>
      <c r="G750" t="inlineStr">
        <is>
          <t>$1.61 B</t>
        </is>
      </c>
      <c r="H750" t="inlineStr">
        <is>
          <t>6.5%</t>
        </is>
      </c>
    </row>
    <row r="751">
      <c r="A751" s="78" t="inlineStr">
        <is>
          <t>Thursday, February 9, 2023</t>
        </is>
      </c>
      <c r="B751" t="inlineStr">
        <is>
          <t>4:05 PM ET</t>
        </is>
      </c>
      <c r="C751" t="inlineStr">
        <is>
          <t>WU</t>
        </is>
      </c>
      <c r="D751" t="inlineStr">
        <is>
          <t>Western Union Company</t>
        </is>
      </c>
      <c r="E751" t="n">
        <v>5445.01</v>
      </c>
      <c r="F751" t="inlineStr">
        <is>
          <t>$0.34</t>
        </is>
      </c>
      <c r="G751" t="inlineStr">
        <is>
          <t>$1.07 B</t>
        </is>
      </c>
      <c r="H751" t="inlineStr">
        <is>
          <t>-16.7%</t>
        </is>
      </c>
    </row>
    <row r="752">
      <c r="A752" s="78" t="inlineStr">
        <is>
          <t>Thursday, February 9, 2023</t>
        </is>
      </c>
      <c r="B752" t="inlineStr">
        <is>
          <t>6:30 AM ET</t>
        </is>
      </c>
      <c r="C752" t="inlineStr">
        <is>
          <t>WEX</t>
        </is>
      </c>
      <c r="D752" t="inlineStr">
        <is>
          <t>WEX Inc.</t>
        </is>
      </c>
      <c r="E752" t="n">
        <v>7716.84</v>
      </c>
      <c r="F752" t="inlineStr">
        <is>
          <t>$2.77</t>
        </is>
      </c>
      <c r="G752" t="inlineStr">
        <is>
          <t>$579.50 M</t>
        </is>
      </c>
      <c r="H752" t="inlineStr">
        <is>
          <t>16.5%</t>
        </is>
      </c>
    </row>
    <row r="753">
      <c r="A753" s="78" t="inlineStr">
        <is>
          <t>Thursday, February 9, 2023</t>
        </is>
      </c>
      <c r="B753" t="inlineStr">
        <is>
          <t>6:00 AM ET</t>
        </is>
      </c>
      <c r="C753" t="inlineStr">
        <is>
          <t>WTW</t>
        </is>
      </c>
      <c r="D753" t="inlineStr">
        <is>
          <t>Willis Towers Watson</t>
        </is>
      </c>
      <c r="E753" t="n">
        <v>27297.53</v>
      </c>
      <c r="F753" t="inlineStr">
        <is>
          <t>$6.29</t>
        </is>
      </c>
      <c r="G753" t="inlineStr">
        <is>
          <t>$2.69 B</t>
        </is>
      </c>
      <c r="H753" t="inlineStr">
        <is>
          <t>-0.6%</t>
        </is>
      </c>
    </row>
    <row r="754">
      <c r="A754" s="78" t="inlineStr">
        <is>
          <t>Thursday, February 9, 2023</t>
        </is>
      </c>
      <c r="B754" t="inlineStr">
        <is>
          <t>6:00 AM ET</t>
        </is>
      </c>
      <c r="C754" t="inlineStr">
        <is>
          <t>YETI</t>
        </is>
      </c>
      <c r="D754" t="inlineStr">
        <is>
          <t>YETI Holdings, Inc.</t>
        </is>
      </c>
      <c r="E754" t="n">
        <v>3899.28</v>
      </c>
      <c r="F754" t="inlineStr">
        <is>
          <t>$0.76</t>
        </is>
      </c>
      <c r="G754" t="inlineStr">
        <is>
          <t>$491.03 M</t>
        </is>
      </c>
      <c r="H754" t="inlineStr">
        <is>
          <t>10.8%</t>
        </is>
      </c>
    </row>
    <row r="755">
      <c r="A755" s="78" t="inlineStr">
        <is>
          <t>Thursday, February 9, 2023</t>
        </is>
      </c>
      <c r="B755" t="inlineStr">
        <is>
          <t>6:30 AM ET</t>
        </is>
      </c>
      <c r="C755" t="inlineStr">
        <is>
          <t>ZBRA</t>
        </is>
      </c>
      <c r="D755" t="inlineStr">
        <is>
          <t>Zebra Technologies Corp.</t>
        </is>
      </c>
      <c r="E755" t="n">
        <v>15157.48</v>
      </c>
      <c r="F755" t="inlineStr">
        <is>
          <t>$4.13</t>
        </is>
      </c>
      <c r="G755" t="inlineStr">
        <is>
          <t>$1.45 B</t>
        </is>
      </c>
      <c r="H755" t="inlineStr">
        <is>
          <t>-1.2%</t>
        </is>
      </c>
    </row>
    <row r="756">
      <c r="A756" s="78" t="inlineStr">
        <is>
          <t>Thursday, February 9, 2023</t>
        </is>
      </c>
      <c r="B756" t="inlineStr">
        <is>
          <t>5:00 PM ET</t>
        </is>
      </c>
      <c r="C756" t="inlineStr">
        <is>
          <t>ZG</t>
        </is>
      </c>
      <c r="D756" t="inlineStr">
        <is>
          <t>Zillow Group, Inc.</t>
        </is>
      </c>
      <c r="E756" t="n">
        <v>9906.059999999999</v>
      </c>
      <c r="F756" t="inlineStr">
        <is>
          <t>($0.29)</t>
        </is>
      </c>
      <c r="G756" t="inlineStr">
        <is>
          <t>$414.38 M</t>
        </is>
      </c>
      <c r="H756" t="inlineStr">
        <is>
          <t>-89.3%</t>
        </is>
      </c>
    </row>
    <row r="757">
      <c r="A757" s="78" t="inlineStr">
        <is>
          <t>Friday, February 10, 2023</t>
        </is>
      </c>
      <c r="B757" t="inlineStr">
        <is>
          <t>6:30 AM ET</t>
        </is>
      </c>
      <c r="C757" t="inlineStr">
        <is>
          <t>AQN</t>
        </is>
      </c>
      <c r="D757" t="inlineStr">
        <is>
          <t>Algonquin Power &amp; Utilities Corp.</t>
        </is>
      </c>
      <c r="E757" t="n">
        <v>4823.53</v>
      </c>
      <c r="F757" t="inlineStr">
        <is>
          <t>$0.19</t>
        </is>
      </c>
      <c r="G757" t="inlineStr">
        <is>
          <t>$722.17 M</t>
        </is>
      </c>
      <c r="H757" t="inlineStr">
        <is>
          <t>21.4%</t>
        </is>
      </c>
    </row>
    <row r="758">
      <c r="A758" s="78" t="inlineStr">
        <is>
          <t>Friday, February 10, 2023</t>
        </is>
      </c>
      <c r="B758" t="inlineStr">
        <is>
          <t>6:20 AM ET</t>
        </is>
      </c>
      <c r="C758" t="inlineStr">
        <is>
          <t>AB</t>
        </is>
      </c>
      <c r="D758" t="inlineStr">
        <is>
          <t>AllianceBernstein Holding LP</t>
        </is>
      </c>
      <c r="E758" t="n">
        <v>3856.4</v>
      </c>
      <c r="F758" t="inlineStr">
        <is>
          <t>$0.57</t>
        </is>
      </c>
      <c r="G758" t="inlineStr">
        <is>
          <t>$786.70 M</t>
        </is>
      </c>
      <c r="H758" t="inlineStr">
        <is>
          <t>-37.8%</t>
        </is>
      </c>
    </row>
    <row r="759">
      <c r="A759" s="78" t="inlineStr">
        <is>
          <t>Friday, February 10, 2023</t>
        </is>
      </c>
      <c r="B759" t="inlineStr">
        <is>
          <t>7:00 AM ET</t>
        </is>
      </c>
      <c r="C759" t="inlineStr">
        <is>
          <t>BRKR</t>
        </is>
      </c>
      <c r="D759" t="inlineStr">
        <is>
          <t>Bruker Corporation</t>
        </is>
      </c>
      <c r="E759" t="n">
        <v>10008.98</v>
      </c>
      <c r="F759" t="inlineStr">
        <is>
          <t>$0.71</t>
        </is>
      </c>
      <c r="G759" t="inlineStr">
        <is>
          <t>$669.98 M</t>
        </is>
      </c>
      <c r="H759" t="inlineStr">
        <is>
          <t>-2.0%</t>
        </is>
      </c>
    </row>
    <row r="760">
      <c r="A760" s="78" t="inlineStr">
        <is>
          <t>Friday, February 10, 2023</t>
        </is>
      </c>
      <c r="B760" t="inlineStr">
        <is>
          <t>7:00 AM ET</t>
        </is>
      </c>
      <c r="C760" t="inlineStr">
        <is>
          <t>CLF</t>
        </is>
      </c>
      <c r="D760" t="inlineStr">
        <is>
          <t>Cleveland-Cliffs Inc</t>
        </is>
      </c>
      <c r="E760" t="n">
        <v>10780.13</v>
      </c>
      <c r="F760" t="inlineStr">
        <is>
          <t>($0.27)</t>
        </is>
      </c>
      <c r="G760" t="inlineStr">
        <is>
          <t>$5.51 B</t>
        </is>
      </c>
      <c r="H760" t="inlineStr">
        <is>
          <t>3.1%</t>
        </is>
      </c>
    </row>
    <row r="761">
      <c r="A761" s="78" t="inlineStr">
        <is>
          <t>Friday, February 10, 2023</t>
        </is>
      </c>
      <c r="B761" t="inlineStr">
        <is>
          <t>7:00 AM ET</t>
        </is>
      </c>
      <c r="C761" t="inlineStr">
        <is>
          <t>ENB</t>
        </is>
      </c>
      <c r="D761" t="inlineStr">
        <is>
          <t>Enbridge, Inc.</t>
        </is>
      </c>
      <c r="E761" t="n">
        <v>84397.60000000001</v>
      </c>
      <c r="F761" t="inlineStr">
        <is>
          <t>$0.57</t>
        </is>
      </c>
      <c r="G761" t="inlineStr">
        <is>
          <t>$40.08 B</t>
        </is>
      </c>
      <c r="H761" t="inlineStr">
        <is>
          <t>305.1%</t>
        </is>
      </c>
    </row>
    <row r="762">
      <c r="A762" s="78" t="inlineStr">
        <is>
          <t>Friday, February 10, 2023</t>
        </is>
      </c>
      <c r="B762" t="inlineStr">
        <is>
          <t>6:30 AM ET</t>
        </is>
      </c>
      <c r="C762" t="inlineStr">
        <is>
          <t>ESNT</t>
        </is>
      </c>
      <c r="D762" t="inlineStr">
        <is>
          <t>Essent Group Ltd</t>
        </is>
      </c>
      <c r="E762" t="n">
        <v>4312.61</v>
      </c>
      <c r="F762" t="inlineStr">
        <is>
          <t>$1.59</t>
        </is>
      </c>
      <c r="G762" t="inlineStr">
        <is>
          <t>$245.39 M</t>
        </is>
      </c>
      <c r="H762" t="inlineStr">
        <is>
          <t>-4.5%</t>
        </is>
      </c>
    </row>
    <row r="763">
      <c r="A763" s="78" t="inlineStr">
        <is>
          <t>Friday, February 10, 2023</t>
        </is>
      </c>
      <c r="B763" t="inlineStr">
        <is>
          <t>4:30 PM ET</t>
        </is>
      </c>
      <c r="C763" t="inlineStr">
        <is>
          <t>GT</t>
        </is>
      </c>
      <c r="D763" t="inlineStr">
        <is>
          <t>Goodyear Tire &amp; Rubber Company</t>
        </is>
      </c>
      <c r="E763" t="n">
        <v>3267.04</v>
      </c>
      <c r="F763" t="inlineStr">
        <is>
          <t>$0.21</t>
        </is>
      </c>
      <c r="G763" t="inlineStr">
        <is>
          <t>$5.26 B</t>
        </is>
      </c>
      <c r="H763" t="inlineStr">
        <is>
          <t>4.1%</t>
        </is>
      </c>
    </row>
    <row r="764">
      <c r="A764" s="78" t="inlineStr">
        <is>
          <t>Friday, February 10, 2023</t>
        </is>
      </c>
      <c r="B764" t="inlineStr">
        <is>
          <t>6:30 AM ET</t>
        </is>
      </c>
      <c r="C764" t="inlineStr">
        <is>
          <t>IAA</t>
        </is>
      </c>
      <c r="D764" t="inlineStr">
        <is>
          <t>IAA, Inc.</t>
        </is>
      </c>
      <c r="E764" t="n">
        <v>5396.06</v>
      </c>
      <c r="F764" t="inlineStr">
        <is>
          <t>$0.53</t>
        </is>
      </c>
      <c r="G764" t="inlineStr">
        <is>
          <t>$498.20 M</t>
        </is>
      </c>
      <c r="H764" t="inlineStr">
        <is>
          <t>-9.1%</t>
        </is>
      </c>
    </row>
    <row r="765">
      <c r="A765" s="78" t="inlineStr">
        <is>
          <t>Friday, February 10, 2023</t>
        </is>
      </c>
      <c r="B765" t="inlineStr">
        <is>
          <t>5:00 AM ET</t>
        </is>
      </c>
      <c r="C765" t="inlineStr">
        <is>
          <t>MGA</t>
        </is>
      </c>
      <c r="D765" t="inlineStr">
        <is>
          <t>Magna International Inc.</t>
        </is>
      </c>
      <c r="E765" t="n">
        <v>18628.47</v>
      </c>
      <c r="F765" t="inlineStr">
        <is>
          <t>$1.36</t>
        </is>
      </c>
      <c r="G765" t="inlineStr">
        <is>
          <t>$9.35 B</t>
        </is>
      </c>
      <c r="H765" t="inlineStr">
        <is>
          <t>2.6%</t>
        </is>
      </c>
    </row>
    <row r="766">
      <c r="A766" s="78" t="inlineStr">
        <is>
          <t>Friday, February 10, 2023</t>
        </is>
      </c>
      <c r="B766" t="inlineStr">
        <is>
          <t>7:00 AM ET</t>
        </is>
      </c>
      <c r="C766" t="inlineStr">
        <is>
          <t>COOP</t>
        </is>
      </c>
      <c r="D766" t="inlineStr">
        <is>
          <t>Mr. Cooper Group Inc.</t>
        </is>
      </c>
      <c r="E766" t="n">
        <v>3140.84</v>
      </c>
      <c r="F766" t="inlineStr">
        <is>
          <t>$0.77</t>
        </is>
      </c>
      <c r="G766" t="inlineStr">
        <is>
          <t>$448.27 M</t>
        </is>
      </c>
      <c r="H766" t="inlineStr">
        <is>
          <t>-28.3%</t>
        </is>
      </c>
    </row>
    <row r="767">
      <c r="A767" s="78" t="inlineStr">
        <is>
          <t>Friday, February 10, 2023</t>
        </is>
      </c>
      <c r="B767" t="inlineStr">
        <is>
          <t>7:00 AM ET</t>
        </is>
      </c>
      <c r="C767" t="inlineStr">
        <is>
          <t>NWL</t>
        </is>
      </c>
      <c r="D767" t="inlineStr">
        <is>
          <t>Newell Brands Inc.</t>
        </is>
      </c>
      <c r="E767" t="n">
        <v>6439.75</v>
      </c>
      <c r="F767" t="inlineStr">
        <is>
          <t>$0.12</t>
        </is>
      </c>
      <c r="G767" t="inlineStr">
        <is>
          <t>$2.23 B</t>
        </is>
      </c>
      <c r="H767" t="inlineStr">
        <is>
          <t>-20.5%</t>
        </is>
      </c>
    </row>
    <row r="768">
      <c r="A768" s="78" t="inlineStr">
        <is>
          <t>Friday, February 10, 2023</t>
        </is>
      </c>
      <c r="B768" t="inlineStr">
        <is>
          <t>9:00 AM ET</t>
        </is>
      </c>
      <c r="C768" t="inlineStr">
        <is>
          <t>SMSEY</t>
        </is>
      </c>
      <c r="D768" t="inlineStr">
        <is>
          <t>Samsonite International S.A</t>
        </is>
      </c>
      <c r="E768" t="n">
        <v>4076.77</v>
      </c>
      <c r="F768" t="inlineStr">
        <is>
          <t>-</t>
        </is>
      </c>
      <c r="G768" t="inlineStr">
        <is>
          <t>$891.00 M</t>
        </is>
      </c>
      <c r="H768" t="inlineStr">
        <is>
          <t>34.1%</t>
        </is>
      </c>
    </row>
    <row r="769">
      <c r="A769" s="78" t="inlineStr">
        <is>
          <t>Friday, February 10, 2023</t>
        </is>
      </c>
      <c r="B769" t="inlineStr">
        <is>
          <t>6:55 AM ET</t>
        </is>
      </c>
      <c r="C769" t="inlineStr">
        <is>
          <t>SXT</t>
        </is>
      </c>
      <c r="D769" t="inlineStr">
        <is>
          <t>Sensient Technologies Corporation</t>
        </is>
      </c>
      <c r="E769" t="n">
        <v>3259.6</v>
      </c>
      <c r="F769" t="inlineStr">
        <is>
          <t>-</t>
        </is>
      </c>
      <c r="G769" t="inlineStr">
        <is>
          <t>-</t>
        </is>
      </c>
      <c r="H769" t="inlineStr">
        <is>
          <t>-</t>
        </is>
      </c>
    </row>
    <row r="770">
      <c r="A770" s="78" t="inlineStr">
        <is>
          <t>Friday, February 10, 2023</t>
        </is>
      </c>
      <c r="B770" t="inlineStr">
        <is>
          <t>6:55 AM ET</t>
        </is>
      </c>
      <c r="C770" t="inlineStr">
        <is>
          <t>UA</t>
        </is>
      </c>
      <c r="D770" t="inlineStr">
        <is>
          <t>Under Armour Inc.</t>
        </is>
      </c>
      <c r="E770" t="n">
        <v>4748.48</v>
      </c>
      <c r="F770" t="inlineStr">
        <is>
          <t>-</t>
        </is>
      </c>
      <c r="G770" t="inlineStr">
        <is>
          <t>-</t>
        </is>
      </c>
      <c r="H770" t="inlineStr">
        <is>
          <t>-</t>
        </is>
      </c>
    </row>
    <row r="771">
      <c r="A771" s="78" t="inlineStr">
        <is>
          <t>Friday, February 10, 2023</t>
        </is>
      </c>
      <c r="B771" t="inlineStr">
        <is>
          <t>6:55 AM ET</t>
        </is>
      </c>
      <c r="C771" t="inlineStr">
        <is>
          <t>UAA</t>
        </is>
      </c>
      <c r="D771" t="inlineStr">
        <is>
          <t>Under Armour, Inc.</t>
        </is>
      </c>
      <c r="E771" t="n">
        <v>5386.14</v>
      </c>
      <c r="F771" t="inlineStr">
        <is>
          <t>$0.09</t>
        </is>
      </c>
      <c r="G771" t="inlineStr">
        <is>
          <t>$1.56 B</t>
        </is>
      </c>
      <c r="H771" t="inlineStr">
        <is>
          <t>2.0%</t>
        </is>
      </c>
    </row>
    <row r="772">
      <c r="A772" s="78" t="inlineStr">
        <is>
          <t>Friday, February 10, 2023</t>
        </is>
      </c>
      <c r="B772" t="inlineStr">
        <is>
          <t>7:30 AM ET</t>
        </is>
      </c>
      <c r="C772" t="inlineStr">
        <is>
          <t>WPC</t>
        </is>
      </c>
      <c r="D772" t="inlineStr">
        <is>
          <t>W. P. Carey Inc.</t>
        </is>
      </c>
      <c r="E772" t="n">
        <v>17466.43</v>
      </c>
      <c r="F772" t="inlineStr">
        <is>
          <t>$1.26</t>
        </is>
      </c>
      <c r="G772" t="inlineStr">
        <is>
          <t>$403.60 M</t>
        </is>
      </c>
      <c r="H772" t="inlineStr">
        <is>
          <t>7.7%</t>
        </is>
      </c>
    </row>
    <row r="773">
      <c r="A773" s="78" t="inlineStr">
        <is>
          <t>Monday, February 13, 2023</t>
        </is>
      </c>
      <c r="B773" t="inlineStr">
        <is>
          <t>6:55 AM ET</t>
        </is>
      </c>
      <c r="C773" t="inlineStr">
        <is>
          <t>ACM</t>
        </is>
      </c>
      <c r="D773" t="inlineStr">
        <is>
          <t>AECOM</t>
        </is>
      </c>
      <c r="E773" t="n">
        <v>12004.34</v>
      </c>
      <c r="F773" t="inlineStr">
        <is>
          <t>$0.82</t>
        </is>
      </c>
      <c r="G773" t="inlineStr">
        <is>
          <t>$3.34 B</t>
        </is>
      </c>
      <c r="H773" t="inlineStr">
        <is>
          <t>2.2%</t>
        </is>
      </c>
    </row>
    <row r="774">
      <c r="A774" s="78" t="inlineStr">
        <is>
          <t>Monday, February 13, 2023</t>
        </is>
      </c>
      <c r="B774" t="inlineStr">
        <is>
          <t>4:20 PM ET</t>
        </is>
      </c>
      <c r="C774" t="inlineStr">
        <is>
          <t>AIN</t>
        </is>
      </c>
      <c r="D774" t="inlineStr">
        <is>
          <t>Albany International Corp.</t>
        </is>
      </c>
      <c r="E774" t="n">
        <v>3347.29</v>
      </c>
      <c r="F774" t="inlineStr">
        <is>
          <t>$0.70</t>
        </is>
      </c>
      <c r="G774" t="inlineStr">
        <is>
          <t>$244.95 M</t>
        </is>
      </c>
      <c r="H774" t="inlineStr">
        <is>
          <t>2.1%</t>
        </is>
      </c>
    </row>
    <row r="775">
      <c r="A775" s="78" t="inlineStr">
        <is>
          <t>Monday, February 13, 2023</t>
        </is>
      </c>
      <c r="B775" t="inlineStr">
        <is>
          <t>4:05 PM ET</t>
        </is>
      </c>
      <c r="C775" t="inlineStr">
        <is>
          <t>AMKR</t>
        </is>
      </c>
      <c r="D775" t="inlineStr">
        <is>
          <t>Amkor Technology, Inc.</t>
        </is>
      </c>
      <c r="E775" t="n">
        <v>7508.47</v>
      </c>
      <c r="F775" t="inlineStr">
        <is>
          <t>$0.70</t>
        </is>
      </c>
      <c r="G775" t="inlineStr">
        <is>
          <t>$1.85 B</t>
        </is>
      </c>
      <c r="H775" t="inlineStr">
        <is>
          <t>7.3%</t>
        </is>
      </c>
    </row>
    <row r="776">
      <c r="A776" s="78" t="inlineStr">
        <is>
          <t>Monday, February 13, 2023</t>
        </is>
      </c>
      <c r="B776" t="inlineStr">
        <is>
          <t>4:15 PM ET</t>
        </is>
      </c>
      <c r="C776" t="inlineStr">
        <is>
          <t>ACGL</t>
        </is>
      </c>
      <c r="D776" t="inlineStr">
        <is>
          <t>Arch Capital Group Ltd.</t>
        </is>
      </c>
      <c r="E776" t="n">
        <v>23671.87</v>
      </c>
      <c r="F776" t="inlineStr">
        <is>
          <t>$1.34</t>
        </is>
      </c>
      <c r="G776" t="inlineStr">
        <is>
          <t>$2.28 B</t>
        </is>
      </c>
      <c r="H776" t="inlineStr">
        <is>
          <t>-1.4%</t>
        </is>
      </c>
    </row>
    <row r="777">
      <c r="A777" s="78" t="inlineStr">
        <is>
          <t>Monday, February 13, 2023</t>
        </is>
      </c>
      <c r="B777" t="inlineStr">
        <is>
          <t>4:05 PM ET</t>
        </is>
      </c>
      <c r="C777" t="inlineStr">
        <is>
          <t>ANET</t>
        </is>
      </c>
      <c r="D777" t="inlineStr">
        <is>
          <t>Arista Networks, Inc.</t>
        </is>
      </c>
      <c r="E777" t="n">
        <v>35538.09</v>
      </c>
      <c r="F777" t="inlineStr">
        <is>
          <t>$1.05</t>
        </is>
      </c>
      <c r="G777" t="inlineStr">
        <is>
          <t>$1.20 B</t>
        </is>
      </c>
      <c r="H777" t="inlineStr">
        <is>
          <t>45.5%</t>
        </is>
      </c>
    </row>
    <row r="778">
      <c r="A778" s="78" t="inlineStr">
        <is>
          <t>Monday, February 13, 2023</t>
        </is>
      </c>
      <c r="B778" t="inlineStr">
        <is>
          <t>4:00 PM ET</t>
        </is>
      </c>
      <c r="C778" t="inlineStr">
        <is>
          <t>CAR</t>
        </is>
      </c>
      <c r="D778" t="inlineStr">
        <is>
          <t>Avis Budget Group, Inc.</t>
        </is>
      </c>
      <c r="E778" t="n">
        <v>8066.46</v>
      </c>
      <c r="F778" t="inlineStr">
        <is>
          <t>$6.41</t>
        </is>
      </c>
      <c r="G778" t="inlineStr">
        <is>
          <t>$2.66 B</t>
        </is>
      </c>
      <c r="H778" t="inlineStr">
        <is>
          <t>3.5%</t>
        </is>
      </c>
    </row>
    <row r="779">
      <c r="A779" s="78" t="inlineStr">
        <is>
          <t>Monday, February 13, 2023</t>
        </is>
      </c>
      <c r="B779" t="inlineStr">
        <is>
          <t>4:10 PM ET</t>
        </is>
      </c>
      <c r="C779" t="inlineStr">
        <is>
          <t>AZTA</t>
        </is>
      </c>
      <c r="D779" t="inlineStr">
        <is>
          <t>Azenta, Inc.</t>
        </is>
      </c>
      <c r="E779" t="n">
        <v>4103.88</v>
      </c>
      <c r="F779" t="inlineStr">
        <is>
          <t>$0.05</t>
        </is>
      </c>
      <c r="G779" t="inlineStr">
        <is>
          <t>$181.81 M</t>
        </is>
      </c>
      <c r="H779" t="inlineStr">
        <is>
          <t>30.2%</t>
        </is>
      </c>
    </row>
    <row r="780">
      <c r="A780" s="78" t="inlineStr">
        <is>
          <t>Monday, February 13, 2023</t>
        </is>
      </c>
      <c r="B780" t="inlineStr">
        <is>
          <t>4:05 PM ET</t>
        </is>
      </c>
      <c r="C780" t="inlineStr">
        <is>
          <t>CDNS</t>
        </is>
      </c>
      <c r="D780" t="inlineStr">
        <is>
          <t>Cadence Design Systems, Inc.</t>
        </is>
      </c>
      <c r="E780" t="n">
        <v>47448.44</v>
      </c>
      <c r="F780" t="inlineStr">
        <is>
          <t>$0.70</t>
        </is>
      </c>
      <c r="G780" t="inlineStr">
        <is>
          <t>$880.57 M</t>
        </is>
      </c>
      <c r="H780" t="inlineStr">
        <is>
          <t>13.9%</t>
        </is>
      </c>
    </row>
    <row r="781">
      <c r="A781" s="78" t="inlineStr">
        <is>
          <t>Monday, February 13, 2023</t>
        </is>
      </c>
      <c r="B781" t="inlineStr">
        <is>
          <t>5:00 AM ET</t>
        </is>
      </c>
      <c r="C781" t="inlineStr">
        <is>
          <t>CHKP</t>
        </is>
      </c>
      <c r="D781" t="inlineStr">
        <is>
          <t>Check Point Software Technologies</t>
        </is>
      </c>
      <c r="E781" t="n">
        <v>16307.23</v>
      </c>
      <c r="F781" t="inlineStr">
        <is>
          <t>$2.05</t>
        </is>
      </c>
      <c r="G781" t="inlineStr">
        <is>
          <t>$636.46 M</t>
        </is>
      </c>
      <c r="H781" t="inlineStr">
        <is>
          <t>6.2%</t>
        </is>
      </c>
    </row>
    <row r="782">
      <c r="A782" s="78" t="inlineStr">
        <is>
          <t>Monday, February 13, 2023</t>
        </is>
      </c>
      <c r="B782" t="inlineStr">
        <is>
          <t>6:30 AM ET</t>
        </is>
      </c>
      <c r="C782" t="inlineStr">
        <is>
          <t>YOU</t>
        </is>
      </c>
      <c r="D782" t="inlineStr">
        <is>
          <t>CLEAR Secure, Inc.</t>
        </is>
      </c>
      <c r="E782" t="n">
        <v>4600.06</v>
      </c>
      <c r="F782" t="inlineStr">
        <is>
          <t>($0.04)</t>
        </is>
      </c>
      <c r="G782" t="inlineStr">
        <is>
          <t>$124.83 M</t>
        </is>
      </c>
      <c r="H782" t="inlineStr">
        <is>
          <t>54.8%</t>
        </is>
      </c>
    </row>
    <row r="783">
      <c r="A783" s="78" t="inlineStr">
        <is>
          <t>Monday, February 13, 2023</t>
        </is>
      </c>
      <c r="B783" t="inlineStr">
        <is>
          <t>6:00 AM ET</t>
        </is>
      </c>
      <c r="C783" t="inlineStr">
        <is>
          <t>XRAY</t>
        </is>
      </c>
      <c r="D783" t="inlineStr">
        <is>
          <t>DENTSPLY SIRONA Inc.</t>
        </is>
      </c>
      <c r="E783" t="n">
        <v>7913.06</v>
      </c>
      <c r="F783" t="inlineStr">
        <is>
          <t>$0.32</t>
        </is>
      </c>
      <c r="G783" t="inlineStr">
        <is>
          <t>$929.53 M</t>
        </is>
      </c>
      <c r="H783" t="inlineStr">
        <is>
          <t>-14.6%</t>
        </is>
      </c>
    </row>
    <row r="784">
      <c r="A784" s="78" t="inlineStr">
        <is>
          <t>Monday, February 13, 2023</t>
        </is>
      </c>
      <c r="B784" t="inlineStr">
        <is>
          <t>4:00 PM ET</t>
        </is>
      </c>
      <c r="C784" t="inlineStr">
        <is>
          <t>DLO</t>
        </is>
      </c>
      <c r="D784" t="inlineStr">
        <is>
          <t>DLocal Limited</t>
        </is>
      </c>
      <c r="E784" t="n">
        <v>4773.56</v>
      </c>
      <c r="F784" t="inlineStr">
        <is>
          <t>$0.12</t>
        </is>
      </c>
      <c r="G784" t="inlineStr">
        <is>
          <t>$124.79 M</t>
        </is>
      </c>
      <c r="H784" t="inlineStr">
        <is>
          <t>63.6%</t>
        </is>
      </c>
    </row>
    <row r="785">
      <c r="A785" s="78" t="inlineStr">
        <is>
          <t>Monday, February 13, 2023</t>
        </is>
      </c>
      <c r="B785" t="inlineStr">
        <is>
          <t>4:05 PM ET</t>
        </is>
      </c>
      <c r="C785" t="inlineStr">
        <is>
          <t>FRT</t>
        </is>
      </c>
      <c r="D785" t="inlineStr">
        <is>
          <t>Federal Realty Investment Trust</t>
        </is>
      </c>
      <c r="E785" t="n">
        <v>9002.879999999999</v>
      </c>
      <c r="F785" t="inlineStr">
        <is>
          <t>$1.56</t>
        </is>
      </c>
      <c r="G785" t="inlineStr">
        <is>
          <t>$269.75 M</t>
        </is>
      </c>
      <c r="H785" t="inlineStr">
        <is>
          <t>6.1%</t>
        </is>
      </c>
    </row>
    <row r="786">
      <c r="A786" s="78" t="inlineStr">
        <is>
          <t>Monday, February 13, 2023</t>
        </is>
      </c>
      <c r="B786" t="inlineStr">
        <is>
          <t>4:20 PM ET</t>
        </is>
      </c>
      <c r="C786" t="inlineStr">
        <is>
          <t>FE</t>
        </is>
      </c>
      <c r="D786" t="inlineStr">
        <is>
          <t>FirstEnergy Corp.</t>
        </is>
      </c>
      <c r="E786" t="n">
        <v>24579.67</v>
      </c>
      <c r="F786" t="inlineStr">
        <is>
          <t>$0.52</t>
        </is>
      </c>
      <c r="G786" t="inlineStr">
        <is>
          <t>$2.84 B</t>
        </is>
      </c>
      <c r="H786" t="inlineStr">
        <is>
          <t>6.8%</t>
        </is>
      </c>
    </row>
    <row r="787">
      <c r="A787" s="78" t="inlineStr">
        <is>
          <t>Monday, February 13, 2023</t>
        </is>
      </c>
      <c r="B787" t="inlineStr">
        <is>
          <t>4:10 PM ET</t>
        </is>
      </c>
      <c r="C787" t="inlineStr">
        <is>
          <t>IAC</t>
        </is>
      </c>
      <c r="D787" t="inlineStr">
        <is>
          <t>IAC</t>
        </is>
      </c>
      <c r="E787" t="n">
        <v>4364.33</v>
      </c>
      <c r="F787" t="inlineStr">
        <is>
          <t>($0.56)</t>
        </is>
      </c>
      <c r="G787" t="inlineStr">
        <is>
          <t>$1.41 B</t>
        </is>
      </c>
      <c r="H787" t="inlineStr">
        <is>
          <t>21.6%</t>
        </is>
      </c>
    </row>
    <row r="788">
      <c r="A788" s="78" t="inlineStr">
        <is>
          <t>Monday, February 13, 2023</t>
        </is>
      </c>
      <c r="B788" t="inlineStr">
        <is>
          <t>4:15 PM ET</t>
        </is>
      </c>
      <c r="C788" t="inlineStr">
        <is>
          <t>KRG</t>
        </is>
      </c>
      <c r="D788" t="inlineStr">
        <is>
          <t>Kite Realty Group Trust</t>
        </is>
      </c>
      <c r="E788" t="n">
        <v>4605.46</v>
      </c>
      <c r="F788" t="inlineStr">
        <is>
          <t>$0.47</t>
        </is>
      </c>
      <c r="G788" t="inlineStr">
        <is>
          <t>$193.00 M</t>
        </is>
      </c>
      <c r="H788" t="inlineStr">
        <is>
          <t>18.4%</t>
        </is>
      </c>
    </row>
    <row r="789">
      <c r="A789" s="78" t="inlineStr">
        <is>
          <t>Monday, February 13, 2023</t>
        </is>
      </c>
      <c r="B789" t="inlineStr">
        <is>
          <t>9:00 AM ET</t>
        </is>
      </c>
      <c r="C789" t="inlineStr">
        <is>
          <t>KNBE</t>
        </is>
      </c>
      <c r="D789" t="inlineStr">
        <is>
          <t>KnowBe4, Inc.</t>
        </is>
      </c>
      <c r="E789" t="n">
        <v>4339.45</v>
      </c>
      <c r="F789" t="inlineStr">
        <is>
          <t>$0.03</t>
        </is>
      </c>
      <c r="G789" t="inlineStr">
        <is>
          <t>$92.20 M</t>
        </is>
      </c>
      <c r="H789" t="inlineStr">
        <is>
          <t>33.0%</t>
        </is>
      </c>
    </row>
    <row r="790">
      <c r="A790" s="78" t="inlineStr">
        <is>
          <t>Monday, February 13, 2023</t>
        </is>
      </c>
      <c r="B790" t="inlineStr">
        <is>
          <t>4:00 PM ET</t>
        </is>
      </c>
      <c r="C790" t="inlineStr">
        <is>
          <t>LSCC</t>
        </is>
      </c>
      <c r="D790" t="inlineStr">
        <is>
          <t>Lattice Semiconductor Corp.</t>
        </is>
      </c>
      <c r="E790" t="n">
        <v>10017.67</v>
      </c>
      <c r="F790" t="inlineStr">
        <is>
          <t>$0.38</t>
        </is>
      </c>
      <c r="G790" t="inlineStr">
        <is>
          <t>$175.20 M</t>
        </is>
      </c>
      <c r="H790" t="inlineStr">
        <is>
          <t>23.6%</t>
        </is>
      </c>
    </row>
    <row r="791">
      <c r="A791" s="78" t="inlineStr">
        <is>
          <t>Monday, February 13, 2023</t>
        </is>
      </c>
      <c r="B791" t="inlineStr">
        <is>
          <t>4:15 PM ET</t>
        </is>
      </c>
      <c r="C791" t="inlineStr">
        <is>
          <t>MEDP</t>
        </is>
      </c>
      <c r="D791" t="inlineStr">
        <is>
          <t>Medpace Holdings Inc.</t>
        </is>
      </c>
      <c r="E791" t="n">
        <v>7110.06</v>
      </c>
      <c r="F791" t="inlineStr">
        <is>
          <t>$1.78</t>
        </is>
      </c>
      <c r="G791" t="inlineStr">
        <is>
          <t>$386.90 M</t>
        </is>
      </c>
      <c r="H791" t="inlineStr">
        <is>
          <t>25.4%</t>
        </is>
      </c>
    </row>
    <row r="792">
      <c r="A792" s="78" t="inlineStr">
        <is>
          <t>Monday, February 13, 2023</t>
        </is>
      </c>
      <c r="B792" t="inlineStr">
        <is>
          <t>7:00 AM ET</t>
        </is>
      </c>
      <c r="C792" t="inlineStr">
        <is>
          <t>MNDY</t>
        </is>
      </c>
      <c r="D792" t="inlineStr">
        <is>
          <t>monday.com Ltd.</t>
        </is>
      </c>
      <c r="E792" t="n">
        <v>5455.7</v>
      </c>
      <c r="F792" t="inlineStr">
        <is>
          <t>($1.05)</t>
        </is>
      </c>
      <c r="G792" t="inlineStr">
        <is>
          <t>$141.29 M</t>
        </is>
      </c>
      <c r="H792" t="inlineStr">
        <is>
          <t>47.9%</t>
        </is>
      </c>
    </row>
    <row r="793">
      <c r="A793" s="78" t="inlineStr">
        <is>
          <t>Monday, February 13, 2023</t>
        </is>
      </c>
      <c r="B793" t="inlineStr">
        <is>
          <t>4:15 PM ET</t>
        </is>
      </c>
      <c r="C793" t="inlineStr">
        <is>
          <t>NU</t>
        </is>
      </c>
      <c r="D793" t="inlineStr">
        <is>
          <t>Nu Holdings Ltd.</t>
        </is>
      </c>
      <c r="E793" t="n">
        <v>16918.66</v>
      </c>
      <c r="F793" t="inlineStr">
        <is>
          <t>($0.01)</t>
        </is>
      </c>
      <c r="G793" t="inlineStr">
        <is>
          <t>$1.46 B</t>
        </is>
      </c>
      <c r="H793" t="inlineStr">
        <is>
          <t>-</t>
        </is>
      </c>
    </row>
    <row r="794">
      <c r="A794" s="78" t="inlineStr">
        <is>
          <t>Monday, February 13, 2023</t>
        </is>
      </c>
      <c r="B794" t="inlineStr">
        <is>
          <t>4:15 PM ET</t>
        </is>
      </c>
      <c r="C794" t="inlineStr">
        <is>
          <t>PRI</t>
        </is>
      </c>
      <c r="D794" t="inlineStr">
        <is>
          <t>Primerica, Inc.</t>
        </is>
      </c>
      <c r="E794" t="n">
        <v>5599.3</v>
      </c>
      <c r="F794" t="inlineStr">
        <is>
          <t>$2.96</t>
        </is>
      </c>
      <c r="G794" t="inlineStr">
        <is>
          <t>$693.29 M</t>
        </is>
      </c>
      <c r="H794" t="inlineStr">
        <is>
          <t>-4.3%</t>
        </is>
      </c>
    </row>
    <row r="795">
      <c r="A795" s="78" t="inlineStr">
        <is>
          <t>Monday, February 13, 2023</t>
        </is>
      </c>
      <c r="B795" t="inlineStr">
        <is>
          <t>7:00 AM ET</t>
        </is>
      </c>
      <c r="C795" t="inlineStr">
        <is>
          <t>ROIV</t>
        </is>
      </c>
      <c r="D795" t="inlineStr">
        <is>
          <t>Roivant Sciences Ltd.</t>
        </is>
      </c>
      <c r="E795" t="n">
        <v>6614.08</v>
      </c>
      <c r="F795" t="inlineStr">
        <is>
          <t>($0.36)</t>
        </is>
      </c>
      <c r="G795" t="inlineStr">
        <is>
          <t>$12.66 M</t>
        </is>
      </c>
      <c r="H795" t="inlineStr">
        <is>
          <t>-48.0%</t>
        </is>
      </c>
    </row>
    <row r="796">
      <c r="A796" s="78" t="inlineStr">
        <is>
          <t>Monday, February 13, 2023</t>
        </is>
      </c>
      <c r="B796" t="inlineStr">
        <is>
          <t>4:15 PM ET</t>
        </is>
      </c>
      <c r="C796" t="inlineStr">
        <is>
          <t>SCI</t>
        </is>
      </c>
      <c r="D796" t="inlineStr">
        <is>
          <t>Service Corporation International</t>
        </is>
      </c>
      <c r="E796" t="n">
        <v>10755.62</v>
      </c>
      <c r="F796" t="inlineStr">
        <is>
          <t>$0.80</t>
        </is>
      </c>
      <c r="G796" t="inlineStr">
        <is>
          <t>$954.11 M</t>
        </is>
      </c>
      <c r="H796" t="inlineStr">
        <is>
          <t>-8.5%</t>
        </is>
      </c>
    </row>
    <row r="797">
      <c r="A797" s="78" t="inlineStr">
        <is>
          <t>Monday, February 13, 2023</t>
        </is>
      </c>
      <c r="B797" t="inlineStr">
        <is>
          <t>4:05 PM ET</t>
        </is>
      </c>
      <c r="C797" t="inlineStr">
        <is>
          <t>SHLS</t>
        </is>
      </c>
      <c r="D797" t="inlineStr">
        <is>
          <t>Shoals Technologies Group, Inc.</t>
        </is>
      </c>
      <c r="E797" t="n">
        <v>4691.78</v>
      </c>
      <c r="F797" t="inlineStr">
        <is>
          <t>$0.06</t>
        </is>
      </c>
      <c r="G797" t="inlineStr">
        <is>
          <t>$87.22 M</t>
        </is>
      </c>
      <c r="H797" t="inlineStr">
        <is>
          <t>81.5%</t>
        </is>
      </c>
    </row>
    <row r="798">
      <c r="A798" s="78" t="inlineStr">
        <is>
          <t>Monday, February 13, 2023</t>
        </is>
      </c>
      <c r="B798" t="inlineStr">
        <is>
          <t>4:10 PM ET</t>
        </is>
      </c>
      <c r="C798" t="inlineStr">
        <is>
          <t>SRC</t>
        </is>
      </c>
      <c r="D798" t="inlineStr">
        <is>
          <t>Spirit Realty Capital, Inc.</t>
        </is>
      </c>
      <c r="E798" t="n">
        <v>5928.58</v>
      </c>
      <c r="F798" t="inlineStr">
        <is>
          <t>$0.86</t>
        </is>
      </c>
      <c r="G798" t="inlineStr">
        <is>
          <t>$184.70 M</t>
        </is>
      </c>
      <c r="H798" t="inlineStr">
        <is>
          <t>18.4%</t>
        </is>
      </c>
    </row>
    <row r="799">
      <c r="A799" s="78" t="inlineStr">
        <is>
          <t>Monday, February 13, 2023</t>
        </is>
      </c>
      <c r="B799" t="inlineStr">
        <is>
          <t>6:00 AM ET</t>
        </is>
      </c>
      <c r="C799" t="inlineStr">
        <is>
          <t>TWKS</t>
        </is>
      </c>
      <c r="D799" t="inlineStr">
        <is>
          <t>Thoughtworks</t>
        </is>
      </c>
      <c r="E799" t="n">
        <v>3531.34</v>
      </c>
      <c r="F799" t="inlineStr">
        <is>
          <t>$0.02</t>
        </is>
      </c>
      <c r="G799" t="inlineStr">
        <is>
          <t>$305.57 M</t>
        </is>
      </c>
      <c r="H799" t="inlineStr">
        <is>
          <t>6.5%</t>
        </is>
      </c>
    </row>
    <row r="800">
      <c r="A800" s="78" t="inlineStr">
        <is>
          <t>Monday, February 13, 2023</t>
        </is>
      </c>
      <c r="B800" t="inlineStr">
        <is>
          <t>7:00 AM ET</t>
        </is>
      </c>
      <c r="C800" t="inlineStr">
        <is>
          <t>TSEM</t>
        </is>
      </c>
      <c r="D800" t="inlineStr">
        <is>
          <t>Tower Semiconductor Ltd.</t>
        </is>
      </c>
      <c r="E800" t="n">
        <v>4801.98</v>
      </c>
      <c r="F800" t="inlineStr">
        <is>
          <t>$0.49</t>
        </is>
      </c>
      <c r="G800" t="inlineStr">
        <is>
          <t>$395.79 M</t>
        </is>
      </c>
      <c r="H800" t="inlineStr">
        <is>
          <t>-4.0%</t>
        </is>
      </c>
    </row>
    <row r="801">
      <c r="A801" s="78" t="inlineStr">
        <is>
          <t>Monday, February 13, 2023</t>
        </is>
      </c>
      <c r="B801" t="inlineStr">
        <is>
          <t>4:15 PM ET</t>
        </is>
      </c>
      <c r="C801" t="inlineStr">
        <is>
          <t>TNET</t>
        </is>
      </c>
      <c r="D801" t="inlineStr">
        <is>
          <t>TriNet Group, Inc.</t>
        </is>
      </c>
      <c r="E801" t="n">
        <v>4547.78</v>
      </c>
      <c r="F801" t="inlineStr">
        <is>
          <t>$0.13</t>
        </is>
      </c>
      <c r="G801" t="inlineStr">
        <is>
          <t>$250.09 M</t>
        </is>
      </c>
      <c r="H801" t="inlineStr">
        <is>
          <t>-79.7%</t>
        </is>
      </c>
    </row>
    <row r="802">
      <c r="A802" s="78" t="inlineStr">
        <is>
          <t>Monday, February 13, 2023</t>
        </is>
      </c>
      <c r="B802" t="inlineStr">
        <is>
          <t>4:25 PM ET</t>
        </is>
      </c>
      <c r="C802" t="inlineStr">
        <is>
          <t>VNO</t>
        </is>
      </c>
      <c r="D802" t="inlineStr">
        <is>
          <t>Vornado Realty Trust</t>
        </is>
      </c>
      <c r="E802" t="n">
        <v>4469.33</v>
      </c>
      <c r="F802" t="inlineStr">
        <is>
          <t>$0.68</t>
        </is>
      </c>
      <c r="G802" t="inlineStr">
        <is>
          <t>$438.72 M</t>
        </is>
      </c>
      <c r="H802" t="inlineStr">
        <is>
          <t>4.2%</t>
        </is>
      </c>
    </row>
    <row r="803">
      <c r="A803" s="78" t="inlineStr">
        <is>
          <t>Monday, February 13, 2023</t>
        </is>
      </c>
      <c r="B803" t="inlineStr">
        <is>
          <t>5:20 PM ET</t>
        </is>
      </c>
      <c r="C803" t="inlineStr">
        <is>
          <t>ZD</t>
        </is>
      </c>
      <c r="D803" t="inlineStr">
        <is>
          <t>Ziff Davis, Inc.</t>
        </is>
      </c>
      <c r="E803" t="n">
        <v>3893.78</v>
      </c>
      <c r="F803" t="inlineStr">
        <is>
          <t>$2.34</t>
        </is>
      </c>
      <c r="G803" t="inlineStr">
        <is>
          <t>$418.74 M</t>
        </is>
      </c>
      <c r="H803" t="inlineStr">
        <is>
          <t>2.5%</t>
        </is>
      </c>
    </row>
    <row r="804">
      <c r="A804" s="78" t="inlineStr">
        <is>
          <t>Tuesday, February 14, 2023</t>
        </is>
      </c>
      <c r="B804" t="inlineStr">
        <is>
          <t>4:30 PM ET</t>
        </is>
      </c>
      <c r="C804" t="inlineStr">
        <is>
          <t>AAP</t>
        </is>
      </c>
      <c r="D804" t="inlineStr">
        <is>
          <t>Advance Auto Parts Inc.</t>
        </is>
      </c>
      <c r="E804" t="n">
        <v>8970.24</v>
      </c>
      <c r="F804" t="inlineStr">
        <is>
          <t>$2.43</t>
        </is>
      </c>
      <c r="G804" t="inlineStr">
        <is>
          <t>$2.43 B</t>
        </is>
      </c>
      <c r="H804" t="inlineStr">
        <is>
          <t>1.4%</t>
        </is>
      </c>
    </row>
    <row r="805">
      <c r="A805" s="78" t="inlineStr">
        <is>
          <t>Tuesday, February 14, 2023</t>
        </is>
      </c>
      <c r="B805" t="inlineStr">
        <is>
          <t>4:05 PM ET</t>
        </is>
      </c>
      <c r="C805" t="inlineStr">
        <is>
          <t>ADC</t>
        </is>
      </c>
      <c r="D805" t="inlineStr">
        <is>
          <t>Agree Realty Corp.</t>
        </is>
      </c>
      <c r="E805" t="n">
        <v>6630.59</v>
      </c>
      <c r="F805" t="inlineStr">
        <is>
          <t>$0.95</t>
        </is>
      </c>
      <c r="G805" t="inlineStr">
        <is>
          <t>$114.39 M</t>
        </is>
      </c>
      <c r="H805" t="inlineStr">
        <is>
          <t>25.1%</t>
        </is>
      </c>
    </row>
    <row r="806">
      <c r="A806" s="78" t="inlineStr">
        <is>
          <t>Tuesday, February 14, 2023</t>
        </is>
      </c>
      <c r="B806" t="inlineStr">
        <is>
          <t>4:05 PM ET</t>
        </is>
      </c>
      <c r="C806" t="inlineStr">
        <is>
          <t>ABNB</t>
        </is>
      </c>
      <c r="D806" t="inlineStr">
        <is>
          <t>Airbnb, Inc.</t>
        </is>
      </c>
      <c r="E806" t="n">
        <v>65053.53</v>
      </c>
      <c r="F806" t="inlineStr">
        <is>
          <t>$0.25</t>
        </is>
      </c>
      <c r="G806" t="inlineStr">
        <is>
          <t>$1.85 B</t>
        </is>
      </c>
      <c r="H806" t="inlineStr">
        <is>
          <t>20.7%</t>
        </is>
      </c>
    </row>
    <row r="807">
      <c r="A807" s="78" t="inlineStr">
        <is>
          <t>Tuesday, February 14, 2023</t>
        </is>
      </c>
      <c r="B807" t="inlineStr">
        <is>
          <t>4:00 PM ET</t>
        </is>
      </c>
      <c r="C807" t="inlineStr">
        <is>
          <t>AKAM</t>
        </is>
      </c>
      <c r="D807" t="inlineStr">
        <is>
          <t>Akamai Technologies, Inc.</t>
        </is>
      </c>
      <c r="E807" t="n">
        <v>13975.69</v>
      </c>
      <c r="F807" t="inlineStr">
        <is>
          <t>$1.00</t>
        </is>
      </c>
      <c r="G807" t="inlineStr">
        <is>
          <t>$904.41 M</t>
        </is>
      </c>
      <c r="H807" t="inlineStr">
        <is>
          <t>-0.1%</t>
        </is>
      </c>
    </row>
    <row r="808">
      <c r="A808" s="78" t="inlineStr">
        <is>
          <t>Tuesday, February 14, 2023</t>
        </is>
      </c>
      <c r="B808" t="inlineStr">
        <is>
          <t>4:30 PM ET</t>
        </is>
      </c>
      <c r="C808" t="inlineStr">
        <is>
          <t>ALC</t>
        </is>
      </c>
      <c r="D808" t="inlineStr">
        <is>
          <t>Alcon Inc.</t>
        </is>
      </c>
      <c r="E808" t="n">
        <v>36403.66</v>
      </c>
      <c r="F808" t="inlineStr">
        <is>
          <t>$0.42</t>
        </is>
      </c>
      <c r="G808" t="inlineStr">
        <is>
          <t>$2.16 B</t>
        </is>
      </c>
      <c r="H808" t="inlineStr">
        <is>
          <t>0.5%</t>
        </is>
      </c>
    </row>
    <row r="809">
      <c r="A809" s="78" t="inlineStr">
        <is>
          <t>Tuesday, February 14, 2023</t>
        </is>
      </c>
      <c r="B809" t="inlineStr">
        <is>
          <t>5:30 AM ET</t>
        </is>
      </c>
      <c r="C809" t="inlineStr">
        <is>
          <t>ALLE</t>
        </is>
      </c>
      <c r="D809" t="inlineStr">
        <is>
          <t>Allegion plc</t>
        </is>
      </c>
      <c r="E809" t="n">
        <v>9908.02</v>
      </c>
      <c r="F809" t="inlineStr">
        <is>
          <t>$1.37</t>
        </is>
      </c>
      <c r="G809" t="inlineStr">
        <is>
          <t>$845.40 M</t>
        </is>
      </c>
      <c r="H809" t="inlineStr">
        <is>
          <t>19.2%</t>
        </is>
      </c>
    </row>
    <row r="810">
      <c r="A810" s="78" t="inlineStr">
        <is>
          <t>Tuesday, February 14, 2023</t>
        </is>
      </c>
      <c r="B810" t="inlineStr">
        <is>
          <t>8:30 AM ET</t>
        </is>
      </c>
      <c r="C810" t="inlineStr">
        <is>
          <t>BKI</t>
        </is>
      </c>
      <c r="D810" t="inlineStr">
        <is>
          <t>Black Knight, Inc.</t>
        </is>
      </c>
      <c r="E810" t="n">
        <v>9338.200000000001</v>
      </c>
      <c r="F810" t="inlineStr">
        <is>
          <t>$0.49</t>
        </is>
      </c>
      <c r="G810" t="inlineStr">
        <is>
          <t>$389.37 M</t>
        </is>
      </c>
      <c r="H810" t="inlineStr">
        <is>
          <t>0.8%</t>
        </is>
      </c>
    </row>
    <row r="811">
      <c r="A811" s="78" t="inlineStr">
        <is>
          <t>Tuesday, February 14, 2023</t>
        </is>
      </c>
      <c r="B811" t="inlineStr">
        <is>
          <t>4:05 PM ET</t>
        </is>
      </c>
      <c r="C811" t="inlineStr">
        <is>
          <t>BRX</t>
        </is>
      </c>
      <c r="D811" t="inlineStr">
        <is>
          <t>Brixmor Property Group Inc.</t>
        </is>
      </c>
      <c r="E811" t="n">
        <v>6844.02</v>
      </c>
      <c r="F811" t="inlineStr">
        <is>
          <t>$0.49</t>
        </is>
      </c>
      <c r="G811" t="inlineStr">
        <is>
          <t>$309.29 M</t>
        </is>
      </c>
      <c r="H811" t="inlineStr">
        <is>
          <t>4.7%</t>
        </is>
      </c>
    </row>
    <row r="812">
      <c r="A812" s="78" t="inlineStr">
        <is>
          <t>Tuesday, February 14, 2023</t>
        </is>
      </c>
      <c r="B812" t="inlineStr">
        <is>
          <t>8:10 AM ET</t>
        </is>
      </c>
      <c r="C812" t="inlineStr">
        <is>
          <t>CAE</t>
        </is>
      </c>
      <c r="D812" t="inlineStr">
        <is>
          <t>Cae Inc</t>
        </is>
      </c>
      <c r="E812" t="n">
        <v>6821.27</v>
      </c>
      <c r="F812" t="inlineStr">
        <is>
          <t>$0.20</t>
        </is>
      </c>
      <c r="G812" t="inlineStr">
        <is>
          <t>$780.01 M</t>
        </is>
      </c>
      <c r="H812" t="inlineStr">
        <is>
          <t>15.2%</t>
        </is>
      </c>
    </row>
    <row r="813">
      <c r="A813" s="78" t="inlineStr">
        <is>
          <t>Tuesday, February 14, 2023</t>
        </is>
      </c>
      <c r="B813" t="inlineStr">
        <is>
          <t>4:30 PM ET</t>
        </is>
      </c>
      <c r="C813" t="inlineStr">
        <is>
          <t>CF</t>
        </is>
      </c>
      <c r="D813" t="inlineStr">
        <is>
          <t>CF Industries Holdings, Inc.</t>
        </is>
      </c>
      <c r="E813" t="n">
        <v>16872.29</v>
      </c>
      <c r="F813" t="inlineStr">
        <is>
          <t>$4.13</t>
        </is>
      </c>
      <c r="G813" t="inlineStr">
        <is>
          <t>$2.93 B</t>
        </is>
      </c>
      <c r="H813" t="inlineStr">
        <is>
          <t>15.4%</t>
        </is>
      </c>
    </row>
    <row r="814">
      <c r="A814" s="78" t="inlineStr">
        <is>
          <t>Tuesday, February 14, 2023</t>
        </is>
      </c>
      <c r="B814" t="inlineStr">
        <is>
          <t>6:55 AM ET</t>
        </is>
      </c>
      <c r="C814" t="inlineStr">
        <is>
          <t>KO</t>
        </is>
      </c>
      <c r="D814" t="inlineStr">
        <is>
          <t>Coca-Cola Company</t>
        </is>
      </c>
      <c r="E814" t="n">
        <v>266735.97</v>
      </c>
      <c r="F814" t="inlineStr">
        <is>
          <t>$0.45</t>
        </is>
      </c>
      <c r="G814" t="inlineStr">
        <is>
          <t>$10.00 B</t>
        </is>
      </c>
      <c r="H814" t="inlineStr">
        <is>
          <t>5.7%</t>
        </is>
      </c>
    </row>
    <row r="815">
      <c r="A815" s="78" t="inlineStr">
        <is>
          <t>Tuesday, February 14, 2023</t>
        </is>
      </c>
      <c r="B815" t="inlineStr">
        <is>
          <t>4:20 PM ET</t>
        </is>
      </c>
      <c r="C815" t="inlineStr">
        <is>
          <t>CRK</t>
        </is>
      </c>
      <c r="D815" t="inlineStr">
        <is>
          <t>Comstock Resources Inc.</t>
        </is>
      </c>
      <c r="E815" t="n">
        <v>3052.88</v>
      </c>
      <c r="F815" t="inlineStr">
        <is>
          <t>$0.93</t>
        </is>
      </c>
      <c r="G815" t="inlineStr">
        <is>
          <t>$817.30 M</t>
        </is>
      </c>
      <c r="H815" t="inlineStr">
        <is>
          <t>24.7%</t>
        </is>
      </c>
    </row>
    <row r="816">
      <c r="A816" s="78" t="inlineStr">
        <is>
          <t>Tuesday, February 14, 2023</t>
        </is>
      </c>
      <c r="B816" t="inlineStr">
        <is>
          <t>4:00 PM ET</t>
        </is>
      </c>
      <c r="C816" t="inlineStr">
        <is>
          <t>CRSP</t>
        </is>
      </c>
      <c r="D816" t="inlineStr">
        <is>
          <t>CRISPR Therapeutics AG</t>
        </is>
      </c>
      <c r="E816" t="n">
        <v>4053.29</v>
      </c>
      <c r="F816" t="inlineStr">
        <is>
          <t>($2.30)</t>
        </is>
      </c>
      <c r="G816" t="inlineStr">
        <is>
          <t>$7.12 M</t>
        </is>
      </c>
      <c r="H816" t="inlineStr">
        <is>
          <t>-44.8%</t>
        </is>
      </c>
    </row>
    <row r="817">
      <c r="A817" s="78" t="inlineStr">
        <is>
          <t>Tuesday, February 14, 2023</t>
        </is>
      </c>
      <c r="B817" t="inlineStr">
        <is>
          <t>4:05 PM ET</t>
        </is>
      </c>
      <c r="C817" t="inlineStr">
        <is>
          <t>DVN</t>
        </is>
      </c>
      <c r="D817" t="inlineStr">
        <is>
          <t>Devon Energy Corp.</t>
        </is>
      </c>
      <c r="E817" t="n">
        <v>41503.41</v>
      </c>
      <c r="F817" t="inlineStr">
        <is>
          <t>$1.86</t>
        </is>
      </c>
      <c r="G817" t="inlineStr">
        <is>
          <t>$5.03 B</t>
        </is>
      </c>
      <c r="H817" t="inlineStr">
        <is>
          <t>17.7%</t>
        </is>
      </c>
    </row>
    <row r="818">
      <c r="A818" s="78" t="inlineStr">
        <is>
          <t>Tuesday, February 14, 2023</t>
        </is>
      </c>
      <c r="B818" t="inlineStr">
        <is>
          <t>8:00 AM ET</t>
        </is>
      </c>
      <c r="C818" t="inlineStr">
        <is>
          <t>ECL</t>
        </is>
      </c>
      <c r="D818" t="inlineStr">
        <is>
          <t>Ecolab Inc.</t>
        </is>
      </c>
      <c r="E818" t="n">
        <v>43635.66</v>
      </c>
      <c r="F818" t="inlineStr">
        <is>
          <t>$1.25</t>
        </is>
      </c>
      <c r="G818" t="inlineStr">
        <is>
          <t>$3.68 B</t>
        </is>
      </c>
      <c r="H818" t="inlineStr">
        <is>
          <t>9.4%</t>
        </is>
      </c>
    </row>
    <row r="819">
      <c r="A819" s="78" t="inlineStr">
        <is>
          <t>Tuesday, February 14, 2023</t>
        </is>
      </c>
      <c r="B819" t="inlineStr">
        <is>
          <t>7:15 AM ET</t>
        </is>
      </c>
      <c r="C819" t="inlineStr">
        <is>
          <t>DAVA</t>
        </is>
      </c>
      <c r="D819" t="inlineStr">
        <is>
          <t>Endava</t>
        </is>
      </c>
      <c r="E819" t="n">
        <v>4683.02</v>
      </c>
      <c r="F819" t="inlineStr">
        <is>
          <t>$0.45</t>
        </is>
      </c>
      <c r="G819" t="inlineStr">
        <is>
          <t>$240.65 M</t>
        </is>
      </c>
      <c r="H819" t="inlineStr">
        <is>
          <t>11.0%</t>
        </is>
      </c>
    </row>
    <row r="820">
      <c r="A820" s="78" t="inlineStr">
        <is>
          <t>Tuesday, February 14, 2023</t>
        </is>
      </c>
      <c r="B820" t="inlineStr">
        <is>
          <t>7:00 AM ET</t>
        </is>
      </c>
      <c r="C820" t="inlineStr">
        <is>
          <t>ESMT</t>
        </is>
      </c>
      <c r="D820" t="inlineStr">
        <is>
          <t>EngageSmart, Inc.</t>
        </is>
      </c>
      <c r="E820" t="n">
        <v>3116.03</v>
      </c>
      <c r="F820" t="inlineStr">
        <is>
          <t>$0.04</t>
        </is>
      </c>
      <c r="G820" t="inlineStr">
        <is>
          <t>$81.40 M</t>
        </is>
      </c>
      <c r="H820" t="inlineStr">
        <is>
          <t>32.1%</t>
        </is>
      </c>
    </row>
    <row r="821">
      <c r="A821" s="78" t="inlineStr">
        <is>
          <t>Tuesday, February 14, 2023</t>
        </is>
      </c>
      <c r="B821" t="inlineStr">
        <is>
          <t>6:50 AM ET</t>
        </is>
      </c>
      <c r="C821" t="inlineStr">
        <is>
          <t>EXC</t>
        </is>
      </c>
      <c r="D821" t="inlineStr">
        <is>
          <t>Exelon Corp.</t>
        </is>
      </c>
      <c r="E821" t="n">
        <v>42889.91</v>
      </c>
      <c r="F821" t="inlineStr">
        <is>
          <t>$0.44</t>
        </is>
      </c>
      <c r="G821" t="inlineStr">
        <is>
          <t>$4.25 B</t>
        </is>
      </c>
      <c r="H821" t="inlineStr">
        <is>
          <t>-55.9%</t>
        </is>
      </c>
    </row>
    <row r="822">
      <c r="A822" s="78" t="inlineStr">
        <is>
          <t>Tuesday, February 14, 2023</t>
        </is>
      </c>
      <c r="B822" t="inlineStr">
        <is>
          <t>7:00 AM ET</t>
        </is>
      </c>
      <c r="C822" t="inlineStr">
        <is>
          <t>FIS</t>
        </is>
      </c>
      <c r="D822" t="inlineStr">
        <is>
          <t>Fidelity National Information Services Inc</t>
        </is>
      </c>
      <c r="E822" t="n">
        <v>42373.23</v>
      </c>
      <c r="F822" t="inlineStr">
        <is>
          <t>$1.70</t>
        </is>
      </c>
      <c r="G822" t="inlineStr">
        <is>
          <t>$3.68 B</t>
        </is>
      </c>
      <c r="H822" t="inlineStr">
        <is>
          <t>0.2%</t>
        </is>
      </c>
    </row>
    <row r="823">
      <c r="A823" s="78" t="inlineStr">
        <is>
          <t>Tuesday, February 14, 2023</t>
        </is>
      </c>
      <c r="B823" t="inlineStr">
        <is>
          <t>8:00 AM ET</t>
        </is>
      </c>
      <c r="C823" t="inlineStr">
        <is>
          <t>FELE</t>
        </is>
      </c>
      <c r="D823" t="inlineStr">
        <is>
          <t>Franklin Electric Co. Inc.</t>
        </is>
      </c>
      <c r="E823" t="n">
        <v>3998.22</v>
      </c>
      <c r="F823" t="inlineStr">
        <is>
          <t>$0.93</t>
        </is>
      </c>
      <c r="G823" t="inlineStr">
        <is>
          <t>$482.00 M</t>
        </is>
      </c>
      <c r="H823" t="inlineStr">
        <is>
          <t>11.4%</t>
        </is>
      </c>
    </row>
    <row r="824">
      <c r="A824" s="78" t="inlineStr">
        <is>
          <t>Tuesday, February 14, 2023</t>
        </is>
      </c>
      <c r="B824" t="inlineStr">
        <is>
          <t>7:00 AM ET</t>
        </is>
      </c>
      <c r="C824" t="inlineStr">
        <is>
          <t>GFS</t>
        </is>
      </c>
      <c r="D824" t="inlineStr">
        <is>
          <t>GlobalFoundries</t>
        </is>
      </c>
      <c r="E824" t="n">
        <v>31400.17</v>
      </c>
      <c r="F824" t="inlineStr">
        <is>
          <t>$1.27</t>
        </is>
      </c>
      <c r="G824" t="inlineStr">
        <is>
          <t>$2.08 B</t>
        </is>
      </c>
      <c r="H824" t="inlineStr">
        <is>
          <t>12.6%</t>
        </is>
      </c>
    </row>
    <row r="825">
      <c r="A825" s="78" t="inlineStr">
        <is>
          <t>Tuesday, February 14, 2023</t>
        </is>
      </c>
      <c r="B825" t="inlineStr">
        <is>
          <t>4:05 PM ET</t>
        </is>
      </c>
      <c r="C825" t="inlineStr">
        <is>
          <t>GDDY</t>
        </is>
      </c>
      <c r="D825" t="inlineStr">
        <is>
          <t>GoDaddy Inc.</t>
        </is>
      </c>
      <c r="E825" t="n">
        <v>11782.32</v>
      </c>
      <c r="F825" t="inlineStr">
        <is>
          <t>$0.62</t>
        </is>
      </c>
      <c r="G825" t="inlineStr">
        <is>
          <t>$1.04 B</t>
        </is>
      </c>
      <c r="H825" t="inlineStr">
        <is>
          <t>2.0%</t>
        </is>
      </c>
    </row>
    <row r="826">
      <c r="A826" s="78" t="inlineStr">
        <is>
          <t>Tuesday, February 14, 2023</t>
        </is>
      </c>
      <c r="B826" t="inlineStr">
        <is>
          <t>4:30 PM ET</t>
        </is>
      </c>
      <c r="C826" t="inlineStr">
        <is>
          <t>GXO</t>
        </is>
      </c>
      <c r="D826" t="inlineStr">
        <is>
          <t>GXO Logistics, Inc.</t>
        </is>
      </c>
      <c r="E826" t="n">
        <v>6233.28</v>
      </c>
      <c r="F826" t="inlineStr">
        <is>
          <t>$0.75</t>
        </is>
      </c>
      <c r="G826" t="inlineStr">
        <is>
          <t>$2.52 B</t>
        </is>
      </c>
      <c r="H826" t="inlineStr">
        <is>
          <t>11.4%</t>
        </is>
      </c>
    </row>
    <row r="827">
      <c r="A827" s="78" t="inlineStr">
        <is>
          <t>Tuesday, February 14, 2023</t>
        </is>
      </c>
      <c r="B827" t="inlineStr">
        <is>
          <t>6:00 AM ET</t>
        </is>
      </c>
      <c r="C827" t="inlineStr">
        <is>
          <t>HE</t>
        </is>
      </c>
      <c r="D827" t="inlineStr">
        <is>
          <t>Hawaiian Electric Industries, Inc.</t>
        </is>
      </c>
      <c r="E827" t="n">
        <v>4585.72</v>
      </c>
      <c r="F827" t="inlineStr">
        <is>
          <t>-</t>
        </is>
      </c>
      <c r="G827" t="inlineStr">
        <is>
          <t>-</t>
        </is>
      </c>
      <c r="H827" t="inlineStr">
        <is>
          <t>-</t>
        </is>
      </c>
    </row>
    <row r="828">
      <c r="A828" s="78" t="inlineStr">
        <is>
          <t>Tuesday, February 14, 2023</t>
        </is>
      </c>
      <c r="B828" t="inlineStr">
        <is>
          <t>6:30 AM ET</t>
        </is>
      </c>
      <c r="C828" t="inlineStr">
        <is>
          <t>HSIC</t>
        </is>
      </c>
      <c r="D828" t="inlineStr">
        <is>
          <t>Henry Schein, Inc.</t>
        </is>
      </c>
      <c r="E828" t="n">
        <v>10960.38</v>
      </c>
      <c r="F828" t="inlineStr">
        <is>
          <t>$1.21</t>
        </is>
      </c>
      <c r="G828" t="inlineStr">
        <is>
          <t>$3.42 B</t>
        </is>
      </c>
      <c r="H828" t="inlineStr">
        <is>
          <t>2.7%</t>
        </is>
      </c>
    </row>
    <row r="829">
      <c r="A829" s="78" t="inlineStr">
        <is>
          <t>Tuesday, February 14, 2023</t>
        </is>
      </c>
      <c r="B829" t="inlineStr">
        <is>
          <t>6:00 AM ET</t>
        </is>
      </c>
      <c r="C829" t="inlineStr">
        <is>
          <t>HD</t>
        </is>
      </c>
      <c r="D829" t="inlineStr">
        <is>
          <t>Home Depot, Inc.</t>
        </is>
      </c>
      <c r="E829" t="n">
        <v>335301.13</v>
      </c>
      <c r="F829" t="inlineStr">
        <is>
          <t>$3.27</t>
        </is>
      </c>
      <c r="G829" t="inlineStr">
        <is>
          <t>$35.99 B</t>
        </is>
      </c>
      <c r="H829" t="inlineStr">
        <is>
          <t>0.8%</t>
        </is>
      </c>
    </row>
    <row r="830">
      <c r="A830" s="78" t="inlineStr">
        <is>
          <t>Tuesday, February 14, 2023</t>
        </is>
      </c>
      <c r="B830" t="inlineStr">
        <is>
          <t>7:00 AM ET</t>
        </is>
      </c>
      <c r="C830" t="inlineStr">
        <is>
          <t>HWM</t>
        </is>
      </c>
      <c r="D830" t="inlineStr">
        <is>
          <t>Howmet Aerospace</t>
        </is>
      </c>
      <c r="E830" t="n">
        <v>16800.85</v>
      </c>
      <c r="F830" t="inlineStr">
        <is>
          <t>$0.38</t>
        </is>
      </c>
      <c r="G830" t="inlineStr">
        <is>
          <t>$1.47 B</t>
        </is>
      </c>
      <c r="H830" t="inlineStr">
        <is>
          <t>14.4%</t>
        </is>
      </c>
    </row>
    <row r="831">
      <c r="A831" s="78" t="inlineStr">
        <is>
          <t>Tuesday, February 14, 2023</t>
        </is>
      </c>
      <c r="B831" t="inlineStr">
        <is>
          <t>4:15 PM ET</t>
        </is>
      </c>
      <c r="C831" t="inlineStr">
        <is>
          <t>INVH</t>
        </is>
      </c>
      <c r="D831" t="inlineStr">
        <is>
          <t>Invitation Homes Inc.</t>
        </is>
      </c>
      <c r="E831" t="n">
        <v>19338.89</v>
      </c>
      <c r="F831" t="inlineStr">
        <is>
          <t>$0.41</t>
        </is>
      </c>
      <c r="G831" t="inlineStr">
        <is>
          <t>$576.50 M</t>
        </is>
      </c>
      <c r="H831" t="inlineStr">
        <is>
          <t>10.8%</t>
        </is>
      </c>
    </row>
    <row r="832">
      <c r="A832" s="78" t="inlineStr">
        <is>
          <t>Tuesday, February 14, 2023</t>
        </is>
      </c>
      <c r="B832" t="inlineStr">
        <is>
          <t>8:00 AM ET</t>
        </is>
      </c>
      <c r="C832" t="inlineStr">
        <is>
          <t>IPGP</t>
        </is>
      </c>
      <c r="D832" t="inlineStr">
        <is>
          <t>IPG Photonics Corp.</t>
        </is>
      </c>
      <c r="E832" t="n">
        <v>5304.02</v>
      </c>
      <c r="F832" t="inlineStr">
        <is>
          <t>$0.90</t>
        </is>
      </c>
      <c r="G832" t="inlineStr">
        <is>
          <t>$315.35 M</t>
        </is>
      </c>
      <c r="H832" t="inlineStr">
        <is>
          <t>-13.5%</t>
        </is>
      </c>
    </row>
    <row r="833">
      <c r="A833" s="78" t="inlineStr">
        <is>
          <t>Tuesday, February 14, 2023</t>
        </is>
      </c>
      <c r="B833" t="inlineStr">
        <is>
          <t>7:00 AM ET</t>
        </is>
      </c>
      <c r="C833" t="inlineStr">
        <is>
          <t>IQV</t>
        </is>
      </c>
      <c r="D833" t="inlineStr">
        <is>
          <t>IQVIA Holdings Inc.</t>
        </is>
      </c>
      <c r="E833" t="n">
        <v>41148.84</v>
      </c>
      <c r="F833" t="inlineStr">
        <is>
          <t>$2.54</t>
        </is>
      </c>
      <c r="G833" t="inlineStr">
        <is>
          <t>$3.92 B</t>
        </is>
      </c>
      <c r="H833" t="inlineStr">
        <is>
          <t>7.8%</t>
        </is>
      </c>
    </row>
    <row r="834">
      <c r="A834" s="78" t="inlineStr">
        <is>
          <t>Tuesday, February 14, 2023</t>
        </is>
      </c>
      <c r="B834" t="inlineStr">
        <is>
          <t>6:00 AM ET</t>
        </is>
      </c>
      <c r="C834" t="inlineStr">
        <is>
          <t>LDOS</t>
        </is>
      </c>
      <c r="D834" t="inlineStr">
        <is>
          <t>Leidos Holdings Inc.</t>
        </is>
      </c>
      <c r="E834" t="n">
        <v>13373.7</v>
      </c>
      <c r="F834" t="inlineStr">
        <is>
          <t>$1.61</t>
        </is>
      </c>
      <c r="G834" t="inlineStr">
        <is>
          <t>$3.59 B</t>
        </is>
      </c>
      <c r="H834" t="inlineStr">
        <is>
          <t>2.8%</t>
        </is>
      </c>
    </row>
    <row r="835">
      <c r="A835" s="78" t="inlineStr">
        <is>
          <t>Tuesday, February 14, 2023</t>
        </is>
      </c>
      <c r="B835" t="inlineStr">
        <is>
          <t>6:30 AM ET</t>
        </is>
      </c>
      <c r="C835" t="inlineStr">
        <is>
          <t>MAR</t>
        </is>
      </c>
      <c r="D835" t="inlineStr">
        <is>
          <t>Marriott International Inc.</t>
        </is>
      </c>
      <c r="E835" t="n">
        <v>50959.71</v>
      </c>
      <c r="F835" t="inlineStr">
        <is>
          <t>$1.84</t>
        </is>
      </c>
      <c r="G835" t="inlineStr">
        <is>
          <t>$5.56 B</t>
        </is>
      </c>
      <c r="H835" t="inlineStr">
        <is>
          <t>25.1%</t>
        </is>
      </c>
    </row>
    <row r="836">
      <c r="A836" s="78" t="inlineStr">
        <is>
          <t>Tuesday, February 14, 2023</t>
        </is>
      </c>
      <c r="B836" t="inlineStr">
        <is>
          <t>4:05 PM ET</t>
        </is>
      </c>
      <c r="C836" t="inlineStr">
        <is>
          <t>MASI</t>
        </is>
      </c>
      <c r="D836" t="inlineStr">
        <is>
          <t>Masimo Corp</t>
        </is>
      </c>
      <c r="E836" t="n">
        <v>8515.48</v>
      </c>
      <c r="F836" t="inlineStr">
        <is>
          <t>$1.18</t>
        </is>
      </c>
      <c r="G836" t="inlineStr">
        <is>
          <t>$601.96 M</t>
        </is>
      </c>
      <c r="H836" t="inlineStr">
        <is>
          <t>83.8%</t>
        </is>
      </c>
    </row>
    <row r="837">
      <c r="A837" s="78" t="inlineStr">
        <is>
          <t>Tuesday, February 14, 2023</t>
        </is>
      </c>
      <c r="B837" t="inlineStr">
        <is>
          <t>6:00 AM ET</t>
        </is>
      </c>
      <c r="C837" t="inlineStr">
        <is>
          <t>PKI</t>
        </is>
      </c>
      <c r="D837" t="inlineStr">
        <is>
          <t>PerkinElmer Inc.</t>
        </is>
      </c>
      <c r="E837" t="n">
        <v>16722.15</v>
      </c>
      <c r="F837" t="inlineStr">
        <is>
          <t>$1.67</t>
        </is>
      </c>
      <c r="G837" t="inlineStr">
        <is>
          <t>$1.07 B</t>
        </is>
      </c>
      <c r="H837" t="inlineStr">
        <is>
          <t>-21.6%</t>
        </is>
      </c>
    </row>
    <row r="838">
      <c r="A838" s="78" t="inlineStr">
        <is>
          <t>Tuesday, February 14, 2023</t>
        </is>
      </c>
      <c r="B838" t="inlineStr">
        <is>
          <t>6:30 AM ET</t>
        </is>
      </c>
      <c r="C838" t="inlineStr">
        <is>
          <t>QSR</t>
        </is>
      </c>
      <c r="D838" t="inlineStr">
        <is>
          <t>Restaurant Brands International Inc.</t>
        </is>
      </c>
      <c r="E838" t="n">
        <v>20383</v>
      </c>
      <c r="F838" t="inlineStr">
        <is>
          <t>$0.72</t>
        </is>
      </c>
      <c r="G838" t="inlineStr">
        <is>
          <t>$1.64 B</t>
        </is>
      </c>
      <c r="H838" t="inlineStr">
        <is>
          <t>6.1%</t>
        </is>
      </c>
    </row>
    <row r="839">
      <c r="A839" s="78" t="inlineStr">
        <is>
          <t>Tuesday, February 14, 2023</t>
        </is>
      </c>
      <c r="B839" t="inlineStr">
        <is>
          <t>6:30 AM ET</t>
        </is>
      </c>
      <c r="C839" t="inlineStr">
        <is>
          <t>SE</t>
        </is>
      </c>
      <c r="D839" t="inlineStr">
        <is>
          <t>Sea Limited</t>
        </is>
      </c>
      <c r="E839" t="n">
        <v>34685.72</v>
      </c>
      <c r="F839" t="inlineStr">
        <is>
          <t>($0.97)</t>
        </is>
      </c>
      <c r="G839" t="inlineStr">
        <is>
          <t>$3.10 B</t>
        </is>
      </c>
      <c r="H839" t="inlineStr">
        <is>
          <t>97.9%</t>
        </is>
      </c>
    </row>
    <row r="840">
      <c r="A840" s="78" t="inlineStr">
        <is>
          <t>Tuesday, February 14, 2023</t>
        </is>
      </c>
      <c r="B840" t="inlineStr">
        <is>
          <t>6:25 PM ET</t>
        </is>
      </c>
      <c r="C840" t="inlineStr">
        <is>
          <t>SEB</t>
        </is>
      </c>
      <c r="D840" t="inlineStr">
        <is>
          <t>Seaboard Corp</t>
        </is>
      </c>
      <c r="E840" t="n">
        <v>4602.74</v>
      </c>
      <c r="F840" t="inlineStr">
        <is>
          <t>-</t>
        </is>
      </c>
      <c r="G840" t="inlineStr">
        <is>
          <t>-</t>
        </is>
      </c>
      <c r="H840" t="inlineStr">
        <is>
          <t>-</t>
        </is>
      </c>
    </row>
    <row r="841">
      <c r="A841" s="78" t="inlineStr">
        <is>
          <t>Tuesday, February 14, 2023</t>
        </is>
      </c>
      <c r="B841" t="inlineStr">
        <is>
          <t>4:00 PM ET</t>
        </is>
      </c>
      <c r="C841" t="inlineStr">
        <is>
          <t>SEDG</t>
        </is>
      </c>
      <c r="D841" t="inlineStr">
        <is>
          <t>SolarEdge Technologies, Inc.</t>
        </is>
      </c>
      <c r="E841" t="n">
        <v>17895.86</v>
      </c>
      <c r="F841" t="inlineStr">
        <is>
          <t>$1.26</t>
        </is>
      </c>
      <c r="G841" t="inlineStr">
        <is>
          <t>$874.98 M</t>
        </is>
      </c>
      <c r="H841" t="inlineStr">
        <is>
          <t>58.5%</t>
        </is>
      </c>
    </row>
    <row r="842">
      <c r="A842" s="78" t="inlineStr">
        <is>
          <t>Tuesday, February 14, 2023</t>
        </is>
      </c>
      <c r="B842" t="inlineStr">
        <is>
          <t>6:30 AM ET</t>
        </is>
      </c>
      <c r="C842" t="inlineStr">
        <is>
          <t>TRP</t>
        </is>
      </c>
      <c r="D842" t="inlineStr">
        <is>
          <t>TC Energy Corporation</t>
        </is>
      </c>
      <c r="E842" t="n">
        <v>43853.79</v>
      </c>
      <c r="F842" t="inlineStr">
        <is>
          <t>$0.80</t>
        </is>
      </c>
      <c r="G842" t="inlineStr">
        <is>
          <t>$2.80 B</t>
        </is>
      </c>
      <c r="H842" t="inlineStr">
        <is>
          <t>-1.5%</t>
        </is>
      </c>
    </row>
    <row r="843">
      <c r="A843" s="78" t="inlineStr">
        <is>
          <t>Tuesday, February 14, 2023</t>
        </is>
      </c>
      <c r="B843" t="inlineStr">
        <is>
          <t>4:00 AM ET</t>
        </is>
      </c>
      <c r="C843" t="inlineStr">
        <is>
          <t>TME</t>
        </is>
      </c>
      <c r="D843" t="inlineStr">
        <is>
          <t>Tencent Music Entertainment Group</t>
        </is>
      </c>
      <c r="E843" t="n">
        <v>14391.21</v>
      </c>
      <c r="F843" t="inlineStr">
        <is>
          <t>$0.11</t>
        </is>
      </c>
      <c r="G843" t="inlineStr">
        <is>
          <t>$1.04 B</t>
        </is>
      </c>
      <c r="H843" t="inlineStr">
        <is>
          <t>-12.9%</t>
        </is>
      </c>
    </row>
    <row r="844">
      <c r="A844" s="78" t="inlineStr">
        <is>
          <t>Tuesday, February 14, 2023</t>
        </is>
      </c>
      <c r="B844" t="inlineStr">
        <is>
          <t>6:20 AM ET</t>
        </is>
      </c>
      <c r="C844" t="inlineStr">
        <is>
          <t>TRU</t>
        </is>
      </c>
      <c r="D844" t="inlineStr">
        <is>
          <t>TransUnion</t>
        </is>
      </c>
      <c r="E844" t="n">
        <v>13329.06</v>
      </c>
      <c r="F844" t="inlineStr">
        <is>
          <t>$0.75</t>
        </is>
      </c>
      <c r="G844" t="inlineStr">
        <is>
          <t>$906.42 M</t>
        </is>
      </c>
      <c r="H844" t="inlineStr">
        <is>
          <t>14.8%</t>
        </is>
      </c>
    </row>
    <row r="845">
      <c r="A845" s="78" t="inlineStr">
        <is>
          <t>Tuesday, February 14, 2023</t>
        </is>
      </c>
      <c r="B845" t="inlineStr">
        <is>
          <t>6:30 AM ET</t>
        </is>
      </c>
      <c r="C845" t="inlineStr">
        <is>
          <t>TRTN</t>
        </is>
      </c>
      <c r="D845" t="inlineStr">
        <is>
          <t>Triton International Limited</t>
        </is>
      </c>
      <c r="E845" t="n">
        <v>4196.72</v>
      </c>
      <c r="F845" t="inlineStr">
        <is>
          <t>$2.70</t>
        </is>
      </c>
      <c r="G845" t="inlineStr">
        <is>
          <t>$422.39 M</t>
        </is>
      </c>
      <c r="H845" t="inlineStr">
        <is>
          <t>1.3%</t>
        </is>
      </c>
    </row>
    <row r="846">
      <c r="A846" s="78" t="inlineStr">
        <is>
          <t>Tuesday, February 14, 2023</t>
        </is>
      </c>
      <c r="B846" t="inlineStr">
        <is>
          <t>7:00 AM ET</t>
        </is>
      </c>
      <c r="C846" t="inlineStr">
        <is>
          <t>VVV</t>
        </is>
      </c>
      <c r="D846" t="inlineStr">
        <is>
          <t>Valvoline Inc.</t>
        </is>
      </c>
      <c r="E846" t="n">
        <v>6050.94</v>
      </c>
      <c r="F846" t="inlineStr">
        <is>
          <t>$0.22</t>
        </is>
      </c>
      <c r="G846" t="inlineStr">
        <is>
          <t>$397.00 M</t>
        </is>
      </c>
      <c r="H846" t="inlineStr">
        <is>
          <t>-53.7%</t>
        </is>
      </c>
    </row>
    <row r="847">
      <c r="A847" s="78" t="inlineStr">
        <is>
          <t>Tuesday, February 14, 2023</t>
        </is>
      </c>
      <c r="B847" t="inlineStr">
        <is>
          <t>7:10 AM ET</t>
        </is>
      </c>
      <c r="C847" t="inlineStr">
        <is>
          <t>WMT</t>
        </is>
      </c>
      <c r="D847" t="inlineStr">
        <is>
          <t>Walmart Inc.</t>
        </is>
      </c>
      <c r="E847" t="n">
        <v>389444.91</v>
      </c>
      <c r="F847" t="inlineStr">
        <is>
          <t>$1.50</t>
        </is>
      </c>
      <c r="G847" t="inlineStr">
        <is>
          <t>$158.80 B</t>
        </is>
      </c>
      <c r="H847" t="inlineStr">
        <is>
          <t>3.9%</t>
        </is>
      </c>
    </row>
    <row r="848">
      <c r="A848" s="78" t="inlineStr">
        <is>
          <t>Tuesday, February 14, 2023</t>
        </is>
      </c>
      <c r="B848" t="inlineStr">
        <is>
          <t>4:05 PM ET</t>
        </is>
      </c>
      <c r="C848" t="inlineStr">
        <is>
          <t>WELL</t>
        </is>
      </c>
      <c r="D848" t="inlineStr">
        <is>
          <t>Welltower Inc.</t>
        </is>
      </c>
      <c r="E848" t="n">
        <v>33884.51</v>
      </c>
      <c r="F848" t="inlineStr">
        <is>
          <t>$0.82</t>
        </is>
      </c>
      <c r="G848" t="inlineStr">
        <is>
          <t>$1.47 B</t>
        </is>
      </c>
      <c r="H848" t="inlineStr">
        <is>
          <t>12.3%</t>
        </is>
      </c>
    </row>
    <row r="849">
      <c r="A849" s="78" t="inlineStr">
        <is>
          <t>Tuesday, February 14, 2023</t>
        </is>
      </c>
      <c r="B849" t="inlineStr">
        <is>
          <t>6:00 AM ET</t>
        </is>
      </c>
      <c r="C849" t="inlineStr">
        <is>
          <t>WCC</t>
        </is>
      </c>
      <c r="D849" t="inlineStr">
        <is>
          <t>WESCO International Inc.</t>
        </is>
      </c>
      <c r="E849" t="n">
        <v>6930.5</v>
      </c>
      <c r="F849" t="inlineStr">
        <is>
          <t>$3.80</t>
        </is>
      </c>
      <c r="G849" t="inlineStr">
        <is>
          <t>$5.39 B</t>
        </is>
      </c>
      <c r="H849" t="inlineStr">
        <is>
          <t>11.1%</t>
        </is>
      </c>
    </row>
    <row r="850">
      <c r="A850" s="78" t="inlineStr">
        <is>
          <t>Tuesday, February 14, 2023</t>
        </is>
      </c>
      <c r="B850" t="inlineStr">
        <is>
          <t>5:00 PM ET</t>
        </is>
      </c>
      <c r="C850" t="inlineStr">
        <is>
          <t>WFG</t>
        </is>
      </c>
      <c r="D850" t="inlineStr">
        <is>
          <t>West Fraser Timber Co. Ltd.</t>
        </is>
      </c>
      <c r="E850" t="n">
        <v>5943.23</v>
      </c>
      <c r="F850" t="inlineStr">
        <is>
          <t>$1.11</t>
        </is>
      </c>
      <c r="G850" t="inlineStr">
        <is>
          <t>$1.75 B</t>
        </is>
      </c>
      <c r="H850" t="inlineStr">
        <is>
          <t>-14.1%</t>
        </is>
      </c>
    </row>
    <row r="851">
      <c r="A851" s="78" t="inlineStr">
        <is>
          <t>Tuesday, February 14, 2023</t>
        </is>
      </c>
      <c r="B851" t="inlineStr">
        <is>
          <t>4:00 PM ET</t>
        </is>
      </c>
      <c r="C851" t="inlineStr">
        <is>
          <t>WYNN</t>
        </is>
      </c>
      <c r="D851" t="inlineStr">
        <is>
          <t>Wynn Resorts ltd</t>
        </is>
      </c>
      <c r="E851" t="n">
        <v>11105.87</v>
      </c>
      <c r="F851" t="inlineStr">
        <is>
          <t>($1.16)</t>
        </is>
      </c>
      <c r="G851" t="inlineStr">
        <is>
          <t>$950.12 M</t>
        </is>
      </c>
      <c r="H851" t="inlineStr">
        <is>
          <t>-9.8%</t>
        </is>
      </c>
    </row>
    <row r="852">
      <c r="A852" s="78" t="inlineStr">
        <is>
          <t>Tuesday, February 14, 2023</t>
        </is>
      </c>
      <c r="B852" t="inlineStr">
        <is>
          <t>7:00 AM ET</t>
        </is>
      </c>
      <c r="C852" t="inlineStr">
        <is>
          <t>ZTS</t>
        </is>
      </c>
      <c r="D852" t="inlineStr">
        <is>
          <t>Zoetis Inc.</t>
        </is>
      </c>
      <c r="E852" t="n">
        <v>74371.11</v>
      </c>
      <c r="F852" t="inlineStr">
        <is>
          <t>$1.15</t>
        </is>
      </c>
      <c r="G852" t="inlineStr">
        <is>
          <t>$2.05 B</t>
        </is>
      </c>
      <c r="H852" t="inlineStr">
        <is>
          <t>4.2%</t>
        </is>
      </c>
    </row>
    <row r="853">
      <c r="A853" s="78" t="inlineStr">
        <is>
          <t>Wednesday, February 15, 2023</t>
        </is>
      </c>
      <c r="B853" t="inlineStr">
        <is>
          <t>4:05 PM ET</t>
        </is>
      </c>
      <c r="C853" t="inlineStr">
        <is>
          <t>TXG</t>
        </is>
      </c>
      <c r="D853" t="inlineStr">
        <is>
          <t>10x Genomics, Inc.</t>
        </is>
      </c>
      <c r="E853" t="n">
        <v>4964.28</v>
      </c>
      <c r="F853" t="inlineStr">
        <is>
          <t>($0.29)</t>
        </is>
      </c>
      <c r="G853" t="inlineStr">
        <is>
          <t>$146.70 M</t>
        </is>
      </c>
      <c r="H853" t="inlineStr">
        <is>
          <t>2.2%</t>
        </is>
      </c>
    </row>
    <row r="854">
      <c r="A854" s="78" t="inlineStr">
        <is>
          <t>Wednesday, February 15, 2023</t>
        </is>
      </c>
      <c r="B854" t="inlineStr">
        <is>
          <t>4:50 PM ET</t>
        </is>
      </c>
      <c r="C854" t="inlineStr">
        <is>
          <t>ALB</t>
        </is>
      </c>
      <c r="D854" t="inlineStr">
        <is>
          <t>Albemarle Corp.</t>
        </is>
      </c>
      <c r="E854" t="n">
        <v>28476.33</v>
      </c>
      <c r="F854" t="inlineStr">
        <is>
          <t>$7.62</t>
        </is>
      </c>
      <c r="G854" t="inlineStr">
        <is>
          <t>$2.63 B</t>
        </is>
      </c>
      <c r="H854" t="inlineStr">
        <is>
          <t>194.1%</t>
        </is>
      </c>
    </row>
    <row r="855">
      <c r="A855" s="78" t="inlineStr">
        <is>
          <t>Wednesday, February 15, 2023</t>
        </is>
      </c>
      <c r="B855" t="inlineStr">
        <is>
          <t>7:00 AM ET</t>
        </is>
      </c>
      <c r="C855" t="inlineStr">
        <is>
          <t>ALKS</t>
        </is>
      </c>
      <c r="D855" t="inlineStr">
        <is>
          <t>Alkermes, Inc.</t>
        </is>
      </c>
      <c r="E855" t="n">
        <v>4689.48</v>
      </c>
      <c r="F855" t="inlineStr">
        <is>
          <t>($0.10)</t>
        </is>
      </c>
      <c r="G855" t="inlineStr">
        <is>
          <t>$282.14 M</t>
        </is>
      </c>
      <c r="H855" t="inlineStr">
        <is>
          <t>-13.0%</t>
        </is>
      </c>
    </row>
    <row r="856">
      <c r="A856" s="78" t="inlineStr">
        <is>
          <t>Wednesday, February 15, 2023</t>
        </is>
      </c>
      <c r="B856" t="inlineStr">
        <is>
          <t>6:30 AM ET</t>
        </is>
      </c>
      <c r="C856" t="inlineStr">
        <is>
          <t>ALE</t>
        </is>
      </c>
      <c r="D856" t="inlineStr">
        <is>
          <t>ALLETE, Inc.</t>
        </is>
      </c>
      <c r="E856" t="n">
        <v>3732.67</v>
      </c>
      <c r="F856" t="inlineStr">
        <is>
          <t>$1.25</t>
        </is>
      </c>
      <c r="G856" t="inlineStr">
        <is>
          <t>$406.45 M</t>
        </is>
      </c>
      <c r="H856" t="inlineStr">
        <is>
          <t>1.9%</t>
        </is>
      </c>
    </row>
    <row r="857">
      <c r="A857" s="78" t="inlineStr">
        <is>
          <t>Wednesday, February 15, 2023</t>
        </is>
      </c>
      <c r="B857" t="inlineStr">
        <is>
          <t>4:05 PM ET</t>
        </is>
      </c>
      <c r="C857" t="inlineStr">
        <is>
          <t>ALSN</t>
        </is>
      </c>
      <c r="D857" t="inlineStr">
        <is>
          <t>Allison Transmission Holdings, Inc.</t>
        </is>
      </c>
      <c r="E857" t="n">
        <v>3979.86</v>
      </c>
      <c r="F857" t="inlineStr">
        <is>
          <t>$1.20</t>
        </is>
      </c>
      <c r="G857" t="inlineStr">
        <is>
          <t>$668.90 M</t>
        </is>
      </c>
      <c r="H857" t="inlineStr">
        <is>
          <t>3.9%</t>
        </is>
      </c>
    </row>
    <row r="858">
      <c r="A858" s="78" t="inlineStr">
        <is>
          <t>Wednesday, February 15, 2023</t>
        </is>
      </c>
      <c r="B858" t="inlineStr">
        <is>
          <t>7:00 AM ET</t>
        </is>
      </c>
      <c r="C858" t="inlineStr">
        <is>
          <t>AIMC</t>
        </is>
      </c>
      <c r="D858" t="inlineStr">
        <is>
          <t>Altra Industrial Motion Corp</t>
        </is>
      </c>
      <c r="E858" t="n">
        <v>3917.6</v>
      </c>
      <c r="F858" t="inlineStr">
        <is>
          <t>$0.75</t>
        </is>
      </c>
      <c r="G858" t="inlineStr">
        <is>
          <t>$463.24 M</t>
        </is>
      </c>
      <c r="H858" t="inlineStr">
        <is>
          <t>-1.4%</t>
        </is>
      </c>
    </row>
    <row r="859">
      <c r="A859" s="78" t="inlineStr">
        <is>
          <t>Wednesday, February 15, 2023</t>
        </is>
      </c>
      <c r="B859" t="inlineStr">
        <is>
          <t>4:15 PM ET</t>
        </is>
      </c>
      <c r="C859" t="inlineStr">
        <is>
          <t>AIG</t>
        </is>
      </c>
      <c r="D859" t="inlineStr">
        <is>
          <t>American International Group, Inc.</t>
        </is>
      </c>
      <c r="E859" t="n">
        <v>47387.27</v>
      </c>
      <c r="F859" t="inlineStr">
        <is>
          <t>$1.14</t>
        </is>
      </c>
      <c r="G859" t="inlineStr">
        <is>
          <t>$11.70 B</t>
        </is>
      </c>
      <c r="H859" t="inlineStr">
        <is>
          <t>-16.9%</t>
        </is>
      </c>
    </row>
    <row r="860">
      <c r="A860" s="78" t="inlineStr">
        <is>
          <t>Wednesday, February 15, 2023</t>
        </is>
      </c>
      <c r="B860" t="inlineStr">
        <is>
          <t>4:35 PM ET</t>
        </is>
      </c>
      <c r="C860" t="inlineStr">
        <is>
          <t>AWK</t>
        </is>
      </c>
      <c r="D860" t="inlineStr">
        <is>
          <t>American Water Works Company, Inc.</t>
        </is>
      </c>
      <c r="E860" t="n">
        <v>28590.62</v>
      </c>
      <c r="F860" t="inlineStr">
        <is>
          <t>$0.75</t>
        </is>
      </c>
      <c r="G860" t="inlineStr">
        <is>
          <t>$903.67 M</t>
        </is>
      </c>
      <c r="H860" t="inlineStr">
        <is>
          <t>-5.0%</t>
        </is>
      </c>
    </row>
    <row r="861">
      <c r="A861" s="78" t="inlineStr">
        <is>
          <t>Wednesday, February 15, 2023</t>
        </is>
      </c>
      <c r="B861" t="inlineStr">
        <is>
          <t>4:15 PM ET</t>
        </is>
      </c>
      <c r="C861" t="inlineStr">
        <is>
          <t>AM</t>
        </is>
      </c>
      <c r="D861" t="inlineStr">
        <is>
          <t>Antero Midstream Llc</t>
        </is>
      </c>
      <c r="E861" t="n">
        <v>5435.58</v>
      </c>
      <c r="F861" t="inlineStr">
        <is>
          <t>$0.17</t>
        </is>
      </c>
      <c r="G861" t="inlineStr">
        <is>
          <t>$241.71 M</t>
        </is>
      </c>
      <c r="H861" t="inlineStr">
        <is>
          <t>11.6%</t>
        </is>
      </c>
    </row>
    <row r="862">
      <c r="A862" s="78" t="inlineStr">
        <is>
          <t>Wednesday, February 15, 2023</t>
        </is>
      </c>
      <c r="B862" t="inlineStr">
        <is>
          <t>4:15 PM ET</t>
        </is>
      </c>
      <c r="C862" t="inlineStr">
        <is>
          <t>AR</t>
        </is>
      </c>
      <c r="D862" t="inlineStr">
        <is>
          <t>Antero Resources Corp</t>
        </is>
      </c>
      <c r="E862" t="n">
        <v>9037.110000000001</v>
      </c>
      <c r="F862" t="inlineStr">
        <is>
          <t>$1.13</t>
        </is>
      </c>
      <c r="G862" t="inlineStr">
        <is>
          <t>$1.87 B</t>
        </is>
      </c>
      <c r="H862" t="inlineStr">
        <is>
          <t>-21.9%</t>
        </is>
      </c>
    </row>
    <row r="863">
      <c r="A863" s="78" t="inlineStr">
        <is>
          <t>Wednesday, February 15, 2023</t>
        </is>
      </c>
      <c r="B863" t="inlineStr">
        <is>
          <t>4:05 PM ET</t>
        </is>
      </c>
      <c r="C863" t="inlineStr">
        <is>
          <t>APP</t>
        </is>
      </c>
      <c r="D863" t="inlineStr">
        <is>
          <t>AppLovin Corporation</t>
        </is>
      </c>
      <c r="E863" t="n">
        <v>4051.42</v>
      </c>
      <c r="F863" t="inlineStr">
        <is>
          <t>$0.05</t>
        </is>
      </c>
      <c r="G863" t="inlineStr">
        <is>
          <t>$721.02 M</t>
        </is>
      </c>
      <c r="H863" t="inlineStr">
        <is>
          <t>-9.1%</t>
        </is>
      </c>
    </row>
    <row r="864">
      <c r="A864" s="78" t="inlineStr">
        <is>
          <t>Wednesday, February 15, 2023</t>
        </is>
      </c>
      <c r="B864" t="inlineStr">
        <is>
          <t>4:15 PM ET</t>
        </is>
      </c>
      <c r="C864" t="inlineStr">
        <is>
          <t>ATCO</t>
        </is>
      </c>
      <c r="D864" t="inlineStr">
        <is>
          <t>Atlas Corp.</t>
        </is>
      </c>
      <c r="E864" t="n">
        <v>3790.34</v>
      </c>
      <c r="F864" t="inlineStr">
        <is>
          <t>$0.47</t>
        </is>
      </c>
      <c r="G864" t="inlineStr">
        <is>
          <t>$434.77 M</t>
        </is>
      </c>
      <c r="H864" t="inlineStr">
        <is>
          <t>1.5%</t>
        </is>
      </c>
    </row>
    <row r="865">
      <c r="A865" s="78" t="inlineStr">
        <is>
          <t>Wednesday, February 15, 2023</t>
        </is>
      </c>
      <c r="B865" t="inlineStr">
        <is>
          <t>6:30 AM ET</t>
        </is>
      </c>
      <c r="C865" t="inlineStr">
        <is>
          <t>AVNT</t>
        </is>
      </c>
      <c r="D865" t="inlineStr">
        <is>
          <t>Avient Corporation</t>
        </is>
      </c>
      <c r="E865" t="n">
        <v>3471.31</v>
      </c>
      <c r="F865" t="inlineStr">
        <is>
          <t>$0.32</t>
        </is>
      </c>
      <c r="G865" t="inlineStr">
        <is>
          <t>$773.06 M</t>
        </is>
      </c>
      <c r="H865" t="inlineStr">
        <is>
          <t>-35.7%</t>
        </is>
      </c>
    </row>
    <row r="866">
      <c r="A866" s="78" t="inlineStr">
        <is>
          <t>Wednesday, February 15, 2023</t>
        </is>
      </c>
      <c r="B866" t="inlineStr">
        <is>
          <t>6:00 AM ET</t>
        </is>
      </c>
      <c r="C866" t="inlineStr">
        <is>
          <t>GOLD</t>
        </is>
      </c>
      <c r="D866" t="inlineStr">
        <is>
          <t>Barrick Gold Corporation</t>
        </is>
      </c>
      <c r="E866" t="n">
        <v>32912.8</v>
      </c>
      <c r="F866" t="inlineStr">
        <is>
          <t>$0.18</t>
        </is>
      </c>
      <c r="G866" t="inlineStr">
        <is>
          <t>$3.15 B</t>
        </is>
      </c>
      <c r="H866" t="inlineStr">
        <is>
          <t>-4.8%</t>
        </is>
      </c>
    </row>
    <row r="867">
      <c r="A867" s="78" t="inlineStr">
        <is>
          <t>Wednesday, February 15, 2023</t>
        </is>
      </c>
      <c r="B867" t="inlineStr">
        <is>
          <t>4:15 PM ET</t>
        </is>
      </c>
      <c r="C867" t="inlineStr">
        <is>
          <t>BBWI</t>
        </is>
      </c>
      <c r="D867" t="inlineStr">
        <is>
          <t>Bath &amp; Body Works, Inc.</t>
        </is>
      </c>
      <c r="E867" t="n">
        <v>10479.66</v>
      </c>
      <c r="F867" t="inlineStr">
        <is>
          <t>$1.60</t>
        </is>
      </c>
      <c r="G867" t="inlineStr">
        <is>
          <t>$2.76 B</t>
        </is>
      </c>
      <c r="H867" t="inlineStr">
        <is>
          <t>-8.8%</t>
        </is>
      </c>
    </row>
    <row r="868">
      <c r="A868" s="78" t="inlineStr">
        <is>
          <t>Wednesday, February 15, 2023</t>
        </is>
      </c>
      <c r="B868" t="inlineStr">
        <is>
          <t>4:15 PM ET</t>
        </is>
      </c>
      <c r="C868" t="inlineStr">
        <is>
          <t>SAM</t>
        </is>
      </c>
      <c r="D868" t="inlineStr">
        <is>
          <t>Boston Beer Company Inc.</t>
        </is>
      </c>
      <c r="E868" t="n">
        <v>4418.26</v>
      </c>
      <c r="F868" t="inlineStr">
        <is>
          <t>$0.64</t>
        </is>
      </c>
      <c r="G868" t="inlineStr">
        <is>
          <t>$393.71 M</t>
        </is>
      </c>
      <c r="H868" t="inlineStr">
        <is>
          <t>13.1%</t>
        </is>
      </c>
    </row>
    <row r="869">
      <c r="A869" s="78" t="inlineStr">
        <is>
          <t>Wednesday, February 15, 2023</t>
        </is>
      </c>
      <c r="B869" t="inlineStr">
        <is>
          <t>4:25 PM ET</t>
        </is>
      </c>
      <c r="C869" t="inlineStr">
        <is>
          <t>BFAM</t>
        </is>
      </c>
      <c r="D869" t="inlineStr">
        <is>
          <t>Bright Horizons Family Solutions Inc.</t>
        </is>
      </c>
      <c r="E869" t="n">
        <v>4360.13</v>
      </c>
      <c r="F869" t="inlineStr">
        <is>
          <t>$0.63</t>
        </is>
      </c>
      <c r="G869" t="inlineStr">
        <is>
          <t>$525.43 M</t>
        </is>
      </c>
      <c r="H869" t="inlineStr">
        <is>
          <t>13.6%</t>
        </is>
      </c>
    </row>
    <row r="870">
      <c r="A870" s="78" t="inlineStr">
        <is>
          <t>Wednesday, February 15, 2023</t>
        </is>
      </c>
      <c r="B870" t="inlineStr">
        <is>
          <t>7:00 AM ET</t>
        </is>
      </c>
      <c r="C870" t="inlineStr">
        <is>
          <t>CRL</t>
        </is>
      </c>
      <c r="D870" t="inlineStr">
        <is>
          <t>Charles River Laboratories International, Inc.</t>
        </is>
      </c>
      <c r="E870" t="n">
        <v>12034.33</v>
      </c>
      <c r="F870" t="inlineStr">
        <is>
          <t>$2.75</t>
        </is>
      </c>
      <c r="G870" t="inlineStr">
        <is>
          <t>$1.04 B</t>
        </is>
      </c>
      <c r="H870" t="inlineStr">
        <is>
          <t>14.9%</t>
        </is>
      </c>
    </row>
    <row r="871">
      <c r="A871" s="78" t="inlineStr">
        <is>
          <t>Wednesday, February 15, 2023</t>
        </is>
      </c>
      <c r="B871" t="inlineStr">
        <is>
          <t>8:15 PM ET</t>
        </is>
      </c>
      <c r="C871" t="inlineStr">
        <is>
          <t>SQM</t>
        </is>
      </c>
      <c r="D871" t="inlineStr">
        <is>
          <t>Chemical &amp; Mining Co. of Chile Inc.</t>
        </is>
      </c>
      <c r="E871" t="n">
        <v>24147.82</v>
      </c>
      <c r="F871" t="inlineStr">
        <is>
          <t>$3.80</t>
        </is>
      </c>
      <c r="G871" t="inlineStr">
        <is>
          <t>$3.16 B</t>
        </is>
      </c>
      <c r="H871" t="inlineStr">
        <is>
          <t>191.4%</t>
        </is>
      </c>
    </row>
    <row r="872">
      <c r="A872" s="78" t="inlineStr">
        <is>
          <t>Wednesday, February 15, 2023</t>
        </is>
      </c>
      <c r="B872" t="inlineStr">
        <is>
          <t>6:00 AM ET</t>
        </is>
      </c>
      <c r="C872" t="inlineStr">
        <is>
          <t>CHH</t>
        </is>
      </c>
      <c r="D872" t="inlineStr">
        <is>
          <t>Choice Hotels International, Inc.</t>
        </is>
      </c>
      <c r="E872" t="n">
        <v>6525.42</v>
      </c>
      <c r="F872" t="inlineStr">
        <is>
          <t>$1.09</t>
        </is>
      </c>
      <c r="G872" t="inlineStr">
        <is>
          <t>$348.72 M</t>
        </is>
      </c>
      <c r="H872" t="inlineStr">
        <is>
          <t>22.5%</t>
        </is>
      </c>
    </row>
    <row r="873">
      <c r="A873" s="78" t="inlineStr">
        <is>
          <t>Wednesday, February 15, 2023</t>
        </is>
      </c>
      <c r="B873" t="inlineStr">
        <is>
          <t>4:05 PM ET</t>
        </is>
      </c>
      <c r="C873" t="inlineStr">
        <is>
          <t>CSCO</t>
        </is>
      </c>
      <c r="D873" t="inlineStr">
        <is>
          <t>Cisco Systems, Inc.</t>
        </is>
      </c>
      <c r="E873" t="n">
        <v>197553.23</v>
      </c>
      <c r="F873" t="inlineStr">
        <is>
          <t>$0.76</t>
        </is>
      </c>
      <c r="G873" t="inlineStr">
        <is>
          <t>$13.42 B</t>
        </is>
      </c>
      <c r="H873" t="inlineStr">
        <is>
          <t>5.5%</t>
        </is>
      </c>
    </row>
    <row r="874">
      <c r="A874" s="78" t="inlineStr">
        <is>
          <t>Wednesday, February 15, 2023</t>
        </is>
      </c>
      <c r="B874" t="inlineStr">
        <is>
          <t>5:00 PM ET</t>
        </is>
      </c>
      <c r="C874" t="inlineStr">
        <is>
          <t>CPA</t>
        </is>
      </c>
      <c r="D874" t="inlineStr">
        <is>
          <t>Copa Holdings S.A.</t>
        </is>
      </c>
      <c r="E874" t="n">
        <v>3846.96</v>
      </c>
      <c r="F874" t="inlineStr">
        <is>
          <t>$4.02</t>
        </is>
      </c>
      <c r="G874" t="inlineStr">
        <is>
          <t>$891.54 M</t>
        </is>
      </c>
      <c r="H874" t="inlineStr">
        <is>
          <t>55.1%</t>
        </is>
      </c>
    </row>
    <row r="875">
      <c r="A875" s="78" t="inlineStr">
        <is>
          <t>Wednesday, February 15, 2023</t>
        </is>
      </c>
      <c r="B875" t="inlineStr">
        <is>
          <t>6:20 PM ET</t>
        </is>
      </c>
      <c r="C875" t="inlineStr">
        <is>
          <t>CPRT</t>
        </is>
      </c>
      <c r="D875" t="inlineStr">
        <is>
          <t>Copart Inc.</t>
        </is>
      </c>
      <c r="E875" t="n">
        <v>30044.33</v>
      </c>
      <c r="F875" t="inlineStr">
        <is>
          <t>$0.56</t>
        </is>
      </c>
      <c r="G875" t="inlineStr">
        <is>
          <t>$928.25 M</t>
        </is>
      </c>
      <c r="H875" t="inlineStr">
        <is>
          <t>7.0%</t>
        </is>
      </c>
    </row>
    <row r="876">
      <c r="A876" s="78" t="inlineStr">
        <is>
          <t>Wednesday, February 15, 2023</t>
        </is>
      </c>
      <c r="B876" t="inlineStr">
        <is>
          <t>7:00 AM ET</t>
        </is>
      </c>
      <c r="C876" t="inlineStr">
        <is>
          <t>CROX</t>
        </is>
      </c>
      <c r="D876" t="inlineStr">
        <is>
          <t>Crocs Inc.</t>
        </is>
      </c>
      <c r="E876" t="n">
        <v>7906.44</v>
      </c>
      <c r="F876" t="inlineStr">
        <is>
          <t>$2.15</t>
        </is>
      </c>
      <c r="G876" t="inlineStr">
        <is>
          <t>$903.03 M</t>
        </is>
      </c>
      <c r="H876" t="inlineStr">
        <is>
          <t>53.9%</t>
        </is>
      </c>
    </row>
    <row r="877">
      <c r="A877" s="78" t="inlineStr">
        <is>
          <t>Wednesday, February 15, 2023</t>
        </is>
      </c>
      <c r="B877" t="inlineStr">
        <is>
          <t>7:00 AM ET</t>
        </is>
      </c>
      <c r="C877" t="inlineStr">
        <is>
          <t>DRVN</t>
        </is>
      </c>
      <c r="D877" t="inlineStr">
        <is>
          <t>Driven Brands Holdings Inc.</t>
        </is>
      </c>
      <c r="E877" t="n">
        <v>4742.56</v>
      </c>
      <c r="F877" t="inlineStr">
        <is>
          <t>$0.23</t>
        </is>
      </c>
      <c r="G877" t="inlineStr">
        <is>
          <t>$554.60 M</t>
        </is>
      </c>
      <c r="H877" t="inlineStr">
        <is>
          <t>41.5%</t>
        </is>
      </c>
    </row>
    <row r="878">
      <c r="A878" s="78" t="inlineStr">
        <is>
          <t>Wednesday, February 15, 2023</t>
        </is>
      </c>
      <c r="B878" t="inlineStr">
        <is>
          <t>7:30 AM ET</t>
        </is>
      </c>
      <c r="C878" t="inlineStr">
        <is>
          <t>DNB</t>
        </is>
      </c>
      <c r="D878" t="inlineStr">
        <is>
          <t>Dun &amp; Bradstreet Corp.</t>
        </is>
      </c>
      <c r="E878" t="n">
        <v>5934.66</v>
      </c>
      <c r="F878" t="inlineStr">
        <is>
          <t>$0.32</t>
        </is>
      </c>
      <c r="G878" t="inlineStr">
        <is>
          <t>$606.71 M</t>
        </is>
      </c>
      <c r="H878" t="inlineStr">
        <is>
          <t>1.4%</t>
        </is>
      </c>
    </row>
    <row r="879">
      <c r="A879" s="78" t="inlineStr">
        <is>
          <t>Wednesday, February 15, 2023</t>
        </is>
      </c>
      <c r="B879" t="inlineStr">
        <is>
          <t>4:10 PM ET</t>
        </is>
      </c>
      <c r="C879" t="inlineStr">
        <is>
          <t>ET</t>
        </is>
      </c>
      <c r="D879" t="inlineStr">
        <is>
          <t>Energy Transfer LP</t>
        </is>
      </c>
      <c r="E879" t="n">
        <v>38976.55</v>
      </c>
      <c r="F879" t="inlineStr">
        <is>
          <t>$0.34</t>
        </is>
      </c>
      <c r="G879" t="inlineStr">
        <is>
          <t>$28.50 B</t>
        </is>
      </c>
      <c r="H879" t="inlineStr">
        <is>
          <t>52.8%</t>
        </is>
      </c>
    </row>
    <row r="880">
      <c r="A880" s="78" t="inlineStr">
        <is>
          <t>Wednesday, February 15, 2023</t>
        </is>
      </c>
      <c r="B880" t="inlineStr">
        <is>
          <t>4:30 PM ET</t>
        </is>
      </c>
      <c r="C880" t="inlineStr">
        <is>
          <t>EQT</t>
        </is>
      </c>
      <c r="D880" t="inlineStr">
        <is>
          <t>EQT Corporation</t>
        </is>
      </c>
      <c r="E880" t="n">
        <v>12916.35</v>
      </c>
      <c r="F880" t="inlineStr">
        <is>
          <t>$1.24</t>
        </is>
      </c>
      <c r="G880" t="inlineStr">
        <is>
          <t>$2.26 B</t>
        </is>
      </c>
      <c r="H880" t="inlineStr">
        <is>
          <t>-41.1%</t>
        </is>
      </c>
    </row>
    <row r="881">
      <c r="A881" s="78" t="inlineStr">
        <is>
          <t>Wednesday, February 15, 2023</t>
        </is>
      </c>
      <c r="B881" t="inlineStr">
        <is>
          <t>4:05 PM ET</t>
        </is>
      </c>
      <c r="C881" t="inlineStr">
        <is>
          <t>EQIX</t>
        </is>
      </c>
      <c r="D881" t="inlineStr">
        <is>
          <t>Equinix, Inc.</t>
        </is>
      </c>
      <c r="E881" t="n">
        <v>66442.36</v>
      </c>
      <c r="F881" t="inlineStr">
        <is>
          <t>$5.97</t>
        </is>
      </c>
      <c r="G881" t="inlineStr">
        <is>
          <t>$1.86 B</t>
        </is>
      </c>
      <c r="H881" t="inlineStr">
        <is>
          <t>9.0%</t>
        </is>
      </c>
    </row>
    <row r="882">
      <c r="A882" s="78" t="inlineStr">
        <is>
          <t>Wednesday, February 15, 2023</t>
        </is>
      </c>
      <c r="B882" t="inlineStr">
        <is>
          <t>4:05 PM ET</t>
        </is>
      </c>
      <c r="C882" t="inlineStr">
        <is>
          <t>EPRT</t>
        </is>
      </c>
      <c r="D882" t="inlineStr">
        <is>
          <t>Essential Properties Realty Trust, Inc.</t>
        </is>
      </c>
      <c r="E882" t="n">
        <v>3508.17</v>
      </c>
      <c r="F882" t="inlineStr">
        <is>
          <t>$0.37</t>
        </is>
      </c>
      <c r="G882" t="inlineStr">
        <is>
          <t>$76.15 M</t>
        </is>
      </c>
      <c r="H882" t="inlineStr">
        <is>
          <t>17.1%</t>
        </is>
      </c>
    </row>
    <row r="883">
      <c r="A883" s="78" t="inlineStr">
        <is>
          <t>Wednesday, February 15, 2023</t>
        </is>
      </c>
      <c r="B883" t="inlineStr">
        <is>
          <t>4:15 PM ET</t>
        </is>
      </c>
      <c r="C883" t="inlineStr">
        <is>
          <t>ES</t>
        </is>
      </c>
      <c r="D883" t="inlineStr">
        <is>
          <t>Eversource Energy</t>
        </is>
      </c>
      <c r="E883" t="n">
        <v>29163.78</v>
      </c>
      <c r="F883" t="inlineStr">
        <is>
          <t>$0.94</t>
        </is>
      </c>
      <c r="G883" t="inlineStr">
        <is>
          <t>$2.77 B</t>
        </is>
      </c>
      <c r="H883" t="inlineStr">
        <is>
          <t>11.6%</t>
        </is>
      </c>
    </row>
    <row r="884">
      <c r="A884" s="78" t="inlineStr">
        <is>
          <t>Wednesday, February 15, 2023</t>
        </is>
      </c>
      <c r="B884" t="inlineStr">
        <is>
          <t>7:00 AM ET</t>
        </is>
      </c>
      <c r="C884" t="inlineStr">
        <is>
          <t>GRMN</t>
        </is>
      </c>
      <c r="D884" t="inlineStr">
        <is>
          <t>Garmin Ltd.</t>
        </is>
      </c>
      <c r="E884" t="n">
        <v>18740.9</v>
      </c>
      <c r="F884" t="inlineStr">
        <is>
          <t>$1.14</t>
        </is>
      </c>
      <c r="G884" t="inlineStr">
        <is>
          <t>$1.37 B</t>
        </is>
      </c>
      <c r="H884" t="inlineStr">
        <is>
          <t>-1.6%</t>
        </is>
      </c>
    </row>
    <row r="885">
      <c r="A885" s="78" t="inlineStr">
        <is>
          <t>Wednesday, February 15, 2023</t>
        </is>
      </c>
      <c r="B885" t="inlineStr">
        <is>
          <t>6:00 AM ET</t>
        </is>
      </c>
      <c r="C885" t="inlineStr">
        <is>
          <t>GNRC</t>
        </is>
      </c>
      <c r="D885" t="inlineStr">
        <is>
          <t>Generac Holdings Inc</t>
        </is>
      </c>
      <c r="E885" t="n">
        <v>7254.31</v>
      </c>
      <c r="F885" t="inlineStr">
        <is>
          <t>$1.72</t>
        </is>
      </c>
      <c r="G885" t="inlineStr">
        <is>
          <t>$1.07 B</t>
        </is>
      </c>
      <c r="H885" t="inlineStr">
        <is>
          <t>0.3%</t>
        </is>
      </c>
    </row>
    <row r="886">
      <c r="A886" s="78" t="inlineStr">
        <is>
          <t>Wednesday, February 15, 2023</t>
        </is>
      </c>
      <c r="B886" t="inlineStr">
        <is>
          <t>4:05 PM ET</t>
        </is>
      </c>
      <c r="C886" t="inlineStr">
        <is>
          <t>GLBE</t>
        </is>
      </c>
      <c r="D886" t="inlineStr">
        <is>
          <t>Global-e Online Ltd.</t>
        </is>
      </c>
      <c r="E886" t="n">
        <v>3855.56</v>
      </c>
      <c r="F886" t="inlineStr">
        <is>
          <t>($0.30)</t>
        </is>
      </c>
      <c r="G886" t="inlineStr">
        <is>
          <t>$119.95 M</t>
        </is>
      </c>
      <c r="H886" t="inlineStr">
        <is>
          <t>45.0%</t>
        </is>
      </c>
    </row>
    <row r="887">
      <c r="A887" s="78" t="inlineStr">
        <is>
          <t>Wednesday, February 15, 2023</t>
        </is>
      </c>
      <c r="B887" t="inlineStr">
        <is>
          <t>7:00 AM ET</t>
        </is>
      </c>
      <c r="C887" t="inlineStr">
        <is>
          <t>GRAB</t>
        </is>
      </c>
      <c r="D887" t="inlineStr">
        <is>
          <t>Grab Holdings Limited</t>
        </is>
      </c>
      <c r="E887" t="n">
        <v>14855.66</v>
      </c>
      <c r="F887" t="inlineStr">
        <is>
          <t>($0.06)</t>
        </is>
      </c>
      <c r="G887" t="inlineStr">
        <is>
          <t>$412.15 M</t>
        </is>
      </c>
      <c r="H887" t="inlineStr">
        <is>
          <t>-</t>
        </is>
      </c>
    </row>
    <row r="888">
      <c r="A888" s="78" t="inlineStr">
        <is>
          <t>Wednesday, February 15, 2023</t>
        </is>
      </c>
      <c r="B888" t="inlineStr">
        <is>
          <t>4:30 PM ET</t>
        </is>
      </c>
      <c r="C888" t="inlineStr">
        <is>
          <t>HST</t>
        </is>
      </c>
      <c r="D888" t="inlineStr">
        <is>
          <t>Host Hotels &amp; Resorts Inc</t>
        </is>
      </c>
      <c r="E888" t="n">
        <v>12448.63</v>
      </c>
      <c r="F888" t="inlineStr">
        <is>
          <t>$0.44</t>
        </is>
      </c>
      <c r="G888" t="inlineStr">
        <is>
          <t>$1.26 B</t>
        </is>
      </c>
      <c r="H888" t="inlineStr">
        <is>
          <t>26.3%</t>
        </is>
      </c>
    </row>
    <row r="889">
      <c r="A889" s="78" t="inlineStr">
        <is>
          <t>Wednesday, February 15, 2023</t>
        </is>
      </c>
      <c r="B889" t="inlineStr">
        <is>
          <t>4:05 PM ET</t>
        </is>
      </c>
      <c r="C889" t="inlineStr">
        <is>
          <t>IRT</t>
        </is>
      </c>
      <c r="D889" t="inlineStr">
        <is>
          <t>Independence Realty Trust Inc</t>
        </is>
      </c>
      <c r="E889" t="n">
        <v>4019.9</v>
      </c>
      <c r="F889" t="inlineStr">
        <is>
          <t>$0.29</t>
        </is>
      </c>
      <c r="G889" t="inlineStr">
        <is>
          <t>$165.04 M</t>
        </is>
      </c>
      <c r="H889" t="inlineStr">
        <is>
          <t>114.6%</t>
        </is>
      </c>
    </row>
    <row r="890">
      <c r="A890" s="78" t="inlineStr">
        <is>
          <t>Wednesday, February 15, 2023</t>
        </is>
      </c>
      <c r="B890" t="inlineStr">
        <is>
          <t>4:05 PM ET</t>
        </is>
      </c>
      <c r="C890" t="inlineStr">
        <is>
          <t>INFA</t>
        </is>
      </c>
      <c r="D890" t="inlineStr">
        <is>
          <t>Informatica Corp.</t>
        </is>
      </c>
      <c r="E890" t="n">
        <v>4718.33</v>
      </c>
      <c r="F890" t="inlineStr">
        <is>
          <t>$0.07</t>
        </is>
      </c>
      <c r="G890" t="inlineStr">
        <is>
          <t>$404.05 M</t>
        </is>
      </c>
      <c r="H890" t="inlineStr">
        <is>
          <t>-0.7%</t>
        </is>
      </c>
    </row>
    <row r="891">
      <c r="A891" s="78" t="inlineStr">
        <is>
          <t>Wednesday, February 15, 2023</t>
        </is>
      </c>
      <c r="B891" t="inlineStr">
        <is>
          <t>5:00 PM ET</t>
        </is>
      </c>
      <c r="C891" t="inlineStr">
        <is>
          <t>KGC</t>
        </is>
      </c>
      <c r="D891" t="inlineStr">
        <is>
          <t>Kinross Gold Corp.</t>
        </is>
      </c>
      <c r="E891" t="n">
        <v>5632.92</v>
      </c>
      <c r="F891" t="inlineStr">
        <is>
          <t>$0.08</t>
        </is>
      </c>
      <c r="G891" t="inlineStr">
        <is>
          <t>$3.78 B</t>
        </is>
      </c>
      <c r="H891" t="inlineStr">
        <is>
          <t>329.8%</t>
        </is>
      </c>
    </row>
    <row r="892">
      <c r="A892" s="78" t="inlineStr">
        <is>
          <t>Wednesday, February 15, 2023</t>
        </is>
      </c>
      <c r="B892" t="inlineStr">
        <is>
          <t>7:00 AM ET</t>
        </is>
      </c>
      <c r="C892" t="inlineStr">
        <is>
          <t>KHC</t>
        </is>
      </c>
      <c r="D892" t="inlineStr">
        <is>
          <t>Kraft Heinz Company</t>
        </is>
      </c>
      <c r="E892" t="n">
        <v>51851.3</v>
      </c>
      <c r="F892" t="inlineStr">
        <is>
          <t>$0.78</t>
        </is>
      </c>
      <c r="G892" t="inlineStr">
        <is>
          <t>$7.00 B</t>
        </is>
      </c>
      <c r="H892" t="inlineStr">
        <is>
          <t>4.3%</t>
        </is>
      </c>
    </row>
    <row r="893">
      <c r="A893" s="78" t="inlineStr">
        <is>
          <t>Wednesday, February 15, 2023</t>
        </is>
      </c>
      <c r="B893" t="inlineStr">
        <is>
          <t>6:00 AM ET</t>
        </is>
      </c>
      <c r="C893" t="inlineStr">
        <is>
          <t>LOW</t>
        </is>
      </c>
      <c r="D893" t="inlineStr">
        <is>
          <t>Lowe's Companies, Inc.</t>
        </is>
      </c>
      <c r="E893" t="n">
        <v>130049.19</v>
      </c>
      <c r="F893" t="inlineStr">
        <is>
          <t>$2.25</t>
        </is>
      </c>
      <c r="G893" t="inlineStr">
        <is>
          <t>$22.72 B</t>
        </is>
      </c>
      <c r="H893" t="inlineStr">
        <is>
          <t>6.5%</t>
        </is>
      </c>
    </row>
    <row r="894">
      <c r="A894" s="78" t="inlineStr">
        <is>
          <t>Wednesday, February 15, 2023</t>
        </is>
      </c>
      <c r="B894" t="inlineStr">
        <is>
          <t>8:50 AM ET</t>
        </is>
      </c>
      <c r="C894" t="inlineStr">
        <is>
          <t>MGY</t>
        </is>
      </c>
      <c r="D894" t="inlineStr">
        <is>
          <t>Magnolia Oil &amp; Gas Corporation</t>
        </is>
      </c>
      <c r="E894" t="n">
        <v>5110.94</v>
      </c>
      <c r="F894" t="inlineStr">
        <is>
          <t>$0.92</t>
        </is>
      </c>
      <c r="G894" t="inlineStr">
        <is>
          <t>$438.12 M</t>
        </is>
      </c>
      <c r="H894" t="inlineStr">
        <is>
          <t>31.9%</t>
        </is>
      </c>
    </row>
    <row r="895">
      <c r="A895" s="78" t="inlineStr">
        <is>
          <t>Wednesday, February 15, 2023</t>
        </is>
      </c>
      <c r="B895" t="inlineStr">
        <is>
          <t>5:00 PM ET</t>
        </is>
      </c>
      <c r="C895" t="inlineStr">
        <is>
          <t>MFC</t>
        </is>
      </c>
      <c r="D895" t="inlineStr">
        <is>
          <t>Manulife Financial Corp.</t>
        </is>
      </c>
      <c r="E895" t="n">
        <v>35470.36</v>
      </c>
      <c r="F895" t="inlineStr">
        <is>
          <t>$0.59</t>
        </is>
      </c>
      <c r="G895" t="inlineStr">
        <is>
          <t>$1.54 B</t>
        </is>
      </c>
      <c r="H895" t="inlineStr">
        <is>
          <t>-91.0%</t>
        </is>
      </c>
    </row>
    <row r="896">
      <c r="A896" s="78" t="inlineStr">
        <is>
          <t>Wednesday, February 15, 2023</t>
        </is>
      </c>
      <c r="B896" t="inlineStr">
        <is>
          <t>4:30 PM ET</t>
        </is>
      </c>
      <c r="C896" t="inlineStr">
        <is>
          <t>MRO</t>
        </is>
      </c>
      <c r="D896" t="inlineStr">
        <is>
          <t>Marathon Oil Corp.</t>
        </is>
      </c>
      <c r="E896" t="n">
        <v>16968.43</v>
      </c>
      <c r="F896" t="inlineStr">
        <is>
          <t>$0.92</t>
        </is>
      </c>
      <c r="G896" t="inlineStr">
        <is>
          <t>$1.85 B</t>
        </is>
      </c>
      <c r="H896" t="inlineStr">
        <is>
          <t>2.8%</t>
        </is>
      </c>
    </row>
    <row r="897">
      <c r="A897" s="78" t="inlineStr">
        <is>
          <t>Wednesday, February 15, 2023</t>
        </is>
      </c>
      <c r="B897" t="inlineStr">
        <is>
          <t>5:20 PM ET</t>
        </is>
      </c>
      <c r="C897" t="inlineStr">
        <is>
          <t>NTR</t>
        </is>
      </c>
      <c r="D897" t="inlineStr">
        <is>
          <t>Nutrien Ltd.</t>
        </is>
      </c>
      <c r="E897" t="n">
        <v>38736.47</v>
      </c>
      <c r="F897" t="inlineStr">
        <is>
          <t>$2.63</t>
        </is>
      </c>
      <c r="G897" t="inlineStr">
        <is>
          <t>$8.32 B</t>
        </is>
      </c>
      <c r="H897" t="inlineStr">
        <is>
          <t>14.5%</t>
        </is>
      </c>
    </row>
    <row r="898">
      <c r="A898" s="78" t="inlineStr">
        <is>
          <t>Wednesday, February 15, 2023</t>
        </is>
      </c>
      <c r="B898" t="inlineStr">
        <is>
          <t>4:20 PM ET</t>
        </is>
      </c>
      <c r="C898" t="inlineStr">
        <is>
          <t>NVDA</t>
        </is>
      </c>
      <c r="D898" t="inlineStr">
        <is>
          <t>NVIDIA Corp.</t>
        </is>
      </c>
      <c r="E898" t="n">
        <v>440779.81</v>
      </c>
      <c r="F898" t="inlineStr">
        <is>
          <t>$0.48</t>
        </is>
      </c>
      <c r="G898" t="inlineStr">
        <is>
          <t>$6.01 B</t>
        </is>
      </c>
      <c r="H898" t="inlineStr">
        <is>
          <t>-21.4%</t>
        </is>
      </c>
    </row>
    <row r="899">
      <c r="A899" s="78" t="inlineStr">
        <is>
          <t>Wednesday, February 15, 2023</t>
        </is>
      </c>
      <c r="B899" t="inlineStr">
        <is>
          <t>5:00 AM ET</t>
        </is>
      </c>
      <c r="C899" t="inlineStr">
        <is>
          <t>ONON</t>
        </is>
      </c>
      <c r="D899" t="inlineStr">
        <is>
          <t>On Holding AG</t>
        </is>
      </c>
      <c r="E899" t="n">
        <v>13292.35</v>
      </c>
      <c r="F899" t="inlineStr">
        <is>
          <t>($0.07)</t>
        </is>
      </c>
      <c r="G899" t="inlineStr">
        <is>
          <t>$283.05 M</t>
        </is>
      </c>
      <c r="H899" t="inlineStr">
        <is>
          <t>36.5%</t>
        </is>
      </c>
    </row>
    <row r="900">
      <c r="A900" s="78" t="inlineStr">
        <is>
          <t>Wednesday, February 15, 2023</t>
        </is>
      </c>
      <c r="B900" t="inlineStr">
        <is>
          <t>6:00 AM ET</t>
        </is>
      </c>
      <c r="C900" t="inlineStr">
        <is>
          <t>OC</t>
        </is>
      </c>
      <c r="D900" t="inlineStr">
        <is>
          <t>Owens Corning Inc</t>
        </is>
      </c>
      <c r="E900" t="n">
        <v>8457.799999999999</v>
      </c>
      <c r="F900" t="inlineStr">
        <is>
          <t>$2.41</t>
        </is>
      </c>
      <c r="G900" t="inlineStr">
        <is>
          <t>$2.37 B</t>
        </is>
      </c>
      <c r="H900" t="inlineStr">
        <is>
          <t>11.2%</t>
        </is>
      </c>
    </row>
    <row r="901">
      <c r="A901" s="78" t="inlineStr">
        <is>
          <t>Wednesday, February 15, 2023</t>
        </is>
      </c>
      <c r="B901" t="inlineStr">
        <is>
          <t>6:30 AM ET</t>
        </is>
      </c>
      <c r="C901" t="inlineStr">
        <is>
          <t>PSN</t>
        </is>
      </c>
      <c r="D901" t="inlineStr">
        <is>
          <t>Parsons Corporation</t>
        </is>
      </c>
      <c r="E901" t="n">
        <v>4559.3</v>
      </c>
      <c r="F901" t="inlineStr">
        <is>
          <t>$0.48</t>
        </is>
      </c>
      <c r="G901" t="inlineStr">
        <is>
          <t>$1.05 B</t>
        </is>
      </c>
      <c r="H901" t="inlineStr">
        <is>
          <t>10.4%</t>
        </is>
      </c>
    </row>
    <row r="902">
      <c r="A902" s="78" t="inlineStr">
        <is>
          <t>Wednesday, February 15, 2023</t>
        </is>
      </c>
      <c r="B902" t="inlineStr">
        <is>
          <t>4:20 PM ET</t>
        </is>
      </c>
      <c r="C902" t="inlineStr">
        <is>
          <t>PXD</t>
        </is>
      </c>
      <c r="D902" t="inlineStr">
        <is>
          <t>Pioneer Natural Resources Co.</t>
        </is>
      </c>
      <c r="E902" t="n">
        <v>57562.04</v>
      </c>
      <c r="F902" t="inlineStr">
        <is>
          <t>$6.41</t>
        </is>
      </c>
      <c r="G902" t="inlineStr">
        <is>
          <t>$6.17 B</t>
        </is>
      </c>
      <c r="H902" t="inlineStr">
        <is>
          <t>42.9%</t>
        </is>
      </c>
    </row>
    <row r="903">
      <c r="A903" s="78" t="inlineStr">
        <is>
          <t>Wednesday, February 15, 2023</t>
        </is>
      </c>
      <c r="B903" t="inlineStr">
        <is>
          <t>4:15 PM ET</t>
        </is>
      </c>
      <c r="C903" t="inlineStr">
        <is>
          <t>QS</t>
        </is>
      </c>
      <c r="D903" t="inlineStr">
        <is>
          <t>Quantumscape Corp</t>
        </is>
      </c>
      <c r="E903" t="n">
        <v>3308.92</v>
      </c>
      <c r="F903" t="inlineStr">
        <is>
          <t>($0.26)</t>
        </is>
      </c>
      <c r="G903" t="inlineStr">
        <is>
          <t>-</t>
        </is>
      </c>
      <c r="H903" t="inlineStr">
        <is>
          <t>-</t>
        </is>
      </c>
    </row>
    <row r="904">
      <c r="A904" s="78" t="inlineStr">
        <is>
          <t>Wednesday, February 15, 2023</t>
        </is>
      </c>
      <c r="B904" t="inlineStr">
        <is>
          <t>4:05 PM ET</t>
        </is>
      </c>
      <c r="C904" t="inlineStr">
        <is>
          <t>QDEL</t>
        </is>
      </c>
      <c r="D904" t="inlineStr">
        <is>
          <t>QuidelOrtho Corporation</t>
        </is>
      </c>
      <c r="E904" t="n">
        <v>5551.11</v>
      </c>
      <c r="F904" t="inlineStr">
        <is>
          <t>$1.38</t>
        </is>
      </c>
      <c r="G904" t="inlineStr">
        <is>
          <t>$765.35 M</t>
        </is>
      </c>
      <c r="H904" t="inlineStr">
        <is>
          <t>20.2%</t>
        </is>
      </c>
    </row>
    <row r="905">
      <c r="A905" s="78" t="inlineStr">
        <is>
          <t>Wednesday, February 15, 2023</t>
        </is>
      </c>
      <c r="B905" t="inlineStr">
        <is>
          <t>7:00 AM ET</t>
        </is>
      </c>
      <c r="C905" t="inlineStr">
        <is>
          <t>RPRX</t>
        </is>
      </c>
      <c r="D905" t="inlineStr">
        <is>
          <t>Repros Therapeutics Inc</t>
        </is>
      </c>
      <c r="E905" t="n">
        <v>23633.07</v>
      </c>
      <c r="F905" t="inlineStr">
        <is>
          <t>$1.50</t>
        </is>
      </c>
      <c r="G905" t="inlineStr">
        <is>
          <t>$1.06 B</t>
        </is>
      </c>
      <c r="H905" t="inlineStr">
        <is>
          <t>84.0%</t>
        </is>
      </c>
    </row>
    <row r="906">
      <c r="A906" s="78" t="inlineStr">
        <is>
          <t>Wednesday, February 15, 2023</t>
        </is>
      </c>
      <c r="B906" t="inlineStr">
        <is>
          <t>4:10 PM ET</t>
        </is>
      </c>
      <c r="C906" t="inlineStr">
        <is>
          <t>RSG</t>
        </is>
      </c>
      <c r="D906" t="inlineStr">
        <is>
          <t>Republic Services, Inc.</t>
        </is>
      </c>
      <c r="E906" t="n">
        <v>39715</v>
      </c>
      <c r="F906" t="inlineStr">
        <is>
          <t>$1.02</t>
        </is>
      </c>
      <c r="G906" t="inlineStr">
        <is>
          <t>$3.48 B</t>
        </is>
      </c>
      <c r="H906" t="inlineStr">
        <is>
          <t>17.9%</t>
        </is>
      </c>
    </row>
    <row r="907">
      <c r="A907" s="78" t="inlineStr">
        <is>
          <t>Wednesday, February 15, 2023</t>
        </is>
      </c>
      <c r="B907" t="inlineStr">
        <is>
          <t>6:00 AM ET</t>
        </is>
      </c>
      <c r="C907" t="inlineStr">
        <is>
          <t>RLX</t>
        </is>
      </c>
      <c r="D907" t="inlineStr">
        <is>
          <t>RLX Technology Inc.</t>
        </is>
      </c>
      <c r="E907" t="n">
        <v>4054.15</v>
      </c>
      <c r="F907" t="inlineStr">
        <is>
          <t>-</t>
        </is>
      </c>
      <c r="G907" t="inlineStr">
        <is>
          <t>-</t>
        </is>
      </c>
      <c r="H907" t="inlineStr">
        <is>
          <t>-</t>
        </is>
      </c>
    </row>
    <row r="908">
      <c r="A908" s="78" t="inlineStr">
        <is>
          <t>Wednesday, February 15, 2023</t>
        </is>
      </c>
      <c r="B908" t="inlineStr">
        <is>
          <t>8:00 AM ET</t>
        </is>
      </c>
      <c r="C908" t="inlineStr">
        <is>
          <t>RBLX</t>
        </is>
      </c>
      <c r="D908" t="inlineStr">
        <is>
          <t>Roblox Corporation</t>
        </is>
      </c>
      <c r="E908" t="n">
        <v>20396.65</v>
      </c>
      <c r="F908" t="inlineStr">
        <is>
          <t>($0.51)</t>
        </is>
      </c>
      <c r="G908" t="inlineStr">
        <is>
          <t>$863.91 M</t>
        </is>
      </c>
      <c r="H908" t="inlineStr">
        <is>
          <t>51.9%</t>
        </is>
      </c>
    </row>
    <row r="909">
      <c r="A909" s="78" t="inlineStr">
        <is>
          <t>Wednesday, February 15, 2023</t>
        </is>
      </c>
      <c r="B909" t="inlineStr">
        <is>
          <t>4:10 PM ET</t>
        </is>
      </c>
      <c r="C909" t="inlineStr">
        <is>
          <t>ROL</t>
        </is>
      </c>
      <c r="D909" t="inlineStr">
        <is>
          <t>Rollins Inc.</t>
        </is>
      </c>
      <c r="E909" t="n">
        <v>18334.75</v>
      </c>
      <c r="F909" t="inlineStr">
        <is>
          <t>$0.16</t>
        </is>
      </c>
      <c r="G909" t="inlineStr">
        <is>
          <t>$650.75 M</t>
        </is>
      </c>
      <c r="H909" t="inlineStr">
        <is>
          <t>8.4%</t>
        </is>
      </c>
    </row>
    <row r="910">
      <c r="A910" s="78" t="inlineStr">
        <is>
          <t>Wednesday, February 15, 2023</t>
        </is>
      </c>
      <c r="B910" t="inlineStr">
        <is>
          <t>4:25 PM ET</t>
        </is>
      </c>
      <c r="C910" t="inlineStr">
        <is>
          <t>RGLD</t>
        </is>
      </c>
      <c r="D910" t="inlineStr">
        <is>
          <t>Royal Gold, Inc.</t>
        </is>
      </c>
      <c r="E910" t="n">
        <v>8130.63</v>
      </c>
      <c r="F910" t="inlineStr">
        <is>
          <t>$0.74</t>
        </is>
      </c>
      <c r="G910" t="inlineStr">
        <is>
          <t>$580.00 M</t>
        </is>
      </c>
      <c r="H910" t="inlineStr">
        <is>
          <t>244.2%</t>
        </is>
      </c>
    </row>
    <row r="911">
      <c r="A911" s="78" t="inlineStr">
        <is>
          <t>Wednesday, February 15, 2023</t>
        </is>
      </c>
      <c r="B911" t="inlineStr">
        <is>
          <t>7:55 AM ET</t>
        </is>
      </c>
      <c r="C911" t="inlineStr">
        <is>
          <t>R</t>
        </is>
      </c>
      <c r="D911" t="inlineStr">
        <is>
          <t>Ryder System Inc.</t>
        </is>
      </c>
      <c r="E911" t="n">
        <v>4655.26</v>
      </c>
      <c r="F911" t="inlineStr">
        <is>
          <t>$3.60</t>
        </is>
      </c>
      <c r="G911" t="inlineStr">
        <is>
          <t>$2.96 B</t>
        </is>
      </c>
      <c r="H911" t="inlineStr">
        <is>
          <t>13.8%</t>
        </is>
      </c>
    </row>
    <row r="912">
      <c r="A912" s="78" t="inlineStr">
        <is>
          <t>Wednesday, February 15, 2023</t>
        </is>
      </c>
      <c r="B912" t="inlineStr">
        <is>
          <t>7:25 AM ET</t>
        </is>
      </c>
      <c r="C912" t="inlineStr">
        <is>
          <t>SHOP</t>
        </is>
      </c>
      <c r="D912" t="inlineStr">
        <is>
          <t>Shopify Inc.</t>
        </is>
      </c>
      <c r="E912" t="n">
        <v>50489.34</v>
      </c>
      <c r="F912" t="inlineStr">
        <is>
          <t>($0.01)</t>
        </is>
      </c>
      <c r="G912" t="inlineStr">
        <is>
          <t>$1.64 B</t>
        </is>
      </c>
      <c r="H912" t="inlineStr">
        <is>
          <t>18.8%</t>
        </is>
      </c>
    </row>
    <row r="913">
      <c r="A913" s="78" t="inlineStr">
        <is>
          <t>Wednesday, February 15, 2023</t>
        </is>
      </c>
      <c r="B913" t="inlineStr">
        <is>
          <t>6:00 AM ET</t>
        </is>
      </c>
      <c r="C913" t="inlineStr">
        <is>
          <t>SITE</t>
        </is>
      </c>
      <c r="D913" t="inlineStr">
        <is>
          <t>SiteOne Landscape Supply, Inc.</t>
        </is>
      </c>
      <c r="E913" t="n">
        <v>5955.83</v>
      </c>
      <c r="F913" t="inlineStr">
        <is>
          <t>$0.13</t>
        </is>
      </c>
      <c r="G913" t="inlineStr">
        <is>
          <t>$895.00 M</t>
        </is>
      </c>
      <c r="H913" t="inlineStr">
        <is>
          <t>11.2%</t>
        </is>
      </c>
    </row>
    <row r="914">
      <c r="A914" s="78" t="inlineStr">
        <is>
          <t>Wednesday, February 15, 2023</t>
        </is>
      </c>
      <c r="B914" t="inlineStr">
        <is>
          <t>7:00 AM ET</t>
        </is>
      </c>
      <c r="C914" t="inlineStr">
        <is>
          <t>SRAD</t>
        </is>
      </c>
      <c r="D914" t="inlineStr">
        <is>
          <t>Sportradar Group AG</t>
        </is>
      </c>
      <c r="E914" t="n">
        <v>12312.59</v>
      </c>
      <c r="F914" t="inlineStr">
        <is>
          <t>$0.03</t>
        </is>
      </c>
      <c r="G914" t="inlineStr">
        <is>
          <t>$196.60 M</t>
        </is>
      </c>
      <c r="H914" t="inlineStr">
        <is>
          <t>-</t>
        </is>
      </c>
    </row>
    <row r="915">
      <c r="A915" s="78" t="inlineStr">
        <is>
          <t>Wednesday, February 15, 2023</t>
        </is>
      </c>
      <c r="B915" t="inlineStr">
        <is>
          <t>4:05 PM ET</t>
        </is>
      </c>
      <c r="C915" t="inlineStr">
        <is>
          <t>STAG</t>
        </is>
      </c>
      <c r="D915" t="inlineStr">
        <is>
          <t>STAG Industrial, Inc.</t>
        </is>
      </c>
      <c r="E915" t="n">
        <v>6245.69</v>
      </c>
      <c r="F915" t="inlineStr">
        <is>
          <t>$0.55</t>
        </is>
      </c>
      <c r="G915" t="inlineStr">
        <is>
          <t>$167.63 M</t>
        </is>
      </c>
      <c r="H915" t="inlineStr">
        <is>
          <t>13.6%</t>
        </is>
      </c>
    </row>
    <row r="916">
      <c r="A916" s="78" t="inlineStr">
        <is>
          <t>Wednesday, February 15, 2023</t>
        </is>
      </c>
      <c r="B916" t="inlineStr">
        <is>
          <t>7:30 AM ET</t>
        </is>
      </c>
      <c r="C916" t="inlineStr">
        <is>
          <t>SUN</t>
        </is>
      </c>
      <c r="D916" t="inlineStr">
        <is>
          <t>Sunoco, Inc.</t>
        </is>
      </c>
      <c r="E916" t="n">
        <v>4507.83</v>
      </c>
      <c r="F916" t="inlineStr">
        <is>
          <t>$0.75</t>
        </is>
      </c>
      <c r="G916" t="inlineStr">
        <is>
          <t>$6.69 B</t>
        </is>
      </c>
      <c r="H916" t="inlineStr">
        <is>
          <t>35.0%</t>
        </is>
      </c>
    </row>
    <row r="917">
      <c r="A917" s="78" t="inlineStr">
        <is>
          <t>Wednesday, February 15, 2023</t>
        </is>
      </c>
      <c r="B917" t="inlineStr">
        <is>
          <t>4:05 PM ET</t>
        </is>
      </c>
      <c r="C917" t="inlineStr">
        <is>
          <t>SPWR</t>
        </is>
      </c>
      <c r="D917" t="inlineStr">
        <is>
          <t>SunPower Corp.</t>
        </is>
      </c>
      <c r="E917" t="n">
        <v>3265.92</v>
      </c>
      <c r="F917" t="inlineStr">
        <is>
          <t>$0.10</t>
        </is>
      </c>
      <c r="G917" t="inlineStr">
        <is>
          <t>$487.86 M</t>
        </is>
      </c>
      <c r="H917" t="inlineStr">
        <is>
          <t>26.9%</t>
        </is>
      </c>
    </row>
    <row r="918">
      <c r="A918" s="78" t="inlineStr">
        <is>
          <t>Wednesday, February 15, 2023</t>
        </is>
      </c>
      <c r="B918" t="inlineStr">
        <is>
          <t>6:30 AM ET</t>
        </is>
      </c>
      <c r="C918" t="inlineStr">
        <is>
          <t>TGT</t>
        </is>
      </c>
      <c r="D918" t="inlineStr">
        <is>
          <t>Target Corp.</t>
        </is>
      </c>
      <c r="E918" t="n">
        <v>74608.58</v>
      </c>
      <c r="F918" t="inlineStr">
        <is>
          <t>$1.41</t>
        </is>
      </c>
      <c r="G918" t="inlineStr">
        <is>
          <t>$32.20 B</t>
        </is>
      </c>
      <c r="H918" t="inlineStr">
        <is>
          <t>3.9%</t>
        </is>
      </c>
    </row>
    <row r="919">
      <c r="A919" s="78" t="inlineStr">
        <is>
          <t>Wednesday, February 15, 2023</t>
        </is>
      </c>
      <c r="B919" t="inlineStr">
        <is>
          <t>6:15 AM ET</t>
        </is>
      </c>
      <c r="C919" t="inlineStr">
        <is>
          <t>TMHC</t>
        </is>
      </c>
      <c r="D919" t="inlineStr">
        <is>
          <t>Taylor Morrison Home Corporation</t>
        </is>
      </c>
      <c r="E919" t="n">
        <v>3609.03</v>
      </c>
      <c r="F919" t="inlineStr">
        <is>
          <t>$2.91</t>
        </is>
      </c>
      <c r="G919" t="inlineStr">
        <is>
          <t>$2.86 B</t>
        </is>
      </c>
      <c r="H919" t="inlineStr">
        <is>
          <t>14.2%</t>
        </is>
      </c>
    </row>
    <row r="920">
      <c r="A920" s="78" t="inlineStr">
        <is>
          <t>Wednesday, February 15, 2023</t>
        </is>
      </c>
      <c r="B920" t="inlineStr">
        <is>
          <t>7:00 PM ET</t>
        </is>
      </c>
      <c r="C920" t="inlineStr">
        <is>
          <t>TS</t>
        </is>
      </c>
      <c r="D920" t="inlineStr">
        <is>
          <t>Tenaris S.A.</t>
        </is>
      </c>
      <c r="E920" t="n">
        <v>21226.05</v>
      </c>
      <c r="F920" t="inlineStr">
        <is>
          <t>$1.38</t>
        </is>
      </c>
      <c r="G920" t="inlineStr">
        <is>
          <t>$3.59 B</t>
        </is>
      </c>
      <c r="H920" t="inlineStr">
        <is>
          <t>74.5%</t>
        </is>
      </c>
    </row>
    <row r="921">
      <c r="A921" s="78" t="inlineStr">
        <is>
          <t>Wednesday, February 15, 2023</t>
        </is>
      </c>
      <c r="B921" t="inlineStr">
        <is>
          <t>7:35 AM ET</t>
        </is>
      </c>
      <c r="C921" t="inlineStr">
        <is>
          <t>TJX</t>
        </is>
      </c>
      <c r="D921" t="inlineStr">
        <is>
          <t>TJX Companies Inc.</t>
        </is>
      </c>
      <c r="E921" t="n">
        <v>94231.37</v>
      </c>
      <c r="F921" t="inlineStr">
        <is>
          <t>$0.89</t>
        </is>
      </c>
      <c r="G921" t="inlineStr">
        <is>
          <t>$14.25 B</t>
        </is>
      </c>
      <c r="H921" t="inlineStr">
        <is>
          <t>2.9%</t>
        </is>
      </c>
    </row>
    <row r="922">
      <c r="A922" s="78" t="inlineStr">
        <is>
          <t>Wednesday, February 15, 2023</t>
        </is>
      </c>
      <c r="B922" t="inlineStr">
        <is>
          <t>8:00 AM ET</t>
        </is>
      </c>
      <c r="C922" t="inlineStr">
        <is>
          <t>TPG</t>
        </is>
      </c>
      <c r="D922" t="inlineStr">
        <is>
          <t>TPG Inc.</t>
        </is>
      </c>
      <c r="E922" t="n">
        <v>10273.77</v>
      </c>
      <c r="F922" t="inlineStr">
        <is>
          <t>$0.55</t>
        </is>
      </c>
      <c r="G922" t="inlineStr">
        <is>
          <t>$274.50 M</t>
        </is>
      </c>
      <c r="H922" t="inlineStr">
        <is>
          <t>-74.6%</t>
        </is>
      </c>
    </row>
    <row r="923">
      <c r="A923" s="78" t="inlineStr">
        <is>
          <t>Wednesday, February 15, 2023</t>
        </is>
      </c>
      <c r="B923" t="inlineStr">
        <is>
          <t>6:00 AM ET</t>
        </is>
      </c>
      <c r="C923" t="inlineStr">
        <is>
          <t>TTD</t>
        </is>
      </c>
      <c r="D923" t="inlineStr">
        <is>
          <t>Trade Desk, Inc.</t>
        </is>
      </c>
      <c r="E923" t="n">
        <v>23041.29</v>
      </c>
      <c r="F923" t="inlineStr">
        <is>
          <t>$0.17</t>
        </is>
      </c>
      <c r="G923" t="inlineStr">
        <is>
          <t>$392.80 M</t>
        </is>
      </c>
      <c r="H923" t="inlineStr">
        <is>
          <t>-0.7%</t>
        </is>
      </c>
    </row>
    <row r="924">
      <c r="A924" s="78" t="inlineStr">
        <is>
          <t>Wednesday, February 15, 2023</t>
        </is>
      </c>
      <c r="B924" t="inlineStr">
        <is>
          <t>4:05 PM ET</t>
        </is>
      </c>
      <c r="C924" t="inlineStr">
        <is>
          <t>TRIP</t>
        </is>
      </c>
      <c r="D924" t="inlineStr">
        <is>
          <t>TripAdvisor, Inc.</t>
        </is>
      </c>
      <c r="E924" t="n">
        <v>3049.31</v>
      </c>
      <c r="F924" t="inlineStr">
        <is>
          <t>($0.09)</t>
        </is>
      </c>
      <c r="G924" t="inlineStr">
        <is>
          <t>$344.72 M</t>
        </is>
      </c>
      <c r="H924" t="inlineStr">
        <is>
          <t>43.0%</t>
        </is>
      </c>
    </row>
    <row r="925">
      <c r="A925" s="78" t="inlineStr">
        <is>
          <t>Wednesday, February 15, 2023</t>
        </is>
      </c>
      <c r="B925" t="inlineStr">
        <is>
          <t>4:05 PM ET</t>
        </is>
      </c>
      <c r="C925" t="inlineStr">
        <is>
          <t>TWLO</t>
        </is>
      </c>
      <c r="D925" t="inlineStr">
        <is>
          <t>Twilio, Inc.</t>
        </is>
      </c>
      <c r="E925" t="n">
        <v>10186.65</v>
      </c>
      <c r="F925" t="inlineStr">
        <is>
          <t>($0.96)</t>
        </is>
      </c>
      <c r="G925" t="inlineStr">
        <is>
          <t>$998.29 M</t>
        </is>
      </c>
      <c r="H925" t="inlineStr">
        <is>
          <t>18.5%</t>
        </is>
      </c>
    </row>
    <row r="926">
      <c r="A926" s="78" t="inlineStr">
        <is>
          <t>Wednesday, February 15, 2023</t>
        </is>
      </c>
      <c r="B926" t="inlineStr">
        <is>
          <t>4:15 PM ET</t>
        </is>
      </c>
      <c r="C926" t="inlineStr">
        <is>
          <t>TYL</t>
        </is>
      </c>
      <c r="D926" t="inlineStr">
        <is>
          <t>Tyler Technologies, Inc.</t>
        </is>
      </c>
      <c r="E926" t="n">
        <v>13288.13</v>
      </c>
      <c r="F926" t="inlineStr">
        <is>
          <t>$1.21</t>
        </is>
      </c>
      <c r="G926" t="inlineStr">
        <is>
          <t>$465.83 M</t>
        </is>
      </c>
      <c r="H926" t="inlineStr">
        <is>
          <t>7.4%</t>
        </is>
      </c>
    </row>
    <row r="927">
      <c r="A927" s="78" t="inlineStr">
        <is>
          <t>Wednesday, February 15, 2023</t>
        </is>
      </c>
      <c r="B927" t="inlineStr">
        <is>
          <t>4:05 PM ET</t>
        </is>
      </c>
      <c r="C927" t="inlineStr">
        <is>
          <t>UFPI</t>
        </is>
      </c>
      <c r="D927" t="inlineStr">
        <is>
          <t>UFP Industries, Inc.</t>
        </is>
      </c>
      <c r="E927" t="n">
        <v>5316.24</v>
      </c>
      <c r="F927" t="inlineStr">
        <is>
          <t>$1.73</t>
        </is>
      </c>
      <c r="G927" t="inlineStr">
        <is>
          <t>$1.94 B</t>
        </is>
      </c>
      <c r="H927" t="inlineStr">
        <is>
          <t>-3.8%</t>
        </is>
      </c>
    </row>
    <row r="928">
      <c r="A928" s="78" t="inlineStr">
        <is>
          <t>Wednesday, February 15, 2023</t>
        </is>
      </c>
      <c r="B928" t="inlineStr">
        <is>
          <t>4:15 PM ET</t>
        </is>
      </c>
      <c r="C928" t="inlineStr">
        <is>
          <t>VMI</t>
        </is>
      </c>
      <c r="D928" t="inlineStr">
        <is>
          <t>Valmont Industries Inc.</t>
        </is>
      </c>
      <c r="E928" t="n">
        <v>7124.39</v>
      </c>
      <c r="F928" t="inlineStr">
        <is>
          <t>$3.49</t>
        </is>
      </c>
      <c r="G928" t="inlineStr">
        <is>
          <t>$1.06 B</t>
        </is>
      </c>
      <c r="H928" t="inlineStr">
        <is>
          <t>10.0%</t>
        </is>
      </c>
    </row>
    <row r="929">
      <c r="A929" s="78" t="inlineStr">
        <is>
          <t>Wednesday, February 15, 2023</t>
        </is>
      </c>
      <c r="B929" t="inlineStr">
        <is>
          <t>7:00 AM ET</t>
        </is>
      </c>
      <c r="C929" t="inlineStr">
        <is>
          <t>VMC</t>
        </is>
      </c>
      <c r="D929" t="inlineStr">
        <is>
          <t>Vulcan Materials Company</t>
        </is>
      </c>
      <c r="E929" t="n">
        <v>24263.48</v>
      </c>
      <c r="F929" t="inlineStr">
        <is>
          <t>$1.34</t>
        </is>
      </c>
      <c r="G929" t="inlineStr">
        <is>
          <t>$1.84 B</t>
        </is>
      </c>
      <c r="H929" t="inlineStr">
        <is>
          <t>14.5%</t>
        </is>
      </c>
    </row>
    <row r="930">
      <c r="A930" s="78" t="inlineStr">
        <is>
          <t>Wednesday, February 15, 2023</t>
        </is>
      </c>
      <c r="B930" t="inlineStr">
        <is>
          <t>6:30 AM ET</t>
        </is>
      </c>
      <c r="C930" t="inlineStr">
        <is>
          <t>WAB</t>
        </is>
      </c>
      <c r="D930" t="inlineStr">
        <is>
          <t>Wabtec Corporation</t>
        </is>
      </c>
      <c r="E930" t="n">
        <v>18774.22</v>
      </c>
      <c r="F930" t="inlineStr">
        <is>
          <t>$1.30</t>
        </is>
      </c>
      <c r="G930" t="inlineStr">
        <is>
          <t>$2.24 B</t>
        </is>
      </c>
      <c r="H930" t="inlineStr">
        <is>
          <t>8.1%</t>
        </is>
      </c>
    </row>
    <row r="931">
      <c r="A931" s="78" t="inlineStr">
        <is>
          <t>Wednesday, February 15, 2023</t>
        </is>
      </c>
      <c r="B931" t="inlineStr">
        <is>
          <t>4:05 PM ET</t>
        </is>
      </c>
      <c r="C931" t="inlineStr">
        <is>
          <t>WCN</t>
        </is>
      </c>
      <c r="D931" t="inlineStr">
        <is>
          <t>Waste Connections Inc.</t>
        </is>
      </c>
      <c r="E931" t="n">
        <v>33861.85</v>
      </c>
      <c r="F931" t="inlineStr">
        <is>
          <t>$0.89</t>
        </is>
      </c>
      <c r="G931" t="inlineStr">
        <is>
          <t>$1.85 B</t>
        </is>
      </c>
      <c r="H931" t="inlineStr">
        <is>
          <t>13.9%</t>
        </is>
      </c>
    </row>
    <row r="932">
      <c r="A932" s="78" t="inlineStr">
        <is>
          <t>Wednesday, February 15, 2023</t>
        </is>
      </c>
      <c r="B932" t="inlineStr">
        <is>
          <t>6:50 AM ET</t>
        </is>
      </c>
      <c r="C932" t="inlineStr">
        <is>
          <t>WAT</t>
        </is>
      </c>
      <c r="D932" t="inlineStr">
        <is>
          <t>Waters Corp.</t>
        </is>
      </c>
      <c r="E932" t="n">
        <v>19738.17</v>
      </c>
      <c r="F932" t="inlineStr">
        <is>
          <t>$3.74</t>
        </is>
      </c>
      <c r="G932" t="inlineStr">
        <is>
          <t>$832.18 M</t>
        </is>
      </c>
      <c r="H932" t="inlineStr">
        <is>
          <t>-0.5%</t>
        </is>
      </c>
    </row>
    <row r="933">
      <c r="A933" s="78" t="inlineStr">
        <is>
          <t>Wednesday, February 15, 2023</t>
        </is>
      </c>
      <c r="B933" t="inlineStr">
        <is>
          <t>8:00 AM ET</t>
        </is>
      </c>
      <c r="C933" t="inlineStr">
        <is>
          <t>WING</t>
        </is>
      </c>
      <c r="D933" t="inlineStr">
        <is>
          <t>Wingstop Inc.</t>
        </is>
      </c>
      <c r="E933" t="n">
        <v>4430.02</v>
      </c>
      <c r="F933" t="inlineStr">
        <is>
          <t>$0.42</t>
        </is>
      </c>
      <c r="G933" t="inlineStr">
        <is>
          <t>$102.02 M</t>
        </is>
      </c>
      <c r="H933" t="inlineStr">
        <is>
          <t>41.6%</t>
        </is>
      </c>
    </row>
    <row r="934">
      <c r="A934" s="78" t="inlineStr">
        <is>
          <t>Wednesday, February 15, 2023</t>
        </is>
      </c>
      <c r="B934" t="inlineStr">
        <is>
          <t>4:30 PM ET</t>
        </is>
      </c>
      <c r="C934" t="inlineStr">
        <is>
          <t>WH</t>
        </is>
      </c>
      <c r="D934" t="inlineStr">
        <is>
          <t>Wyndham Hotels &amp; Resorts</t>
        </is>
      </c>
      <c r="E934" t="n">
        <v>6464.45</v>
      </c>
      <c r="F934" t="inlineStr">
        <is>
          <t>$0.64</t>
        </is>
      </c>
      <c r="G934" t="inlineStr">
        <is>
          <t>$306.28 M</t>
        </is>
      </c>
      <c r="H934" t="inlineStr">
        <is>
          <t>-21.9%</t>
        </is>
      </c>
    </row>
    <row r="935">
      <c r="A935" s="78" t="inlineStr">
        <is>
          <t>Wednesday, February 15, 2023</t>
        </is>
      </c>
      <c r="B935" t="inlineStr">
        <is>
          <t>4:05 PM ET</t>
        </is>
      </c>
      <c r="C935" t="inlineStr">
        <is>
          <t>Z</t>
        </is>
      </c>
      <c r="D935" t="inlineStr">
        <is>
          <t>Zillow, Inc.</t>
        </is>
      </c>
      <c r="E935" t="n">
        <v>10181.83</v>
      </c>
      <c r="F935" t="inlineStr">
        <is>
          <t>-</t>
        </is>
      </c>
      <c r="G935" t="inlineStr">
        <is>
          <t>-</t>
        </is>
      </c>
      <c r="H935" t="inlineStr">
        <is>
          <t>-</t>
        </is>
      </c>
    </row>
    <row r="936">
      <c r="A936" s="78" t="inlineStr">
        <is>
          <t>Thursday, February 16, 2023</t>
        </is>
      </c>
      <c r="B936" t="inlineStr">
        <is>
          <t>5:00 PM ET</t>
        </is>
      </c>
      <c r="C936" t="inlineStr">
        <is>
          <t>AEM</t>
        </is>
      </c>
      <c r="D936" t="inlineStr">
        <is>
          <t>Agnico-Eagle Mines, Ltd</t>
        </is>
      </c>
      <c r="E936" t="n">
        <v>24944.44</v>
      </c>
      <c r="F936" t="inlineStr">
        <is>
          <t>$0.40</t>
        </is>
      </c>
      <c r="G936" t="inlineStr">
        <is>
          <t>$1.46 B</t>
        </is>
      </c>
      <c r="H936" t="inlineStr">
        <is>
          <t>53.8%</t>
        </is>
      </c>
    </row>
    <row r="937">
      <c r="A937" s="78" t="inlineStr">
        <is>
          <t>Thursday, February 16, 2023</t>
        </is>
      </c>
      <c r="B937" t="inlineStr">
        <is>
          <t>4:05 PM ET</t>
        </is>
      </c>
      <c r="C937" t="inlineStr">
        <is>
          <t>AL</t>
        </is>
      </c>
      <c r="D937" t="inlineStr">
        <is>
          <t>Air Lease Corporation</t>
        </is>
      </c>
      <c r="E937" t="n">
        <v>4800.52</v>
      </c>
      <c r="F937" t="inlineStr">
        <is>
          <t>$1.09</t>
        </is>
      </c>
      <c r="G937" t="inlineStr">
        <is>
          <t>$596.92 M</t>
        </is>
      </c>
      <c r="H937" t="inlineStr">
        <is>
          <t>0.0%</t>
        </is>
      </c>
    </row>
    <row r="938">
      <c r="A938" s="78" t="inlineStr">
        <is>
          <t>Thursday, February 16, 2023</t>
        </is>
      </c>
      <c r="B938" t="inlineStr">
        <is>
          <t>6:40 AM ET</t>
        </is>
      </c>
      <c r="C938" t="inlineStr">
        <is>
          <t>BABA</t>
        </is>
      </c>
      <c r="D938" t="inlineStr">
        <is>
          <t>Alibaba Group Holding Ltd.</t>
        </is>
      </c>
      <c r="E938" t="n">
        <v>305039.06</v>
      </c>
      <c r="F938" t="inlineStr">
        <is>
          <t>$1.86</t>
        </is>
      </c>
      <c r="G938" t="inlineStr">
        <is>
          <t>$34.53 B</t>
        </is>
      </c>
      <c r="H938" t="inlineStr">
        <is>
          <t>-9.3%</t>
        </is>
      </c>
    </row>
    <row r="939">
      <c r="A939" s="78" t="inlineStr">
        <is>
          <t>Thursday, February 16, 2023</t>
        </is>
      </c>
      <c r="B939" t="inlineStr">
        <is>
          <t>6:00 PM ET</t>
        </is>
      </c>
      <c r="C939" t="inlineStr">
        <is>
          <t>LNT</t>
        </is>
      </c>
      <c r="D939" t="inlineStr">
        <is>
          <t>Alliant Energy, Inc.</t>
        </is>
      </c>
      <c r="E939" t="n">
        <v>13826.28</v>
      </c>
      <c r="F939" t="inlineStr">
        <is>
          <t>$0.48</t>
        </is>
      </c>
      <c r="G939" t="inlineStr">
        <is>
          <t>-</t>
        </is>
      </c>
      <c r="H939" t="inlineStr">
        <is>
          <t>-</t>
        </is>
      </c>
    </row>
    <row r="940">
      <c r="A940" s="78" t="inlineStr">
        <is>
          <t>Thursday, February 16, 2023</t>
        </is>
      </c>
      <c r="B940" t="inlineStr">
        <is>
          <t>4:30 PM ET</t>
        </is>
      </c>
      <c r="C940" t="inlineStr">
        <is>
          <t>AEE</t>
        </is>
      </c>
      <c r="D940" t="inlineStr">
        <is>
          <t>Ameren Corp.</t>
        </is>
      </c>
      <c r="E940" t="n">
        <v>23070.52</v>
      </c>
      <c r="F940" t="inlineStr">
        <is>
          <t>$0.56</t>
        </is>
      </c>
      <c r="G940" t="inlineStr">
        <is>
          <t>$1.41 B</t>
        </is>
      </c>
      <c r="H940" t="inlineStr">
        <is>
          <t>-8.7%</t>
        </is>
      </c>
    </row>
    <row r="941">
      <c r="A941" s="78" t="inlineStr">
        <is>
          <t>Thursday, February 16, 2023</t>
        </is>
      </c>
      <c r="B941" t="inlineStr">
        <is>
          <t>4:15 PM ET</t>
        </is>
      </c>
      <c r="C941" t="inlineStr">
        <is>
          <t>AEL</t>
        </is>
      </c>
      <c r="D941" t="inlineStr">
        <is>
          <t>American Equity Investment Life Holding Company</t>
        </is>
      </c>
      <c r="E941" t="n">
        <v>3953.45</v>
      </c>
      <c r="F941" t="inlineStr">
        <is>
          <t>$0.96</t>
        </is>
      </c>
      <c r="G941" t="inlineStr">
        <is>
          <t>$572.55 M</t>
        </is>
      </c>
      <c r="H941" t="inlineStr">
        <is>
          <t>-48.4%</t>
        </is>
      </c>
    </row>
    <row r="942">
      <c r="A942" s="78" t="inlineStr">
        <is>
          <t>Thursday, February 16, 2023</t>
        </is>
      </c>
      <c r="B942" t="inlineStr">
        <is>
          <t>4:05 PM ET</t>
        </is>
      </c>
      <c r="C942" t="inlineStr">
        <is>
          <t>COLD</t>
        </is>
      </c>
      <c r="D942" t="inlineStr">
        <is>
          <t>Americold Realty Trust</t>
        </is>
      </c>
      <c r="E942" t="n">
        <v>8286.719999999999</v>
      </c>
      <c r="F942" t="inlineStr">
        <is>
          <t>$0.26</t>
        </is>
      </c>
      <c r="G942" t="inlineStr">
        <is>
          <t>$766.65 M</t>
        </is>
      </c>
      <c r="H942" t="inlineStr">
        <is>
          <t>7.0%</t>
        </is>
      </c>
    </row>
    <row r="943">
      <c r="A943" s="78" t="inlineStr">
        <is>
          <t>Thursday, February 16, 2023</t>
        </is>
      </c>
      <c r="B943" t="inlineStr">
        <is>
          <t>4:15 PM ET</t>
        </is>
      </c>
      <c r="C943" t="inlineStr">
        <is>
          <t>AMN</t>
        </is>
      </c>
      <c r="D943" t="inlineStr">
        <is>
          <t>AMN Healthcare Services, Inc.</t>
        </is>
      </c>
      <c r="E943" t="n">
        <v>4551.57</v>
      </c>
      <c r="F943" t="inlineStr">
        <is>
          <t>$2.17</t>
        </is>
      </c>
      <c r="G943" t="inlineStr">
        <is>
          <t>$1.07 B</t>
        </is>
      </c>
      <c r="H943" t="inlineStr">
        <is>
          <t>-21.5%</t>
        </is>
      </c>
    </row>
    <row r="944">
      <c r="A944" s="78" t="inlineStr">
        <is>
          <t>Thursday, February 16, 2023</t>
        </is>
      </c>
      <c r="B944" t="inlineStr">
        <is>
          <t>4:00 PM ET</t>
        </is>
      </c>
      <c r="C944" t="inlineStr">
        <is>
          <t>AMAT</t>
        </is>
      </c>
      <c r="D944" t="inlineStr">
        <is>
          <t>Applied Materials, Inc.</t>
        </is>
      </c>
      <c r="E944" t="n">
        <v>92357.33</v>
      </c>
      <c r="F944" t="inlineStr">
        <is>
          <t>$1.93</t>
        </is>
      </c>
      <c r="G944" t="inlineStr">
        <is>
          <t>$6.69 B</t>
        </is>
      </c>
      <c r="H944" t="inlineStr">
        <is>
          <t>6.7%</t>
        </is>
      </c>
    </row>
    <row r="945">
      <c r="A945" s="78" t="inlineStr">
        <is>
          <t>Thursday, February 16, 2023</t>
        </is>
      </c>
      <c r="B945" t="inlineStr">
        <is>
          <t>5:00 PM ET</t>
        </is>
      </c>
      <c r="C945" t="inlineStr">
        <is>
          <t>ATR</t>
        </is>
      </c>
      <c r="D945" t="inlineStr">
        <is>
          <t>AptarGroup Inc.</t>
        </is>
      </c>
      <c r="E945" t="n">
        <v>7446.29</v>
      </c>
      <c r="F945" t="inlineStr">
        <is>
          <t>$0.78</t>
        </is>
      </c>
      <c r="G945" t="inlineStr">
        <is>
          <t>$765.72 M</t>
        </is>
      </c>
      <c r="H945" t="inlineStr">
        <is>
          <t>-5.9%</t>
        </is>
      </c>
    </row>
    <row r="946">
      <c r="A946" s="78" t="inlineStr">
        <is>
          <t>Thursday, February 16, 2023</t>
        </is>
      </c>
      <c r="B946" t="inlineStr">
        <is>
          <t>7:00 AM ET</t>
        </is>
      </c>
      <c r="C946" t="inlineStr">
        <is>
          <t>AN</t>
        </is>
      </c>
      <c r="D946" t="inlineStr">
        <is>
          <t>AutoNation Inc.</t>
        </is>
      </c>
      <c r="E946" t="n">
        <v>5447.01</v>
      </c>
      <c r="F946" t="inlineStr">
        <is>
          <t>$5.81</t>
        </is>
      </c>
      <c r="G946" t="inlineStr">
        <is>
          <t>$6.58 B</t>
        </is>
      </c>
      <c r="H946" t="inlineStr">
        <is>
          <t>0.0%</t>
        </is>
      </c>
    </row>
    <row r="947">
      <c r="A947" s="78" t="inlineStr">
        <is>
          <t>Thursday, February 16, 2023</t>
        </is>
      </c>
      <c r="B947" t="inlineStr">
        <is>
          <t>4:05 PM ET</t>
        </is>
      </c>
      <c r="C947" t="inlineStr">
        <is>
          <t>BIO</t>
        </is>
      </c>
      <c r="D947" t="inlineStr">
        <is>
          <t>Bio-Rad Laboratories</t>
        </is>
      </c>
      <c r="E947" t="n">
        <v>13567.59</v>
      </c>
      <c r="F947" t="inlineStr">
        <is>
          <t>$3.45</t>
        </is>
      </c>
      <c r="G947" t="inlineStr">
        <is>
          <t>$745.80 M</t>
        </is>
      </c>
      <c r="H947" t="inlineStr">
        <is>
          <t>1.8%</t>
        </is>
      </c>
    </row>
    <row r="948">
      <c r="A948" s="78" t="inlineStr">
        <is>
          <t>Thursday, February 16, 2023</t>
        </is>
      </c>
      <c r="B948" t="inlineStr">
        <is>
          <t>6:45 AM ET</t>
        </is>
      </c>
      <c r="C948" t="inlineStr">
        <is>
          <t>BJ</t>
        </is>
      </c>
      <c r="D948" t="inlineStr">
        <is>
          <t>BJ's Wholesale Club, Inc.</t>
        </is>
      </c>
      <c r="E948" t="n">
        <v>9330.559999999999</v>
      </c>
      <c r="F948" t="inlineStr">
        <is>
          <t>$0.88</t>
        </is>
      </c>
      <c r="G948" t="inlineStr">
        <is>
          <t>$4.79 B</t>
        </is>
      </c>
      <c r="H948" t="inlineStr">
        <is>
          <t>9.9%</t>
        </is>
      </c>
    </row>
    <row r="949">
      <c r="A949" s="78" t="inlineStr">
        <is>
          <t>Thursday, February 16, 2023</t>
        </is>
      </c>
      <c r="B949" t="inlineStr">
        <is>
          <t>4:15 PM ET</t>
        </is>
      </c>
      <c r="C949" t="inlineStr">
        <is>
          <t>CWST</t>
        </is>
      </c>
      <c r="D949" t="inlineStr">
        <is>
          <t>Casella Waste Systems Inc.</t>
        </is>
      </c>
      <c r="E949" t="n">
        <v>4080.67</v>
      </c>
      <c r="F949" t="inlineStr">
        <is>
          <t>$0.24</t>
        </is>
      </c>
      <c r="G949" t="inlineStr">
        <is>
          <t>$263.07 M</t>
        </is>
      </c>
      <c r="H949" t="inlineStr">
        <is>
          <t>8.8%</t>
        </is>
      </c>
    </row>
    <row r="950">
      <c r="A950" s="78" t="inlineStr">
        <is>
          <t>Thursday, February 16, 2023</t>
        </is>
      </c>
      <c r="B950" t="inlineStr">
        <is>
          <t>6:00 AM ET</t>
        </is>
      </c>
      <c r="C950" t="inlineStr">
        <is>
          <t>CVE</t>
        </is>
      </c>
      <c r="D950" t="inlineStr">
        <is>
          <t>Cenovus Energy Inc</t>
        </is>
      </c>
      <c r="E950" t="n">
        <v>36738.54</v>
      </c>
      <c r="F950" t="inlineStr">
        <is>
          <t>$0.66</t>
        </is>
      </c>
      <c r="G950" t="inlineStr">
        <is>
          <t>$9.95 B</t>
        </is>
      </c>
      <c r="H950" t="inlineStr">
        <is>
          <t>-8.6%</t>
        </is>
      </c>
    </row>
    <row r="951">
      <c r="A951" s="78" t="inlineStr">
        <is>
          <t>Thursday, February 16, 2023</t>
        </is>
      </c>
      <c r="B951" t="inlineStr">
        <is>
          <t>4:05 PM ET</t>
        </is>
      </c>
      <c r="C951" t="inlineStr">
        <is>
          <t>CGNX</t>
        </is>
      </c>
      <c r="D951" t="inlineStr">
        <is>
          <t>Cognex Corp.</t>
        </is>
      </c>
      <c r="E951" t="n">
        <v>8841.92</v>
      </c>
      <c r="F951" t="inlineStr">
        <is>
          <t>$0.25</t>
        </is>
      </c>
      <c r="G951" t="inlineStr">
        <is>
          <t>$233.59 M</t>
        </is>
      </c>
      <c r="H951" t="inlineStr">
        <is>
          <t>-4.3%</t>
        </is>
      </c>
    </row>
    <row r="952">
      <c r="A952" s="78" t="inlineStr">
        <is>
          <t>Thursday, February 16, 2023</t>
        </is>
      </c>
      <c r="B952" t="inlineStr">
        <is>
          <t>4:40 PM ET</t>
        </is>
      </c>
      <c r="C952" t="inlineStr">
        <is>
          <t>ED</t>
        </is>
      </c>
      <c r="D952" t="inlineStr">
        <is>
          <t>Consolidated Edison Inc.</t>
        </is>
      </c>
      <c r="E952" t="n">
        <v>33885.85</v>
      </c>
      <c r="F952" t="inlineStr">
        <is>
          <t>$0.82</t>
        </is>
      </c>
      <c r="G952" t="inlineStr">
        <is>
          <t>$2.95 B</t>
        </is>
      </c>
      <c r="H952" t="inlineStr">
        <is>
          <t>-13.6%</t>
        </is>
      </c>
    </row>
    <row r="953">
      <c r="A953" s="78" t="inlineStr">
        <is>
          <t>Thursday, February 16, 2023</t>
        </is>
      </c>
      <c r="B953" t="inlineStr">
        <is>
          <t>5:00 PM ET</t>
        </is>
      </c>
      <c r="C953" t="inlineStr">
        <is>
          <t>DADA</t>
        </is>
      </c>
      <c r="D953" t="inlineStr">
        <is>
          <t>Dada Nexus Limited</t>
        </is>
      </c>
      <c r="E953" t="n">
        <v>3539.91</v>
      </c>
      <c r="F953" t="inlineStr">
        <is>
          <t>($0.17)</t>
        </is>
      </c>
      <c r="G953" t="inlineStr">
        <is>
          <t>$374.17 M</t>
        </is>
      </c>
      <c r="H953" t="inlineStr">
        <is>
          <t>17.7%</t>
        </is>
      </c>
    </row>
    <row r="954">
      <c r="A954" s="78" t="inlineStr">
        <is>
          <t>Thursday, February 16, 2023</t>
        </is>
      </c>
      <c r="B954" t="inlineStr">
        <is>
          <t>4:05 PM ET</t>
        </is>
      </c>
      <c r="C954" t="inlineStr">
        <is>
          <t>DLR</t>
        </is>
      </c>
      <c r="D954" t="inlineStr">
        <is>
          <t>Digital Realty Trust Inc</t>
        </is>
      </c>
      <c r="E954" t="n">
        <v>30721.76</v>
      </c>
      <c r="F954" t="inlineStr">
        <is>
          <t>$1.68</t>
        </is>
      </c>
      <c r="G954" t="inlineStr">
        <is>
          <t>$1.23 B</t>
        </is>
      </c>
      <c r="H954" t="inlineStr">
        <is>
          <t>10.7%</t>
        </is>
      </c>
    </row>
    <row r="955">
      <c r="A955" s="78" t="inlineStr">
        <is>
          <t>Thursday, February 16, 2023</t>
        </is>
      </c>
      <c r="B955" t="inlineStr">
        <is>
          <t>4:05 PM ET</t>
        </is>
      </c>
      <c r="C955" t="inlineStr">
        <is>
          <t>DASH</t>
        </is>
      </c>
      <c r="D955" t="inlineStr">
        <is>
          <t>DoorDash, Inc.</t>
        </is>
      </c>
      <c r="E955" t="n">
        <v>21146.2</v>
      </c>
      <c r="F955" t="inlineStr">
        <is>
          <t>($0.69)</t>
        </is>
      </c>
      <c r="G955" t="inlineStr">
        <is>
          <t>$1.74 B</t>
        </is>
      </c>
      <c r="H955" t="inlineStr">
        <is>
          <t>33.8%</t>
        </is>
      </c>
    </row>
    <row r="956">
      <c r="A956" s="78" t="inlineStr">
        <is>
          <t>Thursday, February 16, 2023</t>
        </is>
      </c>
      <c r="B956" t="inlineStr">
        <is>
          <t>4:00 PM ET</t>
        </is>
      </c>
      <c r="C956" t="inlineStr">
        <is>
          <t>DBX</t>
        </is>
      </c>
      <c r="D956" t="inlineStr">
        <is>
          <t>Dropbox, Inc.</t>
        </is>
      </c>
      <c r="E956" t="n">
        <v>8252.25</v>
      </c>
      <c r="F956" t="inlineStr">
        <is>
          <t>$0.21</t>
        </is>
      </c>
      <c r="G956" t="inlineStr">
        <is>
          <t>$593.22 M</t>
        </is>
      </c>
      <c r="H956" t="inlineStr">
        <is>
          <t>4.9%</t>
        </is>
      </c>
    </row>
    <row r="957">
      <c r="A957" s="78" t="inlineStr">
        <is>
          <t>Thursday, February 16, 2023</t>
        </is>
      </c>
      <c r="B957" t="inlineStr">
        <is>
          <t>6:30 AM ET</t>
        </is>
      </c>
      <c r="C957" t="inlineStr">
        <is>
          <t>ETR</t>
        </is>
      </c>
      <c r="D957" t="inlineStr">
        <is>
          <t>Entergy Corp.</t>
        </is>
      </c>
      <c r="E957" t="n">
        <v>21754.44</v>
      </c>
      <c r="F957" t="inlineStr">
        <is>
          <t>$0.45</t>
        </is>
      </c>
      <c r="G957" t="inlineStr">
        <is>
          <t>$2.69 B</t>
        </is>
      </c>
      <c r="H957" t="inlineStr">
        <is>
          <t>-1.2%</t>
        </is>
      </c>
    </row>
    <row r="958">
      <c r="A958" s="78" t="inlineStr">
        <is>
          <t>Thursday, February 16, 2023</t>
        </is>
      </c>
      <c r="B958" t="inlineStr">
        <is>
          <t>6:00 AM ET</t>
        </is>
      </c>
      <c r="C958" t="inlineStr">
        <is>
          <t>EPAM</t>
        </is>
      </c>
      <c r="D958" t="inlineStr">
        <is>
          <t>EPAM Systems, Inc.</t>
        </is>
      </c>
      <c r="E958" t="n">
        <v>20568.55</v>
      </c>
      <c r="F958" t="inlineStr">
        <is>
          <t>$2.23</t>
        </is>
      </c>
      <c r="G958" t="inlineStr">
        <is>
          <t>$1.23 B</t>
        </is>
      </c>
      <c r="H958" t="inlineStr">
        <is>
          <t>11.1%</t>
        </is>
      </c>
    </row>
    <row r="959">
      <c r="A959" s="78" t="inlineStr">
        <is>
          <t>Thursday, February 16, 2023</t>
        </is>
      </c>
      <c r="B959" t="inlineStr">
        <is>
          <t>8:30 AM ET</t>
        </is>
      </c>
      <c r="C959" t="inlineStr">
        <is>
          <t>FOCS</t>
        </is>
      </c>
      <c r="D959" t="inlineStr">
        <is>
          <t>Focus Financial Partners Inc.</t>
        </is>
      </c>
      <c r="E959" t="n">
        <v>3338</v>
      </c>
      <c r="F959" t="inlineStr">
        <is>
          <t>$0.82</t>
        </is>
      </c>
      <c r="G959" t="inlineStr">
        <is>
          <t>$510.90 M</t>
        </is>
      </c>
      <c r="H959" t="inlineStr">
        <is>
          <t>-2.5%</t>
        </is>
      </c>
    </row>
    <row r="960">
      <c r="A960" s="78" t="inlineStr">
        <is>
          <t>Thursday, February 16, 2023</t>
        </is>
      </c>
      <c r="B960" t="inlineStr">
        <is>
          <t>4:15 PM ET</t>
        </is>
      </c>
      <c r="C960" t="inlineStr">
        <is>
          <t>GPS</t>
        </is>
      </c>
      <c r="D960" t="inlineStr">
        <is>
          <t>Gap, Inc.</t>
        </is>
      </c>
      <c r="E960" t="n">
        <v>4666.23</v>
      </c>
      <c r="F960" t="inlineStr">
        <is>
          <t>($0.61)</t>
        </is>
      </c>
      <c r="G960" t="inlineStr">
        <is>
          <t>$4.36 B</t>
        </is>
      </c>
      <c r="H960" t="inlineStr">
        <is>
          <t>-3.6%</t>
        </is>
      </c>
    </row>
    <row r="961">
      <c r="A961" s="78" t="inlineStr">
        <is>
          <t>Thursday, February 16, 2023</t>
        </is>
      </c>
      <c r="B961" t="inlineStr">
        <is>
          <t>6:55 AM ET</t>
        </is>
      </c>
      <c r="C961" t="inlineStr">
        <is>
          <t>GPC</t>
        </is>
      </c>
      <c r="D961" t="inlineStr">
        <is>
          <t>Genuine Parts Company</t>
        </is>
      </c>
      <c r="E961" t="n">
        <v>23791.33</v>
      </c>
      <c r="F961" t="inlineStr">
        <is>
          <t>$1.87</t>
        </is>
      </c>
      <c r="G961" t="inlineStr">
        <is>
          <t>$5.32 B</t>
        </is>
      </c>
      <c r="H961" t="inlineStr">
        <is>
          <t>10.8%</t>
        </is>
      </c>
    </row>
    <row r="962">
      <c r="A962" s="78" t="inlineStr">
        <is>
          <t>Thursday, February 16, 2023</t>
        </is>
      </c>
      <c r="B962" t="inlineStr">
        <is>
          <t>4:15 PM ET</t>
        </is>
      </c>
      <c r="C962" t="inlineStr">
        <is>
          <t>GLOB</t>
        </is>
      </c>
      <c r="D962" t="inlineStr">
        <is>
          <t>Globant</t>
        </is>
      </c>
      <c r="E962" t="n">
        <v>7220.31</v>
      </c>
      <c r="F962" t="inlineStr">
        <is>
          <t>$1.13</t>
        </is>
      </c>
      <c r="G962" t="inlineStr">
        <is>
          <t>$490.22 M</t>
        </is>
      </c>
      <c r="H962" t="inlineStr">
        <is>
          <t>29.1%</t>
        </is>
      </c>
    </row>
    <row r="963">
      <c r="A963" s="78" t="inlineStr">
        <is>
          <t>Thursday, February 16, 2023</t>
        </is>
      </c>
      <c r="B963" t="inlineStr">
        <is>
          <t>4:15 PM ET</t>
        </is>
      </c>
      <c r="C963" t="inlineStr">
        <is>
          <t>GMED</t>
        </is>
      </c>
      <c r="D963" t="inlineStr">
        <is>
          <t>Globus Medical, Inc</t>
        </is>
      </c>
      <c r="E963" t="n">
        <v>7279.52</v>
      </c>
      <c r="F963" t="inlineStr">
        <is>
          <t>$0.56</t>
        </is>
      </c>
      <c r="G963" t="inlineStr">
        <is>
          <t>$277.36 M</t>
        </is>
      </c>
      <c r="H963" t="inlineStr">
        <is>
          <t>10.9%</t>
        </is>
      </c>
    </row>
    <row r="964">
      <c r="A964" s="78" t="inlineStr">
        <is>
          <t>Thursday, February 16, 2023</t>
        </is>
      </c>
      <c r="B964" t="inlineStr">
        <is>
          <t>4:05 PM ET</t>
        </is>
      </c>
      <c r="C964" t="inlineStr">
        <is>
          <t>LOPE</t>
        </is>
      </c>
      <c r="D964" t="inlineStr">
        <is>
          <t>Grand Canyon Education, Inc.</t>
        </is>
      </c>
      <c r="E964" t="n">
        <v>3470.42</v>
      </c>
      <c r="F964" t="inlineStr">
        <is>
          <t>$2.25</t>
        </is>
      </c>
      <c r="G964" t="inlineStr">
        <is>
          <t>$256.00 M</t>
        </is>
      </c>
      <c r="H964" t="inlineStr">
        <is>
          <t>1.8%</t>
        </is>
      </c>
    </row>
    <row r="965">
      <c r="A965" s="78" t="inlineStr">
        <is>
          <t>Thursday, February 16, 2023</t>
        </is>
      </c>
      <c r="B965" t="inlineStr">
        <is>
          <t>4:15 PM ET</t>
        </is>
      </c>
      <c r="C965" t="inlineStr">
        <is>
          <t>HASI</t>
        </is>
      </c>
      <c r="D965" t="inlineStr">
        <is>
          <t>Hannon Armstrong Sustainable Infrastructure Capital, Inc.</t>
        </is>
      </c>
      <c r="E965" t="n">
        <v>3085.78</v>
      </c>
      <c r="F965" t="inlineStr">
        <is>
          <t>$0.45</t>
        </is>
      </c>
      <c r="G965" t="inlineStr">
        <is>
          <t>$31.72 M</t>
        </is>
      </c>
      <c r="H965" t="inlineStr">
        <is>
          <t>-40.9%</t>
        </is>
      </c>
    </row>
    <row r="966">
      <c r="A966" s="78" t="inlineStr">
        <is>
          <t>Thursday, February 16, 2023</t>
        </is>
      </c>
      <c r="B966" t="inlineStr">
        <is>
          <t>6:55 AM ET</t>
        </is>
      </c>
      <c r="C966" t="inlineStr">
        <is>
          <t>H</t>
        </is>
      </c>
      <c r="D966" t="inlineStr">
        <is>
          <t>Hyatt Hotels Corp</t>
        </is>
      </c>
      <c r="E966" t="n">
        <v>11246.41</v>
      </c>
      <c r="F966" t="inlineStr">
        <is>
          <t>$0.32</t>
        </is>
      </c>
      <c r="G966" t="inlineStr">
        <is>
          <t>$1.52 B</t>
        </is>
      </c>
      <c r="H966" t="inlineStr">
        <is>
          <t>41.3%</t>
        </is>
      </c>
    </row>
    <row r="967">
      <c r="A967" s="78" t="inlineStr">
        <is>
          <t>Thursday, February 16, 2023</t>
        </is>
      </c>
      <c r="B967" t="inlineStr">
        <is>
          <t>6:30 AM ET</t>
        </is>
      </c>
      <c r="C967" t="inlineStr">
        <is>
          <t>IDA</t>
        </is>
      </c>
      <c r="D967" t="inlineStr">
        <is>
          <t>IDACORP Inc.</t>
        </is>
      </c>
      <c r="E967" t="n">
        <v>5419.22</v>
      </c>
      <c r="F967" t="inlineStr">
        <is>
          <t>$0.83</t>
        </is>
      </c>
      <c r="G967" t="inlineStr">
        <is>
          <t>-</t>
        </is>
      </c>
      <c r="H967" t="inlineStr">
        <is>
          <t>-</t>
        </is>
      </c>
    </row>
    <row r="968">
      <c r="A968" s="78" t="inlineStr">
        <is>
          <t>Thursday, February 16, 2023</t>
        </is>
      </c>
      <c r="B968" t="inlineStr">
        <is>
          <t>4:05 PM ET</t>
        </is>
      </c>
      <c r="C968" t="inlineStr">
        <is>
          <t>INST</t>
        </is>
      </c>
      <c r="D968" t="inlineStr">
        <is>
          <t>Instructure, Inc.</t>
        </is>
      </c>
      <c r="E968" t="n">
        <v>3797.71</v>
      </c>
      <c r="F968" t="inlineStr">
        <is>
          <t>$0.19</t>
        </is>
      </c>
      <c r="G968" t="inlineStr">
        <is>
          <t>$121.31 M</t>
        </is>
      </c>
      <c r="H968" t="inlineStr">
        <is>
          <t>9.7%</t>
        </is>
      </c>
    </row>
    <row r="969">
      <c r="A969" s="78" t="inlineStr">
        <is>
          <t>Thursday, February 16, 2023</t>
        </is>
      </c>
      <c r="B969" t="inlineStr">
        <is>
          <t>7:00 AM ET</t>
        </is>
      </c>
      <c r="C969" t="inlineStr">
        <is>
          <t>IRDM</t>
        </is>
      </c>
      <c r="D969" t="inlineStr">
        <is>
          <t>Iridium Communications Inc</t>
        </is>
      </c>
      <c r="E969" t="n">
        <v>7616.45</v>
      </c>
      <c r="F969" t="inlineStr">
        <is>
          <t>$0.00</t>
        </is>
      </c>
      <c r="G969" t="inlineStr">
        <is>
          <t>$175.13 M</t>
        </is>
      </c>
      <c r="H969" t="inlineStr">
        <is>
          <t>12.3%</t>
        </is>
      </c>
    </row>
    <row r="970">
      <c r="A970" s="78" t="inlineStr">
        <is>
          <t>Thursday, February 16, 2023</t>
        </is>
      </c>
      <c r="B970" t="inlineStr">
        <is>
          <t>4:05 PM ET</t>
        </is>
      </c>
      <c r="C970" t="inlineStr">
        <is>
          <t>KEYS</t>
        </is>
      </c>
      <c r="D970" t="inlineStr">
        <is>
          <t>Keysight Technologies, Inc.</t>
        </is>
      </c>
      <c r="E970" t="n">
        <v>33070.01</v>
      </c>
      <c r="F970" t="inlineStr">
        <is>
          <t>$1.74</t>
        </is>
      </c>
      <c r="G970" t="inlineStr">
        <is>
          <t>$1.37 B</t>
        </is>
      </c>
      <c r="H970" t="inlineStr">
        <is>
          <t>9.6%</t>
        </is>
      </c>
    </row>
    <row r="971">
      <c r="A971" s="78" t="inlineStr">
        <is>
          <t>Thursday, February 16, 2023</t>
        </is>
      </c>
      <c r="B971" t="inlineStr">
        <is>
          <t>4:15 PM ET</t>
        </is>
      </c>
      <c r="C971" t="inlineStr">
        <is>
          <t>KNSL</t>
        </is>
      </c>
      <c r="D971" t="inlineStr">
        <is>
          <t>Kinsale Capital Group, Inc.</t>
        </is>
      </c>
      <c r="E971" t="n">
        <v>6559.14</v>
      </c>
      <c r="F971" t="inlineStr">
        <is>
          <t>$2.16</t>
        </is>
      </c>
      <c r="G971" t="inlineStr">
        <is>
          <t>$230.55 M</t>
        </is>
      </c>
      <c r="H971" t="inlineStr">
        <is>
          <t>25.6%</t>
        </is>
      </c>
    </row>
    <row r="972">
      <c r="A972" s="78" t="inlineStr">
        <is>
          <t>Thursday, February 16, 2023</t>
        </is>
      </c>
      <c r="B972" t="inlineStr">
        <is>
          <t>7:00 AM ET</t>
        </is>
      </c>
      <c r="C972" t="inlineStr">
        <is>
          <t>KSS</t>
        </is>
      </c>
      <c r="D972" t="inlineStr">
        <is>
          <t>Kohl's Corporation</t>
        </is>
      </c>
      <c r="E972" t="n">
        <v>3320.05</v>
      </c>
      <c r="F972" t="inlineStr">
        <is>
          <t>$1.06</t>
        </is>
      </c>
      <c r="G972" t="inlineStr">
        <is>
          <t>$6.00 B</t>
        </is>
      </c>
      <c r="H972" t="inlineStr">
        <is>
          <t>-7.7%</t>
        </is>
      </c>
    </row>
    <row r="973">
      <c r="A973" s="78" t="inlineStr">
        <is>
          <t>Thursday, February 16, 2023</t>
        </is>
      </c>
      <c r="B973" t="inlineStr">
        <is>
          <t>7:00 AM ET</t>
        </is>
      </c>
      <c r="C973" t="inlineStr">
        <is>
          <t>LH</t>
        </is>
      </c>
      <c r="D973" t="inlineStr">
        <is>
          <t>Laboratory Corp. of America Holdings</t>
        </is>
      </c>
      <c r="E973" t="n">
        <v>22571.73</v>
      </c>
      <c r="F973" t="inlineStr">
        <is>
          <t>$4.06</t>
        </is>
      </c>
      <c r="G973" t="inlineStr">
        <is>
          <t>$3.81 B</t>
        </is>
      </c>
      <c r="H973" t="inlineStr">
        <is>
          <t>-6.1%</t>
        </is>
      </c>
    </row>
    <row r="974">
      <c r="A974" s="78" t="inlineStr">
        <is>
          <t>Thursday, February 16, 2023</t>
        </is>
      </c>
      <c r="B974" t="inlineStr">
        <is>
          <t>7:10 PM ET</t>
        </is>
      </c>
      <c r="C974" t="inlineStr">
        <is>
          <t>LBTYB</t>
        </is>
      </c>
      <c r="D974" t="inlineStr">
        <is>
          <t>Liberty Global Inc</t>
        </is>
      </c>
      <c r="E974" t="n">
        <v>10208.54</v>
      </c>
      <c r="F974" t="inlineStr">
        <is>
          <t>-</t>
        </is>
      </c>
      <c r="G974" t="inlineStr">
        <is>
          <t>-</t>
        </is>
      </c>
      <c r="H974" t="inlineStr">
        <is>
          <t>-</t>
        </is>
      </c>
    </row>
    <row r="975">
      <c r="A975" s="78" t="inlineStr">
        <is>
          <t>Thursday, February 16, 2023</t>
        </is>
      </c>
      <c r="B975" t="inlineStr">
        <is>
          <t>4:05 PM ET</t>
        </is>
      </c>
      <c r="C975" t="inlineStr">
        <is>
          <t>LTHM</t>
        </is>
      </c>
      <c r="D975" t="inlineStr">
        <is>
          <t>Livent Corporation</t>
        </is>
      </c>
      <c r="E975" t="n">
        <v>4317.53</v>
      </c>
      <c r="F975" t="inlineStr">
        <is>
          <t>$0.36</t>
        </is>
      </c>
      <c r="G975" t="inlineStr">
        <is>
          <t>$249.63 M</t>
        </is>
      </c>
      <c r="H975" t="inlineStr">
        <is>
          <t>103.1%</t>
        </is>
      </c>
    </row>
    <row r="976">
      <c r="A976" s="78" t="inlineStr">
        <is>
          <t>Thursday, February 16, 2023</t>
        </is>
      </c>
      <c r="B976" t="inlineStr">
        <is>
          <t>6:55 AM ET</t>
        </is>
      </c>
      <c r="C976" t="inlineStr">
        <is>
          <t>M</t>
        </is>
      </c>
      <c r="D976" t="inlineStr">
        <is>
          <t>Macy's, Inc.</t>
        </is>
      </c>
      <c r="E976" t="n">
        <v>6208.46</v>
      </c>
      <c r="F976" t="inlineStr">
        <is>
          <t>$1.57</t>
        </is>
      </c>
      <c r="G976" t="inlineStr">
        <is>
          <t>$8.32 B</t>
        </is>
      </c>
      <c r="H976" t="inlineStr">
        <is>
          <t>-4.0%</t>
        </is>
      </c>
    </row>
    <row r="977">
      <c r="A977" s="78" t="inlineStr">
        <is>
          <t>Thursday, February 16, 2023</t>
        </is>
      </c>
      <c r="B977" t="inlineStr">
        <is>
          <t>4:35 PM ET</t>
        </is>
      </c>
      <c r="C977" t="inlineStr">
        <is>
          <t>MSA</t>
        </is>
      </c>
      <c r="D977" t="inlineStr">
        <is>
          <t>MSA Safety Incorporated</t>
        </is>
      </c>
      <c r="E977" t="n">
        <v>5287.07</v>
      </c>
      <c r="F977" t="inlineStr">
        <is>
          <t>$1.62</t>
        </is>
      </c>
      <c r="G977" t="inlineStr">
        <is>
          <t>$438.80 M</t>
        </is>
      </c>
      <c r="H977" t="inlineStr">
        <is>
          <t>7.0%</t>
        </is>
      </c>
    </row>
    <row r="978">
      <c r="A978" s="78" t="inlineStr">
        <is>
          <t>Thursday, February 16, 2023</t>
        </is>
      </c>
      <c r="B978" t="inlineStr">
        <is>
          <t>7:30 AM ET</t>
        </is>
      </c>
      <c r="C978" t="inlineStr">
        <is>
          <t>OGN</t>
        </is>
      </c>
      <c r="D978" t="inlineStr">
        <is>
          <t>Organon</t>
        </is>
      </c>
      <c r="E978" t="n">
        <v>8160.01</v>
      </c>
      <c r="F978" t="inlineStr">
        <is>
          <t>$0.91</t>
        </is>
      </c>
      <c r="G978" t="inlineStr">
        <is>
          <t>$1.50 B</t>
        </is>
      </c>
      <c r="H978" t="inlineStr">
        <is>
          <t>-6.5%</t>
        </is>
      </c>
    </row>
    <row r="979">
      <c r="A979" s="78" t="inlineStr">
        <is>
          <t>Thursday, February 16, 2023</t>
        </is>
      </c>
      <c r="B979" t="inlineStr">
        <is>
          <t>7:00 AM ET</t>
        </is>
      </c>
      <c r="C979" t="inlineStr">
        <is>
          <t>PLTR</t>
        </is>
      </c>
      <c r="D979" t="inlineStr">
        <is>
          <t>Palantir Technologies Inc.</t>
        </is>
      </c>
      <c r="E979" t="n">
        <v>14706.59</v>
      </c>
      <c r="F979" t="inlineStr">
        <is>
          <t>($0.03)</t>
        </is>
      </c>
      <c r="G979" t="inlineStr">
        <is>
          <t>$507.19 M</t>
        </is>
      </c>
      <c r="H979" t="inlineStr">
        <is>
          <t>17.2%</t>
        </is>
      </c>
    </row>
    <row r="980">
      <c r="A980" s="78" t="inlineStr">
        <is>
          <t>Thursday, February 16, 2023</t>
        </is>
      </c>
      <c r="B980" t="inlineStr">
        <is>
          <t>4:05 PM ET</t>
        </is>
      </c>
      <c r="C980" t="inlineStr">
        <is>
          <t>PANW</t>
        </is>
      </c>
      <c r="D980" t="inlineStr">
        <is>
          <t>Palo Alto Networks, Inc.</t>
        </is>
      </c>
      <c r="E980" t="n">
        <v>42656.13</v>
      </c>
      <c r="F980" t="inlineStr">
        <is>
          <t>$0.12</t>
        </is>
      </c>
      <c r="G980" t="inlineStr">
        <is>
          <t>$1.65 B</t>
        </is>
      </c>
      <c r="H980" t="inlineStr">
        <is>
          <t>25.3%</t>
        </is>
      </c>
    </row>
    <row r="981">
      <c r="A981" s="78" t="inlineStr">
        <is>
          <t>Thursday, February 16, 2023</t>
        </is>
      </c>
      <c r="B981" t="inlineStr">
        <is>
          <t>6:30 AM ET</t>
        </is>
      </c>
      <c r="C981" t="inlineStr">
        <is>
          <t>PBF</t>
        </is>
      </c>
      <c r="D981" t="inlineStr">
        <is>
          <t>PBF Energy Inc.</t>
        </is>
      </c>
      <c r="E981" t="n">
        <v>4922.85</v>
      </c>
      <c r="F981" t="inlineStr">
        <is>
          <t>$4.95</t>
        </is>
      </c>
      <c r="G981" t="inlineStr">
        <is>
          <t>$10.08 B</t>
        </is>
      </c>
      <c r="H981" t="inlineStr">
        <is>
          <t>22.3%</t>
        </is>
      </c>
    </row>
    <row r="982">
      <c r="A982" s="78" t="inlineStr">
        <is>
          <t>Thursday, February 16, 2023</t>
        </is>
      </c>
      <c r="B982" t="inlineStr">
        <is>
          <t>7:00 AM ET</t>
        </is>
      </c>
      <c r="C982" t="inlineStr">
        <is>
          <t>POOL</t>
        </is>
      </c>
      <c r="D982" t="inlineStr">
        <is>
          <t>Pool Corporation</t>
        </is>
      </c>
      <c r="E982" t="n">
        <v>13822.75</v>
      </c>
      <c r="F982" t="inlineStr">
        <is>
          <t>$2.02</t>
        </is>
      </c>
      <c r="G982" t="inlineStr">
        <is>
          <t>$1.15 B</t>
        </is>
      </c>
      <c r="H982" t="inlineStr">
        <is>
          <t>11.1%</t>
        </is>
      </c>
    </row>
    <row r="983">
      <c r="A983" s="78" t="inlineStr">
        <is>
          <t>Thursday, February 16, 2023</t>
        </is>
      </c>
      <c r="B983" t="inlineStr">
        <is>
          <t>5:00 AM ET</t>
        </is>
      </c>
      <c r="C983" t="inlineStr">
        <is>
          <t>POR</t>
        </is>
      </c>
      <c r="D983" t="inlineStr">
        <is>
          <t>Portland General Electric Co.</t>
        </is>
      </c>
      <c r="E983" t="n">
        <v>4272.6</v>
      </c>
      <c r="F983" t="inlineStr">
        <is>
          <t>$0.67</t>
        </is>
      </c>
      <c r="G983" t="inlineStr">
        <is>
          <t>$647.10 M</t>
        </is>
      </c>
      <c r="H983" t="inlineStr">
        <is>
          <t>6.4%</t>
        </is>
      </c>
    </row>
    <row r="984">
      <c r="A984" s="78" t="inlineStr">
        <is>
          <t>Thursday, February 16, 2023</t>
        </is>
      </c>
      <c r="B984" t="inlineStr">
        <is>
          <t>7:00 AM ET</t>
        </is>
      </c>
      <c r="C984" t="inlineStr">
        <is>
          <t>RCM</t>
        </is>
      </c>
      <c r="D984" t="inlineStr">
        <is>
          <t>R1 RCM Inc.</t>
        </is>
      </c>
      <c r="E984" t="n">
        <v>5472.95</v>
      </c>
      <c r="F984" t="inlineStr">
        <is>
          <t>($0.03)</t>
        </is>
      </c>
      <c r="G984" t="inlineStr">
        <is>
          <t>$545.14 M</t>
        </is>
      </c>
      <c r="H984" t="inlineStr">
        <is>
          <t>36.7%</t>
        </is>
      </c>
    </row>
    <row r="985">
      <c r="A985" s="78" t="inlineStr">
        <is>
          <t>Thursday, February 16, 2023</t>
        </is>
      </c>
      <c r="B985" t="inlineStr">
        <is>
          <t>6:50 AM ET</t>
        </is>
      </c>
      <c r="C985" t="inlineStr">
        <is>
          <t>RS</t>
        </is>
      </c>
      <c r="D985" t="inlineStr">
        <is>
          <t>Reliance Steel &amp; Aluminum Co.</t>
        </is>
      </c>
      <c r="E985" t="n">
        <v>12561.03</v>
      </c>
      <c r="F985" t="inlineStr">
        <is>
          <t>$4.47</t>
        </is>
      </c>
      <c r="G985" t="inlineStr">
        <is>
          <t>$3.77 B</t>
        </is>
      </c>
      <c r="H985" t="inlineStr">
        <is>
          <t>-5.5%</t>
        </is>
      </c>
    </row>
    <row r="986">
      <c r="A986" s="78" t="inlineStr">
        <is>
          <t>Thursday, February 16, 2023</t>
        </is>
      </c>
      <c r="B986" t="inlineStr">
        <is>
          <t>7:30 AM ET</t>
        </is>
      </c>
      <c r="C986" t="inlineStr">
        <is>
          <t>RGEN</t>
        </is>
      </c>
      <c r="D986" t="inlineStr">
        <is>
          <t>Repligen Corporation</t>
        </is>
      </c>
      <c r="E986" t="n">
        <v>10309.22</v>
      </c>
      <c r="F986" t="inlineStr">
        <is>
          <t>$0.58</t>
        </is>
      </c>
      <c r="G986" t="inlineStr">
        <is>
          <t>$189.98 M</t>
        </is>
      </c>
      <c r="H986" t="inlineStr">
        <is>
          <t>1.9%</t>
        </is>
      </c>
    </row>
    <row r="987">
      <c r="A987" s="78" t="inlineStr">
        <is>
          <t>Thursday, February 16, 2023</t>
        </is>
      </c>
      <c r="B987" t="inlineStr">
        <is>
          <t>6:30 AM ET</t>
        </is>
      </c>
      <c r="C987" t="inlineStr">
        <is>
          <t>RBA</t>
        </is>
      </c>
      <c r="D987" t="inlineStr">
        <is>
          <t>Ritchie Bros. Auctioneers Inc.</t>
        </is>
      </c>
      <c r="E987" t="n">
        <v>6636.23</v>
      </c>
      <c r="F987" t="inlineStr">
        <is>
          <t>$0.44</t>
        </is>
      </c>
      <c r="G987" t="inlineStr">
        <is>
          <t>$412.23 M</t>
        </is>
      </c>
      <c r="H987" t="inlineStr">
        <is>
          <t>14.7%</t>
        </is>
      </c>
    </row>
    <row r="988">
      <c r="A988" s="78" t="inlineStr">
        <is>
          <t>Thursday, February 16, 2023</t>
        </is>
      </c>
      <c r="B988" t="inlineStr">
        <is>
          <t>4:05 PM ET</t>
        </is>
      </c>
      <c r="C988" t="inlineStr">
        <is>
          <t>ROKU</t>
        </is>
      </c>
      <c r="D988" t="inlineStr">
        <is>
          <t>Roku Inc</t>
        </is>
      </c>
      <c r="E988" t="n">
        <v>7106.92</v>
      </c>
      <c r="F988" t="inlineStr">
        <is>
          <t>($1.70)</t>
        </is>
      </c>
      <c r="G988" t="inlineStr">
        <is>
          <t>$803.16 M</t>
        </is>
      </c>
      <c r="H988" t="inlineStr">
        <is>
          <t>-7.2%</t>
        </is>
      </c>
    </row>
    <row r="989">
      <c r="A989" s="78" t="inlineStr">
        <is>
          <t>Thursday, February 16, 2023</t>
        </is>
      </c>
      <c r="B989" t="inlineStr">
        <is>
          <t>4:00 PM ET</t>
        </is>
      </c>
      <c r="C989" t="inlineStr">
        <is>
          <t>ROST</t>
        </is>
      </c>
      <c r="D989" t="inlineStr">
        <is>
          <t>Ross Stores Inc.</t>
        </is>
      </c>
      <c r="E989" t="n">
        <v>41241.87</v>
      </c>
      <c r="F989" t="inlineStr">
        <is>
          <t>$1.23</t>
        </is>
      </c>
      <c r="G989" t="inlineStr">
        <is>
          <t>$5.09 B</t>
        </is>
      </c>
      <c r="H989" t="inlineStr">
        <is>
          <t>1.4%</t>
        </is>
      </c>
    </row>
    <row r="990">
      <c r="A990" s="78" t="inlineStr">
        <is>
          <t>Thursday, February 16, 2023</t>
        </is>
      </c>
      <c r="B990" t="inlineStr">
        <is>
          <t>4:00 PM ET</t>
        </is>
      </c>
      <c r="C990" t="inlineStr">
        <is>
          <t>SWAV</t>
        </is>
      </c>
      <c r="D990" t="inlineStr">
        <is>
          <t>Shockwave Medical, Inc.</t>
        </is>
      </c>
      <c r="E990" t="n">
        <v>6957.39</v>
      </c>
      <c r="F990" t="inlineStr">
        <is>
          <t>$0.96</t>
        </is>
      </c>
      <c r="G990" t="inlineStr">
        <is>
          <t>$139.68 M</t>
        </is>
      </c>
      <c r="H990" t="inlineStr">
        <is>
          <t>65.9%</t>
        </is>
      </c>
    </row>
    <row r="991">
      <c r="A991" s="78" t="inlineStr">
        <is>
          <t>Thursday, February 16, 2023</t>
        </is>
      </c>
      <c r="B991" t="inlineStr">
        <is>
          <t>6:45 AM ET</t>
        </is>
      </c>
      <c r="C991" t="inlineStr">
        <is>
          <t>SO</t>
        </is>
      </c>
      <c r="D991" t="inlineStr">
        <is>
          <t>Southern Company</t>
        </is>
      </c>
      <c r="E991" t="n">
        <v>76261.53</v>
      </c>
      <c r="F991" t="inlineStr">
        <is>
          <t>$0.24</t>
        </is>
      </c>
      <c r="G991" t="inlineStr">
        <is>
          <t>$5.02 B</t>
        </is>
      </c>
      <c r="H991" t="inlineStr">
        <is>
          <t>-13.0%</t>
        </is>
      </c>
    </row>
    <row r="992">
      <c r="A992" s="78" t="inlineStr">
        <is>
          <t>Thursday, February 16, 2023</t>
        </is>
      </c>
      <c r="B992" t="inlineStr">
        <is>
          <t>4:05 PM ET</t>
        </is>
      </c>
      <c r="C992" t="inlineStr">
        <is>
          <t>STNE</t>
        </is>
      </c>
      <c r="D992" t="inlineStr">
        <is>
          <t>StoneCo Ltd.</t>
        </is>
      </c>
      <c r="E992" t="n">
        <v>3040.93</v>
      </c>
      <c r="F992" t="inlineStr">
        <is>
          <t>$0.09</t>
        </is>
      </c>
      <c r="G992" t="inlineStr">
        <is>
          <t>$499.65 M</t>
        </is>
      </c>
      <c r="H992" t="inlineStr">
        <is>
          <t>48.9%</t>
        </is>
      </c>
    </row>
    <row r="993">
      <c r="A993" s="78" t="inlineStr">
        <is>
          <t>Thursday, February 16, 2023</t>
        </is>
      </c>
      <c r="B993" t="inlineStr">
        <is>
          <t>4:00 PM ET</t>
        </is>
      </c>
      <c r="C993" t="inlineStr">
        <is>
          <t>RUN</t>
        </is>
      </c>
      <c r="D993" t="inlineStr">
        <is>
          <t>Sunrun</t>
        </is>
      </c>
      <c r="E993" t="n">
        <v>6030.83</v>
      </c>
      <c r="F993" t="inlineStr">
        <is>
          <t>($0.03)</t>
        </is>
      </c>
      <c r="G993" t="inlineStr">
        <is>
          <t>$571.40 M</t>
        </is>
      </c>
      <c r="H993" t="inlineStr">
        <is>
          <t>31.3%</t>
        </is>
      </c>
    </row>
    <row r="994">
      <c r="A994" s="78" t="inlineStr">
        <is>
          <t>Thursday, February 16, 2023</t>
        </is>
      </c>
      <c r="B994" t="inlineStr">
        <is>
          <t>6:10 AM ET</t>
        </is>
      </c>
      <c r="C994" t="inlineStr">
        <is>
          <t>SYNH</t>
        </is>
      </c>
      <c r="D994" t="inlineStr">
        <is>
          <t>Syneos Health, Inc.</t>
        </is>
      </c>
      <c r="E994" t="n">
        <v>3576.94</v>
      </c>
      <c r="F994" t="inlineStr">
        <is>
          <t>$1.10</t>
        </is>
      </c>
      <c r="G994" t="inlineStr">
        <is>
          <t>$1.40 B</t>
        </is>
      </c>
      <c r="H994" t="inlineStr">
        <is>
          <t>1.9%</t>
        </is>
      </c>
    </row>
    <row r="995">
      <c r="A995" s="78" t="inlineStr">
        <is>
          <t>Thursday, February 16, 2023</t>
        </is>
      </c>
      <c r="B995" t="inlineStr">
        <is>
          <t>6:45 AM ET</t>
        </is>
      </c>
      <c r="C995" t="inlineStr">
        <is>
          <t>USFD</t>
        </is>
      </c>
      <c r="D995" t="inlineStr">
        <is>
          <t>US Foods Holding Corp.</t>
        </is>
      </c>
      <c r="E995" t="n">
        <v>8302.959999999999</v>
      </c>
      <c r="F995" t="inlineStr">
        <is>
          <t>$0.50</t>
        </is>
      </c>
      <c r="G995" t="inlineStr">
        <is>
          <t>$8.56 B</t>
        </is>
      </c>
      <c r="H995" t="inlineStr">
        <is>
          <t>12.1%</t>
        </is>
      </c>
    </row>
    <row r="996">
      <c r="A996" s="78" t="inlineStr">
        <is>
          <t>Thursday, February 16, 2023</t>
        </is>
      </c>
      <c r="B996" t="inlineStr">
        <is>
          <t>6:55 AM ET</t>
        </is>
      </c>
      <c r="C996" t="inlineStr">
        <is>
          <t>VC</t>
        </is>
      </c>
      <c r="D996" t="inlineStr">
        <is>
          <t>Visteon Corp.</t>
        </is>
      </c>
      <c r="E996" t="n">
        <v>4039.9</v>
      </c>
      <c r="F996" t="inlineStr">
        <is>
          <t>$1.48</t>
        </is>
      </c>
      <c r="G996" t="inlineStr">
        <is>
          <t>$959.77 M</t>
        </is>
      </c>
      <c r="H996" t="inlineStr">
        <is>
          <t>22.1%</t>
        </is>
      </c>
    </row>
    <row r="997">
      <c r="A997" s="78" t="inlineStr">
        <is>
          <t>Thursday, February 16, 2023</t>
        </is>
      </c>
      <c r="B997" t="inlineStr">
        <is>
          <t>6:00 AM ET</t>
        </is>
      </c>
      <c r="C997" t="inlineStr">
        <is>
          <t>VNT</t>
        </is>
      </c>
      <c r="D997" t="inlineStr">
        <is>
          <t>Vontier Corporation</t>
        </is>
      </c>
      <c r="E997" t="n">
        <v>3400.02</v>
      </c>
      <c r="F997" t="inlineStr">
        <is>
          <t>$0.81</t>
        </is>
      </c>
      <c r="G997" t="inlineStr">
        <is>
          <t>$800.11 M</t>
        </is>
      </c>
      <c r="H997" t="inlineStr">
        <is>
          <t>1.3%</t>
        </is>
      </c>
    </row>
    <row r="998">
      <c r="A998" s="78" t="inlineStr">
        <is>
          <t>Thursday, February 16, 2023</t>
        </is>
      </c>
      <c r="B998" t="inlineStr">
        <is>
          <t>4:00 AM ET</t>
        </is>
      </c>
      <c r="C998" t="inlineStr">
        <is>
          <t>WB</t>
        </is>
      </c>
      <c r="D998" t="inlineStr">
        <is>
          <t>Weibo Corporation</t>
        </is>
      </c>
      <c r="E998" t="n">
        <v>4903.75</v>
      </c>
      <c r="F998" t="inlineStr">
        <is>
          <t>$0.58</t>
        </is>
      </c>
      <c r="G998" t="inlineStr">
        <is>
          <t>$495.68 M</t>
        </is>
      </c>
      <c r="H998" t="inlineStr">
        <is>
          <t>-19.6%</t>
        </is>
      </c>
    </row>
    <row r="999">
      <c r="A999" s="78" t="inlineStr">
        <is>
          <t>Thursday, February 16, 2023</t>
        </is>
      </c>
      <c r="B999" t="inlineStr">
        <is>
          <t>6:00 AM ET</t>
        </is>
      </c>
      <c r="C999" t="inlineStr">
        <is>
          <t>WST</t>
        </is>
      </c>
      <c r="D999" t="inlineStr">
        <is>
          <t>West Pharmaceutical Services, Inc.</t>
        </is>
      </c>
      <c r="E999" t="n">
        <v>18733.3</v>
      </c>
      <c r="F999" t="inlineStr">
        <is>
          <t>$1.38</t>
        </is>
      </c>
      <c r="G999" t="inlineStr">
        <is>
          <t>$677.33 M</t>
        </is>
      </c>
      <c r="H999" t="inlineStr">
        <is>
          <t>-7.3%</t>
        </is>
      </c>
    </row>
    <row r="1000">
      <c r="A1000" s="78" t="inlineStr">
        <is>
          <t>Thursday, February 16, 2023</t>
        </is>
      </c>
      <c r="B1000" t="inlineStr">
        <is>
          <t>4:15 PM ET</t>
        </is>
      </c>
      <c r="C1000" t="inlineStr">
        <is>
          <t>WSM</t>
        </is>
      </c>
      <c r="D1000" t="inlineStr">
        <is>
          <t>Williams-Sonoma, Inc.</t>
        </is>
      </c>
      <c r="E1000" t="n">
        <v>8443.41</v>
      </c>
      <c r="F1000" t="inlineStr">
        <is>
          <t>$5.44</t>
        </is>
      </c>
      <c r="G1000" t="inlineStr">
        <is>
          <t>$2.59 B</t>
        </is>
      </c>
      <c r="H1000" t="inlineStr">
        <is>
          <t>3.6%</t>
        </is>
      </c>
    </row>
    <row r="1001">
      <c r="A1001" s="78" t="inlineStr">
        <is>
          <t>Thursday, February 16, 2023</t>
        </is>
      </c>
      <c r="B1001" t="inlineStr">
        <is>
          <t>4:35 PM ET</t>
        </is>
      </c>
      <c r="C1001" t="inlineStr">
        <is>
          <t>AUY</t>
        </is>
      </c>
      <c r="D1001" t="inlineStr">
        <is>
          <t>Yamana Gold Inc.</t>
        </is>
      </c>
      <c r="E1001" t="n">
        <v>5746.8</v>
      </c>
      <c r="F1001" t="inlineStr">
        <is>
          <t>$0.05</t>
        </is>
      </c>
      <c r="G1001" t="inlineStr">
        <is>
          <t>$463.49 M</t>
        </is>
      </c>
      <c r="H1001" t="inlineStr">
        <is>
          <t>-8.0%</t>
        </is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4">
    <outlinePr summaryBelow="1" summaryRight="1"/>
    <pageSetUpPr/>
  </sheetPr>
  <dimension ref="D3:K485"/>
  <sheetViews>
    <sheetView zoomScale="160" zoomScaleNormal="16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M12" sqref="M12"/>
    </sheetView>
  </sheetViews>
  <sheetFormatPr baseColWidth="8" defaultColWidth="9.1796875" defaultRowHeight="14.5"/>
  <cols>
    <col width="9.1796875" customWidth="1" style="63" min="1" max="3"/>
    <col width="13.1796875" customWidth="1" style="31" min="4" max="4"/>
    <col width="11.36328125" customWidth="1" style="3" min="5" max="5"/>
    <col width="10.81640625" bestFit="1" customWidth="1" style="3" min="6" max="8"/>
    <col width="17.6328125" customWidth="1" style="31" min="9" max="11"/>
    <col width="9.1796875" customWidth="1" style="63" min="12" max="24"/>
    <col width="9.1796875" customWidth="1" style="63" min="25" max="16384"/>
  </cols>
  <sheetData>
    <row r="2" ht="16" customHeight="1" s="76" thickBot="1"/>
    <row r="3" ht="24.75" customHeight="1" s="76">
      <c r="D3" s="17" t="inlineStr">
        <is>
          <t>Stock</t>
        </is>
      </c>
      <c r="E3" s="71" t="inlineStr">
        <is>
          <t>FCF</t>
        </is>
      </c>
      <c r="F3" s="72" t="n"/>
      <c r="G3" s="72" t="n"/>
      <c r="H3" s="73" t="n"/>
      <c r="I3" s="74" t="inlineStr">
        <is>
          <t>% Var.</t>
        </is>
      </c>
      <c r="J3" s="72" t="n"/>
      <c r="K3" s="73" t="n"/>
    </row>
    <row r="4" ht="24.75" customHeight="1" s="76" thickBot="1">
      <c r="D4" s="18" t="n"/>
      <c r="E4" s="15" t="inlineStr">
        <is>
          <t>FCF 2015</t>
        </is>
      </c>
      <c r="F4" s="14" t="inlineStr">
        <is>
          <t>FCF 2016</t>
        </is>
      </c>
      <c r="G4" s="14" t="inlineStr">
        <is>
          <t>FCF 2017</t>
        </is>
      </c>
      <c r="H4" s="16" t="inlineStr">
        <is>
          <t>FCF 2018</t>
        </is>
      </c>
      <c r="I4" s="19" t="inlineStr">
        <is>
          <t>2015/2016</t>
        </is>
      </c>
      <c r="J4" s="19" t="inlineStr">
        <is>
          <t>2016/2017</t>
        </is>
      </c>
      <c r="K4" s="20" t="inlineStr">
        <is>
          <t>2017/2018</t>
        </is>
      </c>
    </row>
    <row r="5">
      <c r="D5" s="11" t="inlineStr">
        <is>
          <t>MSFT</t>
        </is>
      </c>
      <c r="E5" s="9" t="n">
        <v>24982000</v>
      </c>
      <c r="F5" s="9" t="n">
        <v>31378000</v>
      </c>
      <c r="G5" s="9" t="n">
        <v>32252000</v>
      </c>
      <c r="H5" s="9" t="n">
        <v>38260000</v>
      </c>
      <c r="I5" s="43">
        <f>(F5-E5)/E5</f>
        <v/>
      </c>
      <c r="J5" s="43">
        <f>(G5-F5)/F5</f>
        <v/>
      </c>
      <c r="K5" s="44">
        <f>(H5-G5)/G5</f>
        <v/>
      </c>
    </row>
    <row r="6">
      <c r="D6" s="12" t="inlineStr">
        <is>
          <t>AAPL</t>
        </is>
      </c>
      <c r="E6" s="8" t="n">
        <v>70019000</v>
      </c>
      <c r="F6" s="8" t="n">
        <v>53497000</v>
      </c>
      <c r="G6" s="8" t="n">
        <v>51774000</v>
      </c>
      <c r="H6" s="8" t="n">
        <v>64121000</v>
      </c>
      <c r="I6" s="45">
        <f>(F6-E6)/E6</f>
        <v/>
      </c>
      <c r="J6" s="45">
        <f>(G6-F6)/F6</f>
        <v/>
      </c>
      <c r="K6" s="46">
        <f>(H6-G6)/G6</f>
        <v/>
      </c>
    </row>
    <row r="7">
      <c r="D7" s="12" t="inlineStr">
        <is>
          <t>AMZN</t>
        </is>
      </c>
      <c r="E7" s="8" t="n">
        <v>6652000</v>
      </c>
      <c r="F7" s="8" t="n">
        <v>9399000</v>
      </c>
      <c r="G7" s="8" t="n">
        <v>6410000</v>
      </c>
      <c r="H7" s="8" t="n">
        <v>17296000</v>
      </c>
      <c r="I7" s="45">
        <f>(F7-E7)/E7</f>
        <v/>
      </c>
      <c r="J7" s="45">
        <f>(G7-F7)/F7</f>
        <v/>
      </c>
      <c r="K7" s="46">
        <f>(H7-G7)/G7</f>
        <v/>
      </c>
    </row>
    <row r="8">
      <c r="D8" s="12" t="inlineStr">
        <is>
          <t>FB</t>
        </is>
      </c>
      <c r="E8" s="8" t="n">
        <v>7797000</v>
      </c>
      <c r="F8" s="8" t="n">
        <v>11617000</v>
      </c>
      <c r="G8" s="8" t="n">
        <v>17483000</v>
      </c>
      <c r="H8" s="8" t="n">
        <v>15359000</v>
      </c>
      <c r="I8" s="45">
        <f>(F8-E8)/E8</f>
        <v/>
      </c>
      <c r="J8" s="45">
        <f>(G8-F8)/F8</f>
        <v/>
      </c>
      <c r="K8" s="46">
        <f>(H8-G8)/G8</f>
        <v/>
      </c>
    </row>
    <row r="9">
      <c r="D9" s="12" t="inlineStr">
        <is>
          <t>GOOGL</t>
        </is>
      </c>
      <c r="E9" s="8" t="n">
        <v>16622000</v>
      </c>
      <c r="F9" s="8" t="n">
        <v>25824000</v>
      </c>
      <c r="G9" s="8" t="n">
        <v>23907000</v>
      </c>
      <c r="H9" s="8" t="n">
        <v>22832000</v>
      </c>
      <c r="I9" s="45">
        <f>(F9-E9)/E9</f>
        <v/>
      </c>
      <c r="J9" s="45">
        <f>(G9-F9)/F9</f>
        <v/>
      </c>
      <c r="K9" s="46">
        <f>(H9-G9)/G9</f>
        <v/>
      </c>
    </row>
    <row r="10">
      <c r="D10" s="12" t="inlineStr">
        <is>
          <t>JPM</t>
        </is>
      </c>
      <c r="E10" s="8" t="n">
        <v>73466000</v>
      </c>
      <c r="F10" s="8" t="n">
        <v>21884000</v>
      </c>
      <c r="G10" s="8" t="n">
        <v>-10827000</v>
      </c>
      <c r="H10" s="8" t="n">
        <v>14187000</v>
      </c>
      <c r="I10" s="45">
        <f>(F10-E10)/E10</f>
        <v/>
      </c>
      <c r="J10" s="45">
        <f>(G10-F10)/F10</f>
        <v/>
      </c>
      <c r="K10" s="46">
        <f>(H10-G10)/G10</f>
        <v/>
      </c>
    </row>
    <row r="11">
      <c r="D11" s="12" t="inlineStr">
        <is>
          <t>JNJ</t>
        </is>
      </c>
      <c r="E11" s="8" t="n">
        <v>16106000</v>
      </c>
      <c r="F11" s="8" t="n">
        <v>15541000</v>
      </c>
      <c r="G11" s="8" t="n">
        <v>17777000</v>
      </c>
      <c r="H11" s="8" t="n">
        <v>18531000</v>
      </c>
      <c r="I11" s="45">
        <f>(F11-E11)/E11</f>
        <v/>
      </c>
      <c r="J11" s="45">
        <f>(G11-F11)/F11</f>
        <v/>
      </c>
      <c r="K11" s="46">
        <f>(H11-G11)/G11</f>
        <v/>
      </c>
    </row>
    <row r="12">
      <c r="D12" s="12" t="inlineStr">
        <is>
          <t>V</t>
        </is>
      </c>
      <c r="E12" s="8" t="n">
        <v>6170000</v>
      </c>
      <c r="F12" s="8" t="n">
        <v>5051000</v>
      </c>
      <c r="G12" s="8" t="n">
        <v>8501000</v>
      </c>
      <c r="H12" s="8" t="n">
        <v>11995000</v>
      </c>
      <c r="I12" s="45">
        <f>(F12-E12)/E12</f>
        <v/>
      </c>
      <c r="J12" s="45">
        <f>(G12-F12)/F12</f>
        <v/>
      </c>
      <c r="K12" s="46">
        <f>(H12-G12)/G12</f>
        <v/>
      </c>
    </row>
    <row r="13">
      <c r="D13" s="12" t="inlineStr">
        <is>
          <t>PG</t>
        </is>
      </c>
      <c r="E13" s="8" t="n">
        <v>12121000</v>
      </c>
      <c r="F13" s="8" t="n">
        <v>9369000</v>
      </c>
      <c r="G13" s="8" t="n">
        <v>11150000</v>
      </c>
      <c r="H13" s="8" t="n">
        <v>11895000</v>
      </c>
      <c r="I13" s="45">
        <f>(F13-E13)/E13</f>
        <v/>
      </c>
      <c r="J13" s="45">
        <f>(G13-F13)/F13</f>
        <v/>
      </c>
      <c r="K13" s="46">
        <f>(H13-G13)/G13</f>
        <v/>
      </c>
    </row>
    <row r="14">
      <c r="D14" s="12" t="inlineStr">
        <is>
          <t>XOM</t>
        </is>
      </c>
      <c r="E14" s="8" t="n">
        <v>3854000</v>
      </c>
      <c r="F14" s="8" t="n">
        <v>5919000</v>
      </c>
      <c r="G14" s="8" t="n">
        <v>14664000</v>
      </c>
      <c r="H14" s="8" t="n">
        <v>16440000</v>
      </c>
      <c r="I14" s="45">
        <f>(F14-E14)/E14</f>
        <v/>
      </c>
      <c r="J14" s="45">
        <f>(G14-F14)/F14</f>
        <v/>
      </c>
      <c r="K14" s="46">
        <f>(H14-G14)/G14</f>
        <v/>
      </c>
    </row>
    <row r="15">
      <c r="D15" s="12" t="inlineStr">
        <is>
          <t>T</t>
        </is>
      </c>
      <c r="E15" s="8" t="n">
        <v>15865000</v>
      </c>
      <c r="F15" s="8" t="n">
        <v>16034000</v>
      </c>
      <c r="G15" s="8" t="n">
        <v>16460000</v>
      </c>
      <c r="H15" s="8" t="n">
        <v>22351000</v>
      </c>
      <c r="I15" s="45">
        <f>(F15-E15)/E15</f>
        <v/>
      </c>
      <c r="J15" s="45">
        <f>(G15-F15)/F15</f>
        <v/>
      </c>
      <c r="K15" s="46">
        <f>(H15-G15)/G15</f>
        <v/>
      </c>
    </row>
    <row r="16">
      <c r="D16" s="12" t="inlineStr">
        <is>
          <t>MA</t>
        </is>
      </c>
      <c r="E16" s="8" t="n">
        <v>3924000</v>
      </c>
      <c r="F16" s="8" t="n">
        <v>4422000</v>
      </c>
      <c r="G16" s="8" t="n">
        <v>5364000</v>
      </c>
      <c r="H16" s="8" t="n">
        <v>5893000</v>
      </c>
      <c r="I16" s="45">
        <f>(F16-E16)/E16</f>
        <v/>
      </c>
      <c r="J16" s="45">
        <f>(G16-F16)/F16</f>
        <v/>
      </c>
      <c r="K16" s="46">
        <f>(H16-G16)/G16</f>
        <v/>
      </c>
    </row>
    <row r="17">
      <c r="D17" s="12" t="inlineStr">
        <is>
          <t>HD</t>
        </is>
      </c>
      <c r="E17" s="8" t="n">
        <v>7870000</v>
      </c>
      <c r="F17" s="8" t="n">
        <v>8162000</v>
      </c>
      <c r="G17" s="8" t="n">
        <v>10134000</v>
      </c>
      <c r="H17" s="8" t="n">
        <v>10596000</v>
      </c>
      <c r="I17" s="45">
        <f>(F17-E17)/E17</f>
        <v/>
      </c>
      <c r="J17" s="45">
        <f>(G17-F17)/F17</f>
        <v/>
      </c>
      <c r="K17" s="46">
        <f>(H17-G17)/G17</f>
        <v/>
      </c>
    </row>
    <row r="18">
      <c r="D18" s="12" t="inlineStr">
        <is>
          <t>BAC</t>
        </is>
      </c>
      <c r="E18" s="8" t="n">
        <v>28397000</v>
      </c>
      <c r="F18" s="8" t="n">
        <v>17277000</v>
      </c>
      <c r="G18" s="8" t="n">
        <v>9864000</v>
      </c>
      <c r="H18" s="8" t="n">
        <v>39520000</v>
      </c>
      <c r="I18" s="45">
        <f>(F18-E18)/E18</f>
        <v/>
      </c>
      <c r="J18" s="45">
        <f>(G18-F18)/F18</f>
        <v/>
      </c>
      <c r="K18" s="46">
        <f>(H18-G18)/G18</f>
        <v/>
      </c>
    </row>
    <row r="19">
      <c r="D19" s="12" t="inlineStr">
        <is>
          <t>VZ</t>
        </is>
      </c>
      <c r="E19" s="8" t="n">
        <v>21252000</v>
      </c>
      <c r="F19" s="8" t="n">
        <v>4630000</v>
      </c>
      <c r="G19" s="8" t="n">
        <v>7071000</v>
      </c>
      <c r="H19" s="8" t="n">
        <v>17681000</v>
      </c>
      <c r="I19" s="45">
        <f>(F19-E19)/E19</f>
        <v/>
      </c>
      <c r="J19" s="45">
        <f>(G19-F19)/F19</f>
        <v/>
      </c>
      <c r="K19" s="46">
        <f>(H19-G19)/G19</f>
        <v/>
      </c>
    </row>
    <row r="20">
      <c r="D20" s="12" t="inlineStr">
        <is>
          <t>DIS</t>
        </is>
      </c>
      <c r="E20" s="8" t="n">
        <v>7120000</v>
      </c>
      <c r="F20" s="8" t="n">
        <v>8363000</v>
      </c>
      <c r="G20" s="8" t="n">
        <v>8720000</v>
      </c>
      <c r="H20" s="8" t="n">
        <v>9830000</v>
      </c>
      <c r="I20" s="45">
        <f>(F20-E20)/E20</f>
        <v/>
      </c>
      <c r="J20" s="45">
        <f>(G20-F20)/F20</f>
        <v/>
      </c>
      <c r="K20" s="46">
        <f>(H20-G20)/G20</f>
        <v/>
      </c>
    </row>
    <row r="21">
      <c r="D21" s="12" t="inlineStr">
        <is>
          <t>CVX</t>
        </is>
      </c>
      <c r="E21" s="8" t="n">
        <v>-10048000</v>
      </c>
      <c r="F21" s="8" t="n">
        <v>-5419000</v>
      </c>
      <c r="G21" s="8" t="n">
        <v>6934000</v>
      </c>
      <c r="H21" s="8" t="n">
        <v>16826000</v>
      </c>
      <c r="I21" s="45">
        <f>(F21-E21)/E21</f>
        <v/>
      </c>
      <c r="J21" s="45">
        <f>(G21-F21)/F21</f>
        <v/>
      </c>
      <c r="K21" s="46">
        <f>(H21-G21)/G21</f>
        <v/>
      </c>
    </row>
    <row r="22">
      <c r="D22" s="12" t="inlineStr">
        <is>
          <t>UNH</t>
        </is>
      </c>
      <c r="E22" s="8" t="n">
        <v>8184000</v>
      </c>
      <c r="F22" s="8" t="n">
        <v>8090000</v>
      </c>
      <c r="G22" s="8" t="n">
        <v>11573000</v>
      </c>
      <c r="H22" s="8" t="n">
        <v>13650000</v>
      </c>
      <c r="I22" s="45">
        <f>(F22-E22)/E22</f>
        <v/>
      </c>
      <c r="J22" s="45">
        <f>(G22-F22)/F22</f>
        <v/>
      </c>
      <c r="K22" s="46">
        <f>(H22-G22)/G22</f>
        <v/>
      </c>
    </row>
    <row r="23">
      <c r="D23" s="12" t="inlineStr">
        <is>
          <t>MRK</t>
        </is>
      </c>
      <c r="E23" s="8" t="n">
        <v>11255000</v>
      </c>
      <c r="F23" s="8" t="n">
        <v>8762000</v>
      </c>
      <c r="G23" s="8" t="n">
        <v>4563000</v>
      </c>
      <c r="H23" s="8" t="n">
        <v>8307000</v>
      </c>
      <c r="I23" s="45">
        <f>(F23-E23)/E23</f>
        <v/>
      </c>
      <c r="J23" s="45">
        <f>(G23-F23)/F23</f>
        <v/>
      </c>
      <c r="K23" s="46">
        <f>(H23-G23)/G23</f>
        <v/>
      </c>
    </row>
    <row r="24">
      <c r="D24" s="12" t="inlineStr">
        <is>
          <t>KO</t>
        </is>
      </c>
      <c r="E24" s="8" t="n">
        <v>7975000</v>
      </c>
      <c r="F24" s="8" t="n">
        <v>6530000</v>
      </c>
      <c r="G24" s="8" t="n">
        <v>5366000</v>
      </c>
      <c r="H24" s="8" t="n">
        <v>6280000</v>
      </c>
      <c r="I24" s="45">
        <f>(F24-E24)/E24</f>
        <v/>
      </c>
      <c r="J24" s="45">
        <f>(G24-F24)/F24</f>
        <v/>
      </c>
      <c r="K24" s="46">
        <f>(H24-G24)/G24</f>
        <v/>
      </c>
    </row>
    <row r="25">
      <c r="D25" s="12" t="inlineStr">
        <is>
          <t>INTC</t>
        </is>
      </c>
      <c r="E25" s="8" t="n">
        <v>11692000</v>
      </c>
      <c r="F25" s="8" t="n">
        <v>12183000</v>
      </c>
      <c r="G25" s="8" t="n">
        <v>10332000</v>
      </c>
      <c r="H25" s="8" t="n">
        <v>14251000</v>
      </c>
      <c r="I25" s="45">
        <f>(F25-E25)/E25</f>
        <v/>
      </c>
      <c r="J25" s="45">
        <f>(G25-F25)/F25</f>
        <v/>
      </c>
      <c r="K25" s="46">
        <f>(H25-G25)/G25</f>
        <v/>
      </c>
    </row>
    <row r="26">
      <c r="D26" s="12" t="inlineStr">
        <is>
          <t>CSCO</t>
        </is>
      </c>
      <c r="E26" s="8" t="n">
        <v>12424000</v>
      </c>
      <c r="F26" s="8" t="n">
        <v>12912000</v>
      </c>
      <c r="G26" s="8" t="n">
        <v>12832000</v>
      </c>
      <c r="H26" s="8" t="n">
        <v>14922000</v>
      </c>
      <c r="I26" s="45">
        <f>(F26-E26)/E26</f>
        <v/>
      </c>
      <c r="J26" s="45">
        <f>(G26-F26)/F26</f>
        <v/>
      </c>
      <c r="K26" s="46">
        <f>(H26-G26)/G26</f>
        <v/>
      </c>
    </row>
    <row r="27">
      <c r="D27" s="12" t="inlineStr">
        <is>
          <t>CMCSA</t>
        </is>
      </c>
      <c r="E27" s="8" t="n">
        <v>10986000</v>
      </c>
      <c r="F27" s="8" t="n">
        <v>10534000</v>
      </c>
      <c r="G27" s="8" t="n">
        <v>11640000</v>
      </c>
      <c r="H27" s="8" t="n">
        <v>14063000</v>
      </c>
      <c r="I27" s="45">
        <f>(F27-E27)/E27</f>
        <v/>
      </c>
      <c r="J27" s="45">
        <f>(G27-F27)/F27</f>
        <v/>
      </c>
      <c r="K27" s="46">
        <f>(H27-G27)/G27</f>
        <v/>
      </c>
    </row>
    <row r="28">
      <c r="D28" s="12" t="inlineStr">
        <is>
          <t>PFE</t>
        </is>
      </c>
      <c r="E28" s="8" t="n">
        <v>13291000</v>
      </c>
      <c r="F28" s="8" t="n">
        <v>14369000</v>
      </c>
      <c r="G28" s="8" t="n">
        <v>14846000</v>
      </c>
      <c r="H28" s="8" t="n">
        <v>13785000</v>
      </c>
      <c r="I28" s="45">
        <f>(F28-E28)/E28</f>
        <v/>
      </c>
      <c r="J28" s="45">
        <f>(G28-F28)/F28</f>
        <v/>
      </c>
      <c r="K28" s="46">
        <f>(H28-G28)/G28</f>
        <v/>
      </c>
    </row>
    <row r="29">
      <c r="D29" s="12" t="inlineStr">
        <is>
          <t>BA</t>
        </is>
      </c>
      <c r="E29" s="8" t="n">
        <v>6913000</v>
      </c>
      <c r="F29" s="8" t="n">
        <v>7883000</v>
      </c>
      <c r="G29" s="8" t="n">
        <v>11607000</v>
      </c>
      <c r="H29" s="8" t="n">
        <v>13600000</v>
      </c>
      <c r="I29" s="45">
        <f>(F29-E29)/E29</f>
        <v/>
      </c>
      <c r="J29" s="45">
        <f>(G29-F29)/F29</f>
        <v/>
      </c>
      <c r="K29" s="46">
        <f>(H29-G29)/G29</f>
        <v/>
      </c>
    </row>
    <row r="30">
      <c r="D30" s="12" t="inlineStr">
        <is>
          <t>PEP</t>
        </is>
      </c>
      <c r="E30" s="8" t="n">
        <v>8106000</v>
      </c>
      <c r="F30" s="8" t="n">
        <v>7623000</v>
      </c>
      <c r="G30" s="8" t="n">
        <v>7061000</v>
      </c>
      <c r="H30" s="8" t="n">
        <v>6133000</v>
      </c>
      <c r="I30" s="45">
        <f>(F30-E30)/E30</f>
        <v/>
      </c>
      <c r="J30" s="45">
        <f>(G30-F30)/F30</f>
        <v/>
      </c>
      <c r="K30" s="46">
        <f>(H30-G30)/G30</f>
        <v/>
      </c>
    </row>
    <row r="31">
      <c r="D31" s="12" t="inlineStr">
        <is>
          <t>WFC</t>
        </is>
      </c>
      <c r="E31" s="8" t="n">
        <v>15904000</v>
      </c>
      <c r="F31" s="8" t="n">
        <v>1008000</v>
      </c>
      <c r="G31" s="8" t="n">
        <v>18619000</v>
      </c>
      <c r="H31" s="8" t="n">
        <v>36073000</v>
      </c>
      <c r="I31" s="45">
        <f>(F31-E31)/E31</f>
        <v/>
      </c>
      <c r="J31" s="45">
        <f>(G31-F31)/F31</f>
        <v/>
      </c>
      <c r="K31" s="46">
        <f>(H31-G31)/G31</f>
        <v/>
      </c>
    </row>
    <row r="32">
      <c r="D32" s="12" t="inlineStr">
        <is>
          <t>MCD</t>
        </is>
      </c>
      <c r="E32" s="8" t="n">
        <v>4725200</v>
      </c>
      <c r="F32" s="8" t="n">
        <v>4238500</v>
      </c>
      <c r="G32" s="8" t="n">
        <v>3697500</v>
      </c>
      <c r="H32" s="8" t="n">
        <v>4225000</v>
      </c>
      <c r="I32" s="45">
        <f>(F32-E32)/E32</f>
        <v/>
      </c>
      <c r="J32" s="45">
        <f>(G32-F32)/F32</f>
        <v/>
      </c>
      <c r="K32" s="46">
        <f>(H32-G32)/G32</f>
        <v/>
      </c>
    </row>
    <row r="33">
      <c r="D33" s="12" t="inlineStr">
        <is>
          <t>WMT</t>
        </is>
      </c>
      <c r="E33" s="8" t="n">
        <v>16075000</v>
      </c>
      <c r="F33" s="8" t="n">
        <v>21054000</v>
      </c>
      <c r="G33" s="8" t="n">
        <v>18286000</v>
      </c>
      <c r="H33" s="8" t="n">
        <v>17409000</v>
      </c>
      <c r="I33" s="45">
        <f>(F33-E33)/E33</f>
        <v/>
      </c>
      <c r="J33" s="45">
        <f>(G33-F33)/F33</f>
        <v/>
      </c>
      <c r="K33" s="46">
        <f>(H33-G33)/G33</f>
        <v/>
      </c>
    </row>
    <row r="34">
      <c r="D34" s="12" t="inlineStr">
        <is>
          <t>ABT</t>
        </is>
      </c>
      <c r="E34" s="8" t="n">
        <v>1856000</v>
      </c>
      <c r="F34" s="8" t="n">
        <v>2082000</v>
      </c>
      <c r="G34" s="8" t="n">
        <v>4435000</v>
      </c>
      <c r="H34" s="8" t="n">
        <v>4906000</v>
      </c>
      <c r="I34" s="45">
        <f>(F34-E34)/E34</f>
        <v/>
      </c>
      <c r="J34" s="45">
        <f>(G34-F34)/F34</f>
        <v/>
      </c>
      <c r="K34" s="46">
        <f>(H34-G34)/G34</f>
        <v/>
      </c>
    </row>
    <row r="35">
      <c r="D35" s="12" t="inlineStr">
        <is>
          <t>C</t>
        </is>
      </c>
      <c r="E35" s="8" t="n">
        <v>36539000</v>
      </c>
      <c r="F35" s="8" t="n">
        <v>50977000</v>
      </c>
      <c r="G35" s="8" t="n">
        <v>-12135000</v>
      </c>
      <c r="H35" s="8" t="n">
        <v>33178000</v>
      </c>
      <c r="I35" s="45">
        <f>(F35-E35)/E35</f>
        <v/>
      </c>
      <c r="J35" s="45">
        <f>(G35-F35)/F35</f>
        <v/>
      </c>
      <c r="K35" s="46">
        <f>(H35-G35)/G35</f>
        <v/>
      </c>
    </row>
    <row r="36">
      <c r="D36" s="12" t="inlineStr">
        <is>
          <t>MDT</t>
        </is>
      </c>
      <c r="E36" s="8" t="n">
        <v>4172000</v>
      </c>
      <c r="F36" s="8" t="n">
        <v>5626000</v>
      </c>
      <c r="G36" s="8" t="n">
        <v>3616000</v>
      </c>
      <c r="H36" s="8" t="n">
        <v>5873000</v>
      </c>
      <c r="I36" s="45">
        <f>(F36-E36)/E36</f>
        <v/>
      </c>
      <c r="J36" s="45">
        <f>(G36-F36)/F36</f>
        <v/>
      </c>
      <c r="K36" s="46">
        <f>(H36-G36)/G36</f>
        <v/>
      </c>
    </row>
    <row r="37">
      <c r="D37" s="12" t="inlineStr">
        <is>
          <t>ADBE</t>
        </is>
      </c>
      <c r="E37" s="8" t="n">
        <v>1284566</v>
      </c>
      <c r="F37" s="8" t="n">
        <v>1995923</v>
      </c>
      <c r="G37" s="8" t="n">
        <v>2734731</v>
      </c>
      <c r="H37" s="8" t="n">
        <v>3762725</v>
      </c>
      <c r="I37" s="45">
        <f>(F37-E37)/E37</f>
        <v/>
      </c>
      <c r="J37" s="45">
        <f>(G37-F37)/F37</f>
        <v/>
      </c>
      <c r="K37" s="46">
        <f>(H37-G37)/G37</f>
        <v/>
      </c>
    </row>
    <row r="38">
      <c r="D38" s="12" t="inlineStr">
        <is>
          <t>CRM</t>
        </is>
      </c>
      <c r="E38" s="8" t="n">
        <v>962229</v>
      </c>
      <c r="F38" s="8" t="n">
        <v>1698000</v>
      </c>
      <c r="G38" s="8" t="n">
        <v>2204000</v>
      </c>
      <c r="H38" s="8" t="n">
        <v>2803000</v>
      </c>
      <c r="I38" s="45">
        <f>(F38-E38)/E38</f>
        <v/>
      </c>
      <c r="J38" s="45">
        <f>(G38-F38)/F38</f>
        <v/>
      </c>
      <c r="K38" s="46">
        <f>(H38-G38)/G38</f>
        <v/>
      </c>
    </row>
    <row r="39">
      <c r="D39" s="12" t="inlineStr">
        <is>
          <t>NFLX</t>
        </is>
      </c>
      <c r="E39" s="8" t="n">
        <v>-840687</v>
      </c>
      <c r="F39" s="8" t="n">
        <v>-1581637</v>
      </c>
      <c r="G39" s="8" t="n">
        <v>-1959250</v>
      </c>
      <c r="H39" s="8" t="n">
        <v>-2854425</v>
      </c>
      <c r="I39" s="45">
        <f>(F39-E39)/E39</f>
        <v/>
      </c>
      <c r="J39" s="45">
        <f>(G39-F39)/F39</f>
        <v/>
      </c>
      <c r="K39" s="46">
        <f>(H39-G39)/G39</f>
        <v/>
      </c>
    </row>
    <row r="40">
      <c r="D40" s="12" t="inlineStr">
        <is>
          <t>PM</t>
        </is>
      </c>
      <c r="E40" s="8" t="n">
        <v>6905000</v>
      </c>
      <c r="F40" s="8" t="n">
        <v>6905000</v>
      </c>
      <c r="G40" s="8" t="n">
        <v>7364000</v>
      </c>
      <c r="H40" s="8" t="n">
        <v>8042000</v>
      </c>
      <c r="I40" s="45">
        <f>(F40-E40)/E40</f>
        <v/>
      </c>
      <c r="J40" s="45">
        <f>(G40-F40)/F40</f>
        <v/>
      </c>
      <c r="K40" s="46">
        <f>(H40-G40)/G40</f>
        <v/>
      </c>
    </row>
    <row r="41">
      <c r="D41" s="12" t="inlineStr">
        <is>
          <t>ORCL</t>
        </is>
      </c>
      <c r="E41" s="8" t="n">
        <v>12496000</v>
      </c>
      <c r="F41" s="8" t="n">
        <v>12105000</v>
      </c>
      <c r="G41" s="8" t="n">
        <v>13650000</v>
      </c>
      <c r="H41" s="8" t="n">
        <v>12891000</v>
      </c>
      <c r="I41" s="45">
        <f>(F41-E41)/E41</f>
        <v/>
      </c>
      <c r="J41" s="45">
        <f>(G41-F41)/F41</f>
        <v/>
      </c>
      <c r="K41" s="46">
        <f>(H41-G41)/G41</f>
        <v/>
      </c>
    </row>
    <row r="42">
      <c r="D42" s="12" t="inlineStr">
        <is>
          <t>PYPL</t>
        </is>
      </c>
      <c r="E42" s="8" t="n">
        <v>1824000</v>
      </c>
      <c r="F42" s="8" t="n">
        <v>2489000</v>
      </c>
      <c r="G42" s="8" t="n">
        <v>1864000</v>
      </c>
      <c r="H42" s="8" t="n">
        <v>4660000</v>
      </c>
      <c r="I42" s="45">
        <f>(F42-E42)/E42</f>
        <v/>
      </c>
      <c r="J42" s="45">
        <f>(G42-F42)/F42</f>
        <v/>
      </c>
      <c r="K42" s="46">
        <f>(H42-G42)/G42</f>
        <v/>
      </c>
    </row>
    <row r="43">
      <c r="D43" s="12" t="inlineStr">
        <is>
          <t>ACN</t>
        </is>
      </c>
      <c r="E43" s="8" t="n">
        <v>3781146</v>
      </c>
      <c r="F43" s="8" t="n">
        <v>4170834</v>
      </c>
      <c r="G43" s="8" t="n">
        <v>4457120</v>
      </c>
      <c r="H43" s="8" t="n">
        <v>5407504</v>
      </c>
      <c r="I43" s="45">
        <f>(F43-E43)/E43</f>
        <v/>
      </c>
      <c r="J43" s="45">
        <f>(G43-F43)/F43</f>
        <v/>
      </c>
      <c r="K43" s="46">
        <f>(H43-G43)/G43</f>
        <v/>
      </c>
    </row>
    <row r="44">
      <c r="D44" s="12" t="inlineStr">
        <is>
          <t>AMGN</t>
        </is>
      </c>
      <c r="E44" s="8" t="n">
        <v>9137000</v>
      </c>
      <c r="F44" s="8" t="n">
        <v>9616000</v>
      </c>
      <c r="G44" s="8" t="n">
        <v>10513000</v>
      </c>
      <c r="H44" s="8" t="n">
        <v>10558000</v>
      </c>
      <c r="I44" s="45">
        <f>(F44-E44)/E44</f>
        <v/>
      </c>
      <c r="J44" s="45">
        <f>(G44-F44)/F44</f>
        <v/>
      </c>
      <c r="K44" s="46">
        <f>(H44-G44)/G44</f>
        <v/>
      </c>
    </row>
    <row r="45">
      <c r="D45" s="12" t="inlineStr">
        <is>
          <t>COST</t>
        </is>
      </c>
      <c r="E45" s="8" t="n">
        <v>1892000</v>
      </c>
      <c r="F45" s="8" t="n">
        <v>643000</v>
      </c>
      <c r="G45" s="8" t="n">
        <v>4224000</v>
      </c>
      <c r="H45" s="8" t="n">
        <v>2805000</v>
      </c>
      <c r="I45" s="45">
        <f>(F45-E45)/E45</f>
        <v/>
      </c>
      <c r="J45" s="45">
        <f>(G45-F45)/F45</f>
        <v/>
      </c>
      <c r="K45" s="46">
        <f>(H45-G45)/G45</f>
        <v/>
      </c>
    </row>
    <row r="46">
      <c r="D46" s="12" t="inlineStr">
        <is>
          <t>IBM</t>
        </is>
      </c>
      <c r="E46" s="8" t="n">
        <v>13676000</v>
      </c>
      <c r="F46" s="8" t="n">
        <v>13517000</v>
      </c>
      <c r="G46" s="8" t="n">
        <v>13495000</v>
      </c>
      <c r="H46" s="8" t="n">
        <v>11852000</v>
      </c>
      <c r="I46" s="45">
        <f>(F46-E46)/E46</f>
        <v/>
      </c>
      <c r="J46" s="45">
        <f>(G46-F46)/F46</f>
        <v/>
      </c>
      <c r="K46" s="46">
        <f>(H46-G46)/G46</f>
        <v/>
      </c>
    </row>
    <row r="47">
      <c r="D47" s="12" t="inlineStr">
        <is>
          <t>SBUX</t>
        </is>
      </c>
      <c r="E47" s="8" t="n">
        <v>2445400</v>
      </c>
      <c r="F47" s="8" t="n">
        <v>3257600</v>
      </c>
      <c r="G47" s="8" t="n">
        <v>2732400</v>
      </c>
      <c r="H47" s="8" t="n">
        <v>9961400</v>
      </c>
      <c r="I47" s="45">
        <f>(F47-E47)/E47</f>
        <v/>
      </c>
      <c r="J47" s="45">
        <f>(G47-F47)/F47</f>
        <v/>
      </c>
      <c r="K47" s="46">
        <f>(H47-G47)/G47</f>
        <v/>
      </c>
    </row>
    <row r="48">
      <c r="D48" s="12" t="inlineStr">
        <is>
          <t>HON</t>
        </is>
      </c>
      <c r="E48" s="8" t="n">
        <v>4446000</v>
      </c>
      <c r="F48" s="8" t="n">
        <v>4403000</v>
      </c>
      <c r="G48" s="8" t="n">
        <v>4935000</v>
      </c>
      <c r="H48" s="8" t="n">
        <v>5606000</v>
      </c>
      <c r="I48" s="45">
        <f>(F48-E48)/E48</f>
        <v/>
      </c>
      <c r="J48" s="45">
        <f>(G48-F48)/F48</f>
        <v/>
      </c>
      <c r="K48" s="46">
        <f>(H48-G48)/G48</f>
        <v/>
      </c>
    </row>
    <row r="49">
      <c r="D49" s="12" t="inlineStr">
        <is>
          <t>UNP</t>
        </is>
      </c>
      <c r="E49" s="8" t="n">
        <v>2694000</v>
      </c>
      <c r="F49" s="8" t="n">
        <v>4020000</v>
      </c>
      <c r="G49" s="8" t="n">
        <v>3992000</v>
      </c>
      <c r="H49" s="8" t="n">
        <v>5249000</v>
      </c>
      <c r="I49" s="45">
        <f>(F49-E49)/E49</f>
        <v/>
      </c>
      <c r="J49" s="45">
        <f>(G49-F49)/F49</f>
        <v/>
      </c>
      <c r="K49" s="46">
        <f>(H49-G49)/G49</f>
        <v/>
      </c>
    </row>
    <row r="50">
      <c r="D50" s="12" t="inlineStr">
        <is>
          <t>TXN</t>
        </is>
      </c>
      <c r="E50" s="8" t="n">
        <v>3846000</v>
      </c>
      <c r="F50" s="8" t="n">
        <v>4083000</v>
      </c>
      <c r="G50" s="8" t="n">
        <v>4668000</v>
      </c>
      <c r="H50" s="8" t="n">
        <v>6058000</v>
      </c>
      <c r="I50" s="45">
        <f>(F50-E50)/E50</f>
        <v/>
      </c>
      <c r="J50" s="45">
        <f>(G50-F50)/F50</f>
        <v/>
      </c>
      <c r="K50" s="46">
        <f>(H50-G50)/G50</f>
        <v/>
      </c>
    </row>
    <row r="51">
      <c r="D51" s="12" t="inlineStr">
        <is>
          <t>TMO</t>
        </is>
      </c>
      <c r="E51" s="8" t="n">
        <v>2519000</v>
      </c>
      <c r="F51" s="8" t="n">
        <v>2814000</v>
      </c>
      <c r="G51" s="8" t="n">
        <v>3497000</v>
      </c>
      <c r="H51" s="8" t="n">
        <v>3785000</v>
      </c>
      <c r="I51" s="45">
        <f>(F51-E51)/E51</f>
        <v/>
      </c>
      <c r="J51" s="45">
        <f>(G51-F51)/F51</f>
        <v/>
      </c>
      <c r="K51" s="46">
        <f>(H51-G51)/G51</f>
        <v/>
      </c>
    </row>
    <row r="52">
      <c r="D52" s="12" t="inlineStr">
        <is>
          <t>AVGO</t>
        </is>
      </c>
      <c r="E52" s="8" t="n">
        <v>1725000</v>
      </c>
      <c r="F52" s="8" t="n">
        <v>2688000</v>
      </c>
      <c r="G52" s="8" t="n">
        <v>5482000</v>
      </c>
      <c r="H52" s="8" t="n">
        <v>8245000</v>
      </c>
      <c r="I52" s="45">
        <f>(F52-E52)/E52</f>
        <v/>
      </c>
      <c r="J52" s="45">
        <f>(G52-F52)/F52</f>
        <v/>
      </c>
      <c r="K52" s="46">
        <f>(H52-G52)/G52</f>
        <v/>
      </c>
    </row>
    <row r="53">
      <c r="D53" s="12" t="inlineStr">
        <is>
          <t>NEE</t>
        </is>
      </c>
      <c r="E53" s="8" t="n">
        <v>-2288000</v>
      </c>
      <c r="F53" s="8" t="n">
        <v>-3267000</v>
      </c>
      <c r="G53" s="8" t="n">
        <v>-4282000</v>
      </c>
      <c r="H53" s="8" t="n">
        <v>-6411000</v>
      </c>
      <c r="I53" s="45">
        <f>(F53-E53)/E53</f>
        <v/>
      </c>
      <c r="J53" s="45">
        <f>(G53-F53)/F53</f>
        <v/>
      </c>
      <c r="K53" s="46">
        <f>(H53-G53)/G53</f>
        <v/>
      </c>
    </row>
    <row r="54">
      <c r="D54" s="12" t="inlineStr">
        <is>
          <t>NKE</t>
        </is>
      </c>
      <c r="E54" s="8" t="n">
        <v>2256000</v>
      </c>
      <c r="F54" s="8" t="n">
        <v>2741000</v>
      </c>
      <c r="G54" s="8" t="n">
        <v>3927000</v>
      </c>
      <c r="H54" s="8" t="n">
        <v>4784000</v>
      </c>
      <c r="I54" s="45">
        <f>(F54-E54)/E54</f>
        <v/>
      </c>
      <c r="J54" s="45">
        <f>(G54-F54)/F54</f>
        <v/>
      </c>
      <c r="K54" s="46">
        <f>(H54-G54)/G54</f>
        <v/>
      </c>
    </row>
    <row r="55">
      <c r="D55" s="12" t="inlineStr">
        <is>
          <t>AMT</t>
        </is>
      </c>
      <c r="E55" s="8" t="n">
        <v>2166900</v>
      </c>
      <c r="F55" s="8" t="n">
        <v>2701700</v>
      </c>
      <c r="G55" s="8" t="n">
        <v>2925600</v>
      </c>
      <c r="H55" s="8" t="n">
        <v>3748300</v>
      </c>
      <c r="I55" s="45">
        <f>(F55-E55)/E55</f>
        <v/>
      </c>
      <c r="J55" s="45">
        <f>(G55-F55)/F55</f>
        <v/>
      </c>
      <c r="K55" s="46">
        <f>(H55-G55)/G55</f>
        <v/>
      </c>
    </row>
    <row r="56">
      <c r="D56" s="12" t="inlineStr">
        <is>
          <t>UTX</t>
        </is>
      </c>
      <c r="E56" s="8" t="n">
        <v>4731000</v>
      </c>
      <c r="F56" s="8" t="n">
        <v>2181000</v>
      </c>
      <c r="G56" s="8" t="n">
        <v>3617000</v>
      </c>
      <c r="H56" s="8" t="n">
        <v>4420000</v>
      </c>
      <c r="I56" s="45">
        <f>(F56-E56)/E56</f>
        <v/>
      </c>
      <c r="J56" s="45">
        <f>(G56-F56)/F56</f>
        <v/>
      </c>
      <c r="K56" s="46">
        <f>(H56-G56)/G56</f>
        <v/>
      </c>
    </row>
    <row r="57">
      <c r="D57" s="12" t="inlineStr">
        <is>
          <t>NVDA</t>
        </is>
      </c>
      <c r="E57" s="8" t="n">
        <v>1089000</v>
      </c>
      <c r="F57" s="8" t="n">
        <v>1496000</v>
      </c>
      <c r="G57" s="8" t="n">
        <v>2909000</v>
      </c>
      <c r="H57" s="8" t="n">
        <v>3143000</v>
      </c>
      <c r="I57" s="45">
        <f>(F57-E57)/E57</f>
        <v/>
      </c>
      <c r="J57" s="45">
        <f>(G57-F57)/F57</f>
        <v/>
      </c>
      <c r="K57" s="46">
        <f>(H57-G57)/G57</f>
        <v/>
      </c>
    </row>
    <row r="58">
      <c r="D58" s="12" t="inlineStr">
        <is>
          <t>ABBV</t>
        </is>
      </c>
      <c r="E58" s="8" t="n">
        <v>7003000</v>
      </c>
      <c r="F58" s="8" t="n">
        <v>6562000</v>
      </c>
      <c r="G58" s="8" t="n">
        <v>9431000</v>
      </c>
      <c r="H58" s="8" t="n">
        <v>12789000</v>
      </c>
      <c r="I58" s="45">
        <f>(F58-E58)/E58</f>
        <v/>
      </c>
      <c r="J58" s="45">
        <f>(G58-F58)/F58</f>
        <v/>
      </c>
      <c r="K58" s="46">
        <f>(H58-G58)/G58</f>
        <v/>
      </c>
    </row>
    <row r="59">
      <c r="D59" s="12" t="inlineStr">
        <is>
          <t>LLY</t>
        </is>
      </c>
      <c r="E59" s="8" t="n">
        <v>1898400</v>
      </c>
      <c r="F59" s="8" t="n">
        <v>3814000</v>
      </c>
      <c r="G59" s="8" t="n">
        <v>4538800</v>
      </c>
      <c r="H59" s="8" t="n">
        <v>4313900</v>
      </c>
      <c r="I59" s="45">
        <f>(F59-E59)/E59</f>
        <v/>
      </c>
      <c r="J59" s="45">
        <f>(G59-F59)/F59</f>
        <v/>
      </c>
      <c r="K59" s="46">
        <f>(H59-G59)/G59</f>
        <v/>
      </c>
    </row>
    <row r="60">
      <c r="D60" s="12" t="inlineStr">
        <is>
          <t>LMT</t>
        </is>
      </c>
      <c r="E60" s="8" t="n">
        <v>4162000</v>
      </c>
      <c r="F60" s="8" t="n">
        <v>4126000</v>
      </c>
      <c r="G60" s="8" t="n">
        <v>5299000</v>
      </c>
      <c r="H60" s="8" t="n">
        <v>1860000</v>
      </c>
      <c r="I60" s="45">
        <f>(F60-E60)/E60</f>
        <v/>
      </c>
      <c r="J60" s="45">
        <f>(G60-F60)/F60</f>
        <v/>
      </c>
      <c r="K60" s="46">
        <f>(H60-G60)/G60</f>
        <v/>
      </c>
    </row>
    <row r="61">
      <c r="D61" s="12" t="inlineStr">
        <is>
          <t>MMM</t>
        </is>
      </c>
      <c r="E61" s="8" t="n">
        <v>4959000</v>
      </c>
      <c r="F61" s="8" t="n">
        <v>5242000</v>
      </c>
      <c r="G61" s="8" t="n">
        <v>4867000</v>
      </c>
      <c r="H61" s="8" t="n">
        <v>4862000</v>
      </c>
      <c r="I61" s="45">
        <f>(F61-E61)/E61</f>
        <v/>
      </c>
      <c r="J61" s="45">
        <f>(G61-F61)/F61</f>
        <v/>
      </c>
      <c r="K61" s="46">
        <f>(H61-G61)/G61</f>
        <v/>
      </c>
    </row>
    <row r="62">
      <c r="D62" s="12" t="inlineStr">
        <is>
          <t>QCOM</t>
        </is>
      </c>
      <c r="E62" s="8" t="n">
        <v>4512000</v>
      </c>
      <c r="F62" s="8" t="n">
        <v>7093000</v>
      </c>
      <c r="G62" s="8" t="n">
        <v>4311000</v>
      </c>
      <c r="H62" s="8" t="n">
        <v>3111000</v>
      </c>
      <c r="I62" s="45">
        <f>(F62-E62)/E62</f>
        <v/>
      </c>
      <c r="J62" s="45">
        <f>(G62-F62)/F62</f>
        <v/>
      </c>
      <c r="K62" s="46">
        <f>(H62-G62)/G62</f>
        <v/>
      </c>
    </row>
    <row r="63">
      <c r="D63" s="12" t="inlineStr">
        <is>
          <t>MO</t>
        </is>
      </c>
      <c r="E63" s="8" t="n">
        <v>5614000</v>
      </c>
      <c r="F63" s="8" t="n">
        <v>3637000</v>
      </c>
      <c r="G63" s="8" t="n">
        <v>4702000</v>
      </c>
      <c r="H63" s="8" t="n">
        <v>8153000</v>
      </c>
      <c r="I63" s="45">
        <f>(F63-E63)/E63</f>
        <v/>
      </c>
      <c r="J63" s="45">
        <f>(G63-F63)/F63</f>
        <v/>
      </c>
      <c r="K63" s="46">
        <f>(H63-G63)/G63</f>
        <v/>
      </c>
    </row>
    <row r="64">
      <c r="D64" s="12" t="inlineStr">
        <is>
          <t>DHR</t>
        </is>
      </c>
      <c r="E64" s="8" t="n">
        <v>3288900</v>
      </c>
      <c r="F64" s="8" t="n">
        <v>2932200</v>
      </c>
      <c r="G64" s="8" t="n">
        <v>2858200</v>
      </c>
      <c r="H64" s="8" t="n">
        <v>3366300</v>
      </c>
      <c r="I64" s="45">
        <f>(F64-E64)/E64</f>
        <v/>
      </c>
      <c r="J64" s="45">
        <f>(G64-F64)/F64</f>
        <v/>
      </c>
      <c r="K64" s="46">
        <f>(H64-G64)/G64</f>
        <v/>
      </c>
    </row>
    <row r="65">
      <c r="D65" s="12" t="inlineStr">
        <is>
          <t>LOW</t>
        </is>
      </c>
      <c r="E65" s="8" t="n">
        <v>3587000</v>
      </c>
      <c r="F65" s="8" t="n">
        <v>4450000</v>
      </c>
      <c r="G65" s="8" t="n">
        <v>3942000</v>
      </c>
      <c r="H65" s="8" t="n">
        <v>5019000</v>
      </c>
      <c r="I65" s="45">
        <f>(F65-E65)/E65</f>
        <v/>
      </c>
      <c r="J65" s="45">
        <f>(G65-F65)/F65</f>
        <v/>
      </c>
      <c r="K65" s="46">
        <f>(H65-G65)/G65</f>
        <v/>
      </c>
    </row>
    <row r="66">
      <c r="D66" s="12" t="inlineStr">
        <is>
          <t>FIS</t>
        </is>
      </c>
      <c r="E66" s="8" t="n">
        <v>998000</v>
      </c>
      <c r="F66" s="8" t="n">
        <v>1780000</v>
      </c>
      <c r="G66" s="8" t="n">
        <v>1596000</v>
      </c>
      <c r="H66" s="8" t="n">
        <v>1866000</v>
      </c>
      <c r="I66" s="45">
        <f>(F66-E66)/E66</f>
        <v/>
      </c>
      <c r="J66" s="45">
        <f>(G66-F66)/F66</f>
        <v/>
      </c>
      <c r="K66" s="46">
        <f>(H66-G66)/G66</f>
        <v/>
      </c>
    </row>
    <row r="67">
      <c r="D67" s="12" t="inlineStr">
        <is>
          <t>BKNG</t>
        </is>
      </c>
      <c r="E67" s="8" t="n">
        <v>3029608</v>
      </c>
      <c r="F67" s="8" t="n">
        <v>3764000</v>
      </c>
      <c r="G67" s="8" t="n">
        <v>4374000</v>
      </c>
      <c r="H67" s="8" t="n">
        <v>4896000</v>
      </c>
      <c r="I67" s="45">
        <f>(F67-E67)/E67</f>
        <v/>
      </c>
      <c r="J67" s="45">
        <f>(G67-F67)/F67</f>
        <v/>
      </c>
      <c r="K67" s="46">
        <f>(H67-G67)/G67</f>
        <v/>
      </c>
    </row>
    <row r="68">
      <c r="D68" s="12" t="inlineStr">
        <is>
          <t>AXP</t>
        </is>
      </c>
      <c r="E68" s="8" t="n">
        <v>9323000</v>
      </c>
      <c r="F68" s="8" t="n">
        <v>6914000</v>
      </c>
      <c r="G68" s="8" t="n">
        <v>12477000</v>
      </c>
      <c r="H68" s="8" t="n">
        <v>7619000</v>
      </c>
      <c r="I68" s="45">
        <f>(F68-E68)/E68</f>
        <v/>
      </c>
      <c r="J68" s="45">
        <f>(G68-F68)/F68</f>
        <v/>
      </c>
      <c r="K68" s="46">
        <f>(H68-G68)/G68</f>
        <v/>
      </c>
    </row>
    <row r="69">
      <c r="D69" s="12" t="inlineStr">
        <is>
          <t>GILD</t>
        </is>
      </c>
      <c r="E69" s="8" t="n">
        <v>20503000</v>
      </c>
      <c r="F69" s="8" t="n">
        <v>16299000</v>
      </c>
      <c r="G69" s="8" t="n">
        <v>11308000</v>
      </c>
      <c r="H69" s="8" t="n">
        <v>7476000</v>
      </c>
      <c r="I69" s="45">
        <f>(F69-E69)/E69</f>
        <v/>
      </c>
      <c r="J69" s="45">
        <f>(G69-F69)/F69</f>
        <v/>
      </c>
      <c r="K69" s="46">
        <f>(H69-G69)/G69</f>
        <v/>
      </c>
    </row>
    <row r="70">
      <c r="D70" s="12" t="inlineStr">
        <is>
          <t>CVS</t>
        </is>
      </c>
      <c r="E70" s="8" t="n">
        <v>6172000</v>
      </c>
      <c r="F70" s="8" t="n">
        <v>7917000</v>
      </c>
      <c r="G70" s="8" t="n">
        <v>6089000</v>
      </c>
      <c r="H70" s="8" t="n">
        <v>6828000</v>
      </c>
      <c r="I70" s="45">
        <f>(F70-E70)/E70</f>
        <v/>
      </c>
      <c r="J70" s="45">
        <f>(G70-F70)/F70</f>
        <v/>
      </c>
      <c r="K70" s="46">
        <f>(H70-G70)/G70</f>
        <v/>
      </c>
    </row>
    <row r="71">
      <c r="D71" s="12" t="inlineStr">
        <is>
          <t>UPS</t>
        </is>
      </c>
      <c r="E71" s="8" t="n">
        <v>5051000</v>
      </c>
      <c r="F71" s="8" t="n">
        <v>3508000</v>
      </c>
      <c r="G71" s="8" t="n">
        <v>-3748000</v>
      </c>
      <c r="H71" s="8" t="n">
        <v>6428000</v>
      </c>
      <c r="I71" s="45">
        <f>(F71-E71)/E71</f>
        <v/>
      </c>
      <c r="J71" s="45">
        <f>(G71-F71)/F71</f>
        <v/>
      </c>
      <c r="K71" s="46">
        <f>(H71-G71)/G71</f>
        <v/>
      </c>
    </row>
    <row r="72">
      <c r="D72" s="12" t="inlineStr">
        <is>
          <t>MDLZ</t>
        </is>
      </c>
      <c r="E72" s="8" t="n">
        <v>2214000</v>
      </c>
      <c r="F72" s="8" t="n">
        <v>1614000</v>
      </c>
      <c r="G72" s="8" t="n">
        <v>1579000</v>
      </c>
      <c r="H72" s="8" t="n">
        <v>2853000</v>
      </c>
      <c r="I72" s="45">
        <f>(F72-E72)/E72</f>
        <v/>
      </c>
      <c r="J72" s="45">
        <f>(G72-F72)/F72</f>
        <v/>
      </c>
      <c r="K72" s="46">
        <f>(H72-G72)/G72</f>
        <v/>
      </c>
    </row>
    <row r="73">
      <c r="D73" s="12" t="inlineStr">
        <is>
          <t>USB</t>
        </is>
      </c>
      <c r="E73" s="8" t="n">
        <v>8782000</v>
      </c>
      <c r="F73" s="8" t="n">
        <v>5336000</v>
      </c>
      <c r="G73" s="8" t="n">
        <v>6472000</v>
      </c>
      <c r="H73" s="8" t="n">
        <v>10564000</v>
      </c>
      <c r="I73" s="45">
        <f>(F73-E73)/E73</f>
        <v/>
      </c>
      <c r="J73" s="45">
        <f>(G73-F73)/F73</f>
        <v/>
      </c>
      <c r="K73" s="46">
        <f>(H73-G73)/G73</f>
        <v/>
      </c>
    </row>
    <row r="74">
      <c r="D74" s="12" t="inlineStr">
        <is>
          <t>BMY</t>
        </is>
      </c>
      <c r="E74" s="8" t="n">
        <v>1285000</v>
      </c>
      <c r="F74" s="8" t="n">
        <v>1843000</v>
      </c>
      <c r="G74" s="8" t="n">
        <v>4220000</v>
      </c>
      <c r="H74" s="8" t="n">
        <v>4989000</v>
      </c>
      <c r="I74" s="45">
        <f>(F74-E74)/E74</f>
        <v/>
      </c>
      <c r="J74" s="45">
        <f>(G74-F74)/F74</f>
        <v/>
      </c>
      <c r="K74" s="46">
        <f>(H74-G74)/G74</f>
        <v/>
      </c>
    </row>
    <row r="75">
      <c r="D75" s="12" t="inlineStr">
        <is>
          <t>CME</t>
        </is>
      </c>
      <c r="E75" s="8" t="n">
        <v>1418300</v>
      </c>
      <c r="F75" s="8" t="n">
        <v>1640200</v>
      </c>
      <c r="G75" s="8" t="n">
        <v>1669200</v>
      </c>
      <c r="H75" s="8" t="n">
        <v>2324100</v>
      </c>
      <c r="I75" s="45">
        <f>(F75-E75)/E75</f>
        <v/>
      </c>
      <c r="J75" s="45">
        <f>(G75-F75)/F75</f>
        <v/>
      </c>
      <c r="K75" s="46">
        <f>(H75-G75)/G75</f>
        <v/>
      </c>
    </row>
    <row r="76">
      <c r="D76" s="12" t="inlineStr">
        <is>
          <t>INTU</t>
        </is>
      </c>
      <c r="E76" s="8" t="n">
        <v>1044000</v>
      </c>
      <c r="F76" s="8" t="n">
        <v>1497000</v>
      </c>
      <c r="G76" s="8" t="n">
        <v>2074000</v>
      </c>
      <c r="H76" s="8" t="n">
        <v>2248000</v>
      </c>
      <c r="I76" s="45">
        <f>(F76-E76)/E76</f>
        <v/>
      </c>
      <c r="J76" s="45">
        <f>(G76-F76)/F76</f>
        <v/>
      </c>
      <c r="K76" s="46">
        <f>(H76-G76)/G76</f>
        <v/>
      </c>
    </row>
    <row r="77">
      <c r="D77" s="12" t="inlineStr">
        <is>
          <t>ADP</t>
        </is>
      </c>
      <c r="E77" s="8" t="n">
        <v>1728800</v>
      </c>
      <c r="F77" s="8" t="n">
        <v>1885700</v>
      </c>
      <c r="G77" s="8" t="n">
        <v>2309100</v>
      </c>
      <c r="H77" s="8" t="n">
        <v>2526300</v>
      </c>
      <c r="I77" s="45">
        <f>(F77-E77)/E77</f>
        <v/>
      </c>
      <c r="J77" s="45">
        <f>(G77-F77)/F77</f>
        <v/>
      </c>
      <c r="K77" s="46">
        <f>(H77-G77)/G77</f>
        <v/>
      </c>
    </row>
    <row r="78">
      <c r="D78" s="12" t="inlineStr">
        <is>
          <t>CB</t>
        </is>
      </c>
      <c r="E78" s="8" t="n">
        <v>3864000</v>
      </c>
      <c r="F78" s="8" t="n">
        <v>5292000</v>
      </c>
      <c r="G78" s="8" t="n">
        <v>4503000</v>
      </c>
      <c r="H78" s="8" t="n">
        <v>5480000</v>
      </c>
      <c r="I78" s="45">
        <f>(F78-E78)/E78</f>
        <v/>
      </c>
      <c r="J78" s="45">
        <f>(G78-F78)/F78</f>
        <v/>
      </c>
      <c r="K78" s="46">
        <f>(H78-G78)/G78</f>
        <v/>
      </c>
    </row>
    <row r="79">
      <c r="D79" s="12" t="inlineStr">
        <is>
          <t>GE</t>
        </is>
      </c>
      <c r="E79" s="8" t="n">
        <v>12582000</v>
      </c>
      <c r="F79" s="8" t="n">
        <v>-6039000</v>
      </c>
      <c r="G79" s="8" t="n">
        <v>-1339000</v>
      </c>
      <c r="H79" s="8" t="n">
        <v>-3449000</v>
      </c>
      <c r="I79" s="45">
        <f>(F79-E79)/E79</f>
        <v/>
      </c>
      <c r="J79" s="45">
        <f>(G79-F79)/F79</f>
        <v/>
      </c>
      <c r="K79" s="46">
        <f>(H79-G79)/G79</f>
        <v/>
      </c>
    </row>
    <row r="80">
      <c r="D80" s="12" t="inlineStr">
        <is>
          <t>BDX</t>
        </is>
      </c>
      <c r="E80" s="8" t="n">
        <v>1134000</v>
      </c>
      <c r="F80" s="8" t="n">
        <v>1866000</v>
      </c>
      <c r="G80" s="8" t="n">
        <v>1823000</v>
      </c>
      <c r="H80" s="8" t="n">
        <v>1970000</v>
      </c>
      <c r="I80" s="45">
        <f>(F80-E80)/E80</f>
        <v/>
      </c>
      <c r="J80" s="45">
        <f>(G80-F80)/F80</f>
        <v/>
      </c>
      <c r="K80" s="46">
        <f>(H80-G80)/G80</f>
        <v/>
      </c>
    </row>
    <row r="81">
      <c r="D81" s="12" t="inlineStr">
        <is>
          <t>ANTM</t>
        </is>
      </c>
      <c r="E81" s="8" t="n">
        <v>3573700</v>
      </c>
      <c r="F81" s="8" t="n">
        <v>2686000</v>
      </c>
      <c r="G81" s="8" t="n">
        <v>3385000</v>
      </c>
      <c r="H81" s="8" t="n">
        <v>2619000</v>
      </c>
      <c r="I81" s="45">
        <f>(F81-E81)/E81</f>
        <v/>
      </c>
      <c r="J81" s="45">
        <f>(G81-F81)/F81</f>
        <v/>
      </c>
      <c r="K81" s="46">
        <f>(H81-G81)/G81</f>
        <v/>
      </c>
    </row>
    <row r="82">
      <c r="D82" s="12" t="inlineStr">
        <is>
          <t>GS</t>
        </is>
      </c>
      <c r="E82" s="8" t="n">
        <v>7648000</v>
      </c>
      <c r="F82" s="8" t="n">
        <v>3629000</v>
      </c>
      <c r="G82" s="8" t="n">
        <v>-21411000</v>
      </c>
      <c r="H82" s="8" t="n">
        <v>12439000</v>
      </c>
      <c r="I82" s="45">
        <f>(F82-E82)/E82</f>
        <v/>
      </c>
      <c r="J82" s="45">
        <f>(G82-F82)/F82</f>
        <v/>
      </c>
      <c r="K82" s="46">
        <f>(H82-G82)/G82</f>
        <v/>
      </c>
    </row>
    <row r="83">
      <c r="D83" s="12" t="inlineStr">
        <is>
          <t>CHTR</t>
        </is>
      </c>
      <c r="E83" s="8" t="n">
        <v>519000</v>
      </c>
      <c r="F83" s="8" t="n">
        <v>2716000</v>
      </c>
      <c r="G83" s="8" t="n">
        <v>3273000</v>
      </c>
      <c r="H83" s="8" t="n">
        <v>2642000</v>
      </c>
      <c r="I83" s="45">
        <f>(F83-E83)/E83</f>
        <v/>
      </c>
      <c r="J83" s="45">
        <f>(G83-F83)/F83</f>
        <v/>
      </c>
      <c r="K83" s="46">
        <f>(H83-G83)/G83</f>
        <v/>
      </c>
    </row>
    <row r="84">
      <c r="D84" s="12" t="inlineStr">
        <is>
          <t>SYK</t>
        </is>
      </c>
      <c r="E84" s="8" t="n">
        <v>711000</v>
      </c>
      <c r="F84" s="8" t="n">
        <v>1425000</v>
      </c>
      <c r="G84" s="8" t="n">
        <v>961000</v>
      </c>
      <c r="H84" s="8" t="n">
        <v>2038000</v>
      </c>
      <c r="I84" s="45">
        <f>(F84-E84)/E84</f>
        <v/>
      </c>
      <c r="J84" s="45">
        <f>(G84-F84)/F84</f>
        <v/>
      </c>
      <c r="K84" s="46">
        <f>(H84-G84)/G84</f>
        <v/>
      </c>
    </row>
    <row r="85">
      <c r="D85" s="12" t="inlineStr">
        <is>
          <t>CELG</t>
        </is>
      </c>
      <c r="E85" s="8" t="n">
        <v>2499000</v>
      </c>
      <c r="F85" s="8" t="n">
        <v>3929000</v>
      </c>
      <c r="G85" s="8" t="n">
        <v>4967000</v>
      </c>
      <c r="H85" s="8" t="n">
        <v>4841000</v>
      </c>
      <c r="I85" s="45">
        <f>(F85-E85)/E85</f>
        <v/>
      </c>
      <c r="J85" s="45">
        <f>(G85-F85)/F85</f>
        <v/>
      </c>
      <c r="K85" s="46">
        <f>(H85-G85)/G85</f>
        <v/>
      </c>
    </row>
    <row r="86">
      <c r="D86" s="12" t="inlineStr">
        <is>
          <t>DUK</t>
        </is>
      </c>
      <c r="E86" s="8" t="n">
        <v>-66000</v>
      </c>
      <c r="F86" s="8" t="n">
        <v>-1038000</v>
      </c>
      <c r="G86" s="8" t="n">
        <v>-1428000</v>
      </c>
      <c r="H86" s="8" t="n">
        <v>-2203000</v>
      </c>
      <c r="I86" s="45">
        <f>(F86-E86)/E86</f>
        <v/>
      </c>
      <c r="J86" s="45">
        <f>(G86-F86)/F86</f>
        <v/>
      </c>
      <c r="K86" s="46">
        <f>(H86-G86)/G86</f>
        <v/>
      </c>
    </row>
    <row r="87">
      <c r="D87" s="12" t="inlineStr">
        <is>
          <t>CAT</t>
        </is>
      </c>
      <c r="E87" s="8" t="n">
        <v>3438000</v>
      </c>
      <c r="F87" s="8" t="n">
        <v>2711000</v>
      </c>
      <c r="G87" s="8" t="n">
        <v>3370000</v>
      </c>
      <c r="H87" s="8" t="n">
        <v>3642000</v>
      </c>
      <c r="I87" s="45">
        <f>(F87-E87)/E87</f>
        <v/>
      </c>
      <c r="J87" s="45">
        <f>(G87-F87)/F87</f>
        <v/>
      </c>
      <c r="K87" s="46">
        <f>(H87-G87)/G87</f>
        <v/>
      </c>
    </row>
    <row r="88">
      <c r="D88" s="12" t="inlineStr">
        <is>
          <t>TJX</t>
        </is>
      </c>
      <c r="E88" s="8" t="n">
        <v>2067535</v>
      </c>
      <c r="F88" s="8" t="n">
        <v>2602112</v>
      </c>
      <c r="G88" s="8" t="n">
        <v>1968007</v>
      </c>
      <c r="H88" s="8" t="n">
        <v>2963320</v>
      </c>
      <c r="I88" s="45">
        <f>(F88-E88)/E88</f>
        <v/>
      </c>
      <c r="J88" s="45">
        <f>(G88-F88)/F88</f>
        <v/>
      </c>
      <c r="K88" s="46">
        <f>(H88-G88)/G88</f>
        <v/>
      </c>
    </row>
    <row r="89">
      <c r="D89" s="12" t="inlineStr">
        <is>
          <t>SPGI</t>
        </is>
      </c>
      <c r="E89" s="8" t="n">
        <v>88000</v>
      </c>
      <c r="F89" s="8" t="n">
        <v>1445000</v>
      </c>
      <c r="G89" s="8" t="n">
        <v>1893000</v>
      </c>
      <c r="H89" s="8" t="n">
        <v>1951000</v>
      </c>
      <c r="I89" s="45">
        <f>(F89-E89)/E89</f>
        <v/>
      </c>
      <c r="J89" s="45">
        <f>(G89-F89)/F89</f>
        <v/>
      </c>
      <c r="K89" s="46">
        <f>(H89-G89)/G89</f>
        <v/>
      </c>
    </row>
    <row r="90">
      <c r="D90" s="12" t="inlineStr">
        <is>
          <t>CL</t>
        </is>
      </c>
      <c r="E90" s="8" t="n">
        <v>2258000</v>
      </c>
      <c r="F90" s="8" t="n">
        <v>2548000</v>
      </c>
      <c r="G90" s="8" t="n">
        <v>2501000</v>
      </c>
      <c r="H90" s="8" t="n">
        <v>2620000</v>
      </c>
      <c r="I90" s="45">
        <f>(F90-E90)/E90</f>
        <v/>
      </c>
      <c r="J90" s="45">
        <f>(G90-F90)/F90</f>
        <v/>
      </c>
      <c r="K90" s="46">
        <f>(H90-G90)/G90</f>
        <v/>
      </c>
    </row>
    <row r="91">
      <c r="D91" s="12" t="inlineStr">
        <is>
          <t>NOC</t>
        </is>
      </c>
      <c r="E91" s="8" t="n">
        <v>1691000</v>
      </c>
      <c r="F91" s="8" t="n">
        <v>1893000</v>
      </c>
      <c r="G91" s="8" t="n">
        <v>1685000</v>
      </c>
      <c r="H91" s="8" t="n">
        <v>2578000</v>
      </c>
      <c r="I91" s="45">
        <f>(F91-E91)/E91</f>
        <v/>
      </c>
      <c r="J91" s="45">
        <f>(G91-F91)/F91</f>
        <v/>
      </c>
      <c r="K91" s="46">
        <f>(H91-G91)/G91</f>
        <v/>
      </c>
    </row>
    <row r="92">
      <c r="D92" s="12" t="inlineStr">
        <is>
          <t>D</t>
        </is>
      </c>
      <c r="E92" s="8" t="n">
        <v>-1518000</v>
      </c>
      <c r="F92" s="8" t="n">
        <v>-1974000</v>
      </c>
      <c r="G92" s="8" t="n">
        <v>-1407000</v>
      </c>
      <c r="H92" s="8" t="n">
        <v>368000</v>
      </c>
      <c r="I92" s="45">
        <f>(F92-E92)/E92</f>
        <v/>
      </c>
      <c r="J92" s="45">
        <f>(G92-F92)/F92</f>
        <v/>
      </c>
      <c r="K92" s="46">
        <f>(H92-G92)/G92</f>
        <v/>
      </c>
    </row>
    <row r="93">
      <c r="D93" s="12" t="inlineStr">
        <is>
          <t>CCI</t>
        </is>
      </c>
      <c r="E93" s="8" t="n">
        <v>887833</v>
      </c>
      <c r="F93" s="8" t="n">
        <v>913000</v>
      </c>
      <c r="G93" s="8" t="n">
        <v>815000</v>
      </c>
      <c r="H93" s="8" t="n">
        <v>761000</v>
      </c>
      <c r="I93" s="45">
        <f>(F93-E93)/E93</f>
        <v/>
      </c>
      <c r="J93" s="45">
        <f>(G93-F93)/F93</f>
        <v/>
      </c>
      <c r="K93" s="46">
        <f>(H93-G93)/G93</f>
        <v/>
      </c>
    </row>
    <row r="94">
      <c r="D94" s="12" t="inlineStr">
        <is>
          <t>SO</t>
        </is>
      </c>
      <c r="E94" s="8" t="n">
        <v>600000</v>
      </c>
      <c r="F94" s="8" t="n">
        <v>-2416000</v>
      </c>
      <c r="G94" s="8" t="n">
        <v>-1029000</v>
      </c>
      <c r="H94" s="8" t="n">
        <v>-1056000</v>
      </c>
      <c r="I94" s="45">
        <f>(F94-E94)/E94</f>
        <v/>
      </c>
      <c r="J94" s="45">
        <f>(G94-F94)/F94</f>
        <v/>
      </c>
      <c r="K94" s="46">
        <f>(H94-G94)/G94</f>
        <v/>
      </c>
    </row>
    <row r="95">
      <c r="D95" s="12" t="inlineStr">
        <is>
          <t>FISV</t>
        </is>
      </c>
      <c r="E95" s="8" t="n">
        <v>987000</v>
      </c>
      <c r="F95" s="8" t="n">
        <v>1141000</v>
      </c>
      <c r="G95" s="8" t="n">
        <v>1215000</v>
      </c>
      <c r="H95" s="8" t="n">
        <v>1235000</v>
      </c>
      <c r="I95" s="45">
        <f>(F95-E95)/E95</f>
        <v/>
      </c>
      <c r="J95" s="45">
        <f>(G95-F95)/F95</f>
        <v/>
      </c>
      <c r="K95" s="46">
        <f>(H95-G95)/G95</f>
        <v/>
      </c>
    </row>
    <row r="96">
      <c r="D96" s="12" t="inlineStr">
        <is>
          <t>ZTS</t>
        </is>
      </c>
      <c r="E96" s="8" t="n">
        <v>440000</v>
      </c>
      <c r="F96" s="8" t="n">
        <v>497000</v>
      </c>
      <c r="G96" s="8" t="n">
        <v>1122000</v>
      </c>
      <c r="H96" s="8" t="n">
        <v>1452000</v>
      </c>
      <c r="I96" s="45">
        <f>(F96-E96)/E96</f>
        <v/>
      </c>
      <c r="J96" s="45">
        <f>(G96-F96)/F96</f>
        <v/>
      </c>
      <c r="K96" s="46">
        <f>(H96-G96)/G96</f>
        <v/>
      </c>
    </row>
    <row r="97">
      <c r="D97" s="12" t="inlineStr">
        <is>
          <t>CI</t>
        </is>
      </c>
      <c r="E97" s="8" t="n">
        <v>2423000</v>
      </c>
      <c r="F97" s="8" t="n">
        <v>3565000</v>
      </c>
      <c r="G97" s="8" t="n">
        <v>3615000</v>
      </c>
      <c r="H97" s="8" t="n">
        <v>3242000</v>
      </c>
      <c r="I97" s="45">
        <f>(F97-E97)/E97</f>
        <v/>
      </c>
      <c r="J97" s="45">
        <f>(G97-F97)/F97</f>
        <v/>
      </c>
      <c r="K97" s="46">
        <f>(H97-G97)/G97</f>
        <v/>
      </c>
    </row>
    <row r="98">
      <c r="D98" s="12" t="inlineStr">
        <is>
          <t>BSX</t>
        </is>
      </c>
      <c r="E98" s="8" t="n">
        <v>444000</v>
      </c>
      <c r="F98" s="8" t="n">
        <v>806000</v>
      </c>
      <c r="G98" s="8" t="n">
        <v>1107000</v>
      </c>
      <c r="H98" s="8" t="n">
        <v>-6000</v>
      </c>
      <c r="I98" s="45">
        <f>(F98-E98)/E98</f>
        <v/>
      </c>
      <c r="J98" s="45">
        <f>(G98-F98)/F98</f>
        <v/>
      </c>
      <c r="K98" s="46">
        <f>(H98-G98)/G98</f>
        <v/>
      </c>
    </row>
    <row r="99">
      <c r="D99" s="12" t="inlineStr">
        <is>
          <t>COP</t>
        </is>
      </c>
      <c r="E99" s="8" t="n">
        <v>-2478000</v>
      </c>
      <c r="F99" s="8" t="n">
        <v>-466000</v>
      </c>
      <c r="G99" s="8" t="n">
        <v>2486000</v>
      </c>
      <c r="H99" s="8" t="n">
        <v>6184000</v>
      </c>
      <c r="I99" s="45">
        <f>(F99-E99)/E99</f>
        <v/>
      </c>
      <c r="J99" s="45">
        <f>(G99-F99)/F99</f>
        <v/>
      </c>
      <c r="K99" s="46">
        <f>(H99-G99)/G99</f>
        <v/>
      </c>
    </row>
    <row r="100">
      <c r="D100" s="12" t="inlineStr">
        <is>
          <t>ISRG</t>
        </is>
      </c>
      <c r="E100" s="8" t="n">
        <v>725200</v>
      </c>
      <c r="F100" s="8" t="n">
        <v>1033100</v>
      </c>
      <c r="G100" s="8" t="n">
        <v>953200</v>
      </c>
      <c r="H100" s="8" t="n">
        <v>982200</v>
      </c>
      <c r="I100" s="45">
        <f>(F100-E100)/E100</f>
        <v/>
      </c>
      <c r="J100" s="45">
        <f>(G100-F100)/F100</f>
        <v/>
      </c>
      <c r="K100" s="46">
        <f>(H100-G100)/G100</f>
        <v/>
      </c>
    </row>
    <row r="101">
      <c r="D101" s="12" t="inlineStr">
        <is>
          <t>PNC</t>
        </is>
      </c>
      <c r="E101" s="8" t="n">
        <v>5525000</v>
      </c>
      <c r="F101" s="8" t="n">
        <v>3500000</v>
      </c>
      <c r="G101" s="8" t="n">
        <v>5579000</v>
      </c>
      <c r="H101" s="8" t="n">
        <v>7840000</v>
      </c>
      <c r="I101" s="45">
        <f>(F101-E101)/E101</f>
        <v/>
      </c>
      <c r="J101" s="45">
        <f>(G101-F101)/F101</f>
        <v/>
      </c>
      <c r="K101" s="46">
        <f>(H101-G101)/G101</f>
        <v/>
      </c>
    </row>
    <row r="102">
      <c r="D102" s="12" t="inlineStr">
        <is>
          <t>TGT</t>
        </is>
      </c>
      <c r="E102" s="8" t="n">
        <v>4520000</v>
      </c>
      <c r="F102" s="8" t="n">
        <v>3897000</v>
      </c>
      <c r="G102" s="8" t="n">
        <v>4402000</v>
      </c>
      <c r="H102" s="8" t="n">
        <v>2457000</v>
      </c>
      <c r="I102" s="45">
        <f>(F102-E102)/E102</f>
        <v/>
      </c>
      <c r="J102" s="45">
        <f>(G102-F102)/F102</f>
        <v/>
      </c>
      <c r="K102" s="46">
        <f>(H102-G102)/G102</f>
        <v/>
      </c>
    </row>
    <row r="103">
      <c r="D103" s="12" t="inlineStr">
        <is>
          <t>ICE</t>
        </is>
      </c>
      <c r="E103" s="8" t="n">
        <v>1121000</v>
      </c>
      <c r="F103" s="8" t="n">
        <v>1899000</v>
      </c>
      <c r="G103" s="8" t="n">
        <v>1865000</v>
      </c>
      <c r="H103" s="8" t="n">
        <v>2399000</v>
      </c>
      <c r="I103" s="45">
        <f>(F103-E103)/E103</f>
        <v/>
      </c>
      <c r="J103" s="45">
        <f>(G103-F103)/F103</f>
        <v/>
      </c>
      <c r="K103" s="46">
        <f>(H103-G103)/G103</f>
        <v/>
      </c>
    </row>
    <row r="104">
      <c r="D104" s="12" t="inlineStr">
        <is>
          <t>MS</t>
        </is>
      </c>
      <c r="E104" s="8" t="n">
        <v>-5836000</v>
      </c>
      <c r="F104" s="8" t="n">
        <v>4107000</v>
      </c>
      <c r="G104" s="8" t="n">
        <v>-6134000</v>
      </c>
      <c r="H104" s="8" t="n">
        <v>5440000</v>
      </c>
      <c r="I104" s="45">
        <f>(F104-E104)/E104</f>
        <v/>
      </c>
      <c r="J104" s="45">
        <f>(G104-F104)/F104</f>
        <v/>
      </c>
      <c r="K104" s="46">
        <f>(H104-G104)/G104</f>
        <v/>
      </c>
    </row>
    <row r="105">
      <c r="D105" s="12" t="inlineStr">
        <is>
          <t>RTN</t>
        </is>
      </c>
      <c r="E105" s="8" t="n">
        <v>1953000</v>
      </c>
      <c r="F105" s="8" t="n">
        <v>2291000</v>
      </c>
      <c r="G105" s="8" t="n">
        <v>2202000</v>
      </c>
      <c r="H105" s="8" t="n">
        <v>2665000</v>
      </c>
      <c r="I105" s="45">
        <f>(F105-E105)/E105</f>
        <v/>
      </c>
      <c r="J105" s="45">
        <f>(G105-F105)/F105</f>
        <v/>
      </c>
      <c r="K105" s="46">
        <f>(H105-G105)/G105</f>
        <v/>
      </c>
    </row>
    <row r="106">
      <c r="D106" s="12" t="inlineStr">
        <is>
          <t>GD</t>
        </is>
      </c>
      <c r="E106" s="8" t="n">
        <v>1995000</v>
      </c>
      <c r="F106" s="8" t="n">
        <v>1717000</v>
      </c>
      <c r="G106" s="8" t="n">
        <v>3408000</v>
      </c>
      <c r="H106" s="8" t="n">
        <v>2438000</v>
      </c>
      <c r="I106" s="45">
        <f>(F106-E106)/E106</f>
        <v/>
      </c>
      <c r="J106" s="45">
        <f>(G106-F106)/F106</f>
        <v/>
      </c>
      <c r="K106" s="46">
        <f>(H106-G106)/G106</f>
        <v/>
      </c>
    </row>
    <row r="107">
      <c r="D107" s="12" t="inlineStr">
        <is>
          <t>CSX</t>
        </is>
      </c>
      <c r="E107" s="8" t="n">
        <v>808000</v>
      </c>
      <c r="F107" s="8" t="n">
        <v>643000</v>
      </c>
      <c r="G107" s="8" t="n">
        <v>1432000</v>
      </c>
      <c r="H107" s="8" t="n">
        <v>2896000</v>
      </c>
      <c r="I107" s="45">
        <f>(F107-E107)/E107</f>
        <v/>
      </c>
      <c r="J107" s="45">
        <f>(G107-F107)/F107</f>
        <v/>
      </c>
      <c r="K107" s="46">
        <f>(H107-G107)/G107</f>
        <v/>
      </c>
    </row>
    <row r="108">
      <c r="D108" s="12" t="inlineStr">
        <is>
          <t>AGN</t>
        </is>
      </c>
      <c r="E108" s="8" t="n">
        <v>4151200</v>
      </c>
      <c r="F108" s="8" t="n">
        <v>1114300</v>
      </c>
      <c r="G108" s="8" t="n">
        <v>5729100</v>
      </c>
      <c r="H108" s="8" t="n">
        <v>5386600</v>
      </c>
      <c r="I108" s="45">
        <f>(F108-E108)/E108</f>
        <v/>
      </c>
      <c r="J108" s="45">
        <f>(G108-F108)/F108</f>
        <v/>
      </c>
      <c r="K108" s="46">
        <f>(H108-G108)/G108</f>
        <v/>
      </c>
    </row>
    <row r="109">
      <c r="D109" s="12" t="inlineStr">
        <is>
          <t>MMC</t>
        </is>
      </c>
      <c r="E109" s="8" t="n">
        <v>1563000</v>
      </c>
      <c r="F109" s="8" t="n">
        <v>1754000</v>
      </c>
      <c r="G109" s="8" t="n">
        <v>1591000</v>
      </c>
      <c r="H109" s="8" t="n">
        <v>2114000</v>
      </c>
      <c r="I109" s="45">
        <f>(F109-E109)/E109</f>
        <v/>
      </c>
      <c r="J109" s="45">
        <f>(G109-F109)/F109</f>
        <v/>
      </c>
      <c r="K109" s="46">
        <f>(H109-G109)/G109</f>
        <v/>
      </c>
    </row>
    <row r="110">
      <c r="D110" s="12" t="inlineStr">
        <is>
          <t>APD</t>
        </is>
      </c>
      <c r="E110" s="8" t="n">
        <v>1307300</v>
      </c>
      <c r="F110" s="8" t="n">
        <v>1753000</v>
      </c>
      <c r="G110" s="8" t="n">
        <v>528200</v>
      </c>
      <c r="H110" s="8" t="n">
        <v>973500</v>
      </c>
      <c r="I110" s="45">
        <f>(F110-E110)/E110</f>
        <v/>
      </c>
      <c r="J110" s="45">
        <f>(G110-F110)/F110</f>
        <v/>
      </c>
      <c r="K110" s="46">
        <f>(H110-G110)/G110</f>
        <v/>
      </c>
    </row>
    <row r="111">
      <c r="D111" s="12" t="inlineStr">
        <is>
          <t>BLK</t>
        </is>
      </c>
      <c r="E111" s="8" t="n">
        <v>2783000</v>
      </c>
      <c r="F111" s="8" t="n">
        <v>2154000</v>
      </c>
      <c r="G111" s="8" t="n">
        <v>3795000</v>
      </c>
      <c r="H111" s="8" t="n">
        <v>2871000</v>
      </c>
      <c r="I111" s="45">
        <f>(F111-E111)/E111</f>
        <v/>
      </c>
      <c r="J111" s="45">
        <f>(G111-F111)/F111</f>
        <v/>
      </c>
      <c r="K111" s="46">
        <f>(H111-G111)/G111</f>
        <v/>
      </c>
    </row>
    <row r="112">
      <c r="D112" s="12" t="inlineStr">
        <is>
          <t>KMB</t>
        </is>
      </c>
      <c r="E112" s="8" t="n">
        <v>1250000</v>
      </c>
      <c r="F112" s="8" t="n">
        <v>2461000</v>
      </c>
      <c r="G112" s="8" t="n">
        <v>2144000</v>
      </c>
      <c r="H112" s="8" t="n">
        <v>2093000</v>
      </c>
      <c r="I112" s="45">
        <f>(F112-E112)/E112</f>
        <v/>
      </c>
      <c r="J112" s="45">
        <f>(G112-F112)/F112</f>
        <v/>
      </c>
      <c r="K112" s="46">
        <f>(H112-G112)/G112</f>
        <v/>
      </c>
    </row>
    <row r="113">
      <c r="D113" s="12" t="inlineStr">
        <is>
          <t>MU</t>
        </is>
      </c>
      <c r="E113" s="8" t="n">
        <v>1187000</v>
      </c>
      <c r="F113" s="8" t="n">
        <v>-2649000</v>
      </c>
      <c r="G113" s="8" t="n">
        <v>3419000</v>
      </c>
      <c r="H113" s="8" t="n">
        <v>8521000</v>
      </c>
      <c r="I113" s="45">
        <f>(F113-E113)/E113</f>
        <v/>
      </c>
      <c r="J113" s="45">
        <f>(G113-F113)/F113</f>
        <v/>
      </c>
      <c r="K113" s="46">
        <f>(H113-G113)/G113</f>
        <v/>
      </c>
    </row>
    <row r="114">
      <c r="D114" s="12" t="inlineStr">
        <is>
          <t>GM</t>
        </is>
      </c>
      <c r="E114" s="8" t="n">
        <v>-10140000</v>
      </c>
      <c r="F114" s="8" t="n">
        <v>-11272000</v>
      </c>
      <c r="G114" s="8" t="n">
        <v>-10305000</v>
      </c>
      <c r="H114" s="8" t="n">
        <v>-10241000</v>
      </c>
      <c r="I114" s="45">
        <f>(F114-E114)/E114</f>
        <v/>
      </c>
      <c r="J114" s="45">
        <f>(G114-F114)/F114</f>
        <v/>
      </c>
      <c r="K114" s="46">
        <f>(H114-G114)/G114</f>
        <v/>
      </c>
    </row>
    <row r="115">
      <c r="D115" s="12" t="inlineStr">
        <is>
          <t>DE</t>
        </is>
      </c>
      <c r="E115" s="8" t="n">
        <v>932700</v>
      </c>
      <c r="F115" s="8" t="n">
        <v>814600</v>
      </c>
      <c r="G115" s="8" t="n">
        <v>-392500</v>
      </c>
      <c r="H115" s="8" t="n">
        <v>-1129800</v>
      </c>
      <c r="I115" s="45">
        <f>(F115-E115)/E115</f>
        <v/>
      </c>
      <c r="J115" s="45">
        <f>(G115-F115)/F115</f>
        <v/>
      </c>
      <c r="K115" s="46">
        <f>(H115-G115)/G115</f>
        <v/>
      </c>
    </row>
    <row r="116">
      <c r="D116" s="12" t="inlineStr">
        <is>
          <t>EQIX</t>
        </is>
      </c>
      <c r="E116" s="8" t="n">
        <v>894823</v>
      </c>
      <c r="F116" s="8" t="n">
        <v>1019353</v>
      </c>
      <c r="G116" s="8" t="n">
        <v>1439233</v>
      </c>
      <c r="H116" s="8" t="n">
        <v>1815426</v>
      </c>
      <c r="I116" s="45">
        <f>(F116-E116)/E116</f>
        <v/>
      </c>
      <c r="J116" s="45">
        <f>(G116-F116)/F116</f>
        <v/>
      </c>
      <c r="K116" s="46">
        <f>(H116-G116)/G116</f>
        <v/>
      </c>
    </row>
    <row r="117">
      <c r="D117" s="12" t="inlineStr">
        <is>
          <t>VRTX</t>
        </is>
      </c>
      <c r="E117" s="8" t="n">
        <v>-410734</v>
      </c>
      <c r="F117" s="8" t="n">
        <v>179540</v>
      </c>
      <c r="G117" s="8" t="n">
        <v>745521</v>
      </c>
      <c r="H117" s="8" t="n">
        <v>1174762</v>
      </c>
      <c r="I117" s="45">
        <f>(F117-E117)/E117</f>
        <v/>
      </c>
      <c r="J117" s="45">
        <f>(G117-F117)/F117</f>
        <v/>
      </c>
      <c r="K117" s="46">
        <f>(H117-G117)/G117</f>
        <v/>
      </c>
    </row>
    <row r="118">
      <c r="D118" s="12" t="inlineStr">
        <is>
          <t>AIG</t>
        </is>
      </c>
      <c r="E118" s="8" t="n">
        <v>2877000</v>
      </c>
      <c r="F118" s="8" t="n">
        <v>3502000</v>
      </c>
      <c r="G118" s="8" t="n">
        <v>-7818000</v>
      </c>
      <c r="H118" s="8" t="n">
        <v>61000</v>
      </c>
      <c r="I118" s="45">
        <f>(F118-E118)/E118</f>
        <v/>
      </c>
      <c r="J118" s="45">
        <f>(G118-F118)/F118</f>
        <v/>
      </c>
      <c r="K118" s="46">
        <f>(H118-G118)/G118</f>
        <v/>
      </c>
    </row>
    <row r="119">
      <c r="D119" s="12" t="inlineStr">
        <is>
          <t>AON</t>
        </is>
      </c>
      <c r="E119" s="8" t="n">
        <v>1809000</v>
      </c>
      <c r="F119" s="8" t="n">
        <v>2170000</v>
      </c>
      <c r="G119" s="8" t="n">
        <v>551000</v>
      </c>
      <c r="H119" s="8" t="n">
        <v>1446000</v>
      </c>
      <c r="I119" s="45">
        <f>(F119-E119)/E119</f>
        <v/>
      </c>
      <c r="J119" s="45">
        <f>(G119-F119)/F119</f>
        <v/>
      </c>
      <c r="K119" s="46">
        <f>(H119-G119)/G119</f>
        <v/>
      </c>
    </row>
    <row r="120">
      <c r="D120" s="12" t="inlineStr">
        <is>
          <t>WM</t>
        </is>
      </c>
      <c r="E120" s="8" t="n">
        <v>1295000</v>
      </c>
      <c r="F120" s="8" t="n">
        <v>1664000</v>
      </c>
      <c r="G120" s="8" t="n">
        <v>1671000</v>
      </c>
      <c r="H120" s="8" t="n">
        <v>1876000</v>
      </c>
      <c r="I120" s="45">
        <f>(F120-E120)/E120</f>
        <v/>
      </c>
      <c r="J120" s="45">
        <f>(G120-F120)/F120</f>
        <v/>
      </c>
      <c r="K120" s="46">
        <f>(H120-G120)/G120</f>
        <v/>
      </c>
    </row>
    <row r="121">
      <c r="D121" s="12" t="inlineStr">
        <is>
          <t>NSC</t>
        </is>
      </c>
      <c r="E121" s="8" t="n">
        <v>523000</v>
      </c>
      <c r="F121" s="8" t="n">
        <v>1147000</v>
      </c>
      <c r="G121" s="8" t="n">
        <v>1530000</v>
      </c>
      <c r="H121" s="8" t="n">
        <v>1775000</v>
      </c>
      <c r="I121" s="45">
        <f>(F121-E121)/E121</f>
        <v/>
      </c>
      <c r="J121" s="45">
        <f>(G121-F121)/F121</f>
        <v/>
      </c>
      <c r="K121" s="46">
        <f>(H121-G121)/G121</f>
        <v/>
      </c>
    </row>
    <row r="122">
      <c r="D122" s="12" t="inlineStr">
        <is>
          <t>SPG</t>
        </is>
      </c>
      <c r="E122" s="8" t="n">
        <v>2003761</v>
      </c>
      <c r="F122" s="8" t="n">
        <v>2574229</v>
      </c>
      <c r="G122" s="8" t="n">
        <v>2861688</v>
      </c>
      <c r="H122" s="8" t="n">
        <v>2968887</v>
      </c>
      <c r="I122" s="45">
        <f>(F122-E122)/E122</f>
        <v/>
      </c>
      <c r="J122" s="45">
        <f>(G122-F122)/F122</f>
        <v/>
      </c>
      <c r="K122" s="46">
        <f>(H122-G122)/G122</f>
        <v/>
      </c>
    </row>
    <row r="123">
      <c r="D123" s="12" t="inlineStr">
        <is>
          <t>EW</t>
        </is>
      </c>
      <c r="E123" s="8" t="n">
        <v>447000</v>
      </c>
      <c r="F123" s="8" t="n">
        <v>528300</v>
      </c>
      <c r="G123" s="8" t="n">
        <v>832600</v>
      </c>
      <c r="H123" s="8" t="n">
        <v>688100</v>
      </c>
      <c r="I123" s="45">
        <f>(F123-E123)/E123</f>
        <v/>
      </c>
      <c r="J123" s="45">
        <f>(G123-F123)/F123</f>
        <v/>
      </c>
      <c r="K123" s="46">
        <f>(H123-G123)/G123</f>
        <v/>
      </c>
    </row>
    <row r="124">
      <c r="D124" s="12" t="inlineStr">
        <is>
          <t>SLB</t>
        </is>
      </c>
      <c r="E124" s="8" t="n">
        <v>5209000</v>
      </c>
      <c r="F124" s="8" t="n">
        <v>3175000</v>
      </c>
      <c r="G124" s="8" t="n">
        <v>1947000</v>
      </c>
      <c r="H124" s="8" t="n">
        <v>2572000</v>
      </c>
      <c r="I124" s="45">
        <f>(F124-E124)/E124</f>
        <v/>
      </c>
      <c r="J124" s="45">
        <f>(G124-F124)/F124</f>
        <v/>
      </c>
      <c r="K124" s="46">
        <f>(H124-G124)/G124</f>
        <v/>
      </c>
    </row>
    <row r="125">
      <c r="D125" s="12" t="inlineStr">
        <is>
          <t>AEP</t>
        </is>
      </c>
      <c r="E125" s="8" t="n">
        <v>213200</v>
      </c>
      <c r="F125" s="8" t="n">
        <v>-498200</v>
      </c>
      <c r="G125" s="8" t="n">
        <v>-1535700</v>
      </c>
      <c r="H125" s="8" t="n">
        <v>-1148400</v>
      </c>
      <c r="I125" s="45">
        <f>(F125-E125)/E125</f>
        <v/>
      </c>
      <c r="J125" s="45">
        <f>(G125-F125)/F125</f>
        <v/>
      </c>
      <c r="K125" s="46">
        <f>(H125-G125)/G125</f>
        <v/>
      </c>
    </row>
    <row r="126">
      <c r="D126" s="12" t="inlineStr">
        <is>
          <t>BIIB</t>
        </is>
      </c>
      <c r="E126" s="8" t="n">
        <v>3276400</v>
      </c>
      <c r="F126" s="8" t="n">
        <v>3971100</v>
      </c>
      <c r="G126" s="8" t="n">
        <v>3683600</v>
      </c>
      <c r="H126" s="8" t="n">
        <v>5417100</v>
      </c>
      <c r="I126" s="45">
        <f>(F126-E126)/E126</f>
        <v/>
      </c>
      <c r="J126" s="45">
        <f>(G126-F126)/F126</f>
        <v/>
      </c>
      <c r="K126" s="46">
        <f>(H126-G126)/G126</f>
        <v/>
      </c>
    </row>
    <row r="127">
      <c r="D127" s="12" t="inlineStr">
        <is>
          <t>ITW</t>
        </is>
      </c>
      <c r="E127" s="8" t="n">
        <v>2015000</v>
      </c>
      <c r="F127" s="8" t="n">
        <v>2029000</v>
      </c>
      <c r="G127" s="8" t="n">
        <v>2105000</v>
      </c>
      <c r="H127" s="8" t="n">
        <v>2447000</v>
      </c>
      <c r="I127" s="45">
        <f>(F127-E127)/E127</f>
        <v/>
      </c>
      <c r="J127" s="45">
        <f>(G127-F127)/F127</f>
        <v/>
      </c>
      <c r="K127" s="46">
        <f>(H127-G127)/G127</f>
        <v/>
      </c>
    </row>
    <row r="128">
      <c r="D128" s="12" t="inlineStr">
        <is>
          <t>PGR</t>
        </is>
      </c>
      <c r="E128" s="8" t="n">
        <v>2162200</v>
      </c>
      <c r="F128" s="8" t="n">
        <v>2517700</v>
      </c>
      <c r="G128" s="8" t="n">
        <v>3601100</v>
      </c>
      <c r="H128" s="8" t="n">
        <v>6018800</v>
      </c>
      <c r="I128" s="45">
        <f>(F128-E128)/E128</f>
        <v/>
      </c>
      <c r="J128" s="45">
        <f>(G128-F128)/F128</f>
        <v/>
      </c>
      <c r="K128" s="46">
        <f>(H128-G128)/G128</f>
        <v/>
      </c>
    </row>
    <row r="129">
      <c r="D129" s="12" t="inlineStr">
        <is>
          <t>EXC</t>
        </is>
      </c>
      <c r="E129" s="8" t="n">
        <v>-8000</v>
      </c>
      <c r="F129" s="8" t="n">
        <v>-92000</v>
      </c>
      <c r="G129" s="8" t="n">
        <v>-104000</v>
      </c>
      <c r="H129" s="8" t="n">
        <v>896000</v>
      </c>
      <c r="I129" s="45">
        <f>(F129-E129)/E129</f>
        <v/>
      </c>
      <c r="J129" s="45">
        <f>(G129-F129)/F129</f>
        <v/>
      </c>
      <c r="K129" s="46">
        <f>(H129-G129)/G129</f>
        <v/>
      </c>
    </row>
    <row r="130">
      <c r="D130" s="12" t="inlineStr">
        <is>
          <t>SCHW</t>
        </is>
      </c>
      <c r="E130" s="8" t="n">
        <v>980000</v>
      </c>
      <c r="F130" s="8" t="n">
        <v>3257000</v>
      </c>
      <c r="G130" s="8" t="n">
        <v>-1239000</v>
      </c>
      <c r="H130" s="8" t="n">
        <v>11886000</v>
      </c>
      <c r="I130" s="45">
        <f>(F130-E130)/E130</f>
        <v/>
      </c>
      <c r="J130" s="45">
        <f>(G130-F130)/F130</f>
        <v/>
      </c>
      <c r="K130" s="46">
        <f>(H130-G130)/G130</f>
        <v/>
      </c>
    </row>
    <row r="131">
      <c r="D131" s="12" t="inlineStr">
        <is>
          <t>EL</t>
        </is>
      </c>
      <c r="E131" s="8" t="n">
        <v>1264000</v>
      </c>
      <c r="F131" s="8" t="n">
        <v>1286000</v>
      </c>
      <c r="G131" s="8" t="n">
        <v>1933000</v>
      </c>
      <c r="H131" s="8" t="n">
        <v>1773000</v>
      </c>
      <c r="I131" s="45">
        <f>(F131-E131)/E131</f>
        <v/>
      </c>
      <c r="J131" s="45">
        <f>(G131-F131)/F131</f>
        <v/>
      </c>
      <c r="K131" s="46">
        <f>(H131-G131)/G131</f>
        <v/>
      </c>
    </row>
    <row r="132">
      <c r="D132" s="12" t="inlineStr">
        <is>
          <t>MET</t>
        </is>
      </c>
      <c r="E132" s="8" t="n">
        <v>14052000</v>
      </c>
      <c r="F132" s="8" t="n">
        <v>14774000</v>
      </c>
      <c r="G132" s="8" t="n">
        <v>12283000</v>
      </c>
      <c r="H132" s="8" t="n">
        <v>11738000</v>
      </c>
      <c r="I132" s="45">
        <f>(F132-E132)/E132</f>
        <v/>
      </c>
      <c r="J132" s="45">
        <f>(G132-F132)/F132</f>
        <v/>
      </c>
      <c r="K132" s="46">
        <f>(H132-G132)/G132</f>
        <v/>
      </c>
    </row>
    <row r="133">
      <c r="D133" s="12" t="inlineStr">
        <is>
          <t>AMAT</t>
        </is>
      </c>
      <c r="E133" s="8" t="n">
        <v>948000</v>
      </c>
      <c r="F133" s="8" t="n">
        <v>2313000</v>
      </c>
      <c r="G133" s="8" t="n">
        <v>3444000</v>
      </c>
      <c r="H133" s="8" t="n">
        <v>3165000</v>
      </c>
      <c r="I133" s="45">
        <f>(F133-E133)/E133</f>
        <v/>
      </c>
      <c r="J133" s="45">
        <f>(G133-F133)/F133</f>
        <v/>
      </c>
      <c r="K133" s="46">
        <f>(H133-G133)/G133</f>
        <v/>
      </c>
    </row>
    <row r="134">
      <c r="D134" s="12" t="inlineStr">
        <is>
          <t>SHW</t>
        </is>
      </c>
      <c r="E134" s="8" t="n">
        <v>1213123</v>
      </c>
      <c r="F134" s="8" t="n">
        <v>1069546</v>
      </c>
      <c r="G134" s="8" t="n">
        <v>1661201</v>
      </c>
      <c r="H134" s="8" t="n">
        <v>1692743</v>
      </c>
      <c r="I134" s="45">
        <f>(F134-E134)/E134</f>
        <v/>
      </c>
      <c r="J134" s="45">
        <f>(G134-F134)/F134</f>
        <v/>
      </c>
      <c r="K134" s="46">
        <f>(H134-G134)/G134</f>
        <v/>
      </c>
    </row>
    <row r="135">
      <c r="D135" s="12" t="inlineStr">
        <is>
          <t>EOG</t>
        </is>
      </c>
      <c r="E135" s="8" t="n">
        <v>-1417998</v>
      </c>
      <c r="F135" s="8" t="n">
        <v>-223732</v>
      </c>
      <c r="G135" s="8" t="n">
        <v>141094</v>
      </c>
      <c r="H135" s="8" t="n">
        <v>1692133</v>
      </c>
      <c r="I135" s="45">
        <f>(F135-E135)/E135</f>
        <v/>
      </c>
      <c r="J135" s="45">
        <f>(G135-F135)/F135</f>
        <v/>
      </c>
      <c r="K135" s="46">
        <f>(H135-G135)/G135</f>
        <v/>
      </c>
    </row>
    <row r="136">
      <c r="D136" s="12" t="inlineStr">
        <is>
          <t>ILMN</t>
        </is>
      </c>
      <c r="E136" s="8" t="n">
        <v>643000</v>
      </c>
      <c r="F136" s="8" t="n">
        <v>519000</v>
      </c>
      <c r="G136" s="8" t="n">
        <v>565000</v>
      </c>
      <c r="H136" s="8" t="n">
        <v>846000</v>
      </c>
      <c r="I136" s="45">
        <f>(F136-E136)/E136</f>
        <v/>
      </c>
      <c r="J136" s="45">
        <f>(G136-F136)/F136</f>
        <v/>
      </c>
      <c r="K136" s="46">
        <f>(H136-G136)/G136</f>
        <v/>
      </c>
    </row>
    <row r="137">
      <c r="D137" s="12" t="inlineStr">
        <is>
          <t>BAX</t>
        </is>
      </c>
      <c r="E137" s="8" t="n">
        <v>860000</v>
      </c>
      <c r="F137" s="8" t="n">
        <v>935000</v>
      </c>
      <c r="G137" s="8" t="n">
        <v>1203000</v>
      </c>
      <c r="H137" s="8" t="n">
        <v>1415000</v>
      </c>
      <c r="I137" s="45">
        <f>(F137-E137)/E137</f>
        <v/>
      </c>
      <c r="J137" s="45">
        <f>(G137-F137)/F137</f>
        <v/>
      </c>
      <c r="K137" s="46">
        <f>(H137-G137)/G137</f>
        <v/>
      </c>
    </row>
    <row r="138">
      <c r="D138" s="12" t="inlineStr">
        <is>
          <t>PSX</t>
        </is>
      </c>
      <c r="E138" s="8" t="n">
        <v>1561000</v>
      </c>
      <c r="F138" s="8" t="n">
        <v>119000</v>
      </c>
      <c r="G138" s="8" t="n">
        <v>1816000</v>
      </c>
      <c r="H138" s="8" t="n">
        <v>4934000</v>
      </c>
      <c r="I138" s="45">
        <f>(F138-E138)/E138</f>
        <v/>
      </c>
      <c r="J138" s="45">
        <f>(G138-F138)/F138</f>
        <v/>
      </c>
      <c r="K138" s="46">
        <f>(H138-G138)/G138</f>
        <v/>
      </c>
    </row>
    <row r="139">
      <c r="D139" s="12" t="inlineStr">
        <is>
          <t>COF</t>
        </is>
      </c>
      <c r="E139" s="8" t="n">
        <v>9595000</v>
      </c>
      <c r="F139" s="8" t="n">
        <v>11077000</v>
      </c>
      <c r="G139" s="8" t="n">
        <v>13164000</v>
      </c>
      <c r="H139" s="8" t="n">
        <v>12104000</v>
      </c>
      <c r="I139" s="45">
        <f>(F139-E139)/E139</f>
        <v/>
      </c>
      <c r="J139" s="45">
        <f>(G139-F139)/F139</f>
        <v/>
      </c>
      <c r="K139" s="46">
        <f>(H139-G139)/G139</f>
        <v/>
      </c>
    </row>
    <row r="140">
      <c r="D140" s="12" t="inlineStr">
        <is>
          <t>PSA</t>
        </is>
      </c>
      <c r="E140" s="8" t="n">
        <v>1748279</v>
      </c>
      <c r="F140" s="8" t="n">
        <v>1945336</v>
      </c>
      <c r="G140" s="8" t="n">
        <v>1975679</v>
      </c>
      <c r="H140" s="8" t="n">
        <v>2061503</v>
      </c>
      <c r="I140" s="45">
        <f>(F140-E140)/E140</f>
        <v/>
      </c>
      <c r="J140" s="45">
        <f>(G140-F140)/F140</f>
        <v/>
      </c>
      <c r="K140" s="46">
        <f>(H140-G140)/G140</f>
        <v/>
      </c>
    </row>
    <row r="141">
      <c r="D141" s="12" t="inlineStr">
        <is>
          <t>HUM</t>
        </is>
      </c>
      <c r="E141" s="8" t="n">
        <v>345000</v>
      </c>
      <c r="F141" s="8" t="n">
        <v>1409000</v>
      </c>
      <c r="G141" s="8" t="n">
        <v>3527000</v>
      </c>
      <c r="H141" s="8" t="n">
        <v>1561000</v>
      </c>
      <c r="I141" s="45">
        <f>(F141-E141)/E141</f>
        <v/>
      </c>
      <c r="J141" s="45">
        <f>(G141-F141)/F141</f>
        <v/>
      </c>
      <c r="K141" s="46">
        <f>(H141-G141)/G141</f>
        <v/>
      </c>
    </row>
    <row r="142">
      <c r="D142" s="12" t="inlineStr">
        <is>
          <t>ADI</t>
        </is>
      </c>
      <c r="E142" s="8" t="n">
        <v>753838</v>
      </c>
      <c r="F142" s="8" t="n">
        <v>1163951</v>
      </c>
      <c r="G142" s="8" t="n">
        <v>950267</v>
      </c>
      <c r="H142" s="8" t="n">
        <v>2187485</v>
      </c>
      <c r="I142" s="45">
        <f>(F142-E142)/E142</f>
        <v/>
      </c>
      <c r="J142" s="45">
        <f>(G142-F142)/F142</f>
        <v/>
      </c>
      <c r="K142" s="46">
        <f>(H142-G142)/G142</f>
        <v/>
      </c>
    </row>
    <row r="143">
      <c r="D143" s="12" t="inlineStr">
        <is>
          <t>WBA</t>
        </is>
      </c>
      <c r="E143" s="8" t="n">
        <v>4413000</v>
      </c>
      <c r="F143" s="8" t="n">
        <v>6522000</v>
      </c>
      <c r="G143" s="8" t="n">
        <v>5900000</v>
      </c>
      <c r="H143" s="8" t="n">
        <v>6898000</v>
      </c>
      <c r="I143" s="45">
        <f>(F143-E143)/E143</f>
        <v/>
      </c>
      <c r="J143" s="45">
        <f>(G143-F143)/F143</f>
        <v/>
      </c>
      <c r="K143" s="46">
        <f>(H143-G143)/G143</f>
        <v/>
      </c>
    </row>
    <row r="144">
      <c r="D144" s="12" t="inlineStr">
        <is>
          <t>KMI</t>
        </is>
      </c>
      <c r="E144" s="8" t="n">
        <v>-368000</v>
      </c>
      <c r="F144" s="8" t="n">
        <v>1543000</v>
      </c>
      <c r="G144" s="8" t="n">
        <v>1409000</v>
      </c>
      <c r="H144" s="8" t="n">
        <v>2100000</v>
      </c>
      <c r="I144" s="45">
        <f>(F144-E144)/E144</f>
        <v/>
      </c>
      <c r="J144" s="45">
        <f>(G144-F144)/F144</f>
        <v/>
      </c>
      <c r="K144" s="46">
        <f>(H144-G144)/G144</f>
        <v/>
      </c>
    </row>
    <row r="145">
      <c r="D145" s="12" t="inlineStr">
        <is>
          <t>SRE</t>
        </is>
      </c>
      <c r="E145" s="8" t="n">
        <v>-282000</v>
      </c>
      <c r="F145" s="8" t="n">
        <v>-1924000</v>
      </c>
      <c r="G145" s="8" t="n">
        <v>-324000</v>
      </c>
      <c r="H145" s="8" t="n">
        <v>-342000</v>
      </c>
      <c r="I145" s="45">
        <f>(F145-E145)/E145</f>
        <v/>
      </c>
      <c r="J145" s="45">
        <f>(G145-F145)/F145</f>
        <v/>
      </c>
      <c r="K145" s="46">
        <f>(H145-G145)/G145</f>
        <v/>
      </c>
    </row>
    <row r="146">
      <c r="D146" s="12" t="inlineStr">
        <is>
          <t>ROST</t>
        </is>
      </c>
      <c r="E146" s="8" t="n">
        <v>959292</v>
      </c>
      <c r="F146" s="8" t="n">
        <v>1261021</v>
      </c>
      <c r="G146" s="8" t="n">
        <v>1309915</v>
      </c>
      <c r="H146" s="8" t="n">
        <v>1652779</v>
      </c>
      <c r="I146" s="45">
        <f>(F146-E146)/E146</f>
        <v/>
      </c>
      <c r="J146" s="45">
        <f>(G146-F146)/F146</f>
        <v/>
      </c>
      <c r="K146" s="46">
        <f>(H146-G146)/G146</f>
        <v/>
      </c>
    </row>
    <row r="147">
      <c r="D147" s="12" t="inlineStr">
        <is>
          <t>TRV</t>
        </is>
      </c>
      <c r="E147" s="8" t="n">
        <v>3434000</v>
      </c>
      <c r="F147" s="8" t="n">
        <v>4469000</v>
      </c>
      <c r="G147" s="8" t="n">
        <v>4148000</v>
      </c>
      <c r="H147" s="8" t="n">
        <v>4380000</v>
      </c>
      <c r="I147" s="45">
        <f>(F147-E147)/E147</f>
        <v/>
      </c>
      <c r="J147" s="45">
        <f>(G147-F147)/F147</f>
        <v/>
      </c>
      <c r="K147" s="46">
        <f>(H147-G147)/G147</f>
        <v/>
      </c>
    </row>
    <row r="148">
      <c r="D148" s="12" t="inlineStr">
        <is>
          <t>OXY</t>
        </is>
      </c>
      <c r="E148" s="8" t="n">
        <v>-2030000</v>
      </c>
      <c r="F148" s="8" t="n">
        <v>-1377000</v>
      </c>
      <c r="G148" s="8" t="n">
        <v>198000</v>
      </c>
      <c r="H148" s="8" t="n">
        <v>1766000</v>
      </c>
      <c r="I148" s="45">
        <f>(F148-E148)/E148</f>
        <v/>
      </c>
      <c r="J148" s="45">
        <f>(G148-F148)/F148</f>
        <v/>
      </c>
      <c r="K148" s="46">
        <f>(H148-G148)/G148</f>
        <v/>
      </c>
    </row>
    <row r="149">
      <c r="D149" s="12" t="inlineStr">
        <is>
          <t>FDX</t>
        </is>
      </c>
      <c r="E149" s="8" t="n">
        <v>890000</v>
      </c>
      <c r="F149" s="8" t="n">
        <v>-186000</v>
      </c>
      <c r="G149" s="8" t="n">
        <v>-989000</v>
      </c>
      <c r="H149" s="8" t="n">
        <v>123000</v>
      </c>
      <c r="I149" s="45">
        <f>(F149-E149)/E149</f>
        <v/>
      </c>
      <c r="J149" s="45">
        <f>(G149-F149)/F149</f>
        <v/>
      </c>
      <c r="K149" s="46">
        <f>(H149-G149)/G149</f>
        <v/>
      </c>
    </row>
    <row r="150">
      <c r="D150" s="12" t="inlineStr">
        <is>
          <t>ATVI</t>
        </is>
      </c>
      <c r="E150" s="8" t="n">
        <v>1148000</v>
      </c>
      <c r="F150" s="8" t="n">
        <v>2019000</v>
      </c>
      <c r="G150" s="8" t="n">
        <v>2058000</v>
      </c>
      <c r="H150" s="8" t="n">
        <v>1659000</v>
      </c>
      <c r="I150" s="45">
        <f>(F150-E150)/E150</f>
        <v/>
      </c>
      <c r="J150" s="45">
        <f>(G150-F150)/F150</f>
        <v/>
      </c>
      <c r="K150" s="46">
        <f>(H150-G150)/G150</f>
        <v/>
      </c>
    </row>
    <row r="151">
      <c r="D151" s="12" t="inlineStr">
        <is>
          <t>BK</t>
        </is>
      </c>
      <c r="E151" s="8" t="n">
        <v>3526000</v>
      </c>
      <c r="F151" s="8" t="n">
        <v>5442000</v>
      </c>
      <c r="G151" s="8" t="n">
        <v>3470000</v>
      </c>
      <c r="H151" s="8" t="n">
        <v>4888000</v>
      </c>
      <c r="I151" s="45">
        <f>(F151-E151)/E151</f>
        <v/>
      </c>
      <c r="J151" s="45">
        <f>(G151-F151)/F151</f>
        <v/>
      </c>
      <c r="K151" s="46">
        <f>(H151-G151)/G151</f>
        <v/>
      </c>
    </row>
    <row r="152">
      <c r="D152" s="12" t="inlineStr">
        <is>
          <t>AFL</t>
        </is>
      </c>
      <c r="E152" s="8" t="n">
        <v>6776000</v>
      </c>
      <c r="F152" s="8" t="n">
        <v>5987000</v>
      </c>
      <c r="G152" s="8" t="n">
        <v>6128000</v>
      </c>
      <c r="H152" s="8" t="n">
        <v>6014000</v>
      </c>
      <c r="I152" s="45">
        <f>(F152-E152)/E152</f>
        <v/>
      </c>
      <c r="J152" s="45">
        <f>(G152-F152)/F152</f>
        <v/>
      </c>
      <c r="K152" s="46">
        <f>(H152-G152)/G152</f>
        <v/>
      </c>
    </row>
    <row r="153">
      <c r="D153" s="12" t="inlineStr">
        <is>
          <t>WELL</t>
        </is>
      </c>
      <c r="E153" s="8" t="n">
        <v>1382599</v>
      </c>
      <c r="F153" s="8" t="n">
        <v>1639064</v>
      </c>
      <c r="G153" s="8" t="n">
        <v>1434177</v>
      </c>
      <c r="H153" s="8" t="n">
        <v>1583944</v>
      </c>
      <c r="I153" s="45">
        <f>(F153-E153)/E153</f>
        <v/>
      </c>
      <c r="J153" s="45">
        <f>(G153-F153)/F153</f>
        <v/>
      </c>
      <c r="K153" s="46">
        <f>(H153-G153)/G153</f>
        <v/>
      </c>
    </row>
    <row r="154">
      <c r="D154" s="12" t="inlineStr">
        <is>
          <t>DG</t>
        </is>
      </c>
      <c r="E154" s="8" t="n">
        <v>886880</v>
      </c>
      <c r="F154" s="8" t="n">
        <v>1044745</v>
      </c>
      <c r="G154" s="8" t="n">
        <v>1155652</v>
      </c>
      <c r="H154" s="8" t="n">
        <v>1409170</v>
      </c>
      <c r="I154" s="45">
        <f>(F154-E154)/E154</f>
        <v/>
      </c>
      <c r="J154" s="45">
        <f>(G154-F154)/F154</f>
        <v/>
      </c>
      <c r="K154" s="46">
        <f>(H154-G154)/G154</f>
        <v/>
      </c>
    </row>
    <row r="155">
      <c r="D155" s="12" t="inlineStr">
        <is>
          <t>YUM</t>
        </is>
      </c>
      <c r="E155" s="8" t="n">
        <v>818000</v>
      </c>
      <c r="F155" s="8" t="n">
        <v>821000</v>
      </c>
      <c r="G155" s="8" t="n">
        <v>712000</v>
      </c>
      <c r="H155" s="8" t="n">
        <v>942000</v>
      </c>
      <c r="I155" s="45">
        <f>(F155-E155)/E155</f>
        <v/>
      </c>
      <c r="J155" s="45">
        <f>(G155-F155)/F155</f>
        <v/>
      </c>
      <c r="K155" s="46">
        <f>(H155-G155)/G155</f>
        <v/>
      </c>
    </row>
    <row r="156">
      <c r="D156" s="12" t="inlineStr">
        <is>
          <t>BBT</t>
        </is>
      </c>
      <c r="E156" s="8" t="n">
        <v>3131000</v>
      </c>
      <c r="F156" s="8" t="n">
        <v>3115000</v>
      </c>
      <c r="G156" s="8" t="n">
        <v>4635000</v>
      </c>
      <c r="H156" s="8" t="n">
        <v>4349000</v>
      </c>
      <c r="I156" s="45">
        <f>(F156-E156)/E156</f>
        <v/>
      </c>
      <c r="J156" s="45">
        <f>(G156-F156)/F156</f>
        <v/>
      </c>
      <c r="K156" s="46">
        <f>(H156-G156)/G156</f>
        <v/>
      </c>
    </row>
    <row r="157">
      <c r="D157" s="12" t="inlineStr">
        <is>
          <t>MCO</t>
        </is>
      </c>
      <c r="E157" s="8" t="n">
        <v>1109100</v>
      </c>
      <c r="F157" s="8" t="n">
        <v>1144000</v>
      </c>
      <c r="G157" s="8" t="n">
        <v>664000</v>
      </c>
      <c r="H157" s="8" t="n">
        <v>1370700</v>
      </c>
      <c r="I157" s="45">
        <f>(F157-E157)/E157</f>
        <v/>
      </c>
      <c r="J157" s="45">
        <f>(G157-F157)/F157</f>
        <v/>
      </c>
      <c r="K157" s="46">
        <f>(H157-G157)/G157</f>
        <v/>
      </c>
    </row>
    <row r="158">
      <c r="D158" s="12" t="inlineStr">
        <is>
          <t>MAR</t>
        </is>
      </c>
      <c r="E158" s="8" t="n">
        <v>1210000</v>
      </c>
      <c r="F158" s="8" t="n">
        <v>1420000</v>
      </c>
      <c r="G158" s="8" t="n">
        <v>1987000</v>
      </c>
      <c r="H158" s="8" t="n">
        <v>1801000</v>
      </c>
      <c r="I158" s="45">
        <f>(F158-E158)/E158</f>
        <v/>
      </c>
      <c r="J158" s="45">
        <f>(G158-F158)/F158</f>
        <v/>
      </c>
      <c r="K158" s="46">
        <f>(H158-G158)/G158</f>
        <v/>
      </c>
    </row>
    <row r="159">
      <c r="D159" s="12" t="inlineStr">
        <is>
          <t>F</t>
        </is>
      </c>
      <c r="E159" s="8" t="n">
        <v>9030000</v>
      </c>
      <c r="F159" s="8" t="n">
        <v>12858000</v>
      </c>
      <c r="G159" s="8" t="n">
        <v>11047000</v>
      </c>
      <c r="H159" s="8" t="n">
        <v>7237000</v>
      </c>
      <c r="I159" s="45">
        <f>(F159-E159)/E159</f>
        <v/>
      </c>
      <c r="J159" s="45">
        <f>(G159-F159)/F159</f>
        <v/>
      </c>
      <c r="K159" s="46">
        <f>(H159-G159)/G159</f>
        <v/>
      </c>
    </row>
    <row r="160">
      <c r="D160" s="12" t="inlineStr">
        <is>
          <t>SYY</t>
        </is>
      </c>
      <c r="E160" s="8" t="n">
        <v>1461001</v>
      </c>
      <c r="F160" s="8" t="n">
        <v>1546189</v>
      </c>
      <c r="G160" s="8" t="n">
        <v>1467565</v>
      </c>
      <c r="H160" s="8" t="n">
        <v>1718816</v>
      </c>
      <c r="I160" s="45">
        <f>(F160-E160)/E160</f>
        <v/>
      </c>
      <c r="J160" s="45">
        <f>(G160-F160)/F160</f>
        <v/>
      </c>
      <c r="K160" s="46">
        <f>(H160-G160)/G160</f>
        <v/>
      </c>
    </row>
    <row r="161">
      <c r="D161" s="12" t="inlineStr">
        <is>
          <t>CTSH</t>
        </is>
      </c>
      <c r="E161" s="8" t="n">
        <v>1914000</v>
      </c>
      <c r="F161" s="8" t="n">
        <v>1345000</v>
      </c>
      <c r="G161" s="8" t="n">
        <v>2123000</v>
      </c>
      <c r="H161" s="8" t="n">
        <v>2215000</v>
      </c>
      <c r="I161" s="45">
        <f>(F161-E161)/E161</f>
        <v/>
      </c>
      <c r="J161" s="45">
        <f>(G161-F161)/F161</f>
        <v/>
      </c>
      <c r="K161" s="46">
        <f>(H161-G161)/G161</f>
        <v/>
      </c>
    </row>
    <row r="162">
      <c r="D162" s="12" t="inlineStr">
        <is>
          <t>ALL</t>
        </is>
      </c>
      <c r="E162" s="8" t="n">
        <v>3313000</v>
      </c>
      <c r="F162" s="8" t="n">
        <v>3680000</v>
      </c>
      <c r="G162" s="8" t="n">
        <v>4015000</v>
      </c>
      <c r="H162" s="8" t="n">
        <v>4898000</v>
      </c>
      <c r="I162" s="45">
        <f>(F162-E162)/E162</f>
        <v/>
      </c>
      <c r="J162" s="45">
        <f>(G162-F162)/F162</f>
        <v/>
      </c>
      <c r="K162" s="46">
        <f>(H162-G162)/G162</f>
        <v/>
      </c>
    </row>
    <row r="163">
      <c r="D163" s="12" t="inlineStr">
        <is>
          <t>DAL</t>
        </is>
      </c>
      <c r="E163" s="8" t="n">
        <v>4982000</v>
      </c>
      <c r="F163" s="8" t="n">
        <v>3824000</v>
      </c>
      <c r="G163" s="8" t="n">
        <v>1132000</v>
      </c>
      <c r="H163" s="8" t="n">
        <v>1846000</v>
      </c>
      <c r="I163" s="45">
        <f>(F163-E163)/E163</f>
        <v/>
      </c>
      <c r="J163" s="45">
        <f>(G163-F163)/F163</f>
        <v/>
      </c>
      <c r="K163" s="46">
        <f>(H163-G163)/G163</f>
        <v/>
      </c>
    </row>
    <row r="164">
      <c r="D164" s="12" t="inlineStr">
        <is>
          <t>STZ</t>
        </is>
      </c>
      <c r="E164" s="8" t="n">
        <v>522400</v>
      </c>
      <c r="F164" s="8" t="n">
        <v>788600</v>
      </c>
      <c r="G164" s="8" t="n">
        <v>873800</v>
      </c>
      <c r="H164" s="8" t="n">
        <v>1360000</v>
      </c>
      <c r="I164" s="45">
        <f>(F164-E164)/E164</f>
        <v/>
      </c>
      <c r="J164" s="45">
        <f>(G164-F164)/F164</f>
        <v/>
      </c>
      <c r="K164" s="46">
        <f>(H164-G164)/G164</f>
        <v/>
      </c>
    </row>
    <row r="165">
      <c r="D165" s="12" t="inlineStr">
        <is>
          <t>JCI</t>
        </is>
      </c>
      <c r="E165" s="8" t="n">
        <v>465000</v>
      </c>
      <c r="F165" s="8" t="n">
        <v>659000</v>
      </c>
      <c r="G165" s="8" t="n">
        <v>-1312000</v>
      </c>
      <c r="H165" s="8" t="n">
        <v>1483000</v>
      </c>
      <c r="I165" s="45">
        <f>(F165-E165)/E165</f>
        <v/>
      </c>
      <c r="J165" s="45">
        <f>(G165-F165)/F165</f>
        <v/>
      </c>
      <c r="K165" s="46">
        <f>(H165-G165)/G165</f>
        <v/>
      </c>
    </row>
    <row r="166">
      <c r="D166" s="12" t="inlineStr">
        <is>
          <t>ETN</t>
        </is>
      </c>
      <c r="E166" s="8" t="n">
        <v>1903000</v>
      </c>
      <c r="F166" s="8" t="n">
        <v>2073000</v>
      </c>
      <c r="G166" s="8" t="n">
        <v>2146000</v>
      </c>
      <c r="H166" s="8" t="n">
        <v>2093000</v>
      </c>
      <c r="I166" s="45">
        <f>(F166-E166)/E166</f>
        <v/>
      </c>
      <c r="J166" s="45">
        <f>(G166-F166)/F166</f>
        <v/>
      </c>
      <c r="K166" s="46">
        <f>(H166-G166)/G166</f>
        <v/>
      </c>
    </row>
    <row r="167">
      <c r="D167" s="12" t="inlineStr">
        <is>
          <t>XEL</t>
        </is>
      </c>
      <c r="E167" s="8" t="n">
        <v>-589000</v>
      </c>
      <c r="F167" s="8" t="n">
        <v>-143000</v>
      </c>
      <c r="G167" s="8" t="n">
        <v>-118000</v>
      </c>
      <c r="H167" s="8" t="n">
        <v>-835000</v>
      </c>
      <c r="I167" s="45">
        <f>(F167-E167)/E167</f>
        <v/>
      </c>
      <c r="J167" s="45">
        <f>(G167-F167)/F167</f>
        <v/>
      </c>
      <c r="K167" s="46">
        <f>(H167-G167)/G167</f>
        <v/>
      </c>
    </row>
    <row r="168">
      <c r="D168" s="12" t="inlineStr">
        <is>
          <t>PRU</t>
        </is>
      </c>
      <c r="E168" s="8" t="n">
        <v>13942000</v>
      </c>
      <c r="F168" s="8" t="n">
        <v>14876000</v>
      </c>
      <c r="G168" s="8" t="n">
        <v>13460000</v>
      </c>
      <c r="H168" s="8" t="n">
        <v>21664000</v>
      </c>
      <c r="I168" s="45">
        <f>(F168-E168)/E168</f>
        <v/>
      </c>
      <c r="J168" s="45">
        <f>(G168-F168)/F168</f>
        <v/>
      </c>
      <c r="K168" s="46">
        <f>(H168-G168)/G168</f>
        <v/>
      </c>
    </row>
    <row r="169">
      <c r="D169" s="12" t="inlineStr">
        <is>
          <t>GIS</t>
        </is>
      </c>
      <c r="E169" s="8" t="n">
        <v>2034900</v>
      </c>
      <c r="F169" s="8" t="n">
        <v>1730800</v>
      </c>
      <c r="G169" s="8" t="n">
        <v>2218300</v>
      </c>
      <c r="H169" s="8" t="n">
        <v>2269400</v>
      </c>
      <c r="I169" s="45">
        <f>(F169-E169)/E169</f>
        <v/>
      </c>
      <c r="J169" s="45">
        <f>(G169-F169)/F169</f>
        <v/>
      </c>
      <c r="K169" s="46">
        <f>(H169-G169)/G169</f>
        <v/>
      </c>
    </row>
    <row r="170">
      <c r="D170" s="12" t="inlineStr">
        <is>
          <t>NEM</t>
        </is>
      </c>
      <c r="E170" s="8" t="n">
        <v>834000</v>
      </c>
      <c r="F170" s="8" t="n">
        <v>1150000</v>
      </c>
      <c r="G170" s="8" t="n">
        <v>1258000</v>
      </c>
      <c r="H170" s="8" t="n">
        <v>795000</v>
      </c>
      <c r="I170" s="45">
        <f>(F170-E170)/E170</f>
        <v/>
      </c>
      <c r="J170" s="45">
        <f>(G170-F170)/F170</f>
        <v/>
      </c>
      <c r="K170" s="46">
        <f>(H170-G170)/G170</f>
        <v/>
      </c>
    </row>
    <row r="171">
      <c r="D171" s="12" t="inlineStr">
        <is>
          <t>HCA</t>
        </is>
      </c>
      <c r="E171" s="8" t="n">
        <v>2359000</v>
      </c>
      <c r="F171" s="8" t="n">
        <v>2893000</v>
      </c>
      <c r="G171" s="8" t="n">
        <v>2411000</v>
      </c>
      <c r="H171" s="8" t="n">
        <v>3188000</v>
      </c>
      <c r="I171" s="45">
        <f>(F171-E171)/E171</f>
        <v/>
      </c>
      <c r="J171" s="45">
        <f>(G171-F171)/F171</f>
        <v/>
      </c>
      <c r="K171" s="46">
        <f>(H171-G171)/G171</f>
        <v/>
      </c>
    </row>
    <row r="172">
      <c r="D172" s="12" t="inlineStr">
        <is>
          <t>EBAY</t>
        </is>
      </c>
      <c r="E172" s="8" t="n">
        <v>3365000</v>
      </c>
      <c r="F172" s="8" t="n">
        <v>2200000</v>
      </c>
      <c r="G172" s="8" t="n">
        <v>2480000</v>
      </c>
      <c r="H172" s="8" t="n">
        <v>2007000</v>
      </c>
      <c r="I172" s="45">
        <f>(F172-E172)/E172</f>
        <v/>
      </c>
      <c r="J172" s="45">
        <f>(G172-F172)/F172</f>
        <v/>
      </c>
      <c r="K172" s="46">
        <f>(H172-G172)/G172</f>
        <v/>
      </c>
    </row>
    <row r="173">
      <c r="D173" s="12" t="inlineStr">
        <is>
          <t>ADSK</t>
        </is>
      </c>
      <c r="E173" s="8" t="n">
        <v>341600</v>
      </c>
      <c r="F173" s="8" t="n">
        <v>93700</v>
      </c>
      <c r="G173" s="8" t="n">
        <v>-49800</v>
      </c>
      <c r="H173" s="8" t="n">
        <v>310100</v>
      </c>
      <c r="I173" s="45">
        <f>(F173-E173)/E173</f>
        <v/>
      </c>
      <c r="J173" s="45">
        <f>(G173-F173)/F173</f>
        <v/>
      </c>
      <c r="K173" s="46">
        <f>(H173-G173)/G173</f>
        <v/>
      </c>
    </row>
    <row r="174">
      <c r="D174" s="12" t="inlineStr">
        <is>
          <t>VLO</t>
        </is>
      </c>
      <c r="E174" s="8" t="n">
        <v>3993000</v>
      </c>
      <c r="F174" s="8" t="n">
        <v>3542000</v>
      </c>
      <c r="G174" s="8" t="n">
        <v>4031000</v>
      </c>
      <c r="H174" s="8" t="n">
        <v>2087000</v>
      </c>
      <c r="I174" s="45">
        <f>(F174-E174)/E174</f>
        <v/>
      </c>
      <c r="J174" s="45">
        <f>(G174-F174)/F174</f>
        <v/>
      </c>
      <c r="K174" s="46">
        <f>(H174-G174)/G174</f>
        <v/>
      </c>
    </row>
    <row r="175">
      <c r="D175" s="12" t="inlineStr">
        <is>
          <t>EQR</t>
        </is>
      </c>
      <c r="E175" s="8" t="n">
        <v>1352637</v>
      </c>
      <c r="F175" s="8" t="n">
        <v>1208392</v>
      </c>
      <c r="G175" s="8" t="n">
        <v>1264282</v>
      </c>
      <c r="H175" s="8" t="n">
        <v>1351790</v>
      </c>
      <c r="I175" s="45">
        <f>(F175-E175)/E175</f>
        <v/>
      </c>
      <c r="J175" s="45">
        <f>(G175-F175)/F175</f>
        <v/>
      </c>
      <c r="K175" s="46">
        <f>(H175-G175)/G175</f>
        <v/>
      </c>
    </row>
    <row r="176">
      <c r="D176" s="12" t="inlineStr">
        <is>
          <t>MPC</t>
        </is>
      </c>
      <c r="E176" s="8" t="n">
        <v>2075000</v>
      </c>
      <c r="F176" s="8" t="n">
        <v>1125000</v>
      </c>
      <c r="G176" s="8" t="n">
        <v>3880000</v>
      </c>
      <c r="H176" s="8" t="n">
        <v>2580000</v>
      </c>
      <c r="I176" s="45">
        <f>(F176-E176)/E176</f>
        <v/>
      </c>
      <c r="J176" s="45">
        <f>(G176-F176)/F176</f>
        <v/>
      </c>
      <c r="K176" s="46">
        <f>(H176-G176)/G176</f>
        <v/>
      </c>
    </row>
    <row r="177">
      <c r="D177" s="12" t="inlineStr">
        <is>
          <t>TEL</t>
        </is>
      </c>
      <c r="E177" s="8" t="n">
        <v>1330000</v>
      </c>
      <c r="F177" s="8" t="n">
        <v>1344000</v>
      </c>
      <c r="G177" s="8" t="n">
        <v>1642000</v>
      </c>
      <c r="H177" s="8" t="n">
        <v>1516000</v>
      </c>
      <c r="I177" s="45">
        <f>(F177-E177)/E177</f>
        <v/>
      </c>
      <c r="J177" s="45">
        <f>(G177-F177)/F177</f>
        <v/>
      </c>
      <c r="K177" s="46">
        <f>(H177-G177)/G177</f>
        <v/>
      </c>
    </row>
    <row r="178">
      <c r="D178" s="12" t="inlineStr">
        <is>
          <t>LRCX</t>
        </is>
      </c>
      <c r="E178" s="8" t="n">
        <v>1174947</v>
      </c>
      <c r="F178" s="8" t="n">
        <v>1871863</v>
      </c>
      <c r="G178" s="8" t="n">
        <v>2382278</v>
      </c>
      <c r="H178" s="8" t="n">
        <v>2872522</v>
      </c>
      <c r="I178" s="45">
        <f>(F178-E178)/E178</f>
        <v/>
      </c>
      <c r="J178" s="45">
        <f>(G178-F178)/F178</f>
        <v/>
      </c>
      <c r="K178" s="46">
        <f>(H178-G178)/G178</f>
        <v/>
      </c>
    </row>
    <row r="179">
      <c r="D179" s="12" t="inlineStr">
        <is>
          <t>TWTR</t>
        </is>
      </c>
      <c r="E179" s="8" t="n">
        <v>35786</v>
      </c>
      <c r="F179" s="8" t="n">
        <v>544398</v>
      </c>
      <c r="G179" s="8" t="n">
        <v>670467</v>
      </c>
      <c r="H179" s="8" t="n">
        <v>855777</v>
      </c>
      <c r="I179" s="45">
        <f>(F179-E179)/E179</f>
        <v/>
      </c>
      <c r="J179" s="45">
        <f>(G179-F179)/F179</f>
        <v/>
      </c>
      <c r="K179" s="46">
        <f>(H179-G179)/G179</f>
        <v/>
      </c>
    </row>
    <row r="180">
      <c r="D180" s="12" t="inlineStr">
        <is>
          <t>ORLY</t>
        </is>
      </c>
      <c r="E180" s="8" t="n">
        <v>931468</v>
      </c>
      <c r="F180" s="8" t="n">
        <v>1034369</v>
      </c>
      <c r="G180" s="8" t="n">
        <v>937747</v>
      </c>
      <c r="H180" s="8" t="n">
        <v>1223287</v>
      </c>
      <c r="I180" s="45">
        <f>(F180-E180)/E180</f>
        <v/>
      </c>
      <c r="J180" s="45">
        <f>(G180-F180)/F180</f>
        <v/>
      </c>
      <c r="K180" s="46">
        <f>(H180-G180)/G180</f>
        <v/>
      </c>
    </row>
    <row r="181">
      <c r="D181" s="12" t="inlineStr">
        <is>
          <t>SBAC</t>
        </is>
      </c>
      <c r="E181" s="8" t="n">
        <v>514323</v>
      </c>
      <c r="F181" s="8" t="n">
        <v>602543</v>
      </c>
      <c r="G181" s="8" t="n">
        <v>671426</v>
      </c>
      <c r="H181" s="8" t="n">
        <v>700806</v>
      </c>
      <c r="I181" s="45">
        <f>(F181-E181)/E181</f>
        <v/>
      </c>
      <c r="J181" s="45">
        <f>(G181-F181)/F181</f>
        <v/>
      </c>
      <c r="K181" s="46">
        <f>(H181-G181)/G181</f>
        <v/>
      </c>
    </row>
    <row r="182">
      <c r="D182" s="12" t="inlineStr">
        <is>
          <t>PEG</t>
        </is>
      </c>
      <c r="E182" s="8" t="n">
        <v>56000</v>
      </c>
      <c r="F182" s="8" t="n">
        <v>-886000</v>
      </c>
      <c r="G182" s="8" t="n">
        <v>-930000</v>
      </c>
      <c r="H182" s="8" t="n">
        <v>-999000</v>
      </c>
      <c r="I182" s="45">
        <f>(F182-E182)/E182</f>
        <v/>
      </c>
      <c r="J182" s="45">
        <f>(G182-F182)/F182</f>
        <v/>
      </c>
      <c r="K182" s="46">
        <f>(H182-G182)/G182</f>
        <v/>
      </c>
    </row>
    <row r="183">
      <c r="D183" s="12" t="inlineStr">
        <is>
          <t>WEC</t>
        </is>
      </c>
      <c r="E183" s="8" t="n">
        <v>27400</v>
      </c>
      <c r="F183" s="8" t="n">
        <v>680100</v>
      </c>
      <c r="G183" s="8" t="n">
        <v>119100</v>
      </c>
      <c r="H183" s="8" t="n">
        <v>329800</v>
      </c>
      <c r="I183" s="45">
        <f>(F183-E183)/E183</f>
        <v/>
      </c>
      <c r="J183" s="45">
        <f>(G183-F183)/F183</f>
        <v/>
      </c>
      <c r="K183" s="46">
        <f>(H183-G183)/G183</f>
        <v/>
      </c>
    </row>
    <row r="184">
      <c r="D184" s="12" t="inlineStr">
        <is>
          <t>MSI</t>
        </is>
      </c>
      <c r="E184" s="8" t="n">
        <v>846000</v>
      </c>
      <c r="F184" s="8" t="n">
        <v>894000</v>
      </c>
      <c r="G184" s="8" t="n">
        <v>1119000</v>
      </c>
      <c r="H184" s="8" t="n">
        <v>878000</v>
      </c>
      <c r="I184" s="45">
        <f>(F184-E184)/E184</f>
        <v/>
      </c>
      <c r="J184" s="45">
        <f>(G184-F184)/F184</f>
        <v/>
      </c>
      <c r="K184" s="46">
        <f>(H184-G184)/G184</f>
        <v/>
      </c>
    </row>
    <row r="185">
      <c r="D185" s="12" t="inlineStr">
        <is>
          <t>AVB</t>
        </is>
      </c>
      <c r="E185" s="8" t="n">
        <v>1066972</v>
      </c>
      <c r="F185" s="8" t="n">
        <v>1154391</v>
      </c>
      <c r="G185" s="8" t="n">
        <v>1247448</v>
      </c>
      <c r="H185" s="8" t="n">
        <v>1297786</v>
      </c>
      <c r="I185" s="45">
        <f>(F185-E185)/E185</f>
        <v/>
      </c>
      <c r="J185" s="45">
        <f>(G185-F185)/F185</f>
        <v/>
      </c>
      <c r="K185" s="46">
        <f>(H185-G185)/G185</f>
        <v/>
      </c>
    </row>
    <row r="186">
      <c r="D186" s="12" t="inlineStr">
        <is>
          <t>ED</t>
        </is>
      </c>
      <c r="E186" s="8" t="n">
        <v>-76000</v>
      </c>
      <c r="F186" s="8" t="n">
        <v>-1690000</v>
      </c>
      <c r="G186" s="8" t="n">
        <v>-166000</v>
      </c>
      <c r="H186" s="8" t="n">
        <v>-1069000</v>
      </c>
      <c r="I186" s="45">
        <f>(F186-E186)/E186</f>
        <v/>
      </c>
      <c r="J186" s="45">
        <f>(G186-F186)/F186</f>
        <v/>
      </c>
      <c r="K186" s="46">
        <f>(H186-G186)/G186</f>
        <v/>
      </c>
    </row>
    <row r="187">
      <c r="D187" s="12" t="inlineStr">
        <is>
          <t>IR</t>
        </is>
      </c>
      <c r="E187" s="8" t="n">
        <v>638800</v>
      </c>
      <c r="F187" s="8" t="n">
        <v>1339200</v>
      </c>
      <c r="G187" s="8" t="n">
        <v>1302200</v>
      </c>
      <c r="H187" s="8" t="n">
        <v>1042200</v>
      </c>
      <c r="I187" s="45">
        <f>(F187-E187)/E187</f>
        <v/>
      </c>
      <c r="J187" s="45">
        <f>(G187-F187)/F187</f>
        <v/>
      </c>
      <c r="K187" s="46">
        <f>(H187-G187)/G187</f>
        <v/>
      </c>
    </row>
    <row r="188">
      <c r="D188" s="12" t="inlineStr">
        <is>
          <t>OKE</t>
        </is>
      </c>
      <c r="E188" s="8" t="n">
        <v>-165527</v>
      </c>
      <c r="F188" s="8" t="n">
        <v>728586</v>
      </c>
      <c r="G188" s="8" t="n">
        <v>803019</v>
      </c>
      <c r="H188" s="8" t="n">
        <v>45244</v>
      </c>
      <c r="I188" s="45">
        <f>(F188-E188)/E188</f>
        <v/>
      </c>
      <c r="J188" s="45">
        <f>(G188-F188)/F188</f>
        <v/>
      </c>
      <c r="K188" s="46">
        <f>(H188-G188)/G188</f>
        <v/>
      </c>
    </row>
    <row r="189">
      <c r="D189" s="12" t="inlineStr">
        <is>
          <t>WMB</t>
        </is>
      </c>
      <c r="E189" s="8" t="n">
        <v>-459000</v>
      </c>
      <c r="F189" s="8" t="n">
        <v>2104000</v>
      </c>
      <c r="G189" s="8" t="n">
        <v>649000</v>
      </c>
      <c r="H189" s="8" t="n">
        <v>30000</v>
      </c>
      <c r="I189" s="45">
        <f>(F189-E189)/E189</f>
        <v/>
      </c>
      <c r="J189" s="45">
        <f>(G189-F189)/F189</f>
        <v/>
      </c>
      <c r="K189" s="46">
        <f>(H189-G189)/G189</f>
        <v/>
      </c>
    </row>
    <row r="190">
      <c r="D190" s="12" t="inlineStr">
        <is>
          <t>EA</t>
        </is>
      </c>
      <c r="E190" s="8" t="n">
        <v>1372000</v>
      </c>
      <c r="F190" s="8" t="n">
        <v>1455000</v>
      </c>
      <c r="G190" s="8" t="n">
        <v>1585000</v>
      </c>
      <c r="H190" s="8" t="n">
        <v>1428000</v>
      </c>
      <c r="I190" s="45">
        <f>(F190-E190)/E190</f>
        <v/>
      </c>
      <c r="J190" s="45">
        <f>(G190-F190)/F190</f>
        <v/>
      </c>
      <c r="K190" s="46">
        <f>(H190-G190)/G190</f>
        <v/>
      </c>
    </row>
    <row r="191">
      <c r="D191" s="12" t="inlineStr">
        <is>
          <t>MCK</t>
        </is>
      </c>
      <c r="E191" s="8" t="n">
        <v>3184000</v>
      </c>
      <c r="F191" s="8" t="n">
        <v>4340000</v>
      </c>
      <c r="G191" s="8" t="n">
        <v>3940000</v>
      </c>
      <c r="H191" s="8" t="n">
        <v>3610000</v>
      </c>
      <c r="I191" s="45">
        <f>(F191-E191)/E191</f>
        <v/>
      </c>
      <c r="J191" s="45">
        <f>(G191-F191)/F191</f>
        <v/>
      </c>
      <c r="K191" s="46">
        <f>(H191-G191)/G191</f>
        <v/>
      </c>
    </row>
    <row r="192">
      <c r="D192" s="12" t="inlineStr">
        <is>
          <t>ZBH</t>
        </is>
      </c>
      <c r="E192" s="8" t="n">
        <v>415700</v>
      </c>
      <c r="F192" s="8" t="n">
        <v>1102000</v>
      </c>
      <c r="G192" s="8" t="n">
        <v>1089300</v>
      </c>
      <c r="H192" s="8" t="n">
        <v>1308400</v>
      </c>
      <c r="I192" s="45">
        <f>(F192-E192)/E192</f>
        <v/>
      </c>
      <c r="J192" s="45">
        <f>(G192-F192)/F192</f>
        <v/>
      </c>
      <c r="K192" s="46">
        <f>(H192-G192)/G192</f>
        <v/>
      </c>
    </row>
    <row r="193">
      <c r="D193" s="12" t="inlineStr">
        <is>
          <t>HPQ</t>
        </is>
      </c>
      <c r="E193" s="8" t="n">
        <v>3423000</v>
      </c>
      <c r="F193" s="8" t="n">
        <v>2819000</v>
      </c>
      <c r="G193" s="8" t="n">
        <v>3275000</v>
      </c>
      <c r="H193" s="8" t="n">
        <v>3982000</v>
      </c>
      <c r="I193" s="45">
        <f>(F193-E193)/E193</f>
        <v/>
      </c>
      <c r="J193" s="45">
        <f>(G193-F193)/F193</f>
        <v/>
      </c>
      <c r="K193" s="46">
        <f>(H193-G193)/G193</f>
        <v/>
      </c>
    </row>
    <row r="194">
      <c r="D194" s="12" t="inlineStr">
        <is>
          <t>VTR</t>
        </is>
      </c>
      <c r="E194" s="8" t="n">
        <v>1291344</v>
      </c>
      <c r="F194" s="8" t="n">
        <v>1237246</v>
      </c>
      <c r="G194" s="8" t="n">
        <v>1296194</v>
      </c>
      <c r="H194" s="8" t="n">
        <v>1249609</v>
      </c>
      <c r="I194" s="45">
        <f>(F194-E194)/E194</f>
        <v/>
      </c>
      <c r="J194" s="45">
        <f>(G194-F194)/F194</f>
        <v/>
      </c>
      <c r="K194" s="46">
        <f>(H194-G194)/G194</f>
        <v/>
      </c>
    </row>
    <row r="195">
      <c r="D195" s="12" t="inlineStr">
        <is>
          <t>TSN</t>
        </is>
      </c>
      <c r="E195" s="8" t="n">
        <v>1716000</v>
      </c>
      <c r="F195" s="8" t="n">
        <v>2021000</v>
      </c>
      <c r="G195" s="8" t="n">
        <v>1530000</v>
      </c>
      <c r="H195" s="8" t="n">
        <v>1763000</v>
      </c>
      <c r="I195" s="45">
        <f>(F195-E195)/E195</f>
        <v/>
      </c>
      <c r="J195" s="45">
        <f>(G195-F195)/F195</f>
        <v/>
      </c>
      <c r="K195" s="46">
        <f>(H195-G195)/G195</f>
        <v/>
      </c>
    </row>
    <row r="196">
      <c r="D196" s="12" t="inlineStr">
        <is>
          <t>HLT</t>
        </is>
      </c>
      <c r="E196" s="8" t="n">
        <v>1136000</v>
      </c>
      <c r="F196" s="8" t="n">
        <v>993000</v>
      </c>
      <c r="G196" s="8" t="n">
        <v>791000</v>
      </c>
      <c r="H196" s="8" t="n">
        <v>1183000</v>
      </c>
      <c r="I196" s="45">
        <f>(F196-E196)/E196</f>
        <v/>
      </c>
      <c r="J196" s="45">
        <f>(G196-F196)/F196</f>
        <v/>
      </c>
      <c r="K196" s="46">
        <f>(H196-G196)/G196</f>
        <v/>
      </c>
    </row>
    <row r="197">
      <c r="D197" s="12" t="inlineStr">
        <is>
          <t>AMD</t>
        </is>
      </c>
      <c r="E197" s="8" t="n">
        <v>-322000</v>
      </c>
      <c r="F197" s="8" t="n">
        <v>4000</v>
      </c>
      <c r="G197" s="8" t="n">
        <v>-101000</v>
      </c>
      <c r="H197" s="8" t="n">
        <v>-129000</v>
      </c>
      <c r="I197" s="45">
        <f>(F197-E197)/E197</f>
        <v/>
      </c>
      <c r="J197" s="45">
        <f>(G197-F197)/F197</f>
        <v/>
      </c>
      <c r="K197" s="46">
        <f>(H197-G197)/G197</f>
        <v/>
      </c>
    </row>
    <row r="198">
      <c r="D198" s="12" t="inlineStr">
        <is>
          <t>BLL</t>
        </is>
      </c>
      <c r="E198" s="8" t="n">
        <v>479000</v>
      </c>
      <c r="F198" s="8" t="n">
        <v>-413000</v>
      </c>
      <c r="G198" s="8" t="n">
        <v>922000</v>
      </c>
      <c r="H198" s="8" t="n">
        <v>750000</v>
      </c>
      <c r="I198" s="45">
        <f>(F198-E198)/E198</f>
        <v/>
      </c>
      <c r="J198" s="45">
        <f>(G198-F198)/F198</f>
        <v/>
      </c>
      <c r="K198" s="46">
        <f>(H198-G198)/G198</f>
        <v/>
      </c>
    </row>
    <row r="199">
      <c r="D199" s="12" t="inlineStr">
        <is>
          <t>AZO</t>
        </is>
      </c>
      <c r="E199" s="8" t="n">
        <v>1092439</v>
      </c>
      <c r="F199" s="8" t="n">
        <v>1152269</v>
      </c>
      <c r="G199" s="8" t="n">
        <v>1016780</v>
      </c>
      <c r="H199" s="8" t="n">
        <v>1558504</v>
      </c>
      <c r="I199" s="45">
        <f>(F199-E199)/E199</f>
        <v/>
      </c>
      <c r="J199" s="45">
        <f>(G199-F199)/F199</f>
        <v/>
      </c>
      <c r="K199" s="46">
        <f>(H199-G199)/G199</f>
        <v/>
      </c>
    </row>
    <row r="200">
      <c r="D200" s="12" t="inlineStr">
        <is>
          <t>STI</t>
        </is>
      </c>
      <c r="E200" s="8" t="n">
        <v>3366000</v>
      </c>
      <c r="F200" s="8" t="n">
        <v>-801000</v>
      </c>
      <c r="G200" s="8" t="n">
        <v>5212000</v>
      </c>
      <c r="H200" s="8" t="n">
        <v>2224000</v>
      </c>
      <c r="I200" s="45">
        <f>(F200-E200)/E200</f>
        <v/>
      </c>
      <c r="J200" s="45">
        <f>(G200-F200)/F200</f>
        <v/>
      </c>
      <c r="K200" s="46">
        <f>(H200-G200)/G200</f>
        <v/>
      </c>
    </row>
    <row r="201">
      <c r="D201" s="12" t="inlineStr">
        <is>
          <t>ALXN</t>
        </is>
      </c>
      <c r="E201" s="8" t="n">
        <v>388900</v>
      </c>
      <c r="F201" s="8" t="n">
        <v>753600</v>
      </c>
      <c r="G201" s="8" t="n">
        <v>758300</v>
      </c>
      <c r="H201" s="8" t="n">
        <v>213000</v>
      </c>
      <c r="I201" s="45">
        <f>(F201-E201)/E201</f>
        <v/>
      </c>
      <c r="J201" s="45">
        <f>(G201-F201)/F201</f>
        <v/>
      </c>
      <c r="K201" s="46">
        <f>(H201-G201)/G201</f>
        <v/>
      </c>
    </row>
    <row r="202">
      <c r="D202" s="12" t="inlineStr">
        <is>
          <t>XLNX</t>
        </is>
      </c>
      <c r="E202" s="8" t="n">
        <v>712251</v>
      </c>
      <c r="F202" s="8" t="n">
        <v>862080</v>
      </c>
      <c r="G202" s="8" t="n">
        <v>770109</v>
      </c>
      <c r="H202" s="8" t="n">
        <v>1002170</v>
      </c>
      <c r="I202" s="45">
        <f>(F202-E202)/E202</f>
        <v/>
      </c>
      <c r="J202" s="45">
        <f>(G202-F202)/F202</f>
        <v/>
      </c>
      <c r="K202" s="46">
        <f>(H202-G202)/G202</f>
        <v/>
      </c>
    </row>
    <row r="203">
      <c r="D203" s="12" t="inlineStr">
        <is>
          <t>APH</t>
        </is>
      </c>
      <c r="E203" s="8" t="n">
        <v>858400</v>
      </c>
      <c r="F203" s="8" t="n">
        <v>886800</v>
      </c>
      <c r="G203" s="8" t="n">
        <v>917600</v>
      </c>
      <c r="H203" s="8" t="n">
        <v>802100</v>
      </c>
      <c r="I203" s="45">
        <f>(F203-E203)/E203</f>
        <v/>
      </c>
      <c r="J203" s="45">
        <f>(G203-F203)/F203</f>
        <v/>
      </c>
      <c r="K203" s="46">
        <f>(H203-G203)/G203</f>
        <v/>
      </c>
    </row>
    <row r="204">
      <c r="D204" s="12" t="inlineStr">
        <is>
          <t>EIX</t>
        </is>
      </c>
      <c r="E204" s="8" t="n">
        <v>284000</v>
      </c>
      <c r="F204" s="8" t="n">
        <v>-495000</v>
      </c>
      <c r="G204" s="8" t="n">
        <v>-247000</v>
      </c>
      <c r="H204" s="8" t="n">
        <v>-1332000</v>
      </c>
      <c r="I204" s="45">
        <f>(F204-E204)/E204</f>
        <v/>
      </c>
      <c r="J204" s="45">
        <f>(G204-F204)/F204</f>
        <v/>
      </c>
      <c r="K204" s="46">
        <f>(H204-G204)/G204</f>
        <v/>
      </c>
    </row>
    <row r="205">
      <c r="D205" s="12" t="inlineStr">
        <is>
          <t>VFC</t>
        </is>
      </c>
      <c r="E205" s="8" t="n">
        <v>1304728</v>
      </c>
      <c r="F205" s="8" t="n">
        <v>1305107</v>
      </c>
      <c r="G205" s="8" t="n">
        <v>-1190388</v>
      </c>
      <c r="H205" s="8" t="n">
        <v>1413589</v>
      </c>
      <c r="I205" s="45">
        <f>(F205-E205)/E205</f>
        <v/>
      </c>
      <c r="J205" s="45">
        <f>(G205-F205)/F205</f>
        <v/>
      </c>
      <c r="K205" s="46">
        <f>(H205-G205)/G205</f>
        <v/>
      </c>
    </row>
    <row r="206">
      <c r="D206" s="12" t="inlineStr">
        <is>
          <t>TDG</t>
        </is>
      </c>
      <c r="E206" s="8" t="n">
        <v>466067</v>
      </c>
      <c r="F206" s="8" t="n">
        <v>639316</v>
      </c>
      <c r="G206" s="8" t="n">
        <v>717720</v>
      </c>
      <c r="H206" s="8" t="n">
        <v>948832</v>
      </c>
      <c r="I206" s="45">
        <f>(F206-E206)/E206</f>
        <v/>
      </c>
      <c r="J206" s="45">
        <f>(G206-F206)/F206</f>
        <v/>
      </c>
      <c r="K206" s="46">
        <f>(H206-G206)/G206</f>
        <v/>
      </c>
    </row>
    <row r="207">
      <c r="D207" s="12" t="inlineStr">
        <is>
          <t>ES</t>
        </is>
      </c>
      <c r="E207" s="8" t="n">
        <v>-290388</v>
      </c>
      <c r="F207" s="8" t="n">
        <v>231375</v>
      </c>
      <c r="G207" s="8" t="n">
        <v>-351903</v>
      </c>
      <c r="H207" s="8" t="n">
        <v>-739393</v>
      </c>
      <c r="I207" s="45">
        <f>(F207-E207)/E207</f>
        <v/>
      </c>
      <c r="J207" s="45">
        <f>(G207-F207)/F207</f>
        <v/>
      </c>
      <c r="K207" s="46">
        <f>(H207-G207)/G207</f>
        <v/>
      </c>
    </row>
    <row r="208">
      <c r="D208" s="12" t="inlineStr">
        <is>
          <t>PAYX</t>
        </is>
      </c>
      <c r="E208" s="8" t="n">
        <v>920500</v>
      </c>
      <c r="F208" s="8" t="n">
        <v>866100</v>
      </c>
      <c r="G208" s="8" t="n">
        <v>1122400</v>
      </c>
      <c r="H208" s="8" t="n">
        <v>1147700</v>
      </c>
      <c r="I208" s="45">
        <f>(F208-E208)/E208</f>
        <v/>
      </c>
      <c r="J208" s="45">
        <f>(G208-F208)/F208</f>
        <v/>
      </c>
      <c r="K208" s="46">
        <f>(H208-G208)/G208</f>
        <v/>
      </c>
    </row>
    <row r="209">
      <c r="D209" s="12" t="inlineStr">
        <is>
          <t>VRSK</t>
        </is>
      </c>
      <c r="E209" s="8" t="n">
        <v>497700</v>
      </c>
      <c r="F209" s="8" t="n">
        <v>421000</v>
      </c>
      <c r="G209" s="8" t="n">
        <v>560000</v>
      </c>
      <c r="H209" s="8" t="n">
        <v>703400</v>
      </c>
      <c r="I209" s="45">
        <f>(F209-E209)/E209</f>
        <v/>
      </c>
      <c r="J209" s="45">
        <f>(G209-F209)/F209</f>
        <v/>
      </c>
      <c r="K209" s="46">
        <f>(H209-G209)/G209</f>
        <v/>
      </c>
    </row>
    <row r="210">
      <c r="D210" s="12" t="inlineStr">
        <is>
          <t>FLT</t>
        </is>
      </c>
      <c r="E210" s="8" t="n">
        <v>712709</v>
      </c>
      <c r="F210" s="8" t="n">
        <v>649207</v>
      </c>
      <c r="G210" s="8" t="n">
        <v>609965</v>
      </c>
      <c r="H210" s="8" t="n">
        <v>821995</v>
      </c>
      <c r="I210" s="45">
        <f>(F210-E210)/E210</f>
        <v/>
      </c>
      <c r="J210" s="45">
        <f>(G210-F210)/F210</f>
        <v/>
      </c>
      <c r="K210" s="46">
        <f>(H210-G210)/G210</f>
        <v/>
      </c>
    </row>
    <row r="211">
      <c r="D211" s="12" t="inlineStr">
        <is>
          <t>PPG</t>
        </is>
      </c>
      <c r="E211" s="8" t="n">
        <v>1465000</v>
      </c>
      <c r="F211" s="8" t="n">
        <v>971000</v>
      </c>
      <c r="G211" s="8" t="n">
        <v>1208000</v>
      </c>
      <c r="H211" s="8" t="n">
        <v>1056000</v>
      </c>
      <c r="I211" s="45">
        <f>(F211-E211)/E211</f>
        <v/>
      </c>
      <c r="J211" s="45">
        <f>(G211-F211)/F211</f>
        <v/>
      </c>
      <c r="K211" s="46">
        <f>(H211-G211)/G211</f>
        <v/>
      </c>
    </row>
    <row r="212">
      <c r="D212" s="12" t="inlineStr">
        <is>
          <t>TROW</t>
        </is>
      </c>
      <c r="E212" s="8" t="n">
        <v>1379200</v>
      </c>
      <c r="F212" s="8" t="n">
        <v>22200</v>
      </c>
      <c r="G212" s="8" t="n">
        <v>43400</v>
      </c>
      <c r="H212" s="8" t="n">
        <v>1451400</v>
      </c>
      <c r="I212" s="45">
        <f>(F212-E212)/E212</f>
        <v/>
      </c>
      <c r="J212" s="45">
        <f>(G212-F212)/F212</f>
        <v/>
      </c>
      <c r="K212" s="46">
        <f>(H212-G212)/G212</f>
        <v/>
      </c>
    </row>
    <row r="213">
      <c r="D213" s="12" t="inlineStr">
        <is>
          <t>DLR</t>
        </is>
      </c>
      <c r="E213" s="8" t="n">
        <v>796840</v>
      </c>
      <c r="F213" s="8" t="n">
        <v>911242</v>
      </c>
      <c r="G213" s="8" t="n">
        <v>1023305</v>
      </c>
      <c r="H213" s="8" t="n">
        <v>1385324</v>
      </c>
      <c r="I213" s="45">
        <f>(F213-E213)/E213</f>
        <v/>
      </c>
      <c r="J213" s="45">
        <f>(G213-F213)/F213</f>
        <v/>
      </c>
      <c r="K213" s="46">
        <f>(H213-G213)/G213</f>
        <v/>
      </c>
    </row>
    <row r="214">
      <c r="D214" s="12" t="inlineStr">
        <is>
          <t>DFS</t>
        </is>
      </c>
      <c r="E214" s="8" t="n">
        <v>3687000</v>
      </c>
      <c r="F214" s="8" t="n">
        <v>4246000</v>
      </c>
      <c r="G214" s="8" t="n">
        <v>4990000</v>
      </c>
      <c r="H214" s="8" t="n">
        <v>4937000</v>
      </c>
      <c r="I214" s="45">
        <f>(F214-E214)/E214</f>
        <v/>
      </c>
      <c r="J214" s="45">
        <f>(G214-F214)/F214</f>
        <v/>
      </c>
      <c r="K214" s="46">
        <f>(H214-G214)/G214</f>
        <v/>
      </c>
    </row>
    <row r="215">
      <c r="D215" s="12" t="inlineStr">
        <is>
          <t>LUV</t>
        </is>
      </c>
      <c r="E215" s="8" t="n">
        <v>1095000</v>
      </c>
      <c r="F215" s="8" t="n">
        <v>2146000</v>
      </c>
      <c r="G215" s="8" t="n">
        <v>1680000</v>
      </c>
      <c r="H215" s="8" t="n">
        <v>2917000</v>
      </c>
      <c r="I215" s="45">
        <f>(F215-E215)/E215</f>
        <v/>
      </c>
      <c r="J215" s="45">
        <f>(G215-F215)/F215</f>
        <v/>
      </c>
      <c r="K215" s="46">
        <f>(H215-G215)/G215</f>
        <v/>
      </c>
    </row>
    <row r="216">
      <c r="D216" s="12" t="inlineStr">
        <is>
          <t>GPN</t>
        </is>
      </c>
      <c r="E216" s="8" t="n">
        <v>501299</v>
      </c>
      <c r="F216" s="8" t="n">
        <v>731850.9790000001</v>
      </c>
      <c r="G216" s="8" t="n">
        <v>330483</v>
      </c>
      <c r="H216" s="8" t="n">
        <v>892792</v>
      </c>
      <c r="I216" s="45">
        <f>(F216-E216)/E216</f>
        <v/>
      </c>
      <c r="J216" s="45">
        <f>(G216-F216)/F216</f>
        <v/>
      </c>
      <c r="K216" s="46">
        <f>(H216-G216)/G216</f>
        <v/>
      </c>
    </row>
    <row r="217">
      <c r="D217" s="12" t="inlineStr">
        <is>
          <t>WLTW</t>
        </is>
      </c>
      <c r="E217" s="8" t="n">
        <v>98000</v>
      </c>
      <c r="F217" s="8" t="n">
        <v>715000</v>
      </c>
      <c r="G217" s="8" t="n">
        <v>562000</v>
      </c>
      <c r="H217" s="8" t="n">
        <v>1020000</v>
      </c>
      <c r="I217" s="45">
        <f>(F217-E217)/E217</f>
        <v/>
      </c>
      <c r="J217" s="45">
        <f>(G217-F217)/F217</f>
        <v/>
      </c>
      <c r="K217" s="46">
        <f>(H217-G217)/G217</f>
        <v/>
      </c>
    </row>
    <row r="218">
      <c r="D218" s="12" t="inlineStr">
        <is>
          <t>IQV</t>
        </is>
      </c>
      <c r="E218" s="8" t="n">
        <v>398000</v>
      </c>
      <c r="F218" s="8" t="n">
        <v>696000</v>
      </c>
      <c r="G218" s="8" t="n">
        <v>601000</v>
      </c>
      <c r="H218" s="8" t="n">
        <v>795000</v>
      </c>
      <c r="I218" s="45">
        <f>(F218-E218)/E218</f>
        <v/>
      </c>
      <c r="J218" s="45">
        <f>(G218-F218)/F218</f>
        <v/>
      </c>
      <c r="K218" s="46">
        <f>(H218-G218)/G218</f>
        <v/>
      </c>
    </row>
    <row r="219">
      <c r="D219" s="12" t="inlineStr">
        <is>
          <t>TMUS</t>
        </is>
      </c>
      <c r="E219" s="8" t="n">
        <v>690000</v>
      </c>
      <c r="F219" s="8" t="n">
        <v>-1923000</v>
      </c>
      <c r="G219" s="8" t="n">
        <v>-1406000</v>
      </c>
      <c r="H219" s="8" t="n">
        <v>-1642000</v>
      </c>
      <c r="I219" s="45">
        <f>(F219-E219)/E219</f>
        <v/>
      </c>
      <c r="J219" s="45">
        <f>(G219-F219)/F219</f>
        <v/>
      </c>
      <c r="K219" s="46">
        <f>(H219-G219)/G219</f>
        <v/>
      </c>
    </row>
    <row r="220">
      <c r="D220" s="12" t="inlineStr">
        <is>
          <t>DTE</t>
        </is>
      </c>
      <c r="E220" s="8" t="n">
        <v>-104000</v>
      </c>
      <c r="F220" s="8" t="n">
        <v>39000</v>
      </c>
      <c r="G220" s="8" t="n">
        <v>-133000</v>
      </c>
      <c r="H220" s="8" t="n">
        <v>-33000</v>
      </c>
      <c r="I220" s="45">
        <f>(F220-E220)/E220</f>
        <v/>
      </c>
      <c r="J220" s="45">
        <f>(G220-F220)/F220</f>
        <v/>
      </c>
      <c r="K220" s="46">
        <f>(H220-G220)/G220</f>
        <v/>
      </c>
    </row>
    <row r="221">
      <c r="D221" s="12" t="inlineStr">
        <is>
          <t>IDXX</t>
        </is>
      </c>
      <c r="E221" s="8" t="n">
        <v>138881</v>
      </c>
      <c r="F221" s="8" t="n">
        <v>274156</v>
      </c>
      <c r="G221" s="8" t="n">
        <v>298892</v>
      </c>
      <c r="H221" s="8" t="n">
        <v>284333</v>
      </c>
      <c r="I221" s="45">
        <f>(F221-E221)/E221</f>
        <v/>
      </c>
      <c r="J221" s="45">
        <f>(G221-F221)/F221</f>
        <v/>
      </c>
      <c r="K221" s="46">
        <f>(H221-G221)/G221</f>
        <v/>
      </c>
    </row>
    <row r="222">
      <c r="D222" s="12" t="inlineStr">
        <is>
          <t>O</t>
        </is>
      </c>
      <c r="E222" s="8" t="n">
        <v>693567</v>
      </c>
      <c r="F222" s="8" t="n">
        <v>799863</v>
      </c>
      <c r="G222" s="8" t="n">
        <v>875850</v>
      </c>
      <c r="H222" s="8" t="n">
        <v>940742</v>
      </c>
      <c r="I222" s="45">
        <f>(F222-E222)/E222</f>
        <v/>
      </c>
      <c r="J222" s="45">
        <f>(G222-F222)/F222</f>
        <v/>
      </c>
      <c r="K222" s="46">
        <f>(H222-G222)/G222</f>
        <v/>
      </c>
    </row>
    <row r="223">
      <c r="D223" s="12" t="inlineStr">
        <is>
          <t>INFO</t>
        </is>
      </c>
      <c r="E223" s="8" t="n">
        <v>489700</v>
      </c>
      <c r="F223" s="8" t="n">
        <v>490700</v>
      </c>
      <c r="G223" s="8" t="n">
        <v>701300</v>
      </c>
      <c r="H223" s="8" t="n">
        <v>1066800</v>
      </c>
      <c r="I223" s="45">
        <f>(F223-E223)/E223</f>
        <v/>
      </c>
      <c r="J223" s="45">
        <f>(G223-F223)/F223</f>
        <v/>
      </c>
      <c r="K223" s="46">
        <f>(H223-G223)/G223</f>
        <v/>
      </c>
    </row>
    <row r="224">
      <c r="D224" s="12" t="inlineStr">
        <is>
          <t>FE</t>
        </is>
      </c>
      <c r="E224" s="8" t="n">
        <v>566000</v>
      </c>
      <c r="F224" s="8" t="n">
        <v>316000</v>
      </c>
      <c r="G224" s="8" t="n">
        <v>967000</v>
      </c>
      <c r="H224" s="8" t="n">
        <v>-1265000</v>
      </c>
      <c r="I224" s="45">
        <f>(F224-E224)/E224</f>
        <v/>
      </c>
      <c r="J224" s="45">
        <f>(G224-F224)/F224</f>
        <v/>
      </c>
      <c r="K224" s="46">
        <f>(H224-G224)/G224</f>
        <v/>
      </c>
    </row>
    <row r="225">
      <c r="D225" s="12" t="inlineStr">
        <is>
          <t>DLTR</t>
        </is>
      </c>
      <c r="E225" s="8" t="n">
        <v>322000</v>
      </c>
      <c r="F225" s="8" t="n">
        <v>1108600</v>
      </c>
      <c r="G225" s="8" t="n">
        <v>878000</v>
      </c>
      <c r="H225" s="8" t="n">
        <v>948900</v>
      </c>
      <c r="I225" s="45">
        <f>(F225-E225)/E225</f>
        <v/>
      </c>
      <c r="J225" s="45">
        <f>(G225-F225)/F225</f>
        <v/>
      </c>
      <c r="K225" s="46">
        <f>(H225-G225)/G225</f>
        <v/>
      </c>
    </row>
    <row r="226">
      <c r="D226" s="12" t="inlineStr">
        <is>
          <t>KLAC</t>
        </is>
      </c>
      <c r="E226" s="8" t="n">
        <v>727955</v>
      </c>
      <c r="F226" s="8" t="n">
        <v>1041071</v>
      </c>
      <c r="G226" s="8" t="n">
        <v>1162173</v>
      </c>
      <c r="H226" s="8" t="n">
        <v>1022134</v>
      </c>
      <c r="I226" s="45">
        <f>(F226-E226)/E226</f>
        <v/>
      </c>
      <c r="J226" s="45">
        <f>(G226-F226)/F226</f>
        <v/>
      </c>
      <c r="K226" s="46">
        <f>(H226-G226)/G226</f>
        <v/>
      </c>
    </row>
    <row r="227">
      <c r="D227" s="12" t="inlineStr">
        <is>
          <t>AWK</t>
        </is>
      </c>
      <c r="E227" s="8" t="n">
        <v>35000</v>
      </c>
      <c r="F227" s="8" t="n">
        <v>-22000</v>
      </c>
      <c r="G227" s="8" t="n">
        <v>15000</v>
      </c>
      <c r="H227" s="8" t="n">
        <v>-200000</v>
      </c>
      <c r="I227" s="45">
        <f>(F227-E227)/E227</f>
        <v/>
      </c>
      <c r="J227" s="45">
        <f>(G227-F227)/F227</f>
        <v/>
      </c>
      <c r="K227" s="46">
        <f>(H227-G227)/G227</f>
        <v/>
      </c>
    </row>
    <row r="228">
      <c r="D228" s="12" t="inlineStr">
        <is>
          <t>CERN</t>
        </is>
      </c>
      <c r="E228" s="8" t="n">
        <v>677796</v>
      </c>
      <c r="F228" s="8" t="n">
        <v>786210</v>
      </c>
      <c r="G228" s="8" t="n">
        <v>945592</v>
      </c>
      <c r="H228" s="8" t="n">
        <v>1007081</v>
      </c>
      <c r="I228" s="45">
        <f>(F228-E228)/E228</f>
        <v/>
      </c>
      <c r="J228" s="45">
        <f>(G228-F228)/F228</f>
        <v/>
      </c>
      <c r="K228" s="46">
        <f>(H228-G228)/G228</f>
        <v/>
      </c>
    </row>
    <row r="229">
      <c r="D229" s="12" t="inlineStr">
        <is>
          <t>A</t>
        </is>
      </c>
      <c r="E229" s="8" t="n">
        <v>1224000</v>
      </c>
      <c r="F229" s="8" t="n">
        <v>654000</v>
      </c>
      <c r="G229" s="8" t="n">
        <v>713000</v>
      </c>
      <c r="H229" s="8" t="n">
        <v>910000</v>
      </c>
      <c r="I229" s="45">
        <f>(F229-E229)/E229</f>
        <v/>
      </c>
      <c r="J229" s="45">
        <f>(G229-F229)/F229</f>
        <v/>
      </c>
      <c r="K229" s="46">
        <f>(H229-G229)/G229</f>
        <v/>
      </c>
    </row>
    <row r="230">
      <c r="D230" s="12" t="inlineStr">
        <is>
          <t>MNST</t>
        </is>
      </c>
      <c r="E230" s="8" t="n">
        <v>487118</v>
      </c>
      <c r="F230" s="8" t="n">
        <v>601536</v>
      </c>
      <c r="G230" s="8" t="n">
        <v>904296</v>
      </c>
      <c r="H230" s="8" t="n">
        <v>1099940</v>
      </c>
      <c r="I230" s="45">
        <f>(F230-E230)/E230</f>
        <v/>
      </c>
      <c r="J230" s="45">
        <f>(G230-F230)/F230</f>
        <v/>
      </c>
      <c r="K230" s="46">
        <f>(H230-G230)/G230</f>
        <v/>
      </c>
    </row>
    <row r="231">
      <c r="D231" s="12" t="inlineStr">
        <is>
          <t>HSY</t>
        </is>
      </c>
      <c r="E231" s="8" t="n">
        <v>899501</v>
      </c>
      <c r="F231" s="8" t="n">
        <v>743952</v>
      </c>
      <c r="G231" s="8" t="n">
        <v>991840</v>
      </c>
      <c r="H231" s="8" t="n">
        <v>1271392</v>
      </c>
      <c r="I231" s="45">
        <f>(F231-E231)/E231</f>
        <v/>
      </c>
      <c r="J231" s="45">
        <f>(G231-F231)/F231</f>
        <v/>
      </c>
      <c r="K231" s="46">
        <f>(H231-G231)/G231</f>
        <v/>
      </c>
    </row>
    <row r="232">
      <c r="D232" s="12" t="inlineStr">
        <is>
          <t>CTAS</t>
        </is>
      </c>
      <c r="E232" s="8" t="n">
        <v>190460</v>
      </c>
      <c r="F232" s="8" t="n">
        <v>490570</v>
      </c>
      <c r="G232" s="8" t="n">
        <v>692461</v>
      </c>
      <c r="H232" s="8" t="n">
        <v>791143</v>
      </c>
      <c r="I232" s="45">
        <f>(F232-E232)/E232</f>
        <v/>
      </c>
      <c r="J232" s="45">
        <f>(G232-F232)/F232</f>
        <v/>
      </c>
      <c r="K232" s="46">
        <f>(H232-G232)/G232</f>
        <v/>
      </c>
    </row>
    <row r="233">
      <c r="D233" s="12" t="inlineStr">
        <is>
          <t>PCAR</t>
        </is>
      </c>
      <c r="E233" s="8" t="n">
        <v>830800</v>
      </c>
      <c r="F233" s="8" t="n">
        <v>335900</v>
      </c>
      <c r="G233" s="8" t="n">
        <v>869200</v>
      </c>
      <c r="H233" s="8" t="n">
        <v>1040000</v>
      </c>
      <c r="I233" s="45">
        <f>(F233-E233)/E233</f>
        <v/>
      </c>
      <c r="J233" s="45">
        <f>(G233-F233)/F233</f>
        <v/>
      </c>
      <c r="K233" s="46">
        <f>(H233-G233)/G233</f>
        <v/>
      </c>
    </row>
    <row r="234">
      <c r="D234" s="12" t="inlineStr">
        <is>
          <t>GLW</t>
        </is>
      </c>
      <c r="E234" s="8" t="n">
        <v>1579000</v>
      </c>
      <c r="F234" s="8" t="n">
        <v>1407000</v>
      </c>
      <c r="G234" s="8" t="n">
        <v>200000</v>
      </c>
      <c r="H234" s="8" t="n">
        <v>609000</v>
      </c>
      <c r="I234" s="45">
        <f>(F234-E234)/E234</f>
        <v/>
      </c>
      <c r="J234" s="45">
        <f>(G234-F234)/F234</f>
        <v/>
      </c>
      <c r="K234" s="46">
        <f>(H234-G234)/G234</f>
        <v/>
      </c>
    </row>
    <row r="235">
      <c r="D235" s="12" t="inlineStr">
        <is>
          <t>PPL</t>
        </is>
      </c>
      <c r="E235" s="8" t="n">
        <v>-918000</v>
      </c>
      <c r="F235" s="8" t="n">
        <v>-30000</v>
      </c>
      <c r="G235" s="8" t="n">
        <v>-672000</v>
      </c>
      <c r="H235" s="8" t="n">
        <v>-417000</v>
      </c>
      <c r="I235" s="45">
        <f>(F235-E235)/E235</f>
        <v/>
      </c>
      <c r="J235" s="45">
        <f>(G235-F235)/F235</f>
        <v/>
      </c>
      <c r="K235" s="46">
        <f>(H235-G235)/G235</f>
        <v/>
      </c>
    </row>
    <row r="236">
      <c r="D236" s="12" t="inlineStr">
        <is>
          <t>VRSN</t>
        </is>
      </c>
      <c r="E236" s="8" t="n">
        <v>629290</v>
      </c>
      <c r="F236" s="8" t="n">
        <v>666433</v>
      </c>
      <c r="G236" s="8" t="n">
        <v>653262</v>
      </c>
      <c r="H236" s="8" t="n">
        <v>660760</v>
      </c>
      <c r="I236" s="45">
        <f>(F236-E236)/E236</f>
        <v/>
      </c>
      <c r="J236" s="45">
        <f>(G236-F236)/F236</f>
        <v/>
      </c>
      <c r="K236" s="46">
        <f>(H236-G236)/G236</f>
        <v/>
      </c>
    </row>
    <row r="237">
      <c r="D237" s="12" t="inlineStr">
        <is>
          <t>HIG</t>
        </is>
      </c>
      <c r="E237" s="8" t="n">
        <v>2449000</v>
      </c>
      <c r="F237" s="8" t="n">
        <v>1842000</v>
      </c>
      <c r="G237" s="8" t="n">
        <v>1936000</v>
      </c>
      <c r="H237" s="8" t="n">
        <v>2721000</v>
      </c>
      <c r="I237" s="45">
        <f>(F237-E237)/E237</f>
        <v/>
      </c>
      <c r="J237" s="45">
        <f>(G237-F237)/F237</f>
        <v/>
      </c>
      <c r="K237" s="46">
        <f>(H237-G237)/G237</f>
        <v/>
      </c>
    </row>
    <row r="238">
      <c r="D238" s="12" t="inlineStr">
        <is>
          <t>ADM</t>
        </is>
      </c>
      <c r="E238" s="8" t="n">
        <v>580000</v>
      </c>
      <c r="F238" s="8" t="n">
        <v>-7390000</v>
      </c>
      <c r="G238" s="8" t="n">
        <v>-7015000</v>
      </c>
      <c r="H238" s="8" t="n">
        <v>-5626000</v>
      </c>
      <c r="I238" s="45">
        <f>(F238-E238)/E238</f>
        <v/>
      </c>
      <c r="J238" s="45">
        <f>(G238-F238)/F238</f>
        <v/>
      </c>
      <c r="K238" s="46">
        <f>(H238-G238)/G238</f>
        <v/>
      </c>
    </row>
    <row r="239">
      <c r="D239" s="12" t="inlineStr">
        <is>
          <t>TSS</t>
        </is>
      </c>
      <c r="E239" s="8" t="n">
        <v>547394</v>
      </c>
      <c r="F239" s="8" t="n">
        <v>667152</v>
      </c>
      <c r="G239" s="8" t="n">
        <v>787010</v>
      </c>
      <c r="H239" s="8" t="n">
        <v>928401</v>
      </c>
      <c r="I239" s="45">
        <f>(F239-E239)/E239</f>
        <v/>
      </c>
      <c r="J239" s="45">
        <f>(G239-F239)/F239</f>
        <v/>
      </c>
      <c r="K239" s="46">
        <f>(H239-G239)/G239</f>
        <v/>
      </c>
    </row>
    <row r="240">
      <c r="D240" s="12" t="inlineStr">
        <is>
          <t>ETR</t>
        </is>
      </c>
      <c r="E240" s="8" t="n">
        <v>350355</v>
      </c>
      <c r="F240" s="8" t="n">
        <v>-977213</v>
      </c>
      <c r="G240" s="8" t="n">
        <v>-1282118</v>
      </c>
      <c r="H240" s="8" t="n">
        <v>-1755775</v>
      </c>
      <c r="I240" s="45">
        <f>(F240-E240)/E240</f>
        <v/>
      </c>
      <c r="J240" s="45">
        <f>(G240-F240)/F240</f>
        <v/>
      </c>
      <c r="K240" s="46">
        <f>(H240-G240)/G240</f>
        <v/>
      </c>
    </row>
    <row r="241">
      <c r="D241" s="12" t="inlineStr">
        <is>
          <t>ESS</t>
        </is>
      </c>
      <c r="E241" s="8" t="n">
        <v>618168</v>
      </c>
      <c r="F241" s="8" t="n">
        <v>716792</v>
      </c>
      <c r="G241" s="8" t="n">
        <v>769607</v>
      </c>
      <c r="H241" s="8" t="n">
        <v>826554</v>
      </c>
      <c r="I241" s="45">
        <f>(F241-E241)/E241</f>
        <v/>
      </c>
      <c r="J241" s="45">
        <f>(G241-F241)/F241</f>
        <v/>
      </c>
      <c r="K241" s="46">
        <f>(H241-G241)/G241</f>
        <v/>
      </c>
    </row>
    <row r="242">
      <c r="D242" s="12" t="inlineStr">
        <is>
          <t>APTV</t>
        </is>
      </c>
      <c r="E242" s="8" t="n">
        <v>1200000</v>
      </c>
      <c r="F242" s="8" t="n">
        <v>1284000</v>
      </c>
      <c r="G242" s="8" t="n">
        <v>770000</v>
      </c>
      <c r="H242" s="8" t="n">
        <v>782000</v>
      </c>
      <c r="I242" s="45">
        <f>(F242-E242)/E242</f>
        <v/>
      </c>
      <c r="J242" s="45">
        <f>(G242-F242)/F242</f>
        <v/>
      </c>
      <c r="K242" s="46">
        <f>(H242-G242)/G242</f>
        <v/>
      </c>
    </row>
    <row r="243">
      <c r="D243" s="12" t="inlineStr">
        <is>
          <t>CMI</t>
        </is>
      </c>
      <c r="E243" s="8" t="n">
        <v>1321000</v>
      </c>
      <c r="F243" s="8" t="n">
        <v>1408000</v>
      </c>
      <c r="G243" s="8" t="n">
        <v>1771000</v>
      </c>
      <c r="H243" s="8" t="n">
        <v>1669000</v>
      </c>
      <c r="I243" s="45">
        <f>(F243-E243)/E243</f>
        <v/>
      </c>
      <c r="J243" s="45">
        <f>(G243-F243)/F243</f>
        <v/>
      </c>
      <c r="K243" s="46">
        <f>(H243-G243)/G243</f>
        <v/>
      </c>
    </row>
    <row r="244">
      <c r="D244" s="12" t="inlineStr">
        <is>
          <t>PH</t>
        </is>
      </c>
      <c r="E244" s="8" t="n">
        <v>1061371</v>
      </c>
      <c r="F244" s="8" t="n">
        <v>1096815</v>
      </c>
      <c r="G244" s="8" t="n">
        <v>1349033</v>
      </c>
      <c r="H244" s="8" t="n">
        <v>1535051</v>
      </c>
      <c r="I244" s="45">
        <f>(F244-E244)/E244</f>
        <v/>
      </c>
      <c r="J244" s="45">
        <f>(G244-F244)/F244</f>
        <v/>
      </c>
      <c r="K244" s="46">
        <f>(H244-G244)/G244</f>
        <v/>
      </c>
    </row>
    <row r="245">
      <c r="D245" s="12" t="inlineStr">
        <is>
          <t>PXD</t>
        </is>
      </c>
      <c r="E245" s="8" t="n">
        <v>-855000</v>
      </c>
      <c r="F245" s="8" t="n">
        <v>-357000</v>
      </c>
      <c r="G245" s="8" t="n">
        <v>-266000</v>
      </c>
      <c r="H245" s="8" t="n">
        <v>-278000</v>
      </c>
      <c r="I245" s="45">
        <f>(F245-E245)/E245</f>
        <v/>
      </c>
      <c r="J245" s="45">
        <f>(G245-F245)/F245</f>
        <v/>
      </c>
      <c r="K245" s="46">
        <f>(H245-G245)/G245</f>
        <v/>
      </c>
    </row>
    <row r="246">
      <c r="D246" s="12" t="inlineStr">
        <is>
          <t>FTV</t>
        </is>
      </c>
      <c r="E246" s="8" t="n">
        <v>888900</v>
      </c>
      <c r="F246" s="8" t="n">
        <v>1026800</v>
      </c>
      <c r="G246" s="8" t="n">
        <v>1065300</v>
      </c>
      <c r="H246" s="8" t="n">
        <v>1232100</v>
      </c>
      <c r="I246" s="45">
        <f>(F246-E246)/E246</f>
        <v/>
      </c>
      <c r="J246" s="45">
        <f>(G246-F246)/F246</f>
        <v/>
      </c>
      <c r="K246" s="46">
        <f>(H246-G246)/G246</f>
        <v/>
      </c>
    </row>
    <row r="247">
      <c r="D247" s="12" t="inlineStr">
        <is>
          <t>SYF</t>
        </is>
      </c>
      <c r="E247" s="8" t="n">
        <v>6184000</v>
      </c>
      <c r="F247" s="8" t="n">
        <v>6511000</v>
      </c>
      <c r="G247" s="8" t="n">
        <v>8575000</v>
      </c>
      <c r="H247" s="8" t="n">
        <v>9342000</v>
      </c>
      <c r="I247" s="45">
        <f>(F247-E247)/E247</f>
        <v/>
      </c>
      <c r="J247" s="45">
        <f>(G247-F247)/F247</f>
        <v/>
      </c>
      <c r="K247" s="46">
        <f>(H247-G247)/G247</f>
        <v/>
      </c>
    </row>
    <row r="248">
      <c r="D248" s="12" t="inlineStr">
        <is>
          <t>MCHP</t>
        </is>
      </c>
      <c r="E248" s="8" t="n">
        <v>646500</v>
      </c>
      <c r="F248" s="8" t="n">
        <v>984200</v>
      </c>
      <c r="G248" s="8" t="n">
        <v>1212800</v>
      </c>
      <c r="H248" s="8" t="n">
        <v>1445900</v>
      </c>
      <c r="I248" s="45">
        <f>(F248-E248)/E248</f>
        <v/>
      </c>
      <c r="J248" s="45">
        <f>(G248-F248)/F248</f>
        <v/>
      </c>
      <c r="K248" s="46">
        <f>(H248-G248)/G248</f>
        <v/>
      </c>
    </row>
    <row r="249">
      <c r="D249" s="12" t="inlineStr">
        <is>
          <t>CLX</t>
        </is>
      </c>
      <c r="E249" s="8" t="n">
        <v>606000</v>
      </c>
      <c r="F249" s="8" t="n">
        <v>634000</v>
      </c>
      <c r="G249" s="8" t="n">
        <v>782000</v>
      </c>
      <c r="H249" s="8" t="n">
        <v>786000</v>
      </c>
      <c r="I249" s="45">
        <f>(F249-E249)/E249</f>
        <v/>
      </c>
      <c r="J249" s="45">
        <f>(G249-F249)/F249</f>
        <v/>
      </c>
      <c r="K249" s="46">
        <f>(H249-G249)/G249</f>
        <v/>
      </c>
    </row>
    <row r="250">
      <c r="D250" s="12" t="inlineStr">
        <is>
          <t>SWK</t>
        </is>
      </c>
      <c r="E250" s="8" t="n">
        <v>870900</v>
      </c>
      <c r="F250" s="8" t="n">
        <v>838500</v>
      </c>
      <c r="G250" s="8" t="n">
        <v>226100</v>
      </c>
      <c r="H250" s="8" t="n">
        <v>768800</v>
      </c>
      <c r="I250" s="45">
        <f>(F250-E250)/E250</f>
        <v/>
      </c>
      <c r="J250" s="45">
        <f>(G250-F250)/F250</f>
        <v/>
      </c>
      <c r="K250" s="46">
        <f>(H250-G250)/G250</f>
        <v/>
      </c>
    </row>
    <row r="251">
      <c r="D251" s="12" t="inlineStr">
        <is>
          <t>MKC</t>
        </is>
      </c>
      <c r="E251" s="8" t="n">
        <v>461600</v>
      </c>
      <c r="F251" s="8" t="n">
        <v>504300</v>
      </c>
      <c r="G251" s="8" t="n">
        <v>632900</v>
      </c>
      <c r="H251" s="8" t="n">
        <v>652100</v>
      </c>
      <c r="I251" s="45">
        <f>(F251-E251)/E251</f>
        <v/>
      </c>
      <c r="J251" s="45">
        <f>(G251-F251)/F251</f>
        <v/>
      </c>
      <c r="K251" s="46">
        <f>(H251-G251)/G251</f>
        <v/>
      </c>
    </row>
    <row r="252">
      <c r="D252" s="12" t="inlineStr">
        <is>
          <t>MTB</t>
        </is>
      </c>
      <c r="E252" s="8" t="n">
        <v>1660472</v>
      </c>
      <c r="F252" s="8" t="n">
        <v>1075718</v>
      </c>
      <c r="G252" s="8" t="n">
        <v>2702969</v>
      </c>
      <c r="H252" s="8" t="n">
        <v>1992176</v>
      </c>
      <c r="I252" s="45">
        <f>(F252-E252)/E252</f>
        <v/>
      </c>
      <c r="J252" s="45">
        <f>(G252-F252)/F252</f>
        <v/>
      </c>
      <c r="K252" s="46">
        <f>(H252-G252)/G252</f>
        <v/>
      </c>
    </row>
    <row r="253">
      <c r="D253" s="12" t="inlineStr">
        <is>
          <t>MSCI</t>
        </is>
      </c>
      <c r="E253" s="8" t="n">
        <v>280595</v>
      </c>
      <c r="F253" s="8" t="n">
        <v>410079</v>
      </c>
      <c r="G253" s="8" t="n">
        <v>370981</v>
      </c>
      <c r="H253" s="8" t="n">
        <v>582505</v>
      </c>
      <c r="I253" s="45">
        <f>(F253-E253)/E253</f>
        <v/>
      </c>
      <c r="J253" s="45">
        <f>(G253-F253)/F253</f>
        <v/>
      </c>
      <c r="K253" s="46">
        <f>(H253-G253)/G253</f>
        <v/>
      </c>
    </row>
    <row r="254">
      <c r="D254" s="12" t="inlineStr">
        <is>
          <t>CMG</t>
        </is>
      </c>
      <c r="E254" s="8" t="n">
        <v>425898</v>
      </c>
      <c r="F254" s="8" t="n">
        <v>96318</v>
      </c>
      <c r="G254" s="8" t="n">
        <v>251439</v>
      </c>
      <c r="H254" s="8" t="n">
        <v>334162</v>
      </c>
      <c r="I254" s="45">
        <f>(F254-E254)/E254</f>
        <v/>
      </c>
      <c r="J254" s="45">
        <f>(G254-F254)/F254</f>
        <v/>
      </c>
      <c r="K254" s="46">
        <f>(H254-G254)/G254</f>
        <v/>
      </c>
    </row>
    <row r="255">
      <c r="D255" s="12" t="inlineStr">
        <is>
          <t>BXP</t>
        </is>
      </c>
      <c r="E255" s="8" t="n">
        <v>799411</v>
      </c>
      <c r="F255" s="8" t="n">
        <v>1034548</v>
      </c>
      <c r="G255" s="8" t="n">
        <v>911979</v>
      </c>
      <c r="H255" s="8" t="n">
        <v>1150245</v>
      </c>
      <c r="I255" s="45">
        <f>(F255-E255)/E255</f>
        <v/>
      </c>
      <c r="J255" s="45">
        <f>(G255-F255)/F255</f>
        <v/>
      </c>
      <c r="K255" s="46">
        <f>(H255-G255)/G255</f>
        <v/>
      </c>
    </row>
    <row r="256">
      <c r="D256" s="12" t="inlineStr">
        <is>
          <t>CHD</t>
        </is>
      </c>
      <c r="E256" s="8" t="n">
        <v>544300</v>
      </c>
      <c r="F256" s="8" t="n">
        <v>605500</v>
      </c>
      <c r="G256" s="8" t="n">
        <v>636500</v>
      </c>
      <c r="H256" s="8" t="n">
        <v>703200</v>
      </c>
      <c r="I256" s="45">
        <f>(F256-E256)/E256</f>
        <v/>
      </c>
      <c r="J256" s="45">
        <f>(G256-F256)/F256</f>
        <v/>
      </c>
      <c r="K256" s="46">
        <f>(H256-G256)/G256</f>
        <v/>
      </c>
    </row>
    <row r="257">
      <c r="D257" s="12" t="inlineStr">
        <is>
          <t>LYB</t>
        </is>
      </c>
      <c r="E257" s="8" t="n">
        <v>4402000</v>
      </c>
      <c r="F257" s="8" t="n">
        <v>3363000</v>
      </c>
      <c r="G257" s="8" t="n">
        <v>3659000</v>
      </c>
      <c r="H257" s="8" t="n">
        <v>3366000</v>
      </c>
      <c r="I257" s="45">
        <f>(F257-E257)/E257</f>
        <v/>
      </c>
      <c r="J257" s="45">
        <f>(G257-F257)/F257</f>
        <v/>
      </c>
      <c r="K257" s="46">
        <f>(H257-G257)/G257</f>
        <v/>
      </c>
    </row>
    <row r="258">
      <c r="D258" s="12" t="inlineStr">
        <is>
          <t>AME</t>
        </is>
      </c>
      <c r="E258" s="8" t="n">
        <v>603457</v>
      </c>
      <c r="F258" s="8" t="n">
        <v>693555</v>
      </c>
      <c r="G258" s="8" t="n">
        <v>758185</v>
      </c>
      <c r="H258" s="8" t="n">
        <v>843442</v>
      </c>
      <c r="I258" s="45">
        <f>(F258-E258)/E258</f>
        <v/>
      </c>
      <c r="J258" s="45">
        <f>(G258-F258)/F258</f>
        <v/>
      </c>
      <c r="K258" s="46">
        <f>(H258-G258)/G258</f>
        <v/>
      </c>
    </row>
    <row r="259">
      <c r="D259" s="12" t="inlineStr">
        <is>
          <t>RMD</t>
        </is>
      </c>
      <c r="E259" s="8" t="n">
        <v>489399</v>
      </c>
      <c r="F259" s="8" t="n">
        <v>351834</v>
      </c>
      <c r="G259" s="8" t="n">
        <v>442445</v>
      </c>
      <c r="H259" s="8" t="n">
        <v>390341</v>
      </c>
      <c r="I259" s="45">
        <f>(F259-E259)/E259</f>
        <v/>
      </c>
      <c r="J259" s="45">
        <f>(G259-F259)/F259</f>
        <v/>
      </c>
      <c r="K259" s="46">
        <f>(H259-G259)/G259</f>
        <v/>
      </c>
    </row>
    <row r="260">
      <c r="D260" s="12" t="inlineStr">
        <is>
          <t>KR</t>
        </is>
      </c>
      <c r="E260" s="8" t="n">
        <v>1568000</v>
      </c>
      <c r="F260" s="8" t="n">
        <v>573000</v>
      </c>
      <c r="G260" s="8" t="n">
        <v>604000</v>
      </c>
      <c r="H260" s="8" t="n">
        <v>1197000</v>
      </c>
      <c r="I260" s="45">
        <f>(F260-E260)/E260</f>
        <v/>
      </c>
      <c r="J260" s="45">
        <f>(G260-F260)/F260</f>
        <v/>
      </c>
      <c r="K260" s="46">
        <f>(H260-G260)/G260</f>
        <v/>
      </c>
    </row>
    <row r="261">
      <c r="D261" s="12" t="inlineStr">
        <is>
          <t>CDNS</t>
        </is>
      </c>
      <c r="E261" s="8" t="n">
        <v>333392</v>
      </c>
      <c r="F261" s="8" t="n">
        <v>391167</v>
      </c>
      <c r="G261" s="8" t="n">
        <v>412839</v>
      </c>
      <c r="H261" s="8" t="n">
        <v>543248</v>
      </c>
      <c r="I261" s="45">
        <f>(F261-E261)/E261</f>
        <v/>
      </c>
      <c r="J261" s="45">
        <f>(G261-F261)/F261</f>
        <v/>
      </c>
      <c r="K261" s="46">
        <f>(H261-G261)/G261</f>
        <v/>
      </c>
    </row>
    <row r="262">
      <c r="D262" s="12" t="inlineStr">
        <is>
          <t>RSG</t>
        </is>
      </c>
      <c r="E262" s="8" t="n">
        <v>734100</v>
      </c>
      <c r="F262" s="8" t="n">
        <v>920000</v>
      </c>
      <c r="G262" s="8" t="n">
        <v>920900</v>
      </c>
      <c r="H262" s="8" t="n">
        <v>1171000</v>
      </c>
      <c r="I262" s="45">
        <f>(F262-E262)/E262</f>
        <v/>
      </c>
      <c r="J262" s="45">
        <f>(G262-F262)/F262</f>
        <v/>
      </c>
      <c r="K262" s="46">
        <f>(H262-G262)/G262</f>
        <v/>
      </c>
    </row>
    <row r="263">
      <c r="D263" s="12" t="inlineStr">
        <is>
          <t>STT</t>
        </is>
      </c>
      <c r="E263" s="8" t="n">
        <v>-2106000</v>
      </c>
      <c r="F263" s="8" t="n">
        <v>1677000</v>
      </c>
      <c r="G263" s="8" t="n">
        <v>6296000</v>
      </c>
      <c r="H263" s="8" t="n">
        <v>9848000</v>
      </c>
      <c r="I263" s="45">
        <f>(F263-E263)/E263</f>
        <v/>
      </c>
      <c r="J263" s="45">
        <f>(G263-F263)/F263</f>
        <v/>
      </c>
      <c r="K263" s="46">
        <f>(H263-G263)/G263</f>
        <v/>
      </c>
    </row>
    <row r="264">
      <c r="D264" s="12" t="inlineStr">
        <is>
          <t>WY</t>
        </is>
      </c>
      <c r="E264" s="8" t="n">
        <v>999000</v>
      </c>
      <c r="F264" s="8" t="n">
        <v>676000</v>
      </c>
      <c r="G264" s="8" t="n">
        <v>1140000</v>
      </c>
      <c r="H264" s="8" t="n">
        <v>1053000</v>
      </c>
      <c r="I264" s="45">
        <f>(F264-E264)/E264</f>
        <v/>
      </c>
      <c r="J264" s="45">
        <f>(G264-F264)/F264</f>
        <v/>
      </c>
      <c r="K264" s="46">
        <f>(H264-G264)/G264</f>
        <v/>
      </c>
    </row>
    <row r="265">
      <c r="D265" s="12" t="inlineStr">
        <is>
          <t>VMC</t>
        </is>
      </c>
      <c r="E265" s="8" t="n">
        <v>230276</v>
      </c>
      <c r="F265" s="8" t="n">
        <v>294440</v>
      </c>
      <c r="G265" s="8" t="n">
        <v>185112</v>
      </c>
      <c r="H265" s="8" t="n">
        <v>363689</v>
      </c>
      <c r="I265" s="45">
        <f>(F265-E265)/E265</f>
        <v/>
      </c>
      <c r="J265" s="45">
        <f>(G265-F265)/F265</f>
        <v/>
      </c>
      <c r="K265" s="46">
        <f>(H265-G265)/G265</f>
        <v/>
      </c>
    </row>
    <row r="266">
      <c r="D266" s="12" t="inlineStr">
        <is>
          <t>NTRS</t>
        </is>
      </c>
      <c r="E266" s="8" t="n">
        <v>1735900</v>
      </c>
      <c r="F266" s="8" t="n">
        <v>1398700</v>
      </c>
      <c r="G266" s="8" t="n">
        <v>1628800</v>
      </c>
      <c r="H266" s="8" t="n">
        <v>1669900</v>
      </c>
      <c r="I266" s="45">
        <f>(F266-E266)/E266</f>
        <v/>
      </c>
      <c r="J266" s="45">
        <f>(G266-F266)/F266</f>
        <v/>
      </c>
      <c r="K266" s="46">
        <f>(H266-G266)/G266</f>
        <v/>
      </c>
    </row>
    <row r="267">
      <c r="D267" s="12" t="inlineStr">
        <is>
          <t>CNC</t>
        </is>
      </c>
      <c r="E267" s="8" t="n">
        <v>508000</v>
      </c>
      <c r="F267" s="8" t="n">
        <v>1545000</v>
      </c>
      <c r="G267" s="8" t="n">
        <v>1067000</v>
      </c>
      <c r="H267" s="8" t="n">
        <v>559000</v>
      </c>
      <c r="I267" s="45">
        <f>(F267-E267)/E267</f>
        <v/>
      </c>
      <c r="J267" s="45">
        <f>(G267-F267)/F267</f>
        <v/>
      </c>
      <c r="K267" s="46">
        <f>(H267-G267)/G267</f>
        <v/>
      </c>
    </row>
    <row r="268">
      <c r="D268" s="12" t="inlineStr">
        <is>
          <t>AEE</t>
        </is>
      </c>
      <c r="E268" s="8" t="n">
        <v>62000</v>
      </c>
      <c r="F268" s="8" t="n">
        <v>-14000</v>
      </c>
      <c r="G268" s="8" t="n">
        <v>-77000</v>
      </c>
      <c r="H268" s="8" t="n">
        <v>-168000</v>
      </c>
      <c r="I268" s="45">
        <f>(F268-E268)/E268</f>
        <v/>
      </c>
      <c r="J268" s="45">
        <f>(G268-F268)/F268</f>
        <v/>
      </c>
      <c r="K268" s="46">
        <f>(H268-G268)/G268</f>
        <v/>
      </c>
    </row>
    <row r="269">
      <c r="D269" s="12" t="inlineStr">
        <is>
          <t>UAL</t>
        </is>
      </c>
      <c r="E269" s="8" t="n">
        <v>3245000</v>
      </c>
      <c r="F269" s="8" t="n">
        <v>2319000</v>
      </c>
      <c r="G269" s="8" t="n">
        <v>-585000</v>
      </c>
      <c r="H269" s="8" t="n">
        <v>2004000</v>
      </c>
      <c r="I269" s="45">
        <f>(F269-E269)/E269</f>
        <v/>
      </c>
      <c r="J269" s="45">
        <f>(G269-F269)/F269</f>
        <v/>
      </c>
      <c r="K269" s="46">
        <f>(H269-G269)/G269</f>
        <v/>
      </c>
    </row>
    <row r="270">
      <c r="D270" s="12" t="inlineStr">
        <is>
          <t>FITB</t>
        </is>
      </c>
      <c r="E270" s="8" t="n">
        <v>2169000</v>
      </c>
      <c r="F270" s="8" t="n">
        <v>1779000</v>
      </c>
      <c r="G270" s="8" t="n">
        <v>1249000</v>
      </c>
      <c r="H270" s="8" t="n">
        <v>2664000</v>
      </c>
      <c r="I270" s="45">
        <f>(F270-E270)/E270</f>
        <v/>
      </c>
      <c r="J270" s="45">
        <f>(G270-F270)/F270</f>
        <v/>
      </c>
      <c r="K270" s="46">
        <f>(H270-G270)/G270</f>
        <v/>
      </c>
    </row>
    <row r="271">
      <c r="D271" s="12" t="inlineStr">
        <is>
          <t>ULTA</t>
        </is>
      </c>
      <c r="E271" s="8" t="n">
        <v>76707</v>
      </c>
      <c r="F271" s="8" t="n">
        <v>260938</v>
      </c>
      <c r="G271" s="8" t="n">
        <v>338652</v>
      </c>
      <c r="H271" s="8" t="n">
        <v>636727</v>
      </c>
      <c r="I271" s="45">
        <f>(F271-E271)/E271</f>
        <v/>
      </c>
      <c r="J271" s="45">
        <f>(G271-F271)/F271</f>
        <v/>
      </c>
      <c r="K271" s="46">
        <f>(H271-G271)/G271</f>
        <v/>
      </c>
    </row>
    <row r="272">
      <c r="D272" s="12" t="inlineStr">
        <is>
          <t>ANSS</t>
        </is>
      </c>
      <c r="E272" s="8" t="n">
        <v>359554</v>
      </c>
      <c r="F272" s="8" t="n">
        <v>353537</v>
      </c>
      <c r="G272" s="8" t="n">
        <v>411289</v>
      </c>
      <c r="H272" s="8" t="n">
        <v>464675</v>
      </c>
      <c r="I272" s="45">
        <f>(F272-E272)/E272</f>
        <v/>
      </c>
      <c r="J272" s="45">
        <f>(G272-F272)/F272</f>
        <v/>
      </c>
      <c r="K272" s="46">
        <f>(H272-G272)/G272</f>
        <v/>
      </c>
    </row>
    <row r="273">
      <c r="D273" s="12" t="inlineStr">
        <is>
          <t>EXPE</t>
        </is>
      </c>
      <c r="E273" s="8" t="n">
        <v>581004</v>
      </c>
      <c r="F273" s="8" t="n">
        <v>800000</v>
      </c>
      <c r="G273" s="8" t="n">
        <v>1135000</v>
      </c>
      <c r="H273" s="8" t="n">
        <v>1097000</v>
      </c>
      <c r="I273" s="45">
        <f>(F273-E273)/E273</f>
        <v/>
      </c>
      <c r="J273" s="45">
        <f>(G273-F273)/F273</f>
        <v/>
      </c>
      <c r="K273" s="46">
        <f>(H273-G273)/G273</f>
        <v/>
      </c>
    </row>
    <row r="274">
      <c r="D274" s="12" t="inlineStr">
        <is>
          <t>RCL</t>
        </is>
      </c>
      <c r="E274" s="8" t="n">
        <v>333026</v>
      </c>
      <c r="F274" s="8" t="n">
        <v>22327</v>
      </c>
      <c r="G274" s="8" t="n">
        <v>2310428</v>
      </c>
      <c r="H274" s="8" t="n">
        <v>-180889</v>
      </c>
      <c r="I274" s="45">
        <f>(F274-E274)/E274</f>
        <v/>
      </c>
      <c r="J274" s="45">
        <f>(G274-F274)/F274</f>
        <v/>
      </c>
      <c r="K274" s="46">
        <f>(H274-G274)/G274</f>
        <v/>
      </c>
    </row>
    <row r="275">
      <c r="D275" s="12" t="inlineStr">
        <is>
          <t>ROK</t>
        </is>
      </c>
      <c r="E275" s="8" t="n">
        <v>1064800</v>
      </c>
      <c r="F275" s="8" t="n">
        <v>830400</v>
      </c>
      <c r="G275" s="8" t="n">
        <v>892300</v>
      </c>
      <c r="H275" s="8" t="n">
        <v>1174500</v>
      </c>
      <c r="I275" s="45">
        <f>(F275-E275)/E275</f>
        <v/>
      </c>
      <c r="J275" s="45">
        <f>(G275-F275)/F275</f>
        <v/>
      </c>
      <c r="K275" s="46">
        <f>(H275-G275)/G275</f>
        <v/>
      </c>
    </row>
    <row r="276">
      <c r="D276" s="12" t="inlineStr">
        <is>
          <t>CMS</t>
        </is>
      </c>
      <c r="E276" s="8" t="n">
        <v>-78000</v>
      </c>
      <c r="F276" s="8" t="n">
        <v>-43000</v>
      </c>
      <c r="G276" s="8" t="n">
        <v>40000</v>
      </c>
      <c r="H276" s="8" t="n">
        <v>-371000</v>
      </c>
      <c r="I276" s="45">
        <f>(F276-E276)/E276</f>
        <v/>
      </c>
      <c r="J276" s="45">
        <f>(G276-F276)/F276</f>
        <v/>
      </c>
      <c r="K276" s="46">
        <f>(H276-G276)/G276</f>
        <v/>
      </c>
    </row>
    <row r="277">
      <c r="D277" s="12" t="inlineStr">
        <is>
          <t>KEYS</t>
        </is>
      </c>
      <c r="E277" s="8" t="n">
        <v>284000</v>
      </c>
      <c r="F277" s="8" t="n">
        <v>329000</v>
      </c>
      <c r="G277" s="8" t="n">
        <v>256000</v>
      </c>
      <c r="H277" s="8" t="n">
        <v>423000</v>
      </c>
      <c r="I277" s="45">
        <f>(F277-E277)/E277</f>
        <v/>
      </c>
      <c r="J277" s="45">
        <f>(G277-F277)/F277</f>
        <v/>
      </c>
      <c r="K277" s="46">
        <f>(H277-G277)/G277</f>
        <v/>
      </c>
    </row>
    <row r="278">
      <c r="D278" s="12" t="inlineStr">
        <is>
          <t>CCL</t>
        </is>
      </c>
      <c r="E278" s="8" t="n">
        <v>2251000</v>
      </c>
      <c r="F278" s="8" t="n">
        <v>2072000</v>
      </c>
      <c r="G278" s="8" t="n">
        <v>2378000</v>
      </c>
      <c r="H278" s="8" t="n">
        <v>1800000</v>
      </c>
      <c r="I278" s="45">
        <f>(F278-E278)/E278</f>
        <v/>
      </c>
      <c r="J278" s="45">
        <f>(G278-F278)/F278</f>
        <v/>
      </c>
      <c r="K278" s="46">
        <f>(H278-G278)/G278</f>
        <v/>
      </c>
    </row>
    <row r="279">
      <c r="D279" s="12" t="inlineStr">
        <is>
          <t>HPE</t>
        </is>
      </c>
      <c r="E279" s="8" t="n">
        <v>317000</v>
      </c>
      <c r="F279" s="8" t="n">
        <v>1776000</v>
      </c>
      <c r="G279" s="8" t="n">
        <v>-1802000</v>
      </c>
      <c r="H279" s="8" t="n">
        <v>8000</v>
      </c>
      <c r="I279" s="45">
        <f>(F279-E279)/E279</f>
        <v/>
      </c>
      <c r="J279" s="45">
        <f>(G279-F279)/F279</f>
        <v/>
      </c>
      <c r="K279" s="46">
        <f>(H279-G279)/G279</f>
        <v/>
      </c>
    </row>
    <row r="280">
      <c r="D280" s="12" t="inlineStr">
        <is>
          <t>EFX</t>
        </is>
      </c>
      <c r="E280" s="8" t="n">
        <v>622900</v>
      </c>
      <c r="F280" s="8" t="n">
        <v>649500</v>
      </c>
      <c r="G280" s="8" t="n">
        <v>597800</v>
      </c>
      <c r="H280" s="8" t="n">
        <v>350300</v>
      </c>
      <c r="I280" s="45">
        <f>(F280-E280)/E280</f>
        <v/>
      </c>
      <c r="J280" s="45">
        <f>(G280-F280)/F280</f>
        <v/>
      </c>
      <c r="K280" s="46">
        <f>(H280-G280)/G280</f>
        <v/>
      </c>
    </row>
    <row r="281">
      <c r="D281" s="12" t="inlineStr">
        <is>
          <t>FAST</t>
        </is>
      </c>
      <c r="E281" s="8" t="n">
        <v>395100</v>
      </c>
      <c r="F281" s="8" t="n">
        <v>330400</v>
      </c>
      <c r="G281" s="8" t="n">
        <v>465300</v>
      </c>
      <c r="H281" s="8" t="n">
        <v>497900</v>
      </c>
      <c r="I281" s="45">
        <f>(F281-E281)/E281</f>
        <v/>
      </c>
      <c r="J281" s="45">
        <f>(G281-F281)/F281</f>
        <v/>
      </c>
      <c r="K281" s="46">
        <f>(H281-G281)/G281</f>
        <v/>
      </c>
    </row>
    <row r="282">
      <c r="D282" s="12" t="inlineStr">
        <is>
          <t>AMP</t>
        </is>
      </c>
      <c r="E282" s="8" t="n">
        <v>2558000</v>
      </c>
      <c r="F282" s="8" t="n">
        <v>2239000</v>
      </c>
      <c r="G282" s="8" t="n">
        <v>1361000</v>
      </c>
      <c r="H282" s="8" t="n">
        <v>2435000</v>
      </c>
      <c r="I282" s="45">
        <f>(F282-E282)/E282</f>
        <v/>
      </c>
      <c r="J282" s="45">
        <f>(G282-F282)/F282</f>
        <v/>
      </c>
      <c r="K282" s="46">
        <f>(H282-G282)/G282</f>
        <v/>
      </c>
    </row>
    <row r="283">
      <c r="D283" s="12" t="inlineStr">
        <is>
          <t>OMC</t>
        </is>
      </c>
      <c r="E283" s="8" t="n">
        <v>1996800</v>
      </c>
      <c r="F283" s="8" t="n">
        <v>1786900</v>
      </c>
      <c r="G283" s="8" t="n">
        <v>1867900</v>
      </c>
      <c r="H283" s="8" t="n">
        <v>1526600</v>
      </c>
      <c r="I283" s="45">
        <f>(F283-E283)/E283</f>
        <v/>
      </c>
      <c r="J283" s="45">
        <f>(G283-F283)/F283</f>
        <v/>
      </c>
      <c r="K283" s="46">
        <f>(H283-G283)/G283</f>
        <v/>
      </c>
    </row>
    <row r="284">
      <c r="D284" s="12" t="inlineStr">
        <is>
          <t>DHI</t>
        </is>
      </c>
      <c r="E284" s="8" t="n">
        <v>644300</v>
      </c>
      <c r="F284" s="8" t="n">
        <v>537800</v>
      </c>
      <c r="G284" s="8" t="n">
        <v>282900</v>
      </c>
      <c r="H284" s="8" t="n">
        <v>406900</v>
      </c>
      <c r="I284" s="45">
        <f>(F284-E284)/E284</f>
        <v/>
      </c>
      <c r="J284" s="45">
        <f>(G284-F284)/F284</f>
        <v/>
      </c>
      <c r="K284" s="46">
        <f>(H284-G284)/G284</f>
        <v/>
      </c>
    </row>
    <row r="285">
      <c r="D285" s="12" t="inlineStr">
        <is>
          <t>TFX</t>
        </is>
      </c>
      <c r="E285" s="8" t="n">
        <v>239362</v>
      </c>
      <c r="F285" s="8" t="n">
        <v>355345</v>
      </c>
      <c r="G285" s="8" t="n">
        <v>348982</v>
      </c>
      <c r="H285" s="8" t="n">
        <v>356583</v>
      </c>
      <c r="I285" s="45">
        <f>(F285-E285)/E285</f>
        <v/>
      </c>
      <c r="J285" s="45">
        <f>(G285-F285)/F285</f>
        <v/>
      </c>
      <c r="K285" s="46">
        <f>(H285-G285)/G285</f>
        <v/>
      </c>
    </row>
    <row r="286">
      <c r="D286" s="12" t="inlineStr">
        <is>
          <t>ARE</t>
        </is>
      </c>
      <c r="E286" s="8" t="n">
        <v>342611</v>
      </c>
      <c r="F286" s="8" t="n">
        <v>393487</v>
      </c>
      <c r="G286" s="8" t="n">
        <v>450882</v>
      </c>
      <c r="H286" s="8" t="n">
        <v>570339</v>
      </c>
      <c r="I286" s="45">
        <f>(F286-E286)/E286</f>
        <v/>
      </c>
      <c r="J286" s="45">
        <f>(G286-F286)/F286</f>
        <v/>
      </c>
      <c r="K286" s="46">
        <f>(H286-G286)/G286</f>
        <v/>
      </c>
    </row>
    <row r="287">
      <c r="D287" s="12" t="inlineStr">
        <is>
          <t>CINF</t>
        </is>
      </c>
      <c r="E287" s="8" t="n">
        <v>1065000</v>
      </c>
      <c r="F287" s="8" t="n">
        <v>1102000</v>
      </c>
      <c r="G287" s="8" t="n">
        <v>1036000</v>
      </c>
      <c r="H287" s="8" t="n">
        <v>1161000</v>
      </c>
      <c r="I287" s="45">
        <f>(F287-E287)/E287</f>
        <v/>
      </c>
      <c r="J287" s="45">
        <f>(G287-F287)/F287</f>
        <v/>
      </c>
      <c r="K287" s="46">
        <f>(H287-G287)/G287</f>
        <v/>
      </c>
    </row>
    <row r="288">
      <c r="D288" s="12" t="inlineStr">
        <is>
          <t>LH</t>
        </is>
      </c>
      <c r="E288" s="8" t="n">
        <v>726600</v>
      </c>
      <c r="F288" s="8" t="n">
        <v>918200</v>
      </c>
      <c r="G288" s="8" t="n">
        <v>1185200</v>
      </c>
      <c r="H288" s="8" t="n">
        <v>925600</v>
      </c>
      <c r="I288" s="45">
        <f>(F288-E288)/E288</f>
        <v/>
      </c>
      <c r="J288" s="45">
        <f>(G288-F288)/F288</f>
        <v/>
      </c>
      <c r="K288" s="46">
        <f>(H288-G288)/G288</f>
        <v/>
      </c>
    </row>
    <row r="289">
      <c r="D289" s="12" t="inlineStr">
        <is>
          <t>HCP</t>
        </is>
      </c>
      <c r="E289" s="8" t="n">
        <v>1216087</v>
      </c>
      <c r="F289" s="8" t="n">
        <v>1214131</v>
      </c>
      <c r="G289" s="8" t="n">
        <v>847041</v>
      </c>
      <c r="H289" s="8" t="n">
        <v>848709</v>
      </c>
      <c r="I289" s="45">
        <f>(F289-E289)/E289</f>
        <v/>
      </c>
      <c r="J289" s="45">
        <f>(G289-F289)/F289</f>
        <v/>
      </c>
      <c r="K289" s="46">
        <f>(H289-G289)/G289</f>
        <v/>
      </c>
    </row>
    <row r="290">
      <c r="D290" s="12" t="inlineStr">
        <is>
          <t>AJG</t>
        </is>
      </c>
      <c r="E290" s="8" t="n">
        <v>587100</v>
      </c>
      <c r="F290" s="8" t="n">
        <v>431800</v>
      </c>
      <c r="G290" s="8" t="n">
        <v>725000</v>
      </c>
      <c r="H290" s="8" t="n">
        <v>640700</v>
      </c>
      <c r="I290" s="45">
        <f>(F290-E290)/E290</f>
        <v/>
      </c>
      <c r="J290" s="45">
        <f>(G290-F290)/F290</f>
        <v/>
      </c>
      <c r="K290" s="46">
        <f>(H290-G290)/G290</f>
        <v/>
      </c>
    </row>
    <row r="291">
      <c r="D291" s="12" t="inlineStr">
        <is>
          <t>KEY</t>
        </is>
      </c>
      <c r="E291" s="8" t="n">
        <v>1056000</v>
      </c>
      <c r="F291" s="8" t="n">
        <v>1544000</v>
      </c>
      <c r="G291" s="8" t="n">
        <v>1703000</v>
      </c>
      <c r="H291" s="8" t="n">
        <v>2407000</v>
      </c>
      <c r="I291" s="45">
        <f>(F291-E291)/E291</f>
        <v/>
      </c>
      <c r="J291" s="45">
        <f>(G291-F291)/F291</f>
        <v/>
      </c>
      <c r="K291" s="46">
        <f>(H291-G291)/G291</f>
        <v/>
      </c>
    </row>
    <row r="292">
      <c r="D292" s="12" t="inlineStr">
        <is>
          <t>WDC</t>
        </is>
      </c>
      <c r="E292" s="8" t="n">
        <v>1399000</v>
      </c>
      <c r="F292" s="8" t="n">
        <v>2859000</v>
      </c>
      <c r="G292" s="8" t="n">
        <v>3370000</v>
      </c>
      <c r="H292" s="8" t="n">
        <v>671000</v>
      </c>
      <c r="I292" s="45">
        <f>(F292-E292)/E292</f>
        <v/>
      </c>
      <c r="J292" s="45">
        <f>(G292-F292)/F292</f>
        <v/>
      </c>
      <c r="K292" s="46">
        <f>(H292-G292)/G292</f>
        <v/>
      </c>
    </row>
    <row r="293">
      <c r="D293" s="12" t="inlineStr">
        <is>
          <t>MTD</t>
        </is>
      </c>
      <c r="E293" s="8" t="n">
        <v>357291</v>
      </c>
      <c r="F293" s="8" t="n">
        <v>336801</v>
      </c>
      <c r="G293" s="8" t="n">
        <v>388899</v>
      </c>
      <c r="H293" s="8" t="n">
        <v>422279</v>
      </c>
      <c r="I293" s="45">
        <f>(F293-E293)/E293</f>
        <v/>
      </c>
      <c r="J293" s="45">
        <f>(G293-F293)/F293</f>
        <v/>
      </c>
      <c r="K293" s="46">
        <f>(H293-G293)/G293</f>
        <v/>
      </c>
    </row>
    <row r="294">
      <c r="D294" s="12" t="inlineStr">
        <is>
          <t>COO</t>
        </is>
      </c>
      <c r="E294" s="8" t="n">
        <v>147900</v>
      </c>
      <c r="F294" s="8" t="n">
        <v>357000</v>
      </c>
      <c r="G294" s="8" t="n">
        <v>466400</v>
      </c>
      <c r="H294" s="8" t="n">
        <v>-630100</v>
      </c>
      <c r="I294" s="45">
        <f>(F294-E294)/E294</f>
        <v/>
      </c>
      <c r="J294" s="45">
        <f>(G294-F294)/F294</f>
        <v/>
      </c>
      <c r="K294" s="46">
        <f>(H294-G294)/G294</f>
        <v/>
      </c>
    </row>
    <row r="295">
      <c r="D295" s="12" t="inlineStr">
        <is>
          <t>K</t>
        </is>
      </c>
      <c r="E295" s="8" t="n">
        <v>1138000</v>
      </c>
      <c r="F295" s="8" t="n">
        <v>764000</v>
      </c>
      <c r="G295" s="8" t="n">
        <v>-98000</v>
      </c>
      <c r="H295" s="8" t="n">
        <v>958000</v>
      </c>
      <c r="I295" s="45">
        <f>(F295-E295)/E295</f>
        <v/>
      </c>
      <c r="J295" s="45">
        <f>(G295-F295)/F295</f>
        <v/>
      </c>
      <c r="K295" s="46">
        <f>(H295-G295)/G295</f>
        <v/>
      </c>
    </row>
    <row r="296">
      <c r="D296" s="12" t="inlineStr">
        <is>
          <t>EVRG</t>
        </is>
      </c>
      <c r="E296" s="8" t="n">
        <v>15622</v>
      </c>
      <c r="F296" s="8" t="n">
        <v>-283200</v>
      </c>
      <c r="G296" s="8" t="n">
        <v>148100</v>
      </c>
      <c r="H296" s="8" t="n">
        <v>428100</v>
      </c>
      <c r="I296" s="45">
        <f>(F296-E296)/E296</f>
        <v/>
      </c>
      <c r="J296" s="45">
        <f>(G296-F296)/F296</f>
        <v/>
      </c>
      <c r="K296" s="46">
        <f>(H296-G296)/G296</f>
        <v/>
      </c>
    </row>
    <row r="297">
      <c r="D297" s="12" t="inlineStr">
        <is>
          <t>MLM</t>
        </is>
      </c>
      <c r="E297" s="8" t="n">
        <v>237134</v>
      </c>
      <c r="F297" s="8" t="n">
        <v>218763</v>
      </c>
      <c r="G297" s="8" t="n">
        <v>203679</v>
      </c>
      <c r="H297" s="8" t="n">
        <v>249843</v>
      </c>
      <c r="I297" s="45">
        <f>(F297-E297)/E297</f>
        <v/>
      </c>
      <c r="J297" s="45">
        <f>(G297-F297)/F297</f>
        <v/>
      </c>
      <c r="K297" s="46">
        <f>(H297-G297)/G297</f>
        <v/>
      </c>
    </row>
    <row r="298">
      <c r="D298" s="12" t="inlineStr">
        <is>
          <t>KHC</t>
        </is>
      </c>
      <c r="E298" s="8" t="n">
        <v>624000</v>
      </c>
      <c r="F298" s="8" t="n">
        <v>1401000</v>
      </c>
      <c r="G298" s="8" t="n">
        <v>-693000</v>
      </c>
      <c r="H298" s="8" t="n">
        <v>1748000</v>
      </c>
      <c r="I298" s="45">
        <f>(F298-E298)/E298</f>
        <v/>
      </c>
      <c r="J298" s="45">
        <f>(G298-F298)/F298</f>
        <v/>
      </c>
      <c r="K298" s="46">
        <f>(H298-G298)/G298</f>
        <v/>
      </c>
    </row>
    <row r="299">
      <c r="D299" s="12" t="inlineStr">
        <is>
          <t>BBY</t>
        </is>
      </c>
      <c r="E299" s="8" t="n">
        <v>694000</v>
      </c>
      <c r="F299" s="8" t="n">
        <v>1977000</v>
      </c>
      <c r="G299" s="8" t="n">
        <v>1453000</v>
      </c>
      <c r="H299" s="8" t="n">
        <v>1589000</v>
      </c>
      <c r="I299" s="45">
        <f>(F299-E299)/E299</f>
        <v/>
      </c>
      <c r="J299" s="45">
        <f>(G299-F299)/F299</f>
        <v/>
      </c>
      <c r="K299" s="46">
        <f>(H299-G299)/G299</f>
        <v/>
      </c>
    </row>
    <row r="300">
      <c r="D300" s="12" t="inlineStr">
        <is>
          <t>EXR</t>
        </is>
      </c>
      <c r="E300" s="8" t="n">
        <v>359949</v>
      </c>
      <c r="F300" s="8" t="n">
        <v>534295</v>
      </c>
      <c r="G300" s="8" t="n">
        <v>589556</v>
      </c>
      <c r="H300" s="8" t="n">
        <v>673498</v>
      </c>
      <c r="I300" s="45">
        <f>(F300-E300)/E300</f>
        <v/>
      </c>
      <c r="J300" s="45">
        <f>(G300-F300)/F300</f>
        <v/>
      </c>
      <c r="K300" s="46">
        <f>(H300-G300)/G300</f>
        <v/>
      </c>
    </row>
    <row r="301">
      <c r="D301" s="12" t="inlineStr">
        <is>
          <t>HAL</t>
        </is>
      </c>
      <c r="E301" s="8" t="n">
        <v>722000</v>
      </c>
      <c r="F301" s="8" t="n">
        <v>-2501000</v>
      </c>
      <c r="G301" s="8" t="n">
        <v>1095000</v>
      </c>
      <c r="H301" s="8" t="n">
        <v>1131000</v>
      </c>
      <c r="I301" s="45">
        <f>(F301-E301)/E301</f>
        <v/>
      </c>
      <c r="J301" s="45">
        <f>(G301-F301)/F301</f>
        <v/>
      </c>
      <c r="K301" s="46">
        <f>(H301-G301)/G301</f>
        <v/>
      </c>
    </row>
    <row r="302">
      <c r="D302" s="12" t="inlineStr">
        <is>
          <t>CBRE</t>
        </is>
      </c>
      <c r="E302" s="8" t="n">
        <v>512433</v>
      </c>
      <c r="F302" s="8" t="n">
        <v>425780</v>
      </c>
      <c r="G302" s="8" t="n">
        <v>716369</v>
      </c>
      <c r="H302" s="8" t="n">
        <v>903446</v>
      </c>
      <c r="I302" s="45">
        <f>(F302-E302)/E302</f>
        <v/>
      </c>
      <c r="J302" s="45">
        <f>(G302-F302)/F302</f>
        <v/>
      </c>
      <c r="K302" s="46">
        <f>(H302-G302)/G302</f>
        <v/>
      </c>
    </row>
    <row r="303">
      <c r="D303" s="12" t="inlineStr">
        <is>
          <t>HES</t>
        </is>
      </c>
      <c r="E303" s="8" t="n">
        <v>-2340000</v>
      </c>
      <c r="F303" s="8" t="n">
        <v>-1456000</v>
      </c>
      <c r="G303" s="8" t="n">
        <v>-992000</v>
      </c>
      <c r="H303" s="8" t="n">
        <v>-158000</v>
      </c>
      <c r="I303" s="45">
        <f>(F303-E303)/E303</f>
        <v/>
      </c>
      <c r="J303" s="45">
        <f>(G303-F303)/F303</f>
        <v/>
      </c>
      <c r="K303" s="46">
        <f>(H303-G303)/G303</f>
        <v/>
      </c>
    </row>
    <row r="304">
      <c r="D304" s="12" t="inlineStr">
        <is>
          <t>IP</t>
        </is>
      </c>
      <c r="E304" s="8" t="n">
        <v>1093000</v>
      </c>
      <c r="F304" s="8" t="n">
        <v>1130000</v>
      </c>
      <c r="G304" s="8" t="n">
        <v>366000</v>
      </c>
      <c r="H304" s="8" t="n">
        <v>1654000</v>
      </c>
      <c r="I304" s="45">
        <f>(F304-E304)/E304</f>
        <v/>
      </c>
      <c r="J304" s="45">
        <f>(G304-F304)/F304</f>
        <v/>
      </c>
      <c r="K304" s="46">
        <f>(H304-G304)/G304</f>
        <v/>
      </c>
    </row>
    <row r="305">
      <c r="D305" s="12" t="inlineStr">
        <is>
          <t>CPRT</t>
        </is>
      </c>
      <c r="E305" s="8" t="n">
        <v>158581</v>
      </c>
      <c r="F305" s="8" t="n">
        <v>319880</v>
      </c>
      <c r="G305" s="8" t="n">
        <v>247159</v>
      </c>
      <c r="H305" s="8" t="n">
        <v>272018</v>
      </c>
      <c r="I305" s="45">
        <f>(F305-E305)/E305</f>
        <v/>
      </c>
      <c r="J305" s="45">
        <f>(G305-F305)/F305</f>
        <v/>
      </c>
      <c r="K305" s="46">
        <f>(H305-G305)/G305</f>
        <v/>
      </c>
    </row>
    <row r="306">
      <c r="D306" s="12" t="inlineStr">
        <is>
          <t>BR</t>
        </is>
      </c>
      <c r="E306" s="8" t="n">
        <v>380000</v>
      </c>
      <c r="F306" s="8" t="n">
        <v>430500</v>
      </c>
      <c r="G306" s="8" t="n">
        <v>616900</v>
      </c>
      <c r="H306" s="8" t="n">
        <v>566400</v>
      </c>
      <c r="I306" s="45">
        <f>(F306-E306)/E306</f>
        <v/>
      </c>
      <c r="J306" s="45">
        <f>(G306-F306)/F306</f>
        <v/>
      </c>
      <c r="K306" s="46">
        <f>(H306-G306)/G306</f>
        <v/>
      </c>
    </row>
    <row r="307">
      <c r="D307" s="12" t="inlineStr">
        <is>
          <t>LEN</t>
        </is>
      </c>
      <c r="E307" s="8" t="n">
        <v>-511001</v>
      </c>
      <c r="F307" s="8" t="n">
        <v>431365</v>
      </c>
      <c r="G307" s="8" t="n">
        <v>885091</v>
      </c>
      <c r="H307" s="8" t="n">
        <v>1581170</v>
      </c>
      <c r="I307" s="45">
        <f>(F307-E307)/E307</f>
        <v/>
      </c>
      <c r="J307" s="45">
        <f>(G307-F307)/F307</f>
        <v/>
      </c>
      <c r="K307" s="46">
        <f>(H307-G307)/G307</f>
        <v/>
      </c>
    </row>
    <row r="308">
      <c r="D308" s="12" t="inlineStr">
        <is>
          <t>DRI</t>
        </is>
      </c>
      <c r="E308" s="8" t="n">
        <v>549700</v>
      </c>
      <c r="F308" s="8" t="n">
        <v>605000</v>
      </c>
      <c r="G308" s="8" t="n">
        <v>605300</v>
      </c>
      <c r="H308" s="8" t="n">
        <v>805200</v>
      </c>
      <c r="I308" s="45">
        <f>(F308-E308)/E308</f>
        <v/>
      </c>
      <c r="J308" s="45">
        <f>(G308-F308)/F308</f>
        <v/>
      </c>
      <c r="K308" s="46">
        <f>(H308-G308)/G308</f>
        <v/>
      </c>
    </row>
    <row r="309">
      <c r="D309" s="12" t="inlineStr">
        <is>
          <t>FRC</t>
        </is>
      </c>
      <c r="E309" s="8" t="n">
        <v>574544</v>
      </c>
      <c r="F309" s="8" t="n">
        <v>765737</v>
      </c>
      <c r="G309" s="8" t="n">
        <v>845432</v>
      </c>
      <c r="H309" s="8" t="n">
        <v>977329</v>
      </c>
      <c r="I309" s="45">
        <f>(F309-E309)/E309</f>
        <v/>
      </c>
      <c r="J309" s="45">
        <f>(G309-F309)/F309</f>
        <v/>
      </c>
      <c r="K309" s="46">
        <f>(H309-G309)/G309</f>
        <v/>
      </c>
    </row>
    <row r="310">
      <c r="D310" s="12" t="inlineStr">
        <is>
          <t>MKTX</t>
        </is>
      </c>
      <c r="E310" s="8" t="n">
        <v>119711</v>
      </c>
      <c r="F310" s="8" t="n">
        <v>83362</v>
      </c>
      <c r="G310" s="8" t="n">
        <v>155949</v>
      </c>
      <c r="H310" s="8" t="n">
        <v>188029</v>
      </c>
      <c r="I310" s="45">
        <f>(F310-E310)/E310</f>
        <v/>
      </c>
      <c r="J310" s="45">
        <f>(G310-F310)/F310</f>
        <v/>
      </c>
      <c r="K310" s="46">
        <f>(H310-G310)/G310</f>
        <v/>
      </c>
    </row>
    <row r="311">
      <c r="D311" s="12" t="inlineStr">
        <is>
          <t>CBS</t>
        </is>
      </c>
      <c r="E311" s="8" t="n">
        <v>1223000</v>
      </c>
      <c r="F311" s="8" t="n">
        <v>1489000</v>
      </c>
      <c r="G311" s="8" t="n">
        <v>702000</v>
      </c>
      <c r="H311" s="8" t="n">
        <v>1261000</v>
      </c>
      <c r="I311" s="45">
        <f>(F311-E311)/E311</f>
        <v/>
      </c>
      <c r="J311" s="45">
        <f>(G311-F311)/F311</f>
        <v/>
      </c>
      <c r="K311" s="46">
        <f>(H311-G311)/G311</f>
        <v/>
      </c>
    </row>
    <row r="312">
      <c r="D312" s="12" t="inlineStr">
        <is>
          <t>CFG</t>
        </is>
      </c>
      <c r="E312" s="8" t="n">
        <v>1108000</v>
      </c>
      <c r="F312" s="8" t="n">
        <v>1352000</v>
      </c>
      <c r="G312" s="8" t="n">
        <v>1630000</v>
      </c>
      <c r="H312" s="8" t="n">
        <v>1535000</v>
      </c>
      <c r="I312" s="45">
        <f>(F312-E312)/E312</f>
        <v/>
      </c>
      <c r="J312" s="45">
        <f>(G312-F312)/F312</f>
        <v/>
      </c>
      <c r="K312" s="46">
        <f>(H312-G312)/G312</f>
        <v/>
      </c>
    </row>
    <row r="313">
      <c r="D313" s="12" t="inlineStr">
        <is>
          <t>FANG</t>
        </is>
      </c>
      <c r="E313" s="8" t="n">
        <v>-441679</v>
      </c>
      <c r="F313" s="8" t="n">
        <v>-653366</v>
      </c>
      <c r="G313" s="8" t="n">
        <v>-2413212</v>
      </c>
      <c r="H313" s="8" t="n">
        <v>-1918320</v>
      </c>
      <c r="I313" s="45">
        <f>(F313-E313)/E313</f>
        <v/>
      </c>
      <c r="J313" s="45">
        <f>(G313-F313)/F313</f>
        <v/>
      </c>
      <c r="K313" s="46">
        <f>(H313-G313)/G313</f>
        <v/>
      </c>
    </row>
    <row r="314">
      <c r="D314" s="12" t="inlineStr">
        <is>
          <t>INCY</t>
        </is>
      </c>
      <c r="E314" s="8" t="n">
        <v>63405</v>
      </c>
      <c r="F314" s="8" t="n">
        <v>184479</v>
      </c>
      <c r="G314" s="8" t="n">
        <v>-204009</v>
      </c>
      <c r="H314" s="8" t="n">
        <v>262744</v>
      </c>
      <c r="I314" s="45">
        <f>(F314-E314)/E314</f>
        <v/>
      </c>
      <c r="J314" s="45">
        <f>(G314-F314)/F314</f>
        <v/>
      </c>
      <c r="K314" s="46">
        <f>(H314-G314)/G314</f>
        <v/>
      </c>
    </row>
    <row r="315">
      <c r="D315" s="12" t="inlineStr">
        <is>
          <t>TTWO</t>
        </is>
      </c>
      <c r="E315" s="8" t="n">
        <v>224025</v>
      </c>
      <c r="F315" s="8" t="n">
        <v>386736</v>
      </c>
      <c r="G315" s="8" t="n">
        <v>406005</v>
      </c>
      <c r="H315" s="8" t="n">
        <v>776546</v>
      </c>
      <c r="I315" s="45">
        <f>(F315-E315)/E315</f>
        <v/>
      </c>
      <c r="J315" s="45">
        <f>(G315-F315)/F315</f>
        <v/>
      </c>
      <c r="K315" s="46">
        <f>(H315-G315)/G315</f>
        <v/>
      </c>
    </row>
    <row r="316">
      <c r="D316" s="12" t="inlineStr">
        <is>
          <t>SYMC</t>
        </is>
      </c>
      <c r="E316" s="8" t="n">
        <v>530000</v>
      </c>
      <c r="F316" s="8" t="n">
        <v>-279000</v>
      </c>
      <c r="G316" s="8" t="n">
        <v>808000</v>
      </c>
      <c r="H316" s="8" t="n">
        <v>1288000</v>
      </c>
      <c r="I316" s="45">
        <f>(F316-E316)/E316</f>
        <v/>
      </c>
      <c r="J316" s="45">
        <f>(G316-F316)/F316</f>
        <v/>
      </c>
      <c r="K316" s="46">
        <f>(H316-G316)/G316</f>
        <v/>
      </c>
    </row>
    <row r="317">
      <c r="D317" s="12" t="inlineStr">
        <is>
          <t>NUE</t>
        </is>
      </c>
      <c r="E317" s="8" t="n">
        <v>1794638</v>
      </c>
      <c r="F317" s="8" t="n">
        <v>1145161</v>
      </c>
      <c r="G317" s="8" t="n">
        <v>606783</v>
      </c>
      <c r="H317" s="8" t="n">
        <v>1411421</v>
      </c>
      <c r="I317" s="45">
        <f>(F317-E317)/E317</f>
        <v/>
      </c>
      <c r="J317" s="45">
        <f>(G317-F317)/F317</f>
        <v/>
      </c>
      <c r="K317" s="46">
        <f>(H317-G317)/G317</f>
        <v/>
      </c>
    </row>
    <row r="318">
      <c r="D318" s="12" t="inlineStr">
        <is>
          <t>WAT</t>
        </is>
      </c>
      <c r="E318" s="8" t="n">
        <v>473236</v>
      </c>
      <c r="F318" s="8" t="n">
        <v>547953</v>
      </c>
      <c r="G318" s="8" t="n">
        <v>612167</v>
      </c>
      <c r="H318" s="8" t="n">
        <v>506881</v>
      </c>
      <c r="I318" s="45">
        <f>(F318-E318)/E318</f>
        <v/>
      </c>
      <c r="J318" s="45">
        <f>(G318-F318)/F318</f>
        <v/>
      </c>
      <c r="K318" s="46">
        <f>(H318-G318)/G318</f>
        <v/>
      </c>
    </row>
    <row r="319">
      <c r="D319" s="12" t="inlineStr">
        <is>
          <t>AKAM</t>
        </is>
      </c>
      <c r="E319" s="8" t="n">
        <v>481776</v>
      </c>
      <c r="F319" s="8" t="n">
        <v>690863</v>
      </c>
      <c r="G319" s="8" t="n">
        <v>546837</v>
      </c>
      <c r="H319" s="8" t="n">
        <v>790718</v>
      </c>
      <c r="I319" s="45">
        <f>(F319-E319)/E319</f>
        <v/>
      </c>
      <c r="J319" s="45">
        <f>(G319-F319)/F319</f>
        <v/>
      </c>
      <c r="K319" s="46">
        <f>(H319-G319)/G319</f>
        <v/>
      </c>
    </row>
    <row r="320">
      <c r="D320" s="12" t="inlineStr">
        <is>
          <t>MXIM</t>
        </is>
      </c>
      <c r="E320" s="8" t="n">
        <v>652516</v>
      </c>
      <c r="F320" s="8" t="n">
        <v>722236</v>
      </c>
      <c r="G320" s="8" t="n">
        <v>753682</v>
      </c>
      <c r="H320" s="8" t="n">
        <v>793017</v>
      </c>
      <c r="I320" s="45">
        <f>(F320-E320)/E320</f>
        <v/>
      </c>
      <c r="J320" s="45">
        <f>(G320-F320)/F320</f>
        <v/>
      </c>
      <c r="K320" s="46">
        <f>(H320-G320)/G320</f>
        <v/>
      </c>
    </row>
    <row r="321">
      <c r="D321" s="12" t="inlineStr">
        <is>
          <t>MAA</t>
        </is>
      </c>
      <c r="E321" s="8" t="n">
        <v>463721</v>
      </c>
      <c r="F321" s="8" t="n">
        <v>485004</v>
      </c>
      <c r="G321" s="8" t="n">
        <v>660800</v>
      </c>
      <c r="H321" s="8" t="n">
        <v>734292</v>
      </c>
      <c r="I321" s="45">
        <f>(F321-E321)/E321</f>
        <v/>
      </c>
      <c r="J321" s="45">
        <f>(G321-F321)/F321</f>
        <v/>
      </c>
      <c r="K321" s="46">
        <f>(H321-G321)/G321</f>
        <v/>
      </c>
    </row>
    <row r="322">
      <c r="D322" s="12" t="inlineStr">
        <is>
          <t>MGM</t>
        </is>
      </c>
      <c r="E322" s="8" t="n">
        <v>-461740</v>
      </c>
      <c r="F322" s="8" t="n">
        <v>-728501</v>
      </c>
      <c r="G322" s="8" t="n">
        <v>342329</v>
      </c>
      <c r="H322" s="8" t="n">
        <v>235696</v>
      </c>
      <c r="I322" s="45">
        <f>(F322-E322)/E322</f>
        <v/>
      </c>
      <c r="J322" s="45">
        <f>(G322-F322)/F322</f>
        <v/>
      </c>
      <c r="K322" s="46">
        <f>(H322-G322)/G322</f>
        <v/>
      </c>
    </row>
    <row r="323">
      <c r="D323" s="12" t="inlineStr">
        <is>
          <t>CXO</t>
        </is>
      </c>
      <c r="E323" s="8" t="n">
        <v>-981000</v>
      </c>
      <c r="F323" s="8" t="n">
        <v>-1074000</v>
      </c>
      <c r="G323" s="8" t="n">
        <v>-838000</v>
      </c>
      <c r="H323" s="8" t="n">
        <v>-164000</v>
      </c>
      <c r="I323" s="45">
        <f>(F323-E323)/E323</f>
        <v/>
      </c>
      <c r="J323" s="45">
        <f>(G323-F323)/F323</f>
        <v/>
      </c>
      <c r="K323" s="46">
        <f>(H323-G323)/G323</f>
        <v/>
      </c>
    </row>
    <row r="324">
      <c r="D324" s="12" t="inlineStr">
        <is>
          <t>RF</t>
        </is>
      </c>
      <c r="E324" s="8" t="n">
        <v>1599000</v>
      </c>
      <c r="F324" s="8" t="n">
        <v>2037000</v>
      </c>
      <c r="G324" s="8" t="n">
        <v>2297000</v>
      </c>
      <c r="H324" s="8" t="n">
        <v>2275000</v>
      </c>
      <c r="I324" s="45">
        <f>(F324-E324)/E324</f>
        <v/>
      </c>
      <c r="J324" s="45">
        <f>(G324-F324)/F324</f>
        <v/>
      </c>
      <c r="K324" s="46">
        <f>(H324-G324)/G324</f>
        <v/>
      </c>
    </row>
    <row r="325">
      <c r="D325" s="12" t="inlineStr">
        <is>
          <t>CNP</t>
        </is>
      </c>
      <c r="E325" s="8" t="n">
        <v>286000</v>
      </c>
      <c r="F325" s="8" t="n">
        <v>509000</v>
      </c>
      <c r="G325" s="8" t="n">
        <v>-9000</v>
      </c>
      <c r="H325" s="8" t="n">
        <v>485000</v>
      </c>
      <c r="I325" s="45">
        <f>(F325-E325)/E325</f>
        <v/>
      </c>
      <c r="J325" s="45">
        <f>(G325-F325)/F325</f>
        <v/>
      </c>
      <c r="K325" s="46">
        <f>(H325-G325)/G325</f>
        <v/>
      </c>
    </row>
    <row r="326">
      <c r="D326" s="12" t="inlineStr">
        <is>
          <t>CE</t>
        </is>
      </c>
      <c r="E326" s="8" t="n">
        <v>342000</v>
      </c>
      <c r="F326" s="8" t="n">
        <v>647000</v>
      </c>
      <c r="G326" s="8" t="n">
        <v>536000</v>
      </c>
      <c r="H326" s="8" t="n">
        <v>1221000</v>
      </c>
      <c r="I326" s="45">
        <f>(F326-E326)/E326</f>
        <v/>
      </c>
      <c r="J326" s="45">
        <f>(G326-F326)/F326</f>
        <v/>
      </c>
      <c r="K326" s="46">
        <f>(H326-G326)/G326</f>
        <v/>
      </c>
    </row>
    <row r="327">
      <c r="D327" s="12" t="inlineStr">
        <is>
          <t>CAG</t>
        </is>
      </c>
      <c r="E327" s="8" t="n">
        <v>981700</v>
      </c>
      <c r="F327" s="8" t="n">
        <v>928100</v>
      </c>
      <c r="G327" s="8" t="n">
        <v>702600</v>
      </c>
      <c r="H327" s="8" t="n">
        <v>772400</v>
      </c>
      <c r="I327" s="45">
        <f>(F327-E327)/E327</f>
        <v/>
      </c>
      <c r="J327" s="45">
        <f>(G327-F327)/F327</f>
        <v/>
      </c>
      <c r="K327" s="46">
        <f>(H327-G327)/G327</f>
        <v/>
      </c>
    </row>
    <row r="328">
      <c r="D328" s="12" t="inlineStr">
        <is>
          <t>PFG</t>
        </is>
      </c>
      <c r="E328" s="8" t="n">
        <v>4240700</v>
      </c>
      <c r="F328" s="8" t="n">
        <v>3702900</v>
      </c>
      <c r="G328" s="8" t="n">
        <v>4023200</v>
      </c>
      <c r="H328" s="8" t="n">
        <v>5064200</v>
      </c>
      <c r="I328" s="45">
        <f>(F328-E328)/E328</f>
        <v/>
      </c>
      <c r="J328" s="45">
        <f>(G328-F328)/F328</f>
        <v/>
      </c>
      <c r="K328" s="46">
        <f>(H328-G328)/G328</f>
        <v/>
      </c>
    </row>
    <row r="329">
      <c r="D329" s="12" t="inlineStr">
        <is>
          <t>DGX</t>
        </is>
      </c>
      <c r="E329" s="8" t="n">
        <v>558000</v>
      </c>
      <c r="F329" s="8" t="n">
        <v>823000</v>
      </c>
      <c r="G329" s="8" t="n">
        <v>923000</v>
      </c>
      <c r="H329" s="8" t="n">
        <v>817000</v>
      </c>
      <c r="I329" s="45">
        <f>(F329-E329)/E329</f>
        <v/>
      </c>
      <c r="J329" s="45">
        <f>(G329-F329)/F329</f>
        <v/>
      </c>
      <c r="K329" s="46">
        <f>(H329-G329)/G329</f>
        <v/>
      </c>
    </row>
    <row r="330">
      <c r="D330" s="12" t="inlineStr">
        <is>
          <t>KMX</t>
        </is>
      </c>
      <c r="E330" s="8" t="n">
        <v>-432341</v>
      </c>
      <c r="F330" s="8" t="n">
        <v>-873455</v>
      </c>
      <c r="G330" s="8" t="n">
        <v>-377366</v>
      </c>
      <c r="H330" s="8" t="n">
        <v>-141665</v>
      </c>
      <c r="I330" s="45">
        <f>(F330-E330)/E330</f>
        <v/>
      </c>
      <c r="J330" s="45">
        <f>(G330-F330)/F330</f>
        <v/>
      </c>
      <c r="K330" s="46">
        <f>(H330-G330)/G330</f>
        <v/>
      </c>
    </row>
    <row r="331">
      <c r="D331" s="12" t="inlineStr">
        <is>
          <t>WCG</t>
        </is>
      </c>
      <c r="E331" s="8" t="n">
        <v>575600</v>
      </c>
      <c r="F331" s="8" t="n">
        <v>643000</v>
      </c>
      <c r="G331" s="8" t="n">
        <v>921600</v>
      </c>
      <c r="H331" s="8" t="n">
        <v>125500</v>
      </c>
      <c r="I331" s="45">
        <f>(F331-E331)/E331</f>
        <v/>
      </c>
      <c r="J331" s="45">
        <f>(G331-F331)/F331</f>
        <v/>
      </c>
      <c r="K331" s="46">
        <f>(H331-G331)/G331</f>
        <v/>
      </c>
    </row>
    <row r="332">
      <c r="D332" s="12" t="inlineStr">
        <is>
          <t>XYL</t>
        </is>
      </c>
      <c r="E332" s="8" t="n">
        <v>347000</v>
      </c>
      <c r="F332" s="8" t="n">
        <v>373000</v>
      </c>
      <c r="G332" s="8" t="n">
        <v>516000</v>
      </c>
      <c r="H332" s="8" t="n">
        <v>349000</v>
      </c>
      <c r="I332" s="45">
        <f>(F332-E332)/E332</f>
        <v/>
      </c>
      <c r="J332" s="45">
        <f>(G332-F332)/F332</f>
        <v/>
      </c>
      <c r="K332" s="46">
        <f>(H332-G332)/G332</f>
        <v/>
      </c>
    </row>
    <row r="333">
      <c r="D333" s="12" t="inlineStr">
        <is>
          <t>HBAN</t>
        </is>
      </c>
      <c r="E333" s="8" t="n">
        <v>940000</v>
      </c>
      <c r="F333" s="8" t="n">
        <v>1095000</v>
      </c>
      <c r="G333" s="8" t="n">
        <v>1760000</v>
      </c>
      <c r="H333" s="8" t="n">
        <v>1616000</v>
      </c>
      <c r="I333" s="45">
        <f>(F333-E333)/E333</f>
        <v/>
      </c>
      <c r="J333" s="45">
        <f>(G333-F333)/F333</f>
        <v/>
      </c>
      <c r="K333" s="46">
        <f>(H333-G333)/G333</f>
        <v/>
      </c>
    </row>
    <row r="334">
      <c r="D334" s="12" t="inlineStr">
        <is>
          <t>ABC</t>
        </is>
      </c>
      <c r="E334" s="8" t="n">
        <v>3690643</v>
      </c>
      <c r="F334" s="8" t="n">
        <v>2713881</v>
      </c>
      <c r="G334" s="8" t="n">
        <v>1037741</v>
      </c>
      <c r="H334" s="8" t="n">
        <v>1074977</v>
      </c>
      <c r="I334" s="45">
        <f>(F334-E334)/E334</f>
        <v/>
      </c>
      <c r="J334" s="45">
        <f>(G334-F334)/F334</f>
        <v/>
      </c>
      <c r="K334" s="46">
        <f>(H334-G334)/G334</f>
        <v/>
      </c>
    </row>
    <row r="335">
      <c r="D335" s="12" t="inlineStr">
        <is>
          <t>HOLX</t>
        </is>
      </c>
      <c r="E335" s="8" t="n">
        <v>707400</v>
      </c>
      <c r="F335" s="8" t="n">
        <v>703700</v>
      </c>
      <c r="G335" s="8" t="n">
        <v>-99300</v>
      </c>
      <c r="H335" s="8" t="n">
        <v>627300</v>
      </c>
      <c r="I335" s="45">
        <f>(F335-E335)/E335</f>
        <v/>
      </c>
      <c r="J335" s="45">
        <f>(G335-F335)/F335</f>
        <v/>
      </c>
      <c r="K335" s="46">
        <f>(H335-G335)/G335</f>
        <v/>
      </c>
    </row>
    <row r="336">
      <c r="D336" s="12" t="inlineStr">
        <is>
          <t>FCX</t>
        </is>
      </c>
      <c r="E336" s="8" t="n">
        <v>-3133000</v>
      </c>
      <c r="F336" s="8" t="n">
        <v>924000</v>
      </c>
      <c r="G336" s="8" t="n">
        <v>3256000</v>
      </c>
      <c r="H336" s="8" t="n">
        <v>1892000</v>
      </c>
      <c r="I336" s="45">
        <f>(F336-E336)/E336</f>
        <v/>
      </c>
      <c r="J336" s="45">
        <f>(G336-F336)/F336</f>
        <v/>
      </c>
      <c r="K336" s="46">
        <f>(H336-G336)/G336</f>
        <v/>
      </c>
    </row>
    <row r="337">
      <c r="D337" s="12" t="inlineStr">
        <is>
          <t>DOV</t>
        </is>
      </c>
      <c r="E337" s="8" t="n">
        <v>680862</v>
      </c>
      <c r="F337" s="8" t="n">
        <v>723364</v>
      </c>
      <c r="G337" s="8" t="n">
        <v>665566</v>
      </c>
      <c r="H337" s="8" t="n">
        <v>627641</v>
      </c>
      <c r="I337" s="45">
        <f>(F337-E337)/E337</f>
        <v/>
      </c>
      <c r="J337" s="45">
        <f>(G337-F337)/F337</f>
        <v/>
      </c>
      <c r="K337" s="46">
        <f>(H337-G337)/G337</f>
        <v/>
      </c>
    </row>
    <row r="338">
      <c r="D338" s="12" t="inlineStr">
        <is>
          <t>GPC</t>
        </is>
      </c>
      <c r="E338" s="8" t="n">
        <v>1049829</v>
      </c>
      <c r="F338" s="8" t="n">
        <v>785435</v>
      </c>
      <c r="G338" s="8" t="n">
        <v>658283</v>
      </c>
      <c r="H338" s="8" t="n">
        <v>912742</v>
      </c>
      <c r="I338" s="45">
        <f>(F338-E338)/E338</f>
        <v/>
      </c>
      <c r="J338" s="45">
        <f>(G338-F338)/F338</f>
        <v/>
      </c>
      <c r="K338" s="46">
        <f>(H338-G338)/G338</f>
        <v/>
      </c>
    </row>
    <row r="339">
      <c r="D339" s="12" t="inlineStr">
        <is>
          <t>ALGN</t>
        </is>
      </c>
      <c r="E339" s="8" t="n">
        <v>184546</v>
      </c>
      <c r="F339" s="8" t="n">
        <v>177078</v>
      </c>
      <c r="G339" s="8" t="n">
        <v>242844</v>
      </c>
      <c r="H339" s="8" t="n">
        <v>331369</v>
      </c>
      <c r="I339" s="45">
        <f>(F339-E339)/E339</f>
        <v/>
      </c>
      <c r="J339" s="45">
        <f>(G339-F339)/F339</f>
        <v/>
      </c>
      <c r="K339" s="46">
        <f>(H339-G339)/G339</f>
        <v/>
      </c>
    </row>
    <row r="340">
      <c r="D340" s="12" t="inlineStr">
        <is>
          <t>SWKS</t>
        </is>
      </c>
      <c r="E340" s="8" t="n">
        <v>562700</v>
      </c>
      <c r="F340" s="8" t="n">
        <v>888400</v>
      </c>
      <c r="G340" s="8" t="n">
        <v>1153000</v>
      </c>
      <c r="H340" s="8" t="n">
        <v>838300</v>
      </c>
      <c r="I340" s="45">
        <f>(F340-E340)/E340</f>
        <v/>
      </c>
      <c r="J340" s="45">
        <f>(G340-F340)/F340</f>
        <v/>
      </c>
      <c r="K340" s="46">
        <f>(H340-G340)/G340</f>
        <v/>
      </c>
    </row>
    <row r="341">
      <c r="D341" s="12" t="inlineStr">
        <is>
          <t>L</t>
        </is>
      </c>
      <c r="E341" s="8" t="n">
        <v>1992000</v>
      </c>
      <c r="F341" s="8" t="n">
        <v>803000</v>
      </c>
      <c r="G341" s="8" t="n">
        <v>1559000</v>
      </c>
      <c r="H341" s="8" t="n">
        <v>3227000</v>
      </c>
      <c r="I341" s="45">
        <f>(F341-E341)/E341</f>
        <v/>
      </c>
      <c r="J341" s="45">
        <f>(G341-F341)/F341</f>
        <v/>
      </c>
      <c r="K341" s="46">
        <f>(H341-G341)/G341</f>
        <v/>
      </c>
    </row>
    <row r="342">
      <c r="D342" s="12" t="inlineStr">
        <is>
          <t>ATO</t>
        </is>
      </c>
      <c r="E342" s="8" t="n">
        <v>-151707</v>
      </c>
      <c r="F342" s="8" t="n">
        <v>-291960</v>
      </c>
      <c r="G342" s="8" t="n">
        <v>-269999</v>
      </c>
      <c r="H342" s="8" t="n">
        <v>-342929</v>
      </c>
      <c r="I342" s="45">
        <f>(F342-E342)/E342</f>
        <v/>
      </c>
      <c r="J342" s="45">
        <f>(G342-F342)/F342</f>
        <v/>
      </c>
      <c r="K342" s="46">
        <f>(H342-G342)/G342</f>
        <v/>
      </c>
    </row>
    <row r="343">
      <c r="D343" s="12" t="inlineStr">
        <is>
          <t>CAH</t>
        </is>
      </c>
      <c r="E343" s="8" t="n">
        <v>2506000</v>
      </c>
      <c r="F343" s="8" t="n">
        <v>797000</v>
      </c>
      <c r="G343" s="8" t="n">
        <v>2384000</v>
      </c>
      <c r="H343" s="8" t="n">
        <v>2394000</v>
      </c>
      <c r="I343" s="45">
        <f>(F343-E343)/E343</f>
        <v/>
      </c>
      <c r="J343" s="45">
        <f>(G343-F343)/F343</f>
        <v/>
      </c>
      <c r="K343" s="46">
        <f>(H343-G343)/G343</f>
        <v/>
      </c>
    </row>
    <row r="344">
      <c r="D344" s="12" t="inlineStr">
        <is>
          <t>SJM</t>
        </is>
      </c>
      <c r="E344" s="8" t="n">
        <v>1259600</v>
      </c>
      <c r="F344" s="8" t="n">
        <v>866600</v>
      </c>
      <c r="G344" s="8" t="n">
        <v>896100</v>
      </c>
      <c r="H344" s="8" t="n">
        <v>781400</v>
      </c>
      <c r="I344" s="45">
        <f>(F344-E344)/E344</f>
        <v/>
      </c>
      <c r="J344" s="45">
        <f>(G344-F344)/F344</f>
        <v/>
      </c>
      <c r="K344" s="46">
        <f>(H344-G344)/G344</f>
        <v/>
      </c>
    </row>
    <row r="345">
      <c r="D345" s="12" t="inlineStr">
        <is>
          <t>LNT</t>
        </is>
      </c>
      <c r="E345" s="8" t="n">
        <v>-163100</v>
      </c>
      <c r="F345" s="8" t="n">
        <v>-804000</v>
      </c>
      <c r="G345" s="8" t="n">
        <v>-945300</v>
      </c>
      <c r="H345" s="8" t="n">
        <v>-1106200</v>
      </c>
      <c r="I345" s="45">
        <f>(F345-E345)/E345</f>
        <v/>
      </c>
      <c r="J345" s="45">
        <f>(G345-F345)/F345</f>
        <v/>
      </c>
      <c r="K345" s="46">
        <f>(H345-G345)/G345</f>
        <v/>
      </c>
    </row>
    <row r="346">
      <c r="D346" s="12" t="inlineStr">
        <is>
          <t>XRAY</t>
        </is>
      </c>
      <c r="E346" s="8" t="n">
        <v>425400</v>
      </c>
      <c r="F346" s="8" t="n">
        <v>438400</v>
      </c>
      <c r="G346" s="8" t="n">
        <v>457600</v>
      </c>
      <c r="H346" s="8" t="n">
        <v>317300</v>
      </c>
      <c r="I346" s="45">
        <f>(F346-E346)/E346</f>
        <v/>
      </c>
      <c r="J346" s="45">
        <f>(G346-F346)/F346</f>
        <v/>
      </c>
      <c r="K346" s="46">
        <f>(H346-G346)/G346</f>
        <v/>
      </c>
    </row>
    <row r="347">
      <c r="D347" s="12" t="inlineStr">
        <is>
          <t>IEX</t>
        </is>
      </c>
      <c r="E347" s="8" t="n">
        <v>316545</v>
      </c>
      <c r="F347" s="8" t="n">
        <v>361675</v>
      </c>
      <c r="G347" s="8" t="n">
        <v>388895</v>
      </c>
      <c r="H347" s="8" t="n">
        <v>423256</v>
      </c>
      <c r="I347" s="45">
        <f>(F347-E347)/E347</f>
        <v/>
      </c>
      <c r="J347" s="45">
        <f>(G347-F347)/F347</f>
        <v/>
      </c>
      <c r="K347" s="46">
        <f>(H347-G347)/G347</f>
        <v/>
      </c>
    </row>
    <row r="348">
      <c r="D348" s="12" t="inlineStr">
        <is>
          <t>KSU</t>
        </is>
      </c>
      <c r="E348" s="8" t="n">
        <v>77000</v>
      </c>
      <c r="F348" s="8" t="n">
        <v>328800</v>
      </c>
      <c r="G348" s="8" t="n">
        <v>400400</v>
      </c>
      <c r="H348" s="8" t="n">
        <v>326500</v>
      </c>
      <c r="I348" s="45">
        <f>(F348-E348)/E348</f>
        <v/>
      </c>
      <c r="J348" s="45">
        <f>(G348-F348)/F348</f>
        <v/>
      </c>
      <c r="K348" s="46">
        <f>(H348-G348)/G348</f>
        <v/>
      </c>
    </row>
    <row r="349">
      <c r="D349" s="12" t="inlineStr">
        <is>
          <t>HAS</t>
        </is>
      </c>
      <c r="E349" s="8" t="n">
        <v>429344</v>
      </c>
      <c r="F349" s="8" t="n">
        <v>662413</v>
      </c>
      <c r="G349" s="8" t="n">
        <v>589501</v>
      </c>
      <c r="H349" s="8" t="n">
        <v>350120</v>
      </c>
      <c r="I349" s="45">
        <f>(F349-E349)/E349</f>
        <v/>
      </c>
      <c r="J349" s="45">
        <f>(G349-F349)/F349</f>
        <v/>
      </c>
      <c r="K349" s="46">
        <f>(H349-G349)/G349</f>
        <v/>
      </c>
    </row>
    <row r="350">
      <c r="D350" s="12" t="inlineStr">
        <is>
          <t>UHS</t>
        </is>
      </c>
      <c r="E350" s="8" t="n">
        <v>688941</v>
      </c>
      <c r="F350" s="8" t="n">
        <v>813903</v>
      </c>
      <c r="G350" s="8" t="n">
        <v>625746</v>
      </c>
      <c r="H350" s="8" t="n">
        <v>675931</v>
      </c>
      <c r="I350" s="45">
        <f>(F350-E350)/E350</f>
        <v/>
      </c>
      <c r="J350" s="45">
        <f>(G350-F350)/F350</f>
        <v/>
      </c>
      <c r="K350" s="46">
        <f>(H350-G350)/G350</f>
        <v/>
      </c>
    </row>
    <row r="351">
      <c r="D351" s="12" t="inlineStr">
        <is>
          <t>GWW</t>
        </is>
      </c>
      <c r="E351" s="8" t="n">
        <v>662241</v>
      </c>
      <c r="F351" s="8" t="n">
        <v>740000</v>
      </c>
      <c r="G351" s="8" t="n">
        <v>820000</v>
      </c>
      <c r="H351" s="8" t="n">
        <v>818000</v>
      </c>
      <c r="I351" s="45">
        <f>(F351-E351)/E351</f>
        <v/>
      </c>
      <c r="J351" s="45">
        <f>(G351-F351)/F351</f>
        <v/>
      </c>
      <c r="K351" s="46">
        <f>(H351-G351)/G351</f>
        <v/>
      </c>
    </row>
    <row r="352">
      <c r="D352" s="12" t="inlineStr">
        <is>
          <t>LDOS</t>
        </is>
      </c>
      <c r="E352" s="8" t="n">
        <v>379636.332</v>
      </c>
      <c r="F352" s="8" t="n">
        <v>420000</v>
      </c>
      <c r="G352" s="8" t="n">
        <v>445000</v>
      </c>
      <c r="H352" s="8" t="n">
        <v>695000</v>
      </c>
      <c r="I352" s="45">
        <f>(F352-E352)/E352</f>
        <v/>
      </c>
      <c r="J352" s="45">
        <f>(G352-F352)/F352</f>
        <v/>
      </c>
      <c r="K352" s="46">
        <f>(H352-G352)/G352</f>
        <v/>
      </c>
    </row>
    <row r="353">
      <c r="D353" s="12" t="inlineStr">
        <is>
          <t>STX</t>
        </is>
      </c>
      <c r="E353" s="8" t="n">
        <v>1093000</v>
      </c>
      <c r="F353" s="8" t="n">
        <v>1482000</v>
      </c>
      <c r="G353" s="8" t="n">
        <v>1747000</v>
      </c>
      <c r="H353" s="8" t="n">
        <v>1159000</v>
      </c>
      <c r="I353" s="45">
        <f>(F353-E353)/E353</f>
        <v/>
      </c>
      <c r="J353" s="45">
        <f>(G353-F353)/F353</f>
        <v/>
      </c>
      <c r="K353" s="46">
        <f>(H353-G353)/G353</f>
        <v/>
      </c>
    </row>
    <row r="354">
      <c r="D354" s="12" t="inlineStr">
        <is>
          <t>ANET</t>
        </is>
      </c>
      <c r="E354" s="8" t="n">
        <v>217795</v>
      </c>
      <c r="F354" s="8" t="n">
        <v>152876</v>
      </c>
      <c r="G354" s="8" t="n">
        <v>616348</v>
      </c>
      <c r="H354" s="8" t="n">
        <v>479289</v>
      </c>
      <c r="I354" s="45">
        <f>(F354-E354)/E354</f>
        <v/>
      </c>
      <c r="J354" s="45">
        <f>(G354-F354)/F354</f>
        <v/>
      </c>
      <c r="K354" s="46">
        <f>(H354-G354)/G354</f>
        <v/>
      </c>
    </row>
    <row r="355">
      <c r="D355" s="12" t="inlineStr">
        <is>
          <t>EXPD</t>
        </is>
      </c>
      <c r="E355" s="8" t="n">
        <v>522179</v>
      </c>
      <c r="F355" s="8" t="n">
        <v>470169</v>
      </c>
      <c r="G355" s="8" t="n">
        <v>393623</v>
      </c>
      <c r="H355" s="8" t="n">
        <v>525330</v>
      </c>
      <c r="I355" s="45">
        <f>(F355-E355)/E355</f>
        <v/>
      </c>
      <c r="J355" s="45">
        <f>(G355-F355)/F355</f>
        <v/>
      </c>
      <c r="K355" s="46">
        <f>(H355-G355)/G355</f>
        <v/>
      </c>
    </row>
    <row r="356">
      <c r="D356" s="12" t="inlineStr">
        <is>
          <t>FTNT</t>
        </is>
      </c>
      <c r="E356" s="8" t="n">
        <v>245189</v>
      </c>
      <c r="F356" s="8" t="n">
        <v>278500</v>
      </c>
      <c r="G356" s="8" t="n">
        <v>459100</v>
      </c>
      <c r="H356" s="8" t="n">
        <v>585900</v>
      </c>
      <c r="I356" s="45">
        <f>(F356-E356)/E356</f>
        <v/>
      </c>
      <c r="J356" s="45">
        <f>(G356-F356)/F356</f>
        <v/>
      </c>
      <c r="K356" s="46">
        <f>(H356-G356)/G356</f>
        <v/>
      </c>
    </row>
    <row r="357">
      <c r="D357" s="12" t="inlineStr">
        <is>
          <t>HST</t>
        </is>
      </c>
      <c r="E357" s="8" t="n">
        <v>1160000</v>
      </c>
      <c r="F357" s="8" t="n">
        <v>1302000</v>
      </c>
      <c r="G357" s="8" t="n">
        <v>1230000</v>
      </c>
      <c r="H357" s="8" t="n">
        <v>1300000</v>
      </c>
      <c r="I357" s="45">
        <f>(F357-E357)/E357</f>
        <v/>
      </c>
      <c r="J357" s="45">
        <f>(G357-F357)/F357</f>
        <v/>
      </c>
      <c r="K357" s="46">
        <f>(H357-G357)/G357</f>
        <v/>
      </c>
    </row>
    <row r="358">
      <c r="D358" s="12" t="inlineStr">
        <is>
          <t>TSCO</t>
        </is>
      </c>
      <c r="E358" s="8" t="n">
        <v>219716</v>
      </c>
      <c r="F358" s="8" t="n">
        <v>424694</v>
      </c>
      <c r="G358" s="8" t="n">
        <v>381049</v>
      </c>
      <c r="H358" s="8" t="n">
        <v>415864</v>
      </c>
      <c r="I358" s="45">
        <f>(F358-E358)/E358</f>
        <v/>
      </c>
      <c r="J358" s="45">
        <f>(G358-F358)/F358</f>
        <v/>
      </c>
      <c r="K358" s="46">
        <f>(H358-G358)/G358</f>
        <v/>
      </c>
    </row>
    <row r="359">
      <c r="D359" s="12" t="inlineStr">
        <is>
          <t>CTXS</t>
        </is>
      </c>
      <c r="E359" s="8" t="n">
        <v>936982</v>
      </c>
      <c r="F359" s="8" t="n">
        <v>1030795</v>
      </c>
      <c r="G359" s="8" t="n">
        <v>827375</v>
      </c>
      <c r="H359" s="8" t="n">
        <v>965991</v>
      </c>
      <c r="I359" s="45">
        <f>(F359-E359)/E359</f>
        <v/>
      </c>
      <c r="J359" s="45">
        <f>(G359-F359)/F359</f>
        <v/>
      </c>
      <c r="K359" s="46">
        <f>(H359-G359)/G359</f>
        <v/>
      </c>
    </row>
    <row r="360">
      <c r="D360" s="12" t="inlineStr">
        <is>
          <t>IT</t>
        </is>
      </c>
      <c r="E360" s="8" t="n">
        <v>299433</v>
      </c>
      <c r="F360" s="8" t="n">
        <v>315769</v>
      </c>
      <c r="G360" s="8" t="n">
        <v>143752</v>
      </c>
      <c r="H360" s="8" t="n">
        <v>344285</v>
      </c>
      <c r="I360" s="45">
        <f>(F360-E360)/E360</f>
        <v/>
      </c>
      <c r="J360" s="45">
        <f>(G360-F360)/F360</f>
        <v/>
      </c>
      <c r="K360" s="46">
        <f>(H360-G360)/G360</f>
        <v/>
      </c>
    </row>
    <row r="361">
      <c r="D361" s="12" t="inlineStr">
        <is>
          <t>HRL</t>
        </is>
      </c>
      <c r="E361" s="8" t="n">
        <v>847929</v>
      </c>
      <c r="F361" s="8" t="n">
        <v>784496</v>
      </c>
      <c r="G361" s="8" t="n">
        <v>812599</v>
      </c>
      <c r="H361" s="8" t="n">
        <v>852122</v>
      </c>
      <c r="I361" s="45">
        <f>(F361-E361)/E361</f>
        <v/>
      </c>
      <c r="J361" s="45">
        <f>(G361-F361)/F361</f>
        <v/>
      </c>
      <c r="K361" s="46">
        <f>(H361-G361)/G361</f>
        <v/>
      </c>
    </row>
    <row r="362">
      <c r="D362" s="12" t="inlineStr">
        <is>
          <t>MAS</t>
        </is>
      </c>
      <c r="E362" s="8" t="n">
        <v>652000</v>
      </c>
      <c r="F362" s="8" t="n">
        <v>609000</v>
      </c>
      <c r="G362" s="8" t="n">
        <v>578000</v>
      </c>
      <c r="H362" s="8" t="n">
        <v>813000</v>
      </c>
      <c r="I362" s="45">
        <f>(F362-E362)/E362</f>
        <v/>
      </c>
      <c r="J362" s="45">
        <f>(G362-F362)/F362</f>
        <v/>
      </c>
      <c r="K362" s="46">
        <f>(H362-G362)/G362</f>
        <v/>
      </c>
    </row>
    <row r="363">
      <c r="D363" s="12" t="inlineStr">
        <is>
          <t>NDAQ</t>
        </is>
      </c>
      <c r="E363" s="8" t="n">
        <v>594000</v>
      </c>
      <c r="F363" s="8" t="n">
        <v>642000</v>
      </c>
      <c r="G363" s="8" t="n">
        <v>765000</v>
      </c>
      <c r="H363" s="8" t="n">
        <v>917000</v>
      </c>
      <c r="I363" s="45">
        <f>(F363-E363)/E363</f>
        <v/>
      </c>
      <c r="J363" s="45">
        <f>(G363-F363)/F363</f>
        <v/>
      </c>
      <c r="K363" s="46">
        <f>(H363-G363)/G363</f>
        <v/>
      </c>
    </row>
    <row r="364">
      <c r="D364" s="12" t="inlineStr">
        <is>
          <t>CHRW</t>
        </is>
      </c>
      <c r="E364" s="8" t="n">
        <v>690221</v>
      </c>
      <c r="F364" s="8" t="n">
        <v>455956</v>
      </c>
      <c r="G364" s="8" t="n">
        <v>343879</v>
      </c>
      <c r="H364" s="8" t="n">
        <v>747896</v>
      </c>
      <c r="I364" s="45">
        <f>(F364-E364)/E364</f>
        <v/>
      </c>
      <c r="J364" s="45">
        <f>(G364-F364)/F364</f>
        <v/>
      </c>
      <c r="K364" s="46">
        <f>(H364-G364)/G364</f>
        <v/>
      </c>
    </row>
    <row r="365">
      <c r="D365" s="12" t="inlineStr">
        <is>
          <t>NTAP</t>
        </is>
      </c>
      <c r="E365" s="8" t="n">
        <v>814000</v>
      </c>
      <c r="F365" s="8" t="n">
        <v>811000</v>
      </c>
      <c r="G365" s="8" t="n">
        <v>1333000</v>
      </c>
      <c r="H365" s="8" t="n">
        <v>1168000</v>
      </c>
      <c r="I365" s="45">
        <f>(F365-E365)/E365</f>
        <v/>
      </c>
      <c r="J365" s="45">
        <f>(G365-F365)/F365</f>
        <v/>
      </c>
      <c r="K365" s="46">
        <f>(H365-G365)/G365</f>
        <v/>
      </c>
    </row>
    <row r="366">
      <c r="D366" s="12" t="inlineStr">
        <is>
          <t>FOX</t>
        </is>
      </c>
      <c r="E366" s="8" t="n">
        <v>990000</v>
      </c>
      <c r="F366" s="8" t="n">
        <v>1464000</v>
      </c>
      <c r="G366" s="8" t="n">
        <v>1102000</v>
      </c>
      <c r="H366" s="8" t="n">
        <v>2289000</v>
      </c>
      <c r="I366" s="45">
        <f>(F366-E366)/E366</f>
        <v/>
      </c>
      <c r="J366" s="45">
        <f>(G366-F366)/F366</f>
        <v/>
      </c>
      <c r="K366" s="46">
        <f>(H366-G366)/G366</f>
        <v/>
      </c>
    </row>
    <row r="367">
      <c r="D367" s="12" t="inlineStr">
        <is>
          <t>FMC</t>
        </is>
      </c>
      <c r="E367" s="8" t="n">
        <v>-411500</v>
      </c>
      <c r="F367" s="8" t="n">
        <v>406600</v>
      </c>
      <c r="G367" s="8" t="n">
        <v>249800</v>
      </c>
      <c r="H367" s="8" t="n">
        <v>211800</v>
      </c>
      <c r="I367" s="45">
        <f>(F367-E367)/E367</f>
        <v/>
      </c>
      <c r="J367" s="45">
        <f>(G367-F367)/F367</f>
        <v/>
      </c>
      <c r="K367" s="46">
        <f>(H367-G367)/G367</f>
        <v/>
      </c>
    </row>
    <row r="368">
      <c r="D368" s="12" t="inlineStr">
        <is>
          <t>IFF</t>
        </is>
      </c>
      <c r="E368" s="8" t="n">
        <v>366285</v>
      </c>
      <c r="F368" s="8" t="n">
        <v>423727</v>
      </c>
      <c r="G368" s="8" t="n">
        <v>261783</v>
      </c>
      <c r="H368" s="8" t="n">
        <v>267481</v>
      </c>
      <c r="I368" s="45">
        <f>(F368-E368)/E368</f>
        <v/>
      </c>
      <c r="J368" s="45">
        <f>(G368-F368)/F368</f>
        <v/>
      </c>
      <c r="K368" s="46">
        <f>(H368-G368)/G368</f>
        <v/>
      </c>
    </row>
    <row r="369">
      <c r="D369" s="12" t="inlineStr">
        <is>
          <t>CTL</t>
        </is>
      </c>
      <c r="E369" s="8" t="n">
        <v>2281000</v>
      </c>
      <c r="F369" s="8" t="n">
        <v>1627000</v>
      </c>
      <c r="G369" s="8" t="n">
        <v>772000</v>
      </c>
      <c r="H369" s="8" t="n">
        <v>3857000</v>
      </c>
      <c r="I369" s="45">
        <f>(F369-E369)/E369</f>
        <v/>
      </c>
      <c r="J369" s="45">
        <f>(G369-F369)/F369</f>
        <v/>
      </c>
      <c r="K369" s="46">
        <f>(H369-G369)/G369</f>
        <v/>
      </c>
    </row>
    <row r="370">
      <c r="D370" s="12" t="inlineStr">
        <is>
          <t>NI</t>
        </is>
      </c>
      <c r="E370" s="8" t="n">
        <v>96100</v>
      </c>
      <c r="F370" s="8" t="n">
        <v>-671900</v>
      </c>
      <c r="G370" s="8" t="n">
        <v>-953600</v>
      </c>
      <c r="H370" s="8" t="n">
        <v>-1278100</v>
      </c>
      <c r="I370" s="45">
        <f>(F370-E370)/E370</f>
        <v/>
      </c>
      <c r="J370" s="45">
        <f>(G370-F370)/F370</f>
        <v/>
      </c>
      <c r="K370" s="46">
        <f>(H370-G370)/G370</f>
        <v/>
      </c>
    </row>
    <row r="371">
      <c r="D371" s="12" t="inlineStr">
        <is>
          <t>NCLH</t>
        </is>
      </c>
      <c r="E371" s="8" t="n">
        <v>-79806</v>
      </c>
      <c r="F371" s="8" t="n">
        <v>171996</v>
      </c>
      <c r="G371" s="8" t="n">
        <v>229033</v>
      </c>
      <c r="H371" s="8" t="n">
        <v>508375</v>
      </c>
      <c r="I371" s="45">
        <f>(F371-E371)/E371</f>
        <v/>
      </c>
      <c r="J371" s="45">
        <f>(G371-F371)/F371</f>
        <v/>
      </c>
      <c r="K371" s="46">
        <f>(H371-G371)/G371</f>
        <v/>
      </c>
    </row>
    <row r="372">
      <c r="D372" s="12" t="inlineStr">
        <is>
          <t>WAB</t>
        </is>
      </c>
      <c r="E372" s="8" t="n">
        <v>401416</v>
      </c>
      <c r="F372" s="8" t="n">
        <v>400314</v>
      </c>
      <c r="G372" s="8" t="n">
        <v>99345</v>
      </c>
      <c r="H372" s="8" t="n">
        <v>221366</v>
      </c>
      <c r="I372" s="45">
        <f>(F372-E372)/E372</f>
        <v/>
      </c>
      <c r="J372" s="45">
        <f>(G372-F372)/F372</f>
        <v/>
      </c>
      <c r="K372" s="46">
        <f>(H372-G372)/G372</f>
        <v/>
      </c>
    </row>
    <row r="373">
      <c r="D373" s="12" t="inlineStr">
        <is>
          <t>BHGE</t>
        </is>
      </c>
      <c r="E373" s="8" t="n">
        <v>670000</v>
      </c>
      <c r="F373" s="8" t="n">
        <v>-162000</v>
      </c>
      <c r="G373" s="8" t="n">
        <v>-1464000</v>
      </c>
      <c r="H373" s="8" t="n">
        <v>767000</v>
      </c>
      <c r="I373" s="45">
        <f>(F373-E373)/E373</f>
        <v/>
      </c>
      <c r="J373" s="45">
        <f>(G373-F373)/F373</f>
        <v/>
      </c>
      <c r="K373" s="46">
        <f>(H373-G373)/G373</f>
        <v/>
      </c>
    </row>
    <row r="374">
      <c r="D374" s="12" t="inlineStr">
        <is>
          <t>LNC</t>
        </is>
      </c>
      <c r="E374" s="8" t="n">
        <v>2243000</v>
      </c>
      <c r="F374" s="8" t="n">
        <v>1272000</v>
      </c>
      <c r="G374" s="8" t="n">
        <v>788000</v>
      </c>
      <c r="H374" s="8" t="n">
        <v>1943000</v>
      </c>
      <c r="I374" s="45">
        <f>(F374-E374)/E374</f>
        <v/>
      </c>
      <c r="J374" s="45">
        <f>(G374-F374)/F374</f>
        <v/>
      </c>
      <c r="K374" s="46">
        <f>(H374-G374)/G374</f>
        <v/>
      </c>
    </row>
    <row r="375">
      <c r="D375" s="12" t="inlineStr">
        <is>
          <t>JKHY</t>
        </is>
      </c>
      <c r="E375" s="8" t="n">
        <v>310097</v>
      </c>
      <c r="F375" s="8" t="n">
        <v>315375</v>
      </c>
      <c r="G375" s="8" t="n">
        <v>372007</v>
      </c>
      <c r="H375" s="8" t="n">
        <v>377530</v>
      </c>
      <c r="I375" s="45">
        <f>(F375-E375)/E375</f>
        <v/>
      </c>
      <c r="J375" s="45">
        <f>(G375-F375)/F375</f>
        <v/>
      </c>
      <c r="K375" s="46">
        <f>(H375-G375)/G375</f>
        <v/>
      </c>
    </row>
    <row r="376">
      <c r="D376" s="12" t="inlineStr">
        <is>
          <t>PNW</t>
        </is>
      </c>
      <c r="E376" s="8" t="n">
        <v>1981</v>
      </c>
      <c r="F376" s="8" t="n">
        <v>-272052</v>
      </c>
      <c r="G376" s="8" t="n">
        <v>-312850</v>
      </c>
      <c r="H376" s="8" t="n">
        <v>73795</v>
      </c>
      <c r="I376" s="45">
        <f>(F376-E376)/E376</f>
        <v/>
      </c>
      <c r="J376" s="45">
        <f>(G376-F376)/F376</f>
        <v/>
      </c>
      <c r="K376" s="46">
        <f>(H376-G376)/G376</f>
        <v/>
      </c>
    </row>
    <row r="377">
      <c r="D377" s="12" t="inlineStr">
        <is>
          <t>REG</t>
        </is>
      </c>
      <c r="E377" s="8" t="n">
        <v>285543</v>
      </c>
      <c r="F377" s="8" t="n">
        <v>297177</v>
      </c>
      <c r="G377" s="8" t="n">
        <v>469784</v>
      </c>
      <c r="H377" s="8" t="n">
        <v>610327</v>
      </c>
      <c r="I377" s="45">
        <f>(F377-E377)/E377</f>
        <v/>
      </c>
      <c r="J377" s="45">
        <f>(G377-F377)/F377</f>
        <v/>
      </c>
      <c r="K377" s="46">
        <f>(H377-G377)/G377</f>
        <v/>
      </c>
    </row>
    <row r="378">
      <c r="D378" s="12" t="inlineStr">
        <is>
          <t>CF</t>
        </is>
      </c>
      <c r="E378" s="8" t="n">
        <v>-1262000</v>
      </c>
      <c r="F378" s="8" t="n">
        <v>-1594000</v>
      </c>
      <c r="G378" s="8" t="n">
        <v>1158000</v>
      </c>
      <c r="H378" s="8" t="n">
        <v>1075000</v>
      </c>
      <c r="I378" s="45">
        <f>(F378-E378)/E378</f>
        <v/>
      </c>
      <c r="J378" s="45">
        <f>(G378-F378)/F378</f>
        <v/>
      </c>
      <c r="K378" s="46">
        <f>(H378-G378)/G378</f>
        <v/>
      </c>
    </row>
    <row r="379">
      <c r="D379" s="12" t="inlineStr">
        <is>
          <t>NBL</t>
        </is>
      </c>
      <c r="E379" s="8" t="n">
        <v>-917000</v>
      </c>
      <c r="F379" s="8" t="n">
        <v>-190000</v>
      </c>
      <c r="G379" s="8" t="n">
        <v>-698000</v>
      </c>
      <c r="H379" s="8" t="n">
        <v>-943000</v>
      </c>
      <c r="I379" s="45">
        <f>(F379-E379)/E379</f>
        <v/>
      </c>
      <c r="J379" s="45">
        <f>(G379-F379)/F379</f>
        <v/>
      </c>
      <c r="K379" s="46">
        <f>(H379-G379)/G379</f>
        <v/>
      </c>
    </row>
    <row r="380">
      <c r="D380" s="12" t="inlineStr">
        <is>
          <t>VNO</t>
        </is>
      </c>
      <c r="E380" s="8" t="n">
        <v>672091</v>
      </c>
      <c r="F380" s="8" t="n">
        <v>995080</v>
      </c>
      <c r="G380" s="8" t="n">
        <v>860142</v>
      </c>
      <c r="H380" s="8" t="n">
        <v>802641</v>
      </c>
      <c r="I380" s="45">
        <f>(F380-E380)/E380</f>
        <v/>
      </c>
      <c r="J380" s="45">
        <f>(G380-F380)/F380</f>
        <v/>
      </c>
      <c r="K380" s="46">
        <f>(H380-G380)/G380</f>
        <v/>
      </c>
    </row>
    <row r="381">
      <c r="D381" s="12" t="inlineStr">
        <is>
          <t>WYNN</t>
        </is>
      </c>
      <c r="E381" s="8" t="n">
        <v>-1348427</v>
      </c>
      <c r="F381" s="8" t="n">
        <v>-255397</v>
      </c>
      <c r="G381" s="8" t="n">
        <v>941103</v>
      </c>
      <c r="H381" s="8" t="n">
        <v>-514483</v>
      </c>
      <c r="I381" s="45">
        <f>(F381-E381)/E381</f>
        <v/>
      </c>
      <c r="J381" s="45">
        <f>(G381-F381)/F381</f>
        <v/>
      </c>
      <c r="K381" s="46">
        <f>(H381-G381)/G381</f>
        <v/>
      </c>
    </row>
    <row r="382">
      <c r="D382" s="12" t="inlineStr">
        <is>
          <t>TXT</t>
        </is>
      </c>
      <c r="E382" s="8" t="n">
        <v>670000</v>
      </c>
      <c r="F382" s="8" t="n">
        <v>479000</v>
      </c>
      <c r="G382" s="8" t="n">
        <v>513000</v>
      </c>
      <c r="H382" s="8" t="n">
        <v>738000</v>
      </c>
      <c r="I382" s="45">
        <f>(F382-E382)/E382</f>
        <v/>
      </c>
      <c r="J382" s="45">
        <f>(G382-F382)/F382</f>
        <v/>
      </c>
      <c r="K382" s="46">
        <f>(H382-G382)/G382</f>
        <v/>
      </c>
    </row>
    <row r="383">
      <c r="D383" s="12" t="inlineStr">
        <is>
          <t>AAL</t>
        </is>
      </c>
      <c r="E383" s="8" t="n">
        <v>98000</v>
      </c>
      <c r="F383" s="8" t="n">
        <v>793000</v>
      </c>
      <c r="G383" s="8" t="n">
        <v>-1227000</v>
      </c>
      <c r="H383" s="8" t="n">
        <v>-212000</v>
      </c>
      <c r="I383" s="45">
        <f>(F383-E383)/E383</f>
        <v/>
      </c>
      <c r="J383" s="45">
        <f>(G383-F383)/F383</f>
        <v/>
      </c>
      <c r="K383" s="46">
        <f>(H383-G383)/G383</f>
        <v/>
      </c>
    </row>
    <row r="384">
      <c r="D384" s="12" t="inlineStr">
        <is>
          <t>LW</t>
        </is>
      </c>
      <c r="E384" s="8" t="n">
        <v>230000</v>
      </c>
      <c r="F384" s="8" t="n">
        <v>159500</v>
      </c>
      <c r="G384" s="8" t="n">
        <v>174400</v>
      </c>
      <c r="H384" s="8" t="n">
        <v>346700</v>
      </c>
      <c r="I384" s="45">
        <f>(F384-E384)/E384</f>
        <v/>
      </c>
      <c r="J384" s="45">
        <f>(G384-F384)/F384</f>
        <v/>
      </c>
      <c r="K384" s="46">
        <f>(H384-G384)/G384</f>
        <v/>
      </c>
    </row>
    <row r="385">
      <c r="D385" s="12" t="inlineStr">
        <is>
          <t>RE</t>
        </is>
      </c>
      <c r="E385" s="8" t="n">
        <v>1108235</v>
      </c>
      <c r="F385" s="8" t="n">
        <v>1383600</v>
      </c>
      <c r="G385" s="8" t="n">
        <v>1162693</v>
      </c>
      <c r="H385" s="8" t="n">
        <v>610069</v>
      </c>
      <c r="I385" s="45">
        <f>(F385-E385)/E385</f>
        <v/>
      </c>
      <c r="J385" s="45">
        <f>(G385-F385)/F385</f>
        <v/>
      </c>
      <c r="K385" s="46">
        <f>(H385-G385)/G385</f>
        <v/>
      </c>
    </row>
    <row r="386">
      <c r="D386" s="12" t="inlineStr">
        <is>
          <t>ETFC</t>
        </is>
      </c>
      <c r="E386" s="8" t="n">
        <v>773000</v>
      </c>
      <c r="F386" s="8" t="n">
        <v>1969000</v>
      </c>
      <c r="G386" s="8" t="n">
        <v>480000</v>
      </c>
      <c r="H386" s="8" t="n">
        <v>1574000</v>
      </c>
      <c r="I386" s="45">
        <f>(F386-E386)/E386</f>
        <v/>
      </c>
      <c r="J386" s="45">
        <f>(G386-F386)/F386</f>
        <v/>
      </c>
      <c r="K386" s="46">
        <f>(H386-G386)/G386</f>
        <v/>
      </c>
    </row>
    <row r="387">
      <c r="D387" s="12" t="inlineStr">
        <is>
          <t>AES</t>
        </is>
      </c>
      <c r="E387" s="8" t="n">
        <v>-149000</v>
      </c>
      <c r="F387" s="8" t="n">
        <v>510000</v>
      </c>
      <c r="G387" s="8" t="n">
        <v>199000</v>
      </c>
      <c r="H387" s="8" t="n">
        <v>296000</v>
      </c>
      <c r="I387" s="45">
        <f>(F387-E387)/E387</f>
        <v/>
      </c>
      <c r="J387" s="45">
        <f>(G387-F387)/F387</f>
        <v/>
      </c>
      <c r="K387" s="46">
        <f>(H387-G387)/G387</f>
        <v/>
      </c>
    </row>
    <row r="388">
      <c r="D388" s="12" t="inlineStr">
        <is>
          <t>JEC</t>
        </is>
      </c>
      <c r="E388" s="8" t="n">
        <v>396168</v>
      </c>
      <c r="F388" s="8" t="n">
        <v>612485</v>
      </c>
      <c r="G388" s="8" t="n">
        <v>456821</v>
      </c>
      <c r="H388" s="8" t="n">
        <v>386268</v>
      </c>
      <c r="I388" s="45">
        <f>(F388-E388)/E388</f>
        <v/>
      </c>
      <c r="J388" s="45">
        <f>(G388-F388)/F388</f>
        <v/>
      </c>
      <c r="K388" s="46">
        <f>(H388-G388)/G388</f>
        <v/>
      </c>
    </row>
    <row r="389">
      <c r="D389" s="12" t="inlineStr">
        <is>
          <t>FTI</t>
        </is>
      </c>
      <c r="E389" s="8" t="n">
        <v>374800</v>
      </c>
      <c r="F389" s="8" t="n">
        <v>180900</v>
      </c>
      <c r="G389" s="8" t="n">
        <v>-45000</v>
      </c>
      <c r="H389" s="8" t="n">
        <v>-553500</v>
      </c>
      <c r="I389" s="45">
        <f>(F389-E389)/E389</f>
        <v/>
      </c>
      <c r="J389" s="45">
        <f>(G389-F389)/F389</f>
        <v/>
      </c>
      <c r="K389" s="46">
        <f>(H389-G389)/G389</f>
        <v/>
      </c>
    </row>
    <row r="390">
      <c r="D390" s="12" t="inlineStr">
        <is>
          <t>ARNC</t>
        </is>
      </c>
      <c r="E390" s="8" t="n">
        <v>402000</v>
      </c>
      <c r="F390" s="8" t="n">
        <v>-1030000</v>
      </c>
      <c r="G390" s="8" t="n">
        <v>-635000</v>
      </c>
      <c r="H390" s="8" t="n">
        <v>-551000</v>
      </c>
      <c r="I390" s="45">
        <f>(F390-E390)/E390</f>
        <v/>
      </c>
      <c r="J390" s="45">
        <f>(G390-F390)/F390</f>
        <v/>
      </c>
      <c r="K390" s="46">
        <f>(H390-G390)/G390</f>
        <v/>
      </c>
    </row>
    <row r="391">
      <c r="D391" s="12" t="inlineStr">
        <is>
          <t>SIVB</t>
        </is>
      </c>
      <c r="E391" s="8" t="n">
        <v>285279</v>
      </c>
      <c r="F391" s="8" t="n">
        <v>418449</v>
      </c>
      <c r="G391" s="8" t="n">
        <v>595981</v>
      </c>
      <c r="H391" s="8" t="n">
        <v>887697</v>
      </c>
      <c r="I391" s="45">
        <f>(F391-E391)/E391</f>
        <v/>
      </c>
      <c r="J391" s="45">
        <f>(G391-F391)/F391</f>
        <v/>
      </c>
      <c r="K391" s="46">
        <f>(H391-G391)/G391</f>
        <v/>
      </c>
    </row>
    <row r="392">
      <c r="D392" s="12" t="inlineStr">
        <is>
          <t>AAP</t>
        </is>
      </c>
      <c r="E392" s="8" t="n">
        <v>467897</v>
      </c>
      <c r="F392" s="8" t="n">
        <v>263744</v>
      </c>
      <c r="G392" s="8" t="n">
        <v>411047</v>
      </c>
      <c r="H392" s="8" t="n">
        <v>617313</v>
      </c>
      <c r="I392" s="45">
        <f>(F392-E392)/E392</f>
        <v/>
      </c>
      <c r="J392" s="45">
        <f>(G392-F392)/F392</f>
        <v/>
      </c>
      <c r="K392" s="46">
        <f>(H392-G392)/G392</f>
        <v/>
      </c>
    </row>
    <row r="393">
      <c r="D393" s="12" t="inlineStr">
        <is>
          <t>VAR</t>
        </is>
      </c>
      <c r="E393" s="8" t="n">
        <v>378200</v>
      </c>
      <c r="F393" s="8" t="n">
        <v>275900</v>
      </c>
      <c r="G393" s="8" t="n">
        <v>340000</v>
      </c>
      <c r="H393" s="8" t="n">
        <v>407200</v>
      </c>
      <c r="I393" s="45">
        <f>(F393-E393)/E393</f>
        <v/>
      </c>
      <c r="J393" s="45">
        <f>(G393-F393)/F393</f>
        <v/>
      </c>
      <c r="K393" s="46">
        <f>(H393-G393)/G393</f>
        <v/>
      </c>
    </row>
    <row r="394">
      <c r="D394" s="12" t="inlineStr">
        <is>
          <t>RJF</t>
        </is>
      </c>
      <c r="E394" s="8" t="n">
        <v>824583</v>
      </c>
      <c r="F394" s="8" t="n">
        <v>-695051</v>
      </c>
      <c r="G394" s="8" t="n">
        <v>1115942</v>
      </c>
      <c r="H394" s="8" t="n">
        <v>1769741</v>
      </c>
      <c r="I394" s="45">
        <f>(F394-E394)/E394</f>
        <v/>
      </c>
      <c r="J394" s="45">
        <f>(G394-F394)/F394</f>
        <v/>
      </c>
      <c r="K394" s="46">
        <f>(H394-G394)/G394</f>
        <v/>
      </c>
    </row>
    <row r="395">
      <c r="D395" s="12" t="inlineStr">
        <is>
          <t>MRO</t>
        </is>
      </c>
      <c r="E395" s="8" t="n">
        <v>-1819000</v>
      </c>
      <c r="F395" s="8" t="n">
        <v>-65000</v>
      </c>
      <c r="G395" s="8" t="n">
        <v>157000</v>
      </c>
      <c r="H395" s="8" t="n">
        <v>481000</v>
      </c>
      <c r="I395" s="45">
        <f>(F395-E395)/E395</f>
        <v/>
      </c>
      <c r="J395" s="45">
        <f>(G395-F395)/F395</f>
        <v/>
      </c>
      <c r="K395" s="46">
        <f>(H395-G395)/G395</f>
        <v/>
      </c>
    </row>
    <row r="396">
      <c r="D396" s="12" t="inlineStr">
        <is>
          <t>FRT</t>
        </is>
      </c>
      <c r="E396" s="8" t="n">
        <v>322950</v>
      </c>
      <c r="F396" s="8" t="n">
        <v>370112</v>
      </c>
      <c r="G396" s="8" t="n">
        <v>381876</v>
      </c>
      <c r="H396" s="8" t="n">
        <v>450550</v>
      </c>
      <c r="I396" s="45">
        <f>(F396-E396)/E396</f>
        <v/>
      </c>
      <c r="J396" s="45">
        <f>(G396-F396)/F396</f>
        <v/>
      </c>
      <c r="K396" s="46">
        <f>(H396-G396)/G396</f>
        <v/>
      </c>
    </row>
    <row r="397">
      <c r="D397" s="12" t="inlineStr">
        <is>
          <t>GRMN</t>
        </is>
      </c>
      <c r="E397" s="8" t="n">
        <v>199875</v>
      </c>
      <c r="F397" s="8" t="n">
        <v>614722</v>
      </c>
      <c r="G397" s="8" t="n">
        <v>521146</v>
      </c>
      <c r="H397" s="8" t="n">
        <v>763765</v>
      </c>
      <c r="I397" s="45">
        <f>(F397-E397)/E397</f>
        <v/>
      </c>
      <c r="J397" s="45">
        <f>(G397-F397)/F397</f>
        <v/>
      </c>
      <c r="K397" s="46">
        <f>(H397-G397)/G397</f>
        <v/>
      </c>
    </row>
    <row r="398">
      <c r="D398" s="12" t="inlineStr">
        <is>
          <t>AVY</t>
        </is>
      </c>
      <c r="E398" s="8" t="n">
        <v>337900</v>
      </c>
      <c r="F398" s="8" t="n">
        <v>405200</v>
      </c>
      <c r="G398" s="8" t="n">
        <v>455200</v>
      </c>
      <c r="H398" s="8" t="n">
        <v>231200</v>
      </c>
      <c r="I398" s="45">
        <f>(F398-E398)/E398</f>
        <v/>
      </c>
      <c r="J398" s="45">
        <f>(G398-F398)/F398</f>
        <v/>
      </c>
      <c r="K398" s="46">
        <f>(H398-G398)/G398</f>
        <v/>
      </c>
    </row>
    <row r="399">
      <c r="D399" s="12" t="inlineStr">
        <is>
          <t>MYL</t>
        </is>
      </c>
      <c r="E399" s="8" t="n">
        <v>1645600</v>
      </c>
      <c r="F399" s="8" t="n">
        <v>1656800</v>
      </c>
      <c r="G399" s="8" t="n">
        <v>1788900</v>
      </c>
      <c r="H399" s="8" t="n">
        <v>2089600</v>
      </c>
      <c r="I399" s="45">
        <f>(F399-E399)/E399</f>
        <v/>
      </c>
      <c r="J399" s="45">
        <f>(G399-F399)/F399</f>
        <v/>
      </c>
      <c r="K399" s="46">
        <f>(H399-G399)/G399</f>
        <v/>
      </c>
    </row>
    <row r="400">
      <c r="D400" s="12" t="inlineStr">
        <is>
          <t>NRG</t>
        </is>
      </c>
      <c r="E400" s="8" t="n">
        <v>320000</v>
      </c>
      <c r="F400" s="8" t="n">
        <v>1364000</v>
      </c>
      <c r="G400" s="8" t="n">
        <v>1356000</v>
      </c>
      <c r="H400" s="8" t="n">
        <v>989000</v>
      </c>
      <c r="I400" s="45">
        <f>(F400-E400)/E400</f>
        <v/>
      </c>
      <c r="J400" s="45">
        <f>(G400-F400)/F400</f>
        <v/>
      </c>
      <c r="K400" s="46">
        <f>(H400-G400)/G400</f>
        <v/>
      </c>
    </row>
    <row r="401">
      <c r="D401" s="12" t="inlineStr">
        <is>
          <t>PKG</t>
        </is>
      </c>
      <c r="E401" s="8" t="n">
        <v>454100</v>
      </c>
      <c r="F401" s="8" t="n">
        <v>532600</v>
      </c>
      <c r="G401" s="8" t="n">
        <v>513100</v>
      </c>
      <c r="H401" s="8" t="n">
        <v>628700</v>
      </c>
      <c r="I401" s="45">
        <f>(F401-E401)/E401</f>
        <v/>
      </c>
      <c r="J401" s="45">
        <f>(G401-F401)/F401</f>
        <v/>
      </c>
      <c r="K401" s="46">
        <f>(H401-G401)/G401</f>
        <v/>
      </c>
    </row>
    <row r="402">
      <c r="D402" s="12" t="inlineStr">
        <is>
          <t>CMA</t>
        </is>
      </c>
      <c r="E402" s="8" t="n">
        <v>746000</v>
      </c>
      <c r="F402" s="8" t="n">
        <v>391000</v>
      </c>
      <c r="G402" s="8" t="n">
        <v>1016000</v>
      </c>
      <c r="H402" s="8" t="n">
        <v>1526000</v>
      </c>
      <c r="I402" s="45">
        <f>(F402-E402)/E402</f>
        <v/>
      </c>
      <c r="J402" s="45">
        <f>(G402-F402)/F402</f>
        <v/>
      </c>
      <c r="K402" s="46">
        <f>(H402-G402)/G402</f>
        <v/>
      </c>
    </row>
    <row r="403">
      <c r="D403" s="12" t="inlineStr">
        <is>
          <t>WU</t>
        </is>
      </c>
      <c r="E403" s="8" t="n">
        <v>976700</v>
      </c>
      <c r="F403" s="8" t="n">
        <v>973100</v>
      </c>
      <c r="G403" s="8" t="n">
        <v>672900</v>
      </c>
      <c r="H403" s="8" t="n">
        <v>684600</v>
      </c>
      <c r="I403" s="45">
        <f>(F403-E403)/E403</f>
        <v/>
      </c>
      <c r="J403" s="45">
        <f>(G403-F403)/F403</f>
        <v/>
      </c>
      <c r="K403" s="46">
        <f>(H403-G403)/G403</f>
        <v/>
      </c>
    </row>
    <row r="404">
      <c r="D404" s="12" t="inlineStr">
        <is>
          <t>DVN</t>
        </is>
      </c>
      <c r="E404" s="8" t="n">
        <v>-996000</v>
      </c>
      <c r="F404" s="8" t="n">
        <v>-733000</v>
      </c>
      <c r="G404" s="8" t="n">
        <v>895000</v>
      </c>
      <c r="H404" s="8" t="n">
        <v>198000</v>
      </c>
      <c r="I404" s="45">
        <f>(F404-E404)/E404</f>
        <v/>
      </c>
      <c r="J404" s="45">
        <f>(G404-F404)/F404</f>
        <v/>
      </c>
      <c r="K404" s="46">
        <f>(H404-G404)/G404</f>
        <v/>
      </c>
    </row>
    <row r="405">
      <c r="D405" s="12" t="inlineStr">
        <is>
          <t>DXC</t>
        </is>
      </c>
      <c r="E405" s="8" t="n">
        <v>446000</v>
      </c>
      <c r="F405" s="8" t="n">
        <v>373000</v>
      </c>
      <c r="G405" s="8" t="n">
        <v>2343000</v>
      </c>
      <c r="H405" s="8" t="n">
        <v>1486000</v>
      </c>
      <c r="I405" s="45">
        <f>(F405-E405)/E405</f>
        <v/>
      </c>
      <c r="J405" s="45">
        <f>(G405-F405)/F405</f>
        <v/>
      </c>
      <c r="K405" s="46">
        <f>(H405-G405)/G405</f>
        <v/>
      </c>
    </row>
    <row r="406">
      <c r="D406" s="12" t="inlineStr">
        <is>
          <t>HSIC</t>
        </is>
      </c>
      <c r="E406" s="8" t="n">
        <v>543816</v>
      </c>
      <c r="F406" s="8" t="n">
        <v>572397</v>
      </c>
      <c r="G406" s="8" t="n">
        <v>464014</v>
      </c>
      <c r="H406" s="8" t="n">
        <v>594069</v>
      </c>
      <c r="I406" s="45">
        <f>(F406-E406)/E406</f>
        <v/>
      </c>
      <c r="J406" s="45">
        <f>(G406-F406)/F406</f>
        <v/>
      </c>
      <c r="K406" s="46">
        <f>(H406-G406)/G406</f>
        <v/>
      </c>
    </row>
    <row r="407">
      <c r="D407" s="12" t="inlineStr">
        <is>
          <t>PKI</t>
        </is>
      </c>
      <c r="E407" s="8" t="n">
        <v>258880</v>
      </c>
      <c r="F407" s="8" t="n">
        <v>318913</v>
      </c>
      <c r="G407" s="8" t="n">
        <v>249364</v>
      </c>
      <c r="H407" s="8" t="n">
        <v>217785</v>
      </c>
      <c r="I407" s="45">
        <f>(F407-E407)/E407</f>
        <v/>
      </c>
      <c r="J407" s="45">
        <f>(G407-F407)/F407</f>
        <v/>
      </c>
      <c r="K407" s="46">
        <f>(H407-G407)/G407</f>
        <v/>
      </c>
    </row>
    <row r="408">
      <c r="D408" s="12" t="inlineStr">
        <is>
          <t>IRM</t>
        </is>
      </c>
      <c r="E408" s="8" t="n">
        <v>251511</v>
      </c>
      <c r="F408" s="8" t="n">
        <v>215292</v>
      </c>
      <c r="G408" s="8" t="n">
        <v>377837</v>
      </c>
      <c r="H408" s="8" t="n">
        <v>475487</v>
      </c>
      <c r="I408" s="45">
        <f>(F408-E408)/E408</f>
        <v/>
      </c>
      <c r="J408" s="45">
        <f>(G408-F408)/F408</f>
        <v/>
      </c>
      <c r="K408" s="46">
        <f>(H408-G408)/G408</f>
        <v/>
      </c>
    </row>
    <row r="409">
      <c r="D409" s="12" t="inlineStr">
        <is>
          <t>ALLE</t>
        </is>
      </c>
      <c r="E409" s="8" t="n">
        <v>221800</v>
      </c>
      <c r="F409" s="8" t="n">
        <v>335000</v>
      </c>
      <c r="G409" s="8" t="n">
        <v>297900</v>
      </c>
      <c r="H409" s="8" t="n">
        <v>408700</v>
      </c>
      <c r="I409" s="45">
        <f>(F409-E409)/E409</f>
        <v/>
      </c>
      <c r="J409" s="45">
        <f>(G409-F409)/F409</f>
        <v/>
      </c>
      <c r="K409" s="46">
        <f>(H409-G409)/G409</f>
        <v/>
      </c>
    </row>
    <row r="410">
      <c r="D410" s="12" t="inlineStr">
        <is>
          <t>TIF</t>
        </is>
      </c>
      <c r="E410" s="8" t="n">
        <v>564700</v>
      </c>
      <c r="F410" s="8" t="n">
        <v>482900</v>
      </c>
      <c r="G410" s="8" t="n">
        <v>692900</v>
      </c>
      <c r="H410" s="8" t="n">
        <v>249700</v>
      </c>
      <c r="I410" s="45">
        <f>(F410-E410)/E410</f>
        <v/>
      </c>
      <c r="J410" s="45">
        <f>(G410-F410)/F410</f>
        <v/>
      </c>
      <c r="K410" s="46">
        <f>(H410-G410)/G410</f>
        <v/>
      </c>
    </row>
    <row r="411">
      <c r="D411" s="12" t="inlineStr">
        <is>
          <t>VIAB</t>
        </is>
      </c>
      <c r="E411" s="8" t="n">
        <v>2171000</v>
      </c>
      <c r="F411" s="8" t="n">
        <v>1199000</v>
      </c>
      <c r="G411" s="8" t="n">
        <v>1477000</v>
      </c>
      <c r="H411" s="8" t="n">
        <v>1644000</v>
      </c>
      <c r="I411" s="45">
        <f>(F411-E411)/E411</f>
        <v/>
      </c>
      <c r="J411" s="45">
        <f>(G411-F411)/F411</f>
        <v/>
      </c>
      <c r="K411" s="46">
        <f>(H411-G411)/G411</f>
        <v/>
      </c>
    </row>
    <row r="412">
      <c r="D412" s="12" t="inlineStr">
        <is>
          <t>JBHT</t>
        </is>
      </c>
      <c r="E412" s="8" t="n">
        <v>148186</v>
      </c>
      <c r="F412" s="8" t="n">
        <v>215713</v>
      </c>
      <c r="G412" s="8" t="n">
        <v>328225</v>
      </c>
      <c r="H412" s="8" t="n">
        <v>92191</v>
      </c>
      <c r="I412" s="45">
        <f>(F412-E412)/E412</f>
        <v/>
      </c>
      <c r="J412" s="45">
        <f>(G412-F412)/F412</f>
        <v/>
      </c>
      <c r="K412" s="46">
        <f>(H412-G412)/G412</f>
        <v/>
      </c>
    </row>
    <row r="413">
      <c r="D413" s="12" t="inlineStr">
        <is>
          <t>EMN</t>
        </is>
      </c>
      <c r="E413" s="8" t="n">
        <v>972000</v>
      </c>
      <c r="F413" s="8" t="n">
        <v>759000</v>
      </c>
      <c r="G413" s="8" t="n">
        <v>1008000</v>
      </c>
      <c r="H413" s="8" t="n">
        <v>1015000</v>
      </c>
      <c r="I413" s="45">
        <f>(F413-E413)/E413</f>
        <v/>
      </c>
      <c r="J413" s="45">
        <f>(G413-F413)/F413</f>
        <v/>
      </c>
      <c r="K413" s="46">
        <f>(H413-G413)/G413</f>
        <v/>
      </c>
    </row>
    <row r="414">
      <c r="D414" s="12" t="inlineStr">
        <is>
          <t>HII</t>
        </is>
      </c>
      <c r="E414" s="8" t="n">
        <v>673000</v>
      </c>
      <c r="F414" s="8" t="n">
        <v>537000</v>
      </c>
      <c r="G414" s="8" t="n">
        <v>432000</v>
      </c>
      <c r="H414" s="8" t="n">
        <v>451000</v>
      </c>
      <c r="I414" s="45">
        <f>(F414-E414)/E414</f>
        <v/>
      </c>
      <c r="J414" s="45">
        <f>(G414-F414)/F414</f>
        <v/>
      </c>
      <c r="K414" s="46">
        <f>(H414-G414)/G414</f>
        <v/>
      </c>
    </row>
    <row r="415">
      <c r="D415" s="12" t="inlineStr">
        <is>
          <t>WHR</t>
        </is>
      </c>
      <c r="E415" s="8" t="n">
        <v>536000</v>
      </c>
      <c r="F415" s="8" t="n">
        <v>543000</v>
      </c>
      <c r="G415" s="8" t="n">
        <v>580000</v>
      </c>
      <c r="H415" s="8" t="n">
        <v>639000</v>
      </c>
      <c r="I415" s="45">
        <f>(F415-E415)/E415</f>
        <v/>
      </c>
      <c r="J415" s="45">
        <f>(G415-F415)/F415</f>
        <v/>
      </c>
      <c r="K415" s="46">
        <f>(H415-G415)/G415</f>
        <v/>
      </c>
    </row>
    <row r="416">
      <c r="D416" s="12" t="inlineStr">
        <is>
          <t>PHM</t>
        </is>
      </c>
      <c r="E416" s="8" t="n">
        <v>-383030</v>
      </c>
      <c r="F416" s="8" t="n">
        <v>28975</v>
      </c>
      <c r="G416" s="8" t="n">
        <v>631026</v>
      </c>
      <c r="H416" s="8" t="n">
        <v>1390705</v>
      </c>
      <c r="I416" s="45">
        <f>(F416-E416)/E416</f>
        <v/>
      </c>
      <c r="J416" s="45">
        <f>(G416-F416)/F416</f>
        <v/>
      </c>
      <c r="K416" s="46">
        <f>(H416-G416)/G416</f>
        <v/>
      </c>
    </row>
    <row r="417">
      <c r="D417" s="12" t="inlineStr">
        <is>
          <t>QRVO</t>
        </is>
      </c>
      <c r="E417" s="8" t="n">
        <v>372303</v>
      </c>
      <c r="F417" s="8" t="n">
        <v>224118</v>
      </c>
      <c r="G417" s="8" t="n">
        <v>582685</v>
      </c>
      <c r="H417" s="8" t="n">
        <v>589427</v>
      </c>
      <c r="I417" s="45">
        <f>(F417-E417)/E417</f>
        <v/>
      </c>
      <c r="J417" s="45">
        <f>(G417-F417)/F417</f>
        <v/>
      </c>
      <c r="K417" s="46">
        <f>(H417-G417)/G417</f>
        <v/>
      </c>
    </row>
    <row r="418">
      <c r="D418" s="12" t="inlineStr">
        <is>
          <t>WRK</t>
        </is>
      </c>
      <c r="E418" s="8" t="n">
        <v>618100</v>
      </c>
      <c r="F418" s="8" t="n">
        <v>891700</v>
      </c>
      <c r="G418" s="8" t="n">
        <v>1121900</v>
      </c>
      <c r="H418" s="8" t="n">
        <v>1421000</v>
      </c>
      <c r="I418" s="45">
        <f>(F418-E418)/E418</f>
        <v/>
      </c>
      <c r="J418" s="45">
        <f>(G418-F418)/F418</f>
        <v/>
      </c>
      <c r="K418" s="46">
        <f>(H418-G418)/G418</f>
        <v/>
      </c>
    </row>
    <row r="419">
      <c r="D419" s="12" t="inlineStr">
        <is>
          <t>URI</t>
        </is>
      </c>
      <c r="E419" s="8" t="n">
        <v>897000</v>
      </c>
      <c r="F419" s="8" t="n">
        <v>1098000</v>
      </c>
      <c r="G419" s="8" t="n">
        <v>870000</v>
      </c>
      <c r="H419" s="8" t="n">
        <v>1226000</v>
      </c>
      <c r="I419" s="45">
        <f>(F419-E419)/E419</f>
        <v/>
      </c>
      <c r="J419" s="45">
        <f>(G419-F419)/F419</f>
        <v/>
      </c>
      <c r="K419" s="46">
        <f>(H419-G419)/G419</f>
        <v/>
      </c>
    </row>
    <row r="420">
      <c r="D420" s="12" t="inlineStr">
        <is>
          <t>CPB</t>
        </is>
      </c>
      <c r="E420" s="8" t="n">
        <v>1150000</v>
      </c>
      <c r="F420" s="8" t="n">
        <v>953000</v>
      </c>
      <c r="G420" s="8" t="n">
        <v>898000</v>
      </c>
      <c r="H420" s="8" t="n">
        <v>1014000</v>
      </c>
      <c r="I420" s="45">
        <f>(F420-E420)/E420</f>
        <v/>
      </c>
      <c r="J420" s="45">
        <f>(G420-F420)/F420</f>
        <v/>
      </c>
      <c r="K420" s="46">
        <f>(H420-G420)/G420</f>
        <v/>
      </c>
    </row>
    <row r="421">
      <c r="D421" s="12" t="inlineStr">
        <is>
          <t>SNA</t>
        </is>
      </c>
      <c r="E421" s="8" t="n">
        <v>426800</v>
      </c>
      <c r="F421" s="8" t="n">
        <v>501800</v>
      </c>
      <c r="G421" s="8" t="n">
        <v>526500</v>
      </c>
      <c r="H421" s="8" t="n">
        <v>673600</v>
      </c>
      <c r="I421" s="45">
        <f>(F421-E421)/E421</f>
        <v/>
      </c>
      <c r="J421" s="45">
        <f>(G421-F421)/F421</f>
        <v/>
      </c>
      <c r="K421" s="46">
        <f>(H421-G421)/G421</f>
        <v/>
      </c>
    </row>
    <row r="422">
      <c r="D422" s="12" t="inlineStr">
        <is>
          <t>LKQ</t>
        </is>
      </c>
      <c r="E422" s="8" t="n">
        <v>373792</v>
      </c>
      <c r="F422" s="8" t="n">
        <v>427940</v>
      </c>
      <c r="G422" s="8" t="n">
        <v>339810</v>
      </c>
      <c r="H422" s="8" t="n">
        <v>460712</v>
      </c>
      <c r="I422" s="45">
        <f>(F422-E422)/E422</f>
        <v/>
      </c>
      <c r="J422" s="45">
        <f>(G422-F422)/F422</f>
        <v/>
      </c>
      <c r="K422" s="46">
        <f>(H422-G422)/G422</f>
        <v/>
      </c>
    </row>
    <row r="423">
      <c r="D423" s="12" t="inlineStr">
        <is>
          <t>JNPR</t>
        </is>
      </c>
      <c r="E423" s="8" t="n">
        <v>689200</v>
      </c>
      <c r="F423" s="8" t="n">
        <v>911900</v>
      </c>
      <c r="G423" s="8" t="n">
        <v>1108100</v>
      </c>
      <c r="H423" s="8" t="n">
        <v>713700</v>
      </c>
      <c r="I423" s="45">
        <f>(F423-E423)/E423</f>
        <v/>
      </c>
      <c r="J423" s="45">
        <f>(G423-F423)/F423</f>
        <v/>
      </c>
      <c r="K423" s="46">
        <f>(H423-G423)/G423</f>
        <v/>
      </c>
    </row>
    <row r="424">
      <c r="D424" s="12" t="inlineStr">
        <is>
          <t>APA</t>
        </is>
      </c>
      <c r="E424" s="8" t="n">
        <v>-2141000</v>
      </c>
      <c r="F424" s="8" t="n">
        <v>481000</v>
      </c>
      <c r="G424" s="8" t="n">
        <v>-332000</v>
      </c>
      <c r="H424" s="8" t="n">
        <v>-127000</v>
      </c>
      <c r="I424" s="45">
        <f>(F424-E424)/E424</f>
        <v/>
      </c>
      <c r="J424" s="45">
        <f>(G424-F424)/F424</f>
        <v/>
      </c>
      <c r="K424" s="46">
        <f>(H424-G424)/G424</f>
        <v/>
      </c>
    </row>
    <row r="425">
      <c r="D425" s="12" t="inlineStr">
        <is>
          <t>BEN</t>
        </is>
      </c>
      <c r="E425" s="8" t="n">
        <v>2183200</v>
      </c>
      <c r="F425" s="8" t="n">
        <v>1630100</v>
      </c>
      <c r="G425" s="8" t="n">
        <v>1060500</v>
      </c>
      <c r="H425" s="8" t="n">
        <v>2123200</v>
      </c>
      <c r="I425" s="45">
        <f>(F425-E425)/E425</f>
        <v/>
      </c>
      <c r="J425" s="45">
        <f>(G425-F425)/F425</f>
        <v/>
      </c>
      <c r="K425" s="46">
        <f>(H425-G425)/G425</f>
        <v/>
      </c>
    </row>
    <row r="426">
      <c r="D426" s="12" t="inlineStr">
        <is>
          <t>IPG</t>
        </is>
      </c>
      <c r="E426" s="8" t="n">
        <v>527400</v>
      </c>
      <c r="F426" s="8" t="n">
        <v>312100</v>
      </c>
      <c r="G426" s="8" t="n">
        <v>725900</v>
      </c>
      <c r="H426" s="8" t="n">
        <v>388000</v>
      </c>
      <c r="I426" s="45">
        <f>(F426-E426)/E426</f>
        <v/>
      </c>
      <c r="J426" s="45">
        <f>(G426-F426)/F426</f>
        <v/>
      </c>
      <c r="K426" s="46">
        <f>(H426-G426)/G426</f>
        <v/>
      </c>
    </row>
    <row r="427">
      <c r="D427" s="12" t="inlineStr">
        <is>
          <t>KIM</t>
        </is>
      </c>
      <c r="E427" s="8" t="n">
        <v>493701</v>
      </c>
      <c r="F427" s="8" t="n">
        <v>592096</v>
      </c>
      <c r="G427" s="8" t="n">
        <v>614181</v>
      </c>
      <c r="H427" s="8" t="n">
        <v>637936</v>
      </c>
      <c r="I427" s="45">
        <f>(F427-E427)/E427</f>
        <v/>
      </c>
      <c r="J427" s="45">
        <f>(G427-F427)/F427</f>
        <v/>
      </c>
      <c r="K427" s="46">
        <f>(H427-G427)/G427</f>
        <v/>
      </c>
    </row>
    <row r="428">
      <c r="D428" s="12" t="inlineStr">
        <is>
          <t>AIV</t>
        </is>
      </c>
      <c r="E428" s="8" t="n">
        <v>-13954</v>
      </c>
      <c r="F428" s="8" t="n">
        <v>22316</v>
      </c>
      <c r="G428" s="8" t="n">
        <v>25069</v>
      </c>
      <c r="H428" s="8" t="n">
        <v>48181</v>
      </c>
      <c r="I428" s="45">
        <f>(F428-E428)/E428</f>
        <v/>
      </c>
      <c r="J428" s="45">
        <f>(G428-F428)/F428</f>
        <v/>
      </c>
      <c r="K428" s="46">
        <f>(H428-G428)/G428</f>
        <v/>
      </c>
    </row>
    <row r="429">
      <c r="D429" s="12" t="inlineStr">
        <is>
          <t>FFIV</t>
        </is>
      </c>
      <c r="E429" s="8" t="n">
        <v>624234</v>
      </c>
      <c r="F429" s="8" t="n">
        <v>648047</v>
      </c>
      <c r="G429" s="8" t="n">
        <v>701600</v>
      </c>
      <c r="H429" s="8" t="n">
        <v>707603</v>
      </c>
      <c r="I429" s="45">
        <f>(F429-E429)/E429</f>
        <v/>
      </c>
      <c r="J429" s="45">
        <f>(G429-F429)/F429</f>
        <v/>
      </c>
      <c r="K429" s="46">
        <f>(H429-G429)/G429</f>
        <v/>
      </c>
    </row>
    <row r="430">
      <c r="D430" s="12" t="inlineStr">
        <is>
          <t>AIZ</t>
        </is>
      </c>
      <c r="E430" s="8" t="n">
        <v>115000</v>
      </c>
      <c r="F430" s="8" t="n">
        <v>23400</v>
      </c>
      <c r="G430" s="8" t="n">
        <v>468300</v>
      </c>
      <c r="H430" s="8" t="n">
        <v>573900</v>
      </c>
      <c r="I430" s="45">
        <f>(F430-E430)/E430</f>
        <v/>
      </c>
      <c r="J430" s="45">
        <f>(G430-F430)/F430</f>
        <v/>
      </c>
      <c r="K430" s="46">
        <f>(H430-G430)/G430</f>
        <v/>
      </c>
    </row>
    <row r="431">
      <c r="D431" s="12" t="inlineStr">
        <is>
          <t>ZION</t>
        </is>
      </c>
      <c r="E431" s="8" t="n">
        <v>307000</v>
      </c>
      <c r="F431" s="8" t="n">
        <v>400000</v>
      </c>
      <c r="G431" s="8" t="n">
        <v>759000</v>
      </c>
      <c r="H431" s="8" t="n">
        <v>1047000</v>
      </c>
      <c r="I431" s="45">
        <f>(F431-E431)/E431</f>
        <v/>
      </c>
      <c r="J431" s="45">
        <f>(G431-F431)/F431</f>
        <v/>
      </c>
      <c r="K431" s="46">
        <f>(H431-G431)/G431</f>
        <v/>
      </c>
    </row>
    <row r="432">
      <c r="D432" s="12" t="inlineStr">
        <is>
          <t>KSS</t>
        </is>
      </c>
      <c r="E432" s="8" t="n">
        <v>794000</v>
      </c>
      <c r="F432" s="8" t="n">
        <v>1385000</v>
      </c>
      <c r="G432" s="8" t="n">
        <v>1019000</v>
      </c>
      <c r="H432" s="8" t="n">
        <v>1529000</v>
      </c>
      <c r="I432" s="45">
        <f>(F432-E432)/E432</f>
        <v/>
      </c>
      <c r="J432" s="45">
        <f>(G432-F432)/F432</f>
        <v/>
      </c>
      <c r="K432" s="46">
        <f>(H432-G432)/G432</f>
        <v/>
      </c>
    </row>
    <row r="433">
      <c r="D433" s="12" t="inlineStr">
        <is>
          <t>DISH</t>
        </is>
      </c>
      <c r="E433" s="8" t="n">
        <v>1724125</v>
      </c>
      <c r="F433" s="8" t="n">
        <v>2240192</v>
      </c>
      <c r="G433" s="8" t="n">
        <v>2347712</v>
      </c>
      <c r="H433" s="8" t="n">
        <v>2123903</v>
      </c>
      <c r="I433" s="45">
        <f>(F433-E433)/E433</f>
        <v/>
      </c>
      <c r="J433" s="45">
        <f>(G433-F433)/F433</f>
        <v/>
      </c>
      <c r="K433" s="46">
        <f>(H433-G433)/G433</f>
        <v/>
      </c>
    </row>
    <row r="434">
      <c r="D434" s="12" t="inlineStr">
        <is>
          <t>NOV</t>
        </is>
      </c>
      <c r="E434" s="8" t="n">
        <v>879000</v>
      </c>
      <c r="F434" s="8" t="n">
        <v>676000</v>
      </c>
      <c r="G434" s="8" t="n">
        <v>640000</v>
      </c>
      <c r="H434" s="8" t="n">
        <v>277000</v>
      </c>
      <c r="I434" s="45">
        <f>(F434-E434)/E434</f>
        <v/>
      </c>
      <c r="J434" s="45">
        <f>(G434-F434)/F434</f>
        <v/>
      </c>
      <c r="K434" s="46">
        <f>(H434-G434)/G434</f>
        <v/>
      </c>
    </row>
    <row r="435">
      <c r="D435" s="12" t="inlineStr">
        <is>
          <t>ALK</t>
        </is>
      </c>
      <c r="E435" s="8" t="n">
        <v>753000</v>
      </c>
      <c r="F435" s="8" t="n">
        <v>708000</v>
      </c>
      <c r="G435" s="8" t="n">
        <v>564000</v>
      </c>
      <c r="H435" s="8" t="n">
        <v>235000</v>
      </c>
      <c r="I435" s="45">
        <f>(F435-E435)/E435</f>
        <v/>
      </c>
      <c r="J435" s="45">
        <f>(G435-F435)/F435</f>
        <v/>
      </c>
      <c r="K435" s="46">
        <f>(H435-G435)/G435</f>
        <v/>
      </c>
    </row>
    <row r="436">
      <c r="D436" s="12" t="inlineStr">
        <is>
          <t>COG</t>
        </is>
      </c>
      <c r="E436" s="8" t="n">
        <v>-222316</v>
      </c>
      <c r="F436" s="8" t="n">
        <v>22288</v>
      </c>
      <c r="G436" s="8" t="n">
        <v>133602</v>
      </c>
      <c r="H436" s="8" t="n">
        <v>210433</v>
      </c>
      <c r="I436" s="45">
        <f>(F436-E436)/E436</f>
        <v/>
      </c>
      <c r="J436" s="45">
        <f>(G436-F436)/F436</f>
        <v/>
      </c>
      <c r="K436" s="46">
        <f>(H436-G436)/G436</f>
        <v/>
      </c>
    </row>
    <row r="437">
      <c r="D437" s="12" t="inlineStr">
        <is>
          <t>NLSN</t>
        </is>
      </c>
      <c r="E437" s="8" t="n">
        <v>1075000</v>
      </c>
      <c r="F437" s="8" t="n">
        <v>1187000</v>
      </c>
      <c r="G437" s="8" t="n">
        <v>1191000</v>
      </c>
      <c r="H437" s="8" t="n">
        <v>952000</v>
      </c>
      <c r="I437" s="45">
        <f>(F437-E437)/E437</f>
        <v/>
      </c>
      <c r="J437" s="45">
        <f>(G437-F437)/F437</f>
        <v/>
      </c>
      <c r="K437" s="46">
        <f>(H437-G437)/G437</f>
        <v/>
      </c>
    </row>
    <row r="438">
      <c r="D438" s="12" t="inlineStr">
        <is>
          <t>MHK</t>
        </is>
      </c>
      <c r="E438" s="8" t="n">
        <v>425495</v>
      </c>
      <c r="F438" s="8" t="n">
        <v>673164</v>
      </c>
      <c r="G438" s="8" t="n">
        <v>287597</v>
      </c>
      <c r="H438" s="8" t="n">
        <v>387234</v>
      </c>
      <c r="I438" s="45">
        <f>(F438-E438)/E438</f>
        <v/>
      </c>
      <c r="J438" s="45">
        <f>(G438-F438)/F438</f>
        <v/>
      </c>
      <c r="K438" s="46">
        <f>(H438-G438)/G438</f>
        <v/>
      </c>
    </row>
    <row r="439">
      <c r="D439" s="12" t="inlineStr">
        <is>
          <t>FBHS</t>
        </is>
      </c>
      <c r="E439" s="8" t="n">
        <v>300700</v>
      </c>
      <c r="F439" s="8" t="n">
        <v>501200</v>
      </c>
      <c r="G439" s="8" t="n">
        <v>435300</v>
      </c>
      <c r="H439" s="8" t="n">
        <v>453900</v>
      </c>
      <c r="I439" s="45">
        <f>(F439-E439)/E439</f>
        <v/>
      </c>
      <c r="J439" s="45">
        <f>(G439-F439)/F439</f>
        <v/>
      </c>
      <c r="K439" s="46">
        <f>(H439-G439)/G439</f>
        <v/>
      </c>
    </row>
    <row r="440">
      <c r="D440" s="12" t="inlineStr">
        <is>
          <t>HFC</t>
        </is>
      </c>
      <c r="E440" s="8" t="n">
        <v>309713</v>
      </c>
      <c r="F440" s="8" t="n">
        <v>127158</v>
      </c>
      <c r="G440" s="8" t="n">
        <v>679131</v>
      </c>
      <c r="H440" s="8" t="n">
        <v>1243387</v>
      </c>
      <c r="I440" s="45">
        <f>(F440-E440)/E440</f>
        <v/>
      </c>
      <c r="J440" s="45">
        <f>(G440-F440)/F440</f>
        <v/>
      </c>
      <c r="K440" s="46">
        <f>(H440-G440)/G440</f>
        <v/>
      </c>
    </row>
    <row r="441">
      <c r="D441" s="12" t="inlineStr">
        <is>
          <t>DVA</t>
        </is>
      </c>
      <c r="E441" s="8" t="n">
        <v>823347</v>
      </c>
      <c r="F441" s="8" t="n">
        <v>1158824</v>
      </c>
      <c r="G441" s="8" t="n">
        <v>1060942</v>
      </c>
      <c r="H441" s="8" t="n">
        <v>543709</v>
      </c>
      <c r="I441" s="45">
        <f>(F441-E441)/E441</f>
        <v/>
      </c>
      <c r="J441" s="45">
        <f>(G441-F441)/F441</f>
        <v/>
      </c>
      <c r="K441" s="46">
        <f>(H441-G441)/G441</f>
        <v/>
      </c>
    </row>
    <row r="442">
      <c r="D442" s="12" t="inlineStr">
        <is>
          <t>SLG</t>
        </is>
      </c>
      <c r="E442" s="8" t="n">
        <v>526484</v>
      </c>
      <c r="F442" s="8" t="n">
        <v>644010</v>
      </c>
      <c r="G442" s="8" t="n">
        <v>543001</v>
      </c>
      <c r="H442" s="8" t="n">
        <v>441537</v>
      </c>
      <c r="I442" s="45">
        <f>(F442-E442)/E442</f>
        <v/>
      </c>
      <c r="J442" s="45">
        <f>(G442-F442)/F442</f>
        <v/>
      </c>
      <c r="K442" s="46">
        <f>(H442-G442)/G442</f>
        <v/>
      </c>
    </row>
    <row r="443">
      <c r="D443" s="12" t="inlineStr">
        <is>
          <t>ALB</t>
        </is>
      </c>
      <c r="E443" s="8" t="n">
        <v>133161</v>
      </c>
      <c r="F443" s="8" t="n">
        <v>538870</v>
      </c>
      <c r="G443" s="8" t="n">
        <v>-13724</v>
      </c>
      <c r="H443" s="8" t="n">
        <v>-153826</v>
      </c>
      <c r="I443" s="45">
        <f>(F443-E443)/E443</f>
        <v/>
      </c>
      <c r="J443" s="45">
        <f>(G443-F443)/F443</f>
        <v/>
      </c>
      <c r="K443" s="46">
        <f>(H443-G443)/G443</f>
        <v/>
      </c>
    </row>
    <row r="444">
      <c r="D444" s="12" t="inlineStr">
        <is>
          <t>RHI</t>
        </is>
      </c>
      <c r="E444" s="8" t="n">
        <v>363179</v>
      </c>
      <c r="F444" s="8" t="n">
        <v>359125</v>
      </c>
      <c r="G444" s="8" t="n">
        <v>412238</v>
      </c>
      <c r="H444" s="8" t="n">
        <v>529838</v>
      </c>
      <c r="I444" s="45">
        <f>(F444-E444)/E444</f>
        <v/>
      </c>
      <c r="J444" s="45">
        <f>(G444-F444)/F444</f>
        <v/>
      </c>
      <c r="K444" s="46">
        <f>(H444-G444)/G444</f>
        <v/>
      </c>
    </row>
    <row r="445">
      <c r="D445" s="12" t="inlineStr">
        <is>
          <t>AOS</t>
        </is>
      </c>
      <c r="E445" s="8" t="n">
        <v>279000</v>
      </c>
      <c r="F445" s="8" t="n">
        <v>365900</v>
      </c>
      <c r="G445" s="8" t="n">
        <v>232200</v>
      </c>
      <c r="H445" s="8" t="n">
        <v>363700</v>
      </c>
      <c r="I445" s="45">
        <f>(F445-E445)/E445</f>
        <v/>
      </c>
      <c r="J445" s="45">
        <f>(G445-F445)/F445</f>
        <v/>
      </c>
      <c r="K445" s="46">
        <f>(H445-G445)/G445</f>
        <v/>
      </c>
    </row>
    <row r="446">
      <c r="D446" s="12" t="inlineStr">
        <is>
          <t>BWA</t>
        </is>
      </c>
      <c r="E446" s="8" t="n">
        <v>290600</v>
      </c>
      <c r="F446" s="8" t="n">
        <v>535100</v>
      </c>
      <c r="G446" s="8" t="n">
        <v>620300</v>
      </c>
      <c r="H446" s="8" t="n">
        <v>579900</v>
      </c>
      <c r="I446" s="45">
        <f>(F446-E446)/E446</f>
        <v/>
      </c>
      <c r="J446" s="45">
        <f>(G446-F446)/F446</f>
        <v/>
      </c>
      <c r="K446" s="46">
        <f>(H446-G446)/G446</f>
        <v/>
      </c>
    </row>
    <row r="447">
      <c r="D447" s="12" t="inlineStr">
        <is>
          <t>SEE</t>
        </is>
      </c>
      <c r="E447" s="8" t="n">
        <v>798100</v>
      </c>
      <c r="F447" s="8" t="n">
        <v>631200</v>
      </c>
      <c r="G447" s="8" t="n">
        <v>240600</v>
      </c>
      <c r="H447" s="8" t="n">
        <v>259400</v>
      </c>
      <c r="I447" s="45">
        <f>(F447-E447)/E447</f>
        <v/>
      </c>
      <c r="J447" s="45">
        <f>(G447-F447)/F447</f>
        <v/>
      </c>
      <c r="K447" s="46">
        <f>(H447-G447)/G447</f>
        <v/>
      </c>
    </row>
    <row r="448">
      <c r="D448" s="12" t="inlineStr">
        <is>
          <t>FLIR</t>
        </is>
      </c>
      <c r="E448" s="8" t="n">
        <v>225191</v>
      </c>
      <c r="F448" s="8" t="n">
        <v>283811</v>
      </c>
      <c r="G448" s="8" t="n">
        <v>266143</v>
      </c>
      <c r="H448" s="8" t="n">
        <v>343384</v>
      </c>
      <c r="I448" s="45">
        <f>(F448-E448)/E448</f>
        <v/>
      </c>
      <c r="J448" s="45">
        <f>(G448-F448)/F448</f>
        <v/>
      </c>
      <c r="K448" s="46">
        <f>(H448-G448)/G448</f>
        <v/>
      </c>
    </row>
    <row r="449">
      <c r="D449" s="12" t="inlineStr">
        <is>
          <t>IVZ</t>
        </is>
      </c>
      <c r="E449" s="8" t="n">
        <v>1003900</v>
      </c>
      <c r="F449" s="8" t="n">
        <v>506300</v>
      </c>
      <c r="G449" s="8" t="n">
        <v>1046100</v>
      </c>
      <c r="H449" s="8" t="n">
        <v>726300</v>
      </c>
      <c r="I449" s="45">
        <f>(F449-E449)/E449</f>
        <v/>
      </c>
      <c r="J449" s="45">
        <f>(G449-F449)/F449</f>
        <v/>
      </c>
      <c r="K449" s="46">
        <f>(H449-G449)/G449</f>
        <v/>
      </c>
    </row>
    <row r="450">
      <c r="D450" s="12" t="inlineStr">
        <is>
          <t>MOS</t>
        </is>
      </c>
      <c r="E450" s="8" t="n">
        <v>1038000</v>
      </c>
      <c r="F450" s="8" t="n">
        <v>417100</v>
      </c>
      <c r="G450" s="8" t="n">
        <v>115400</v>
      </c>
      <c r="H450" s="8" t="n">
        <v>455300</v>
      </c>
      <c r="I450" s="45">
        <f>(F450-E450)/E450</f>
        <v/>
      </c>
      <c r="J450" s="45">
        <f>(G450-F450)/F450</f>
        <v/>
      </c>
      <c r="K450" s="46">
        <f>(H450-G450)/G450</f>
        <v/>
      </c>
    </row>
    <row r="451">
      <c r="D451" s="12" t="inlineStr">
        <is>
          <t>NWL</t>
        </is>
      </c>
      <c r="E451" s="8" t="n">
        <v>381500</v>
      </c>
      <c r="F451" s="8" t="n">
        <v>1399000</v>
      </c>
      <c r="G451" s="8" t="n">
        <v>560000</v>
      </c>
      <c r="H451" s="8" t="n">
        <v>295600</v>
      </c>
      <c r="I451" s="45">
        <f>(F451-E451)/E451</f>
        <v/>
      </c>
      <c r="J451" s="45">
        <f>(G451-F451)/F451</f>
        <v/>
      </c>
      <c r="K451" s="46">
        <f>(H451-G451)/G451</f>
        <v/>
      </c>
    </row>
    <row r="452">
      <c r="D452" s="12" t="inlineStr">
        <is>
          <t>ADS</t>
        </is>
      </c>
      <c r="E452" s="8" t="n">
        <v>1568100</v>
      </c>
      <c r="F452" s="8" t="n">
        <v>1920200</v>
      </c>
      <c r="G452" s="8" t="n">
        <v>2373700</v>
      </c>
      <c r="H452" s="8" t="n">
        <v>2555100</v>
      </c>
      <c r="I452" s="45">
        <f>(F452-E452)/E452</f>
        <v/>
      </c>
      <c r="J452" s="45">
        <f>(G452-F452)/F452</f>
        <v/>
      </c>
      <c r="K452" s="46">
        <f>(H452-G452)/G452</f>
        <v/>
      </c>
    </row>
    <row r="453">
      <c r="D453" s="12" t="inlineStr">
        <is>
          <t>TPR</t>
        </is>
      </c>
      <c r="E453" s="8" t="n">
        <v>362200</v>
      </c>
      <c r="F453" s="8" t="n">
        <v>570700</v>
      </c>
      <c r="G453" s="8" t="n">
        <v>729300</v>
      </c>
      <c r="H453" s="8" t="n">
        <v>517500</v>
      </c>
      <c r="I453" s="45">
        <f>(F453-E453)/E453</f>
        <v/>
      </c>
      <c r="J453" s="45">
        <f>(G453-F453)/F453</f>
        <v/>
      </c>
      <c r="K453" s="46">
        <f>(H453-G453)/G453</f>
        <v/>
      </c>
    </row>
    <row r="454">
      <c r="D454" s="12" t="inlineStr">
        <is>
          <t>PRGO</t>
        </is>
      </c>
      <c r="E454" s="8" t="n">
        <v>597500</v>
      </c>
      <c r="F454" s="8" t="n">
        <v>483600</v>
      </c>
      <c r="G454" s="8" t="n">
        <v>610300</v>
      </c>
      <c r="H454" s="8" t="n">
        <v>485200</v>
      </c>
      <c r="I454" s="45">
        <f>(F454-E454)/E454</f>
        <v/>
      </c>
      <c r="J454" s="45">
        <f>(G454-F454)/F454</f>
        <v/>
      </c>
      <c r="K454" s="46">
        <f>(H454-G454)/G454</f>
        <v/>
      </c>
    </row>
    <row r="455">
      <c r="D455" s="12" t="inlineStr">
        <is>
          <t>UNM</t>
        </is>
      </c>
      <c r="E455" s="8" t="n">
        <v>1191900</v>
      </c>
      <c r="F455" s="8" t="n">
        <v>1036600</v>
      </c>
      <c r="G455" s="8" t="n">
        <v>1058800</v>
      </c>
      <c r="H455" s="8" t="n">
        <v>1392400</v>
      </c>
      <c r="I455" s="45">
        <f>(F455-E455)/E455</f>
        <v/>
      </c>
      <c r="J455" s="45">
        <f>(G455-F455)/F455</f>
        <v/>
      </c>
      <c r="K455" s="46">
        <f>(H455-G455)/G455</f>
        <v/>
      </c>
    </row>
    <row r="456">
      <c r="D456" s="12" t="inlineStr">
        <is>
          <t>PBCT</t>
        </is>
      </c>
      <c r="E456" s="8" t="n">
        <v>248000</v>
      </c>
      <c r="F456" s="8" t="n">
        <v>293600</v>
      </c>
      <c r="G456" s="8" t="n">
        <v>574000</v>
      </c>
      <c r="H456" s="8" t="n">
        <v>501400</v>
      </c>
      <c r="I456" s="45">
        <f>(F456-E456)/E456</f>
        <v/>
      </c>
      <c r="J456" s="45">
        <f>(G456-F456)/F456</f>
        <v/>
      </c>
      <c r="K456" s="46">
        <f>(H456-G456)/G456</f>
        <v/>
      </c>
    </row>
    <row r="457">
      <c r="D457" s="12" t="inlineStr">
        <is>
          <t>PNR</t>
        </is>
      </c>
      <c r="E457" s="8" t="n">
        <v>648000</v>
      </c>
      <c r="F457" s="8" t="n">
        <v>818100</v>
      </c>
      <c r="G457" s="8" t="n">
        <v>581100</v>
      </c>
      <c r="H457" s="8" t="n">
        <v>390900</v>
      </c>
      <c r="I457" s="45">
        <f>(F457-E457)/E457</f>
        <v/>
      </c>
      <c r="J457" s="45">
        <f>(G457-F457)/F457</f>
        <v/>
      </c>
      <c r="K457" s="46">
        <f>(H457-G457)/G457</f>
        <v/>
      </c>
    </row>
    <row r="458">
      <c r="D458" s="12" t="inlineStr">
        <is>
          <t>HRB</t>
        </is>
      </c>
      <c r="E458" s="8" t="n">
        <v>444630</v>
      </c>
      <c r="F458" s="8" t="n">
        <v>462942</v>
      </c>
      <c r="G458" s="8" t="n">
        <v>751420</v>
      </c>
      <c r="H458" s="8" t="n">
        <v>511048</v>
      </c>
      <c r="I458" s="45">
        <f>(F458-E458)/E458</f>
        <v/>
      </c>
      <c r="J458" s="45">
        <f>(G458-F458)/F458</f>
        <v/>
      </c>
      <c r="K458" s="46">
        <f>(H458-G458)/G458</f>
        <v/>
      </c>
    </row>
    <row r="459">
      <c r="D459" s="12" t="inlineStr">
        <is>
          <t>PVH</t>
        </is>
      </c>
      <c r="E459" s="8" t="n">
        <v>641300</v>
      </c>
      <c r="F459" s="8" t="n">
        <v>656000</v>
      </c>
      <c r="G459" s="8" t="n">
        <v>286100</v>
      </c>
      <c r="H459" s="8" t="n">
        <v>473000</v>
      </c>
      <c r="I459" s="45">
        <f>(F459-E459)/E459</f>
        <v/>
      </c>
      <c r="J459" s="45">
        <f>(G459-F459)/F459</f>
        <v/>
      </c>
      <c r="K459" s="46">
        <f>(H459-G459)/G459</f>
        <v/>
      </c>
    </row>
    <row r="460">
      <c r="D460" s="12" t="inlineStr">
        <is>
          <t>FLS</t>
        </is>
      </c>
      <c r="E460" s="8" t="n">
        <v>258898</v>
      </c>
      <c r="F460" s="8" t="n">
        <v>150777</v>
      </c>
      <c r="G460" s="8" t="n">
        <v>249464</v>
      </c>
      <c r="H460" s="8" t="n">
        <v>106838</v>
      </c>
      <c r="I460" s="45">
        <f>(F460-E460)/E460</f>
        <v/>
      </c>
      <c r="J460" s="45">
        <f>(G460-F460)/F460</f>
        <v/>
      </c>
      <c r="K460" s="46">
        <f>(H460-G460)/G460</f>
        <v/>
      </c>
    </row>
    <row r="461">
      <c r="D461" s="12" t="inlineStr">
        <is>
          <t>NWSA</t>
        </is>
      </c>
      <c r="E461" s="8" t="n">
        <v>622000</v>
      </c>
      <c r="F461" s="8" t="n">
        <v>238000</v>
      </c>
      <c r="G461" s="8" t="n">
        <v>393000</v>
      </c>
      <c r="H461" s="8" t="n">
        <v>356000</v>
      </c>
      <c r="I461" s="45">
        <f>(F461-E461)/E461</f>
        <v/>
      </c>
      <c r="J461" s="45">
        <f>(G461-F461)/F461</f>
        <v/>
      </c>
      <c r="K461" s="46">
        <f>(H461-G461)/G461</f>
        <v/>
      </c>
    </row>
    <row r="462">
      <c r="D462" s="12" t="inlineStr">
        <is>
          <t>FOX</t>
        </is>
      </c>
      <c r="E462" s="8" t="n">
        <v>990000</v>
      </c>
      <c r="F462" s="8" t="n">
        <v>1464000</v>
      </c>
      <c r="G462" s="8" t="n">
        <v>1102000</v>
      </c>
      <c r="H462" s="8" t="n">
        <v>2289000</v>
      </c>
      <c r="I462" s="45">
        <f>(F462-E462)/E462</f>
        <v/>
      </c>
      <c r="J462" s="45">
        <f>(G462-F462)/F462</f>
        <v/>
      </c>
      <c r="K462" s="46">
        <f>(H462-G462)/G462</f>
        <v/>
      </c>
    </row>
    <row r="463">
      <c r="D463" s="12" t="inlineStr">
        <is>
          <t>HBI</t>
        </is>
      </c>
      <c r="E463" s="8" t="n">
        <v>127632</v>
      </c>
      <c r="F463" s="8" t="n">
        <v>522208</v>
      </c>
      <c r="G463" s="8" t="n">
        <v>568710</v>
      </c>
      <c r="H463" s="8" t="n">
        <v>557109</v>
      </c>
      <c r="I463" s="45">
        <f>(F463-E463)/E463</f>
        <v/>
      </c>
      <c r="J463" s="45">
        <f>(G463-F463)/F463</f>
        <v/>
      </c>
      <c r="K463" s="46">
        <f>(H463-G463)/G463</f>
        <v/>
      </c>
    </row>
    <row r="464">
      <c r="D464" s="12" t="inlineStr">
        <is>
          <t>HOG</t>
        </is>
      </c>
      <c r="E464" s="8" t="n">
        <v>840144</v>
      </c>
      <c r="F464" s="8" t="n">
        <v>918076</v>
      </c>
      <c r="G464" s="8" t="n">
        <v>798767</v>
      </c>
      <c r="H464" s="8" t="n">
        <v>992405</v>
      </c>
      <c r="I464" s="45">
        <f>(F464-E464)/E464</f>
        <v/>
      </c>
      <c r="J464" s="45">
        <f>(G464-F464)/F464</f>
        <v/>
      </c>
      <c r="K464" s="46">
        <f>(H464-G464)/G464</f>
        <v/>
      </c>
    </row>
    <row r="465">
      <c r="D465" s="12" t="inlineStr">
        <is>
          <t>PWR</t>
        </is>
      </c>
      <c r="E465" s="8" t="n">
        <v>441023</v>
      </c>
      <c r="F465" s="8" t="n">
        <v>177159</v>
      </c>
      <c r="G465" s="8" t="n">
        <v>127240</v>
      </c>
      <c r="H465" s="8" t="n">
        <v>65194</v>
      </c>
      <c r="I465" s="45">
        <f>(F465-E465)/E465</f>
        <v/>
      </c>
      <c r="J465" s="45">
        <f>(G465-F465)/F465</f>
        <v/>
      </c>
      <c r="K465" s="46">
        <f>(H465-G465)/G465</f>
        <v/>
      </c>
    </row>
    <row r="466">
      <c r="D466" s="12" t="inlineStr">
        <is>
          <t>LEG</t>
        </is>
      </c>
      <c r="E466" s="8" t="n">
        <v>255900</v>
      </c>
      <c r="F466" s="8" t="n">
        <v>428600</v>
      </c>
      <c r="G466" s="8" t="n">
        <v>284300</v>
      </c>
      <c r="H466" s="8" t="n">
        <v>280700</v>
      </c>
      <c r="I466" s="45">
        <f>(F466-E466)/E466</f>
        <v/>
      </c>
      <c r="J466" s="45">
        <f>(G466-F466)/F466</f>
        <v/>
      </c>
      <c r="K466" s="46">
        <f>(H466-G466)/G466</f>
        <v/>
      </c>
    </row>
    <row r="467">
      <c r="D467" s="12" t="inlineStr">
        <is>
          <t>ROL</t>
        </is>
      </c>
      <c r="E467" s="8" t="n">
        <v>156861</v>
      </c>
      <c r="F467" s="8" t="n">
        <v>193444</v>
      </c>
      <c r="G467" s="8" t="n">
        <v>210690</v>
      </c>
      <c r="H467" s="8" t="n">
        <v>259093</v>
      </c>
      <c r="I467" s="45">
        <f>(F467-E467)/E467</f>
        <v/>
      </c>
      <c r="J467" s="45">
        <f>(G467-F467)/F467</f>
        <v/>
      </c>
      <c r="K467" s="46">
        <f>(H467-G467)/G467</f>
        <v/>
      </c>
    </row>
    <row r="468">
      <c r="D468" s="12" t="inlineStr">
        <is>
          <t>M</t>
        </is>
      </c>
      <c r="E468" s="8" t="n">
        <v>1207000</v>
      </c>
      <c r="F468" s="8" t="n">
        <v>1205000</v>
      </c>
      <c r="G468" s="8" t="n">
        <v>1489000</v>
      </c>
      <c r="H468" s="8" t="n">
        <v>1078000</v>
      </c>
      <c r="I468" s="45">
        <f>(F468-E468)/E468</f>
        <v/>
      </c>
      <c r="J468" s="45">
        <f>(G468-F468)/F468</f>
        <v/>
      </c>
      <c r="K468" s="46">
        <f>(H468-G468)/G468</f>
        <v/>
      </c>
    </row>
    <row r="469">
      <c r="D469" s="12" t="inlineStr">
        <is>
          <t>JEF</t>
        </is>
      </c>
      <c r="E469" s="8" t="n">
        <v>-1057649</v>
      </c>
      <c r="F469" s="8" t="n">
        <v>315746</v>
      </c>
      <c r="G469" s="8" t="n">
        <v>665267</v>
      </c>
      <c r="H469" s="8" t="n">
        <v>398658.513</v>
      </c>
      <c r="I469" s="45">
        <f>(F469-E469)/E469</f>
        <v/>
      </c>
      <c r="J469" s="45">
        <f>(G469-F469)/F469</f>
        <v/>
      </c>
      <c r="K469" s="46">
        <f>(H469-G469)/G469</f>
        <v/>
      </c>
    </row>
    <row r="470">
      <c r="D470" s="12" t="inlineStr">
        <is>
          <t>RL</t>
        </is>
      </c>
      <c r="E470" s="8" t="n">
        <v>599000</v>
      </c>
      <c r="F470" s="8" t="n">
        <v>668600</v>
      </c>
      <c r="G470" s="8" t="n">
        <v>813500</v>
      </c>
      <c r="H470" s="8" t="n">
        <v>586100</v>
      </c>
      <c r="I470" s="45">
        <f>(F470-E470)/E470</f>
        <v/>
      </c>
      <c r="J470" s="45">
        <f>(G470-F470)/F470</f>
        <v/>
      </c>
      <c r="K470" s="46">
        <f>(H470-G470)/G470</f>
        <v/>
      </c>
    </row>
    <row r="471">
      <c r="D471" s="12" t="inlineStr">
        <is>
          <t>DISCA</t>
        </is>
      </c>
      <c r="E471" s="8" t="n">
        <v>1191000</v>
      </c>
      <c r="F471" s="8" t="n">
        <v>1292000</v>
      </c>
      <c r="G471" s="8" t="n">
        <v>1494000</v>
      </c>
      <c r="H471" s="8" t="n">
        <v>2429000</v>
      </c>
      <c r="I471" s="45">
        <f>(F471-E471)/E471</f>
        <v/>
      </c>
      <c r="J471" s="45">
        <f>(G471-F471)/F471</f>
        <v/>
      </c>
      <c r="K471" s="46">
        <f>(H471-G471)/G471</f>
        <v/>
      </c>
    </row>
    <row r="472">
      <c r="D472" s="12" t="inlineStr">
        <is>
          <t>IPGP</t>
        </is>
      </c>
      <c r="E472" s="8" t="n">
        <v>193363</v>
      </c>
      <c r="F472" s="8" t="n">
        <v>170654</v>
      </c>
      <c r="G472" s="8" t="n">
        <v>278860</v>
      </c>
      <c r="H472" s="8" t="n">
        <v>232958</v>
      </c>
      <c r="I472" s="45">
        <f>(F472-E472)/E472</f>
        <v/>
      </c>
      <c r="J472" s="45">
        <f>(G472-F472)/F472</f>
        <v/>
      </c>
      <c r="K472" s="46">
        <f>(H472-G472)/G472</f>
        <v/>
      </c>
    </row>
    <row r="473">
      <c r="D473" s="12" t="inlineStr">
        <is>
          <t>HP</t>
        </is>
      </c>
      <c r="E473" s="8" t="n">
        <v>297129</v>
      </c>
      <c r="F473" s="8" t="n">
        <v>497362</v>
      </c>
      <c r="G473" s="8" t="n">
        <v>-35936</v>
      </c>
      <c r="H473" s="8" t="n">
        <v>77947</v>
      </c>
      <c r="I473" s="45">
        <f>(F473-E473)/E473</f>
        <v/>
      </c>
      <c r="J473" s="45">
        <f>(G473-F473)/F473</f>
        <v/>
      </c>
      <c r="K473" s="46">
        <f>(H473-G473)/G473</f>
        <v/>
      </c>
    </row>
    <row r="474">
      <c r="D474" s="12" t="inlineStr">
        <is>
          <t>LB</t>
        </is>
      </c>
      <c r="E474" s="8" t="n">
        <v>1300000</v>
      </c>
      <c r="F474" s="8" t="n">
        <v>1000000</v>
      </c>
      <c r="G474" s="8" t="n">
        <v>699000</v>
      </c>
      <c r="H474" s="8" t="n">
        <v>748000</v>
      </c>
      <c r="I474" s="45">
        <f>(F474-E474)/E474</f>
        <v/>
      </c>
      <c r="J474" s="45">
        <f>(G474-F474)/F474</f>
        <v/>
      </c>
      <c r="K474" s="46">
        <f>(H474-G474)/G474</f>
        <v/>
      </c>
    </row>
    <row r="475">
      <c r="D475" s="12" t="inlineStr">
        <is>
          <t>XEC</t>
        </is>
      </c>
      <c r="E475" s="8" t="n">
        <v>-323908</v>
      </c>
      <c r="F475" s="8" t="n">
        <v>-95937</v>
      </c>
      <c r="G475" s="8" t="n">
        <v>-181914</v>
      </c>
      <c r="H475" s="8" t="n">
        <v>-119048</v>
      </c>
      <c r="I475" s="45">
        <f>(F475-E475)/E475</f>
        <v/>
      </c>
      <c r="J475" s="45">
        <f>(G475-F475)/F475</f>
        <v/>
      </c>
      <c r="K475" s="46">
        <f>(H475-G475)/G475</f>
        <v/>
      </c>
    </row>
    <row r="476">
      <c r="D476" s="12" t="inlineStr">
        <is>
          <t>AMG</t>
        </is>
      </c>
      <c r="E476" s="8" t="n">
        <v>1175000</v>
      </c>
      <c r="F476" s="8" t="n">
        <v>1030100</v>
      </c>
      <c r="G476" s="8" t="n">
        <v>1151900</v>
      </c>
      <c r="H476" s="8" t="n">
        <v>1121900</v>
      </c>
      <c r="I476" s="45">
        <f>(F476-E476)/E476</f>
        <v/>
      </c>
      <c r="J476" s="45">
        <f>(G476-F476)/F476</f>
        <v/>
      </c>
      <c r="K476" s="46">
        <f>(H476-G476)/G476</f>
        <v/>
      </c>
    </row>
    <row r="477">
      <c r="D477" s="12" t="inlineStr">
        <is>
          <t>TRIP</t>
        </is>
      </c>
      <c r="E477" s="8" t="n">
        <v>309000</v>
      </c>
      <c r="F477" s="8" t="n">
        <v>249000</v>
      </c>
      <c r="G477" s="8" t="n">
        <v>174000</v>
      </c>
      <c r="H477" s="8" t="n">
        <v>344000</v>
      </c>
      <c r="I477" s="45">
        <f>(F477-E477)/E477</f>
        <v/>
      </c>
      <c r="J477" s="45">
        <f>(G477-F477)/F477</f>
        <v/>
      </c>
      <c r="K477" s="46">
        <f>(H477-G477)/G477</f>
        <v/>
      </c>
    </row>
    <row r="478">
      <c r="D478" s="12" t="inlineStr">
        <is>
          <t>GPS</t>
        </is>
      </c>
      <c r="E478" s="8" t="n">
        <v>868000</v>
      </c>
      <c r="F478" s="8" t="n">
        <v>1195000</v>
      </c>
      <c r="G478" s="8" t="n">
        <v>649000</v>
      </c>
      <c r="H478" s="8" t="n">
        <v>676000</v>
      </c>
      <c r="I478" s="45">
        <f>(F478-E478)/E478</f>
        <v/>
      </c>
      <c r="J478" s="45">
        <f>(G478-F478)/F478</f>
        <v/>
      </c>
      <c r="K478" s="46">
        <f>(H478-G478)/G478</f>
        <v/>
      </c>
    </row>
    <row r="479">
      <c r="D479" s="12" t="inlineStr">
        <is>
          <t>UAA</t>
        </is>
      </c>
      <c r="E479" s="8" t="n">
        <v>-284387</v>
      </c>
      <c r="F479" s="8" t="n">
        <v>-20123</v>
      </c>
      <c r="G479" s="8" t="n">
        <v>-43879</v>
      </c>
      <c r="H479" s="8" t="n">
        <v>457845</v>
      </c>
      <c r="I479" s="45">
        <f>(F479-E479)/E479</f>
        <v/>
      </c>
      <c r="J479" s="45">
        <f>(G479-F479)/F479</f>
        <v/>
      </c>
      <c r="K479" s="46">
        <f>(H479-G479)/G479</f>
        <v/>
      </c>
    </row>
    <row r="480">
      <c r="D480" s="12" t="inlineStr">
        <is>
          <t>UA</t>
        </is>
      </c>
      <c r="E480" s="8" t="n">
        <v>-284387</v>
      </c>
      <c r="F480" s="8" t="n">
        <v>-20123</v>
      </c>
      <c r="G480" s="8" t="n">
        <v>-43879</v>
      </c>
      <c r="H480" s="8" t="n">
        <v>457845</v>
      </c>
      <c r="I480" s="45">
        <f>(F480-E480)/E480</f>
        <v/>
      </c>
      <c r="J480" s="45">
        <f>(G480-F480)/F480</f>
        <v/>
      </c>
      <c r="K480" s="46">
        <f>(H480-G480)/G480</f>
        <v/>
      </c>
    </row>
    <row r="481">
      <c r="D481" s="12" t="inlineStr">
        <is>
          <t>JWN</t>
        </is>
      </c>
      <c r="E481" s="8" t="n">
        <v>1388000</v>
      </c>
      <c r="F481" s="8" t="n">
        <v>812000</v>
      </c>
      <c r="G481" s="8" t="n">
        <v>669000</v>
      </c>
      <c r="H481" s="8" t="n">
        <v>642000</v>
      </c>
      <c r="I481" s="45">
        <f>(F481-E481)/E481</f>
        <v/>
      </c>
      <c r="J481" s="45">
        <f>(G481-F481)/F481</f>
        <v/>
      </c>
      <c r="K481" s="46">
        <f>(H481-G481)/G481</f>
        <v/>
      </c>
    </row>
    <row r="482">
      <c r="D482" s="12" t="inlineStr">
        <is>
          <t>MAC</t>
        </is>
      </c>
      <c r="E482" s="8" t="n">
        <v>554956</v>
      </c>
      <c r="F482" s="8" t="n">
        <v>429534</v>
      </c>
      <c r="G482" s="8" t="n">
        <v>386389</v>
      </c>
      <c r="H482" s="8" t="n">
        <v>344311</v>
      </c>
      <c r="I482" s="45">
        <f>(F482-E482)/E482</f>
        <v/>
      </c>
      <c r="J482" s="45">
        <f>(G482-F482)/F482</f>
        <v/>
      </c>
      <c r="K482" s="46">
        <f>(H482-G482)/G482</f>
        <v/>
      </c>
    </row>
    <row r="483">
      <c r="D483" s="12" t="inlineStr">
        <is>
          <t>NKTR</t>
        </is>
      </c>
      <c r="E483" s="8" t="n">
        <v>-84278</v>
      </c>
      <c r="F483" s="8" t="n">
        <v>-123416</v>
      </c>
      <c r="G483" s="8" t="n">
        <v>-90090</v>
      </c>
      <c r="H483" s="8" t="n">
        <v>703975</v>
      </c>
      <c r="I483" s="45">
        <f>(F483-E483)/E483</f>
        <v/>
      </c>
      <c r="J483" s="45">
        <f>(G483-F483)/F483</f>
        <v/>
      </c>
      <c r="K483" s="46">
        <f>(H483-G483)/G483</f>
        <v/>
      </c>
    </row>
    <row r="484">
      <c r="D484" s="12" t="inlineStr">
        <is>
          <t>COTY</t>
        </is>
      </c>
      <c r="E484" s="8" t="n">
        <v>351300</v>
      </c>
      <c r="F484" s="8" t="n">
        <v>325200</v>
      </c>
      <c r="G484" s="8" t="n">
        <v>-32700</v>
      </c>
      <c r="H484" s="8" t="n">
        <v>213000</v>
      </c>
      <c r="I484" s="45">
        <f>(F484-E484)/E484</f>
        <v/>
      </c>
      <c r="J484" s="45">
        <f>(G484-F484)/F484</f>
        <v/>
      </c>
      <c r="K484" s="46">
        <f>(H484-G484)/G484</f>
        <v/>
      </c>
    </row>
    <row r="485" ht="16" customHeight="1" s="76" thickBot="1">
      <c r="D485" s="13" t="inlineStr">
        <is>
          <t>NWS</t>
        </is>
      </c>
      <c r="E485" s="10" t="n">
        <v>622000</v>
      </c>
      <c r="F485" s="10" t="n">
        <v>238000</v>
      </c>
      <c r="G485" s="10" t="n">
        <v>393000</v>
      </c>
      <c r="H485" s="10" t="n">
        <v>356000</v>
      </c>
      <c r="I485" s="47">
        <f>(F485-E485)/E485</f>
        <v/>
      </c>
      <c r="J485" s="47">
        <f>(G485-F485)/F485</f>
        <v/>
      </c>
      <c r="K485" s="48">
        <f>(H485-G485)/G485</f>
        <v/>
      </c>
    </row>
  </sheetData>
  <mergeCells count="2">
    <mergeCell ref="E3:H3"/>
    <mergeCell ref="I3:K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7">
    <outlinePr summaryBelow="1" summaryRight="1"/>
    <pageSetUpPr/>
  </sheetPr>
  <dimension ref="D3:K493"/>
  <sheetViews>
    <sheetView zoomScale="160" zoomScaleNormal="160" workbookViewId="0">
      <selection activeCell="M14" sqref="M14"/>
    </sheetView>
  </sheetViews>
  <sheetFormatPr baseColWidth="8" defaultColWidth="9.1796875" defaultRowHeight="14.5"/>
  <cols>
    <col width="9.1796875" customWidth="1" style="63" min="1" max="3"/>
    <col width="13.1796875" customWidth="1" style="31" min="4" max="4"/>
    <col width="11.36328125" customWidth="1" style="3" min="5" max="5"/>
    <col width="10.81640625" bestFit="1" customWidth="1" style="3" min="6" max="8"/>
    <col width="17.6328125" customWidth="1" style="31" min="9" max="11"/>
    <col width="9.1796875" customWidth="1" style="63" min="12" max="24"/>
    <col width="9.1796875" customWidth="1" style="63" min="25" max="16384"/>
  </cols>
  <sheetData>
    <row r="2" ht="16" customHeight="1" s="76" thickBot="1"/>
    <row r="3" ht="24.75" customHeight="1" s="76">
      <c r="D3" s="17" t="n"/>
      <c r="E3" s="71" t="inlineStr">
        <is>
          <t>Earnings</t>
        </is>
      </c>
      <c r="F3" s="72" t="n"/>
      <c r="G3" s="72" t="n"/>
      <c r="H3" s="73" t="n"/>
      <c r="I3" s="74" t="inlineStr">
        <is>
          <t>% Var.</t>
        </is>
      </c>
      <c r="J3" s="72" t="n"/>
      <c r="K3" s="73" t="n"/>
    </row>
    <row r="4" ht="24.75" customHeight="1" s="76">
      <c r="D4" s="28" t="inlineStr">
        <is>
          <t>Stock</t>
        </is>
      </c>
      <c r="E4" s="32" t="inlineStr">
        <is>
          <t>FCF 2015</t>
        </is>
      </c>
      <c r="F4" s="33" t="inlineStr">
        <is>
          <t>FCF 2016</t>
        </is>
      </c>
      <c r="G4" s="33" t="inlineStr">
        <is>
          <t>FCF 2017</t>
        </is>
      </c>
      <c r="H4" s="34" t="inlineStr">
        <is>
          <t>FCF 2018</t>
        </is>
      </c>
      <c r="I4" s="25" t="inlineStr">
        <is>
          <t>2015/2016</t>
        </is>
      </c>
      <c r="J4" s="25" t="inlineStr">
        <is>
          <t>2016/2017</t>
        </is>
      </c>
      <c r="K4" s="30" t="inlineStr">
        <is>
          <t>2017/2018</t>
        </is>
      </c>
    </row>
    <row r="5">
      <c r="D5" s="7" t="inlineStr">
        <is>
          <t>MSFT</t>
        </is>
      </c>
      <c r="E5" s="49" t="n">
        <v>5.06</v>
      </c>
      <c r="F5" s="49" t="n">
        <v>5.22</v>
      </c>
      <c r="G5" s="49" t="n">
        <v>5.94</v>
      </c>
      <c r="H5" s="49" t="n">
        <v>6.63</v>
      </c>
      <c r="I5" s="45">
        <f>(F5-E5)/E5</f>
        <v/>
      </c>
      <c r="J5" s="45">
        <f>(G5-F5)/F5</f>
        <v/>
      </c>
      <c r="K5" s="45">
        <f>(H5-G5)/G5</f>
        <v/>
      </c>
    </row>
    <row r="6">
      <c r="D6" s="7" t="inlineStr">
        <is>
          <t>AAPL</t>
        </is>
      </c>
      <c r="E6" s="49" t="n">
        <v>11.9</v>
      </c>
      <c r="F6" s="49" t="n">
        <v>11.7</v>
      </c>
      <c r="G6" s="49" t="n">
        <v>12.7</v>
      </c>
      <c r="H6" s="49" t="n">
        <v>14.4</v>
      </c>
      <c r="I6" s="45">
        <f>(F6-E6)/E6</f>
        <v/>
      </c>
      <c r="J6" s="45">
        <f>(G6-F6)/F6</f>
        <v/>
      </c>
      <c r="K6" s="45">
        <f>(H6-G6)/G6</f>
        <v/>
      </c>
    </row>
    <row r="7">
      <c r="D7" s="7" t="inlineStr">
        <is>
          <t>AMZN</t>
        </is>
      </c>
      <c r="E7" s="49" t="n">
        <v>20.1</v>
      </c>
      <c r="F7" s="49" t="n">
        <v>23.7</v>
      </c>
      <c r="G7" s="49" t="n">
        <v>33.6</v>
      </c>
      <c r="H7" s="49" t="n">
        <v>48.3</v>
      </c>
      <c r="I7" s="45">
        <f>(F7-E7)/E7</f>
        <v/>
      </c>
      <c r="J7" s="45">
        <f>(G7-F7)/F7</f>
        <v/>
      </c>
      <c r="K7" s="45">
        <f>(H7-G7)/G7</f>
        <v/>
      </c>
    </row>
    <row r="8">
      <c r="D8" s="7" t="inlineStr">
        <is>
          <t>FB</t>
        </is>
      </c>
      <c r="E8" s="49" t="n">
        <v>7.57</v>
      </c>
      <c r="F8" s="49" t="n">
        <v>6.13</v>
      </c>
      <c r="G8" s="49" t="n">
        <v>9.44</v>
      </c>
      <c r="H8" s="49" t="n">
        <v>11.3</v>
      </c>
      <c r="I8" s="45">
        <f>(F8-E8)/E8</f>
        <v/>
      </c>
      <c r="J8" s="45">
        <f>(G8-F8)/F8</f>
        <v/>
      </c>
      <c r="K8" s="45">
        <f>(H8-G8)/G8</f>
        <v/>
      </c>
    </row>
    <row r="9">
      <c r="D9" s="7" t="inlineStr">
        <is>
          <t>GOOGL</t>
        </is>
      </c>
      <c r="E9" s="49" t="n">
        <v>43.7</v>
      </c>
      <c r="F9" s="49" t="n">
        <v>48.8</v>
      </c>
      <c r="G9" s="49" t="n">
        <v>55.6</v>
      </c>
      <c r="H9" s="49" t="n">
        <v>64.09999999999999</v>
      </c>
      <c r="I9" s="45">
        <f>(F9-E9)/E9</f>
        <v/>
      </c>
      <c r="J9" s="45">
        <f>(G9-F9)/F9</f>
        <v/>
      </c>
      <c r="K9" s="45">
        <f>(H9-G9)/G9</f>
        <v/>
      </c>
    </row>
    <row r="10">
      <c r="D10" s="7" t="inlineStr">
        <is>
          <t>JPM</t>
        </is>
      </c>
      <c r="E10" s="49" t="n">
        <v>9</v>
      </c>
      <c r="F10" s="49" t="n">
        <v>10.2</v>
      </c>
      <c r="G10" s="49" t="n">
        <v>10.4</v>
      </c>
      <c r="H10" s="49" t="n">
        <v>11</v>
      </c>
      <c r="I10" s="45">
        <f>(F10-E10)/E10</f>
        <v/>
      </c>
      <c r="J10" s="45">
        <f>(G10-F10)/F10</f>
        <v/>
      </c>
      <c r="K10" s="45">
        <f>(H10-G10)/G10</f>
        <v/>
      </c>
    </row>
    <row r="11">
      <c r="D11" s="7" t="inlineStr">
        <is>
          <t>JNJ</t>
        </is>
      </c>
      <c r="E11" s="49" t="n">
        <v>5.61</v>
      </c>
      <c r="F11" s="49" t="n">
        <v>6.97</v>
      </c>
      <c r="G11" s="49" t="n">
        <v>7.78</v>
      </c>
      <c r="H11" s="49" t="n">
        <v>8.73</v>
      </c>
      <c r="I11" s="45">
        <f>(F11-E11)/E11</f>
        <v/>
      </c>
      <c r="J11" s="45">
        <f>(G11-F11)/F11</f>
        <v/>
      </c>
      <c r="K11" s="45">
        <f>(H11-G11)/G11</f>
        <v/>
      </c>
    </row>
    <row r="12">
      <c r="D12" s="7" t="inlineStr">
        <is>
          <t>V</t>
        </is>
      </c>
      <c r="E12" s="49" t="n">
        <v>4.42</v>
      </c>
      <c r="F12" s="49" t="n">
        <v>5.39</v>
      </c>
      <c r="G12" s="49" t="n">
        <v>6.24</v>
      </c>
      <c r="H12" s="49" t="n">
        <v>7.27</v>
      </c>
      <c r="I12" s="45">
        <f>(F12-E12)/E12</f>
        <v/>
      </c>
      <c r="J12" s="45">
        <f>(G12-F12)/F12</f>
        <v/>
      </c>
      <c r="K12" s="45">
        <f>(H12-G12)/G12</f>
        <v/>
      </c>
    </row>
    <row r="13">
      <c r="D13" s="7" t="inlineStr">
        <is>
          <t>PG</t>
        </is>
      </c>
      <c r="E13" s="49" t="n">
        <v>1.43</v>
      </c>
      <c r="F13" s="49" t="n">
        <v>4.83</v>
      </c>
      <c r="G13" s="49" t="n">
        <v>5.15</v>
      </c>
      <c r="H13" s="49" t="n">
        <v>5.49</v>
      </c>
      <c r="I13" s="45">
        <f>(F13-E13)/E13</f>
        <v/>
      </c>
      <c r="J13" s="45">
        <f>(G13-F13)/F13</f>
        <v/>
      </c>
      <c r="K13" s="45">
        <f>(H13-G13)/G13</f>
        <v/>
      </c>
    </row>
    <row r="14">
      <c r="D14" s="7" t="inlineStr">
        <is>
          <t>XOM</t>
        </is>
      </c>
      <c r="E14" s="49" t="n">
        <v>4.88</v>
      </c>
      <c r="F14" s="49" t="n">
        <v>3.17</v>
      </c>
      <c r="G14" s="49" t="n">
        <v>4.21</v>
      </c>
      <c r="H14" s="49" t="n">
        <v>4.78</v>
      </c>
      <c r="I14" s="45">
        <f>(F14-E14)/E14</f>
        <v/>
      </c>
      <c r="J14" s="45">
        <f>(G14-F14)/F14</f>
        <v/>
      </c>
      <c r="K14" s="45">
        <f>(H14-G14)/G14</f>
        <v/>
      </c>
    </row>
    <row r="15">
      <c r="D15" s="7" t="inlineStr">
        <is>
          <t>T</t>
        </is>
      </c>
      <c r="E15" s="49" t="n">
        <v>2.85</v>
      </c>
      <c r="F15" s="49" t="n">
        <v>2.48</v>
      </c>
      <c r="G15" s="49" t="n">
        <v>2.89</v>
      </c>
      <c r="H15" s="49" t="n">
        <v>3.07</v>
      </c>
      <c r="I15" s="45">
        <f>(F15-E15)/E15</f>
        <v/>
      </c>
      <c r="J15" s="45">
        <f>(G15-F15)/F15</f>
        <v/>
      </c>
      <c r="K15" s="45">
        <f>(H15-G15)/G15</f>
        <v/>
      </c>
    </row>
    <row r="16">
      <c r="D16" s="7" t="inlineStr">
        <is>
          <t>MA</t>
        </is>
      </c>
      <c r="E16" s="49" t="n">
        <v>5.6</v>
      </c>
      <c r="F16" s="49" t="n">
        <v>7.72</v>
      </c>
      <c r="G16" s="49" t="n">
        <v>8.99</v>
      </c>
      <c r="H16" s="49" t="n">
        <v>10.7</v>
      </c>
      <c r="I16" s="45">
        <f>(F16-E16)/E16</f>
        <v/>
      </c>
      <c r="J16" s="45">
        <f>(G16-F16)/F16</f>
        <v/>
      </c>
      <c r="K16" s="45">
        <f>(H16-G16)/G16</f>
        <v/>
      </c>
    </row>
    <row r="17">
      <c r="D17" s="7" t="inlineStr">
        <is>
          <t>HD</t>
        </is>
      </c>
      <c r="E17" s="49" t="inlineStr">
        <is>
          <t xml:space="preserve">
                                        </t>
        </is>
      </c>
      <c r="F17" s="49" t="inlineStr">
        <is>
          <t xml:space="preserve">
                                        </t>
        </is>
      </c>
      <c r="G17" s="49" t="inlineStr">
        <is>
          <t xml:space="preserve">
                                        </t>
        </is>
      </c>
      <c r="H17" s="49" t="inlineStr">
        <is>
          <t xml:space="preserve">
                                    </t>
        </is>
      </c>
      <c r="I17" s="45" t="n"/>
      <c r="J17" s="45" t="n"/>
      <c r="K17" s="45" t="n"/>
    </row>
    <row r="18">
      <c r="D18" s="7" t="inlineStr">
        <is>
          <t>BAC</t>
        </is>
      </c>
      <c r="E18" s="49" t="n">
        <v>2.61</v>
      </c>
      <c r="F18" s="49" t="n">
        <v>2.82</v>
      </c>
      <c r="G18" s="49" t="n">
        <v>3.04</v>
      </c>
      <c r="H18" s="49" t="n">
        <v>3.25</v>
      </c>
      <c r="I18" s="45">
        <f>(F18-E18)/E18</f>
        <v/>
      </c>
      <c r="J18" s="45">
        <f>(G18-F18)/F18</f>
        <v/>
      </c>
      <c r="K18" s="45">
        <f>(H18-G18)/G18</f>
        <v/>
      </c>
    </row>
    <row r="19">
      <c r="D19" s="7" t="inlineStr">
        <is>
          <t>VZ</t>
        </is>
      </c>
      <c r="E19" s="49" t="n">
        <v>3.76</v>
      </c>
      <c r="F19" s="49" t="n">
        <v>4.57</v>
      </c>
      <c r="G19" s="49" t="n">
        <v>4.86</v>
      </c>
      <c r="H19" s="49" t="n">
        <v>5.02</v>
      </c>
      <c r="I19" s="45">
        <f>(F19-E19)/E19</f>
        <v/>
      </c>
      <c r="J19" s="45">
        <f>(G19-F19)/F19</f>
        <v/>
      </c>
      <c r="K19" s="45">
        <f>(H19-G19)/G19</f>
        <v/>
      </c>
    </row>
    <row r="20">
      <c r="D20" s="7" t="inlineStr">
        <is>
          <t>DIS</t>
        </is>
      </c>
      <c r="E20" s="49" t="n">
        <v>8.359999999999999</v>
      </c>
      <c r="F20" s="49" t="n">
        <v>6.66</v>
      </c>
      <c r="G20" s="49" t="n">
        <v>5.12</v>
      </c>
      <c r="H20" s="49" t="n">
        <v>5.4</v>
      </c>
      <c r="I20" s="45">
        <f>(F20-E20)/E20</f>
        <v/>
      </c>
      <c r="J20" s="45">
        <f>(G20-F20)/F20</f>
        <v/>
      </c>
      <c r="K20" s="45">
        <f>(H20-G20)/G20</f>
        <v/>
      </c>
    </row>
    <row r="21">
      <c r="D21" s="7" t="inlineStr">
        <is>
          <t>CVX</t>
        </is>
      </c>
      <c r="E21" s="49" t="n">
        <v>7.74</v>
      </c>
      <c r="F21" s="49" t="n">
        <v>7.1</v>
      </c>
      <c r="G21" s="49" t="n">
        <v>7.77</v>
      </c>
      <c r="H21" s="49" t="n">
        <v>8.130000000000001</v>
      </c>
      <c r="I21" s="45">
        <f>(F21-E21)/E21</f>
        <v/>
      </c>
      <c r="J21" s="45">
        <f>(G21-F21)/F21</f>
        <v/>
      </c>
      <c r="K21" s="45">
        <f>(H21-G21)/G21</f>
        <v/>
      </c>
    </row>
    <row r="22">
      <c r="D22" s="7" t="inlineStr">
        <is>
          <t>UNH</t>
        </is>
      </c>
      <c r="E22" s="49" t="n">
        <v>12.2</v>
      </c>
      <c r="F22" s="49" t="n">
        <v>14.1</v>
      </c>
      <c r="G22" s="49" t="n">
        <v>15.9</v>
      </c>
      <c r="H22" s="49" t="n">
        <v>18.2</v>
      </c>
      <c r="I22" s="45">
        <f>(F22-E22)/E22</f>
        <v/>
      </c>
      <c r="J22" s="45">
        <f>(G22-F22)/F22</f>
        <v/>
      </c>
      <c r="K22" s="45">
        <f>(H22-G22)/G22</f>
        <v/>
      </c>
    </row>
    <row r="23">
      <c r="D23" s="7" t="inlineStr">
        <is>
          <t>MRK</t>
        </is>
      </c>
      <c r="E23" s="49" t="n">
        <v>2.32</v>
      </c>
      <c r="F23" s="49" t="n">
        <v>4.15</v>
      </c>
      <c r="G23" s="49" t="n">
        <v>5</v>
      </c>
      <c r="H23" s="49" t="n">
        <v>5.95</v>
      </c>
      <c r="I23" s="45">
        <f>(F23-E23)/E23</f>
        <v/>
      </c>
      <c r="J23" s="45">
        <f>(G23-F23)/F23</f>
        <v/>
      </c>
      <c r="K23" s="45">
        <f>(H23-G23)/G23</f>
        <v/>
      </c>
    </row>
    <row r="24">
      <c r="D24" s="7" t="inlineStr">
        <is>
          <t>KO</t>
        </is>
      </c>
      <c r="E24" s="49" t="n">
        <v>1.5</v>
      </c>
      <c r="F24" s="49" t="n">
        <v>2.02</v>
      </c>
      <c r="G24" s="49" t="n">
        <v>2.29</v>
      </c>
      <c r="H24" s="49" t="n">
        <v>2.46</v>
      </c>
      <c r="I24" s="45">
        <f>(F24-E24)/E24</f>
        <v/>
      </c>
      <c r="J24" s="45">
        <f>(G24-F24)/F24</f>
        <v/>
      </c>
      <c r="K24" s="45">
        <f>(H24-G24)/G24</f>
        <v/>
      </c>
    </row>
    <row r="25">
      <c r="D25" s="7" t="inlineStr">
        <is>
          <t>INTC</t>
        </is>
      </c>
      <c r="E25" s="49" t="n">
        <v>4.48</v>
      </c>
      <c r="F25" s="49" t="n">
        <v>4.1</v>
      </c>
      <c r="G25" s="49" t="n">
        <v>4.24</v>
      </c>
      <c r="H25" s="49" t="n">
        <v>4.49</v>
      </c>
      <c r="I25" s="45">
        <f>(F25-E25)/E25</f>
        <v/>
      </c>
      <c r="J25" s="45">
        <f>(G25-F25)/F25</f>
        <v/>
      </c>
      <c r="K25" s="45">
        <f>(H25-G25)/G25</f>
        <v/>
      </c>
    </row>
    <row r="26">
      <c r="D26" s="7" t="inlineStr">
        <is>
          <t>CSCO</t>
        </is>
      </c>
      <c r="E26" s="49" t="inlineStr">
        <is>
          <t xml:space="preserve">
                                        </t>
        </is>
      </c>
      <c r="F26" s="49" t="inlineStr">
        <is>
          <t xml:space="preserve">
                                        </t>
        </is>
      </c>
      <c r="G26" s="49" t="inlineStr">
        <is>
          <t xml:space="preserve">
                                        </t>
        </is>
      </c>
      <c r="H26" s="49" t="inlineStr">
        <is>
          <t xml:space="preserve">
                                    </t>
        </is>
      </c>
      <c r="I26" s="45" t="n"/>
      <c r="J26" s="45" t="n"/>
      <c r="K26" s="45" t="n"/>
    </row>
    <row r="27">
      <c r="D27" s="7" t="inlineStr">
        <is>
          <t>CMCSA</t>
        </is>
      </c>
      <c r="E27" s="49" t="n">
        <v>2.53</v>
      </c>
      <c r="F27" s="49" t="n">
        <v>2.85</v>
      </c>
      <c r="G27" s="49" t="n">
        <v>3.14</v>
      </c>
      <c r="H27" s="49" t="n">
        <v>3.35</v>
      </c>
      <c r="I27" s="45">
        <f>(F27-E27)/E27</f>
        <v/>
      </c>
      <c r="J27" s="45">
        <f>(G27-F27)/F27</f>
        <v/>
      </c>
      <c r="K27" s="45">
        <f>(H27-G27)/G27</f>
        <v/>
      </c>
    </row>
    <row r="28">
      <c r="D28" s="7" t="inlineStr">
        <is>
          <t>PFE</t>
        </is>
      </c>
      <c r="E28" s="49" t="n">
        <v>1.87</v>
      </c>
      <c r="F28" s="49" t="n">
        <v>2.31</v>
      </c>
      <c r="G28" s="49" t="n">
        <v>2.36</v>
      </c>
      <c r="H28" s="49" t="n">
        <v>2.9</v>
      </c>
      <c r="I28" s="45">
        <f>(F28-E28)/E28</f>
        <v/>
      </c>
      <c r="J28" s="45">
        <f>(G28-F28)/F28</f>
        <v/>
      </c>
      <c r="K28" s="45">
        <f>(H28-G28)/G28</f>
        <v/>
      </c>
    </row>
    <row r="29">
      <c r="D29" s="7" t="inlineStr">
        <is>
          <t>BA</t>
        </is>
      </c>
      <c r="E29" s="49" t="n">
        <v>17.9</v>
      </c>
      <c r="F29" s="49" t="n">
        <v>5.83</v>
      </c>
      <c r="G29" s="49" t="n">
        <v>24.2</v>
      </c>
      <c r="H29" s="49" t="n">
        <v>25.9</v>
      </c>
      <c r="I29" s="45">
        <f>(F29-E29)/E29</f>
        <v/>
      </c>
      <c r="J29" s="45">
        <f>(G29-F29)/F29</f>
        <v/>
      </c>
      <c r="K29" s="45">
        <f>(H29-G29)/G29</f>
        <v/>
      </c>
    </row>
    <row r="30">
      <c r="D30" s="7" t="inlineStr">
        <is>
          <t>PEP</t>
        </is>
      </c>
      <c r="E30" s="49" t="n">
        <v>8.779999999999999</v>
      </c>
      <c r="F30" s="49" t="n">
        <v>5.32</v>
      </c>
      <c r="G30" s="49" t="n">
        <v>5.86</v>
      </c>
      <c r="H30" s="49" t="n">
        <v>6.33</v>
      </c>
      <c r="I30" s="45">
        <f>(F30-E30)/E30</f>
        <v/>
      </c>
      <c r="J30" s="45">
        <f>(G30-F30)/F30</f>
        <v/>
      </c>
      <c r="K30" s="45">
        <f>(H30-G30)/G30</f>
        <v/>
      </c>
    </row>
    <row r="31">
      <c r="D31" s="7" t="inlineStr">
        <is>
          <t>WFC</t>
        </is>
      </c>
      <c r="E31" s="49" t="n">
        <v>4.28</v>
      </c>
      <c r="F31" s="49" t="n">
        <v>4.77</v>
      </c>
      <c r="G31" s="49" t="n">
        <v>4.49</v>
      </c>
      <c r="H31" s="49" t="n">
        <v>4.87</v>
      </c>
      <c r="I31" s="45">
        <f>(F31-E31)/E31</f>
        <v/>
      </c>
      <c r="J31" s="45">
        <f>(G31-F31)/F31</f>
        <v/>
      </c>
      <c r="K31" s="45">
        <f>(H31-G31)/G31</f>
        <v/>
      </c>
    </row>
    <row r="32">
      <c r="D32" s="7" t="inlineStr">
        <is>
          <t>MCD</t>
        </is>
      </c>
      <c r="E32" s="49" t="n">
        <v>7.54</v>
      </c>
      <c r="F32" s="49" t="n">
        <v>7.99</v>
      </c>
      <c r="G32" s="49" t="n">
        <v>8.75</v>
      </c>
      <c r="H32" s="49" t="n">
        <v>9.369999999999999</v>
      </c>
      <c r="I32" s="45">
        <f>(F32-E32)/E32</f>
        <v/>
      </c>
      <c r="J32" s="45">
        <f>(G32-F32)/F32</f>
        <v/>
      </c>
      <c r="K32" s="45">
        <f>(H32-G32)/G32</f>
        <v/>
      </c>
    </row>
    <row r="33">
      <c r="D33" s="7" t="inlineStr">
        <is>
          <t>WMT</t>
        </is>
      </c>
      <c r="E33" s="49" t="inlineStr">
        <is>
          <t xml:space="preserve">
                                        </t>
        </is>
      </c>
      <c r="F33" s="49" t="inlineStr">
        <is>
          <t xml:space="preserve">
                                        </t>
        </is>
      </c>
      <c r="G33" s="49" t="inlineStr">
        <is>
          <t xml:space="preserve">
                                        </t>
        </is>
      </c>
      <c r="H33" s="49" t="inlineStr">
        <is>
          <t xml:space="preserve">
                                    </t>
        </is>
      </c>
      <c r="I33" s="45" t="n"/>
      <c r="J33" s="45" t="n"/>
      <c r="K33" s="45" t="n"/>
    </row>
    <row r="34">
      <c r="D34" s="7" t="inlineStr">
        <is>
          <t>ABT</t>
        </is>
      </c>
      <c r="E34" s="49" t="n">
        <v>1.31</v>
      </c>
      <c r="F34" s="49" t="n">
        <v>2.19</v>
      </c>
      <c r="G34" s="49" t="n">
        <v>2.52</v>
      </c>
      <c r="H34" s="49" t="n">
        <v>2.94</v>
      </c>
      <c r="I34" s="45">
        <f>(F34-E34)/E34</f>
        <v/>
      </c>
      <c r="J34" s="45">
        <f>(G34-F34)/F34</f>
        <v/>
      </c>
      <c r="K34" s="45">
        <f>(H34-G34)/G34</f>
        <v/>
      </c>
    </row>
    <row r="35">
      <c r="D35" s="7" t="inlineStr">
        <is>
          <t>C</t>
        </is>
      </c>
      <c r="E35" s="49" t="n">
        <v>6.68</v>
      </c>
      <c r="F35" s="49" t="n">
        <v>7.61</v>
      </c>
      <c r="G35" s="49" t="n">
        <v>8.42</v>
      </c>
      <c r="H35" s="49" t="n">
        <v>9.42</v>
      </c>
      <c r="I35" s="45">
        <f>(F35-E35)/E35</f>
        <v/>
      </c>
      <c r="J35" s="45">
        <f>(G35-F35)/F35</f>
        <v/>
      </c>
      <c r="K35" s="45">
        <f>(H35-G35)/G35</f>
        <v/>
      </c>
    </row>
    <row r="36">
      <c r="D36" s="7" t="inlineStr">
        <is>
          <t>MDT</t>
        </is>
      </c>
      <c r="E36" s="49" t="n">
        <v>3.41</v>
      </c>
      <c r="F36" s="49" t="n">
        <v>3.99</v>
      </c>
      <c r="G36" s="49" t="n">
        <v>4.54</v>
      </c>
      <c r="H36" s="49" t="n">
        <v>5.4</v>
      </c>
      <c r="I36" s="45">
        <f>(F36-E36)/E36</f>
        <v/>
      </c>
      <c r="J36" s="45">
        <f>(G36-F36)/F36</f>
        <v/>
      </c>
      <c r="K36" s="45">
        <f>(H36-G36)/G36</f>
        <v/>
      </c>
    </row>
    <row r="37">
      <c r="D37" s="7" t="inlineStr">
        <is>
          <t>ADBE</t>
        </is>
      </c>
      <c r="E37" s="49" t="n">
        <v>5.2</v>
      </c>
      <c r="F37" s="49" t="n">
        <v>5.96</v>
      </c>
      <c r="G37" s="49" t="n">
        <v>7.37</v>
      </c>
      <c r="H37" s="49" t="n">
        <v>9.029999999999999</v>
      </c>
      <c r="I37" s="45">
        <f>(F37-E37)/E37</f>
        <v/>
      </c>
      <c r="J37" s="45">
        <f>(G37-F37)/F37</f>
        <v/>
      </c>
      <c r="K37" s="45">
        <f>(H37-G37)/G37</f>
        <v/>
      </c>
    </row>
    <row r="38">
      <c r="D38" s="7" t="inlineStr">
        <is>
          <t>CRM</t>
        </is>
      </c>
      <c r="E38" s="49" t="inlineStr">
        <is>
          <t xml:space="preserve">
                                        </t>
        </is>
      </c>
      <c r="F38" s="49" t="inlineStr">
        <is>
          <t xml:space="preserve">
                                        </t>
        </is>
      </c>
      <c r="G38" s="49" t="inlineStr">
        <is>
          <t xml:space="preserve">
                                        </t>
        </is>
      </c>
      <c r="H38" s="49" t="inlineStr">
        <is>
          <t xml:space="preserve">
                                    </t>
        </is>
      </c>
      <c r="I38" s="45" t="n"/>
      <c r="J38" s="45" t="n"/>
      <c r="K38" s="45" t="n"/>
    </row>
    <row r="39">
      <c r="D39" s="7" t="inlineStr">
        <is>
          <t>NFLX</t>
        </is>
      </c>
      <c r="E39" s="49" t="n">
        <v>2.68</v>
      </c>
      <c r="F39" s="49" t="n">
        <v>3.26</v>
      </c>
      <c r="G39" s="49" t="n">
        <v>5.62</v>
      </c>
      <c r="H39" s="49" t="n">
        <v>9.09</v>
      </c>
      <c r="I39" s="45">
        <f>(F39-E39)/E39</f>
        <v/>
      </c>
      <c r="J39" s="45">
        <f>(G39-F39)/F39</f>
        <v/>
      </c>
      <c r="K39" s="45">
        <f>(H39-G39)/G39</f>
        <v/>
      </c>
    </row>
    <row r="40">
      <c r="D40" s="7" t="inlineStr">
        <is>
          <t>PM</t>
        </is>
      </c>
      <c r="E40" s="49" t="n">
        <v>5.08</v>
      </c>
      <c r="F40" s="49" t="n">
        <v>5.07</v>
      </c>
      <c r="G40" s="49" t="n">
        <v>5.65</v>
      </c>
      <c r="H40" s="49" t="n">
        <v>6.14</v>
      </c>
      <c r="I40" s="45">
        <f>(F40-E40)/E40</f>
        <v/>
      </c>
      <c r="J40" s="45">
        <f>(G40-F40)/F40</f>
        <v/>
      </c>
      <c r="K40" s="45">
        <f>(H40-G40)/G40</f>
        <v/>
      </c>
    </row>
    <row r="41">
      <c r="D41" s="7" t="inlineStr">
        <is>
          <t>ORCL</t>
        </is>
      </c>
      <c r="E41" s="49" t="n">
        <v>2.97</v>
      </c>
      <c r="F41" s="49" t="n">
        <v>3.08</v>
      </c>
      <c r="G41" s="49" t="n">
        <v>3.41</v>
      </c>
      <c r="H41" s="49" t="n">
        <v>3.82</v>
      </c>
      <c r="I41" s="45">
        <f>(F41-E41)/E41</f>
        <v/>
      </c>
      <c r="J41" s="45">
        <f>(G41-F41)/F41</f>
        <v/>
      </c>
      <c r="K41" s="45">
        <f>(H41-G41)/G41</f>
        <v/>
      </c>
    </row>
    <row r="42">
      <c r="D42" s="7" t="inlineStr">
        <is>
          <t>PYPL</t>
        </is>
      </c>
      <c r="E42" s="49" t="n">
        <v>1.71</v>
      </c>
      <c r="F42" s="49" t="n">
        <v>2.27</v>
      </c>
      <c r="G42" s="49" t="n">
        <v>2.55</v>
      </c>
      <c r="H42" s="49" t="n">
        <v>3.28</v>
      </c>
      <c r="I42" s="45">
        <f>(F42-E42)/E42</f>
        <v/>
      </c>
      <c r="J42" s="45">
        <f>(G42-F42)/F42</f>
        <v/>
      </c>
      <c r="K42" s="45">
        <f>(H42-G42)/G42</f>
        <v/>
      </c>
    </row>
    <row r="43">
      <c r="D43" s="7" t="inlineStr">
        <is>
          <t>ACN</t>
        </is>
      </c>
      <c r="E43" s="49" t="n">
        <v>6.34</v>
      </c>
      <c r="F43" s="49" t="n">
        <v>7.35</v>
      </c>
      <c r="G43" s="49" t="n">
        <v>8</v>
      </c>
      <c r="H43" s="49" t="n">
        <v>8.77</v>
      </c>
      <c r="I43" s="45">
        <f>(F43-E43)/E43</f>
        <v/>
      </c>
      <c r="J43" s="45">
        <f>(G43-F43)/F43</f>
        <v/>
      </c>
      <c r="K43" s="45">
        <f>(H43-G43)/G43</f>
        <v/>
      </c>
    </row>
    <row r="44">
      <c r="D44" s="7" t="inlineStr">
        <is>
          <t>AMGN</t>
        </is>
      </c>
      <c r="E44" s="49" t="n">
        <v>12.6</v>
      </c>
      <c r="F44" s="49" t="n">
        <v>12.7</v>
      </c>
      <c r="G44" s="49" t="n">
        <v>13.9</v>
      </c>
      <c r="H44" s="49" t="n">
        <v>15.5</v>
      </c>
      <c r="I44" s="45">
        <f>(F44-E44)/E44</f>
        <v/>
      </c>
      <c r="J44" s="45">
        <f>(G44-F44)/F44</f>
        <v/>
      </c>
      <c r="K44" s="45">
        <f>(H44-G44)/G44</f>
        <v/>
      </c>
    </row>
    <row r="45">
      <c r="D45" s="7" t="inlineStr">
        <is>
          <t>COST</t>
        </is>
      </c>
      <c r="E45" s="49" t="n">
        <v>7.09</v>
      </c>
      <c r="F45" s="49" t="n">
        <v>8.27</v>
      </c>
      <c r="G45" s="49" t="n">
        <v>8.56</v>
      </c>
      <c r="H45" s="49" t="n">
        <v>9.23</v>
      </c>
      <c r="I45" s="45">
        <f>(F45-E45)/E45</f>
        <v/>
      </c>
      <c r="J45" s="45">
        <f>(G45-F45)/F45</f>
        <v/>
      </c>
      <c r="K45" s="45">
        <f>(H45-G45)/G45</f>
        <v/>
      </c>
    </row>
    <row r="46">
      <c r="D46" s="7" t="inlineStr">
        <is>
          <t>IBM</t>
        </is>
      </c>
      <c r="E46" s="49" t="n">
        <v>9.52</v>
      </c>
      <c r="F46" s="49" t="n">
        <v>11.4</v>
      </c>
      <c r="G46" s="49" t="n">
        <v>12.3</v>
      </c>
      <c r="H46" s="49" t="n">
        <v>12.7</v>
      </c>
      <c r="I46" s="45">
        <f>(F46-E46)/E46</f>
        <v/>
      </c>
      <c r="J46" s="45">
        <f>(G46-F46)/F46</f>
        <v/>
      </c>
      <c r="K46" s="45">
        <f>(H46-G46)/G46</f>
        <v/>
      </c>
    </row>
    <row r="47">
      <c r="D47" s="7" t="inlineStr">
        <is>
          <t>SBUX</t>
        </is>
      </c>
      <c r="E47" s="49" t="n">
        <v>3.24</v>
      </c>
      <c r="F47" s="49" t="n">
        <v>2.9</v>
      </c>
      <c r="G47" s="49" t="n">
        <v>3.04</v>
      </c>
      <c r="H47" s="49" t="n">
        <v>3.56</v>
      </c>
      <c r="I47" s="45">
        <f>(F47-E47)/E47</f>
        <v/>
      </c>
      <c r="J47" s="45">
        <f>(G47-F47)/F47</f>
        <v/>
      </c>
      <c r="K47" s="45">
        <f>(H47-G47)/G47</f>
        <v/>
      </c>
    </row>
    <row r="48">
      <c r="D48" s="7" t="inlineStr">
        <is>
          <t>HON</t>
        </is>
      </c>
      <c r="E48" s="49" t="n">
        <v>8.98</v>
      </c>
      <c r="F48" s="49" t="n">
        <v>8.09</v>
      </c>
      <c r="G48" s="49" t="n">
        <v>8.83</v>
      </c>
      <c r="H48" s="49" t="n">
        <v>9.65</v>
      </c>
      <c r="I48" s="45">
        <f>(F48-E48)/E48</f>
        <v/>
      </c>
      <c r="J48" s="45">
        <f>(G48-F48)/F48</f>
        <v/>
      </c>
      <c r="K48" s="45">
        <f>(H48-G48)/G48</f>
        <v/>
      </c>
    </row>
    <row r="49">
      <c r="D49" s="7" t="inlineStr">
        <is>
          <t>UNP</t>
        </is>
      </c>
      <c r="E49" s="49" t="n">
        <v>7.91</v>
      </c>
      <c r="F49" s="49" t="n">
        <v>8.880000000000001</v>
      </c>
      <c r="G49" s="49" t="n">
        <v>10.1</v>
      </c>
      <c r="H49" s="49" t="n">
        <v>11.3</v>
      </c>
      <c r="I49" s="45">
        <f>(F49-E49)/E49</f>
        <v/>
      </c>
      <c r="J49" s="45">
        <f>(G49-F49)/F49</f>
        <v/>
      </c>
      <c r="K49" s="45">
        <f>(H49-G49)/G49</f>
        <v/>
      </c>
    </row>
    <row r="50">
      <c r="D50" s="7" t="inlineStr">
        <is>
          <t>TXN</t>
        </is>
      </c>
      <c r="E50" s="49" t="n">
        <v>5.59</v>
      </c>
      <c r="F50" s="49" t="n">
        <v>5.32</v>
      </c>
      <c r="G50" s="49" t="n">
        <v>5.8</v>
      </c>
      <c r="H50" s="49" t="n">
        <v>6.27</v>
      </c>
      <c r="I50" s="45">
        <f>(F50-E50)/E50</f>
        <v/>
      </c>
      <c r="J50" s="45">
        <f>(G50-F50)/F50</f>
        <v/>
      </c>
      <c r="K50" s="45">
        <f>(H50-G50)/G50</f>
        <v/>
      </c>
    </row>
    <row r="51">
      <c r="D51" s="7" t="inlineStr">
        <is>
          <t>TMO</t>
        </is>
      </c>
      <c r="E51" s="49" t="n">
        <v>7.24</v>
      </c>
      <c r="F51" s="49" t="n">
        <v>9.289999999999999</v>
      </c>
      <c r="G51" s="49" t="n">
        <v>9.75</v>
      </c>
      <c r="H51" s="49" t="n">
        <v>11.5</v>
      </c>
      <c r="I51" s="45">
        <f>(F51-E51)/E51</f>
        <v/>
      </c>
      <c r="J51" s="45">
        <f>(G51-F51)/F51</f>
        <v/>
      </c>
      <c r="K51" s="45">
        <f>(H51-G51)/G51</f>
        <v/>
      </c>
    </row>
    <row r="52">
      <c r="D52" s="7" t="inlineStr">
        <is>
          <t>AVGO</t>
        </is>
      </c>
      <c r="E52" s="49" t="n">
        <v>28.4</v>
      </c>
      <c r="F52" s="49" t="n">
        <v>5.67</v>
      </c>
      <c r="G52" s="49" t="n">
        <v>9.51</v>
      </c>
      <c r="H52" s="49" t="n">
        <v>13.2</v>
      </c>
      <c r="I52" s="45">
        <f>(F52-E52)/E52</f>
        <v/>
      </c>
      <c r="J52" s="45">
        <f>(G52-F52)/F52</f>
        <v/>
      </c>
      <c r="K52" s="45">
        <f>(H52-G52)/G52</f>
        <v/>
      </c>
    </row>
    <row r="53">
      <c r="D53" s="7" t="inlineStr">
        <is>
          <t>NEE</t>
        </is>
      </c>
      <c r="E53" s="49" t="n">
        <v>13.9</v>
      </c>
      <c r="F53" s="49" t="n">
        <v>7.6</v>
      </c>
      <c r="G53" s="49" t="n">
        <v>9.09</v>
      </c>
      <c r="H53" s="49" t="n">
        <v>9.82</v>
      </c>
      <c r="I53" s="45">
        <f>(F53-E53)/E53</f>
        <v/>
      </c>
      <c r="J53" s="45">
        <f>(G53-F53)/F53</f>
        <v/>
      </c>
      <c r="K53" s="45">
        <f>(H53-G53)/G53</f>
        <v/>
      </c>
    </row>
    <row r="54">
      <c r="D54" s="7" t="inlineStr">
        <is>
          <t>NKE</t>
        </is>
      </c>
      <c r="E54" s="49" t="n">
        <v>2.49</v>
      </c>
      <c r="F54" s="49" t="n">
        <v>2.9</v>
      </c>
      <c r="G54" s="49" t="n">
        <v>3.41</v>
      </c>
      <c r="H54" s="49" t="n">
        <v>4.04</v>
      </c>
      <c r="I54" s="45">
        <f>(F54-E54)/E54</f>
        <v/>
      </c>
      <c r="J54" s="45">
        <f>(G54-F54)/F54</f>
        <v/>
      </c>
      <c r="K54" s="45">
        <f>(H54-G54)/G54</f>
        <v/>
      </c>
    </row>
    <row r="55">
      <c r="D55" s="7" t="inlineStr">
        <is>
          <t>AMT</t>
        </is>
      </c>
      <c r="E55" s="49" t="n">
        <v>2.77</v>
      </c>
      <c r="F55" s="49" t="n">
        <v>3.7</v>
      </c>
      <c r="G55" s="49" t="n">
        <v>4.43</v>
      </c>
      <c r="H55" s="49" t="n">
        <v>5.23</v>
      </c>
      <c r="I55" s="45">
        <f>(F55-E55)/E55</f>
        <v/>
      </c>
      <c r="J55" s="45">
        <f>(G55-F55)/F55</f>
        <v/>
      </c>
      <c r="K55" s="45">
        <f>(H55-G55)/G55</f>
        <v/>
      </c>
    </row>
    <row r="56">
      <c r="D56" s="7" t="inlineStr">
        <is>
          <t>UTX</t>
        </is>
      </c>
      <c r="E56" s="49" t="n">
        <v>6.5</v>
      </c>
      <c r="F56" s="49" t="n">
        <v>7.4</v>
      </c>
      <c r="G56" s="49" t="n">
        <v>8.44</v>
      </c>
      <c r="H56" s="49" t="n">
        <v>9.199999999999999</v>
      </c>
      <c r="I56" s="45">
        <f>(F56-E56)/E56</f>
        <v/>
      </c>
      <c r="J56" s="45">
        <f>(G56-F56)/F56</f>
        <v/>
      </c>
      <c r="K56" s="45">
        <f>(H56-G56)/G56</f>
        <v/>
      </c>
    </row>
    <row r="57">
      <c r="D57" s="7" t="inlineStr">
        <is>
          <t>NVDA</t>
        </is>
      </c>
      <c r="E57" s="49" t="inlineStr">
        <is>
          <t xml:space="preserve">
                                        </t>
        </is>
      </c>
      <c r="F57" s="49" t="inlineStr">
        <is>
          <t xml:space="preserve">
                                        </t>
        </is>
      </c>
      <c r="G57" s="49" t="inlineStr">
        <is>
          <t xml:space="preserve">
                                        </t>
        </is>
      </c>
      <c r="H57" s="49" t="inlineStr">
        <is>
          <t xml:space="preserve">
                                    </t>
        </is>
      </c>
      <c r="I57" s="45" t="n"/>
      <c r="J57" s="45" t="n"/>
      <c r="K57" s="45" t="n"/>
    </row>
    <row r="58">
      <c r="D58" s="7" t="inlineStr">
        <is>
          <t>ABBV</t>
        </is>
      </c>
      <c r="E58" s="49" t="n">
        <v>3.66</v>
      </c>
      <c r="F58" s="49" t="n">
        <v>6.56</v>
      </c>
      <c r="G58" s="49" t="n">
        <v>8.59</v>
      </c>
      <c r="H58" s="49" t="n">
        <v>9.01</v>
      </c>
      <c r="I58" s="45">
        <f>(F58-E58)/E58</f>
        <v/>
      </c>
      <c r="J58" s="45">
        <f>(G58-F58)/F58</f>
        <v/>
      </c>
      <c r="K58" s="45">
        <f>(H58-G58)/G58</f>
        <v/>
      </c>
    </row>
    <row r="59">
      <c r="D59" s="7" t="inlineStr">
        <is>
          <t>LLY</t>
        </is>
      </c>
      <c r="E59" s="49" t="n">
        <v>3.13</v>
      </c>
      <c r="F59" s="49" t="n">
        <v>8.81</v>
      </c>
      <c r="G59" s="49" t="n">
        <v>6.26</v>
      </c>
      <c r="H59" s="49" t="n">
        <v>8.08</v>
      </c>
      <c r="I59" s="45">
        <f>(F59-E59)/E59</f>
        <v/>
      </c>
      <c r="J59" s="45">
        <f>(G59-F59)/F59</f>
        <v/>
      </c>
      <c r="K59" s="45">
        <f>(H59-G59)/G59</f>
        <v/>
      </c>
    </row>
    <row r="60">
      <c r="D60" s="7" t="inlineStr">
        <is>
          <t>LMT</t>
        </is>
      </c>
      <c r="E60" s="49" t="n">
        <v>17.6</v>
      </c>
      <c r="F60" s="49" t="n">
        <v>21.2</v>
      </c>
      <c r="G60" s="49" t="n">
        <v>25.2</v>
      </c>
      <c r="H60" s="49" t="n">
        <v>27.7</v>
      </c>
      <c r="I60" s="45">
        <f>(F60-E60)/E60</f>
        <v/>
      </c>
      <c r="J60" s="45">
        <f>(G60-F60)/F60</f>
        <v/>
      </c>
      <c r="K60" s="45">
        <f>(H60-G60)/G60</f>
        <v/>
      </c>
    </row>
    <row r="61">
      <c r="D61" s="7" t="inlineStr">
        <is>
          <t>MMM</t>
        </is>
      </c>
      <c r="E61" s="49" t="n">
        <v>8.890000000000001</v>
      </c>
      <c r="F61" s="49" t="n">
        <v>8.15</v>
      </c>
      <c r="G61" s="49" t="n">
        <v>10</v>
      </c>
      <c r="H61" s="49" t="n">
        <v>10.8</v>
      </c>
      <c r="I61" s="45">
        <f>(F61-E61)/E61</f>
        <v/>
      </c>
      <c r="J61" s="45">
        <f>(G61-F61)/F61</f>
        <v/>
      </c>
      <c r="K61" s="45">
        <f>(H61-G61)/G61</f>
        <v/>
      </c>
    </row>
    <row r="62">
      <c r="D62" s="7" t="inlineStr">
        <is>
          <t>QCOM</t>
        </is>
      </c>
      <c r="E62" s="49" t="n">
        <v>-3.32</v>
      </c>
      <c r="F62" s="49" t="n">
        <v>3.83</v>
      </c>
      <c r="G62" s="49" t="n">
        <v>3.37</v>
      </c>
      <c r="H62" s="49" t="n">
        <v>5.25</v>
      </c>
      <c r="I62" s="45">
        <f>(F62-E62)/E62</f>
        <v/>
      </c>
      <c r="J62" s="45">
        <f>(G62-F62)/F62</f>
        <v/>
      </c>
      <c r="K62" s="45">
        <f>(H62-G62)/G62</f>
        <v/>
      </c>
    </row>
    <row r="63">
      <c r="D63" s="7" t="inlineStr">
        <is>
          <t>MO</t>
        </is>
      </c>
      <c r="E63" s="49" t="n">
        <v>3.68</v>
      </c>
      <c r="F63" s="49" t="n">
        <v>3.88</v>
      </c>
      <c r="G63" s="49" t="n">
        <v>4.34</v>
      </c>
      <c r="H63" s="49" t="n">
        <v>4.73</v>
      </c>
      <c r="I63" s="45">
        <f>(F63-E63)/E63</f>
        <v/>
      </c>
      <c r="J63" s="45">
        <f>(G63-F63)/F63</f>
        <v/>
      </c>
      <c r="K63" s="45">
        <f>(H63-G63)/G63</f>
        <v/>
      </c>
    </row>
    <row r="64">
      <c r="D64" s="7" t="inlineStr">
        <is>
          <t>DHR</t>
        </is>
      </c>
      <c r="E64" s="49" t="n">
        <v>3.74</v>
      </c>
      <c r="F64" s="49" t="n">
        <v>3.68</v>
      </c>
      <c r="G64" s="49" t="n">
        <v>4.31</v>
      </c>
      <c r="H64" s="49" t="n">
        <v>4.9</v>
      </c>
      <c r="I64" s="45">
        <f>(F64-E64)/E64</f>
        <v/>
      </c>
      <c r="J64" s="45">
        <f>(G64-F64)/F64</f>
        <v/>
      </c>
      <c r="K64" s="45">
        <f>(H64-G64)/G64</f>
        <v/>
      </c>
    </row>
    <row r="65">
      <c r="D65" s="7" t="inlineStr">
        <is>
          <t>LOW</t>
        </is>
      </c>
      <c r="E65" s="49" t="inlineStr">
        <is>
          <t xml:space="preserve">
                                        </t>
        </is>
      </c>
      <c r="F65" s="49" t="inlineStr">
        <is>
          <t xml:space="preserve">
                                        </t>
        </is>
      </c>
      <c r="G65" s="49" t="inlineStr">
        <is>
          <t xml:space="preserve">
                                        </t>
        </is>
      </c>
      <c r="H65" s="49" t="inlineStr">
        <is>
          <t xml:space="preserve">
                                    </t>
        </is>
      </c>
      <c r="I65" s="45" t="n"/>
      <c r="J65" s="45" t="n"/>
      <c r="K65" s="45" t="n"/>
    </row>
    <row r="66">
      <c r="D66" s="7" t="inlineStr">
        <is>
          <t>FIS</t>
        </is>
      </c>
      <c r="E66" s="49" t="n">
        <v>2.55</v>
      </c>
      <c r="F66" s="49" t="n">
        <v>2.61</v>
      </c>
      <c r="G66" s="49" t="n">
        <v>3.89</v>
      </c>
      <c r="H66" s="49" t="n">
        <v>5.23</v>
      </c>
      <c r="I66" s="45">
        <f>(F66-E66)/E66</f>
        <v/>
      </c>
      <c r="J66" s="45">
        <f>(G66-F66)/F66</f>
        <v/>
      </c>
      <c r="K66" s="45">
        <f>(H66-G66)/G66</f>
        <v/>
      </c>
    </row>
    <row r="67">
      <c r="D67" s="7" t="inlineStr">
        <is>
          <t>BKNG</t>
        </is>
      </c>
      <c r="E67" s="49" t="n">
        <v>83.3</v>
      </c>
      <c r="F67" s="49" t="n">
        <v>106</v>
      </c>
      <c r="G67" s="49" t="n">
        <v>114</v>
      </c>
      <c r="H67" s="49" t="n">
        <v>128</v>
      </c>
      <c r="I67" s="45">
        <f>(F67-E67)/E67</f>
        <v/>
      </c>
      <c r="J67" s="45">
        <f>(G67-F67)/F67</f>
        <v/>
      </c>
      <c r="K67" s="45">
        <f>(H67-G67)/G67</f>
        <v/>
      </c>
    </row>
    <row r="68">
      <c r="D68" s="7" t="inlineStr">
        <is>
          <t>AXP</t>
        </is>
      </c>
      <c r="E68" s="49" t="n">
        <v>7.91</v>
      </c>
      <c r="F68" s="49" t="n">
        <v>7.96</v>
      </c>
      <c r="G68" s="49" t="n">
        <v>9.02</v>
      </c>
      <c r="H68" s="49" t="n">
        <v>9.93</v>
      </c>
      <c r="I68" s="45">
        <f>(F68-E68)/E68</f>
        <v/>
      </c>
      <c r="J68" s="45">
        <f>(G68-F68)/F68</f>
        <v/>
      </c>
      <c r="K68" s="45">
        <f>(H68-G68)/G68</f>
        <v/>
      </c>
    </row>
    <row r="69">
      <c r="D69" s="7" t="inlineStr">
        <is>
          <t>GILD</t>
        </is>
      </c>
      <c r="E69" s="49" t="n">
        <v>4.17</v>
      </c>
      <c r="F69" s="49" t="n">
        <v>3.51</v>
      </c>
      <c r="G69" s="49" t="n">
        <v>5.72</v>
      </c>
      <c r="H69" s="49" t="n">
        <v>5.89</v>
      </c>
      <c r="I69" s="45">
        <f>(F69-E69)/E69</f>
        <v/>
      </c>
      <c r="J69" s="45">
        <f>(G69-F69)/F69</f>
        <v/>
      </c>
      <c r="K69" s="45">
        <f>(H69-G69)/G69</f>
        <v/>
      </c>
    </row>
    <row r="70">
      <c r="D70" s="7" t="inlineStr">
        <is>
          <t>CVS</t>
        </is>
      </c>
      <c r="E70" s="49" t="n">
        <v>-0.57</v>
      </c>
      <c r="F70" s="49" t="n">
        <v>5.06</v>
      </c>
      <c r="G70" s="49" t="n">
        <v>5.6</v>
      </c>
      <c r="H70" s="49" t="n">
        <v>6.16</v>
      </c>
      <c r="I70" s="45">
        <f>(F70-E70)/E70</f>
        <v/>
      </c>
      <c r="J70" s="45">
        <f>(G70-F70)/F70</f>
        <v/>
      </c>
      <c r="K70" s="45">
        <f>(H70-G70)/G70</f>
        <v/>
      </c>
    </row>
    <row r="71">
      <c r="D71" s="7" t="inlineStr">
        <is>
          <t>UPS</t>
        </is>
      </c>
      <c r="E71" s="49" t="n">
        <v>5.51</v>
      </c>
      <c r="F71" s="49" t="n">
        <v>7.39</v>
      </c>
      <c r="G71" s="49" t="n">
        <v>8.15</v>
      </c>
      <c r="H71" s="49" t="n">
        <v>9</v>
      </c>
      <c r="I71" s="45">
        <f>(F71-E71)/E71</f>
        <v/>
      </c>
      <c r="J71" s="45">
        <f>(G71-F71)/F71</f>
        <v/>
      </c>
      <c r="K71" s="45">
        <f>(H71-G71)/G71</f>
        <v/>
      </c>
    </row>
    <row r="72">
      <c r="D72" s="7" t="inlineStr">
        <is>
          <t>MDLZ</t>
        </is>
      </c>
      <c r="E72" s="49" t="n">
        <v>2.28</v>
      </c>
      <c r="F72" s="49" t="n">
        <v>2.37</v>
      </c>
      <c r="G72" s="49" t="n">
        <v>2.5</v>
      </c>
      <c r="H72" s="49" t="n">
        <v>2.67</v>
      </c>
      <c r="I72" s="45">
        <f>(F72-E72)/E72</f>
        <v/>
      </c>
      <c r="J72" s="45">
        <f>(G72-F72)/F72</f>
        <v/>
      </c>
      <c r="K72" s="45">
        <f>(H72-G72)/G72</f>
        <v/>
      </c>
    </row>
    <row r="73">
      <c r="D73" s="7" t="inlineStr">
        <is>
          <t>USB</t>
        </is>
      </c>
      <c r="E73" s="49" t="n">
        <v>4.14</v>
      </c>
      <c r="F73" s="49" t="n">
        <v>4.3</v>
      </c>
      <c r="G73" s="49" t="n">
        <v>4.41</v>
      </c>
      <c r="H73" s="49" t="n">
        <v>4.58</v>
      </c>
      <c r="I73" s="45">
        <f>(F73-E73)/E73</f>
        <v/>
      </c>
      <c r="J73" s="45">
        <f>(G73-F73)/F73</f>
        <v/>
      </c>
      <c r="K73" s="45">
        <f>(H73-G73)/G73</f>
        <v/>
      </c>
    </row>
    <row r="74">
      <c r="D74" s="7" t="inlineStr">
        <is>
          <t>BMY</t>
        </is>
      </c>
      <c r="E74" s="49" t="n">
        <v>3.03</v>
      </c>
      <c r="F74" s="49" t="n">
        <v>3.97</v>
      </c>
      <c r="G74" s="49" t="n">
        <v>6.07</v>
      </c>
      <c r="H74" s="49" t="n">
        <v>8.4</v>
      </c>
      <c r="I74" s="45">
        <f>(F74-E74)/E74</f>
        <v/>
      </c>
      <c r="J74" s="45">
        <f>(G74-F74)/F74</f>
        <v/>
      </c>
      <c r="K74" s="45">
        <f>(H74-G74)/G74</f>
        <v/>
      </c>
    </row>
    <row r="75">
      <c r="D75" s="7" t="inlineStr">
        <is>
          <t>CME</t>
        </is>
      </c>
      <c r="E75" s="49" t="n">
        <v>5.71</v>
      </c>
      <c r="F75" s="49" t="n">
        <v>5.72</v>
      </c>
      <c r="G75" s="49" t="n">
        <v>6.73</v>
      </c>
      <c r="H75" s="49" t="n">
        <v>7.35</v>
      </c>
      <c r="I75" s="45">
        <f>(F75-E75)/E75</f>
        <v/>
      </c>
      <c r="J75" s="45">
        <f>(G75-F75)/F75</f>
        <v/>
      </c>
      <c r="K75" s="45">
        <f>(H75-G75)/G75</f>
        <v/>
      </c>
    </row>
    <row r="76">
      <c r="D76" s="7" t="inlineStr">
        <is>
          <t>INTU</t>
        </is>
      </c>
      <c r="E76" s="49" t="n">
        <v>5.89</v>
      </c>
      <c r="F76" s="49" t="n">
        <v>6.38</v>
      </c>
      <c r="G76" s="49" t="n">
        <v>7.18</v>
      </c>
      <c r="H76" s="49" t="n">
        <v>8.039999999999999</v>
      </c>
      <c r="I76" s="45">
        <f>(F76-E76)/E76</f>
        <v/>
      </c>
      <c r="J76" s="45">
        <f>(G76-F76)/F76</f>
        <v/>
      </c>
      <c r="K76" s="45">
        <f>(H76-G76)/G76</f>
        <v/>
      </c>
    </row>
    <row r="77">
      <c r="D77" s="7" t="inlineStr">
        <is>
          <t>ADP</t>
        </is>
      </c>
      <c r="E77" s="49" t="n">
        <v>5.24</v>
      </c>
      <c r="F77" s="49" t="n">
        <v>6.09</v>
      </c>
      <c r="G77" s="49" t="n">
        <v>6.83</v>
      </c>
      <c r="H77" s="49" t="n">
        <v>7.68</v>
      </c>
      <c r="I77" s="45">
        <f>(F77-E77)/E77</f>
        <v/>
      </c>
      <c r="J77" s="45">
        <f>(G77-F77)/F77</f>
        <v/>
      </c>
      <c r="K77" s="45">
        <f>(H77-G77)/G77</f>
        <v/>
      </c>
    </row>
    <row r="78">
      <c r="D78" s="7" t="inlineStr">
        <is>
          <t>CB</t>
        </is>
      </c>
      <c r="E78" s="49" t="n">
        <v>8.49</v>
      </c>
      <c r="F78" s="49" t="n">
        <v>9.83</v>
      </c>
      <c r="G78" s="49" t="n">
        <v>10.9</v>
      </c>
      <c r="H78" s="49" t="n">
        <v>12</v>
      </c>
      <c r="I78" s="45">
        <f>(F78-E78)/E78</f>
        <v/>
      </c>
      <c r="J78" s="45">
        <f>(G78-F78)/F78</f>
        <v/>
      </c>
      <c r="K78" s="45">
        <f>(H78-G78)/G78</f>
        <v/>
      </c>
    </row>
    <row r="79">
      <c r="D79" s="7" t="inlineStr">
        <is>
          <t>GE</t>
        </is>
      </c>
      <c r="E79" s="49" t="n">
        <v>-2.43</v>
      </c>
      <c r="F79" s="49" t="n">
        <v>0.39</v>
      </c>
      <c r="G79" s="49" t="n">
        <v>0.51</v>
      </c>
      <c r="H79" s="49" t="n">
        <v>0.6899999999999999</v>
      </c>
      <c r="I79" s="45">
        <f>(F79-E79)/E79</f>
        <v/>
      </c>
      <c r="J79" s="45">
        <f>(G79-F79)/F79</f>
        <v/>
      </c>
      <c r="K79" s="45">
        <f>(H79-G79)/G79</f>
        <v/>
      </c>
    </row>
    <row r="80">
      <c r="D80" s="7" t="inlineStr">
        <is>
          <t>BDX</t>
        </is>
      </c>
      <c r="E80" s="49" t="n">
        <v>0.6</v>
      </c>
      <c r="F80" s="49" t="n">
        <v>5.9</v>
      </c>
      <c r="G80" s="49" t="n">
        <v>9.24</v>
      </c>
      <c r="H80" s="49" t="n">
        <v>11.4</v>
      </c>
      <c r="I80" s="45">
        <f>(F80-E80)/E80</f>
        <v/>
      </c>
      <c r="J80" s="45">
        <f>(G80-F80)/F80</f>
        <v/>
      </c>
      <c r="K80" s="45">
        <f>(H80-G80)/G80</f>
        <v/>
      </c>
    </row>
    <row r="81">
      <c r="D81" s="7" t="inlineStr">
        <is>
          <t>ANTM</t>
        </is>
      </c>
      <c r="E81" s="49" t="n">
        <v>14.2</v>
      </c>
      <c r="F81" s="49" t="n">
        <v>18.4</v>
      </c>
      <c r="G81" s="49" t="n">
        <v>21.9</v>
      </c>
      <c r="H81" s="49" t="n">
        <v>25.7</v>
      </c>
      <c r="I81" s="45">
        <f>(F81-E81)/E81</f>
        <v/>
      </c>
      <c r="J81" s="45">
        <f>(G81-F81)/F81</f>
        <v/>
      </c>
      <c r="K81" s="45">
        <f>(H81-G81)/G81</f>
        <v/>
      </c>
    </row>
    <row r="82">
      <c r="D82" s="7" t="inlineStr">
        <is>
          <t>GS</t>
        </is>
      </c>
      <c r="E82" s="49" t="n">
        <v>25.3</v>
      </c>
      <c r="F82" s="49" t="n">
        <v>23.1</v>
      </c>
      <c r="G82" s="49" t="n">
        <v>24.7</v>
      </c>
      <c r="H82" s="49" t="n">
        <v>25.2</v>
      </c>
      <c r="I82" s="45">
        <f>(F82-E82)/E82</f>
        <v/>
      </c>
      <c r="J82" s="45">
        <f>(G82-F82)/F82</f>
        <v/>
      </c>
      <c r="K82" s="45">
        <f>(H82-G82)/G82</f>
        <v/>
      </c>
    </row>
    <row r="83">
      <c r="D83" s="7" t="inlineStr">
        <is>
          <t>CHTR</t>
        </is>
      </c>
      <c r="E83" s="49" t="n">
        <v>5.22</v>
      </c>
      <c r="F83" s="49" t="n">
        <v>6.57</v>
      </c>
      <c r="G83" s="49" t="n">
        <v>12.6</v>
      </c>
      <c r="H83" s="49" t="n">
        <v>19.1</v>
      </c>
      <c r="I83" s="45">
        <f>(F83-E83)/E83</f>
        <v/>
      </c>
      <c r="J83" s="45">
        <f>(G83-F83)/F83</f>
        <v/>
      </c>
      <c r="K83" s="45">
        <f>(H83-G83)/G83</f>
        <v/>
      </c>
    </row>
    <row r="84">
      <c r="D84" s="7" t="inlineStr">
        <is>
          <t>SYK</t>
        </is>
      </c>
      <c r="E84" s="49" t="n">
        <v>9.34</v>
      </c>
      <c r="F84" s="49" t="n">
        <v>6.38</v>
      </c>
      <c r="G84" s="49" t="n">
        <v>7.94</v>
      </c>
      <c r="H84" s="49" t="n">
        <v>9.050000000000001</v>
      </c>
      <c r="I84" s="45">
        <f>(F84-E84)/E84</f>
        <v/>
      </c>
      <c r="J84" s="45">
        <f>(G84-F84)/F84</f>
        <v/>
      </c>
      <c r="K84" s="45">
        <f>(H84-G84)/G84</f>
        <v/>
      </c>
    </row>
    <row r="85">
      <c r="D85" s="7" t="inlineStr">
        <is>
          <t>CELG</t>
        </is>
      </c>
      <c r="E85" s="49" t="n">
        <v>5.51</v>
      </c>
      <c r="F85" s="49" t="n">
        <v>8.710000000000001</v>
      </c>
      <c r="G85" s="49" t="n">
        <v>10.4</v>
      </c>
      <c r="H85" s="49" t="n">
        <v>12.8</v>
      </c>
      <c r="I85" s="45">
        <f>(F85-E85)/E85</f>
        <v/>
      </c>
      <c r="J85" s="45">
        <f>(G85-F85)/F85</f>
        <v/>
      </c>
      <c r="K85" s="45">
        <f>(H85-G85)/G85</f>
        <v/>
      </c>
    </row>
    <row r="86">
      <c r="D86" s="7" t="inlineStr">
        <is>
          <t>DUK</t>
        </is>
      </c>
      <c r="E86" s="49" t="n">
        <v>3.76</v>
      </c>
      <c r="F86" s="49" t="n">
        <v>4.98</v>
      </c>
      <c r="G86" s="49" t="n">
        <v>5.22</v>
      </c>
      <c r="H86" s="49" t="n">
        <v>5.49</v>
      </c>
      <c r="I86" s="45">
        <f>(F86-E86)/E86</f>
        <v/>
      </c>
      <c r="J86" s="45">
        <f>(G86-F86)/F86</f>
        <v/>
      </c>
      <c r="K86" s="45">
        <f>(H86-G86)/G86</f>
        <v/>
      </c>
    </row>
    <row r="87">
      <c r="D87" s="7" t="inlineStr">
        <is>
          <t>CAT</t>
        </is>
      </c>
      <c r="E87" s="49" t="n">
        <v>10.3</v>
      </c>
      <c r="F87" s="49" t="n">
        <v>12</v>
      </c>
      <c r="G87" s="49" t="n">
        <v>12.2</v>
      </c>
      <c r="H87" s="49" t="n">
        <v>12.9</v>
      </c>
      <c r="I87" s="45">
        <f>(F87-E87)/E87</f>
        <v/>
      </c>
      <c r="J87" s="45">
        <f>(G87-F87)/F87</f>
        <v/>
      </c>
      <c r="K87" s="45">
        <f>(H87-G87)/G87</f>
        <v/>
      </c>
    </row>
    <row r="88">
      <c r="D88" s="7" t="inlineStr">
        <is>
          <t>TJX</t>
        </is>
      </c>
      <c r="E88" s="49" t="inlineStr">
        <is>
          <t xml:space="preserve">
                                        </t>
        </is>
      </c>
      <c r="F88" s="49" t="inlineStr">
        <is>
          <t xml:space="preserve">
                                        </t>
        </is>
      </c>
      <c r="G88" s="49" t="inlineStr">
        <is>
          <t xml:space="preserve">
                                        </t>
        </is>
      </c>
      <c r="H88" s="49" t="inlineStr">
        <is>
          <t xml:space="preserve">
                                    </t>
        </is>
      </c>
      <c r="I88" s="45" t="n"/>
      <c r="J88" s="45" t="n"/>
      <c r="K88" s="45" t="n"/>
    </row>
    <row r="89">
      <c r="D89" s="7" t="inlineStr">
        <is>
          <t>SPGI</t>
        </is>
      </c>
      <c r="E89" s="49" t="n">
        <v>7.73</v>
      </c>
      <c r="F89" s="49" t="n">
        <v>8.31</v>
      </c>
      <c r="G89" s="49" t="n">
        <v>9.65</v>
      </c>
      <c r="H89" s="49" t="n">
        <v>10.9</v>
      </c>
      <c r="I89" s="45">
        <f>(F89-E89)/E89</f>
        <v/>
      </c>
      <c r="J89" s="45">
        <f>(G89-F89)/F89</f>
        <v/>
      </c>
      <c r="K89" s="45">
        <f>(H89-G89)/G89</f>
        <v/>
      </c>
    </row>
    <row r="90">
      <c r="D90" s="7" t="inlineStr">
        <is>
          <t>CL</t>
        </is>
      </c>
      <c r="E90" s="49" t="n">
        <v>2.75</v>
      </c>
      <c r="F90" s="49" t="n">
        <v>2.76</v>
      </c>
      <c r="G90" s="49" t="n">
        <v>3</v>
      </c>
      <c r="H90" s="49" t="n">
        <v>3.17</v>
      </c>
      <c r="I90" s="45">
        <f>(F90-E90)/E90</f>
        <v/>
      </c>
      <c r="J90" s="45">
        <f>(G90-F90)/F90</f>
        <v/>
      </c>
      <c r="K90" s="45">
        <f>(H90-G90)/G90</f>
        <v/>
      </c>
    </row>
    <row r="91">
      <c r="D91" s="7" t="inlineStr">
        <is>
          <t>NOC</t>
        </is>
      </c>
      <c r="E91" s="49" t="n">
        <v>18.5</v>
      </c>
      <c r="F91" s="49" t="n">
        <v>19.6</v>
      </c>
      <c r="G91" s="49" t="n">
        <v>22.5</v>
      </c>
      <c r="H91" s="49" t="n">
        <v>26.2</v>
      </c>
      <c r="I91" s="45">
        <f>(F91-E91)/E91</f>
        <v/>
      </c>
      <c r="J91" s="45">
        <f>(G91-F91)/F91</f>
        <v/>
      </c>
      <c r="K91" s="45">
        <f>(H91-G91)/G91</f>
        <v/>
      </c>
    </row>
    <row r="92">
      <c r="D92" s="7" t="inlineStr">
        <is>
          <t>D</t>
        </is>
      </c>
      <c r="E92" s="49" t="n">
        <v>3.74</v>
      </c>
      <c r="F92" s="49" t="n">
        <v>4.19</v>
      </c>
      <c r="G92" s="49" t="n">
        <v>4.38</v>
      </c>
      <c r="H92" s="49" t="n">
        <v>4.66</v>
      </c>
      <c r="I92" s="45">
        <f>(F92-E92)/E92</f>
        <v/>
      </c>
      <c r="J92" s="45">
        <f>(G92-F92)/F92</f>
        <v/>
      </c>
      <c r="K92" s="45">
        <f>(H92-G92)/G92</f>
        <v/>
      </c>
    </row>
    <row r="93">
      <c r="D93" s="7" t="inlineStr">
        <is>
          <t>CCI</t>
        </is>
      </c>
      <c r="E93" s="49" t="n">
        <v>1.34</v>
      </c>
      <c r="F93" s="49" t="n">
        <v>1.94</v>
      </c>
      <c r="G93" s="49" t="n">
        <v>2.08</v>
      </c>
      <c r="H93" s="49" t="n">
        <v>2.31</v>
      </c>
      <c r="I93" s="45">
        <f>(F93-E93)/E93</f>
        <v/>
      </c>
      <c r="J93" s="45">
        <f>(G93-F93)/F93</f>
        <v/>
      </c>
      <c r="K93" s="45">
        <f>(H93-G93)/G93</f>
        <v/>
      </c>
    </row>
    <row r="94">
      <c r="D94" s="7" t="inlineStr">
        <is>
          <t>SO</t>
        </is>
      </c>
      <c r="E94" s="49" t="n">
        <v>2.18</v>
      </c>
      <c r="F94" s="49" t="n">
        <v>4.03</v>
      </c>
      <c r="G94" s="49" t="n">
        <v>3.16</v>
      </c>
      <c r="H94" s="49" t="n">
        <v>3.26</v>
      </c>
      <c r="I94" s="45">
        <f>(F94-E94)/E94</f>
        <v/>
      </c>
      <c r="J94" s="45">
        <f>(G94-F94)/F94</f>
        <v/>
      </c>
      <c r="K94" s="45">
        <f>(H94-G94)/G94</f>
        <v/>
      </c>
    </row>
    <row r="95">
      <c r="D95" s="7" t="inlineStr">
        <is>
          <t>FISV</t>
        </is>
      </c>
      <c r="E95" s="49" t="n">
        <v>2.87</v>
      </c>
      <c r="F95" s="49" t="n">
        <v>3.18</v>
      </c>
      <c r="G95" s="49" t="n">
        <v>3.67</v>
      </c>
      <c r="H95" s="49" t="n">
        <v>4.85</v>
      </c>
      <c r="I95" s="45">
        <f>(F95-E95)/E95</f>
        <v/>
      </c>
      <c r="J95" s="45">
        <f>(G95-F95)/F95</f>
        <v/>
      </c>
      <c r="K95" s="45">
        <f>(H95-G95)/G95</f>
        <v/>
      </c>
    </row>
    <row r="96">
      <c r="D96" s="7" t="inlineStr">
        <is>
          <t>ZTS</t>
        </is>
      </c>
      <c r="E96" s="49" t="n">
        <v>2.93</v>
      </c>
      <c r="F96" s="49" t="n">
        <v>2.95</v>
      </c>
      <c r="G96" s="49" t="n">
        <v>3.64</v>
      </c>
      <c r="H96" s="49" t="n">
        <v>4.28</v>
      </c>
      <c r="I96" s="45">
        <f>(F96-E96)/E96</f>
        <v/>
      </c>
      <c r="J96" s="45">
        <f>(G96-F96)/F96</f>
        <v/>
      </c>
      <c r="K96" s="45">
        <f>(H96-G96)/G96</f>
        <v/>
      </c>
    </row>
    <row r="97">
      <c r="D97" s="7" t="inlineStr">
        <is>
          <t>CI</t>
        </is>
      </c>
      <c r="E97" s="49" t="n">
        <v>10.5</v>
      </c>
      <c r="F97" s="49" t="n">
        <v>14.2</v>
      </c>
      <c r="G97" s="49" t="n">
        <v>14.1</v>
      </c>
      <c r="H97" s="49" t="n">
        <v>15.7</v>
      </c>
      <c r="I97" s="45">
        <f>(F97-E97)/E97</f>
        <v/>
      </c>
      <c r="J97" s="45">
        <f>(G97-F97)/F97</f>
        <v/>
      </c>
      <c r="K97" s="45">
        <f>(H97-G97)/G97</f>
        <v/>
      </c>
    </row>
    <row r="98">
      <c r="D98" s="7" t="inlineStr">
        <is>
          <t>BSX</t>
        </is>
      </c>
      <c r="E98" s="49" t="n">
        <v>1.19</v>
      </c>
      <c r="F98" s="49" t="n">
        <v>0.98</v>
      </c>
      <c r="G98" s="49" t="n">
        <v>1.37</v>
      </c>
      <c r="H98" s="49" t="n">
        <v>1.62</v>
      </c>
      <c r="I98" s="45">
        <f>(F98-E98)/E98</f>
        <v/>
      </c>
      <c r="J98" s="45">
        <f>(G98-F98)/F98</f>
        <v/>
      </c>
      <c r="K98" s="45">
        <f>(H98-G98)/G98</f>
        <v/>
      </c>
    </row>
    <row r="99">
      <c r="D99" s="7" t="inlineStr">
        <is>
          <t>COP</t>
        </is>
      </c>
      <c r="E99" s="49" t="n">
        <v>5.32</v>
      </c>
      <c r="F99" s="49" t="n">
        <v>5.03</v>
      </c>
      <c r="G99" s="49" t="n">
        <v>4.07</v>
      </c>
      <c r="H99" s="49" t="n">
        <v>4.51</v>
      </c>
      <c r="I99" s="45">
        <f>(F99-E99)/E99</f>
        <v/>
      </c>
      <c r="J99" s="45">
        <f>(G99-F99)/F99</f>
        <v/>
      </c>
      <c r="K99" s="45">
        <f>(H99-G99)/G99</f>
        <v/>
      </c>
    </row>
    <row r="100">
      <c r="D100" s="7" t="inlineStr">
        <is>
          <t>ISRG</t>
        </is>
      </c>
      <c r="E100" s="49" t="n">
        <v>9.49</v>
      </c>
      <c r="F100" s="49" t="n">
        <v>10.1</v>
      </c>
      <c r="G100" s="49" t="n">
        <v>11.4</v>
      </c>
      <c r="H100" s="49" t="n">
        <v>13.3</v>
      </c>
      <c r="I100" s="45">
        <f>(F100-E100)/E100</f>
        <v/>
      </c>
      <c r="J100" s="45">
        <f>(G100-F100)/F100</f>
        <v/>
      </c>
      <c r="K100" s="45">
        <f>(H100-G100)/G100</f>
        <v/>
      </c>
    </row>
    <row r="101">
      <c r="D101" s="7" t="inlineStr">
        <is>
          <t>PNC</t>
        </is>
      </c>
      <c r="E101" s="49" t="n">
        <v>10.7</v>
      </c>
      <c r="F101" s="49" t="n">
        <v>11.2</v>
      </c>
      <c r="G101" s="49" t="n">
        <v>11.9</v>
      </c>
      <c r="H101" s="49" t="n">
        <v>12.4</v>
      </c>
      <c r="I101" s="45">
        <f>(F101-E101)/E101</f>
        <v/>
      </c>
      <c r="J101" s="45">
        <f>(G101-F101)/F101</f>
        <v/>
      </c>
      <c r="K101" s="45">
        <f>(H101-G101)/G101</f>
        <v/>
      </c>
    </row>
    <row r="102">
      <c r="D102" s="7" t="inlineStr">
        <is>
          <t>TGT</t>
        </is>
      </c>
      <c r="E102" s="49" t="inlineStr">
        <is>
          <t xml:space="preserve">
                                        </t>
        </is>
      </c>
      <c r="F102" s="49" t="inlineStr">
        <is>
          <t xml:space="preserve">
                                        </t>
        </is>
      </c>
      <c r="G102" s="49" t="inlineStr">
        <is>
          <t xml:space="preserve">
                                        </t>
        </is>
      </c>
      <c r="H102" s="49" t="inlineStr">
        <is>
          <t xml:space="preserve">
                                    </t>
        </is>
      </c>
      <c r="I102" s="45" t="n"/>
      <c r="J102" s="45" t="n"/>
      <c r="K102" s="45" t="n"/>
    </row>
    <row r="103">
      <c r="D103" s="7" t="inlineStr">
        <is>
          <t>PLD</t>
        </is>
      </c>
      <c r="E103" s="49" t="n">
        <v>2.87</v>
      </c>
      <c r="F103" s="49" t="n">
        <v>1.96</v>
      </c>
      <c r="G103" s="49" t="n">
        <v>1.45</v>
      </c>
      <c r="H103" s="49" t="n">
        <v>1.41</v>
      </c>
      <c r="I103" s="45">
        <f>(F103-E103)/E103</f>
        <v/>
      </c>
      <c r="J103" s="45">
        <f>(G103-F103)/F103</f>
        <v/>
      </c>
      <c r="K103" s="45">
        <f>(H103-G103)/G103</f>
        <v/>
      </c>
    </row>
    <row r="104">
      <c r="D104" s="7" t="inlineStr">
        <is>
          <t>ICE</t>
        </is>
      </c>
      <c r="E104" s="49" t="n">
        <v>9.52</v>
      </c>
      <c r="F104" s="49" t="n">
        <v>11.4</v>
      </c>
      <c r="G104" s="49" t="n">
        <v>12.3</v>
      </c>
      <c r="H104" s="49" t="n">
        <v>12.7</v>
      </c>
      <c r="I104" s="45">
        <f>(F104-E104)/E104</f>
        <v/>
      </c>
      <c r="J104" s="45">
        <f>(G104-F104)/F104</f>
        <v/>
      </c>
      <c r="K104" s="45">
        <f>(H104-G104)/G104</f>
        <v/>
      </c>
    </row>
    <row r="105">
      <c r="D105" s="7" t="inlineStr">
        <is>
          <t>ECL</t>
        </is>
      </c>
      <c r="E105" s="49" t="inlineStr">
        <is>
          <t xml:space="preserve">
                                        </t>
        </is>
      </c>
      <c r="F105" s="49" t="inlineStr">
        <is>
          <t xml:space="preserve">
                                        </t>
        </is>
      </c>
      <c r="G105" s="49" t="inlineStr">
        <is>
          <t xml:space="preserve">
                                        </t>
        </is>
      </c>
      <c r="H105" s="49" t="inlineStr">
        <is>
          <t xml:space="preserve">
                                    </t>
        </is>
      </c>
      <c r="I105" s="45" t="n"/>
      <c r="J105" s="45" t="n"/>
      <c r="K105" s="45" t="n"/>
    </row>
    <row r="106">
      <c r="D106" s="7" t="inlineStr">
        <is>
          <t>MS</t>
        </is>
      </c>
      <c r="E106" s="49" t="n">
        <v>4.73</v>
      </c>
      <c r="F106" s="49" t="n">
        <v>4.87</v>
      </c>
      <c r="G106" s="49" t="n">
        <v>5.19</v>
      </c>
      <c r="H106" s="49" t="n">
        <v>5.56</v>
      </c>
      <c r="I106" s="45">
        <f>(F106-E106)/E106</f>
        <v/>
      </c>
      <c r="J106" s="45">
        <f>(G106-F106)/F106</f>
        <v/>
      </c>
      <c r="K106" s="45">
        <f>(H106-G106)/G106</f>
        <v/>
      </c>
    </row>
    <row r="107">
      <c r="D107" s="7" t="inlineStr">
        <is>
          <t>RTN</t>
        </is>
      </c>
      <c r="E107" s="49" t="n">
        <v>10.2</v>
      </c>
      <c r="F107" s="49" t="n">
        <v>11.7</v>
      </c>
      <c r="G107" s="49" t="n">
        <v>12.9</v>
      </c>
      <c r="H107" s="49" t="n">
        <v>14.2</v>
      </c>
      <c r="I107" s="45">
        <f>(F107-E107)/E107</f>
        <v/>
      </c>
      <c r="J107" s="45">
        <f>(G107-F107)/F107</f>
        <v/>
      </c>
      <c r="K107" s="45">
        <f>(H107-G107)/G107</f>
        <v/>
      </c>
    </row>
    <row r="108">
      <c r="D108" s="7" t="inlineStr">
        <is>
          <t>GD</t>
        </is>
      </c>
      <c r="E108" s="49" t="n">
        <v>11.2</v>
      </c>
      <c r="F108" s="49" t="n">
        <v>11.9</v>
      </c>
      <c r="G108" s="49" t="n">
        <v>13.1</v>
      </c>
      <c r="H108" s="49" t="n">
        <v>14.3</v>
      </c>
      <c r="I108" s="45">
        <f>(F108-E108)/E108</f>
        <v/>
      </c>
      <c r="J108" s="45">
        <f>(G108-F108)/F108</f>
        <v/>
      </c>
      <c r="K108" s="45">
        <f>(H108-G108)/G108</f>
        <v/>
      </c>
    </row>
    <row r="109">
      <c r="D109" s="7" t="inlineStr">
        <is>
          <t>CSX</t>
        </is>
      </c>
      <c r="E109" s="49" t="n">
        <v>3.84</v>
      </c>
      <c r="F109" s="49" t="n">
        <v>4.15</v>
      </c>
      <c r="G109" s="49" t="n">
        <v>4.51</v>
      </c>
      <c r="H109" s="49" t="n">
        <v>5.01</v>
      </c>
      <c r="I109" s="45">
        <f>(F109-E109)/E109</f>
        <v/>
      </c>
      <c r="J109" s="45">
        <f>(G109-F109)/F109</f>
        <v/>
      </c>
      <c r="K109" s="45">
        <f>(H109-G109)/G109</f>
        <v/>
      </c>
    </row>
    <row r="110">
      <c r="D110" s="7" t="inlineStr">
        <is>
          <t>AGN</t>
        </is>
      </c>
      <c r="E110" s="49" t="n">
        <v>-15.3</v>
      </c>
      <c r="F110" s="49" t="n">
        <v>-9.42</v>
      </c>
      <c r="G110" s="49" t="n">
        <v>2.5</v>
      </c>
      <c r="H110" s="49" t="n">
        <v>5.22</v>
      </c>
      <c r="I110" s="45">
        <f>(F110-E110)/E110</f>
        <v/>
      </c>
      <c r="J110" s="45">
        <f>(G110-F110)/F110</f>
        <v/>
      </c>
      <c r="K110" s="45">
        <f>(H110-G110)/G110</f>
        <v/>
      </c>
    </row>
    <row r="111">
      <c r="D111" s="7" t="inlineStr">
        <is>
          <t>MMC</t>
        </is>
      </c>
      <c r="E111" s="49" t="n">
        <v>3.23</v>
      </c>
      <c r="F111" s="49" t="n">
        <v>3.88</v>
      </c>
      <c r="G111" s="49" t="n">
        <v>4.85</v>
      </c>
      <c r="H111" s="49" t="n">
        <v>5.47</v>
      </c>
      <c r="I111" s="45">
        <f>(F111-E111)/E111</f>
        <v/>
      </c>
      <c r="J111" s="45">
        <f>(G111-F111)/F111</f>
        <v/>
      </c>
      <c r="K111" s="45">
        <f>(H111-G111)/G111</f>
        <v/>
      </c>
    </row>
    <row r="112">
      <c r="D112" s="7" t="inlineStr">
        <is>
          <t>APD</t>
        </is>
      </c>
      <c r="E112" s="49" t="n">
        <v>6.59</v>
      </c>
      <c r="F112" s="49" t="n">
        <v>7.96</v>
      </c>
      <c r="G112" s="49" t="n">
        <v>9.210000000000001</v>
      </c>
      <c r="H112" s="49" t="n">
        <v>10.2</v>
      </c>
      <c r="I112" s="45">
        <f>(F112-E112)/E112</f>
        <v/>
      </c>
      <c r="J112" s="45">
        <f>(G112-F112)/F112</f>
        <v/>
      </c>
      <c r="K112" s="45">
        <f>(H112-G112)/G112</f>
        <v/>
      </c>
    </row>
    <row r="113">
      <c r="D113" s="7" t="inlineStr">
        <is>
          <t>BLK</t>
        </is>
      </c>
      <c r="E113" s="49" t="n">
        <v>26.6</v>
      </c>
      <c r="F113" s="49" t="n">
        <v>27.4</v>
      </c>
      <c r="G113" s="49" t="n">
        <v>30.5</v>
      </c>
      <c r="H113" s="49" t="n">
        <v>33.4</v>
      </c>
      <c r="I113" s="45">
        <f>(F113-E113)/E113</f>
        <v/>
      </c>
      <c r="J113" s="45">
        <f>(G113-F113)/F113</f>
        <v/>
      </c>
      <c r="K113" s="45">
        <f>(H113-G113)/G113</f>
        <v/>
      </c>
    </row>
    <row r="114">
      <c r="D114" s="7" t="inlineStr">
        <is>
          <t>KMB</t>
        </is>
      </c>
      <c r="E114" s="49" t="n">
        <v>4.03</v>
      </c>
      <c r="F114" s="49" t="n">
        <v>5.82</v>
      </c>
      <c r="G114" s="49" t="n">
        <v>6.83</v>
      </c>
      <c r="H114" s="49" t="n">
        <v>7.77</v>
      </c>
      <c r="I114" s="45">
        <f>(F114-E114)/E114</f>
        <v/>
      </c>
      <c r="J114" s="45">
        <f>(G114-F114)/F114</f>
        <v/>
      </c>
      <c r="K114" s="45">
        <f>(H114-G114)/G114</f>
        <v/>
      </c>
    </row>
    <row r="115">
      <c r="D115" s="7" t="inlineStr">
        <is>
          <t>MU</t>
        </is>
      </c>
      <c r="E115" s="49" t="n">
        <v>11.5</v>
      </c>
      <c r="F115" s="49" t="n">
        <v>5.45</v>
      </c>
      <c r="G115" s="49" t="n">
        <v>2.69</v>
      </c>
      <c r="H115" s="49" t="n">
        <v>5.38</v>
      </c>
      <c r="I115" s="45">
        <f>(F115-E115)/E115</f>
        <v/>
      </c>
      <c r="J115" s="45">
        <f>(G115-F115)/F115</f>
        <v/>
      </c>
      <c r="K115" s="45">
        <f>(H115-G115)/G115</f>
        <v/>
      </c>
    </row>
    <row r="116">
      <c r="D116" s="7" t="inlineStr">
        <is>
          <t>GM</t>
        </is>
      </c>
      <c r="E116" s="49" t="n">
        <v>5.53</v>
      </c>
      <c r="F116" s="49" t="n">
        <v>6.72</v>
      </c>
      <c r="G116" s="49" t="n">
        <v>6.5</v>
      </c>
      <c r="H116" s="49" t="n">
        <v>6.18</v>
      </c>
      <c r="I116" s="45">
        <f>(F116-E116)/E116</f>
        <v/>
      </c>
      <c r="J116" s="45">
        <f>(G116-F116)/F116</f>
        <v/>
      </c>
      <c r="K116" s="45">
        <f>(H116-G116)/G116</f>
        <v/>
      </c>
    </row>
    <row r="117">
      <c r="D117" s="7" t="inlineStr">
        <is>
          <t>DE</t>
        </is>
      </c>
      <c r="E117" s="49" t="n">
        <v>7.24</v>
      </c>
      <c r="F117" s="49" t="n">
        <v>10</v>
      </c>
      <c r="G117" s="49" t="n">
        <v>11.2</v>
      </c>
      <c r="H117" s="49" t="n">
        <v>12.9</v>
      </c>
      <c r="I117" s="45">
        <f>(F117-E117)/E117</f>
        <v/>
      </c>
      <c r="J117" s="45">
        <f>(G117-F117)/F117</f>
        <v/>
      </c>
      <c r="K117" s="45">
        <f>(H117-G117)/G117</f>
        <v/>
      </c>
    </row>
    <row r="118">
      <c r="D118" s="7" t="inlineStr">
        <is>
          <t>EQIX</t>
        </is>
      </c>
      <c r="E118" s="49" t="n">
        <v>4.56</v>
      </c>
      <c r="F118" s="49" t="n">
        <v>6.39</v>
      </c>
      <c r="G118" s="49" t="n">
        <v>8.15</v>
      </c>
      <c r="H118" s="49" t="n">
        <v>9.77</v>
      </c>
      <c r="I118" s="45">
        <f>(F118-E118)/E118</f>
        <v/>
      </c>
      <c r="J118" s="45">
        <f>(G118-F118)/F118</f>
        <v/>
      </c>
      <c r="K118" s="45">
        <f>(H118-G118)/G118</f>
        <v/>
      </c>
    </row>
    <row r="119">
      <c r="D119" s="7" t="inlineStr">
        <is>
          <t>VRTX</t>
        </is>
      </c>
      <c r="E119" s="49" t="n">
        <v>8.09</v>
      </c>
      <c r="F119" s="49" t="n">
        <v>3.36</v>
      </c>
      <c r="G119" s="49" t="n">
        <v>4.72</v>
      </c>
      <c r="H119" s="49" t="n">
        <v>6.92</v>
      </c>
      <c r="I119" s="45">
        <f>(F119-E119)/E119</f>
        <v/>
      </c>
      <c r="J119" s="45">
        <f>(G119-F119)/F119</f>
        <v/>
      </c>
      <c r="K119" s="45">
        <f>(H119-G119)/G119</f>
        <v/>
      </c>
    </row>
    <row r="120">
      <c r="D120" s="7" t="inlineStr">
        <is>
          <t>AIG</t>
        </is>
      </c>
      <c r="E120" s="49" t="n">
        <v>-0.01</v>
      </c>
      <c r="F120" s="49" t="n">
        <v>4.17</v>
      </c>
      <c r="G120" s="49" t="n">
        <v>5.27</v>
      </c>
      <c r="H120" s="49" t="n">
        <v>5.71</v>
      </c>
      <c r="I120" s="45">
        <f>(F120-E120)/E120</f>
        <v/>
      </c>
      <c r="J120" s="45">
        <f>(G120-F120)/F120</f>
        <v/>
      </c>
      <c r="K120" s="45">
        <f>(H120-G120)/G120</f>
        <v/>
      </c>
    </row>
    <row r="121">
      <c r="D121" s="7" t="inlineStr">
        <is>
          <t>AON</t>
        </is>
      </c>
      <c r="E121" s="49" t="n">
        <v>4.59</v>
      </c>
      <c r="F121" s="49" t="n">
        <v>6.68</v>
      </c>
      <c r="G121" s="49" t="n">
        <v>9.390000000000001</v>
      </c>
      <c r="H121" s="49" t="n">
        <v>11.1</v>
      </c>
      <c r="I121" s="45">
        <f>(F121-E121)/E121</f>
        <v/>
      </c>
      <c r="J121" s="45">
        <f>(G121-F121)/F121</f>
        <v/>
      </c>
      <c r="K121" s="45">
        <f>(H121-G121)/G121</f>
        <v/>
      </c>
    </row>
    <row r="122">
      <c r="D122" s="7" t="inlineStr">
        <is>
          <t>WM</t>
        </is>
      </c>
      <c r="E122" s="49" t="n">
        <v>4.45</v>
      </c>
      <c r="F122" s="49" t="n">
        <v>3.99</v>
      </c>
      <c r="G122" s="49" t="n">
        <v>4.62</v>
      </c>
      <c r="H122" s="49" t="n">
        <v>5.02</v>
      </c>
      <c r="I122" s="45">
        <f>(F122-E122)/E122</f>
        <v/>
      </c>
      <c r="J122" s="45">
        <f>(G122-F122)/F122</f>
        <v/>
      </c>
      <c r="K122" s="45">
        <f>(H122-G122)/G122</f>
        <v/>
      </c>
    </row>
    <row r="123">
      <c r="D123" s="7" t="inlineStr">
        <is>
          <t>NSC</t>
        </is>
      </c>
      <c r="E123" s="49" t="n">
        <v>9.51</v>
      </c>
      <c r="F123" s="49" t="n">
        <v>10.6</v>
      </c>
      <c r="G123" s="49" t="n">
        <v>11.9</v>
      </c>
      <c r="H123" s="49" t="n">
        <v>13.5</v>
      </c>
      <c r="I123" s="45">
        <f>(F123-E123)/E123</f>
        <v/>
      </c>
      <c r="J123" s="45">
        <f>(G123-F123)/F123</f>
        <v/>
      </c>
      <c r="K123" s="45">
        <f>(H123-G123)/G123</f>
        <v/>
      </c>
    </row>
    <row r="124">
      <c r="D124" s="7" t="inlineStr">
        <is>
          <t>SPG</t>
        </is>
      </c>
      <c r="E124" s="49" t="n">
        <v>7.87</v>
      </c>
      <c r="F124" s="49" t="n">
        <v>6.64</v>
      </c>
      <c r="G124" s="49" t="n">
        <v>6.96</v>
      </c>
      <c r="H124" s="49" t="n">
        <v>6.81</v>
      </c>
      <c r="I124" s="45">
        <f>(F124-E124)/E124</f>
        <v/>
      </c>
      <c r="J124" s="45">
        <f>(G124-F124)/F124</f>
        <v/>
      </c>
      <c r="K124" s="45">
        <f>(H124-G124)/G124</f>
        <v/>
      </c>
    </row>
    <row r="125">
      <c r="D125" s="7" t="inlineStr">
        <is>
          <t>EW</t>
        </is>
      </c>
      <c r="E125" s="49" t="n">
        <v>3.38</v>
      </c>
      <c r="F125" s="49" t="n">
        <v>4.95</v>
      </c>
      <c r="G125" s="49" t="n">
        <v>5.78</v>
      </c>
      <c r="H125" s="49" t="n">
        <v>6.74</v>
      </c>
      <c r="I125" s="45">
        <f>(F125-E125)/E125</f>
        <v/>
      </c>
      <c r="J125" s="45">
        <f>(G125-F125)/F125</f>
        <v/>
      </c>
      <c r="K125" s="45">
        <f>(H125-G125)/G125</f>
        <v/>
      </c>
    </row>
    <row r="126">
      <c r="D126" s="7" t="inlineStr">
        <is>
          <t>SLB</t>
        </is>
      </c>
      <c r="E126" s="49" t="n">
        <v>1.53</v>
      </c>
      <c r="F126" s="49" t="n">
        <v>1.48</v>
      </c>
      <c r="G126" s="49" t="n">
        <v>2.03</v>
      </c>
      <c r="H126" s="49" t="n">
        <v>2.29</v>
      </c>
      <c r="I126" s="45">
        <f>(F126-E126)/E126</f>
        <v/>
      </c>
      <c r="J126" s="45">
        <f>(G126-F126)/F126</f>
        <v/>
      </c>
      <c r="K126" s="45">
        <f>(H126-G126)/G126</f>
        <v/>
      </c>
    </row>
    <row r="127">
      <c r="D127" s="7" t="inlineStr">
        <is>
          <t>AEP</t>
        </is>
      </c>
      <c r="E127" s="49" t="n">
        <v>3.9</v>
      </c>
      <c r="F127" s="49" t="n">
        <v>4.01</v>
      </c>
      <c r="G127" s="49" t="n">
        <v>4.38</v>
      </c>
      <c r="H127" s="49" t="n">
        <v>4.67</v>
      </c>
      <c r="I127" s="45">
        <f>(F127-E127)/E127</f>
        <v/>
      </c>
      <c r="J127" s="45">
        <f>(G127-F127)/F127</f>
        <v/>
      </c>
      <c r="K127" s="45">
        <f>(H127-G127)/G127</f>
        <v/>
      </c>
    </row>
    <row r="128">
      <c r="D128" s="7" t="inlineStr">
        <is>
          <t>BIIB</t>
        </is>
      </c>
      <c r="E128" s="49" t="n">
        <v>21.6</v>
      </c>
      <c r="F128" s="49" t="n">
        <v>30.3</v>
      </c>
      <c r="G128" s="49" t="n">
        <v>30.2</v>
      </c>
      <c r="H128" s="49" t="n">
        <v>30.1</v>
      </c>
      <c r="I128" s="45">
        <f>(F128-E128)/E128</f>
        <v/>
      </c>
      <c r="J128" s="45">
        <f>(G128-F128)/F128</f>
        <v/>
      </c>
      <c r="K128" s="45">
        <f>(H128-G128)/G128</f>
        <v/>
      </c>
    </row>
    <row r="129">
      <c r="D129" s="7" t="inlineStr">
        <is>
          <t>ITW</t>
        </is>
      </c>
      <c r="E129" s="49" t="n">
        <v>7.6</v>
      </c>
      <c r="F129" s="49" t="n">
        <v>7.65</v>
      </c>
      <c r="G129" s="49" t="n">
        <v>8.15</v>
      </c>
      <c r="H129" s="49" t="n">
        <v>8.619999999999999</v>
      </c>
      <c r="I129" s="45">
        <f>(F129-E129)/E129</f>
        <v/>
      </c>
      <c r="J129" s="45">
        <f>(G129-F129)/F129</f>
        <v/>
      </c>
      <c r="K129" s="45">
        <f>(H129-G129)/G129</f>
        <v/>
      </c>
    </row>
    <row r="130">
      <c r="D130" s="7" t="inlineStr">
        <is>
          <t>PGR</t>
        </is>
      </c>
      <c r="E130" s="49" t="n">
        <v>4.42</v>
      </c>
      <c r="F130" s="49" t="n">
        <v>6.07</v>
      </c>
      <c r="G130" s="49" t="n">
        <v>5.53</v>
      </c>
      <c r="H130" s="49" t="n">
        <v>5.92</v>
      </c>
      <c r="I130" s="45">
        <f>(F130-E130)/E130</f>
        <v/>
      </c>
      <c r="J130" s="45">
        <f>(G130-F130)/F130</f>
        <v/>
      </c>
      <c r="K130" s="45">
        <f>(H130-G130)/G130</f>
        <v/>
      </c>
    </row>
    <row r="131">
      <c r="D131" s="7" t="inlineStr">
        <is>
          <t>EXC</t>
        </is>
      </c>
      <c r="E131" s="49" t="n">
        <v>2.07</v>
      </c>
      <c r="F131" s="49" t="n">
        <v>3.15</v>
      </c>
      <c r="G131" s="49" t="n">
        <v>2.99</v>
      </c>
      <c r="H131" s="49" t="n">
        <v>3</v>
      </c>
      <c r="I131" s="45">
        <f>(F131-E131)/E131</f>
        <v/>
      </c>
      <c r="J131" s="45">
        <f>(G131-F131)/F131</f>
        <v/>
      </c>
      <c r="K131" s="45">
        <f>(H131-G131)/G131</f>
        <v/>
      </c>
    </row>
    <row r="132">
      <c r="D132" s="7" t="inlineStr">
        <is>
          <t>SCHW</t>
        </is>
      </c>
      <c r="E132" s="49" t="n">
        <v>2.45</v>
      </c>
      <c r="F132" s="49" t="n">
        <v>2.66</v>
      </c>
      <c r="G132" s="49" t="n">
        <v>2.66</v>
      </c>
      <c r="H132" s="49" t="n">
        <v>2.95</v>
      </c>
      <c r="I132" s="45">
        <f>(F132-E132)/E132</f>
        <v/>
      </c>
      <c r="J132" s="45">
        <f>(G132-F132)/F132</f>
        <v/>
      </c>
      <c r="K132" s="45">
        <f>(H132-G132)/G132</f>
        <v/>
      </c>
    </row>
    <row r="133">
      <c r="D133" s="7" t="inlineStr">
        <is>
          <t>EL</t>
        </is>
      </c>
      <c r="E133" s="49" t="n">
        <v>4.82</v>
      </c>
      <c r="F133" s="49" t="n">
        <v>5.88</v>
      </c>
      <c r="G133" s="49" t="n">
        <v>6.67</v>
      </c>
      <c r="H133" s="49" t="n">
        <v>7.37</v>
      </c>
      <c r="I133" s="45">
        <f>(F133-E133)/E133</f>
        <v/>
      </c>
      <c r="J133" s="45">
        <f>(G133-F133)/F133</f>
        <v/>
      </c>
      <c r="K133" s="45">
        <f>(H133-G133)/G133</f>
        <v/>
      </c>
    </row>
    <row r="134">
      <c r="D134" s="7" t="inlineStr">
        <is>
          <t>MET</t>
        </is>
      </c>
      <c r="E134" s="49" t="n">
        <v>4.91</v>
      </c>
      <c r="F134" s="49" t="n">
        <v>5.7</v>
      </c>
      <c r="G134" s="49" t="n">
        <v>5.6</v>
      </c>
      <c r="H134" s="49" t="n">
        <v>5.94</v>
      </c>
      <c r="I134" s="45">
        <f>(F134-E134)/E134</f>
        <v/>
      </c>
      <c r="J134" s="45">
        <f>(G134-F134)/F134</f>
        <v/>
      </c>
      <c r="K134" s="45">
        <f>(H134-G134)/G134</f>
        <v/>
      </c>
    </row>
    <row r="135">
      <c r="D135" s="7" t="inlineStr">
        <is>
          <t>AMAT</t>
        </is>
      </c>
      <c r="E135" s="49" t="n">
        <v>3.23</v>
      </c>
      <c r="F135" s="49" t="n">
        <v>2.86</v>
      </c>
      <c r="G135" s="49" t="n">
        <v>3.35</v>
      </c>
      <c r="H135" s="49" t="n">
        <v>4.17</v>
      </c>
      <c r="I135" s="45">
        <f>(F135-E135)/E135</f>
        <v/>
      </c>
      <c r="J135" s="45">
        <f>(G135-F135)/F135</f>
        <v/>
      </c>
      <c r="K135" s="45">
        <f>(H135-G135)/G135</f>
        <v/>
      </c>
    </row>
    <row r="136">
      <c r="D136" s="7" t="inlineStr">
        <is>
          <t>SHW</t>
        </is>
      </c>
      <c r="E136" s="49" t="n">
        <v>11.7</v>
      </c>
      <c r="F136" s="49" t="n">
        <v>17.4</v>
      </c>
      <c r="G136" s="49" t="n">
        <v>21.9</v>
      </c>
      <c r="H136" s="49" t="n">
        <v>24.6</v>
      </c>
      <c r="I136" s="45">
        <f>(F136-E136)/E136</f>
        <v/>
      </c>
      <c r="J136" s="45">
        <f>(G136-F136)/F136</f>
        <v/>
      </c>
      <c r="K136" s="45">
        <f>(H136-G136)/G136</f>
        <v/>
      </c>
    </row>
    <row r="137">
      <c r="D137" s="7" t="inlineStr">
        <is>
          <t>EOG</t>
        </is>
      </c>
      <c r="E137" s="49" t="n">
        <v>5.89</v>
      </c>
      <c r="F137" s="49" t="n">
        <v>5.1</v>
      </c>
      <c r="G137" s="49" t="n">
        <v>5.61</v>
      </c>
      <c r="H137" s="49" t="n">
        <v>6.68</v>
      </c>
      <c r="I137" s="45">
        <f>(F137-E137)/E137</f>
        <v/>
      </c>
      <c r="J137" s="45">
        <f>(G137-F137)/F137</f>
        <v/>
      </c>
      <c r="K137" s="45">
        <f>(H137-G137)/G137</f>
        <v/>
      </c>
    </row>
    <row r="138">
      <c r="D138" s="7" t="inlineStr">
        <is>
          <t>ILMN</t>
        </is>
      </c>
      <c r="E138" s="49" t="n">
        <v>5.56</v>
      </c>
      <c r="F138" s="49" t="n">
        <v>6.41</v>
      </c>
      <c r="G138" s="49" t="n">
        <v>6.6</v>
      </c>
      <c r="H138" s="49" t="n">
        <v>8.17</v>
      </c>
      <c r="I138" s="45">
        <f>(F138-E138)/E138</f>
        <v/>
      </c>
      <c r="J138" s="45">
        <f>(G138-F138)/F138</f>
        <v/>
      </c>
      <c r="K138" s="45">
        <f>(H138-G138)/G138</f>
        <v/>
      </c>
    </row>
    <row r="139">
      <c r="D139" s="7" t="inlineStr">
        <is>
          <t>BAX</t>
        </is>
      </c>
      <c r="E139" s="49" t="n">
        <v>2.97</v>
      </c>
      <c r="F139" s="49" t="n">
        <v>2.99</v>
      </c>
      <c r="G139" s="49" t="n">
        <v>3.57</v>
      </c>
      <c r="H139" s="49" t="n">
        <v>3.94</v>
      </c>
      <c r="I139" s="45">
        <f>(F139-E139)/E139</f>
        <v/>
      </c>
      <c r="J139" s="45">
        <f>(G139-F139)/F139</f>
        <v/>
      </c>
      <c r="K139" s="45">
        <f>(H139-G139)/G139</f>
        <v/>
      </c>
    </row>
    <row r="140">
      <c r="D140" s="7" t="inlineStr">
        <is>
          <t>PSX</t>
        </is>
      </c>
      <c r="E140" s="49" t="n">
        <v>11.8</v>
      </c>
      <c r="F140" s="49" t="n">
        <v>8.19</v>
      </c>
      <c r="G140" s="49" t="n">
        <v>10.6</v>
      </c>
      <c r="H140" s="49" t="n">
        <v>8.85</v>
      </c>
      <c r="I140" s="45">
        <f>(F140-E140)/E140</f>
        <v/>
      </c>
      <c r="J140" s="45">
        <f>(G140-F140)/F140</f>
        <v/>
      </c>
      <c r="K140" s="45">
        <f>(H140-G140)/G140</f>
        <v/>
      </c>
    </row>
    <row r="141">
      <c r="D141" s="7" t="inlineStr">
        <is>
          <t>COF</t>
        </is>
      </c>
      <c r="E141" s="49" t="n">
        <v>11.8</v>
      </c>
      <c r="F141" s="49" t="n">
        <v>11.2</v>
      </c>
      <c r="G141" s="49" t="n">
        <v>11.9</v>
      </c>
      <c r="H141" s="49" t="n">
        <v>12.9</v>
      </c>
      <c r="I141" s="45">
        <f>(F141-E141)/E141</f>
        <v/>
      </c>
      <c r="J141" s="45">
        <f>(G141-F141)/F141</f>
        <v/>
      </c>
      <c r="K141" s="45">
        <f>(H141-G141)/G141</f>
        <v/>
      </c>
    </row>
    <row r="142">
      <c r="D142" s="7" t="inlineStr">
        <is>
          <t>PSA</t>
        </is>
      </c>
      <c r="E142" s="49" t="n">
        <v>8.539999999999999</v>
      </c>
      <c r="F142" s="49" t="n">
        <v>7.53</v>
      </c>
      <c r="G142" s="49" t="n">
        <v>7.8</v>
      </c>
      <c r="H142" s="49" t="n">
        <v>8</v>
      </c>
      <c r="I142" s="45">
        <f>(F142-E142)/E142</f>
        <v/>
      </c>
      <c r="J142" s="45">
        <f>(G142-F142)/F142</f>
        <v/>
      </c>
      <c r="K142" s="45">
        <f>(H142-G142)/G142</f>
        <v/>
      </c>
    </row>
    <row r="143">
      <c r="D143" s="7" t="inlineStr">
        <is>
          <t>HUM</t>
        </is>
      </c>
      <c r="E143" s="49" t="n">
        <v>12.2</v>
      </c>
      <c r="F143" s="49" t="n">
        <v>18</v>
      </c>
      <c r="G143" s="49" t="n">
        <v>18.4</v>
      </c>
      <c r="H143" s="49" t="n">
        <v>21.3</v>
      </c>
      <c r="I143" s="45">
        <f>(F143-E143)/E143</f>
        <v/>
      </c>
      <c r="J143" s="45">
        <f>(G143-F143)/F143</f>
        <v/>
      </c>
      <c r="K143" s="45">
        <f>(H143-G143)/G143</f>
        <v/>
      </c>
    </row>
    <row r="144">
      <c r="D144" s="7" t="inlineStr">
        <is>
          <t>ADI</t>
        </is>
      </c>
      <c r="E144" s="49" t="n">
        <v>3.97</v>
      </c>
      <c r="F144" s="49" t="n">
        <v>3.75</v>
      </c>
      <c r="G144" s="49" t="n">
        <v>3.97</v>
      </c>
      <c r="H144" s="49" t="n">
        <v>4.66</v>
      </c>
      <c r="I144" s="45">
        <f>(F144-E144)/E144</f>
        <v/>
      </c>
      <c r="J144" s="45">
        <f>(G144-F144)/F144</f>
        <v/>
      </c>
      <c r="K144" s="45">
        <f>(H144-G144)/G144</f>
        <v/>
      </c>
    </row>
    <row r="145">
      <c r="D145" s="7" t="inlineStr">
        <is>
          <t>WBA</t>
        </is>
      </c>
      <c r="E145" s="49" t="n">
        <v>5.05</v>
      </c>
      <c r="F145" s="49" t="n">
        <v>4.92</v>
      </c>
      <c r="G145" s="49" t="n">
        <v>5.37</v>
      </c>
      <c r="H145" s="49" t="n">
        <v>5.69</v>
      </c>
      <c r="I145" s="45">
        <f>(F145-E145)/E145</f>
        <v/>
      </c>
      <c r="J145" s="45">
        <f>(G145-F145)/F145</f>
        <v/>
      </c>
      <c r="K145" s="45">
        <f>(H145-G145)/G145</f>
        <v/>
      </c>
    </row>
    <row r="146">
      <c r="D146" s="7" t="inlineStr">
        <is>
          <t>KMI</t>
        </is>
      </c>
      <c r="E146" s="49" t="n">
        <v>0.66</v>
      </c>
      <c r="F146" s="49" t="n">
        <v>1.02</v>
      </c>
      <c r="G146" s="49" t="n">
        <v>1.07</v>
      </c>
      <c r="H146" s="49" t="n">
        <v>1.08</v>
      </c>
      <c r="I146" s="45">
        <f>(F146-E146)/E146</f>
        <v/>
      </c>
      <c r="J146" s="45">
        <f>(G146-F146)/F146</f>
        <v/>
      </c>
      <c r="K146" s="45">
        <f>(H146-G146)/G146</f>
        <v/>
      </c>
    </row>
    <row r="147">
      <c r="D147" s="7" t="inlineStr">
        <is>
          <t>SRE</t>
        </is>
      </c>
      <c r="E147" s="49" t="n">
        <v>3.42</v>
      </c>
      <c r="F147" s="49" t="n">
        <v>6.01</v>
      </c>
      <c r="G147" s="49" t="n">
        <v>7.01</v>
      </c>
      <c r="H147" s="49" t="n">
        <v>7.66</v>
      </c>
      <c r="I147" s="45">
        <f>(F147-E147)/E147</f>
        <v/>
      </c>
      <c r="J147" s="45">
        <f>(G147-F147)/F147</f>
        <v/>
      </c>
      <c r="K147" s="45">
        <f>(H147-G147)/G147</f>
        <v/>
      </c>
    </row>
    <row r="148">
      <c r="D148" s="7" t="inlineStr">
        <is>
          <t>ROST</t>
        </is>
      </c>
      <c r="E148" s="49" t="inlineStr">
        <is>
          <t xml:space="preserve">
                                        </t>
        </is>
      </c>
      <c r="F148" s="49" t="inlineStr">
        <is>
          <t xml:space="preserve">
                                        </t>
        </is>
      </c>
      <c r="G148" s="49" t="inlineStr">
        <is>
          <t xml:space="preserve">
                                        </t>
        </is>
      </c>
      <c r="H148" s="49" t="inlineStr">
        <is>
          <t xml:space="preserve">
                                    </t>
        </is>
      </c>
      <c r="I148" s="45" t="n"/>
      <c r="J148" s="45" t="n"/>
      <c r="K148" s="45" t="n"/>
    </row>
    <row r="149">
      <c r="D149" s="7" t="inlineStr">
        <is>
          <t>TRV</t>
        </is>
      </c>
      <c r="E149" s="49" t="n">
        <v>9.279999999999999</v>
      </c>
      <c r="F149" s="49" t="n">
        <v>11</v>
      </c>
      <c r="G149" s="49" t="n">
        <v>11.6</v>
      </c>
      <c r="H149" s="49" t="n">
        <v>12.5</v>
      </c>
      <c r="I149" s="45">
        <f>(F149-E149)/E149</f>
        <v/>
      </c>
      <c r="J149" s="45">
        <f>(G149-F149)/F149</f>
        <v/>
      </c>
      <c r="K149" s="45">
        <f>(H149-G149)/G149</f>
        <v/>
      </c>
    </row>
    <row r="150">
      <c r="D150" s="7" t="inlineStr">
        <is>
          <t>OXY</t>
        </is>
      </c>
      <c r="E150" s="49" t="n">
        <v>5.39</v>
      </c>
      <c r="F150" s="49" t="n">
        <v>2.91</v>
      </c>
      <c r="G150" s="49" t="n">
        <v>2.65</v>
      </c>
      <c r="H150" s="49" t="n">
        <v>3.04</v>
      </c>
      <c r="I150" s="45">
        <f>(F150-E150)/E150</f>
        <v/>
      </c>
      <c r="J150" s="45">
        <f>(G150-F150)/F150</f>
        <v/>
      </c>
      <c r="K150" s="45">
        <f>(H150-G150)/G150</f>
        <v/>
      </c>
    </row>
    <row r="151">
      <c r="D151" s="7" t="inlineStr">
        <is>
          <t>FDX</t>
        </is>
      </c>
      <c r="E151" s="49" t="n">
        <v>2.03</v>
      </c>
      <c r="F151" s="49" t="n">
        <v>11.8</v>
      </c>
      <c r="G151" s="49" t="n">
        <v>14.1</v>
      </c>
      <c r="H151" s="49" t="n">
        <v>16.2</v>
      </c>
      <c r="I151" s="45">
        <f>(F151-E151)/E151</f>
        <v/>
      </c>
      <c r="J151" s="45">
        <f>(G151-F151)/F151</f>
        <v/>
      </c>
      <c r="K151" s="45">
        <f>(H151-G151)/G151</f>
        <v/>
      </c>
    </row>
    <row r="152">
      <c r="D152" s="7" t="inlineStr">
        <is>
          <t>ATVI</t>
        </is>
      </c>
      <c r="E152" s="49" t="n">
        <v>2.35</v>
      </c>
      <c r="F152" s="49" t="n">
        <v>1.54</v>
      </c>
      <c r="G152" s="49" t="n">
        <v>1.76</v>
      </c>
      <c r="H152" s="49" t="n">
        <v>1.88</v>
      </c>
      <c r="I152" s="45">
        <f>(F152-E152)/E152</f>
        <v/>
      </c>
      <c r="J152" s="45">
        <f>(G152-F152)/F152</f>
        <v/>
      </c>
      <c r="K152" s="45">
        <f>(H152-G152)/G152</f>
        <v/>
      </c>
    </row>
    <row r="153">
      <c r="D153" s="7" t="inlineStr">
        <is>
          <t>ROP</t>
        </is>
      </c>
      <c r="E153" s="49" t="n">
        <v>9.050000000000001</v>
      </c>
      <c r="F153" s="49" t="n">
        <v>10.7</v>
      </c>
      <c r="G153" s="49" t="n">
        <v>10.7</v>
      </c>
      <c r="H153" s="49" t="n">
        <v>12.1</v>
      </c>
      <c r="I153" s="45">
        <f>(F153-E153)/E153</f>
        <v/>
      </c>
      <c r="J153" s="45">
        <f>(G153-F153)/F153</f>
        <v/>
      </c>
      <c r="K153" s="45">
        <f>(H153-G153)/G153</f>
        <v/>
      </c>
    </row>
    <row r="154">
      <c r="D154" s="7" t="inlineStr">
        <is>
          <t>BK</t>
        </is>
      </c>
      <c r="E154" s="49" t="n">
        <v>4.04</v>
      </c>
      <c r="F154" s="49" t="n">
        <v>3.93</v>
      </c>
      <c r="G154" s="49" t="n">
        <v>4.14</v>
      </c>
      <c r="H154" s="49" t="n">
        <v>4.19</v>
      </c>
      <c r="I154" s="45">
        <f>(F154-E154)/E154</f>
        <v/>
      </c>
      <c r="J154" s="45">
        <f>(G154-F154)/F154</f>
        <v/>
      </c>
      <c r="K154" s="45">
        <f>(H154-G154)/G154</f>
        <v/>
      </c>
    </row>
    <row r="155">
      <c r="D155" s="7" t="inlineStr">
        <is>
          <t>AFL</t>
        </is>
      </c>
      <c r="E155" s="49" t="n">
        <v>3.77</v>
      </c>
      <c r="F155" s="49" t="n">
        <v>4.37</v>
      </c>
      <c r="G155" s="49" t="n">
        <v>4.38</v>
      </c>
      <c r="H155" s="49" t="n">
        <v>4.47</v>
      </c>
      <c r="I155" s="45">
        <f>(F155-E155)/E155</f>
        <v/>
      </c>
      <c r="J155" s="45">
        <f>(G155-F155)/F155</f>
        <v/>
      </c>
      <c r="K155" s="45">
        <f>(H155-G155)/G155</f>
        <v/>
      </c>
    </row>
    <row r="156">
      <c r="D156" s="7" t="inlineStr">
        <is>
          <t>WELL</t>
        </is>
      </c>
      <c r="E156" s="49" t="n">
        <v>2.02</v>
      </c>
      <c r="F156" s="49" t="n">
        <v>2.31</v>
      </c>
      <c r="G156" s="49" t="n">
        <v>1.99</v>
      </c>
      <c r="H156" s="49" t="n">
        <v>2.11</v>
      </c>
      <c r="I156" s="45">
        <f>(F156-E156)/E156</f>
        <v/>
      </c>
      <c r="J156" s="45">
        <f>(G156-F156)/F156</f>
        <v/>
      </c>
      <c r="K156" s="45">
        <f>(H156-G156)/G156</f>
        <v/>
      </c>
    </row>
    <row r="157">
      <c r="D157" s="7" t="inlineStr">
        <is>
          <t>DG</t>
        </is>
      </c>
      <c r="E157" s="49" t="inlineStr">
        <is>
          <t xml:space="preserve">
                                        </t>
        </is>
      </c>
      <c r="F157" s="49" t="inlineStr">
        <is>
          <t xml:space="preserve">
                                        </t>
        </is>
      </c>
      <c r="G157" s="49" t="inlineStr">
        <is>
          <t xml:space="preserve">
                                        </t>
        </is>
      </c>
      <c r="H157" s="49" t="inlineStr">
        <is>
          <t xml:space="preserve">
                                    </t>
        </is>
      </c>
      <c r="I157" s="45" t="n"/>
      <c r="J157" s="45" t="n"/>
      <c r="K157" s="45" t="n"/>
    </row>
    <row r="158">
      <c r="D158" s="7" t="inlineStr">
        <is>
          <t>EMR</t>
        </is>
      </c>
      <c r="E158" s="49" t="n">
        <v>3.46</v>
      </c>
      <c r="F158" s="49" t="n">
        <v>3.64</v>
      </c>
      <c r="G158" s="49" t="n">
        <v>3.83</v>
      </c>
      <c r="H158" s="49" t="n">
        <v>4.19</v>
      </c>
      <c r="I158" s="45">
        <f>(F158-E158)/E158</f>
        <v/>
      </c>
      <c r="J158" s="45">
        <f>(G158-F158)/F158</f>
        <v/>
      </c>
      <c r="K158" s="45">
        <f>(H158-G158)/G158</f>
        <v/>
      </c>
    </row>
    <row r="159">
      <c r="D159" s="7" t="inlineStr">
        <is>
          <t>BBT</t>
        </is>
      </c>
      <c r="E159" s="49" t="n">
        <v>3.91</v>
      </c>
      <c r="F159" s="49" t="n">
        <v>3.97</v>
      </c>
      <c r="G159" s="49" t="n">
        <v>4.05</v>
      </c>
      <c r="H159" s="49" t="n">
        <v>4.91</v>
      </c>
      <c r="I159" s="45">
        <f>(F159-E159)/E159</f>
        <v/>
      </c>
      <c r="J159" s="45">
        <f>(G159-F159)/F159</f>
        <v/>
      </c>
      <c r="K159" s="45">
        <f>(H159-G159)/G159</f>
        <v/>
      </c>
    </row>
    <row r="160">
      <c r="D160" s="7" t="inlineStr">
        <is>
          <t>MCO</t>
        </is>
      </c>
      <c r="E160" s="49" t="n">
        <v>6.74</v>
      </c>
      <c r="F160" s="49" t="n">
        <v>7.25</v>
      </c>
      <c r="G160" s="49" t="n">
        <v>8.43</v>
      </c>
      <c r="H160" s="49" t="n">
        <v>9.51</v>
      </c>
      <c r="I160" s="45">
        <f>(F160-E160)/E160</f>
        <v/>
      </c>
      <c r="J160" s="45">
        <f>(G160-F160)/F160</f>
        <v/>
      </c>
      <c r="K160" s="45">
        <f>(H160-G160)/G160</f>
        <v/>
      </c>
    </row>
    <row r="161">
      <c r="D161" s="7" t="inlineStr">
        <is>
          <t>MAR</t>
        </is>
      </c>
      <c r="E161" s="49" t="n">
        <v>5.38</v>
      </c>
      <c r="F161" s="49" t="n">
        <v>5.02</v>
      </c>
      <c r="G161" s="49" t="n">
        <v>6.65</v>
      </c>
      <c r="H161" s="49" t="n">
        <v>7.37</v>
      </c>
      <c r="I161" s="45">
        <f>(F161-E161)/E161</f>
        <v/>
      </c>
      <c r="J161" s="45">
        <f>(G161-F161)/F161</f>
        <v/>
      </c>
      <c r="K161" s="45">
        <f>(H161-G161)/G161</f>
        <v/>
      </c>
    </row>
    <row r="162">
      <c r="D162" s="7" t="inlineStr">
        <is>
          <t>F</t>
        </is>
      </c>
      <c r="E162" s="49" t="n">
        <v>0.92</v>
      </c>
      <c r="F162" s="49" t="n">
        <v>0.85</v>
      </c>
      <c r="G162" s="49" t="n">
        <v>1.26</v>
      </c>
      <c r="H162" s="49" t="n">
        <v>1.52</v>
      </c>
      <c r="I162" s="45">
        <f>(F162-E162)/E162</f>
        <v/>
      </c>
      <c r="J162" s="45">
        <f>(G162-F162)/F162</f>
        <v/>
      </c>
      <c r="K162" s="45">
        <f>(H162-G162)/G162</f>
        <v/>
      </c>
    </row>
    <row r="163">
      <c r="D163" s="7" t="inlineStr">
        <is>
          <t>SYY</t>
        </is>
      </c>
      <c r="E163" s="49" t="n">
        <v>3.2</v>
      </c>
      <c r="F163" s="49" t="n">
        <v>3.75</v>
      </c>
      <c r="G163" s="49" t="n">
        <v>4.15</v>
      </c>
      <c r="H163" s="49" t="n">
        <v>4.38</v>
      </c>
      <c r="I163" s="45">
        <f>(F163-E163)/E163</f>
        <v/>
      </c>
      <c r="J163" s="45">
        <f>(G163-F163)/F163</f>
        <v/>
      </c>
      <c r="K163" s="45">
        <f>(H163-G163)/G163</f>
        <v/>
      </c>
    </row>
    <row r="164">
      <c r="D164" s="7" t="inlineStr">
        <is>
          <t>CTSH</t>
        </is>
      </c>
      <c r="E164" s="49" t="n">
        <v>3.6</v>
      </c>
      <c r="F164" s="49" t="n">
        <v>3.75</v>
      </c>
      <c r="G164" s="49" t="n">
        <v>4.27</v>
      </c>
      <c r="H164" s="49" t="n">
        <v>4.76</v>
      </c>
      <c r="I164" s="45">
        <f>(F164-E164)/E164</f>
        <v/>
      </c>
      <c r="J164" s="45">
        <f>(G164-F164)/F164</f>
        <v/>
      </c>
      <c r="K164" s="45">
        <f>(H164-G164)/G164</f>
        <v/>
      </c>
    </row>
    <row r="165">
      <c r="D165" s="7" t="inlineStr">
        <is>
          <t>ALL</t>
        </is>
      </c>
      <c r="E165" s="49" t="n">
        <v>5.96</v>
      </c>
      <c r="F165" s="49" t="n">
        <v>11</v>
      </c>
      <c r="G165" s="49" t="n">
        <v>10</v>
      </c>
      <c r="H165" s="49" t="n">
        <v>11</v>
      </c>
      <c r="I165" s="45">
        <f>(F165-E165)/E165</f>
        <v/>
      </c>
      <c r="J165" s="45">
        <f>(G165-F165)/F165</f>
        <v/>
      </c>
      <c r="K165" s="45">
        <f>(H165-G165)/G165</f>
        <v/>
      </c>
    </row>
    <row r="166">
      <c r="D166" s="7" t="inlineStr">
        <is>
          <t>DAL</t>
        </is>
      </c>
      <c r="E166" s="49" t="n">
        <v>5.67</v>
      </c>
      <c r="F166" s="49" t="n">
        <v>7.08</v>
      </c>
      <c r="G166" s="49" t="n">
        <v>7.39</v>
      </c>
      <c r="H166" s="49" t="n">
        <v>7.88</v>
      </c>
      <c r="I166" s="45">
        <f>(F166-E166)/E166</f>
        <v/>
      </c>
      <c r="J166" s="45">
        <f>(G166-F166)/F166</f>
        <v/>
      </c>
      <c r="K166" s="45">
        <f>(H166-G166)/G166</f>
        <v/>
      </c>
    </row>
    <row r="167">
      <c r="D167" s="7" t="inlineStr">
        <is>
          <t>STZ</t>
        </is>
      </c>
      <c r="E167" s="49" t="n">
        <v>17.6</v>
      </c>
      <c r="F167" s="49" t="n">
        <v>4.92</v>
      </c>
      <c r="G167" s="49" t="n">
        <v>9.34</v>
      </c>
      <c r="H167" s="49" t="n">
        <v>10.8</v>
      </c>
      <c r="I167" s="45">
        <f>(F167-E167)/E167</f>
        <v/>
      </c>
      <c r="J167" s="45">
        <f>(G167-F167)/F167</f>
        <v/>
      </c>
      <c r="K167" s="45">
        <f>(H167-G167)/G167</f>
        <v/>
      </c>
    </row>
    <row r="168">
      <c r="D168" s="7" t="inlineStr">
        <is>
          <t>JCI</t>
        </is>
      </c>
      <c r="E168" s="49" t="n">
        <v>2.32</v>
      </c>
      <c r="F168" s="49" t="n">
        <v>4.75</v>
      </c>
      <c r="G168" s="49" t="n">
        <v>2.46</v>
      </c>
      <c r="H168" s="49" t="n">
        <v>2.99</v>
      </c>
      <c r="I168" s="45">
        <f>(F168-E168)/E168</f>
        <v/>
      </c>
      <c r="J168" s="45">
        <f>(G168-F168)/F168</f>
        <v/>
      </c>
      <c r="K168" s="45">
        <f>(H168-G168)/G168</f>
        <v/>
      </c>
    </row>
    <row r="169">
      <c r="D169" s="7" t="inlineStr">
        <is>
          <t>ETN</t>
        </is>
      </c>
      <c r="E169" s="49" t="n">
        <v>4.91</v>
      </c>
      <c r="F169" s="49" t="n">
        <v>5.78</v>
      </c>
      <c r="G169" s="49" t="n">
        <v>6.25</v>
      </c>
      <c r="H169" s="49" t="n">
        <v>6.73</v>
      </c>
      <c r="I169" s="45">
        <f>(F169-E169)/E169</f>
        <v/>
      </c>
      <c r="J169" s="45">
        <f>(G169-F169)/F169</f>
        <v/>
      </c>
      <c r="K169" s="45">
        <f>(H169-G169)/G169</f>
        <v/>
      </c>
    </row>
    <row r="170">
      <c r="D170" s="7" t="inlineStr">
        <is>
          <t>XEL</t>
        </is>
      </c>
      <c r="E170" s="49" t="n">
        <v>2.47</v>
      </c>
      <c r="F170" s="49" t="n">
        <v>2.62</v>
      </c>
      <c r="G170" s="49" t="n">
        <v>2.79</v>
      </c>
      <c r="H170" s="49" t="n">
        <v>2.95</v>
      </c>
      <c r="I170" s="45">
        <f>(F170-E170)/E170</f>
        <v/>
      </c>
      <c r="J170" s="45">
        <f>(G170-F170)/F170</f>
        <v/>
      </c>
      <c r="K170" s="45">
        <f>(H170-G170)/G170</f>
        <v/>
      </c>
    </row>
    <row r="171">
      <c r="D171" s="7" t="inlineStr">
        <is>
          <t>PRU</t>
        </is>
      </c>
      <c r="E171" s="49" t="n">
        <v>9.5</v>
      </c>
      <c r="F171" s="49" t="n">
        <v>10.2</v>
      </c>
      <c r="G171" s="49" t="n">
        <v>12.5</v>
      </c>
      <c r="H171" s="49" t="n">
        <v>13.4</v>
      </c>
      <c r="I171" s="45">
        <f>(F171-E171)/E171</f>
        <v/>
      </c>
      <c r="J171" s="45">
        <f>(G171-F171)/F171</f>
        <v/>
      </c>
      <c r="K171" s="45">
        <f>(H171-G171)/G171</f>
        <v/>
      </c>
    </row>
    <row r="172">
      <c r="D172" s="7" t="inlineStr">
        <is>
          <t>GIS</t>
        </is>
      </c>
      <c r="E172" s="49" t="n">
        <v>2.9</v>
      </c>
      <c r="F172" s="49" t="n">
        <v>3.35</v>
      </c>
      <c r="G172" s="49" t="n">
        <v>3.45</v>
      </c>
      <c r="H172" s="49" t="n">
        <v>3.36</v>
      </c>
      <c r="I172" s="45">
        <f>(F172-E172)/E172</f>
        <v/>
      </c>
      <c r="J172" s="45">
        <f>(G172-F172)/F172</f>
        <v/>
      </c>
      <c r="K172" s="45">
        <f>(H172-G172)/G172</f>
        <v/>
      </c>
    </row>
    <row r="173">
      <c r="D173" s="7" t="inlineStr">
        <is>
          <t>NEM</t>
        </is>
      </c>
      <c r="E173" s="49" t="n">
        <v>0.64</v>
      </c>
      <c r="F173" s="49" t="n">
        <v>1.22</v>
      </c>
      <c r="G173" s="49" t="n">
        <v>2.19</v>
      </c>
      <c r="H173" s="49" t="n">
        <v>2.39</v>
      </c>
      <c r="I173" s="45">
        <f>(F173-E173)/E173</f>
        <v/>
      </c>
      <c r="J173" s="45">
        <f>(G173-F173)/F173</f>
        <v/>
      </c>
      <c r="K173" s="45">
        <f>(H173-G173)/G173</f>
        <v/>
      </c>
    </row>
    <row r="174">
      <c r="D174" s="7" t="inlineStr">
        <is>
          <t>HCA</t>
        </is>
      </c>
      <c r="E174" s="49" t="n">
        <v>10.7</v>
      </c>
      <c r="F174" s="49" t="n">
        <v>10.4</v>
      </c>
      <c r="G174" s="49" t="n">
        <v>11.4</v>
      </c>
      <c r="H174" s="49" t="n">
        <v>12.7</v>
      </c>
      <c r="I174" s="45">
        <f>(F174-E174)/E174</f>
        <v/>
      </c>
      <c r="J174" s="45">
        <f>(G174-F174)/F174</f>
        <v/>
      </c>
      <c r="K174" s="45">
        <f>(H174-G174)/G174</f>
        <v/>
      </c>
    </row>
    <row r="175">
      <c r="D175" s="7" t="inlineStr">
        <is>
          <t>EBAY</t>
        </is>
      </c>
      <c r="E175" s="49" t="n">
        <v>2.55</v>
      </c>
      <c r="F175" s="49" t="n">
        <v>2.05</v>
      </c>
      <c r="G175" s="49" t="n">
        <v>2.33</v>
      </c>
      <c r="H175" s="49" t="n">
        <v>2.64</v>
      </c>
      <c r="I175" s="45">
        <f>(F175-E175)/E175</f>
        <v/>
      </c>
      <c r="J175" s="45">
        <f>(G175-F175)/F175</f>
        <v/>
      </c>
      <c r="K175" s="45">
        <f>(H175-G175)/G175</f>
        <v/>
      </c>
    </row>
    <row r="176">
      <c r="D176" s="7" t="inlineStr">
        <is>
          <t>ADSK</t>
        </is>
      </c>
      <c r="E176" s="49" t="inlineStr">
        <is>
          <t xml:space="preserve">
                                        </t>
        </is>
      </c>
      <c r="F176" s="49" t="inlineStr">
        <is>
          <t xml:space="preserve">
                                        </t>
        </is>
      </c>
      <c r="G176" s="49" t="inlineStr">
        <is>
          <t xml:space="preserve">
                                        </t>
        </is>
      </c>
      <c r="H176" s="49" t="inlineStr">
        <is>
          <t xml:space="preserve">
                                    </t>
        </is>
      </c>
      <c r="I176" s="45" t="n"/>
      <c r="J176" s="45" t="n"/>
      <c r="K176" s="45" t="n"/>
    </row>
    <row r="177">
      <c r="D177" s="7" t="inlineStr">
        <is>
          <t>VLO</t>
        </is>
      </c>
      <c r="E177" s="49" t="n">
        <v>7.29</v>
      </c>
      <c r="F177" s="49" t="n">
        <v>5.09</v>
      </c>
      <c r="G177" s="49" t="n">
        <v>9.859999999999999</v>
      </c>
      <c r="H177" s="49" t="n">
        <v>8.99</v>
      </c>
      <c r="I177" s="45">
        <f>(F177-E177)/E177</f>
        <v/>
      </c>
      <c r="J177" s="45">
        <f>(G177-F177)/F177</f>
        <v/>
      </c>
      <c r="K177" s="45">
        <f>(H177-G177)/G177</f>
        <v/>
      </c>
    </row>
    <row r="178">
      <c r="D178" s="7" t="inlineStr">
        <is>
          <t>EQR</t>
        </is>
      </c>
      <c r="E178" s="49" t="n">
        <v>1.77</v>
      </c>
      <c r="F178" s="49" t="n">
        <v>1.83</v>
      </c>
      <c r="G178" s="49" t="n">
        <v>1.53</v>
      </c>
      <c r="H178" s="49" t="n">
        <v>1.65</v>
      </c>
      <c r="I178" s="45">
        <f>(F178-E178)/E178</f>
        <v/>
      </c>
      <c r="J178" s="45">
        <f>(G178-F178)/F178</f>
        <v/>
      </c>
      <c r="K178" s="45">
        <f>(H178-G178)/G178</f>
        <v/>
      </c>
    </row>
    <row r="179">
      <c r="D179" s="7" t="inlineStr">
        <is>
          <t>MPC</t>
        </is>
      </c>
      <c r="E179" s="49" t="n">
        <v>5.28</v>
      </c>
      <c r="F179" s="49" t="n">
        <v>4.84</v>
      </c>
      <c r="G179" s="49" t="n">
        <v>7.86</v>
      </c>
      <c r="H179" s="49" t="n">
        <v>6.1</v>
      </c>
      <c r="I179" s="45">
        <f>(F179-E179)/E179</f>
        <v/>
      </c>
      <c r="J179" s="45">
        <f>(G179-F179)/F179</f>
        <v/>
      </c>
      <c r="K179" s="45">
        <f>(H179-G179)/G179</f>
        <v/>
      </c>
    </row>
    <row r="180">
      <c r="D180" s="7" t="inlineStr">
        <is>
          <t>TEL</t>
        </is>
      </c>
      <c r="E180" s="49" t="n">
        <v>7.27</v>
      </c>
      <c r="F180" s="49" t="n">
        <v>5.46</v>
      </c>
      <c r="G180" s="49" t="n">
        <v>5.59</v>
      </c>
      <c r="H180" s="49" t="n">
        <v>6.48</v>
      </c>
      <c r="I180" s="45">
        <f>(F180-E180)/E180</f>
        <v/>
      </c>
      <c r="J180" s="45">
        <f>(G180-F180)/F180</f>
        <v/>
      </c>
      <c r="K180" s="45">
        <f>(H180-G180)/G180</f>
        <v/>
      </c>
    </row>
    <row r="181">
      <c r="D181" s="7" t="inlineStr">
        <is>
          <t>LRCX</t>
        </is>
      </c>
      <c r="E181" s="49" t="n">
        <v>13.7</v>
      </c>
      <c r="F181" s="49" t="n">
        <v>12.8</v>
      </c>
      <c r="G181" s="49" t="n">
        <v>16.1</v>
      </c>
      <c r="H181" s="49" t="n">
        <v>19.3</v>
      </c>
      <c r="I181" s="45">
        <f>(F181-E181)/E181</f>
        <v/>
      </c>
      <c r="J181" s="45">
        <f>(G181-F181)/F181</f>
        <v/>
      </c>
      <c r="K181" s="45">
        <f>(H181-G181)/G181</f>
        <v/>
      </c>
    </row>
    <row r="182">
      <c r="D182" s="7" t="inlineStr">
        <is>
          <t>TWTR</t>
        </is>
      </c>
      <c r="E182" s="49" t="n">
        <v>1.56</v>
      </c>
      <c r="F182" s="49" t="n">
        <v>1.99</v>
      </c>
      <c r="G182" s="49" t="n">
        <v>0.68</v>
      </c>
      <c r="H182" s="49" t="n">
        <v>0.92</v>
      </c>
      <c r="I182" s="45">
        <f>(F182-E182)/E182</f>
        <v/>
      </c>
      <c r="J182" s="45">
        <f>(G182-F182)/F182</f>
        <v/>
      </c>
      <c r="K182" s="45">
        <f>(H182-G182)/G182</f>
        <v/>
      </c>
    </row>
    <row r="183">
      <c r="D183" s="7" t="inlineStr">
        <is>
          <t>ORLY</t>
        </is>
      </c>
      <c r="E183" s="49" t="n">
        <v>16.1</v>
      </c>
      <c r="F183" s="49" t="n">
        <v>17.6</v>
      </c>
      <c r="G183" s="49" t="n">
        <v>19.6</v>
      </c>
      <c r="H183" s="49" t="n">
        <v>22.2</v>
      </c>
      <c r="I183" s="45">
        <f>(F183-E183)/E183</f>
        <v/>
      </c>
      <c r="J183" s="45">
        <f>(G183-F183)/F183</f>
        <v/>
      </c>
      <c r="K183" s="45">
        <f>(H183-G183)/G183</f>
        <v/>
      </c>
    </row>
    <row r="184">
      <c r="D184" s="7" t="inlineStr">
        <is>
          <t>SBAC</t>
        </is>
      </c>
      <c r="E184" s="49" t="n">
        <v>0.41</v>
      </c>
      <c r="F184" s="49" t="n">
        <v>1.27</v>
      </c>
      <c r="G184" s="49" t="n">
        <v>2.12</v>
      </c>
      <c r="H184" s="49" t="n">
        <v>2.82</v>
      </c>
      <c r="I184" s="45">
        <f>(F184-E184)/E184</f>
        <v/>
      </c>
      <c r="J184" s="45">
        <f>(G184-F184)/F184</f>
        <v/>
      </c>
      <c r="K184" s="45">
        <f>(H184-G184)/G184</f>
        <v/>
      </c>
    </row>
    <row r="185">
      <c r="D185" s="7" t="inlineStr">
        <is>
          <t>PEG</t>
        </is>
      </c>
      <c r="E185" s="49" t="n">
        <v>2.83</v>
      </c>
      <c r="F185" s="49" t="n">
        <v>3.22</v>
      </c>
      <c r="G185" s="49" t="n">
        <v>3.4</v>
      </c>
      <c r="H185" s="49" t="n">
        <v>3.53</v>
      </c>
      <c r="I185" s="45">
        <f>(F185-E185)/E185</f>
        <v/>
      </c>
      <c r="J185" s="45">
        <f>(G185-F185)/F185</f>
        <v/>
      </c>
      <c r="K185" s="45">
        <f>(H185-G185)/G185</f>
        <v/>
      </c>
    </row>
    <row r="186">
      <c r="D186" s="7" t="inlineStr">
        <is>
          <t>WEC</t>
        </is>
      </c>
      <c r="E186" s="49" t="n">
        <v>3.34</v>
      </c>
      <c r="F186" s="49" t="n">
        <v>3.53</v>
      </c>
      <c r="G186" s="49" t="n">
        <v>3.76</v>
      </c>
      <c r="H186" s="49" t="n">
        <v>3.98</v>
      </c>
      <c r="I186" s="45">
        <f>(F186-E186)/E186</f>
        <v/>
      </c>
      <c r="J186" s="45">
        <f>(G186-F186)/F186</f>
        <v/>
      </c>
      <c r="K186" s="45">
        <f>(H186-G186)/G186</f>
        <v/>
      </c>
    </row>
    <row r="187">
      <c r="D187" s="7" t="inlineStr">
        <is>
          <t>MSI</t>
        </is>
      </c>
      <c r="E187" s="49" t="n">
        <v>5.62</v>
      </c>
      <c r="F187" s="49" t="n">
        <v>6.09</v>
      </c>
      <c r="G187" s="49" t="n">
        <v>7.19</v>
      </c>
      <c r="H187" s="49" t="n">
        <v>8.210000000000001</v>
      </c>
      <c r="I187" s="45">
        <f>(F187-E187)/E187</f>
        <v/>
      </c>
      <c r="J187" s="45">
        <f>(G187-F187)/F187</f>
        <v/>
      </c>
      <c r="K187" s="45">
        <f>(H187-G187)/G187</f>
        <v/>
      </c>
    </row>
    <row r="188">
      <c r="D188" s="7" t="inlineStr">
        <is>
          <t>AVB</t>
        </is>
      </c>
      <c r="E188" s="49" t="n">
        <v>7.05</v>
      </c>
      <c r="F188" s="49" t="n">
        <v>4.87</v>
      </c>
      <c r="G188" s="49" t="n">
        <v>5.01</v>
      </c>
      <c r="H188" s="49" t="n">
        <v>5.39</v>
      </c>
      <c r="I188" s="45">
        <f>(F188-E188)/E188</f>
        <v/>
      </c>
      <c r="J188" s="45">
        <f>(G188-F188)/F188</f>
        <v/>
      </c>
      <c r="K188" s="45">
        <f>(H188-G188)/G188</f>
        <v/>
      </c>
    </row>
    <row r="189">
      <c r="D189" s="7" t="inlineStr">
        <is>
          <t>ED</t>
        </is>
      </c>
      <c r="E189" s="49" t="n">
        <v>4.43</v>
      </c>
      <c r="F189" s="49" t="n">
        <v>4.68</v>
      </c>
      <c r="G189" s="49" t="n">
        <v>4.86</v>
      </c>
      <c r="H189" s="49" t="n">
        <v>4.91</v>
      </c>
      <c r="I189" s="45">
        <f>(F189-E189)/E189</f>
        <v/>
      </c>
      <c r="J189" s="45">
        <f>(G189-F189)/F189</f>
        <v/>
      </c>
      <c r="K189" s="45">
        <f>(H189-G189)/G189</f>
        <v/>
      </c>
    </row>
    <row r="190">
      <c r="D190" s="7" t="inlineStr">
        <is>
          <t>IR</t>
        </is>
      </c>
      <c r="E190" s="49" t="n">
        <v>5.35</v>
      </c>
      <c r="F190" s="49" t="n">
        <v>6</v>
      </c>
      <c r="G190" s="49" t="n">
        <v>6.91</v>
      </c>
      <c r="H190" s="49" t="n">
        <v>7.47</v>
      </c>
      <c r="I190" s="45">
        <f>(F190-E190)/E190</f>
        <v/>
      </c>
      <c r="J190" s="45">
        <f>(G190-F190)/F190</f>
        <v/>
      </c>
      <c r="K190" s="45">
        <f>(H190-G190)/G190</f>
        <v/>
      </c>
    </row>
    <row r="191">
      <c r="D191" s="7" t="inlineStr">
        <is>
          <t>OKE</t>
        </is>
      </c>
      <c r="E191" s="49" t="n">
        <v>2.78</v>
      </c>
      <c r="F191" s="49" t="n">
        <v>3.15</v>
      </c>
      <c r="G191" s="49" t="n">
        <v>3.86</v>
      </c>
      <c r="H191" s="49" t="n">
        <v>4.47</v>
      </c>
      <c r="I191" s="45">
        <f>(F191-E191)/E191</f>
        <v/>
      </c>
      <c r="J191" s="45">
        <f>(G191-F191)/F191</f>
        <v/>
      </c>
      <c r="K191" s="45">
        <f>(H191-G191)/G191</f>
        <v/>
      </c>
    </row>
    <row r="192">
      <c r="D192" s="7" t="inlineStr">
        <is>
          <t>WMB</t>
        </is>
      </c>
      <c r="E192" s="49" t="n">
        <v>-0.16</v>
      </c>
      <c r="F192" s="49" t="n">
        <v>1</v>
      </c>
      <c r="G192" s="49" t="n">
        <v>1.1</v>
      </c>
      <c r="H192" s="49" t="n">
        <v>1.06</v>
      </c>
      <c r="I192" s="45">
        <f>(F192-E192)/E192</f>
        <v/>
      </c>
      <c r="J192" s="45">
        <f>(G192-F192)/F192</f>
        <v/>
      </c>
      <c r="K192" s="45">
        <f>(H192-G192)/G192</f>
        <v/>
      </c>
    </row>
    <row r="193">
      <c r="D193" s="7" t="inlineStr">
        <is>
          <t>EA</t>
        </is>
      </c>
      <c r="E193" s="49" t="n">
        <v>3.33</v>
      </c>
      <c r="F193" s="49" t="n">
        <v>8.5</v>
      </c>
      <c r="G193" s="49" t="n">
        <v>4.12</v>
      </c>
      <c r="H193" s="49" t="n">
        <v>4.18</v>
      </c>
      <c r="I193" s="45">
        <f>(F193-E193)/E193</f>
        <v/>
      </c>
      <c r="J193" s="45">
        <f>(G193-F193)/F193</f>
        <v/>
      </c>
      <c r="K193" s="45">
        <f>(H193-G193)/G193</f>
        <v/>
      </c>
    </row>
    <row r="194">
      <c r="D194" s="7" t="inlineStr">
        <is>
          <t>MCK</t>
        </is>
      </c>
      <c r="E194" s="49" t="n">
        <v>0.17</v>
      </c>
      <c r="F194" s="49" t="n">
        <v>10.2</v>
      </c>
      <c r="G194" s="49" t="n">
        <v>11.6</v>
      </c>
      <c r="H194" s="49" t="n">
        <v>13.1</v>
      </c>
      <c r="I194" s="45">
        <f>(F194-E194)/E194</f>
        <v/>
      </c>
      <c r="J194" s="45">
        <f>(G194-F194)/F194</f>
        <v/>
      </c>
      <c r="K194" s="45">
        <f>(H194-G194)/G194</f>
        <v/>
      </c>
    </row>
    <row r="195">
      <c r="D195" s="7" t="inlineStr">
        <is>
          <t>ZBH</t>
        </is>
      </c>
      <c r="E195" s="49" t="n">
        <v>-1.86</v>
      </c>
      <c r="F195" s="49" t="n">
        <v>4.56</v>
      </c>
      <c r="G195" s="49" t="n">
        <v>5.85</v>
      </c>
      <c r="H195" s="49" t="n">
        <v>6.43</v>
      </c>
      <c r="I195" s="45">
        <f>(F195-E195)/E195</f>
        <v/>
      </c>
      <c r="J195" s="45">
        <f>(G195-F195)/F195</f>
        <v/>
      </c>
      <c r="K195" s="45">
        <f>(H195-G195)/G195</f>
        <v/>
      </c>
    </row>
    <row r="196">
      <c r="D196" s="7" t="inlineStr">
        <is>
          <t>HPQ</t>
        </is>
      </c>
      <c r="E196" s="49" t="n">
        <v>3.26</v>
      </c>
      <c r="F196" s="49" t="n">
        <v>2.33</v>
      </c>
      <c r="G196" s="49" t="n">
        <v>2.05</v>
      </c>
      <c r="H196" s="49" t="n">
        <v>2.12</v>
      </c>
      <c r="I196" s="45">
        <f>(F196-E196)/E196</f>
        <v/>
      </c>
      <c r="J196" s="45">
        <f>(G196-F196)/F196</f>
        <v/>
      </c>
      <c r="K196" s="45">
        <f>(H196-G196)/G196</f>
        <v/>
      </c>
    </row>
    <row r="197">
      <c r="D197" s="7" t="inlineStr">
        <is>
          <t>VTR</t>
        </is>
      </c>
      <c r="E197" s="49" t="n">
        <v>1.14</v>
      </c>
      <c r="F197" s="49" t="n">
        <v>1.56</v>
      </c>
      <c r="G197" s="49" t="n">
        <v>1.36</v>
      </c>
      <c r="H197" s="49" t="n">
        <v>1.31</v>
      </c>
      <c r="I197" s="45">
        <f>(F197-E197)/E197</f>
        <v/>
      </c>
      <c r="J197" s="45">
        <f>(G197-F197)/F197</f>
        <v/>
      </c>
      <c r="K197" s="45">
        <f>(H197-G197)/G197</f>
        <v/>
      </c>
    </row>
    <row r="198">
      <c r="D198" s="7" t="inlineStr">
        <is>
          <t>TSN</t>
        </is>
      </c>
      <c r="E198" s="49" t="n">
        <v>8.19</v>
      </c>
      <c r="F198" s="49" t="n">
        <v>5.68</v>
      </c>
      <c r="G198" s="49" t="n">
        <v>6.99</v>
      </c>
      <c r="H198" s="49" t="n">
        <v>8.220000000000001</v>
      </c>
      <c r="I198" s="45">
        <f>(F198-E198)/E198</f>
        <v/>
      </c>
      <c r="J198" s="45">
        <f>(G198-F198)/F198</f>
        <v/>
      </c>
      <c r="K198" s="45">
        <f>(H198-G198)/G198</f>
        <v/>
      </c>
    </row>
    <row r="199">
      <c r="D199" s="7" t="inlineStr">
        <is>
          <t>HLT</t>
        </is>
      </c>
      <c r="E199" s="49" t="n">
        <v>2.5</v>
      </c>
      <c r="F199" s="49" t="n">
        <v>3.13</v>
      </c>
      <c r="G199" s="49" t="n">
        <v>3.75</v>
      </c>
      <c r="H199" s="49" t="n">
        <v>4.26</v>
      </c>
      <c r="I199" s="45">
        <f>(F199-E199)/E199</f>
        <v/>
      </c>
      <c r="J199" s="45">
        <f>(G199-F199)/F199</f>
        <v/>
      </c>
      <c r="K199" s="45">
        <f>(H199-G199)/G199</f>
        <v/>
      </c>
    </row>
    <row r="200">
      <c r="D200" s="7" t="inlineStr">
        <is>
          <t>AMD</t>
        </is>
      </c>
      <c r="E200" s="49" t="n">
        <v>0.32</v>
      </c>
      <c r="F200" s="49" t="n">
        <v>0.47</v>
      </c>
      <c r="G200" s="49" t="n">
        <v>0.95</v>
      </c>
      <c r="H200" s="49" t="n">
        <v>1.11</v>
      </c>
      <c r="I200" s="45">
        <f>(F200-E200)/E200</f>
        <v/>
      </c>
      <c r="J200" s="45">
        <f>(G200-F200)/F200</f>
        <v/>
      </c>
      <c r="K200" s="45">
        <f>(H200-G200)/G200</f>
        <v/>
      </c>
    </row>
    <row r="201">
      <c r="D201" s="7" t="inlineStr">
        <is>
          <t>BLL</t>
        </is>
      </c>
      <c r="E201" s="49" t="n">
        <v>1.29</v>
      </c>
      <c r="F201" s="49" t="n">
        <v>2.03</v>
      </c>
      <c r="G201" s="49" t="n">
        <v>2.48</v>
      </c>
      <c r="H201" s="49" t="n">
        <v>2.95</v>
      </c>
      <c r="I201" s="45">
        <f>(F201-E201)/E201</f>
        <v/>
      </c>
      <c r="J201" s="45">
        <f>(G201-F201)/F201</f>
        <v/>
      </c>
      <c r="K201" s="45">
        <f>(H201-G201)/G201</f>
        <v/>
      </c>
    </row>
    <row r="202">
      <c r="D202" s="7" t="inlineStr">
        <is>
          <t>AZO</t>
        </is>
      </c>
      <c r="E202" s="49" t="n">
        <v>48.8</v>
      </c>
      <c r="F202" s="49" t="n">
        <v>62.6</v>
      </c>
      <c r="G202" s="49" t="n">
        <v>65.40000000000001</v>
      </c>
      <c r="H202" s="49" t="n">
        <v>72.09999999999999</v>
      </c>
      <c r="I202" s="45">
        <f>(F202-E202)/E202</f>
        <v/>
      </c>
      <c r="J202" s="45">
        <f>(G202-F202)/F202</f>
        <v/>
      </c>
      <c r="K202" s="45">
        <f>(H202-G202)/G202</f>
        <v/>
      </c>
    </row>
    <row r="203">
      <c r="D203" s="7" t="inlineStr">
        <is>
          <t>STI</t>
        </is>
      </c>
      <c r="E203" s="49" t="n">
        <v>5.74</v>
      </c>
      <c r="F203" s="49" t="n">
        <v>5.46</v>
      </c>
      <c r="G203" s="49" t="n">
        <v>5.52</v>
      </c>
      <c r="H203" s="49" t="n">
        <v>5.88</v>
      </c>
      <c r="I203" s="45">
        <f>(F203-E203)/E203</f>
        <v/>
      </c>
      <c r="J203" s="45">
        <f>(G203-F203)/F203</f>
        <v/>
      </c>
      <c r="K203" s="45">
        <f>(H203-G203)/G203</f>
        <v/>
      </c>
    </row>
    <row r="204">
      <c r="D204" s="7" t="inlineStr">
        <is>
          <t>ALXN</t>
        </is>
      </c>
      <c r="E204" s="49" t="n">
        <v>0.35</v>
      </c>
      <c r="F204" s="49" t="n">
        <v>8.44</v>
      </c>
      <c r="G204" s="49" t="n">
        <v>9.050000000000001</v>
      </c>
      <c r="H204" s="49" t="n">
        <v>10.1</v>
      </c>
      <c r="I204" s="45">
        <f>(F204-E204)/E204</f>
        <v/>
      </c>
      <c r="J204" s="45">
        <f>(G204-F204)/F204</f>
        <v/>
      </c>
      <c r="K204" s="45">
        <f>(H204-G204)/G204</f>
        <v/>
      </c>
    </row>
    <row r="205">
      <c r="D205" s="7" t="inlineStr">
        <is>
          <t>XLNX</t>
        </is>
      </c>
      <c r="E205" s="49" t="n">
        <v>3.47</v>
      </c>
      <c r="F205" s="49" t="n">
        <v>3.67</v>
      </c>
      <c r="G205" s="49" t="n">
        <v>4.17</v>
      </c>
      <c r="H205" s="49" t="n">
        <v>4.24</v>
      </c>
      <c r="I205" s="45">
        <f>(F205-E205)/E205</f>
        <v/>
      </c>
      <c r="J205" s="45">
        <f>(G205-F205)/F205</f>
        <v/>
      </c>
      <c r="K205" s="45">
        <f>(H205-G205)/G205</f>
        <v/>
      </c>
    </row>
    <row r="206">
      <c r="D206" s="7" t="inlineStr">
        <is>
          <t>APH</t>
        </is>
      </c>
      <c r="E206" s="49" t="inlineStr">
        <is>
          <t xml:space="preserve">
                                        </t>
        </is>
      </c>
      <c r="F206" s="49" t="inlineStr">
        <is>
          <t xml:space="preserve">
                                        </t>
        </is>
      </c>
      <c r="G206" s="49" t="inlineStr">
        <is>
          <t xml:space="preserve">
                                        </t>
        </is>
      </c>
      <c r="H206" s="49" t="inlineStr">
        <is>
          <t xml:space="preserve">
                                    </t>
        </is>
      </c>
      <c r="I206" s="45" t="n"/>
      <c r="J206" s="45" t="n"/>
      <c r="K206" s="45" t="n"/>
    </row>
    <row r="207">
      <c r="D207" s="7" t="inlineStr">
        <is>
          <t>EIX</t>
        </is>
      </c>
      <c r="E207" s="49" t="n">
        <v>-1.3</v>
      </c>
      <c r="F207" s="49" t="n">
        <v>4.57</v>
      </c>
      <c r="G207" s="49" t="n">
        <v>4.43</v>
      </c>
      <c r="H207" s="49" t="n">
        <v>4.69</v>
      </c>
      <c r="I207" s="45">
        <f>(F207-E207)/E207</f>
        <v/>
      </c>
      <c r="J207" s="45">
        <f>(G207-F207)/F207</f>
        <v/>
      </c>
      <c r="K207" s="45">
        <f>(H207-G207)/G207</f>
        <v/>
      </c>
    </row>
    <row r="208">
      <c r="D208" s="7" t="inlineStr">
        <is>
          <t>VFC</t>
        </is>
      </c>
      <c r="E208" s="49" t="inlineStr">
        <is>
          <t xml:space="preserve">
                                        </t>
        </is>
      </c>
      <c r="F208" s="49" t="inlineStr">
        <is>
          <t xml:space="preserve">
                                        </t>
        </is>
      </c>
      <c r="G208" s="49" t="inlineStr">
        <is>
          <t xml:space="preserve">
                                        </t>
        </is>
      </c>
      <c r="H208" s="49" t="inlineStr">
        <is>
          <t xml:space="preserve">
                                    </t>
        </is>
      </c>
      <c r="I208" s="45" t="n"/>
      <c r="J208" s="45" t="n"/>
      <c r="K208" s="45" t="n"/>
    </row>
    <row r="209">
      <c r="D209" s="7" t="inlineStr">
        <is>
          <t>TDG</t>
        </is>
      </c>
      <c r="E209" s="49" t="n">
        <v>16.3</v>
      </c>
      <c r="F209" s="49" t="n">
        <v>13.6</v>
      </c>
      <c r="G209" s="49" t="n">
        <v>20.3</v>
      </c>
      <c r="H209" s="49" t="n">
        <v>24.3</v>
      </c>
      <c r="I209" s="45">
        <f>(F209-E209)/E209</f>
        <v/>
      </c>
      <c r="J209" s="45">
        <f>(G209-F209)/F209</f>
        <v/>
      </c>
      <c r="K209" s="45">
        <f>(H209-G209)/G209</f>
        <v/>
      </c>
    </row>
    <row r="210">
      <c r="D210" s="7" t="inlineStr">
        <is>
          <t>ES</t>
        </is>
      </c>
      <c r="E210" s="49" t="n">
        <v>3.25</v>
      </c>
      <c r="F210" s="49" t="n">
        <v>3.02</v>
      </c>
      <c r="G210" s="49" t="n">
        <v>3.64</v>
      </c>
      <c r="H210" s="49" t="n">
        <v>3.85</v>
      </c>
      <c r="I210" s="45">
        <f>(F210-E210)/E210</f>
        <v/>
      </c>
      <c r="J210" s="45">
        <f>(G210-F210)/F210</f>
        <v/>
      </c>
      <c r="K210" s="45">
        <f>(H210-G210)/G210</f>
        <v/>
      </c>
    </row>
    <row r="211">
      <c r="D211" s="7" t="inlineStr">
        <is>
          <t>PAYX</t>
        </is>
      </c>
      <c r="E211" s="49" t="n">
        <v>2.86</v>
      </c>
      <c r="F211" s="49" t="n">
        <v>3.1</v>
      </c>
      <c r="G211" s="49" t="n">
        <v>3.35</v>
      </c>
      <c r="H211" s="49" t="n">
        <v>3.61</v>
      </c>
      <c r="I211" s="45">
        <f>(F211-E211)/E211</f>
        <v/>
      </c>
      <c r="J211" s="45">
        <f>(G211-F211)/F211</f>
        <v/>
      </c>
      <c r="K211" s="45">
        <f>(H211-G211)/G211</f>
        <v/>
      </c>
    </row>
    <row r="212">
      <c r="D212" s="7" t="inlineStr">
        <is>
          <t>VRSK</t>
        </is>
      </c>
      <c r="E212" s="49" t="n">
        <v>3.56</v>
      </c>
      <c r="F212" s="49" t="n">
        <v>3.68</v>
      </c>
      <c r="G212" s="49" t="n">
        <v>4.26</v>
      </c>
      <c r="H212" s="49" t="n">
        <v>5.03</v>
      </c>
      <c r="I212" s="45">
        <f>(F212-E212)/E212</f>
        <v/>
      </c>
      <c r="J212" s="45">
        <f>(G212-F212)/F212</f>
        <v/>
      </c>
      <c r="K212" s="45">
        <f>(H212-G212)/G212</f>
        <v/>
      </c>
    </row>
    <row r="213">
      <c r="D213" s="7" t="inlineStr">
        <is>
          <t>FLT</t>
        </is>
      </c>
      <c r="E213" s="49" t="n">
        <v>8.81</v>
      </c>
      <c r="F213" s="49" t="n">
        <v>9.76</v>
      </c>
      <c r="G213" s="49" t="n">
        <v>10.9</v>
      </c>
      <c r="H213" s="49" t="n">
        <v>12.8</v>
      </c>
      <c r="I213" s="45">
        <f>(F213-E213)/E213</f>
        <v/>
      </c>
      <c r="J213" s="45">
        <f>(G213-F213)/F213</f>
        <v/>
      </c>
      <c r="K213" s="45">
        <f>(H213-G213)/G213</f>
        <v/>
      </c>
    </row>
    <row r="214">
      <c r="D214" s="7" t="inlineStr">
        <is>
          <t>PPG</t>
        </is>
      </c>
      <c r="E214" s="49" t="n">
        <v>5.47</v>
      </c>
      <c r="F214" s="49" t="n">
        <v>5.86</v>
      </c>
      <c r="G214" s="49" t="n">
        <v>6.89</v>
      </c>
      <c r="H214" s="49" t="n">
        <v>7.55</v>
      </c>
      <c r="I214" s="45">
        <f>(F214-E214)/E214</f>
        <v/>
      </c>
      <c r="J214" s="45">
        <f>(G214-F214)/F214</f>
        <v/>
      </c>
      <c r="K214" s="45">
        <f>(H214-G214)/G214</f>
        <v/>
      </c>
    </row>
    <row r="215">
      <c r="D215" s="7" t="inlineStr">
        <is>
          <t>TROW</t>
        </is>
      </c>
      <c r="E215" s="49" t="n">
        <v>7.27</v>
      </c>
      <c r="F215" s="49" t="n">
        <v>8.210000000000001</v>
      </c>
      <c r="G215" s="49" t="n">
        <v>8.33</v>
      </c>
      <c r="H215" s="49" t="n">
        <v>9.029999999999999</v>
      </c>
      <c r="I215" s="45">
        <f>(F215-E215)/E215</f>
        <v/>
      </c>
      <c r="J215" s="45">
        <f>(G215-F215)/F215</f>
        <v/>
      </c>
      <c r="K215" s="45">
        <f>(H215-G215)/G215</f>
        <v/>
      </c>
    </row>
    <row r="216">
      <c r="D216" s="7" t="inlineStr">
        <is>
          <t>DLR</t>
        </is>
      </c>
      <c r="E216" s="49" t="n">
        <v>1.21</v>
      </c>
      <c r="F216" s="49" t="n">
        <v>1.16</v>
      </c>
      <c r="G216" s="49" t="n">
        <v>1.46</v>
      </c>
      <c r="H216" s="49" t="n">
        <v>1.8</v>
      </c>
      <c r="I216" s="45">
        <f>(F216-E216)/E216</f>
        <v/>
      </c>
      <c r="J216" s="45">
        <f>(G216-F216)/F216</f>
        <v/>
      </c>
      <c r="K216" s="45">
        <f>(H216-G216)/G216</f>
        <v/>
      </c>
    </row>
    <row r="217">
      <c r="D217" s="7" t="inlineStr">
        <is>
          <t>DFS</t>
        </is>
      </c>
      <c r="E217" s="49" t="n">
        <v>7.79</v>
      </c>
      <c r="F217" s="49" t="n">
        <v>8.99</v>
      </c>
      <c r="G217" s="49" t="n">
        <v>9.58</v>
      </c>
      <c r="H217" s="49" t="n">
        <v>10.5</v>
      </c>
      <c r="I217" s="45">
        <f>(F217-E217)/E217</f>
        <v/>
      </c>
      <c r="J217" s="45">
        <f>(G217-F217)/F217</f>
        <v/>
      </c>
      <c r="K217" s="45">
        <f>(H217-G217)/G217</f>
        <v/>
      </c>
    </row>
    <row r="218">
      <c r="D218" s="7" t="inlineStr">
        <is>
          <t>LUV</t>
        </is>
      </c>
      <c r="E218" s="49" t="n">
        <v>4.29</v>
      </c>
      <c r="F218" s="49" t="n">
        <v>4.27</v>
      </c>
      <c r="G218" s="49" t="n">
        <v>5.15</v>
      </c>
      <c r="H218" s="49" t="n">
        <v>5.83</v>
      </c>
      <c r="I218" s="45">
        <f>(F218-E218)/E218</f>
        <v/>
      </c>
      <c r="J218" s="45">
        <f>(G218-F218)/F218</f>
        <v/>
      </c>
      <c r="K218" s="45">
        <f>(H218-G218)/G218</f>
        <v/>
      </c>
    </row>
    <row r="219">
      <c r="D219" s="7" t="inlineStr">
        <is>
          <t>GPN</t>
        </is>
      </c>
      <c r="E219" s="49" t="n">
        <v>2.84</v>
      </c>
      <c r="F219" s="49" t="n">
        <v>3.08</v>
      </c>
      <c r="G219" s="49" t="n">
        <v>4.88</v>
      </c>
      <c r="H219" s="49" t="n">
        <v>6.23</v>
      </c>
      <c r="I219" s="45">
        <f>(F219-E219)/E219</f>
        <v/>
      </c>
      <c r="J219" s="45">
        <f>(G219-F219)/F219</f>
        <v/>
      </c>
      <c r="K219" s="45">
        <f>(H219-G219)/G219</f>
        <v/>
      </c>
    </row>
    <row r="220">
      <c r="D220" s="7" t="inlineStr">
        <is>
          <t>WLTW</t>
        </is>
      </c>
      <c r="E220" s="49" t="n">
        <v>5.27</v>
      </c>
      <c r="F220" s="49" t="n">
        <v>7.53</v>
      </c>
      <c r="G220" s="49" t="n">
        <v>8.85</v>
      </c>
      <c r="H220" s="49" t="n">
        <v>10.5</v>
      </c>
      <c r="I220" s="45">
        <f>(F220-E220)/E220</f>
        <v/>
      </c>
      <c r="J220" s="45">
        <f>(G220-F220)/F220</f>
        <v/>
      </c>
      <c r="K220" s="45">
        <f>(H220-G220)/G220</f>
        <v/>
      </c>
    </row>
    <row r="221">
      <c r="D221" s="7" t="inlineStr">
        <is>
          <t>IQV</t>
        </is>
      </c>
      <c r="E221" s="49" t="n">
        <v>1.24</v>
      </c>
      <c r="F221" s="49" t="n">
        <v>1.72</v>
      </c>
      <c r="G221" s="49" t="n">
        <v>2.69</v>
      </c>
      <c r="H221" s="49" t="n">
        <v>3.83</v>
      </c>
      <c r="I221" s="45">
        <f>(F221-E221)/E221</f>
        <v/>
      </c>
      <c r="J221" s="45">
        <f>(G221-F221)/F221</f>
        <v/>
      </c>
      <c r="K221" s="45">
        <f>(H221-G221)/G221</f>
        <v/>
      </c>
    </row>
    <row r="222">
      <c r="D222" s="7" t="inlineStr">
        <is>
          <t>TMUS</t>
        </is>
      </c>
      <c r="E222" s="49" t="n">
        <v>3.36</v>
      </c>
      <c r="F222" s="49" t="n">
        <v>3.99</v>
      </c>
      <c r="G222" s="49" t="n">
        <v>4.82</v>
      </c>
      <c r="H222" s="49" t="n">
        <v>5.57</v>
      </c>
      <c r="I222" s="45">
        <f>(F222-E222)/E222</f>
        <v/>
      </c>
      <c r="J222" s="45">
        <f>(G222-F222)/F222</f>
        <v/>
      </c>
      <c r="K222" s="45">
        <f>(H222-G222)/G222</f>
        <v/>
      </c>
    </row>
    <row r="223">
      <c r="D223" s="7" t="inlineStr">
        <is>
          <t>DTE</t>
        </is>
      </c>
      <c r="E223" s="49" t="n">
        <v>6.17</v>
      </c>
      <c r="F223" s="49" t="n">
        <v>6.29</v>
      </c>
      <c r="G223" s="49" t="n">
        <v>6.58</v>
      </c>
      <c r="H223" s="49" t="n">
        <v>7.08</v>
      </c>
      <c r="I223" s="45">
        <f>(F223-E223)/E223</f>
        <v/>
      </c>
      <c r="J223" s="45">
        <f>(G223-F223)/F223</f>
        <v/>
      </c>
      <c r="K223" s="45">
        <f>(H223-G223)/G223</f>
        <v/>
      </c>
    </row>
    <row r="224">
      <c r="D224" s="7" t="inlineStr">
        <is>
          <t>IDXX</t>
        </is>
      </c>
      <c r="E224" s="49" t="n">
        <v>4.26</v>
      </c>
      <c r="F224" s="49" t="n">
        <v>4.87</v>
      </c>
      <c r="G224" s="49" t="n">
        <v>5.56</v>
      </c>
      <c r="H224" s="49" t="n">
        <v>6.36</v>
      </c>
      <c r="I224" s="45">
        <f>(F224-E224)/E224</f>
        <v/>
      </c>
      <c r="J224" s="45">
        <f>(G224-F224)/F224</f>
        <v/>
      </c>
      <c r="K224" s="45">
        <f>(H224-G224)/G224</f>
        <v/>
      </c>
    </row>
    <row r="225">
      <c r="D225" s="7" t="inlineStr">
        <is>
          <t>O</t>
        </is>
      </c>
      <c r="E225" s="49" t="n">
        <v>1.26</v>
      </c>
      <c r="F225" s="49" t="n">
        <v>1.33</v>
      </c>
      <c r="G225" s="49" t="n">
        <v>1.38</v>
      </c>
      <c r="H225" s="49" t="n">
        <v>1.43</v>
      </c>
      <c r="I225" s="45">
        <f>(F225-E225)/E225</f>
        <v/>
      </c>
      <c r="J225" s="45">
        <f>(G225-F225)/F225</f>
        <v/>
      </c>
      <c r="K225" s="45">
        <f>(H225-G225)/G225</f>
        <v/>
      </c>
    </row>
    <row r="226">
      <c r="D226" s="7" t="inlineStr">
        <is>
          <t>FE</t>
        </is>
      </c>
      <c r="E226" s="49" t="n">
        <v>1.99</v>
      </c>
      <c r="F226" s="49" t="n">
        <v>2.41</v>
      </c>
      <c r="G226" s="49" t="n">
        <v>2.49</v>
      </c>
      <c r="H226" s="49" t="n">
        <v>2.61</v>
      </c>
      <c r="I226" s="45">
        <f>(F226-E226)/E226</f>
        <v/>
      </c>
      <c r="J226" s="45">
        <f>(G226-F226)/F226</f>
        <v/>
      </c>
      <c r="K226" s="45">
        <f>(H226-G226)/G226</f>
        <v/>
      </c>
    </row>
    <row r="227">
      <c r="D227" s="7" t="inlineStr">
        <is>
          <t>DLTR</t>
        </is>
      </c>
      <c r="E227" s="49" t="inlineStr">
        <is>
          <t xml:space="preserve">
                                        </t>
        </is>
      </c>
      <c r="F227" s="49" t="inlineStr">
        <is>
          <t xml:space="preserve">
                                        </t>
        </is>
      </c>
      <c r="G227" s="49" t="inlineStr">
        <is>
          <t xml:space="preserve">
                                        </t>
        </is>
      </c>
      <c r="H227" s="49" t="inlineStr">
        <is>
          <t xml:space="preserve">
                                    </t>
        </is>
      </c>
      <c r="I227" s="45" t="n"/>
      <c r="J227" s="45" t="n"/>
      <c r="K227" s="45" t="n"/>
    </row>
    <row r="228">
      <c r="D228" s="7" t="inlineStr">
        <is>
          <t>REGN</t>
        </is>
      </c>
      <c r="E228" s="49" t="n">
        <v>21.3</v>
      </c>
      <c r="F228" s="49" t="n">
        <v>17.4</v>
      </c>
      <c r="G228" s="49" t="n">
        <v>21</v>
      </c>
      <c r="H228" s="49" t="n">
        <v>21.1</v>
      </c>
      <c r="I228" s="45">
        <f>(F228-E228)/E228</f>
        <v/>
      </c>
      <c r="J228" s="45">
        <f>(G228-F228)/F228</f>
        <v/>
      </c>
      <c r="K228" s="45">
        <f>(H228-G228)/G228</f>
        <v/>
      </c>
    </row>
    <row r="229">
      <c r="D229" s="7" t="inlineStr">
        <is>
          <t>KLAC</t>
        </is>
      </c>
      <c r="E229" s="49" t="inlineStr">
        <is>
          <t xml:space="preserve">
                                        </t>
        </is>
      </c>
      <c r="F229" s="49" t="inlineStr">
        <is>
          <t xml:space="preserve">
                                        </t>
        </is>
      </c>
      <c r="G229" s="49" t="inlineStr">
        <is>
          <t xml:space="preserve">
                                        </t>
        </is>
      </c>
      <c r="H229" s="49" t="inlineStr">
        <is>
          <t xml:space="preserve">
                                    </t>
        </is>
      </c>
      <c r="I229" s="45" t="n"/>
      <c r="J229" s="45" t="n"/>
      <c r="K229" s="45" t="n"/>
    </row>
    <row r="230">
      <c r="D230" s="7" t="inlineStr">
        <is>
          <t>AWK</t>
        </is>
      </c>
      <c r="E230" s="49" t="n">
        <v>3.15</v>
      </c>
      <c r="F230" s="49" t="n">
        <v>3.6</v>
      </c>
      <c r="G230" s="49" t="n">
        <v>3.91</v>
      </c>
      <c r="H230" s="49" t="n">
        <v>4.17</v>
      </c>
      <c r="I230" s="45">
        <f>(F230-E230)/E230</f>
        <v/>
      </c>
      <c r="J230" s="45">
        <f>(G230-F230)/F230</f>
        <v/>
      </c>
      <c r="K230" s="45">
        <f>(H230-G230)/G230</f>
        <v/>
      </c>
    </row>
    <row r="231">
      <c r="D231" s="7" t="inlineStr">
        <is>
          <t>CERN</t>
        </is>
      </c>
      <c r="E231" s="49" t="n">
        <v>1.89</v>
      </c>
      <c r="F231" s="49" t="n">
        <v>2.06</v>
      </c>
      <c r="G231" s="49" t="n">
        <v>2.76</v>
      </c>
      <c r="H231" s="49" t="n">
        <v>3.07</v>
      </c>
      <c r="I231" s="45">
        <f>(F231-E231)/E231</f>
        <v/>
      </c>
      <c r="J231" s="45">
        <f>(G231-F231)/F231</f>
        <v/>
      </c>
      <c r="K231" s="45">
        <f>(H231-G231)/G231</f>
        <v/>
      </c>
    </row>
    <row r="232">
      <c r="D232" s="7" t="inlineStr">
        <is>
          <t>A</t>
        </is>
      </c>
      <c r="E232" s="49" t="n">
        <v>0.97</v>
      </c>
      <c r="F232" s="49" t="n">
        <v>3.49</v>
      </c>
      <c r="G232" s="49" t="n">
        <v>3.02</v>
      </c>
      <c r="H232" s="49" t="n">
        <v>3.46</v>
      </c>
      <c r="I232" s="45">
        <f>(F232-E232)/E232</f>
        <v/>
      </c>
      <c r="J232" s="45">
        <f>(G232-F232)/F232</f>
        <v/>
      </c>
      <c r="K232" s="45">
        <f>(H232-G232)/G232</f>
        <v/>
      </c>
    </row>
    <row r="233">
      <c r="D233" s="7" t="inlineStr">
        <is>
          <t>MNST</t>
        </is>
      </c>
      <c r="E233" s="49" t="n">
        <v>1.76</v>
      </c>
      <c r="F233" s="49" t="n">
        <v>2.03</v>
      </c>
      <c r="G233" s="49" t="n">
        <v>2.26</v>
      </c>
      <c r="H233" s="49" t="n">
        <v>2.39</v>
      </c>
      <c r="I233" s="45">
        <f>(F233-E233)/E233</f>
        <v/>
      </c>
      <c r="J233" s="45">
        <f>(G233-F233)/F233</f>
        <v/>
      </c>
      <c r="K233" s="45">
        <f>(H233-G233)/G233</f>
        <v/>
      </c>
    </row>
    <row r="234">
      <c r="D234" s="7" t="inlineStr">
        <is>
          <t>HSY</t>
        </is>
      </c>
      <c r="E234" s="49" t="n">
        <v>5.58</v>
      </c>
      <c r="F234" s="49" t="n">
        <v>5.76</v>
      </c>
      <c r="G234" s="49" t="n">
        <v>6.12</v>
      </c>
      <c r="H234" s="49" t="n">
        <v>6.61</v>
      </c>
      <c r="I234" s="45">
        <f>(F234-E234)/E234</f>
        <v/>
      </c>
      <c r="J234" s="45">
        <f>(G234-F234)/F234</f>
        <v/>
      </c>
      <c r="K234" s="45">
        <f>(H234-G234)/G234</f>
        <v/>
      </c>
    </row>
    <row r="235">
      <c r="D235" s="7" t="inlineStr">
        <is>
          <t>CTAS</t>
        </is>
      </c>
      <c r="E235" s="49" t="inlineStr">
        <is>
          <t xml:space="preserve">
                                        </t>
        </is>
      </c>
      <c r="F235" s="49" t="inlineStr">
        <is>
          <t xml:space="preserve">
                                        </t>
        </is>
      </c>
      <c r="G235" s="49" t="inlineStr">
        <is>
          <t xml:space="preserve">
                                        </t>
        </is>
      </c>
      <c r="H235" s="49" t="inlineStr">
        <is>
          <t xml:space="preserve">
                                    </t>
        </is>
      </c>
      <c r="I235" s="45" t="n"/>
      <c r="J235" s="45" t="n"/>
      <c r="K235" s="45" t="n"/>
    </row>
    <row r="236">
      <c r="D236" s="7" t="inlineStr">
        <is>
          <t>PCAR</t>
        </is>
      </c>
      <c r="E236" s="49" t="n">
        <v>6.24</v>
      </c>
      <c r="F236" s="49" t="n">
        <v>6.76</v>
      </c>
      <c r="G236" s="49" t="n">
        <v>5.65</v>
      </c>
      <c r="H236" s="49" t="n">
        <v>5.66</v>
      </c>
      <c r="I236" s="45">
        <f>(F236-E236)/E236</f>
        <v/>
      </c>
      <c r="J236" s="45">
        <f>(G236-F236)/F236</f>
        <v/>
      </c>
      <c r="K236" s="45">
        <f>(H236-G236)/G236</f>
        <v/>
      </c>
    </row>
    <row r="237">
      <c r="D237" s="7" t="inlineStr">
        <is>
          <t>GLW</t>
        </is>
      </c>
      <c r="E237" s="49" t="n">
        <v>1.13</v>
      </c>
      <c r="F237" s="49" t="n">
        <v>1.51</v>
      </c>
      <c r="G237" s="49" t="n">
        <v>1.87</v>
      </c>
      <c r="H237" s="49" t="n">
        <v>2.17</v>
      </c>
      <c r="I237" s="45">
        <f>(F237-E237)/E237</f>
        <v/>
      </c>
      <c r="J237" s="45">
        <f>(G237-F237)/F237</f>
        <v/>
      </c>
      <c r="K237" s="45">
        <f>(H237-G237)/G237</f>
        <v/>
      </c>
    </row>
    <row r="238">
      <c r="D238" s="7" t="inlineStr">
        <is>
          <t>PPL</t>
        </is>
      </c>
      <c r="E238" s="49" t="n">
        <v>2.58</v>
      </c>
      <c r="F238" s="49" t="n">
        <v>2.42</v>
      </c>
      <c r="G238" s="49" t="n">
        <v>2.55</v>
      </c>
      <c r="H238" s="49" t="n">
        <v>2.52</v>
      </c>
      <c r="I238" s="45">
        <f>(F238-E238)/E238</f>
        <v/>
      </c>
      <c r="J238" s="45">
        <f>(G238-F238)/F238</f>
        <v/>
      </c>
      <c r="K238" s="45">
        <f>(H238-G238)/G238</f>
        <v/>
      </c>
    </row>
    <row r="239">
      <c r="D239" s="7" t="inlineStr">
        <is>
          <t>VRSN</t>
        </is>
      </c>
      <c r="E239" s="49" t="n">
        <v>4.75</v>
      </c>
      <c r="F239" s="49" t="n">
        <v>5.18</v>
      </c>
      <c r="G239" s="49" t="n">
        <v>5.36</v>
      </c>
      <c r="H239" s="49" t="n">
        <v>5.98</v>
      </c>
      <c r="I239" s="45">
        <f>(F239-E239)/E239</f>
        <v/>
      </c>
      <c r="J239" s="45">
        <f>(G239-F239)/F239</f>
        <v/>
      </c>
      <c r="K239" s="45">
        <f>(H239-G239)/G239</f>
        <v/>
      </c>
    </row>
    <row r="240">
      <c r="D240" s="7" t="inlineStr">
        <is>
          <t>HIG</t>
        </is>
      </c>
      <c r="E240" s="49" t="n">
        <v>4.95</v>
      </c>
      <c r="F240" s="49" t="n">
        <v>5.27</v>
      </c>
      <c r="G240" s="49" t="n">
        <v>5.33</v>
      </c>
      <c r="H240" s="49" t="n">
        <v>5.76</v>
      </c>
      <c r="I240" s="45">
        <f>(F240-E240)/E240</f>
        <v/>
      </c>
      <c r="J240" s="45">
        <f>(G240-F240)/F240</f>
        <v/>
      </c>
      <c r="K240" s="45">
        <f>(H240-G240)/G240</f>
        <v/>
      </c>
    </row>
    <row r="241">
      <c r="D241" s="7" t="inlineStr">
        <is>
          <t>ADM</t>
        </is>
      </c>
      <c r="E241" s="49" t="n">
        <v>3.19</v>
      </c>
      <c r="F241" s="49" t="n">
        <v>2.64</v>
      </c>
      <c r="G241" s="49" t="n">
        <v>3.4</v>
      </c>
      <c r="H241" s="49" t="n">
        <v>3.73</v>
      </c>
      <c r="I241" s="45">
        <f>(F241-E241)/E241</f>
        <v/>
      </c>
      <c r="J241" s="45">
        <f>(G241-F241)/F241</f>
        <v/>
      </c>
      <c r="K241" s="45">
        <f>(H241-G241)/G241</f>
        <v/>
      </c>
    </row>
    <row r="242">
      <c r="D242" s="7" t="inlineStr">
        <is>
          <t>ETR</t>
        </is>
      </c>
      <c r="E242" s="49" t="n">
        <v>4.63</v>
      </c>
      <c r="F242" s="49" t="n">
        <v>5.91</v>
      </c>
      <c r="G242" s="49" t="n">
        <v>5.76</v>
      </c>
      <c r="H242" s="49" t="n">
        <v>6.09</v>
      </c>
      <c r="I242" s="45">
        <f>(F242-E242)/E242</f>
        <v/>
      </c>
      <c r="J242" s="45">
        <f>(G242-F242)/F242</f>
        <v/>
      </c>
      <c r="K242" s="45">
        <f>(H242-G242)/G242</f>
        <v/>
      </c>
    </row>
    <row r="243">
      <c r="D243" s="7" t="inlineStr">
        <is>
          <t>ESS</t>
        </is>
      </c>
      <c r="E243" s="49" t="n">
        <v>5.9</v>
      </c>
      <c r="F243" s="49" t="n">
        <v>5.91</v>
      </c>
      <c r="G243" s="49" t="n">
        <v>5.79</v>
      </c>
      <c r="H243" s="49" t="n">
        <v>6.32</v>
      </c>
      <c r="I243" s="45">
        <f>(F243-E243)/E243</f>
        <v/>
      </c>
      <c r="J243" s="45">
        <f>(G243-F243)/F243</f>
        <v/>
      </c>
      <c r="K243" s="45">
        <f>(H243-G243)/G243</f>
        <v/>
      </c>
    </row>
    <row r="244">
      <c r="D244" s="7" t="inlineStr">
        <is>
          <t>APTV</t>
        </is>
      </c>
      <c r="E244" s="49" t="n">
        <v>4.02</v>
      </c>
      <c r="F244" s="49" t="n">
        <v>4.55</v>
      </c>
      <c r="G244" s="49" t="n">
        <v>5.55</v>
      </c>
      <c r="H244" s="49" t="n">
        <v>6.15</v>
      </c>
      <c r="I244" s="45">
        <f>(F244-E244)/E244</f>
        <v/>
      </c>
      <c r="J244" s="45">
        <f>(G244-F244)/F244</f>
        <v/>
      </c>
      <c r="K244" s="45">
        <f>(H244-G244)/G244</f>
        <v/>
      </c>
    </row>
    <row r="245">
      <c r="D245" s="7" t="inlineStr">
        <is>
          <t>CMI</t>
        </is>
      </c>
      <c r="E245" s="49" t="n">
        <v>13.2</v>
      </c>
      <c r="F245" s="49" t="n">
        <v>15.8</v>
      </c>
      <c r="G245" s="49" t="n">
        <v>14.1</v>
      </c>
      <c r="H245" s="49" t="n">
        <v>14.6</v>
      </c>
      <c r="I245" s="45">
        <f>(F245-E245)/E245</f>
        <v/>
      </c>
      <c r="J245" s="45">
        <f>(G245-F245)/F245</f>
        <v/>
      </c>
      <c r="K245" s="45">
        <f>(H245-G245)/G245</f>
        <v/>
      </c>
    </row>
    <row r="246">
      <c r="D246" s="7" t="inlineStr">
        <is>
          <t>PH</t>
        </is>
      </c>
      <c r="E246" s="49" t="n">
        <v>11.5</v>
      </c>
      <c r="F246" s="49" t="n">
        <v>11.8</v>
      </c>
      <c r="G246" s="49" t="n">
        <v>12.5</v>
      </c>
      <c r="H246" s="49" t="n">
        <v>13.2</v>
      </c>
      <c r="I246" s="45">
        <f>(F246-E246)/E246</f>
        <v/>
      </c>
      <c r="J246" s="45">
        <f>(G246-F246)/F246</f>
        <v/>
      </c>
      <c r="K246" s="45">
        <f>(H246-G246)/G246</f>
        <v/>
      </c>
    </row>
    <row r="247">
      <c r="D247" s="7" t="inlineStr">
        <is>
          <t>PXD</t>
        </is>
      </c>
      <c r="E247" s="49" t="n">
        <v>5.7</v>
      </c>
      <c r="F247" s="49" t="n">
        <v>5.34</v>
      </c>
      <c r="G247" s="49" t="n">
        <v>9.68</v>
      </c>
      <c r="H247" s="49" t="n">
        <v>11.2</v>
      </c>
      <c r="I247" s="45">
        <f>(F247-E247)/E247</f>
        <v/>
      </c>
      <c r="J247" s="45">
        <f>(G247-F247)/F247</f>
        <v/>
      </c>
      <c r="K247" s="45">
        <f>(H247-G247)/G247</f>
        <v/>
      </c>
    </row>
    <row r="248">
      <c r="D248" s="7" t="inlineStr">
        <is>
          <t>FTV</t>
        </is>
      </c>
      <c r="E248" s="49" t="n">
        <v>2.52</v>
      </c>
      <c r="F248" s="49" t="n">
        <v>2.5</v>
      </c>
      <c r="G248" s="49" t="n">
        <v>3.1</v>
      </c>
      <c r="H248" s="49" t="n">
        <v>3.36</v>
      </c>
      <c r="I248" s="45">
        <f>(F248-E248)/E248</f>
        <v/>
      </c>
      <c r="J248" s="45">
        <f>(G248-F248)/F248</f>
        <v/>
      </c>
      <c r="K248" s="45">
        <f>(H248-G248)/G248</f>
        <v/>
      </c>
    </row>
    <row r="249">
      <c r="D249" s="7" t="inlineStr">
        <is>
          <t>SNPS</t>
        </is>
      </c>
      <c r="E249" s="49" t="n">
        <v>2.82</v>
      </c>
      <c r="F249" s="49" t="n">
        <v>3.18</v>
      </c>
      <c r="G249" s="49" t="n">
        <v>3.64</v>
      </c>
      <c r="H249" s="49" t="n">
        <v>4.05</v>
      </c>
      <c r="I249" s="45">
        <f>(F249-E249)/E249</f>
        <v/>
      </c>
      <c r="J249" s="45">
        <f>(G249-F249)/F249</f>
        <v/>
      </c>
      <c r="K249" s="45">
        <f>(H249-G249)/G249</f>
        <v/>
      </c>
    </row>
    <row r="250">
      <c r="D250" s="7" t="inlineStr">
        <is>
          <t>SYF</t>
        </is>
      </c>
      <c r="E250" s="49" t="n">
        <v>3.74</v>
      </c>
      <c r="F250" s="49" t="n">
        <v>5.22</v>
      </c>
      <c r="G250" s="49" t="n">
        <v>4.65</v>
      </c>
      <c r="H250" s="49" t="n">
        <v>5.18</v>
      </c>
      <c r="I250" s="45">
        <f>(F250-E250)/E250</f>
        <v/>
      </c>
      <c r="J250" s="45">
        <f>(G250-F250)/F250</f>
        <v/>
      </c>
      <c r="K250" s="45">
        <f>(H250-G250)/G250</f>
        <v/>
      </c>
    </row>
    <row r="251">
      <c r="D251" s="7" t="inlineStr">
        <is>
          <t>MCHP</t>
        </is>
      </c>
      <c r="E251" s="49" t="n">
        <v>1.42</v>
      </c>
      <c r="F251" s="49" t="n">
        <v>1.09</v>
      </c>
      <c r="G251" s="49" t="n">
        <v>2.33</v>
      </c>
      <c r="H251" s="49" t="n">
        <v>4.37</v>
      </c>
      <c r="I251" s="45">
        <f>(F251-E251)/E251</f>
        <v/>
      </c>
      <c r="J251" s="45">
        <f>(G251-F251)/F251</f>
        <v/>
      </c>
      <c r="K251" s="45">
        <f>(H251-G251)/G251</f>
        <v/>
      </c>
    </row>
    <row r="252">
      <c r="D252" s="7" t="inlineStr">
        <is>
          <t>CLX</t>
        </is>
      </c>
      <c r="E252" s="49" t="n">
        <v>6.32</v>
      </c>
      <c r="F252" s="49" t="n">
        <v>6.39</v>
      </c>
      <c r="G252" s="49" t="n">
        <v>6.71</v>
      </c>
      <c r="H252" s="49" t="n">
        <v>7.08</v>
      </c>
      <c r="I252" s="45">
        <f>(F252-E252)/E252</f>
        <v/>
      </c>
      <c r="J252" s="45">
        <f>(G252-F252)/F252</f>
        <v/>
      </c>
      <c r="K252" s="45">
        <f>(H252-G252)/G252</f>
        <v/>
      </c>
    </row>
    <row r="253">
      <c r="D253" s="7" t="inlineStr">
        <is>
          <t>SWK</t>
        </is>
      </c>
      <c r="E253" s="49" t="n">
        <v>4.26</v>
      </c>
      <c r="F253" s="49" t="n">
        <v>7.73</v>
      </c>
      <c r="G253" s="49" t="n">
        <v>9.19</v>
      </c>
      <c r="H253" s="49" t="n">
        <v>10.3</v>
      </c>
      <c r="I253" s="45">
        <f>(F253-E253)/E253</f>
        <v/>
      </c>
      <c r="J253" s="45">
        <f>(G253-F253)/F253</f>
        <v/>
      </c>
      <c r="K253" s="45">
        <f>(H253-G253)/G253</f>
        <v/>
      </c>
    </row>
    <row r="254">
      <c r="D254" s="7" t="inlineStr">
        <is>
          <t>MKC</t>
        </is>
      </c>
      <c r="E254" s="49" t="n">
        <v>7</v>
      </c>
      <c r="F254" s="49" t="n">
        <v>5.2</v>
      </c>
      <c r="G254" s="49" t="n">
        <v>5.61</v>
      </c>
      <c r="H254" s="49" t="n">
        <v>6.22</v>
      </c>
      <c r="I254" s="45">
        <f>(F254-E254)/E254</f>
        <v/>
      </c>
      <c r="J254" s="45">
        <f>(G254-F254)/F254</f>
        <v/>
      </c>
      <c r="K254" s="45">
        <f>(H254-G254)/G254</f>
        <v/>
      </c>
    </row>
    <row r="255">
      <c r="D255" s="7" t="inlineStr">
        <is>
          <t>MTB</t>
        </is>
      </c>
      <c r="E255" s="49" t="n">
        <v>12.7</v>
      </c>
      <c r="F255" s="49" t="n">
        <v>13.8</v>
      </c>
      <c r="G255" s="49" t="n">
        <v>14.1</v>
      </c>
      <c r="H255" s="49" t="n">
        <v>15.1</v>
      </c>
      <c r="I255" s="45">
        <f>(F255-E255)/E255</f>
        <v/>
      </c>
      <c r="J255" s="45">
        <f>(G255-F255)/F255</f>
        <v/>
      </c>
      <c r="K255" s="45">
        <f>(H255-G255)/G255</f>
        <v/>
      </c>
    </row>
    <row r="256">
      <c r="D256" s="7" t="inlineStr">
        <is>
          <t>MSCI</t>
        </is>
      </c>
      <c r="E256" s="49" t="n">
        <v>5.66</v>
      </c>
      <c r="F256" s="49" t="n">
        <v>6.54</v>
      </c>
      <c r="G256" s="49" t="n">
        <v>6.62</v>
      </c>
      <c r="H256" s="49" t="n">
        <v>8.25</v>
      </c>
      <c r="I256" s="45">
        <f>(F256-E256)/E256</f>
        <v/>
      </c>
      <c r="J256" s="45">
        <f>(G256-F256)/F256</f>
        <v/>
      </c>
      <c r="K256" s="45">
        <f>(H256-G256)/G256</f>
        <v/>
      </c>
    </row>
    <row r="257">
      <c r="D257" s="7" t="inlineStr">
        <is>
          <t>CMG</t>
        </is>
      </c>
      <c r="E257" s="49" t="n">
        <v>6.31</v>
      </c>
      <c r="F257" s="49" t="n">
        <v>12.6</v>
      </c>
      <c r="G257" s="49" t="n">
        <v>17.6</v>
      </c>
      <c r="H257" s="49" t="n">
        <v>22</v>
      </c>
      <c r="I257" s="45">
        <f>(F257-E257)/E257</f>
        <v/>
      </c>
      <c r="J257" s="45">
        <f>(G257-F257)/F257</f>
        <v/>
      </c>
      <c r="K257" s="45">
        <f>(H257-G257)/G257</f>
        <v/>
      </c>
    </row>
    <row r="258">
      <c r="D258" s="7" t="inlineStr">
        <is>
          <t>BXP</t>
        </is>
      </c>
      <c r="E258" s="49" t="n">
        <v>3.7</v>
      </c>
      <c r="F258" s="49" t="n">
        <v>3.1</v>
      </c>
      <c r="G258" s="49" t="n">
        <v>3.53</v>
      </c>
      <c r="H258" s="49" t="n">
        <v>3.3</v>
      </c>
      <c r="I258" s="45">
        <f>(F258-E258)/E258</f>
        <v/>
      </c>
      <c r="J258" s="45">
        <f>(G258-F258)/F258</f>
        <v/>
      </c>
      <c r="K258" s="45">
        <f>(H258-G258)/G258</f>
        <v/>
      </c>
    </row>
    <row r="259">
      <c r="D259" s="7" t="inlineStr">
        <is>
          <t>CHD</t>
        </is>
      </c>
      <c r="E259" s="49" t="n">
        <v>2.27</v>
      </c>
      <c r="F259" s="49" t="n">
        <v>2.49</v>
      </c>
      <c r="G259" s="49" t="n">
        <v>2.7</v>
      </c>
      <c r="H259" s="49" t="n">
        <v>2.88</v>
      </c>
      <c r="I259" s="45">
        <f>(F259-E259)/E259</f>
        <v/>
      </c>
      <c r="J259" s="45">
        <f>(G259-F259)/F259</f>
        <v/>
      </c>
      <c r="K259" s="45">
        <f>(H259-G259)/G259</f>
        <v/>
      </c>
    </row>
    <row r="260">
      <c r="D260" s="7" t="inlineStr">
        <is>
          <t>LYB</t>
        </is>
      </c>
      <c r="E260" s="49" t="n">
        <v>12</v>
      </c>
      <c r="F260" s="49" t="n">
        <v>9.99</v>
      </c>
      <c r="G260" s="49" t="n">
        <v>11.3</v>
      </c>
      <c r="H260" s="49" t="n">
        <v>11.4</v>
      </c>
      <c r="I260" s="45">
        <f>(F260-E260)/E260</f>
        <v/>
      </c>
      <c r="J260" s="45">
        <f>(G260-F260)/F260</f>
        <v/>
      </c>
      <c r="K260" s="45">
        <f>(H260-G260)/G260</f>
        <v/>
      </c>
    </row>
    <row r="261">
      <c r="D261" s="7" t="inlineStr">
        <is>
          <t>AME</t>
        </is>
      </c>
      <c r="E261" s="49" t="n">
        <v>3.34</v>
      </c>
      <c r="F261" s="49" t="n">
        <v>3.68</v>
      </c>
      <c r="G261" s="49" t="n">
        <v>3.94</v>
      </c>
      <c r="H261" s="49" t="n">
        <v>4.4</v>
      </c>
      <c r="I261" s="45">
        <f>(F261-E261)/E261</f>
        <v/>
      </c>
      <c r="J261" s="45">
        <f>(G261-F261)/F261</f>
        <v/>
      </c>
      <c r="K261" s="45">
        <f>(H261-G261)/G261</f>
        <v/>
      </c>
    </row>
    <row r="262">
      <c r="D262" s="7" t="inlineStr">
        <is>
          <t>RMD</t>
        </is>
      </c>
      <c r="E262" s="49" t="n">
        <v>2.8</v>
      </c>
      <c r="F262" s="49" t="n">
        <v>3.56</v>
      </c>
      <c r="G262" s="49" t="n">
        <v>3.95</v>
      </c>
      <c r="H262" s="49" t="n">
        <v>4.35</v>
      </c>
      <c r="I262" s="45">
        <f>(F262-E262)/E262</f>
        <v/>
      </c>
      <c r="J262" s="45">
        <f>(G262-F262)/F262</f>
        <v/>
      </c>
      <c r="K262" s="45">
        <f>(H262-G262)/G262</f>
        <v/>
      </c>
    </row>
    <row r="263">
      <c r="D263" s="7" t="inlineStr">
        <is>
          <t>KR</t>
        </is>
      </c>
      <c r="E263" s="49" t="inlineStr">
        <is>
          <t xml:space="preserve">
                                        </t>
        </is>
      </c>
      <c r="F263" s="49" t="inlineStr">
        <is>
          <t xml:space="preserve">
                                        </t>
        </is>
      </c>
      <c r="G263" s="49" t="inlineStr">
        <is>
          <t xml:space="preserve">
                                        </t>
        </is>
      </c>
      <c r="H263" s="49" t="inlineStr">
        <is>
          <t xml:space="preserve">
                                    </t>
        </is>
      </c>
      <c r="I263" s="45" t="n"/>
      <c r="J263" s="45" t="n"/>
      <c r="K263" s="45" t="n"/>
    </row>
    <row r="264">
      <c r="D264" s="7" t="inlineStr">
        <is>
          <t>CDNS</t>
        </is>
      </c>
      <c r="E264" s="49" t="n">
        <v>1.23</v>
      </c>
      <c r="F264" s="49" t="n">
        <v>1.49</v>
      </c>
      <c r="G264" s="49" t="n">
        <v>1.6</v>
      </c>
      <c r="H264" s="49" t="n">
        <v>1.74</v>
      </c>
      <c r="I264" s="45">
        <f>(F264-E264)/E264</f>
        <v/>
      </c>
      <c r="J264" s="45">
        <f>(G264-F264)/F264</f>
        <v/>
      </c>
      <c r="K264" s="45">
        <f>(H264-G264)/G264</f>
        <v/>
      </c>
    </row>
    <row r="265">
      <c r="D265" s="7" t="inlineStr">
        <is>
          <t>RSG</t>
        </is>
      </c>
      <c r="E265" s="49" t="n">
        <v>3.16</v>
      </c>
      <c r="F265" s="49" t="n">
        <v>3.21</v>
      </c>
      <c r="G265" s="49" t="n">
        <v>3.56</v>
      </c>
      <c r="H265" s="49" t="n">
        <v>3.8</v>
      </c>
      <c r="I265" s="45">
        <f>(F265-E265)/E265</f>
        <v/>
      </c>
      <c r="J265" s="45">
        <f>(G265-F265)/F265</f>
        <v/>
      </c>
      <c r="K265" s="45">
        <f>(H265-G265)/G265</f>
        <v/>
      </c>
    </row>
    <row r="266">
      <c r="D266" s="7" t="inlineStr">
        <is>
          <t>STT</t>
        </is>
      </c>
      <c r="E266" s="49" t="n">
        <v>6.4</v>
      </c>
      <c r="F266" s="49" t="n">
        <v>5.54</v>
      </c>
      <c r="G266" s="49" t="n">
        <v>6.13</v>
      </c>
      <c r="H266" s="49" t="n">
        <v>6.39</v>
      </c>
      <c r="I266" s="45">
        <f>(F266-E266)/E266</f>
        <v/>
      </c>
      <c r="J266" s="45">
        <f>(G266-F266)/F266</f>
        <v/>
      </c>
      <c r="K266" s="45">
        <f>(H266-G266)/G266</f>
        <v/>
      </c>
    </row>
    <row r="267">
      <c r="D267" s="7" t="inlineStr">
        <is>
          <t>WY</t>
        </is>
      </c>
      <c r="E267" s="49" t="inlineStr">
        <is>
          <t xml:space="preserve">
                                        </t>
        </is>
      </c>
      <c r="F267" s="49" t="inlineStr">
        <is>
          <t xml:space="preserve">
                                        </t>
        </is>
      </c>
      <c r="G267" s="49" t="inlineStr">
        <is>
          <t xml:space="preserve">
                                        </t>
        </is>
      </c>
      <c r="H267" s="49" t="inlineStr">
        <is>
          <t xml:space="preserve">
                                    </t>
        </is>
      </c>
      <c r="I267" s="45" t="n"/>
      <c r="J267" s="45" t="n"/>
      <c r="K267" s="45" t="n"/>
    </row>
    <row r="268">
      <c r="D268" s="7" t="inlineStr">
        <is>
          <t>VMC</t>
        </is>
      </c>
      <c r="E268" s="49" t="n">
        <v>3.85</v>
      </c>
      <c r="F268" s="49" t="n">
        <v>4.85</v>
      </c>
      <c r="G268" s="49" t="n">
        <v>5.83</v>
      </c>
      <c r="H268" s="49" t="n">
        <v>6.6</v>
      </c>
      <c r="I268" s="45">
        <f>(F268-E268)/E268</f>
        <v/>
      </c>
      <c r="J268" s="45">
        <f>(G268-F268)/F268</f>
        <v/>
      </c>
      <c r="K268" s="45">
        <f>(H268-G268)/G268</f>
        <v/>
      </c>
    </row>
    <row r="269">
      <c r="D269" s="7" t="inlineStr">
        <is>
          <t>NTRS</t>
        </is>
      </c>
      <c r="E269" s="49" t="n">
        <v>6.64</v>
      </c>
      <c r="F269" s="49" t="n">
        <v>6.59</v>
      </c>
      <c r="G269" s="49" t="n">
        <v>6.98</v>
      </c>
      <c r="H269" s="49" t="n">
        <v>6.34</v>
      </c>
      <c r="I269" s="45">
        <f>(F269-E269)/E269</f>
        <v/>
      </c>
      <c r="J269" s="45">
        <f>(G269-F269)/F269</f>
        <v/>
      </c>
      <c r="K269" s="45">
        <f>(H269-G269)/G269</f>
        <v/>
      </c>
    </row>
    <row r="270">
      <c r="D270" s="7" t="inlineStr">
        <is>
          <t>CNC</t>
        </is>
      </c>
      <c r="E270" s="49" t="n">
        <v>2.26</v>
      </c>
      <c r="F270" s="49" t="n">
        <v>3.9</v>
      </c>
      <c r="G270" s="49" t="n">
        <v>4.48</v>
      </c>
      <c r="H270" s="49" t="n">
        <v>5.27</v>
      </c>
      <c r="I270" s="45">
        <f>(F270-E270)/E270</f>
        <v/>
      </c>
      <c r="J270" s="45">
        <f>(G270-F270)/F270</f>
        <v/>
      </c>
      <c r="K270" s="45">
        <f>(H270-G270)/G270</f>
        <v/>
      </c>
    </row>
    <row r="271">
      <c r="D271" s="7" t="inlineStr">
        <is>
          <t>AEE</t>
        </is>
      </c>
      <c r="E271" s="49" t="n">
        <v>3.32</v>
      </c>
      <c r="F271" s="49" t="n">
        <v>3.23</v>
      </c>
      <c r="G271" s="49" t="n">
        <v>3.5</v>
      </c>
      <c r="H271" s="49" t="n">
        <v>3.83</v>
      </c>
      <c r="I271" s="45">
        <f>(F271-E271)/E271</f>
        <v/>
      </c>
      <c r="J271" s="45">
        <f>(G271-F271)/F271</f>
        <v/>
      </c>
      <c r="K271" s="45">
        <f>(H271-G271)/G271</f>
        <v/>
      </c>
    </row>
    <row r="272">
      <c r="D272" s="7" t="inlineStr">
        <is>
          <t>UAL</t>
        </is>
      </c>
      <c r="E272" s="49" t="n">
        <v>7.7</v>
      </c>
      <c r="F272" s="49" t="n">
        <v>11.4</v>
      </c>
      <c r="G272" s="49" t="n">
        <v>12.3</v>
      </c>
      <c r="H272" s="49" t="n">
        <v>14</v>
      </c>
      <c r="I272" s="45">
        <f>(F272-E272)/E272</f>
        <v/>
      </c>
      <c r="J272" s="45">
        <f>(G272-F272)/F272</f>
        <v/>
      </c>
      <c r="K272" s="45">
        <f>(H272-G272)/G272</f>
        <v/>
      </c>
    </row>
    <row r="273">
      <c r="D273" s="7" t="inlineStr">
        <is>
          <t>FITB</t>
        </is>
      </c>
      <c r="E273" s="49" t="n">
        <v>3.06</v>
      </c>
      <c r="F273" s="49" t="n">
        <v>3.1</v>
      </c>
      <c r="G273" s="49" t="n">
        <v>3</v>
      </c>
      <c r="H273" s="49" t="n">
        <v>3.18</v>
      </c>
      <c r="I273" s="45">
        <f>(F273-E273)/E273</f>
        <v/>
      </c>
      <c r="J273" s="45">
        <f>(G273-F273)/F273</f>
        <v/>
      </c>
      <c r="K273" s="45">
        <f>(H273-G273)/G273</f>
        <v/>
      </c>
    </row>
    <row r="274">
      <c r="D274" s="7" t="inlineStr">
        <is>
          <t>ULTA</t>
        </is>
      </c>
      <c r="E274" s="49" t="inlineStr">
        <is>
          <t xml:space="preserve">
                                        </t>
        </is>
      </c>
      <c r="F274" s="49" t="inlineStr">
        <is>
          <t xml:space="preserve">
                                        </t>
        </is>
      </c>
      <c r="G274" s="49" t="inlineStr">
        <is>
          <t xml:space="preserve">
                                        </t>
        </is>
      </c>
      <c r="H274" s="49" t="inlineStr">
        <is>
          <t xml:space="preserve">
                                    </t>
        </is>
      </c>
      <c r="I274" s="45" t="n"/>
      <c r="J274" s="45" t="n"/>
      <c r="K274" s="45" t="n"/>
    </row>
    <row r="275">
      <c r="D275" s="7" t="inlineStr">
        <is>
          <t>ANSS</t>
        </is>
      </c>
      <c r="E275" s="49" t="n">
        <v>4.88</v>
      </c>
      <c r="F275" s="49" t="n">
        <v>4.91</v>
      </c>
      <c r="G275" s="49" t="n">
        <v>5.3</v>
      </c>
      <c r="H275" s="49" t="n">
        <v>5.91</v>
      </c>
      <c r="I275" s="45">
        <f>(F275-E275)/E275</f>
        <v/>
      </c>
      <c r="J275" s="45">
        <f>(G275-F275)/F275</f>
        <v/>
      </c>
      <c r="K275" s="45">
        <f>(H275-G275)/G275</f>
        <v/>
      </c>
    </row>
    <row r="276">
      <c r="D276" s="7" t="inlineStr">
        <is>
          <t>EXPE</t>
        </is>
      </c>
      <c r="E276" s="49" t="n">
        <v>2.65</v>
      </c>
      <c r="F276" s="49" t="n">
        <v>4.81</v>
      </c>
      <c r="G276" s="49" t="n">
        <v>5.99</v>
      </c>
      <c r="H276" s="49" t="n">
        <v>7.42</v>
      </c>
      <c r="I276" s="45">
        <f>(F276-E276)/E276</f>
        <v/>
      </c>
      <c r="J276" s="45">
        <f>(G276-F276)/F276</f>
        <v/>
      </c>
      <c r="K276" s="45">
        <f>(H276-G276)/G276</f>
        <v/>
      </c>
    </row>
    <row r="277">
      <c r="D277" s="7" t="inlineStr">
        <is>
          <t>RCL</t>
        </is>
      </c>
      <c r="E277" s="49" t="n">
        <v>8.56</v>
      </c>
      <c r="F277" s="49" t="n">
        <v>9.449999999999999</v>
      </c>
      <c r="G277" s="49" t="n">
        <v>10.7</v>
      </c>
      <c r="H277" s="49" t="n">
        <v>12.5</v>
      </c>
      <c r="I277" s="45">
        <f>(F277-E277)/E277</f>
        <v/>
      </c>
      <c r="J277" s="45">
        <f>(G277-F277)/F277</f>
        <v/>
      </c>
      <c r="K277" s="45">
        <f>(H277-G277)/G277</f>
        <v/>
      </c>
    </row>
    <row r="278">
      <c r="D278" s="7" t="inlineStr">
        <is>
          <t>ROK</t>
        </is>
      </c>
      <c r="E278" s="49" t="n">
        <v>4.21</v>
      </c>
      <c r="F278" s="49" t="n">
        <v>7.84</v>
      </c>
      <c r="G278" s="49" t="n">
        <v>8.779999999999999</v>
      </c>
      <c r="H278" s="49" t="n">
        <v>9.199999999999999</v>
      </c>
      <c r="I278" s="45">
        <f>(F278-E278)/E278</f>
        <v/>
      </c>
      <c r="J278" s="45">
        <f>(G278-F278)/F278</f>
        <v/>
      </c>
      <c r="K278" s="45">
        <f>(H278-G278)/G278</f>
        <v/>
      </c>
    </row>
    <row r="279">
      <c r="D279" s="7" t="inlineStr">
        <is>
          <t>CMS</t>
        </is>
      </c>
      <c r="E279" s="49" t="n">
        <v>2.32</v>
      </c>
      <c r="F279" s="49" t="n">
        <v>2.5</v>
      </c>
      <c r="G279" s="49" t="n">
        <v>2.68</v>
      </c>
      <c r="H279" s="49" t="n">
        <v>2.87</v>
      </c>
      <c r="I279" s="45">
        <f>(F279-E279)/E279</f>
        <v/>
      </c>
      <c r="J279" s="45">
        <f>(G279-F279)/F279</f>
        <v/>
      </c>
      <c r="K279" s="45">
        <f>(H279-G279)/G279</f>
        <v/>
      </c>
    </row>
    <row r="280">
      <c r="D280" s="7" t="inlineStr">
        <is>
          <t>KEYS</t>
        </is>
      </c>
      <c r="E280" s="49" t="inlineStr">
        <is>
          <t xml:space="preserve">
                                        </t>
        </is>
      </c>
      <c r="F280" s="49" t="inlineStr">
        <is>
          <t xml:space="preserve">
                                        </t>
        </is>
      </c>
      <c r="G280" s="49" t="inlineStr">
        <is>
          <t xml:space="preserve">
                                        </t>
        </is>
      </c>
      <c r="H280" s="49" t="inlineStr">
        <is>
          <t xml:space="preserve">
                                    </t>
        </is>
      </c>
      <c r="I280" s="45" t="n"/>
      <c r="J280" s="45" t="n"/>
      <c r="K280" s="45" t="n"/>
    </row>
    <row r="281">
      <c r="D281" s="7" t="inlineStr">
        <is>
          <t>CCL</t>
        </is>
      </c>
      <c r="E281" s="49" t="n">
        <v>4.44</v>
      </c>
      <c r="F281" s="49" t="n">
        <v>4.29</v>
      </c>
      <c r="G281" s="49" t="n">
        <v>4.7</v>
      </c>
      <c r="H281" s="49" t="n">
        <v>5.36</v>
      </c>
      <c r="I281" s="45">
        <f>(F281-E281)/E281</f>
        <v/>
      </c>
      <c r="J281" s="45">
        <f>(G281-F281)/F281</f>
        <v/>
      </c>
      <c r="K281" s="45">
        <f>(H281-G281)/G281</f>
        <v/>
      </c>
    </row>
    <row r="282">
      <c r="D282" s="7" t="inlineStr">
        <is>
          <t>HPE</t>
        </is>
      </c>
      <c r="E282" s="49" t="n">
        <v>1.23</v>
      </c>
      <c r="F282" s="49" t="n">
        <v>0.71</v>
      </c>
      <c r="G282" s="49" t="n">
        <v>1.24</v>
      </c>
      <c r="H282" s="49" t="n">
        <v>1.22</v>
      </c>
      <c r="I282" s="45">
        <f>(F282-E282)/E282</f>
        <v/>
      </c>
      <c r="J282" s="45">
        <f>(G282-F282)/F282</f>
        <v/>
      </c>
      <c r="K282" s="45">
        <f>(H282-G282)/G282</f>
        <v/>
      </c>
    </row>
    <row r="283">
      <c r="D283" s="7" t="inlineStr">
        <is>
          <t>EFX</t>
        </is>
      </c>
      <c r="E283" s="49" t="n">
        <v>2.47</v>
      </c>
      <c r="F283" s="49" t="n">
        <v>-1.86</v>
      </c>
      <c r="G283" s="49" t="n">
        <v>4.42</v>
      </c>
      <c r="H283" s="49" t="n">
        <v>5.69</v>
      </c>
      <c r="I283" s="45">
        <f>(F283-E283)/E283</f>
        <v/>
      </c>
      <c r="J283" s="45">
        <f>(G283-F283)/F283</f>
        <v/>
      </c>
      <c r="K283" s="45">
        <f>(H283-G283)/G283</f>
        <v/>
      </c>
    </row>
    <row r="284">
      <c r="D284" s="7" t="inlineStr">
        <is>
          <t>FAST</t>
        </is>
      </c>
      <c r="E284" s="49" t="n">
        <v>1.31</v>
      </c>
      <c r="F284" s="49" t="n">
        <v>1.37</v>
      </c>
      <c r="G284" s="49" t="n">
        <v>1.46</v>
      </c>
      <c r="H284" s="49" t="n">
        <v>1.58</v>
      </c>
      <c r="I284" s="45">
        <f>(F284-E284)/E284</f>
        <v/>
      </c>
      <c r="J284" s="45">
        <f>(G284-F284)/F284</f>
        <v/>
      </c>
      <c r="K284" s="45">
        <f>(H284-G284)/G284</f>
        <v/>
      </c>
    </row>
    <row r="285">
      <c r="D285" s="7" t="inlineStr">
        <is>
          <t>AMP</t>
        </is>
      </c>
      <c r="E285" s="49" t="n">
        <v>14.2</v>
      </c>
      <c r="F285" s="49" t="n">
        <v>14.2</v>
      </c>
      <c r="G285" s="49" t="n">
        <v>15.8</v>
      </c>
      <c r="H285" s="49" t="n">
        <v>16.5</v>
      </c>
      <c r="I285" s="45">
        <f>(F285-E285)/E285</f>
        <v/>
      </c>
      <c r="J285" s="45">
        <f>(G285-F285)/F285</f>
        <v/>
      </c>
      <c r="K285" s="45">
        <f>(H285-G285)/G285</f>
        <v/>
      </c>
    </row>
    <row r="286">
      <c r="D286" s="7" t="inlineStr">
        <is>
          <t>OMC</t>
        </is>
      </c>
      <c r="E286" s="49" t="n">
        <v>5.83</v>
      </c>
      <c r="F286" s="49" t="n">
        <v>5.99</v>
      </c>
      <c r="G286" s="49" t="n">
        <v>6.32</v>
      </c>
      <c r="H286" s="49" t="n">
        <v>6.78</v>
      </c>
      <c r="I286" s="45">
        <f>(F286-E286)/E286</f>
        <v/>
      </c>
      <c r="J286" s="45">
        <f>(G286-F286)/F286</f>
        <v/>
      </c>
      <c r="K286" s="45">
        <f>(H286-G286)/G286</f>
        <v/>
      </c>
    </row>
    <row r="287">
      <c r="D287" s="7" t="inlineStr">
        <is>
          <t>DHI</t>
        </is>
      </c>
      <c r="E287" s="49" t="n">
        <v>3.81</v>
      </c>
      <c r="F287" s="49" t="n">
        <v>4.19</v>
      </c>
      <c r="G287" s="49" t="n">
        <v>4.6</v>
      </c>
      <c r="H287" s="49" t="n">
        <v>4.97</v>
      </c>
      <c r="I287" s="45">
        <f>(F287-E287)/E287</f>
        <v/>
      </c>
      <c r="J287" s="45">
        <f>(G287-F287)/F287</f>
        <v/>
      </c>
      <c r="K287" s="45">
        <f>(H287-G287)/G287</f>
        <v/>
      </c>
    </row>
    <row r="288">
      <c r="D288" s="7" t="inlineStr">
        <is>
          <t>TFX</t>
        </is>
      </c>
      <c r="E288" s="49" t="inlineStr">
        <is>
          <t xml:space="preserve">
                                        </t>
        </is>
      </c>
      <c r="F288" s="49" t="inlineStr">
        <is>
          <t xml:space="preserve">
                                        </t>
        </is>
      </c>
      <c r="G288" s="49" t="inlineStr">
        <is>
          <t xml:space="preserve">
                                        </t>
        </is>
      </c>
      <c r="H288" s="49" t="inlineStr">
        <is>
          <t xml:space="preserve">
                                    </t>
        </is>
      </c>
      <c r="I288" s="45" t="n"/>
      <c r="J288" s="45" t="n"/>
      <c r="K288" s="45" t="n"/>
    </row>
    <row r="289">
      <c r="D289" s="7" t="inlineStr">
        <is>
          <t>ARE</t>
        </is>
      </c>
      <c r="E289" s="49" t="n">
        <v>3.52</v>
      </c>
      <c r="F289" s="49" t="n">
        <v>2.94</v>
      </c>
      <c r="G289" s="49" t="n">
        <v>2.89</v>
      </c>
      <c r="H289" s="49" t="n">
        <v>2.26</v>
      </c>
      <c r="I289" s="45">
        <f>(F289-E289)/E289</f>
        <v/>
      </c>
      <c r="J289" s="45">
        <f>(G289-F289)/F289</f>
        <v/>
      </c>
      <c r="K289" s="45">
        <f>(H289-G289)/G289</f>
        <v/>
      </c>
    </row>
    <row r="290">
      <c r="D290" s="7" t="inlineStr">
        <is>
          <t>CINF</t>
        </is>
      </c>
      <c r="E290" s="49" t="n">
        <v>1.75</v>
      </c>
      <c r="F290" s="49" t="n">
        <v>8.91</v>
      </c>
      <c r="G290" s="49" t="n">
        <v>4.12</v>
      </c>
      <c r="H290" s="49" t="n">
        <v>4.18</v>
      </c>
      <c r="I290" s="45">
        <f>(F290-E290)/E290</f>
        <v/>
      </c>
      <c r="J290" s="45">
        <f>(G290-F290)/F290</f>
        <v/>
      </c>
      <c r="K290" s="45">
        <f>(H290-G290)/G290</f>
        <v/>
      </c>
    </row>
    <row r="291">
      <c r="D291" s="7" t="inlineStr">
        <is>
          <t>LH</t>
        </is>
      </c>
      <c r="E291" s="49" t="n">
        <v>8.609999999999999</v>
      </c>
      <c r="F291" s="49" t="n">
        <v>8.43</v>
      </c>
      <c r="G291" s="49" t="n">
        <v>9.779999999999999</v>
      </c>
      <c r="H291" s="49" t="n">
        <v>10.4</v>
      </c>
      <c r="I291" s="45">
        <f>(F291-E291)/E291</f>
        <v/>
      </c>
      <c r="J291" s="45">
        <f>(G291-F291)/F291</f>
        <v/>
      </c>
      <c r="K291" s="45">
        <f>(H291-G291)/G291</f>
        <v/>
      </c>
    </row>
    <row r="292">
      <c r="D292" s="7" t="inlineStr">
        <is>
          <t>HCP</t>
        </is>
      </c>
      <c r="E292" s="49" t="n">
        <v>2.24</v>
      </c>
      <c r="F292" s="49" t="n">
        <v>0.25</v>
      </c>
      <c r="G292" s="49" t="n">
        <v>0.4</v>
      </c>
      <c r="H292" s="49" t="n">
        <v>0.47</v>
      </c>
      <c r="I292" s="45">
        <f>(F292-E292)/E292</f>
        <v/>
      </c>
      <c r="J292" s="45">
        <f>(G292-F292)/F292</f>
        <v/>
      </c>
      <c r="K292" s="45">
        <f>(H292-G292)/G292</f>
        <v/>
      </c>
    </row>
    <row r="293">
      <c r="D293" s="7" t="inlineStr">
        <is>
          <t>AJG</t>
        </is>
      </c>
      <c r="E293" s="49" t="n">
        <v>3.4</v>
      </c>
      <c r="F293" s="49" t="n">
        <v>3.75</v>
      </c>
      <c r="G293" s="49" t="n">
        <v>4.2</v>
      </c>
      <c r="H293" s="49" t="n">
        <v>4.86</v>
      </c>
      <c r="I293" s="45">
        <f>(F293-E293)/E293</f>
        <v/>
      </c>
      <c r="J293" s="45">
        <f>(G293-F293)/F293</f>
        <v/>
      </c>
      <c r="K293" s="45">
        <f>(H293-G293)/G293</f>
        <v/>
      </c>
    </row>
    <row r="294">
      <c r="D294" s="7" t="inlineStr">
        <is>
          <t>KEY</t>
        </is>
      </c>
      <c r="E294" s="49" t="n">
        <v>1.71</v>
      </c>
      <c r="F294" s="49" t="n">
        <v>1.73</v>
      </c>
      <c r="G294" s="49" t="n">
        <v>1.89</v>
      </c>
      <c r="H294" s="49" t="n">
        <v>2</v>
      </c>
      <c r="I294" s="45">
        <f>(F294-E294)/E294</f>
        <v/>
      </c>
      <c r="J294" s="45">
        <f>(G294-F294)/F294</f>
        <v/>
      </c>
      <c r="K294" s="45">
        <f>(H294-G294)/G294</f>
        <v/>
      </c>
    </row>
    <row r="295">
      <c r="D295" s="7" t="inlineStr">
        <is>
          <t>WDC</t>
        </is>
      </c>
      <c r="E295" s="49" t="n">
        <v>-2.58</v>
      </c>
      <c r="F295" s="49" t="n">
        <v>-0.5</v>
      </c>
      <c r="G295" s="49" t="n">
        <v>3.5</v>
      </c>
      <c r="H295" s="49" t="n">
        <v>4.1</v>
      </c>
      <c r="I295" s="45">
        <f>(F295-E295)/E295</f>
        <v/>
      </c>
      <c r="J295" s="45">
        <f>(G295-F295)/F295</f>
        <v/>
      </c>
      <c r="K295" s="45">
        <f>(H295-G295)/G295</f>
        <v/>
      </c>
    </row>
    <row r="296">
      <c r="D296" s="7" t="inlineStr">
        <is>
          <t>MTD</t>
        </is>
      </c>
      <c r="E296" s="49" t="n">
        <v>19.9</v>
      </c>
      <c r="F296" s="49" t="n">
        <v>22.6</v>
      </c>
      <c r="G296" s="49" t="n">
        <v>25.1</v>
      </c>
      <c r="H296" s="49" t="n">
        <v>28.5</v>
      </c>
      <c r="I296" s="45">
        <f>(F296-E296)/E296</f>
        <v/>
      </c>
      <c r="J296" s="45">
        <f>(G296-F296)/F296</f>
        <v/>
      </c>
      <c r="K296" s="45">
        <f>(H296-G296)/G296</f>
        <v/>
      </c>
    </row>
    <row r="297">
      <c r="D297" s="7" t="inlineStr">
        <is>
          <t>COO</t>
        </is>
      </c>
      <c r="E297" s="49" t="n">
        <v>2.81</v>
      </c>
      <c r="F297" s="49" t="n">
        <v>9.460000000000001</v>
      </c>
      <c r="G297" s="49" t="n">
        <v>11</v>
      </c>
      <c r="H297" s="49" t="n">
        <v>12.6</v>
      </c>
      <c r="I297" s="45">
        <f>(F297-E297)/E297</f>
        <v/>
      </c>
      <c r="J297" s="45">
        <f>(G297-F297)/F297</f>
        <v/>
      </c>
      <c r="K297" s="45">
        <f>(H297-G297)/G297</f>
        <v/>
      </c>
    </row>
    <row r="298">
      <c r="D298" s="7" t="inlineStr">
        <is>
          <t>K</t>
        </is>
      </c>
      <c r="E298" s="49" t="n">
        <v>3.83</v>
      </c>
      <c r="F298" s="49" t="n">
        <v>3.36</v>
      </c>
      <c r="G298" s="49" t="n">
        <v>4</v>
      </c>
      <c r="H298" s="49" t="n">
        <v>4.13</v>
      </c>
      <c r="I298" s="45">
        <f>(F298-E298)/E298</f>
        <v/>
      </c>
      <c r="J298" s="45">
        <f>(G298-F298)/F298</f>
        <v/>
      </c>
      <c r="K298" s="45">
        <f>(H298-G298)/G298</f>
        <v/>
      </c>
    </row>
    <row r="299">
      <c r="D299" s="7" t="inlineStr">
        <is>
          <t>EVRG</t>
        </is>
      </c>
      <c r="E299" s="49" t="n">
        <v>2.88</v>
      </c>
      <c r="F299" s="49" t="n">
        <v>3.17</v>
      </c>
      <c r="G299" s="49" t="n">
        <v>3.32</v>
      </c>
      <c r="H299" s="49" t="inlineStr">
        <is>
          <t xml:space="preserve">
                                    </t>
        </is>
      </c>
      <c r="I299" s="45">
        <f>(F299-E299)/E299</f>
        <v/>
      </c>
      <c r="J299" s="45">
        <f>(G299-F299)/F299</f>
        <v/>
      </c>
      <c r="K299" s="45">
        <f>(H299-G299)/G299</f>
        <v/>
      </c>
    </row>
    <row r="300">
      <c r="D300" s="7" t="inlineStr">
        <is>
          <t>MLM</t>
        </is>
      </c>
      <c r="E300" s="49" t="n">
        <v>7.43</v>
      </c>
      <c r="F300" s="49" t="n">
        <v>9.460000000000001</v>
      </c>
      <c r="G300" s="49" t="n">
        <v>11.2</v>
      </c>
      <c r="H300" s="49" t="n">
        <v>12.7</v>
      </c>
      <c r="I300" s="45">
        <f>(F300-E300)/E300</f>
        <v/>
      </c>
      <c r="J300" s="45">
        <f>(G300-F300)/F300</f>
        <v/>
      </c>
      <c r="K300" s="45">
        <f>(H300-G300)/G300</f>
        <v/>
      </c>
    </row>
    <row r="301">
      <c r="D301" s="7" t="inlineStr">
        <is>
          <t>KHC</t>
        </is>
      </c>
      <c r="E301" s="49" t="n">
        <v>-8.390000000000001</v>
      </c>
      <c r="F301" s="49" t="n">
        <v>1.86</v>
      </c>
      <c r="G301" s="49" t="n">
        <v>2.58</v>
      </c>
      <c r="H301" s="49" t="n">
        <v>2.61</v>
      </c>
      <c r="I301" s="45">
        <f>(F301-E301)/E301</f>
        <v/>
      </c>
      <c r="J301" s="45">
        <f>(G301-F301)/F301</f>
        <v/>
      </c>
      <c r="K301" s="45">
        <f>(H301-G301)/G301</f>
        <v/>
      </c>
    </row>
    <row r="302">
      <c r="D302" s="7" t="inlineStr">
        <is>
          <t>BBY</t>
        </is>
      </c>
      <c r="E302" s="49" t="inlineStr">
        <is>
          <t xml:space="preserve">
                                        </t>
        </is>
      </c>
      <c r="F302" s="49" t="inlineStr">
        <is>
          <t xml:space="preserve">
                                        </t>
        </is>
      </c>
      <c r="G302" s="49" t="inlineStr">
        <is>
          <t xml:space="preserve">
                                        </t>
        </is>
      </c>
      <c r="H302" s="49" t="inlineStr">
        <is>
          <t xml:space="preserve">
                                    </t>
        </is>
      </c>
      <c r="I302" s="45" t="n"/>
      <c r="J302" s="45" t="n"/>
      <c r="K302" s="45" t="n"/>
    </row>
    <row r="303">
      <c r="D303" s="7" t="inlineStr">
        <is>
          <t>EXR</t>
        </is>
      </c>
      <c r="E303" s="49" t="n">
        <v>3.27</v>
      </c>
      <c r="F303" s="49" t="n">
        <v>3.07</v>
      </c>
      <c r="G303" s="49" t="n">
        <v>3.24</v>
      </c>
      <c r="H303" s="49" t="n">
        <v>3.39</v>
      </c>
      <c r="I303" s="45">
        <f>(F303-E303)/E303</f>
        <v/>
      </c>
      <c r="J303" s="45">
        <f>(G303-F303)/F303</f>
        <v/>
      </c>
      <c r="K303" s="45">
        <f>(H303-G303)/G303</f>
        <v/>
      </c>
    </row>
    <row r="304">
      <c r="D304" s="7" t="inlineStr">
        <is>
          <t>HAL</t>
        </is>
      </c>
      <c r="E304" s="49" t="n">
        <v>1.89</v>
      </c>
      <c r="F304" s="49" t="n">
        <v>1.03</v>
      </c>
      <c r="G304" s="49" t="n">
        <v>1.75</v>
      </c>
      <c r="H304" s="49" t="n">
        <v>1.98</v>
      </c>
      <c r="I304" s="45">
        <f>(F304-E304)/E304</f>
        <v/>
      </c>
      <c r="J304" s="45">
        <f>(G304-F304)/F304</f>
        <v/>
      </c>
      <c r="K304" s="45">
        <f>(H304-G304)/G304</f>
        <v/>
      </c>
    </row>
    <row r="305">
      <c r="D305" s="7" t="inlineStr">
        <is>
          <t>CBRE</t>
        </is>
      </c>
      <c r="E305" s="49" t="n">
        <v>3.1</v>
      </c>
      <c r="F305" s="49" t="n">
        <v>3.27</v>
      </c>
      <c r="G305" s="49" t="n">
        <v>3.76</v>
      </c>
      <c r="H305" s="49" t="n">
        <v>4.05</v>
      </c>
      <c r="I305" s="45">
        <f>(F305-E305)/E305</f>
        <v/>
      </c>
      <c r="J305" s="45">
        <f>(G305-F305)/F305</f>
        <v/>
      </c>
      <c r="K305" s="45">
        <f>(H305-G305)/G305</f>
        <v/>
      </c>
    </row>
    <row r="306">
      <c r="D306" s="7" t="inlineStr">
        <is>
          <t>HES</t>
        </is>
      </c>
      <c r="E306" s="49" t="n">
        <v>-1.1</v>
      </c>
      <c r="F306" s="49" t="n">
        <v>-0.15</v>
      </c>
      <c r="G306" s="49" t="n">
        <v>0.8100000000000001</v>
      </c>
      <c r="H306" s="49" t="n">
        <v>1.46</v>
      </c>
      <c r="I306" s="45">
        <f>(F306-E306)/E306</f>
        <v/>
      </c>
      <c r="J306" s="45">
        <f>(G306-F306)/F306</f>
        <v/>
      </c>
      <c r="K306" s="45">
        <f>(H306-G306)/G306</f>
        <v/>
      </c>
    </row>
    <row r="307">
      <c r="D307" s="7" t="inlineStr">
        <is>
          <t>IP</t>
        </is>
      </c>
      <c r="E307" s="49" t="n">
        <v>4.85</v>
      </c>
      <c r="F307" s="49" t="n">
        <v>4</v>
      </c>
      <c r="G307" s="49" t="n">
        <v>4</v>
      </c>
      <c r="H307" s="49" t="n">
        <v>4.6</v>
      </c>
      <c r="I307" s="45">
        <f>(F307-E307)/E307</f>
        <v/>
      </c>
      <c r="J307" s="45">
        <f>(G307-F307)/F307</f>
        <v/>
      </c>
      <c r="K307" s="45">
        <f>(H307-G307)/G307</f>
        <v/>
      </c>
    </row>
    <row r="308">
      <c r="D308" s="7" t="inlineStr">
        <is>
          <t>CPRT</t>
        </is>
      </c>
      <c r="E308" s="49" t="inlineStr">
        <is>
          <t xml:space="preserve">
                                        </t>
        </is>
      </c>
      <c r="F308" s="49" t="inlineStr">
        <is>
          <t xml:space="preserve">
                                        </t>
        </is>
      </c>
      <c r="G308" s="49" t="inlineStr">
        <is>
          <t xml:space="preserve">
                                        </t>
        </is>
      </c>
      <c r="H308" s="49" t="inlineStr">
        <is>
          <t xml:space="preserve">
                                    </t>
        </is>
      </c>
      <c r="I308" s="45" t="n"/>
      <c r="J308" s="45" t="n"/>
      <c r="K308" s="45" t="n"/>
    </row>
    <row r="309">
      <c r="D309" s="7" t="inlineStr">
        <is>
          <t>BR</t>
        </is>
      </c>
      <c r="E309" s="49" t="n">
        <v>4.06</v>
      </c>
      <c r="F309" s="49" t="n">
        <v>4.42</v>
      </c>
      <c r="G309" s="49" t="n">
        <v>4.98</v>
      </c>
      <c r="H309" s="49" t="n">
        <v>5.59</v>
      </c>
      <c r="I309" s="45">
        <f>(F309-E309)/E309</f>
        <v/>
      </c>
      <c r="J309" s="45">
        <f>(G309-F309)/F309</f>
        <v/>
      </c>
      <c r="K309" s="45">
        <f>(H309-G309)/G309</f>
        <v/>
      </c>
    </row>
    <row r="310">
      <c r="D310" s="7" t="inlineStr">
        <is>
          <t>LEN</t>
        </is>
      </c>
      <c r="E310" s="49" t="n">
        <v>5.44</v>
      </c>
      <c r="F310" s="49" t="n">
        <v>5.3</v>
      </c>
      <c r="G310" s="49" t="n">
        <v>5.75</v>
      </c>
      <c r="H310" s="49" t="n">
        <v>6.09</v>
      </c>
      <c r="I310" s="45">
        <f>(F310-E310)/E310</f>
        <v/>
      </c>
      <c r="J310" s="45">
        <f>(G310-F310)/F310</f>
        <v/>
      </c>
      <c r="K310" s="45">
        <f>(H310-G310)/G310</f>
        <v/>
      </c>
    </row>
    <row r="311">
      <c r="D311" s="7" t="inlineStr">
        <is>
          <t>DRI</t>
        </is>
      </c>
      <c r="E311" s="49" t="n">
        <v>5.69</v>
      </c>
      <c r="F311" s="49" t="n">
        <v>6.4</v>
      </c>
      <c r="G311" s="49" t="n">
        <v>6.78</v>
      </c>
      <c r="H311" s="49" t="n">
        <v>7.27</v>
      </c>
      <c r="I311" s="45">
        <f>(F311-E311)/E311</f>
        <v/>
      </c>
      <c r="J311" s="45">
        <f>(G311-F311)/F311</f>
        <v/>
      </c>
      <c r="K311" s="45">
        <f>(H311-G311)/G311</f>
        <v/>
      </c>
    </row>
    <row r="312">
      <c r="D312" s="7" t="inlineStr">
        <is>
          <t>FRC</t>
        </is>
      </c>
      <c r="E312" s="49" t="n">
        <v>4.81</v>
      </c>
      <c r="F312" s="49" t="n">
        <v>4.95</v>
      </c>
      <c r="G312" s="49" t="n">
        <v>5.37</v>
      </c>
      <c r="H312" s="49" t="n">
        <v>5.87</v>
      </c>
      <c r="I312" s="45">
        <f>(F312-E312)/E312</f>
        <v/>
      </c>
      <c r="J312" s="45">
        <f>(G312-F312)/F312</f>
        <v/>
      </c>
      <c r="K312" s="45">
        <f>(H312-G312)/G312</f>
        <v/>
      </c>
    </row>
    <row r="313">
      <c r="D313" s="7" t="inlineStr">
        <is>
          <t>MKTX</t>
        </is>
      </c>
      <c r="E313" s="49" t="n">
        <v>4.57</v>
      </c>
      <c r="F313" s="49" t="n">
        <v>5.16</v>
      </c>
      <c r="G313" s="49" t="n">
        <v>5.92</v>
      </c>
      <c r="H313" s="49" t="n">
        <v>6.8</v>
      </c>
      <c r="I313" s="45">
        <f>(F313-E313)/E313</f>
        <v/>
      </c>
      <c r="J313" s="45">
        <f>(G313-F313)/F313</f>
        <v/>
      </c>
      <c r="K313" s="45">
        <f>(H313-G313)/G313</f>
        <v/>
      </c>
    </row>
    <row r="314">
      <c r="D314" s="7" t="inlineStr">
        <is>
          <t>CBS</t>
        </is>
      </c>
      <c r="E314" s="49" t="n">
        <v>5.14</v>
      </c>
      <c r="F314" s="49" t="n">
        <v>8.279999999999999</v>
      </c>
      <c r="G314" s="49" t="n">
        <v>6.39</v>
      </c>
      <c r="H314" s="49" t="n">
        <v>7.03</v>
      </c>
      <c r="I314" s="45">
        <f>(F314-E314)/E314</f>
        <v/>
      </c>
      <c r="J314" s="45">
        <f>(G314-F314)/F314</f>
        <v/>
      </c>
      <c r="K314" s="45">
        <f>(H314-G314)/G314</f>
        <v/>
      </c>
    </row>
    <row r="315">
      <c r="D315" s="7" t="inlineStr">
        <is>
          <t>CFG</t>
        </is>
      </c>
      <c r="E315" s="49" t="n">
        <v>3.52</v>
      </c>
      <c r="F315" s="49" t="n">
        <v>3.81</v>
      </c>
      <c r="G315" s="49" t="n">
        <v>4.01</v>
      </c>
      <c r="H315" s="49" t="n">
        <v>4.3</v>
      </c>
      <c r="I315" s="45">
        <f>(F315-E315)/E315</f>
        <v/>
      </c>
      <c r="J315" s="45">
        <f>(G315-F315)/F315</f>
        <v/>
      </c>
      <c r="K315" s="45">
        <f>(H315-G315)/G315</f>
        <v/>
      </c>
    </row>
    <row r="316">
      <c r="D316" s="7" t="inlineStr">
        <is>
          <t>FANG</t>
        </is>
      </c>
      <c r="E316" s="49" t="n">
        <v>8.06</v>
      </c>
      <c r="F316" s="49" t="n">
        <v>6.35</v>
      </c>
      <c r="G316" s="49" t="n">
        <v>9.619999999999999</v>
      </c>
      <c r="H316" s="49" t="n">
        <v>11.7</v>
      </c>
      <c r="I316" s="45">
        <f>(F316-E316)/E316</f>
        <v/>
      </c>
      <c r="J316" s="45">
        <f>(G316-F316)/F316</f>
        <v/>
      </c>
      <c r="K316" s="45">
        <f>(H316-G316)/G316</f>
        <v/>
      </c>
    </row>
    <row r="317">
      <c r="D317" s="7" t="inlineStr">
        <is>
          <t>INCY</t>
        </is>
      </c>
      <c r="E317" s="49" t="n">
        <v>0.51</v>
      </c>
      <c r="F317" s="49" t="n">
        <v>1.68</v>
      </c>
      <c r="G317" s="49" t="n">
        <v>2.12</v>
      </c>
      <c r="H317" s="49" t="n">
        <v>3.07</v>
      </c>
      <c r="I317" s="45">
        <f>(F317-E317)/E317</f>
        <v/>
      </c>
      <c r="J317" s="45">
        <f>(G317-F317)/F317</f>
        <v/>
      </c>
      <c r="K317" s="45">
        <f>(H317-G317)/G317</f>
        <v/>
      </c>
    </row>
    <row r="318">
      <c r="D318" s="7" t="inlineStr">
        <is>
          <t>TTWO</t>
        </is>
      </c>
      <c r="E318" s="49" t="n">
        <v>2.9</v>
      </c>
      <c r="F318" s="49" t="n">
        <v>3.99</v>
      </c>
      <c r="G318" s="49" t="n">
        <v>3.35</v>
      </c>
      <c r="H318" s="49" t="n">
        <v>3.92</v>
      </c>
      <c r="I318" s="45">
        <f>(F318-E318)/E318</f>
        <v/>
      </c>
      <c r="J318" s="45">
        <f>(G318-F318)/F318</f>
        <v/>
      </c>
      <c r="K318" s="45">
        <f>(H318-G318)/G318</f>
        <v/>
      </c>
    </row>
    <row r="319">
      <c r="D319" s="7" t="inlineStr">
        <is>
          <t>SYMC</t>
        </is>
      </c>
      <c r="E319" s="49" t="inlineStr">
        <is>
          <t xml:space="preserve">
                                        </t>
        </is>
      </c>
      <c r="F319" s="49" t="inlineStr">
        <is>
          <t xml:space="preserve">
                                        </t>
        </is>
      </c>
      <c r="G319" s="49" t="inlineStr">
        <is>
          <t xml:space="preserve">
                                        </t>
        </is>
      </c>
      <c r="H319" s="49" t="inlineStr">
        <is>
          <t xml:space="preserve">
                                    </t>
        </is>
      </c>
      <c r="I319" s="45" t="n"/>
      <c r="J319" s="45" t="n"/>
      <c r="K319" s="45" t="n"/>
    </row>
    <row r="320">
      <c r="D320" s="7" t="inlineStr">
        <is>
          <t>NUE</t>
        </is>
      </c>
      <c r="E320" s="49" t="n">
        <v>7.42</v>
      </c>
      <c r="F320" s="49" t="n">
        <v>4.43</v>
      </c>
      <c r="G320" s="49" t="n">
        <v>4.25</v>
      </c>
      <c r="H320" s="49" t="n">
        <v>4.55</v>
      </c>
      <c r="I320" s="45">
        <f>(F320-E320)/E320</f>
        <v/>
      </c>
      <c r="J320" s="45">
        <f>(G320-F320)/F320</f>
        <v/>
      </c>
      <c r="K320" s="45">
        <f>(H320-G320)/G320</f>
        <v/>
      </c>
    </row>
    <row r="321">
      <c r="D321" s="7" t="inlineStr">
        <is>
          <t>WAT</t>
        </is>
      </c>
      <c r="E321" s="49" t="n">
        <v>7.65</v>
      </c>
      <c r="F321" s="49" t="n">
        <v>8.710000000000001</v>
      </c>
      <c r="G321" s="49" t="n">
        <v>9.880000000000001</v>
      </c>
      <c r="H321" s="49" t="n">
        <v>11</v>
      </c>
      <c r="I321" s="45">
        <f>(F321-E321)/E321</f>
        <v/>
      </c>
      <c r="J321" s="45">
        <f>(G321-F321)/F321</f>
        <v/>
      </c>
      <c r="K321" s="45">
        <f>(H321-G321)/G321</f>
        <v/>
      </c>
    </row>
    <row r="322">
      <c r="D322" s="7" t="inlineStr">
        <is>
          <t>AKAM</t>
        </is>
      </c>
      <c r="E322" s="49" t="n">
        <v>1.76</v>
      </c>
      <c r="F322" s="49" t="n">
        <v>2.68</v>
      </c>
      <c r="G322" s="49" t="n">
        <v>3.12</v>
      </c>
      <c r="H322" s="49" t="n">
        <v>3.65</v>
      </c>
      <c r="I322" s="45">
        <f>(F322-E322)/E322</f>
        <v/>
      </c>
      <c r="J322" s="45">
        <f>(G322-F322)/F322</f>
        <v/>
      </c>
      <c r="K322" s="45">
        <f>(H322-G322)/G322</f>
        <v/>
      </c>
    </row>
    <row r="323">
      <c r="D323" s="7" t="inlineStr">
        <is>
          <t>MXIM</t>
        </is>
      </c>
      <c r="E323" s="49" t="inlineStr">
        <is>
          <t xml:space="preserve">
                                        </t>
        </is>
      </c>
      <c r="F323" s="49" t="inlineStr">
        <is>
          <t xml:space="preserve">
                                        </t>
        </is>
      </c>
      <c r="G323" s="49" t="inlineStr">
        <is>
          <t xml:space="preserve">
                                        </t>
        </is>
      </c>
      <c r="H323" s="49" t="inlineStr">
        <is>
          <t xml:space="preserve">
                                    </t>
        </is>
      </c>
      <c r="I323" s="45" t="n"/>
      <c r="J323" s="45" t="n"/>
      <c r="K323" s="45" t="n"/>
    </row>
    <row r="324">
      <c r="D324" s="7" t="inlineStr">
        <is>
          <t>MAA</t>
        </is>
      </c>
      <c r="E324" s="49" t="n">
        <v>1.93</v>
      </c>
      <c r="F324" s="49" t="n">
        <v>2.24</v>
      </c>
      <c r="G324" s="49" t="n">
        <v>2.41</v>
      </c>
      <c r="H324" s="49" t="n">
        <v>2.77</v>
      </c>
      <c r="I324" s="45">
        <f>(F324-E324)/E324</f>
        <v/>
      </c>
      <c r="J324" s="45">
        <f>(G324-F324)/F324</f>
        <v/>
      </c>
      <c r="K324" s="45">
        <f>(H324-G324)/G324</f>
        <v/>
      </c>
    </row>
    <row r="325">
      <c r="D325" s="7" t="inlineStr">
        <is>
          <t>MGM</t>
        </is>
      </c>
      <c r="E325" s="49" t="n">
        <v>0.8100000000000001</v>
      </c>
      <c r="F325" s="49" t="n">
        <v>0.79</v>
      </c>
      <c r="G325" s="49" t="n">
        <v>1.54</v>
      </c>
      <c r="H325" s="49" t="n">
        <v>1.72</v>
      </c>
      <c r="I325" s="45">
        <f>(F325-E325)/E325</f>
        <v/>
      </c>
      <c r="J325" s="45">
        <f>(G325-F325)/F325</f>
        <v/>
      </c>
      <c r="K325" s="45">
        <f>(H325-G325)/G325</f>
        <v/>
      </c>
    </row>
    <row r="326">
      <c r="D326" s="7" t="inlineStr">
        <is>
          <t>CXO</t>
        </is>
      </c>
      <c r="E326" s="49" t="n">
        <v>13.3</v>
      </c>
      <c r="F326" s="49" t="n">
        <v>-2.33</v>
      </c>
      <c r="G326" s="49" t="n">
        <v>4.89</v>
      </c>
      <c r="H326" s="49" t="n">
        <v>6.49</v>
      </c>
      <c r="I326" s="45">
        <f>(F326-E326)/E326</f>
        <v/>
      </c>
      <c r="J326" s="45">
        <f>(G326-F326)/F326</f>
        <v/>
      </c>
      <c r="K326" s="45">
        <f>(H326-G326)/G326</f>
        <v/>
      </c>
    </row>
    <row r="327">
      <c r="D327" s="7" t="inlineStr">
        <is>
          <t>RF</t>
        </is>
      </c>
      <c r="E327" s="49" t="n">
        <v>1.54</v>
      </c>
      <c r="F327" s="49" t="n">
        <v>1.52</v>
      </c>
      <c r="G327" s="49" t="n">
        <v>1.63</v>
      </c>
      <c r="H327" s="49" t="n">
        <v>1.74</v>
      </c>
      <c r="I327" s="45">
        <f>(F327-E327)/E327</f>
        <v/>
      </c>
      <c r="J327" s="45">
        <f>(G327-F327)/F327</f>
        <v/>
      </c>
      <c r="K327" s="45">
        <f>(H327-G327)/G327</f>
        <v/>
      </c>
    </row>
    <row r="328">
      <c r="D328" s="7" t="inlineStr">
        <is>
          <t>CNP</t>
        </is>
      </c>
      <c r="E328" s="49" t="n">
        <v>0.74</v>
      </c>
      <c r="F328" s="49" t="n">
        <v>1.44</v>
      </c>
      <c r="G328" s="49" t="n">
        <v>1.78</v>
      </c>
      <c r="H328" s="49" t="n">
        <v>1.91</v>
      </c>
      <c r="I328" s="45">
        <f>(F328-E328)/E328</f>
        <v/>
      </c>
      <c r="J328" s="45">
        <f>(G328-F328)/F328</f>
        <v/>
      </c>
      <c r="K328" s="45">
        <f>(H328-G328)/G328</f>
        <v/>
      </c>
    </row>
    <row r="329">
      <c r="D329" s="7" t="inlineStr">
        <is>
          <t>CE</t>
        </is>
      </c>
      <c r="E329" s="49" t="n">
        <v>8.91</v>
      </c>
      <c r="F329" s="49" t="n">
        <v>8.83</v>
      </c>
      <c r="G329" s="49" t="n">
        <v>10.8</v>
      </c>
      <c r="H329" s="49" t="n">
        <v>11.3</v>
      </c>
      <c r="I329" s="45">
        <f>(F329-E329)/E329</f>
        <v/>
      </c>
      <c r="J329" s="45">
        <f>(G329-F329)/F329</f>
        <v/>
      </c>
      <c r="K329" s="45">
        <f>(H329-G329)/G329</f>
        <v/>
      </c>
    </row>
    <row r="330">
      <c r="D330" s="7" t="inlineStr">
        <is>
          <t>CAG</t>
        </is>
      </c>
      <c r="E330" s="49" t="inlineStr">
        <is>
          <t xml:space="preserve">
                                        </t>
        </is>
      </c>
      <c r="F330" s="49" t="inlineStr">
        <is>
          <t xml:space="preserve">
                                        </t>
        </is>
      </c>
      <c r="G330" s="49" t="inlineStr">
        <is>
          <t xml:space="preserve">
                                        </t>
        </is>
      </c>
      <c r="H330" s="49" t="inlineStr">
        <is>
          <t xml:space="preserve">
                                    </t>
        </is>
      </c>
      <c r="I330" s="45" t="n"/>
      <c r="J330" s="45" t="n"/>
      <c r="K330" s="45" t="n"/>
    </row>
    <row r="331">
      <c r="D331" s="7" t="inlineStr">
        <is>
          <t>PFG</t>
        </is>
      </c>
      <c r="E331" s="49" t="n">
        <v>5.36</v>
      </c>
      <c r="F331" s="49" t="n">
        <v>5.54</v>
      </c>
      <c r="G331" s="49" t="n">
        <v>5.84</v>
      </c>
      <c r="H331" s="49" t="n">
        <v>6.3</v>
      </c>
      <c r="I331" s="45">
        <f>(F331-E331)/E331</f>
        <v/>
      </c>
      <c r="J331" s="45">
        <f>(G331-F331)/F331</f>
        <v/>
      </c>
      <c r="K331" s="45">
        <f>(H331-G331)/G331</f>
        <v/>
      </c>
    </row>
    <row r="332">
      <c r="D332" s="7" t="inlineStr">
        <is>
          <t>DGX</t>
        </is>
      </c>
      <c r="E332" s="49" t="n">
        <v>5.29</v>
      </c>
      <c r="F332" s="49" t="n">
        <v>5.58</v>
      </c>
      <c r="G332" s="49" t="n">
        <v>5.97</v>
      </c>
      <c r="H332" s="49" t="n">
        <v>6.35</v>
      </c>
      <c r="I332" s="45">
        <f>(F332-E332)/E332</f>
        <v/>
      </c>
      <c r="J332" s="45">
        <f>(G332-F332)/F332</f>
        <v/>
      </c>
      <c r="K332" s="45">
        <f>(H332-G332)/G332</f>
        <v/>
      </c>
    </row>
    <row r="333">
      <c r="D333" s="7" t="inlineStr">
        <is>
          <t>KMX</t>
        </is>
      </c>
      <c r="E333" s="49" t="n">
        <v>4.79</v>
      </c>
      <c r="F333" s="49" t="n">
        <v>5.27</v>
      </c>
      <c r="G333" s="49" t="n">
        <v>5.68</v>
      </c>
      <c r="H333" s="49" t="n">
        <v>6.48</v>
      </c>
      <c r="I333" s="45">
        <f>(F333-E333)/E333</f>
        <v/>
      </c>
      <c r="J333" s="45">
        <f>(G333-F333)/F333</f>
        <v/>
      </c>
      <c r="K333" s="45">
        <f>(H333-G333)/G333</f>
        <v/>
      </c>
    </row>
    <row r="334">
      <c r="D334" s="7" t="inlineStr">
        <is>
          <t>UDR</t>
        </is>
      </c>
      <c r="E334" s="49" t="n">
        <v>0.74</v>
      </c>
      <c r="F334" s="49" t="n">
        <v>0.39</v>
      </c>
      <c r="G334" s="49" t="n">
        <v>0.44</v>
      </c>
      <c r="H334" s="49" t="n">
        <v>0.42</v>
      </c>
      <c r="I334" s="45">
        <f>(F334-E334)/E334</f>
        <v/>
      </c>
      <c r="J334" s="45">
        <f>(G334-F334)/F334</f>
        <v/>
      </c>
      <c r="K334" s="45">
        <f>(H334-G334)/G334</f>
        <v/>
      </c>
    </row>
    <row r="335">
      <c r="D335" s="7" t="inlineStr">
        <is>
          <t>WCG</t>
        </is>
      </c>
      <c r="E335" s="49" t="n">
        <v>9.289999999999999</v>
      </c>
      <c r="F335" s="49" t="n">
        <v>11.3</v>
      </c>
      <c r="G335" s="49" t="n">
        <v>14.5</v>
      </c>
      <c r="H335" s="49" t="n">
        <v>17.2</v>
      </c>
      <c r="I335" s="45">
        <f>(F335-E335)/E335</f>
        <v/>
      </c>
      <c r="J335" s="45">
        <f>(G335-F335)/F335</f>
        <v/>
      </c>
      <c r="K335" s="45">
        <f>(H335-G335)/G335</f>
        <v/>
      </c>
    </row>
    <row r="336">
      <c r="D336" s="7" t="inlineStr">
        <is>
          <t>XYL</t>
        </is>
      </c>
      <c r="E336" s="49" t="n">
        <v>3.03</v>
      </c>
      <c r="F336" s="49" t="n">
        <v>2.89</v>
      </c>
      <c r="G336" s="49" t="n">
        <v>3.59</v>
      </c>
      <c r="H336" s="49" t="n">
        <v>4.07</v>
      </c>
      <c r="I336" s="45">
        <f>(F336-E336)/E336</f>
        <v/>
      </c>
      <c r="J336" s="45">
        <f>(G336-F336)/F336</f>
        <v/>
      </c>
      <c r="K336" s="45">
        <f>(H336-G336)/G336</f>
        <v/>
      </c>
    </row>
    <row r="337">
      <c r="D337" s="7" t="inlineStr">
        <is>
          <t>HBAN</t>
        </is>
      </c>
      <c r="E337" s="49" t="n">
        <v>1.2</v>
      </c>
      <c r="F337" s="49" t="n">
        <v>1.31</v>
      </c>
      <c r="G337" s="49" t="n">
        <v>1.34</v>
      </c>
      <c r="H337" s="49" t="n">
        <v>1.43</v>
      </c>
      <c r="I337" s="45">
        <f>(F337-E337)/E337</f>
        <v/>
      </c>
      <c r="J337" s="45">
        <f>(G337-F337)/F337</f>
        <v/>
      </c>
      <c r="K337" s="45">
        <f>(H337-G337)/G337</f>
        <v/>
      </c>
    </row>
    <row r="338">
      <c r="D338" s="7" t="inlineStr">
        <is>
          <t>ABC</t>
        </is>
      </c>
      <c r="E338" s="49" t="n">
        <v>7.53</v>
      </c>
      <c r="F338" s="49" t="n">
        <v>5.54</v>
      </c>
      <c r="G338" s="49" t="n">
        <v>7.2</v>
      </c>
      <c r="H338" s="49" t="n">
        <v>7.73</v>
      </c>
      <c r="I338" s="45">
        <f>(F338-E338)/E338</f>
        <v/>
      </c>
      <c r="J338" s="45">
        <f>(G338-F338)/F338</f>
        <v/>
      </c>
      <c r="K338" s="45">
        <f>(H338-G338)/G338</f>
        <v/>
      </c>
    </row>
    <row r="339">
      <c r="D339" s="7" t="inlineStr">
        <is>
          <t>HOLX</t>
        </is>
      </c>
      <c r="E339" s="49" t="n">
        <v>-0.4</v>
      </c>
      <c r="F339" s="49" t="n">
        <v>0.1</v>
      </c>
      <c r="G339" s="49" t="n">
        <v>1.69</v>
      </c>
      <c r="H339" s="49" t="n">
        <v>2.12</v>
      </c>
      <c r="I339" s="45">
        <f>(F339-E339)/E339</f>
        <v/>
      </c>
      <c r="J339" s="45">
        <f>(G339-F339)/F339</f>
        <v/>
      </c>
      <c r="K339" s="45">
        <f>(H339-G339)/G339</f>
        <v/>
      </c>
    </row>
    <row r="340">
      <c r="D340" s="7" t="inlineStr">
        <is>
          <t>FCX</t>
        </is>
      </c>
      <c r="E340" s="49" t="n">
        <v>1.55</v>
      </c>
      <c r="F340" s="49" t="n">
        <v>0.12</v>
      </c>
      <c r="G340" s="49" t="n">
        <v>0.6</v>
      </c>
      <c r="H340" s="49" t="n">
        <v>1.36</v>
      </c>
      <c r="I340" s="45">
        <f>(F340-E340)/E340</f>
        <v/>
      </c>
      <c r="J340" s="45">
        <f>(G340-F340)/F340</f>
        <v/>
      </c>
      <c r="K340" s="45">
        <f>(H340-G340)/G340</f>
        <v/>
      </c>
    </row>
    <row r="341">
      <c r="D341" s="7" t="inlineStr">
        <is>
          <t>DOV</t>
        </is>
      </c>
      <c r="E341" s="49" t="inlineStr">
        <is>
          <t xml:space="preserve">
                                        </t>
        </is>
      </c>
      <c r="F341" s="49" t="inlineStr">
        <is>
          <t xml:space="preserve">
                                        </t>
        </is>
      </c>
      <c r="G341" s="49" t="inlineStr">
        <is>
          <t xml:space="preserve">
                                        </t>
        </is>
      </c>
      <c r="H341" s="49" t="inlineStr">
        <is>
          <t xml:space="preserve">
                                    </t>
        </is>
      </c>
      <c r="I341" s="45" t="n"/>
      <c r="J341" s="45" t="n"/>
      <c r="K341" s="45" t="n"/>
    </row>
    <row r="342">
      <c r="D342" s="7" t="inlineStr">
        <is>
          <t>GPC</t>
        </is>
      </c>
      <c r="E342" s="49" t="inlineStr">
        <is>
          <t xml:space="preserve">
                                        </t>
        </is>
      </c>
      <c r="F342" s="49" t="inlineStr">
        <is>
          <t xml:space="preserve">
                                        </t>
        </is>
      </c>
      <c r="G342" s="49" t="inlineStr">
        <is>
          <t xml:space="preserve">
                                        </t>
        </is>
      </c>
      <c r="H342" s="49" t="inlineStr">
        <is>
          <t xml:space="preserve">
                                    </t>
        </is>
      </c>
      <c r="I342" s="45" t="n"/>
      <c r="J342" s="45" t="n"/>
      <c r="K342" s="45" t="n"/>
    </row>
    <row r="343">
      <c r="D343" s="7" t="inlineStr">
        <is>
          <t>ALGN</t>
        </is>
      </c>
      <c r="E343" s="49" t="n">
        <v>4.92</v>
      </c>
      <c r="F343" s="49" t="n">
        <v>5.16</v>
      </c>
      <c r="G343" s="49" t="n">
        <v>6.45</v>
      </c>
      <c r="H343" s="49" t="n">
        <v>8.15</v>
      </c>
      <c r="I343" s="45">
        <f>(F343-E343)/E343</f>
        <v/>
      </c>
      <c r="J343" s="45">
        <f>(G343-F343)/F343</f>
        <v/>
      </c>
      <c r="K343" s="45">
        <f>(H343-G343)/G343</f>
        <v/>
      </c>
    </row>
    <row r="344">
      <c r="D344" s="7" t="inlineStr">
        <is>
          <t>SWKS</t>
        </is>
      </c>
      <c r="E344" s="49" t="n">
        <v>5.01</v>
      </c>
      <c r="F344" s="49" t="n">
        <v>4.89</v>
      </c>
      <c r="G344" s="49" t="n">
        <v>5.22</v>
      </c>
      <c r="H344" s="49" t="n">
        <v>6.39</v>
      </c>
      <c r="I344" s="45">
        <f>(F344-E344)/E344</f>
        <v/>
      </c>
      <c r="J344" s="45">
        <f>(G344-F344)/F344</f>
        <v/>
      </c>
      <c r="K344" s="45">
        <f>(H344-G344)/G344</f>
        <v/>
      </c>
    </row>
    <row r="345">
      <c r="D345" s="7" t="inlineStr">
        <is>
          <t>L</t>
        </is>
      </c>
      <c r="E345" s="49" t="n"/>
      <c r="F345" s="49" t="n"/>
      <c r="G345" s="49" t="inlineStr">
        <is>
          <t xml:space="preserve">
                                    </t>
        </is>
      </c>
      <c r="H345" s="49" t="inlineStr">
        <is>
          <t xml:space="preserve">
                                        </t>
        </is>
      </c>
      <c r="I345" s="45" t="n"/>
      <c r="J345" s="45" t="n"/>
      <c r="K345" s="45" t="n"/>
    </row>
    <row r="346">
      <c r="D346" s="7" t="inlineStr">
        <is>
          <t>ATO</t>
        </is>
      </c>
      <c r="E346" s="49" t="n">
        <v>5.43</v>
      </c>
      <c r="F346" s="49" t="n">
        <v>4.34</v>
      </c>
      <c r="G346" s="49" t="n">
        <v>4.64</v>
      </c>
      <c r="H346" s="49" t="n">
        <v>4.97</v>
      </c>
      <c r="I346" s="45">
        <f>(F346-E346)/E346</f>
        <v/>
      </c>
      <c r="J346" s="45">
        <f>(G346-F346)/F346</f>
        <v/>
      </c>
      <c r="K346" s="45">
        <f>(H346-G346)/G346</f>
        <v/>
      </c>
    </row>
    <row r="347">
      <c r="D347" s="7" t="inlineStr">
        <is>
          <t>CAH</t>
        </is>
      </c>
      <c r="E347" s="49" t="n">
        <v>4.53</v>
      </c>
      <c r="F347" s="49" t="n">
        <v>3.35</v>
      </c>
      <c r="G347" s="49" t="n">
        <v>3.62</v>
      </c>
      <c r="H347" s="49" t="n">
        <v>3.82</v>
      </c>
      <c r="I347" s="45">
        <f>(F347-E347)/E347</f>
        <v/>
      </c>
      <c r="J347" s="45">
        <f>(G347-F347)/F347</f>
        <v/>
      </c>
      <c r="K347" s="45">
        <f>(H347-G347)/G347</f>
        <v/>
      </c>
    </row>
    <row r="348">
      <c r="D348" s="7" t="inlineStr">
        <is>
          <t>SJM</t>
        </is>
      </c>
      <c r="E348" s="49" t="inlineStr">
        <is>
          <t xml:space="preserve">
                                        </t>
        </is>
      </c>
      <c r="F348" s="49" t="inlineStr">
        <is>
          <t xml:space="preserve">
                                        </t>
        </is>
      </c>
      <c r="G348" s="49" t="inlineStr">
        <is>
          <t xml:space="preserve">
                                        </t>
        </is>
      </c>
      <c r="H348" s="49" t="inlineStr">
        <is>
          <t xml:space="preserve">
                                    </t>
        </is>
      </c>
      <c r="I348" s="45" t="n"/>
      <c r="J348" s="45" t="n"/>
      <c r="K348" s="45" t="n"/>
    </row>
    <row r="349">
      <c r="D349" s="7" t="inlineStr">
        <is>
          <t>XRAY</t>
        </is>
      </c>
      <c r="E349" s="49" t="n">
        <v>-4.51</v>
      </c>
      <c r="F349" s="49" t="n">
        <v>1.2</v>
      </c>
      <c r="G349" s="49" t="n">
        <v>1.88</v>
      </c>
      <c r="H349" s="49" t="n">
        <v>2.35</v>
      </c>
      <c r="I349" s="45">
        <f>(F349-E349)/E349</f>
        <v/>
      </c>
      <c r="J349" s="45">
        <f>(G349-F349)/F349</f>
        <v/>
      </c>
      <c r="K349" s="45">
        <f>(H349-G349)/G349</f>
        <v/>
      </c>
    </row>
    <row r="350">
      <c r="D350" s="7" t="inlineStr">
        <is>
          <t>IEX</t>
        </is>
      </c>
      <c r="E350" s="49" t="n">
        <v>5.29</v>
      </c>
      <c r="F350" s="49" t="n">
        <v>5.81</v>
      </c>
      <c r="G350" s="49" t="n">
        <v>6.14</v>
      </c>
      <c r="H350" s="49" t="n">
        <v>6.62</v>
      </c>
      <c r="I350" s="45">
        <f>(F350-E350)/E350</f>
        <v/>
      </c>
      <c r="J350" s="45">
        <f>(G350-F350)/F350</f>
        <v/>
      </c>
      <c r="K350" s="45">
        <f>(H350-G350)/G350</f>
        <v/>
      </c>
    </row>
    <row r="351">
      <c r="D351" s="7" t="inlineStr">
        <is>
          <t>KSU</t>
        </is>
      </c>
      <c r="E351" s="49" t="n">
        <v>6.13</v>
      </c>
      <c r="F351" s="49" t="n">
        <v>5.86</v>
      </c>
      <c r="G351" s="49" t="n">
        <v>7.74</v>
      </c>
      <c r="H351" s="49" t="n">
        <v>8.890000000000001</v>
      </c>
      <c r="I351" s="45">
        <f>(F351-E351)/E351</f>
        <v/>
      </c>
      <c r="J351" s="45">
        <f>(G351-F351)/F351</f>
        <v/>
      </c>
      <c r="K351" s="45">
        <f>(H351-G351)/G351</f>
        <v/>
      </c>
    </row>
    <row r="352">
      <c r="D352" s="7" t="inlineStr">
        <is>
          <t>HAS</t>
        </is>
      </c>
      <c r="E352" s="49" t="n">
        <v>1.74</v>
      </c>
      <c r="F352" s="49" t="n">
        <v>4.28</v>
      </c>
      <c r="G352" s="49" t="n">
        <v>5.25</v>
      </c>
      <c r="H352" s="49" t="n">
        <v>5.75</v>
      </c>
      <c r="I352" s="45">
        <f>(F352-E352)/E352</f>
        <v/>
      </c>
      <c r="J352" s="45">
        <f>(G352-F352)/F352</f>
        <v/>
      </c>
      <c r="K352" s="45">
        <f>(H352-G352)/G352</f>
        <v/>
      </c>
    </row>
    <row r="353">
      <c r="D353" s="7" t="inlineStr">
        <is>
          <t>UHS</t>
        </is>
      </c>
      <c r="E353" s="49" t="n">
        <v>8.31</v>
      </c>
      <c r="F353" s="49" t="n">
        <v>10</v>
      </c>
      <c r="G353" s="49" t="n">
        <v>11</v>
      </c>
      <c r="H353" s="49" t="n">
        <v>12.1</v>
      </c>
      <c r="I353" s="45">
        <f>(F353-E353)/E353</f>
        <v/>
      </c>
      <c r="J353" s="45">
        <f>(G353-F353)/F353</f>
        <v/>
      </c>
      <c r="K353" s="45">
        <f>(H353-G353)/G353</f>
        <v/>
      </c>
    </row>
    <row r="354">
      <c r="D354" s="7" t="inlineStr">
        <is>
          <t>GWW</t>
        </is>
      </c>
      <c r="E354" s="49" t="n">
        <v>13.7</v>
      </c>
      <c r="F354" s="49" t="n">
        <v>17.7</v>
      </c>
      <c r="G354" s="49" t="n">
        <v>19.1</v>
      </c>
      <c r="H354" s="49" t="n">
        <v>20.4</v>
      </c>
      <c r="I354" s="45">
        <f>(F354-E354)/E354</f>
        <v/>
      </c>
      <c r="J354" s="45">
        <f>(G354-F354)/F354</f>
        <v/>
      </c>
      <c r="K354" s="45">
        <f>(H354-G354)/G354</f>
        <v/>
      </c>
    </row>
    <row r="355">
      <c r="D355" s="7" t="inlineStr">
        <is>
          <t>LDOS</t>
        </is>
      </c>
      <c r="E355" s="49" t="n">
        <v>3.8</v>
      </c>
      <c r="F355" s="49" t="n">
        <v>4.33</v>
      </c>
      <c r="G355" s="49" t="n">
        <v>4.58</v>
      </c>
      <c r="H355" s="49" t="n">
        <v>5.23</v>
      </c>
      <c r="I355" s="45">
        <f>(F355-E355)/E355</f>
        <v/>
      </c>
      <c r="J355" s="45">
        <f>(G355-F355)/F355</f>
        <v/>
      </c>
      <c r="K355" s="45">
        <f>(H355-G355)/G355</f>
        <v/>
      </c>
    </row>
    <row r="356">
      <c r="D356" s="7" t="inlineStr">
        <is>
          <t>STX</t>
        </is>
      </c>
      <c r="E356" s="49" t="n">
        <v>7.06</v>
      </c>
      <c r="F356" s="49" t="n">
        <v>4.29</v>
      </c>
      <c r="G356" s="49" t="n">
        <v>4.52</v>
      </c>
      <c r="H356" s="49" t="n">
        <v>4.32</v>
      </c>
      <c r="I356" s="45">
        <f>(F356-E356)/E356</f>
        <v/>
      </c>
      <c r="J356" s="45">
        <f>(G356-F356)/F356</f>
        <v/>
      </c>
      <c r="K356" s="45">
        <f>(H356-G356)/G356</f>
        <v/>
      </c>
    </row>
    <row r="357">
      <c r="D357" s="7" t="inlineStr">
        <is>
          <t>ANET</t>
        </is>
      </c>
      <c r="E357" s="49" t="n">
        <v>4.06</v>
      </c>
      <c r="F357" s="49" t="n">
        <v>9.26</v>
      </c>
      <c r="G357" s="49" t="n">
        <v>9.470000000000001</v>
      </c>
      <c r="H357" s="49" t="n">
        <v>10</v>
      </c>
      <c r="I357" s="45">
        <f>(F357-E357)/E357</f>
        <v/>
      </c>
      <c r="J357" s="45">
        <f>(G357-F357)/F357</f>
        <v/>
      </c>
      <c r="K357" s="45">
        <f>(H357-G357)/G357</f>
        <v/>
      </c>
    </row>
    <row r="358">
      <c r="D358" s="7" t="inlineStr">
        <is>
          <t>DRE</t>
        </is>
      </c>
      <c r="E358" s="49" t="n">
        <v>1.07</v>
      </c>
      <c r="F358" s="49" t="n">
        <v>0.61</v>
      </c>
      <c r="G358" s="49" t="n">
        <v>0.63</v>
      </c>
      <c r="H358" s="49" t="n">
        <v>0.52</v>
      </c>
      <c r="I358" s="45">
        <f>(F358-E358)/E358</f>
        <v/>
      </c>
      <c r="J358" s="45">
        <f>(G358-F358)/F358</f>
        <v/>
      </c>
      <c r="K358" s="45">
        <f>(H358-G358)/G358</f>
        <v/>
      </c>
    </row>
    <row r="359">
      <c r="D359" s="7" t="inlineStr">
        <is>
          <t>EXPD</t>
        </is>
      </c>
      <c r="E359" s="49" t="n">
        <v>3.48</v>
      </c>
      <c r="F359" s="49" t="n">
        <v>3.53</v>
      </c>
      <c r="G359" s="49" t="n">
        <v>3.78</v>
      </c>
      <c r="H359" s="49" t="n">
        <v>4.11</v>
      </c>
      <c r="I359" s="45">
        <f>(F359-E359)/E359</f>
        <v/>
      </c>
      <c r="J359" s="45">
        <f>(G359-F359)/F359</f>
        <v/>
      </c>
      <c r="K359" s="45">
        <f>(H359-G359)/G359</f>
        <v/>
      </c>
    </row>
    <row r="360">
      <c r="D360" s="7" t="inlineStr">
        <is>
          <t>HST</t>
        </is>
      </c>
      <c r="E360" s="49" t="n">
        <v>1.47</v>
      </c>
      <c r="F360" s="49" t="n">
        <v>1.31</v>
      </c>
      <c r="G360" s="49" t="n">
        <v>0.77</v>
      </c>
      <c r="H360" s="49" t="n">
        <v>0.66</v>
      </c>
      <c r="I360" s="45">
        <f>(F360-E360)/E360</f>
        <v/>
      </c>
      <c r="J360" s="45">
        <f>(G360-F360)/F360</f>
        <v/>
      </c>
      <c r="K360" s="45">
        <f>(H360-G360)/G360</f>
        <v/>
      </c>
    </row>
    <row r="361">
      <c r="D361" s="7" t="inlineStr">
        <is>
          <t>TSCO</t>
        </is>
      </c>
      <c r="E361" s="49" t="n">
        <v>4.31</v>
      </c>
      <c r="F361" s="49" t="n">
        <v>4.74</v>
      </c>
      <c r="G361" s="49" t="n">
        <v>5.27</v>
      </c>
      <c r="H361" s="49" t="n">
        <v>5.83</v>
      </c>
      <c r="I361" s="45">
        <f>(F361-E361)/E361</f>
        <v/>
      </c>
      <c r="J361" s="45">
        <f>(G361-F361)/F361</f>
        <v/>
      </c>
      <c r="K361" s="45">
        <f>(H361-G361)/G361</f>
        <v/>
      </c>
    </row>
    <row r="362">
      <c r="D362" s="7" t="inlineStr">
        <is>
          <t>CTXS</t>
        </is>
      </c>
      <c r="E362" s="49" t="n">
        <v>3.94</v>
      </c>
      <c r="F362" s="49" t="n">
        <v>3.4</v>
      </c>
      <c r="G362" s="49" t="n">
        <v>4.03</v>
      </c>
      <c r="H362" s="49" t="n">
        <v>5</v>
      </c>
      <c r="I362" s="45">
        <f>(F362-E362)/E362</f>
        <v/>
      </c>
      <c r="J362" s="45">
        <f>(G362-F362)/F362</f>
        <v/>
      </c>
      <c r="K362" s="45">
        <f>(H362-G362)/G362</f>
        <v/>
      </c>
    </row>
    <row r="363">
      <c r="D363" s="7" t="inlineStr">
        <is>
          <t>IT</t>
        </is>
      </c>
      <c r="E363" s="49" t="inlineStr">
        <is>
          <t xml:space="preserve">
                                        </t>
        </is>
      </c>
      <c r="F363" s="49" t="inlineStr">
        <is>
          <t xml:space="preserve">
                                        </t>
        </is>
      </c>
      <c r="G363" s="49" t="inlineStr">
        <is>
          <t xml:space="preserve">
                                        </t>
        </is>
      </c>
      <c r="H363" s="49" t="inlineStr">
        <is>
          <t xml:space="preserve">
                                    </t>
        </is>
      </c>
      <c r="I363" s="45" t="n"/>
      <c r="J363" s="45" t="n"/>
      <c r="K363" s="45" t="n"/>
    </row>
    <row r="364">
      <c r="D364" s="7" t="inlineStr">
        <is>
          <t>HRL</t>
        </is>
      </c>
      <c r="E364" s="49" t="n">
        <v>1.86</v>
      </c>
      <c r="F364" s="49" t="n">
        <v>1.77</v>
      </c>
      <c r="G364" s="49" t="n">
        <v>1.79</v>
      </c>
      <c r="H364" s="49" t="n">
        <v>1.88</v>
      </c>
      <c r="I364" s="45">
        <f>(F364-E364)/E364</f>
        <v/>
      </c>
      <c r="J364" s="45">
        <f>(G364-F364)/F364</f>
        <v/>
      </c>
      <c r="K364" s="45">
        <f>(H364-G364)/G364</f>
        <v/>
      </c>
    </row>
    <row r="365">
      <c r="D365" s="7" t="inlineStr">
        <is>
          <t>MAS</t>
        </is>
      </c>
      <c r="E365" s="49" t="n">
        <v>2.37</v>
      </c>
      <c r="F365" s="49" t="n">
        <v>2.59</v>
      </c>
      <c r="G365" s="49" t="n">
        <v>2.58</v>
      </c>
      <c r="H365" s="49" t="n">
        <v>2.91</v>
      </c>
      <c r="I365" s="45">
        <f>(F365-E365)/E365</f>
        <v/>
      </c>
      <c r="J365" s="45">
        <f>(G365-F365)/F365</f>
        <v/>
      </c>
      <c r="K365" s="45">
        <f>(H365-G365)/G365</f>
        <v/>
      </c>
    </row>
    <row r="366">
      <c r="D366" s="7" t="inlineStr">
        <is>
          <t>NDAQ</t>
        </is>
      </c>
      <c r="E366" s="49" t="n">
        <v>2.73</v>
      </c>
      <c r="F366" s="49" t="n">
        <v>4.75</v>
      </c>
      <c r="G366" s="49" t="n">
        <v>4.98</v>
      </c>
      <c r="H366" s="49" t="n">
        <v>5.46</v>
      </c>
      <c r="I366" s="45">
        <f>(F366-E366)/E366</f>
        <v/>
      </c>
      <c r="J366" s="45">
        <f>(G366-F366)/F366</f>
        <v/>
      </c>
      <c r="K366" s="45">
        <f>(H366-G366)/G366</f>
        <v/>
      </c>
    </row>
    <row r="367">
      <c r="D367" s="7" t="inlineStr">
        <is>
          <t>CHRW</t>
        </is>
      </c>
      <c r="E367" s="49" t="n">
        <v>4.73</v>
      </c>
      <c r="F367" s="49" t="n">
        <v>4.74</v>
      </c>
      <c r="G367" s="49" t="n">
        <v>4.89</v>
      </c>
      <c r="H367" s="49" t="n">
        <v>5.3</v>
      </c>
      <c r="I367" s="45">
        <f>(F367-E367)/E367</f>
        <v/>
      </c>
      <c r="J367" s="45">
        <f>(G367-F367)/F367</f>
        <v/>
      </c>
      <c r="K367" s="45">
        <f>(H367-G367)/G367</f>
        <v/>
      </c>
    </row>
    <row r="368">
      <c r="D368" s="7" t="inlineStr">
        <is>
          <t>NTAP</t>
        </is>
      </c>
      <c r="E368" s="49" t="n">
        <v>4.51</v>
      </c>
      <c r="F368" s="49" t="n">
        <v>3.38</v>
      </c>
      <c r="G368" s="49" t="n">
        <v>3.9</v>
      </c>
      <c r="H368" s="49" t="n">
        <v>4.44</v>
      </c>
      <c r="I368" s="45">
        <f>(F368-E368)/E368</f>
        <v/>
      </c>
      <c r="J368" s="45">
        <f>(G368-F368)/F368</f>
        <v/>
      </c>
      <c r="K368" s="45">
        <f>(H368-G368)/G368</f>
        <v/>
      </c>
    </row>
    <row r="369">
      <c r="D369" s="7" t="inlineStr">
        <is>
          <t>FMC</t>
        </is>
      </c>
      <c r="E369" s="49" t="n">
        <v>3.69</v>
      </c>
      <c r="F369" s="49" t="n">
        <v>5.39</v>
      </c>
      <c r="G369" s="49" t="n">
        <v>6.78</v>
      </c>
      <c r="H369" s="49" t="n">
        <v>7.78</v>
      </c>
      <c r="I369" s="45">
        <f>(F369-E369)/E369</f>
        <v/>
      </c>
      <c r="J369" s="45">
        <f>(G369-F369)/F369</f>
        <v/>
      </c>
      <c r="K369" s="45">
        <f>(H369-G369)/G369</f>
        <v/>
      </c>
    </row>
    <row r="370">
      <c r="D370" s="7" t="inlineStr">
        <is>
          <t>IFF</t>
        </is>
      </c>
      <c r="E370" s="49" t="n">
        <v>3.79</v>
      </c>
      <c r="F370" s="49" t="n">
        <v>4.72</v>
      </c>
      <c r="G370" s="49" t="n">
        <v>5.57</v>
      </c>
      <c r="H370" s="49" t="n">
        <v>6.71</v>
      </c>
      <c r="I370" s="45">
        <f>(F370-E370)/E370</f>
        <v/>
      </c>
      <c r="J370" s="45">
        <f>(G370-F370)/F370</f>
        <v/>
      </c>
      <c r="K370" s="45">
        <f>(H370-G370)/G370</f>
        <v/>
      </c>
    </row>
    <row r="371">
      <c r="D371" s="7" t="inlineStr">
        <is>
          <t>CTL</t>
        </is>
      </c>
      <c r="E371" s="49" t="n">
        <v>-1.63</v>
      </c>
      <c r="F371" s="49" t="n">
        <v>-4.79</v>
      </c>
      <c r="G371" s="49" t="n">
        <v>1.31</v>
      </c>
      <c r="H371" s="49" t="n">
        <v>1.33</v>
      </c>
      <c r="I371" s="45">
        <f>(F371-E371)/E371</f>
        <v/>
      </c>
      <c r="J371" s="45">
        <f>(G371-F371)/F371</f>
        <v/>
      </c>
      <c r="K371" s="45">
        <f>(H371-G371)/G371</f>
        <v/>
      </c>
    </row>
    <row r="372">
      <c r="D372" s="7" t="inlineStr">
        <is>
          <t>NI</t>
        </is>
      </c>
      <c r="E372" s="49" t="n">
        <v>-0.18</v>
      </c>
      <c r="F372" s="49" t="n">
        <v>1.3</v>
      </c>
      <c r="G372" s="49" t="n">
        <v>1.38</v>
      </c>
      <c r="H372" s="49" t="n">
        <v>1.48</v>
      </c>
      <c r="I372" s="45">
        <f>(F372-E372)/E372</f>
        <v/>
      </c>
      <c r="J372" s="45">
        <f>(G372-F372)/F372</f>
        <v/>
      </c>
      <c r="K372" s="45">
        <f>(H372-G372)/G372</f>
        <v/>
      </c>
    </row>
    <row r="373">
      <c r="D373" s="7" t="inlineStr">
        <is>
          <t>NCLH</t>
        </is>
      </c>
      <c r="E373" s="49" t="n">
        <v>4.25</v>
      </c>
      <c r="F373" s="49" t="n">
        <v>4.4</v>
      </c>
      <c r="G373" s="49" t="n">
        <v>5.07</v>
      </c>
      <c r="H373" s="49" t="n">
        <v>5.82</v>
      </c>
      <c r="I373" s="45">
        <f>(F373-E373)/E373</f>
        <v/>
      </c>
      <c r="J373" s="45">
        <f>(G373-F373)/F373</f>
        <v/>
      </c>
      <c r="K373" s="45">
        <f>(H373-G373)/G373</f>
        <v/>
      </c>
    </row>
    <row r="374">
      <c r="D374" s="7" t="inlineStr">
        <is>
          <t>WAB</t>
        </is>
      </c>
      <c r="E374" s="49" t="inlineStr">
        <is>
          <t xml:space="preserve">
                                        </t>
        </is>
      </c>
      <c r="F374" s="49" t="inlineStr">
        <is>
          <t xml:space="preserve">
                                        </t>
        </is>
      </c>
      <c r="G374" s="49" t="inlineStr">
        <is>
          <t xml:space="preserve">
                                        </t>
        </is>
      </c>
      <c r="H374" s="49" t="inlineStr">
        <is>
          <t xml:space="preserve">
                                    </t>
        </is>
      </c>
      <c r="I374" s="45" t="n"/>
      <c r="J374" s="45" t="n"/>
      <c r="K374" s="45" t="n"/>
    </row>
    <row r="375">
      <c r="D375" s="7" t="inlineStr">
        <is>
          <t>BHGE</t>
        </is>
      </c>
      <c r="E375" s="49" t="n">
        <v>1.43</v>
      </c>
      <c r="F375" s="49" t="n">
        <v>2</v>
      </c>
      <c r="G375" s="49" t="inlineStr">
        <is>
          <t xml:space="preserve">
                                    </t>
        </is>
      </c>
      <c r="H375" s="49" t="inlineStr">
        <is>
          <t xml:space="preserve">
                                        </t>
        </is>
      </c>
      <c r="I375" s="45">
        <f>(F375-E375)/E375</f>
        <v/>
      </c>
      <c r="J375" s="45">
        <f>(G375-F375)/F375</f>
        <v/>
      </c>
      <c r="K375" s="45">
        <f>(H375-G375)/G375</f>
        <v/>
      </c>
    </row>
    <row r="376">
      <c r="D376" s="7" t="inlineStr">
        <is>
          <t>LNC</t>
        </is>
      </c>
      <c r="E376" s="49" t="n">
        <v>7.4</v>
      </c>
      <c r="F376" s="49" t="n">
        <v>7.54</v>
      </c>
      <c r="G376" s="49" t="n">
        <v>10</v>
      </c>
      <c r="H376" s="49" t="n">
        <v>11</v>
      </c>
      <c r="I376" s="45">
        <f>(F376-E376)/E376</f>
        <v/>
      </c>
      <c r="J376" s="45">
        <f>(G376-F376)/F376</f>
        <v/>
      </c>
      <c r="K376" s="45">
        <f>(H376-G376)/G376</f>
        <v/>
      </c>
    </row>
    <row r="377">
      <c r="D377" s="7" t="inlineStr">
        <is>
          <t>JKHY</t>
        </is>
      </c>
      <c r="E377" s="49" t="n">
        <v>3.52</v>
      </c>
      <c r="F377" s="49" t="n">
        <v>3.63</v>
      </c>
      <c r="G377" s="49" t="n">
        <v>4.24</v>
      </c>
      <c r="H377" s="49" t="n">
        <v>5.06</v>
      </c>
      <c r="I377" s="45">
        <f>(F377-E377)/E377</f>
        <v/>
      </c>
      <c r="J377" s="45">
        <f>(G377-F377)/F377</f>
        <v/>
      </c>
      <c r="K377" s="45">
        <f>(H377-G377)/G377</f>
        <v/>
      </c>
    </row>
    <row r="378">
      <c r="D378" s="7" t="inlineStr">
        <is>
          <t>PNW</t>
        </is>
      </c>
      <c r="E378" s="49" t="n">
        <v>4.54</v>
      </c>
      <c r="F378" s="49" t="n">
        <v>4.77</v>
      </c>
      <c r="G378" s="49" t="n">
        <v>5.05</v>
      </c>
      <c r="H378" s="49" t="n">
        <v>5.34</v>
      </c>
      <c r="I378" s="45">
        <f>(F378-E378)/E378</f>
        <v/>
      </c>
      <c r="J378" s="45">
        <f>(G378-F378)/F378</f>
        <v/>
      </c>
      <c r="K378" s="45">
        <f>(H378-G378)/G378</f>
        <v/>
      </c>
    </row>
    <row r="379">
      <c r="D379" s="7" t="inlineStr">
        <is>
          <t>CF</t>
        </is>
      </c>
      <c r="E379" s="49" t="n">
        <v>1.24</v>
      </c>
      <c r="F379" s="49" t="n">
        <v>2.43</v>
      </c>
      <c r="G379" s="49" t="n">
        <v>3.04</v>
      </c>
      <c r="H379" s="49" t="n">
        <v>3.55</v>
      </c>
      <c r="I379" s="45">
        <f>(F379-E379)/E379</f>
        <v/>
      </c>
      <c r="J379" s="45">
        <f>(G379-F379)/F379</f>
        <v/>
      </c>
      <c r="K379" s="45">
        <f>(H379-G379)/G379</f>
        <v/>
      </c>
    </row>
    <row r="380">
      <c r="D380" s="7" t="inlineStr">
        <is>
          <t>NBL</t>
        </is>
      </c>
      <c r="E380" s="49" t="n">
        <v>-0.14</v>
      </c>
      <c r="F380" s="49" t="n">
        <v>-0.77</v>
      </c>
      <c r="G380" s="49" t="n">
        <v>0.96</v>
      </c>
      <c r="H380" s="49" t="n">
        <v>1.38</v>
      </c>
      <c r="I380" s="45">
        <f>(F380-E380)/E380</f>
        <v/>
      </c>
      <c r="J380" s="45">
        <f>(G380-F380)/F380</f>
        <v/>
      </c>
      <c r="K380" s="45">
        <f>(H380-G380)/G380</f>
        <v/>
      </c>
    </row>
    <row r="381">
      <c r="D381" s="7" t="inlineStr">
        <is>
          <t>VNO</t>
        </is>
      </c>
      <c r="E381" s="49" t="n">
        <v>2.01</v>
      </c>
      <c r="F381" s="49" t="n">
        <v>14.1</v>
      </c>
      <c r="G381" s="49" t="n">
        <v>1.18</v>
      </c>
      <c r="H381" s="49" t="n">
        <v>1.86</v>
      </c>
      <c r="I381" s="45">
        <f>(F381-E381)/E381</f>
        <v/>
      </c>
      <c r="J381" s="45">
        <f>(G381-F381)/F381</f>
        <v/>
      </c>
      <c r="K381" s="45">
        <f>(H381-G381)/G381</f>
        <v/>
      </c>
    </row>
    <row r="382">
      <c r="D382" s="7" t="inlineStr">
        <is>
          <t>WYNN</t>
        </is>
      </c>
      <c r="E382" s="49" t="n">
        <v>5.46</v>
      </c>
      <c r="F382" s="49" t="n">
        <v>4.28</v>
      </c>
      <c r="G382" s="49" t="n">
        <v>6.79</v>
      </c>
      <c r="H382" s="49" t="n">
        <v>7.91</v>
      </c>
      <c r="I382" s="45">
        <f>(F382-E382)/E382</f>
        <v/>
      </c>
      <c r="J382" s="45">
        <f>(G382-F382)/F382</f>
        <v/>
      </c>
      <c r="K382" s="45">
        <f>(H382-G382)/G382</f>
        <v/>
      </c>
    </row>
    <row r="383">
      <c r="D383" s="7" t="inlineStr">
        <is>
          <t>TXT</t>
        </is>
      </c>
      <c r="E383" s="49" t="n">
        <v>4.83</v>
      </c>
      <c r="F383" s="49" t="n">
        <v>3.73</v>
      </c>
      <c r="G383" s="49" t="n">
        <v>4.03</v>
      </c>
      <c r="H383" s="49" t="n">
        <v>4.44</v>
      </c>
      <c r="I383" s="45">
        <f>(F383-E383)/E383</f>
        <v/>
      </c>
      <c r="J383" s="45">
        <f>(G383-F383)/F383</f>
        <v/>
      </c>
      <c r="K383" s="45">
        <f>(H383-G383)/G383</f>
        <v/>
      </c>
    </row>
    <row r="384">
      <c r="D384" s="7" t="inlineStr">
        <is>
          <t>AAL</t>
        </is>
      </c>
      <c r="E384" s="49" t="n">
        <v>3.03</v>
      </c>
      <c r="F384" s="49" t="n">
        <v>4.59</v>
      </c>
      <c r="G384" s="49" t="n">
        <v>5.93</v>
      </c>
      <c r="H384" s="49" t="n">
        <v>6.61</v>
      </c>
      <c r="I384" s="45">
        <f>(F384-E384)/E384</f>
        <v/>
      </c>
      <c r="J384" s="45">
        <f>(G384-F384)/F384</f>
        <v/>
      </c>
      <c r="K384" s="45">
        <f>(H384-G384)/G384</f>
        <v/>
      </c>
    </row>
    <row r="385">
      <c r="D385" s="7" t="inlineStr">
        <is>
          <t>LW</t>
        </is>
      </c>
      <c r="E385" s="49" t="inlineStr">
        <is>
          <t xml:space="preserve">
                                        </t>
        </is>
      </c>
      <c r="F385" s="49" t="inlineStr">
        <is>
          <t xml:space="preserve">
                                        </t>
        </is>
      </c>
      <c r="G385" s="49" t="inlineStr">
        <is>
          <t xml:space="preserve">
                                    </t>
        </is>
      </c>
      <c r="H385" s="49" t="n"/>
      <c r="I385" s="45" t="n"/>
      <c r="J385" s="45" t="n"/>
      <c r="K385" s="45" t="n"/>
    </row>
    <row r="386">
      <c r="D386" s="7" t="inlineStr">
        <is>
          <t>RE</t>
        </is>
      </c>
      <c r="E386" s="49" t="n">
        <v>2.53</v>
      </c>
      <c r="F386" s="49" t="n">
        <v>27.8</v>
      </c>
      <c r="G386" s="49" t="n">
        <v>23.7</v>
      </c>
      <c r="H386" s="49" t="n">
        <v>25.4</v>
      </c>
      <c r="I386" s="45">
        <f>(F386-E386)/E386</f>
        <v/>
      </c>
      <c r="J386" s="45">
        <f>(G386-F386)/F386</f>
        <v/>
      </c>
      <c r="K386" s="45">
        <f>(H386-G386)/G386</f>
        <v/>
      </c>
    </row>
    <row r="387">
      <c r="D387" s="7" t="inlineStr">
        <is>
          <t>ETFC</t>
        </is>
      </c>
      <c r="E387" s="49" t="n">
        <v>3.88</v>
      </c>
      <c r="F387" s="49" t="n">
        <v>4.1</v>
      </c>
      <c r="G387" s="49" t="n">
        <v>4.33</v>
      </c>
      <c r="H387" s="49" t="n">
        <v>4.38</v>
      </c>
      <c r="I387" s="45">
        <f>(F387-E387)/E387</f>
        <v/>
      </c>
      <c r="J387" s="45">
        <f>(G387-F387)/F387</f>
        <v/>
      </c>
      <c r="K387" s="45">
        <f>(H387-G387)/G387</f>
        <v/>
      </c>
    </row>
    <row r="388">
      <c r="D388" s="7" t="inlineStr">
        <is>
          <t>AES</t>
        </is>
      </c>
      <c r="E388" s="49" t="n">
        <v>1.81</v>
      </c>
      <c r="F388" s="49" t="n">
        <v>1.26</v>
      </c>
      <c r="G388" s="49" t="n">
        <v>1.47</v>
      </c>
      <c r="H388" s="49" t="n">
        <v>1.33</v>
      </c>
      <c r="I388" s="45">
        <f>(F388-E388)/E388</f>
        <v/>
      </c>
      <c r="J388" s="45">
        <f>(G388-F388)/F388</f>
        <v/>
      </c>
      <c r="K388" s="45">
        <f>(H388-G388)/G388</f>
        <v/>
      </c>
    </row>
    <row r="389">
      <c r="D389" s="7" t="inlineStr">
        <is>
          <t>JEC</t>
        </is>
      </c>
      <c r="E389" s="49" t="n">
        <v>1.28</v>
      </c>
      <c r="F389" s="49" t="n">
        <v>4.55</v>
      </c>
      <c r="G389" s="49" t="n">
        <v>4.86</v>
      </c>
      <c r="H389" s="49" t="n">
        <v>6.08</v>
      </c>
      <c r="I389" s="45">
        <f>(F389-E389)/E389</f>
        <v/>
      </c>
      <c r="J389" s="45">
        <f>(G389-F389)/F389</f>
        <v/>
      </c>
      <c r="K389" s="45">
        <f>(H389-G389)/G389</f>
        <v/>
      </c>
    </row>
    <row r="390">
      <c r="D390" s="7" t="inlineStr">
        <is>
          <t>FTI</t>
        </is>
      </c>
      <c r="E390" s="49" t="n">
        <v>-4.2</v>
      </c>
      <c r="F390" s="49" t="n">
        <v>1.27</v>
      </c>
      <c r="G390" s="49" t="n">
        <v>1.62</v>
      </c>
      <c r="H390" s="49" t="n">
        <v>1.88</v>
      </c>
      <c r="I390" s="45">
        <f>(F390-E390)/E390</f>
        <v/>
      </c>
      <c r="J390" s="45">
        <f>(G390-F390)/F390</f>
        <v/>
      </c>
      <c r="K390" s="45">
        <f>(H390-G390)/G390</f>
        <v/>
      </c>
    </row>
    <row r="391">
      <c r="D391" s="7" t="inlineStr">
        <is>
          <t>ARNC</t>
        </is>
      </c>
      <c r="E391" s="49" t="n">
        <v>1.3</v>
      </c>
      <c r="F391" s="49" t="n">
        <v>1.15</v>
      </c>
      <c r="G391" s="49" t="n">
        <v>2.29</v>
      </c>
      <c r="H391" s="49" t="n">
        <v>2.67</v>
      </c>
      <c r="I391" s="45">
        <f>(F391-E391)/E391</f>
        <v/>
      </c>
      <c r="J391" s="45">
        <f>(G391-F391)/F391</f>
        <v/>
      </c>
      <c r="K391" s="45">
        <f>(H391-G391)/G391</f>
        <v/>
      </c>
    </row>
    <row r="392">
      <c r="D392" s="7" t="inlineStr">
        <is>
          <t>SIVB</t>
        </is>
      </c>
      <c r="E392" s="49" t="n">
        <v>18.1</v>
      </c>
      <c r="F392" s="49" t="n">
        <v>21.2</v>
      </c>
      <c r="G392" s="49" t="n">
        <v>19.6</v>
      </c>
      <c r="H392" s="49" t="n">
        <v>20.7</v>
      </c>
      <c r="I392" s="45">
        <f>(F392-E392)/E392</f>
        <v/>
      </c>
      <c r="J392" s="45">
        <f>(G392-F392)/F392</f>
        <v/>
      </c>
      <c r="K392" s="45">
        <f>(H392-G392)/G392</f>
        <v/>
      </c>
    </row>
    <row r="393">
      <c r="D393" s="7" t="inlineStr">
        <is>
          <t>AAP</t>
        </is>
      </c>
      <c r="E393" s="49" t="n">
        <v>5.73</v>
      </c>
      <c r="F393" s="49" t="n">
        <v>7.01</v>
      </c>
      <c r="G393" s="49" t="n">
        <v>8.93</v>
      </c>
      <c r="H393" s="49" t="n">
        <v>10.6</v>
      </c>
      <c r="I393" s="45">
        <f>(F393-E393)/E393</f>
        <v/>
      </c>
      <c r="J393" s="45">
        <f>(G393-F393)/F393</f>
        <v/>
      </c>
      <c r="K393" s="45">
        <f>(H393-G393)/G393</f>
        <v/>
      </c>
    </row>
    <row r="394">
      <c r="D394" s="7" t="inlineStr">
        <is>
          <t>VAR</t>
        </is>
      </c>
      <c r="E394" s="49" t="n">
        <v>1.62</v>
      </c>
      <c r="F394" s="49" t="n">
        <v>3.57</v>
      </c>
      <c r="G394" s="49" t="n">
        <v>4.69</v>
      </c>
      <c r="H394" s="49" t="n">
        <v>5.55</v>
      </c>
      <c r="I394" s="45">
        <f>(F394-E394)/E394</f>
        <v/>
      </c>
      <c r="J394" s="45">
        <f>(G394-F394)/F394</f>
        <v/>
      </c>
      <c r="K394" s="45">
        <f>(H394-G394)/G394</f>
        <v/>
      </c>
    </row>
    <row r="395">
      <c r="D395" s="7" t="inlineStr">
        <is>
          <t>RJF</t>
        </is>
      </c>
      <c r="E395" s="49" t="inlineStr">
        <is>
          <t xml:space="preserve">
                                        </t>
        </is>
      </c>
      <c r="F395" s="49" t="inlineStr">
        <is>
          <t xml:space="preserve">
                                        </t>
        </is>
      </c>
      <c r="G395" s="49" t="inlineStr">
        <is>
          <t xml:space="preserve">
                                        </t>
        </is>
      </c>
      <c r="H395" s="49" t="inlineStr">
        <is>
          <t xml:space="preserve">
                                    </t>
        </is>
      </c>
      <c r="I395" s="45" t="n"/>
      <c r="J395" s="45" t="n"/>
      <c r="K395" s="45" t="n"/>
    </row>
    <row r="396">
      <c r="D396" s="7" t="inlineStr">
        <is>
          <t>MRO</t>
        </is>
      </c>
      <c r="E396" s="49" t="n">
        <v>1.3</v>
      </c>
      <c r="F396" s="49" t="n">
        <v>0.75</v>
      </c>
      <c r="G396" s="49" t="n">
        <v>0.55</v>
      </c>
      <c r="H396" s="49" t="n">
        <v>0.75</v>
      </c>
      <c r="I396" s="45">
        <f>(F396-E396)/E396</f>
        <v/>
      </c>
      <c r="J396" s="45">
        <f>(G396-F396)/F396</f>
        <v/>
      </c>
      <c r="K396" s="45">
        <f>(H396-G396)/G396</f>
        <v/>
      </c>
    </row>
    <row r="397">
      <c r="D397" s="7" t="inlineStr">
        <is>
          <t>FRT</t>
        </is>
      </c>
      <c r="E397" s="49" t="n">
        <v>3.18</v>
      </c>
      <c r="F397" s="49" t="n">
        <v>3.49</v>
      </c>
      <c r="G397" s="49" t="n">
        <v>3.41</v>
      </c>
      <c r="H397" s="49" t="n">
        <v>3.59</v>
      </c>
      <c r="I397" s="45">
        <f>(F397-E397)/E397</f>
        <v/>
      </c>
      <c r="J397" s="45">
        <f>(G397-F397)/F397</f>
        <v/>
      </c>
      <c r="K397" s="45">
        <f>(H397-G397)/G397</f>
        <v/>
      </c>
    </row>
    <row r="398">
      <c r="D398" s="7" t="inlineStr">
        <is>
          <t>GRMN</t>
        </is>
      </c>
      <c r="E398" s="49" t="n">
        <v>3.66</v>
      </c>
      <c r="F398" s="49" t="n">
        <v>3.92</v>
      </c>
      <c r="G398" s="49" t="n">
        <v>4.02</v>
      </c>
      <c r="H398" s="49" t="n">
        <v>4.25</v>
      </c>
      <c r="I398" s="45">
        <f>(F398-E398)/E398</f>
        <v/>
      </c>
      <c r="J398" s="45">
        <f>(G398-F398)/F398</f>
        <v/>
      </c>
      <c r="K398" s="45">
        <f>(H398-G398)/G398</f>
        <v/>
      </c>
    </row>
    <row r="399">
      <c r="D399" s="7" t="inlineStr">
        <is>
          <t>AVY</t>
        </is>
      </c>
      <c r="E399" s="49" t="n">
        <v>5.28</v>
      </c>
      <c r="F399" s="49" t="n">
        <v>3.25</v>
      </c>
      <c r="G399" s="49" t="n">
        <v>6.9</v>
      </c>
      <c r="H399" s="49" t="n">
        <v>7.84</v>
      </c>
      <c r="I399" s="45">
        <f>(F399-E399)/E399</f>
        <v/>
      </c>
      <c r="J399" s="45">
        <f>(G399-F399)/F399</f>
        <v/>
      </c>
      <c r="K399" s="45">
        <f>(H399-G399)/G399</f>
        <v/>
      </c>
    </row>
    <row r="400">
      <c r="D400" s="7" t="inlineStr">
        <is>
          <t>MYL</t>
        </is>
      </c>
      <c r="E400" s="49" t="n">
        <v>0.68</v>
      </c>
      <c r="F400" s="49" t="n">
        <v>1.29</v>
      </c>
      <c r="G400" s="49" t="n">
        <v>1.93</v>
      </c>
      <c r="H400" s="49" t="n">
        <v>2.72</v>
      </c>
      <c r="I400" s="45">
        <f>(F400-E400)/E400</f>
        <v/>
      </c>
      <c r="J400" s="45">
        <f>(G400-F400)/F400</f>
        <v/>
      </c>
      <c r="K400" s="45">
        <f>(H400-G400)/G400</f>
        <v/>
      </c>
    </row>
    <row r="401">
      <c r="D401" s="7" t="inlineStr">
        <is>
          <t>TAP</t>
        </is>
      </c>
      <c r="E401" s="49" t="n">
        <v>5.15</v>
      </c>
      <c r="F401" s="49" t="n">
        <v>4.44</v>
      </c>
      <c r="G401" s="49" t="n">
        <v>4.48</v>
      </c>
      <c r="H401" s="49" t="n">
        <v>4.61</v>
      </c>
      <c r="I401" s="45">
        <f>(F401-E401)/E401</f>
        <v/>
      </c>
      <c r="J401" s="45">
        <f>(G401-F401)/F401</f>
        <v/>
      </c>
      <c r="K401" s="45">
        <f>(H401-G401)/G401</f>
        <v/>
      </c>
    </row>
    <row r="402">
      <c r="D402" s="7" t="inlineStr">
        <is>
          <t>NRG</t>
        </is>
      </c>
      <c r="E402" s="49" t="n">
        <v>0.87</v>
      </c>
      <c r="F402" s="49" t="n">
        <v>3.45</v>
      </c>
      <c r="G402" s="49" t="n">
        <v>4.51</v>
      </c>
      <c r="H402" s="49" t="n">
        <v>3.52</v>
      </c>
      <c r="I402" s="45">
        <f>(F402-E402)/E402</f>
        <v/>
      </c>
      <c r="J402" s="45">
        <f>(G402-F402)/F402</f>
        <v/>
      </c>
      <c r="K402" s="45">
        <f>(H402-G402)/G402</f>
        <v/>
      </c>
    </row>
    <row r="403">
      <c r="D403" s="7" t="inlineStr">
        <is>
          <t>PKG</t>
        </is>
      </c>
      <c r="E403" s="49" t="n">
        <v>7.8</v>
      </c>
      <c r="F403" s="49" t="n">
        <v>7.77</v>
      </c>
      <c r="G403" s="49" t="n">
        <v>7.17</v>
      </c>
      <c r="H403" s="49" t="n">
        <v>7.45</v>
      </c>
      <c r="I403" s="45">
        <f>(F403-E403)/E403</f>
        <v/>
      </c>
      <c r="J403" s="45">
        <f>(G403-F403)/F403</f>
        <v/>
      </c>
      <c r="K403" s="45">
        <f>(H403-G403)/G403</f>
        <v/>
      </c>
    </row>
    <row r="404">
      <c r="D404" s="7" t="inlineStr">
        <is>
          <t>CMA</t>
        </is>
      </c>
      <c r="E404" s="49" t="n">
        <v>7.2</v>
      </c>
      <c r="F404" s="49" t="n">
        <v>7.85</v>
      </c>
      <c r="G404" s="49" t="n">
        <v>7.56</v>
      </c>
      <c r="H404" s="49" t="n">
        <v>7.79</v>
      </c>
      <c r="I404" s="45">
        <f>(F404-E404)/E404</f>
        <v/>
      </c>
      <c r="J404" s="45">
        <f>(G404-F404)/F404</f>
        <v/>
      </c>
      <c r="K404" s="45">
        <f>(H404-G404)/G404</f>
        <v/>
      </c>
    </row>
    <row r="405">
      <c r="D405" s="7" t="inlineStr">
        <is>
          <t>WU</t>
        </is>
      </c>
      <c r="E405" s="49" t="n">
        <v>1.87</v>
      </c>
      <c r="F405" s="49" t="n">
        <v>2.51</v>
      </c>
      <c r="G405" s="49" t="n">
        <v>1.89</v>
      </c>
      <c r="H405" s="49" t="n">
        <v>2.11</v>
      </c>
      <c r="I405" s="45">
        <f>(F405-E405)/E405</f>
        <v/>
      </c>
      <c r="J405" s="45">
        <f>(G405-F405)/F405</f>
        <v/>
      </c>
      <c r="K405" s="45">
        <f>(H405-G405)/G405</f>
        <v/>
      </c>
    </row>
    <row r="406">
      <c r="D406" s="7" t="inlineStr">
        <is>
          <t>DVN</t>
        </is>
      </c>
      <c r="E406" s="49" t="n">
        <v>6.1</v>
      </c>
      <c r="F406" s="49" t="n">
        <v>0.91</v>
      </c>
      <c r="G406" s="49" t="n">
        <v>1.84</v>
      </c>
      <c r="H406" s="49" t="n">
        <v>2.35</v>
      </c>
      <c r="I406" s="45">
        <f>(F406-E406)/E406</f>
        <v/>
      </c>
      <c r="J406" s="45">
        <f>(G406-F406)/F406</f>
        <v/>
      </c>
      <c r="K406" s="45">
        <f>(H406-G406)/G406</f>
        <v/>
      </c>
    </row>
    <row r="407">
      <c r="D407" s="7" t="inlineStr">
        <is>
          <t>DXC</t>
        </is>
      </c>
      <c r="E407" s="49" t="inlineStr">
        <is>
          <t xml:space="preserve">
                                        </t>
        </is>
      </c>
      <c r="F407" s="49" t="inlineStr">
        <is>
          <t xml:space="preserve">
                                        </t>
        </is>
      </c>
      <c r="G407" s="49" t="inlineStr">
        <is>
          <t xml:space="preserve">
                                        </t>
        </is>
      </c>
      <c r="H407" s="49" t="inlineStr">
        <is>
          <t xml:space="preserve">
                                    </t>
        </is>
      </c>
      <c r="I407" s="45" t="n"/>
      <c r="J407" s="45" t="n"/>
      <c r="K407" s="45" t="n"/>
    </row>
    <row r="408">
      <c r="D408" s="7" t="inlineStr">
        <is>
          <t>HSIC</t>
        </is>
      </c>
      <c r="E408" s="49" t="n">
        <v>3.49</v>
      </c>
      <c r="F408" s="49" t="n">
        <v>3.32</v>
      </c>
      <c r="G408" s="49" t="n">
        <v>3.75</v>
      </c>
      <c r="H408" s="49" t="n">
        <v>4.13</v>
      </c>
      <c r="I408" s="45">
        <f>(F408-E408)/E408</f>
        <v/>
      </c>
      <c r="J408" s="45">
        <f>(G408-F408)/F408</f>
        <v/>
      </c>
      <c r="K408" s="45">
        <f>(H408-G408)/G408</f>
        <v/>
      </c>
    </row>
    <row r="409">
      <c r="D409" s="7" t="inlineStr">
        <is>
          <t>PKI</t>
        </is>
      </c>
      <c r="E409" s="49" t="n">
        <v>2.13</v>
      </c>
      <c r="F409" s="49" t="n">
        <v>2.85</v>
      </c>
      <c r="G409" s="49" t="n">
        <v>3.65</v>
      </c>
      <c r="H409" s="49" t="n">
        <v>4.03</v>
      </c>
      <c r="I409" s="45">
        <f>(F409-E409)/E409</f>
        <v/>
      </c>
      <c r="J409" s="45">
        <f>(G409-F409)/F409</f>
        <v/>
      </c>
      <c r="K409" s="45">
        <f>(H409-G409)/G409</f>
        <v/>
      </c>
    </row>
    <row r="410">
      <c r="D410" s="7" t="inlineStr">
        <is>
          <t>IRM</t>
        </is>
      </c>
      <c r="E410" s="49" t="n">
        <v>1.27</v>
      </c>
      <c r="F410" s="49" t="n">
        <v>1.03</v>
      </c>
      <c r="G410" s="49" t="n">
        <v>1.24</v>
      </c>
      <c r="H410" s="49" t="n">
        <v>1.41</v>
      </c>
      <c r="I410" s="45">
        <f>(F410-E410)/E410</f>
        <v/>
      </c>
      <c r="J410" s="45">
        <f>(G410-F410)/F410</f>
        <v/>
      </c>
      <c r="K410" s="45">
        <f>(H410-G410)/G410</f>
        <v/>
      </c>
    </row>
    <row r="411">
      <c r="D411" s="7" t="inlineStr">
        <is>
          <t>ALLE</t>
        </is>
      </c>
      <c r="E411" s="49" t="n">
        <v>4.54</v>
      </c>
      <c r="F411" s="49" t="n">
        <v>4.62</v>
      </c>
      <c r="G411" s="49" t="n">
        <v>5.22</v>
      </c>
      <c r="H411" s="49" t="n">
        <v>5.53</v>
      </c>
      <c r="I411" s="45">
        <f>(F411-E411)/E411</f>
        <v/>
      </c>
      <c r="J411" s="45">
        <f>(G411-F411)/F411</f>
        <v/>
      </c>
      <c r="K411" s="45">
        <f>(H411-G411)/G411</f>
        <v/>
      </c>
    </row>
    <row r="412">
      <c r="D412" s="7" t="inlineStr">
        <is>
          <t>TIF</t>
        </is>
      </c>
      <c r="E412" s="49" t="inlineStr">
        <is>
          <t xml:space="preserve">
                                        </t>
        </is>
      </c>
      <c r="F412" s="49" t="inlineStr">
        <is>
          <t xml:space="preserve">
                                        </t>
        </is>
      </c>
      <c r="G412" s="49" t="inlineStr">
        <is>
          <t xml:space="preserve">
                                        </t>
        </is>
      </c>
      <c r="H412" s="49" t="inlineStr">
        <is>
          <t xml:space="preserve">
                                    </t>
        </is>
      </c>
      <c r="I412" s="45" t="n"/>
      <c r="J412" s="45" t="n"/>
      <c r="K412" s="45" t="n"/>
    </row>
    <row r="413">
      <c r="D413" s="7" t="inlineStr">
        <is>
          <t>VIAB</t>
        </is>
      </c>
      <c r="E413" s="49" t="n">
        <v>4.27</v>
      </c>
      <c r="F413" s="49" t="n">
        <v>3.83</v>
      </c>
      <c r="G413" s="49" t="n">
        <v>4.18</v>
      </c>
      <c r="H413" s="49" t="n">
        <v>4.27</v>
      </c>
      <c r="I413" s="45">
        <f>(F413-E413)/E413</f>
        <v/>
      </c>
      <c r="J413" s="45">
        <f>(G413-F413)/F413</f>
        <v/>
      </c>
      <c r="K413" s="45">
        <f>(H413-G413)/G413</f>
        <v/>
      </c>
    </row>
    <row r="414">
      <c r="D414" s="7" t="inlineStr">
        <is>
          <t>JBHT</t>
        </is>
      </c>
      <c r="E414" s="49" t="n">
        <v>4.43</v>
      </c>
      <c r="F414" s="49" t="n">
        <v>5.43</v>
      </c>
      <c r="G414" s="49" t="n">
        <v>6.1</v>
      </c>
      <c r="H414" s="49" t="n">
        <v>6.54</v>
      </c>
      <c r="I414" s="45">
        <f>(F414-E414)/E414</f>
        <v/>
      </c>
      <c r="J414" s="45">
        <f>(G414-F414)/F414</f>
        <v/>
      </c>
      <c r="K414" s="45">
        <f>(H414-G414)/G414</f>
        <v/>
      </c>
    </row>
    <row r="415">
      <c r="D415" s="7" t="inlineStr">
        <is>
          <t>EMN</t>
        </is>
      </c>
      <c r="E415" s="49" t="n">
        <v>7.56</v>
      </c>
      <c r="F415" s="49" t="n">
        <v>7.42</v>
      </c>
      <c r="G415" s="49" t="n">
        <v>8.34</v>
      </c>
      <c r="H415" s="49" t="n">
        <v>9.039999999999999</v>
      </c>
      <c r="I415" s="45">
        <f>(F415-E415)/E415</f>
        <v/>
      </c>
      <c r="J415" s="45">
        <f>(G415-F415)/F415</f>
        <v/>
      </c>
      <c r="K415" s="45">
        <f>(H415-G415)/G415</f>
        <v/>
      </c>
    </row>
    <row r="416">
      <c r="D416" s="7" t="inlineStr">
        <is>
          <t>ABMD</t>
        </is>
      </c>
      <c r="E416" s="49" t="n">
        <v>5.61</v>
      </c>
      <c r="F416" s="49" t="n">
        <v>5.15</v>
      </c>
      <c r="G416" s="49" t="n">
        <v>5.2</v>
      </c>
      <c r="H416" s="49" t="n">
        <v>6.41</v>
      </c>
      <c r="I416" s="45">
        <f>(F416-E416)/E416</f>
        <v/>
      </c>
      <c r="J416" s="45">
        <f>(G416-F416)/F416</f>
        <v/>
      </c>
      <c r="K416" s="45">
        <f>(H416-G416)/G416</f>
        <v/>
      </c>
    </row>
    <row r="417">
      <c r="D417" s="7" t="inlineStr">
        <is>
          <t>HII</t>
        </is>
      </c>
      <c r="E417" s="49" t="n">
        <v>19.1</v>
      </c>
      <c r="F417" s="49" t="n">
        <v>14</v>
      </c>
      <c r="G417" s="49" t="n">
        <v>16.8</v>
      </c>
      <c r="H417" s="49" t="n">
        <v>17.3</v>
      </c>
      <c r="I417" s="45">
        <f>(F417-E417)/E417</f>
        <v/>
      </c>
      <c r="J417" s="45">
        <f>(G417-F417)/F417</f>
        <v/>
      </c>
      <c r="K417" s="45">
        <f>(H417-G417)/G417</f>
        <v/>
      </c>
    </row>
    <row r="418">
      <c r="D418" s="7" t="inlineStr">
        <is>
          <t>WHR</t>
        </is>
      </c>
      <c r="E418" s="49" t="n">
        <v>-2.72</v>
      </c>
      <c r="F418" s="49" t="n">
        <v>16.3</v>
      </c>
      <c r="G418" s="49" t="n">
        <v>16</v>
      </c>
      <c r="H418" s="49" t="n">
        <v>17.7</v>
      </c>
      <c r="I418" s="45">
        <f>(F418-E418)/E418</f>
        <v/>
      </c>
      <c r="J418" s="45">
        <f>(G418-F418)/F418</f>
        <v/>
      </c>
      <c r="K418" s="45">
        <f>(H418-G418)/G418</f>
        <v/>
      </c>
    </row>
    <row r="419">
      <c r="D419" s="7" t="inlineStr">
        <is>
          <t>PHM</t>
        </is>
      </c>
      <c r="E419" s="49" t="n">
        <v>3.55</v>
      </c>
      <c r="F419" s="49" t="n">
        <v>3.42</v>
      </c>
      <c r="G419" s="49" t="n">
        <v>3.67</v>
      </c>
      <c r="H419" s="49" t="n">
        <v>3.81</v>
      </c>
      <c r="I419" s="45">
        <f>(F419-E419)/E419</f>
        <v/>
      </c>
      <c r="J419" s="45">
        <f>(G419-F419)/F419</f>
        <v/>
      </c>
      <c r="K419" s="45">
        <f>(H419-G419)/G419</f>
        <v/>
      </c>
    </row>
    <row r="420">
      <c r="D420" s="7" t="inlineStr">
        <is>
          <t>QRVO</t>
        </is>
      </c>
      <c r="E420" s="49" t="n">
        <v>1.05</v>
      </c>
      <c r="F420" s="49" t="n">
        <v>1.69</v>
      </c>
      <c r="G420" s="49" t="n">
        <v>3.36</v>
      </c>
      <c r="H420" s="49" t="n">
        <v>3.76</v>
      </c>
      <c r="I420" s="45">
        <f>(F420-E420)/E420</f>
        <v/>
      </c>
      <c r="J420" s="45">
        <f>(G420-F420)/F420</f>
        <v/>
      </c>
      <c r="K420" s="45">
        <f>(H420-G420)/G420</f>
        <v/>
      </c>
    </row>
    <row r="421">
      <c r="D421" s="7" t="inlineStr">
        <is>
          <t>WRK</t>
        </is>
      </c>
      <c r="E421" s="49" t="n">
        <v>7.34</v>
      </c>
      <c r="F421" s="49" t="n">
        <v>3.31</v>
      </c>
      <c r="G421" s="49" t="n">
        <v>3.72</v>
      </c>
      <c r="H421" s="49" t="n">
        <v>5.57</v>
      </c>
      <c r="I421" s="45">
        <f>(F421-E421)/E421</f>
        <v/>
      </c>
      <c r="J421" s="45">
        <f>(G421-F421)/F421</f>
        <v/>
      </c>
      <c r="K421" s="45">
        <f>(H421-G421)/G421</f>
        <v/>
      </c>
    </row>
    <row r="422">
      <c r="D422" s="7" t="inlineStr">
        <is>
          <t>URI</t>
        </is>
      </c>
      <c r="E422" s="49" t="n">
        <v>13.1</v>
      </c>
      <c r="F422" s="49" t="n">
        <v>15.1</v>
      </c>
      <c r="G422" s="49" t="n">
        <v>18.2</v>
      </c>
      <c r="H422" s="49" t="n">
        <v>21.4</v>
      </c>
      <c r="I422" s="45">
        <f>(F422-E422)/E422</f>
        <v/>
      </c>
      <c r="J422" s="45">
        <f>(G422-F422)/F422</f>
        <v/>
      </c>
      <c r="K422" s="45">
        <f>(H422-G422)/G422</f>
        <v/>
      </c>
    </row>
    <row r="423">
      <c r="D423" s="7" t="inlineStr">
        <is>
          <t>CPB</t>
        </is>
      </c>
      <c r="E423" s="49" t="n">
        <v>0.7</v>
      </c>
      <c r="F423" s="49" t="n">
        <v>2.38</v>
      </c>
      <c r="G423" s="49" t="n">
        <v>2.45</v>
      </c>
      <c r="H423" s="49" t="n">
        <v>2.57</v>
      </c>
      <c r="I423" s="45">
        <f>(F423-E423)/E423</f>
        <v/>
      </c>
      <c r="J423" s="45">
        <f>(G423-F423)/F423</f>
        <v/>
      </c>
      <c r="K423" s="45">
        <f>(H423-G423)/G423</f>
        <v/>
      </c>
    </row>
    <row r="424">
      <c r="D424" s="7" t="inlineStr">
        <is>
          <t>SNA</t>
        </is>
      </c>
      <c r="E424" s="49" t="n">
        <v>11.9</v>
      </c>
      <c r="F424" s="49" t="n">
        <v>12.3</v>
      </c>
      <c r="G424" s="49" t="n">
        <v>12.8</v>
      </c>
      <c r="H424" s="49" t="n">
        <v>13.3</v>
      </c>
      <c r="I424" s="45">
        <f>(F424-E424)/E424</f>
        <v/>
      </c>
      <c r="J424" s="45">
        <f>(G424-F424)/F424</f>
        <v/>
      </c>
      <c r="K424" s="45">
        <f>(H424-G424)/G424</f>
        <v/>
      </c>
    </row>
    <row r="425">
      <c r="D425" s="7" t="inlineStr">
        <is>
          <t>LKQ</t>
        </is>
      </c>
      <c r="E425" s="49" t="n">
        <v>1.52</v>
      </c>
      <c r="F425" s="49" t="n">
        <v>1.77</v>
      </c>
      <c r="G425" s="49" t="n">
        <v>2.29</v>
      </c>
      <c r="H425" s="49" t="n">
        <v>2.56</v>
      </c>
      <c r="I425" s="45">
        <f>(F425-E425)/E425</f>
        <v/>
      </c>
      <c r="J425" s="45">
        <f>(G425-F425)/F425</f>
        <v/>
      </c>
      <c r="K425" s="45">
        <f>(H425-G425)/G425</f>
        <v/>
      </c>
    </row>
    <row r="426">
      <c r="D426" s="7" t="inlineStr">
        <is>
          <t>JNPR</t>
        </is>
      </c>
      <c r="E426" s="49" t="n">
        <v>1.6</v>
      </c>
      <c r="F426" s="49" t="n">
        <v>0.98</v>
      </c>
      <c r="G426" s="49" t="n">
        <v>1.37</v>
      </c>
      <c r="H426" s="49" t="n">
        <v>1.52</v>
      </c>
      <c r="I426" s="45">
        <f>(F426-E426)/E426</f>
        <v/>
      </c>
      <c r="J426" s="45">
        <f>(G426-F426)/F426</f>
        <v/>
      </c>
      <c r="K426" s="45">
        <f>(H426-G426)/G426</f>
        <v/>
      </c>
    </row>
    <row r="427">
      <c r="D427" s="7" t="inlineStr">
        <is>
          <t>APA</t>
        </is>
      </c>
      <c r="E427" s="49" t="n">
        <v>0.11</v>
      </c>
      <c r="F427" s="49" t="n">
        <v>-0.82</v>
      </c>
      <c r="G427" s="49" t="n">
        <v>1.26</v>
      </c>
      <c r="H427" s="49" t="n">
        <v>0.33</v>
      </c>
      <c r="I427" s="45">
        <f>(F427-E427)/E427</f>
        <v/>
      </c>
      <c r="J427" s="45">
        <f>(G427-F427)/F427</f>
        <v/>
      </c>
      <c r="K427" s="45">
        <f>(H427-G427)/G427</f>
        <v/>
      </c>
    </row>
    <row r="428">
      <c r="D428" s="7" t="inlineStr">
        <is>
          <t>BEN</t>
        </is>
      </c>
      <c r="E428" s="49" t="n">
        <v>1.39</v>
      </c>
      <c r="F428" s="49" t="n">
        <v>2.41</v>
      </c>
      <c r="G428" s="49" t="n">
        <v>2.67</v>
      </c>
      <c r="H428" s="49" t="n">
        <v>2.83</v>
      </c>
      <c r="I428" s="45">
        <f>(F428-E428)/E428</f>
        <v/>
      </c>
      <c r="J428" s="45">
        <f>(G428-F428)/F428</f>
        <v/>
      </c>
      <c r="K428" s="45">
        <f>(H428-G428)/G428</f>
        <v/>
      </c>
    </row>
    <row r="429">
      <c r="D429" s="7" t="inlineStr">
        <is>
          <t>IPG</t>
        </is>
      </c>
      <c r="E429" s="49" t="n">
        <v>1.59</v>
      </c>
      <c r="F429" s="49" t="n">
        <v>1.71</v>
      </c>
      <c r="G429" s="49" t="n">
        <v>1.86</v>
      </c>
      <c r="H429" s="49" t="n">
        <v>2.16</v>
      </c>
      <c r="I429" s="45">
        <f>(F429-E429)/E429</f>
        <v/>
      </c>
      <c r="J429" s="45">
        <f>(G429-F429)/F429</f>
        <v/>
      </c>
      <c r="K429" s="45">
        <f>(H429-G429)/G429</f>
        <v/>
      </c>
    </row>
    <row r="430">
      <c r="D430" s="7" t="inlineStr">
        <is>
          <t>KIM</t>
        </is>
      </c>
      <c r="E430" s="49" t="n">
        <v>1.02</v>
      </c>
      <c r="F430" s="49" t="n">
        <v>0.8</v>
      </c>
      <c r="G430" s="49" t="n">
        <v>0.75</v>
      </c>
      <c r="H430" s="49" t="n">
        <v>0.84</v>
      </c>
      <c r="I430" s="45">
        <f>(F430-E430)/E430</f>
        <v/>
      </c>
      <c r="J430" s="45">
        <f>(G430-F430)/F430</f>
        <v/>
      </c>
      <c r="K430" s="45">
        <f>(H430-G430)/G430</f>
        <v/>
      </c>
    </row>
    <row r="431">
      <c r="D431" s="7" t="inlineStr">
        <is>
          <t>AIV</t>
        </is>
      </c>
      <c r="E431" s="49" t="n">
        <v>4.34</v>
      </c>
      <c r="F431" s="49" t="n">
        <v>2.69</v>
      </c>
      <c r="G431" s="49" t="n">
        <v>0.38</v>
      </c>
      <c r="H431" s="49" t="n">
        <v>0.44</v>
      </c>
      <c r="I431" s="45">
        <f>(F431-E431)/E431</f>
        <v/>
      </c>
      <c r="J431" s="45">
        <f>(G431-F431)/F431</f>
        <v/>
      </c>
      <c r="K431" s="45">
        <f>(H431-G431)/G431</f>
        <v/>
      </c>
    </row>
    <row r="432">
      <c r="D432" s="7" t="inlineStr">
        <is>
          <t>FFIV</t>
        </is>
      </c>
      <c r="E432" s="49" t="n">
        <v>7.32</v>
      </c>
      <c r="F432" s="49" t="n">
        <v>7.39</v>
      </c>
      <c r="G432" s="49" t="n">
        <v>7.95</v>
      </c>
      <c r="H432" s="49" t="n">
        <v>7.98</v>
      </c>
      <c r="I432" s="45">
        <f>(F432-E432)/E432</f>
        <v/>
      </c>
      <c r="J432" s="45">
        <f>(G432-F432)/F432</f>
        <v/>
      </c>
      <c r="K432" s="45">
        <f>(H432-G432)/G432</f>
        <v/>
      </c>
    </row>
    <row r="433">
      <c r="D433" s="7" t="inlineStr">
        <is>
          <t>AIZ</t>
        </is>
      </c>
      <c r="E433" s="49" t="n">
        <v>3.98</v>
      </c>
      <c r="F433" s="49" t="n">
        <v>8.43</v>
      </c>
      <c r="G433" s="49" t="n">
        <v>9.380000000000001</v>
      </c>
      <c r="H433" s="49" t="n">
        <v>10.7</v>
      </c>
      <c r="I433" s="45">
        <f>(F433-E433)/E433</f>
        <v/>
      </c>
      <c r="J433" s="45">
        <f>(G433-F433)/F433</f>
        <v/>
      </c>
      <c r="K433" s="45">
        <f>(H433-G433)/G433</f>
        <v/>
      </c>
    </row>
    <row r="434">
      <c r="D434" s="7" t="inlineStr">
        <is>
          <t>ZION</t>
        </is>
      </c>
      <c r="E434" s="49" t="n">
        <v>4.08</v>
      </c>
      <c r="F434" s="49" t="n">
        <v>4.2</v>
      </c>
      <c r="G434" s="49" t="n">
        <v>4.35</v>
      </c>
      <c r="H434" s="49" t="n">
        <v>4.73</v>
      </c>
      <c r="I434" s="45">
        <f>(F434-E434)/E434</f>
        <v/>
      </c>
      <c r="J434" s="45">
        <f>(G434-F434)/F434</f>
        <v/>
      </c>
      <c r="K434" s="45">
        <f>(H434-G434)/G434</f>
        <v/>
      </c>
    </row>
    <row r="435">
      <c r="D435" s="7" t="inlineStr">
        <is>
          <t>KSS</t>
        </is>
      </c>
      <c r="E435" s="49" t="inlineStr">
        <is>
          <t xml:space="preserve">
                                        </t>
        </is>
      </c>
      <c r="F435" s="49" t="inlineStr">
        <is>
          <t xml:space="preserve">
                                        </t>
        </is>
      </c>
      <c r="G435" s="49" t="inlineStr">
        <is>
          <t xml:space="preserve">
                                        </t>
        </is>
      </c>
      <c r="H435" s="49" t="inlineStr">
        <is>
          <t xml:space="preserve">
                                    </t>
        </is>
      </c>
      <c r="I435" s="45" t="n"/>
      <c r="J435" s="45" t="n"/>
      <c r="K435" s="45" t="n"/>
    </row>
    <row r="436">
      <c r="D436" s="7" t="inlineStr">
        <is>
          <t>DISH</t>
        </is>
      </c>
      <c r="E436" s="49" t="n">
        <v>3</v>
      </c>
      <c r="F436" s="49" t="n">
        <v>2.45</v>
      </c>
      <c r="G436" s="49" t="n">
        <v>2</v>
      </c>
      <c r="H436" s="49" t="n">
        <v>1.98</v>
      </c>
      <c r="I436" s="45">
        <f>(F436-E436)/E436</f>
        <v/>
      </c>
      <c r="J436" s="45">
        <f>(G436-F436)/F436</f>
        <v/>
      </c>
      <c r="K436" s="45">
        <f>(H436-G436)/G436</f>
        <v/>
      </c>
    </row>
    <row r="437">
      <c r="D437" s="7" t="inlineStr">
        <is>
          <t>NOV</t>
        </is>
      </c>
      <c r="E437" s="49" t="n">
        <v>-0.08</v>
      </c>
      <c r="F437" s="49" t="n">
        <v>-14.2</v>
      </c>
      <c r="G437" s="49" t="n">
        <v>0.8</v>
      </c>
      <c r="H437" s="49" t="n">
        <v>1.2</v>
      </c>
      <c r="I437" s="45">
        <f>(F437-E437)/E437</f>
        <v/>
      </c>
      <c r="J437" s="45">
        <f>(G437-F437)/F437</f>
        <v/>
      </c>
      <c r="K437" s="45">
        <f>(H437-G437)/G437</f>
        <v/>
      </c>
    </row>
    <row r="438">
      <c r="D438" s="7" t="inlineStr">
        <is>
          <t>ALK</t>
        </is>
      </c>
      <c r="E438" s="49" t="n">
        <v>3.52</v>
      </c>
      <c r="F438" s="49" t="n">
        <v>5.71</v>
      </c>
      <c r="G438" s="49" t="n">
        <v>6.95</v>
      </c>
      <c r="H438" s="49" t="n">
        <v>7.57</v>
      </c>
      <c r="I438" s="45">
        <f>(F438-E438)/E438</f>
        <v/>
      </c>
      <c r="J438" s="45">
        <f>(G438-F438)/F438</f>
        <v/>
      </c>
      <c r="K438" s="45">
        <f>(H438-G438)/G438</f>
        <v/>
      </c>
    </row>
    <row r="439">
      <c r="D439" s="7" t="inlineStr">
        <is>
          <t>COG</t>
        </is>
      </c>
      <c r="E439" s="49" t="n">
        <v>1.25</v>
      </c>
      <c r="F439" s="49" t="n">
        <v>1.7</v>
      </c>
      <c r="G439" s="49" t="n">
        <v>1.45</v>
      </c>
      <c r="H439" s="49" t="n">
        <v>1.63</v>
      </c>
      <c r="I439" s="45">
        <f>(F439-E439)/E439</f>
        <v/>
      </c>
      <c r="J439" s="45">
        <f>(G439-F439)/F439</f>
        <v/>
      </c>
      <c r="K439" s="45">
        <f>(H439-G439)/G439</f>
        <v/>
      </c>
    </row>
    <row r="440">
      <c r="D440" s="7" t="inlineStr">
        <is>
          <t>NLSN</t>
        </is>
      </c>
      <c r="E440" s="49" t="n">
        <v>-2</v>
      </c>
      <c r="F440" s="49" t="n">
        <v>0.9</v>
      </c>
      <c r="G440" s="49" t="n">
        <v>1.17</v>
      </c>
      <c r="H440" s="49" t="n">
        <v>1.44</v>
      </c>
      <c r="I440" s="45">
        <f>(F440-E440)/E440</f>
        <v/>
      </c>
      <c r="J440" s="45">
        <f>(G440-F440)/F440</f>
        <v/>
      </c>
      <c r="K440" s="45">
        <f>(H440-G440)/G440</f>
        <v/>
      </c>
    </row>
    <row r="441">
      <c r="D441" s="7" t="inlineStr">
        <is>
          <t>MHK</t>
        </is>
      </c>
      <c r="E441" s="49" t="n">
        <v>11.5</v>
      </c>
      <c r="F441" s="49" t="n">
        <v>9.33</v>
      </c>
      <c r="G441" s="49" t="n">
        <v>10.9</v>
      </c>
      <c r="H441" s="49" t="n">
        <v>12.5</v>
      </c>
      <c r="I441" s="45">
        <f>(F441-E441)/E441</f>
        <v/>
      </c>
      <c r="J441" s="45">
        <f>(G441-F441)/F441</f>
        <v/>
      </c>
      <c r="K441" s="45">
        <f>(H441-G441)/G441</f>
        <v/>
      </c>
    </row>
    <row r="442">
      <c r="D442" s="7" t="inlineStr">
        <is>
          <t>FBHS</t>
        </is>
      </c>
      <c r="E442" s="49" t="n">
        <v>2.66</v>
      </c>
      <c r="F442" s="49" t="n">
        <v>3.53</v>
      </c>
      <c r="G442" s="49" t="n">
        <v>4.01</v>
      </c>
      <c r="H442" s="49" t="n">
        <v>4.27</v>
      </c>
      <c r="I442" s="45">
        <f>(F442-E442)/E442</f>
        <v/>
      </c>
      <c r="J442" s="45">
        <f>(G442-F442)/F442</f>
        <v/>
      </c>
      <c r="K442" s="45">
        <f>(H442-G442)/G442</f>
        <v/>
      </c>
    </row>
    <row r="443">
      <c r="D443" s="7" t="inlineStr">
        <is>
          <t>HFC</t>
        </is>
      </c>
      <c r="E443" s="49" t="n">
        <v>6.19</v>
      </c>
      <c r="F443" s="49" t="n">
        <v>4.79</v>
      </c>
      <c r="G443" s="49" t="n">
        <v>5.39</v>
      </c>
      <c r="H443" s="49" t="n">
        <v>5.08</v>
      </c>
      <c r="I443" s="45">
        <f>(F443-E443)/E443</f>
        <v/>
      </c>
      <c r="J443" s="45">
        <f>(G443-F443)/F443</f>
        <v/>
      </c>
      <c r="K443" s="45">
        <f>(H443-G443)/G443</f>
        <v/>
      </c>
    </row>
    <row r="444">
      <c r="D444" s="7" t="inlineStr">
        <is>
          <t>DVA</t>
        </is>
      </c>
      <c r="E444" s="49" t="n">
        <v>0.92</v>
      </c>
      <c r="F444" s="49" t="n">
        <v>4.92</v>
      </c>
      <c r="G444" s="49" t="n">
        <v>5.24</v>
      </c>
      <c r="H444" s="49" t="n">
        <v>5.46</v>
      </c>
      <c r="I444" s="45">
        <f>(F444-E444)/E444</f>
        <v/>
      </c>
      <c r="J444" s="45">
        <f>(G444-F444)/F444</f>
        <v/>
      </c>
      <c r="K444" s="45">
        <f>(H444-G444)/G444</f>
        <v/>
      </c>
    </row>
    <row r="445">
      <c r="D445" s="7" t="inlineStr">
        <is>
          <t>SLG</t>
        </is>
      </c>
      <c r="E445" s="49" t="n">
        <v>2.67</v>
      </c>
      <c r="F445" s="49" t="n">
        <v>2.65</v>
      </c>
      <c r="G445" s="49" t="n">
        <v>1.4</v>
      </c>
      <c r="H445" s="49" t="n">
        <v>2.79</v>
      </c>
      <c r="I445" s="45">
        <f>(F445-E445)/E445</f>
        <v/>
      </c>
      <c r="J445" s="45">
        <f>(G445-F445)/F445</f>
        <v/>
      </c>
      <c r="K445" s="45">
        <f>(H445-G445)/G445</f>
        <v/>
      </c>
    </row>
    <row r="446">
      <c r="D446" s="7" t="inlineStr">
        <is>
          <t>ALB</t>
        </is>
      </c>
      <c r="E446" s="49" t="n">
        <v>6.34</v>
      </c>
      <c r="F446" s="49" t="n">
        <v>6.41</v>
      </c>
      <c r="G446" s="49" t="n">
        <v>6.54</v>
      </c>
      <c r="H446" s="49" t="n">
        <v>7.48</v>
      </c>
      <c r="I446" s="45">
        <f>(F446-E446)/E446</f>
        <v/>
      </c>
      <c r="J446" s="45">
        <f>(G446-F446)/F446</f>
        <v/>
      </c>
      <c r="K446" s="45">
        <f>(H446-G446)/G446</f>
        <v/>
      </c>
    </row>
    <row r="447">
      <c r="D447" s="7" t="inlineStr">
        <is>
          <t>RHI</t>
        </is>
      </c>
      <c r="E447" s="49" t="n">
        <v>3.57</v>
      </c>
      <c r="F447" s="49" t="n">
        <v>3.94</v>
      </c>
      <c r="G447" s="49" t="n">
        <v>4.15</v>
      </c>
      <c r="H447" s="49" t="n">
        <v>4.52</v>
      </c>
      <c r="I447" s="45">
        <f>(F447-E447)/E447</f>
        <v/>
      </c>
      <c r="J447" s="45">
        <f>(G447-F447)/F447</f>
        <v/>
      </c>
      <c r="K447" s="45">
        <f>(H447-G447)/G447</f>
        <v/>
      </c>
    </row>
    <row r="448">
      <c r="D448" s="7" t="inlineStr">
        <is>
          <t>AOS</t>
        </is>
      </c>
      <c r="E448" s="49" t="inlineStr">
        <is>
          <t xml:space="preserve">
                                        </t>
        </is>
      </c>
      <c r="F448" s="49" t="inlineStr">
        <is>
          <t xml:space="preserve">
                                        </t>
        </is>
      </c>
      <c r="G448" s="49" t="inlineStr">
        <is>
          <t xml:space="preserve">
                                        </t>
        </is>
      </c>
      <c r="H448" s="49" t="inlineStr">
        <is>
          <t xml:space="preserve">
                                    </t>
        </is>
      </c>
      <c r="I448" s="45" t="n"/>
      <c r="J448" s="45" t="n"/>
      <c r="K448" s="45" t="n"/>
    </row>
    <row r="449">
      <c r="D449" s="7" t="inlineStr">
        <is>
          <t>BWA</t>
        </is>
      </c>
      <c r="E449" s="49" t="n">
        <v>4.44</v>
      </c>
      <c r="F449" s="49" t="n">
        <v>3.43</v>
      </c>
      <c r="G449" s="49" t="n">
        <v>4.08</v>
      </c>
      <c r="H449" s="49" t="n">
        <v>4.62</v>
      </c>
      <c r="I449" s="45">
        <f>(F449-E449)/E449</f>
        <v/>
      </c>
      <c r="J449" s="45">
        <f>(G449-F449)/F449</f>
        <v/>
      </c>
      <c r="K449" s="45">
        <f>(H449-G449)/G449</f>
        <v/>
      </c>
    </row>
    <row r="450">
      <c r="D450" s="7" t="inlineStr">
        <is>
          <t>SEE</t>
        </is>
      </c>
      <c r="E450" s="49" t="n">
        <v>1.2</v>
      </c>
      <c r="F450" s="49" t="n">
        <v>2.21</v>
      </c>
      <c r="G450" s="49" t="n">
        <v>2.92</v>
      </c>
      <c r="H450" s="49" t="n">
        <v>4.03</v>
      </c>
      <c r="I450" s="45">
        <f>(F450-E450)/E450</f>
        <v/>
      </c>
      <c r="J450" s="45">
        <f>(G450-F450)/F450</f>
        <v/>
      </c>
      <c r="K450" s="45">
        <f>(H450-G450)/G450</f>
        <v/>
      </c>
    </row>
    <row r="451">
      <c r="D451" s="7" t="inlineStr">
        <is>
          <t>FLIR</t>
        </is>
      </c>
      <c r="E451" s="49" t="n">
        <v>2.01</v>
      </c>
      <c r="F451" s="49" t="n">
        <v>1.84</v>
      </c>
      <c r="G451" s="49" t="n">
        <v>2.37</v>
      </c>
      <c r="H451" s="49" t="n">
        <v>2.83</v>
      </c>
      <c r="I451" s="45">
        <f>(F451-E451)/E451</f>
        <v/>
      </c>
      <c r="J451" s="45">
        <f>(G451-F451)/F451</f>
        <v/>
      </c>
      <c r="K451" s="45">
        <f>(H451-G451)/G451</f>
        <v/>
      </c>
    </row>
    <row r="452">
      <c r="D452" s="7" t="inlineStr">
        <is>
          <t>IVZ</t>
        </is>
      </c>
      <c r="E452" s="49" t="n">
        <v>2.14</v>
      </c>
      <c r="F452" s="49" t="n">
        <v>1.88</v>
      </c>
      <c r="G452" s="49" t="n">
        <v>2.65</v>
      </c>
      <c r="H452" s="49" t="n">
        <v>2.67</v>
      </c>
      <c r="I452" s="45">
        <f>(F452-E452)/E452</f>
        <v/>
      </c>
      <c r="J452" s="45">
        <f>(G452-F452)/F452</f>
        <v/>
      </c>
      <c r="K452" s="45">
        <f>(H452-G452)/G452</f>
        <v/>
      </c>
    </row>
    <row r="453">
      <c r="D453" s="7" t="inlineStr">
        <is>
          <t>MOS</t>
        </is>
      </c>
      <c r="E453" s="49" t="n">
        <v>1.22</v>
      </c>
      <c r="F453" s="49" t="n">
        <v>0.68</v>
      </c>
      <c r="G453" s="49" t="n">
        <v>1.93</v>
      </c>
      <c r="H453" s="49" t="n">
        <v>2.61</v>
      </c>
      <c r="I453" s="45">
        <f>(F453-E453)/E453</f>
        <v/>
      </c>
      <c r="J453" s="45">
        <f>(G453-F453)/F453</f>
        <v/>
      </c>
      <c r="K453" s="45">
        <f>(H453-G453)/G453</f>
        <v/>
      </c>
    </row>
    <row r="454">
      <c r="D454" s="7" t="inlineStr">
        <is>
          <t>NWL</t>
        </is>
      </c>
      <c r="E454" s="49" t="n">
        <v>-14.6</v>
      </c>
      <c r="F454" s="49" t="n">
        <v>0.66</v>
      </c>
      <c r="G454" s="49" t="n">
        <v>1.17</v>
      </c>
      <c r="H454" s="49" t="n">
        <v>1.31</v>
      </c>
      <c r="I454" s="45">
        <f>(F454-E454)/E454</f>
        <v/>
      </c>
      <c r="J454" s="45">
        <f>(G454-F454)/F454</f>
        <v/>
      </c>
      <c r="K454" s="45">
        <f>(H454-G454)/G454</f>
        <v/>
      </c>
    </row>
    <row r="455">
      <c r="D455" s="7" t="inlineStr">
        <is>
          <t>ADS</t>
        </is>
      </c>
      <c r="E455" s="49" t="n">
        <v>17.5</v>
      </c>
      <c r="F455" s="49" t="n">
        <v>16</v>
      </c>
      <c r="G455" s="49" t="n">
        <v>20</v>
      </c>
      <c r="H455" s="49" t="n">
        <v>22.2</v>
      </c>
      <c r="I455" s="45">
        <f>(F455-E455)/E455</f>
        <v/>
      </c>
      <c r="J455" s="45">
        <f>(G455-F455)/F455</f>
        <v/>
      </c>
      <c r="K455" s="45">
        <f>(H455-G455)/G455</f>
        <v/>
      </c>
    </row>
    <row r="456">
      <c r="D456" s="7" t="inlineStr">
        <is>
          <t>TPR</t>
        </is>
      </c>
      <c r="E456" s="49" t="n">
        <v>2.21</v>
      </c>
      <c r="F456" s="49" t="n">
        <v>2.58</v>
      </c>
      <c r="G456" s="49" t="n">
        <v>2.78</v>
      </c>
      <c r="H456" s="49" t="n">
        <v>2.97</v>
      </c>
      <c r="I456" s="45">
        <f>(F456-E456)/E456</f>
        <v/>
      </c>
      <c r="J456" s="45">
        <f>(G456-F456)/F456</f>
        <v/>
      </c>
      <c r="K456" s="45">
        <f>(H456-G456)/G456</f>
        <v/>
      </c>
    </row>
    <row r="457">
      <c r="D457" s="7" t="inlineStr">
        <is>
          <t>PRGO</t>
        </is>
      </c>
      <c r="E457" s="49" t="n">
        <v>0.95</v>
      </c>
      <c r="F457" s="49" t="n">
        <v>1.29</v>
      </c>
      <c r="G457" s="49" t="n">
        <v>2.6</v>
      </c>
      <c r="H457" s="49" t="n">
        <v>4.61</v>
      </c>
      <c r="I457" s="45">
        <f>(F457-E457)/E457</f>
        <v/>
      </c>
      <c r="J457" s="45">
        <f>(G457-F457)/F457</f>
        <v/>
      </c>
      <c r="K457" s="45">
        <f>(H457-G457)/G457</f>
        <v/>
      </c>
    </row>
    <row r="458">
      <c r="D458" s="7" t="inlineStr">
        <is>
          <t>UNM</t>
        </is>
      </c>
      <c r="E458" s="49" t="n">
        <v>2.38</v>
      </c>
      <c r="F458" s="49" t="n">
        <v>5.37</v>
      </c>
      <c r="G458" s="49" t="n">
        <v>5.63</v>
      </c>
      <c r="H458" s="49" t="n">
        <v>6.04</v>
      </c>
      <c r="I458" s="45">
        <f>(F458-E458)/E458</f>
        <v/>
      </c>
      <c r="J458" s="45">
        <f>(G458-F458)/F458</f>
        <v/>
      </c>
      <c r="K458" s="45">
        <f>(H458-G458)/G458</f>
        <v/>
      </c>
    </row>
    <row r="459">
      <c r="D459" s="7" t="inlineStr">
        <is>
          <t>PBCT</t>
        </is>
      </c>
      <c r="E459" s="49" t="n">
        <v>1.29</v>
      </c>
      <c r="F459" s="49" t="n">
        <v>1.17</v>
      </c>
      <c r="G459" s="49" t="n">
        <v>1.37</v>
      </c>
      <c r="H459" s="49" t="n">
        <v>1.4</v>
      </c>
      <c r="I459" s="45">
        <f>(F459-E459)/E459</f>
        <v/>
      </c>
      <c r="J459" s="45">
        <f>(G459-F459)/F459</f>
        <v/>
      </c>
      <c r="K459" s="45">
        <f>(H459-G459)/G459</f>
        <v/>
      </c>
    </row>
    <row r="460">
      <c r="D460" s="7" t="inlineStr">
        <is>
          <t>PNR</t>
        </is>
      </c>
      <c r="E460" s="49" t="n">
        <v>1.96</v>
      </c>
      <c r="F460" s="49" t="n">
        <v>2.16</v>
      </c>
      <c r="G460" s="49" t="n">
        <v>2.49</v>
      </c>
      <c r="H460" s="49" t="n">
        <v>2.6</v>
      </c>
      <c r="I460" s="45">
        <f>(F460-E460)/E460</f>
        <v/>
      </c>
      <c r="J460" s="45">
        <f>(G460-F460)/F460</f>
        <v/>
      </c>
      <c r="K460" s="45">
        <f>(H460-G460)/G460</f>
        <v/>
      </c>
    </row>
    <row r="461">
      <c r="D461" s="7" t="inlineStr">
        <is>
          <t>HRB</t>
        </is>
      </c>
      <c r="E461" s="49" t="n">
        <v>2.04</v>
      </c>
      <c r="F461" s="49" t="n">
        <v>1.93</v>
      </c>
      <c r="G461" s="49" t="n">
        <v>2.04</v>
      </c>
      <c r="H461" s="49" t="n">
        <v>2.01</v>
      </c>
      <c r="I461" s="45">
        <f>(F461-E461)/E461</f>
        <v/>
      </c>
      <c r="J461" s="45">
        <f>(G461-F461)/F461</f>
        <v/>
      </c>
      <c r="K461" s="45">
        <f>(H461-G461)/G461</f>
        <v/>
      </c>
    </row>
    <row r="462">
      <c r="D462" s="7" t="inlineStr">
        <is>
          <t>PVH</t>
        </is>
      </c>
      <c r="E462" s="49" t="inlineStr">
        <is>
          <t xml:space="preserve">
                                        </t>
        </is>
      </c>
      <c r="F462" s="49" t="inlineStr">
        <is>
          <t xml:space="preserve">
                                        </t>
        </is>
      </c>
      <c r="G462" s="49" t="inlineStr">
        <is>
          <t xml:space="preserve">
                                        </t>
        </is>
      </c>
      <c r="H462" s="49" t="inlineStr">
        <is>
          <t xml:space="preserve">
                                    </t>
        </is>
      </c>
      <c r="I462" s="45" t="n"/>
      <c r="J462" s="45" t="n"/>
      <c r="K462" s="45" t="n"/>
    </row>
    <row r="463">
      <c r="D463" s="7" t="inlineStr">
        <is>
          <t>FLS</t>
        </is>
      </c>
      <c r="E463" s="49" t="n">
        <v>0.91</v>
      </c>
      <c r="F463" s="49" t="n">
        <v>1.94</v>
      </c>
      <c r="G463" s="49" t="n">
        <v>2.45</v>
      </c>
      <c r="H463" s="49" t="n">
        <v>2.86</v>
      </c>
      <c r="I463" s="45">
        <f>(F463-E463)/E463</f>
        <v/>
      </c>
      <c r="J463" s="45">
        <f>(G463-F463)/F463</f>
        <v/>
      </c>
      <c r="K463" s="45">
        <f>(H463-G463)/G463</f>
        <v/>
      </c>
    </row>
    <row r="464">
      <c r="D464" s="7" t="inlineStr">
        <is>
          <t>NWSA</t>
        </is>
      </c>
      <c r="E464" s="49" t="n">
        <v>0.26</v>
      </c>
      <c r="F464" s="49" t="n">
        <v>0.42</v>
      </c>
      <c r="G464" s="49" t="n">
        <v>0.54</v>
      </c>
      <c r="H464" s="49" t="n">
        <v>0.48</v>
      </c>
      <c r="I464" s="45">
        <f>(F464-E464)/E464</f>
        <v/>
      </c>
      <c r="J464" s="45">
        <f>(G464-F464)/F464</f>
        <v/>
      </c>
      <c r="K464" s="45">
        <f>(H464-G464)/G464</f>
        <v/>
      </c>
    </row>
    <row r="465">
      <c r="D465" s="7" t="inlineStr">
        <is>
          <t>HOG</t>
        </is>
      </c>
      <c r="E465" s="49" t="n">
        <v>3.19</v>
      </c>
      <c r="F465" s="49" t="n">
        <v>2.76</v>
      </c>
      <c r="G465" s="49" t="n">
        <v>3.57</v>
      </c>
      <c r="H465" s="49" t="n">
        <v>3.46</v>
      </c>
      <c r="I465" s="45">
        <f>(F465-E465)/E465</f>
        <v/>
      </c>
      <c r="J465" s="45">
        <f>(G465-F465)/F465</f>
        <v/>
      </c>
      <c r="K465" s="45">
        <f>(H465-G465)/G465</f>
        <v/>
      </c>
    </row>
    <row r="466">
      <c r="D466" s="7" t="inlineStr">
        <is>
          <t>PWR</t>
        </is>
      </c>
      <c r="E466" s="49" t="n">
        <v>1.9</v>
      </c>
      <c r="F466" s="49" t="n">
        <v>2.62</v>
      </c>
      <c r="G466" s="49" t="n">
        <v>3.24</v>
      </c>
      <c r="H466" s="49" t="n">
        <v>3.86</v>
      </c>
      <c r="I466" s="45">
        <f>(F466-E466)/E466</f>
        <v/>
      </c>
      <c r="J466" s="45">
        <f>(G466-F466)/F466</f>
        <v/>
      </c>
      <c r="K466" s="45">
        <f>(H466-G466)/G466</f>
        <v/>
      </c>
    </row>
    <row r="467">
      <c r="D467" s="7" t="inlineStr">
        <is>
          <t>LEG</t>
        </is>
      </c>
      <c r="E467" s="49" t="n">
        <v>2.26</v>
      </c>
      <c r="F467" s="49" t="n">
        <v>2.4</v>
      </c>
      <c r="G467" s="49" t="n">
        <v>2.61</v>
      </c>
      <c r="H467" s="49" t="n">
        <v>2.83</v>
      </c>
      <c r="I467" s="45">
        <f>(F467-E467)/E467</f>
        <v/>
      </c>
      <c r="J467" s="45">
        <f>(G467-F467)/F467</f>
        <v/>
      </c>
      <c r="K467" s="45">
        <f>(H467-G467)/G467</f>
        <v/>
      </c>
    </row>
    <row r="468">
      <c r="D468" s="7" t="inlineStr">
        <is>
          <t>ROL</t>
        </is>
      </c>
      <c r="E468" s="49" t="n">
        <v>0.66</v>
      </c>
      <c r="F468" s="49" t="n">
        <v>0.79</v>
      </c>
      <c r="G468" s="49" t="inlineStr">
        <is>
          <t>-</t>
        </is>
      </c>
      <c r="H468" s="49" t="inlineStr">
        <is>
          <t xml:space="preserve">
                                    </t>
        </is>
      </c>
      <c r="I468" s="45">
        <f>(F468-E468)/E468</f>
        <v/>
      </c>
      <c r="J468" s="45">
        <f>(G468-F468)/F468</f>
        <v/>
      </c>
      <c r="K468" s="45">
        <f>(H468-G468)/G468</f>
        <v/>
      </c>
    </row>
    <row r="469">
      <c r="D469" s="7" t="inlineStr">
        <is>
          <t>M</t>
        </is>
      </c>
      <c r="E469" s="49" t="inlineStr">
        <is>
          <t xml:space="preserve">
                                        </t>
        </is>
      </c>
      <c r="F469" s="49" t="inlineStr">
        <is>
          <t xml:space="preserve">
                                        </t>
        </is>
      </c>
      <c r="G469" s="49" t="inlineStr">
        <is>
          <t xml:space="preserve">
                                        </t>
        </is>
      </c>
      <c r="H469" s="49" t="inlineStr">
        <is>
          <t xml:space="preserve">
                                    </t>
        </is>
      </c>
      <c r="I469" s="45" t="n"/>
      <c r="J469" s="45" t="n"/>
      <c r="K469" s="45" t="n"/>
    </row>
    <row r="470">
      <c r="D470" s="7" t="inlineStr">
        <is>
          <t>JEF</t>
        </is>
      </c>
      <c r="E470" s="49" t="n">
        <v>0.45</v>
      </c>
      <c r="F470" s="49" t="n">
        <v>3.18</v>
      </c>
      <c r="G470" s="49" t="n">
        <v>2.91</v>
      </c>
      <c r="H470" s="49" t="n">
        <v>1.5</v>
      </c>
      <c r="I470" s="45">
        <f>(F470-E470)/E470</f>
        <v/>
      </c>
      <c r="J470" s="45">
        <f>(G470-F470)/F470</f>
        <v/>
      </c>
      <c r="K470" s="45">
        <f>(H470-G470)/G470</f>
        <v/>
      </c>
    </row>
    <row r="471">
      <c r="D471" s="7" t="inlineStr">
        <is>
          <t>RL</t>
        </is>
      </c>
      <c r="E471" s="49" t="n">
        <v>5.27</v>
      </c>
      <c r="F471" s="49" t="n">
        <v>7.4</v>
      </c>
      <c r="G471" s="49" t="n">
        <v>8.26</v>
      </c>
      <c r="H471" s="49" t="n">
        <v>9.01</v>
      </c>
      <c r="I471" s="45">
        <f>(F471-E471)/E471</f>
        <v/>
      </c>
      <c r="J471" s="45">
        <f>(G471-F471)/F471</f>
        <v/>
      </c>
      <c r="K471" s="45">
        <f>(H471-G471)/G471</f>
        <v/>
      </c>
    </row>
    <row r="472">
      <c r="D472" s="7" t="inlineStr">
        <is>
          <t>DISCA</t>
        </is>
      </c>
      <c r="E472" s="49" t="n">
        <v>0.86</v>
      </c>
      <c r="F472" s="49" t="n">
        <v>3.01</v>
      </c>
      <c r="G472" s="49" t="n">
        <v>2.8</v>
      </c>
      <c r="H472" s="49" t="n">
        <v>3.18</v>
      </c>
      <c r="I472" s="45">
        <f>(F472-E472)/E472</f>
        <v/>
      </c>
      <c r="J472" s="45">
        <f>(G472-F472)/F472</f>
        <v/>
      </c>
      <c r="K472" s="45">
        <f>(H472-G472)/G472</f>
        <v/>
      </c>
    </row>
    <row r="473">
      <c r="D473" s="7" t="inlineStr">
        <is>
          <t>IPGP</t>
        </is>
      </c>
      <c r="E473" s="49" t="n">
        <v>7.38</v>
      </c>
      <c r="F473" s="49" t="n">
        <v>4.79</v>
      </c>
      <c r="G473" s="49" t="n">
        <v>5.95</v>
      </c>
      <c r="H473" s="49" t="n">
        <v>6.33</v>
      </c>
      <c r="I473" s="45">
        <f>(F473-E473)/E473</f>
        <v/>
      </c>
      <c r="J473" s="45">
        <f>(G473-F473)/F473</f>
        <v/>
      </c>
      <c r="K473" s="45">
        <f>(H473-G473)/G473</f>
        <v/>
      </c>
    </row>
    <row r="474">
      <c r="D474" s="7" t="inlineStr">
        <is>
          <t>HP</t>
        </is>
      </c>
      <c r="E474" s="49" t="n">
        <v>4.37</v>
      </c>
      <c r="F474" s="49" t="n">
        <v>-0.43</v>
      </c>
      <c r="G474" s="49" t="n">
        <v>1.25</v>
      </c>
      <c r="H474" s="49" t="n">
        <v>1.21</v>
      </c>
      <c r="I474" s="45">
        <f>(F474-E474)/E474</f>
        <v/>
      </c>
      <c r="J474" s="45">
        <f>(G474-F474)/F474</f>
        <v/>
      </c>
      <c r="K474" s="45">
        <f>(H474-G474)/G474</f>
        <v/>
      </c>
    </row>
    <row r="475">
      <c r="D475" s="7" t="inlineStr">
        <is>
          <t>LB</t>
        </is>
      </c>
      <c r="E475" s="49" t="inlineStr">
        <is>
          <t xml:space="preserve">
                                        </t>
        </is>
      </c>
      <c r="F475" s="49" t="inlineStr">
        <is>
          <t xml:space="preserve">
                                        </t>
        </is>
      </c>
      <c r="G475" s="49" t="inlineStr">
        <is>
          <t xml:space="preserve">
                                        </t>
        </is>
      </c>
      <c r="H475" s="49" t="inlineStr">
        <is>
          <t xml:space="preserve">
                                    </t>
        </is>
      </c>
      <c r="I475" s="45" t="n"/>
      <c r="J475" s="45" t="n"/>
      <c r="K475" s="45" t="n"/>
    </row>
    <row r="476">
      <c r="D476" s="7" t="inlineStr">
        <is>
          <t>XEC</t>
        </is>
      </c>
      <c r="E476" s="49" t="n">
        <v>8.32</v>
      </c>
      <c r="F476" s="49" t="n">
        <v>4.02</v>
      </c>
      <c r="G476" s="49" t="n">
        <v>6.09</v>
      </c>
      <c r="H476" s="49" t="n">
        <v>7.26</v>
      </c>
      <c r="I476" s="45">
        <f>(F476-E476)/E476</f>
        <v/>
      </c>
      <c r="J476" s="45">
        <f>(G476-F476)/F476</f>
        <v/>
      </c>
      <c r="K476" s="45">
        <f>(H476-G476)/G476</f>
        <v/>
      </c>
    </row>
    <row r="477">
      <c r="D477" s="7" t="inlineStr">
        <is>
          <t>AMG</t>
        </is>
      </c>
      <c r="E477" s="49" t="inlineStr">
        <is>
          <t xml:space="preserve">
                                        </t>
        </is>
      </c>
      <c r="F477" s="49" t="inlineStr">
        <is>
          <t xml:space="preserve">
                                        </t>
        </is>
      </c>
      <c r="G477" s="49" t="inlineStr">
        <is>
          <t xml:space="preserve">
                                        </t>
        </is>
      </c>
      <c r="H477" s="49" t="inlineStr">
        <is>
          <t xml:space="preserve">
                                    </t>
        </is>
      </c>
      <c r="I477" s="45" t="n"/>
      <c r="J477" s="45" t="n"/>
      <c r="K477" s="45" t="n"/>
    </row>
    <row r="478">
      <c r="D478" s="7" t="inlineStr">
        <is>
          <t>TRIP</t>
        </is>
      </c>
      <c r="E478" s="49" t="n">
        <v>0.8100000000000001</v>
      </c>
      <c r="F478" s="49" t="n">
        <v>1.11</v>
      </c>
      <c r="G478" s="49" t="n">
        <v>1.39</v>
      </c>
      <c r="H478" s="49" t="n">
        <v>1.62</v>
      </c>
      <c r="I478" s="45">
        <f>(F478-E478)/E478</f>
        <v/>
      </c>
      <c r="J478" s="45">
        <f>(G478-F478)/F478</f>
        <v/>
      </c>
      <c r="K478" s="45">
        <f>(H478-G478)/G478</f>
        <v/>
      </c>
    </row>
    <row r="479">
      <c r="D479" s="7" t="inlineStr">
        <is>
          <t>GPS</t>
        </is>
      </c>
      <c r="E479" s="49" t="inlineStr">
        <is>
          <t xml:space="preserve">
                                        </t>
        </is>
      </c>
      <c r="F479" s="49" t="inlineStr">
        <is>
          <t xml:space="preserve">
                                        </t>
        </is>
      </c>
      <c r="G479" s="49" t="inlineStr">
        <is>
          <t xml:space="preserve">
                                        </t>
        </is>
      </c>
      <c r="H479" s="49" t="inlineStr">
        <is>
          <t xml:space="preserve">
                                    </t>
        </is>
      </c>
      <c r="I479" s="45" t="n"/>
      <c r="J479" s="45" t="n"/>
      <c r="K479" s="45" t="n"/>
    </row>
    <row r="480">
      <c r="D480" s="7" t="inlineStr">
        <is>
          <t>UAA</t>
        </is>
      </c>
      <c r="E480" s="49" t="n">
        <v>-0.1</v>
      </c>
      <c r="F480" s="49" t="n">
        <v>0.34</v>
      </c>
      <c r="G480" s="49" t="n">
        <v>0.47</v>
      </c>
      <c r="H480" s="49" t="n">
        <v>0.64</v>
      </c>
      <c r="I480" s="45">
        <f>(F480-E480)/E480</f>
        <v/>
      </c>
      <c r="J480" s="45">
        <f>(G480-F480)/F480</f>
        <v/>
      </c>
      <c r="K480" s="45">
        <f>(H480-G480)/G480</f>
        <v/>
      </c>
    </row>
    <row r="481">
      <c r="D481" s="7" t="inlineStr">
        <is>
          <t>UA</t>
        </is>
      </c>
      <c r="E481" s="49" t="n">
        <v>-0.1</v>
      </c>
      <c r="F481" s="49" t="n">
        <v>0.34</v>
      </c>
      <c r="G481" s="49" t="n">
        <v>0.47</v>
      </c>
      <c r="H481" s="49" t="n">
        <v>0.64</v>
      </c>
      <c r="I481" s="45">
        <f>(F481-E481)/E481</f>
        <v/>
      </c>
      <c r="J481" s="45">
        <f>(G481-F481)/F481</f>
        <v/>
      </c>
      <c r="K481" s="45">
        <f>(H481-G481)/G481</f>
        <v/>
      </c>
    </row>
    <row r="482">
      <c r="D482" s="7" t="inlineStr">
        <is>
          <t>JWN</t>
        </is>
      </c>
      <c r="E482" s="49" t="inlineStr">
        <is>
          <t xml:space="preserve">
                                        </t>
        </is>
      </c>
      <c r="F482" s="49" t="inlineStr">
        <is>
          <t xml:space="preserve">
                                        </t>
        </is>
      </c>
      <c r="G482" s="49" t="inlineStr">
        <is>
          <t xml:space="preserve">
                                        </t>
        </is>
      </c>
      <c r="H482" s="49" t="inlineStr">
        <is>
          <t xml:space="preserve">
                                    </t>
        </is>
      </c>
      <c r="I482" s="45" t="n"/>
      <c r="J482" s="45" t="n"/>
      <c r="K482" s="45" t="n"/>
    </row>
    <row r="483">
      <c r="D483" s="7" t="inlineStr">
        <is>
          <t>MAC</t>
        </is>
      </c>
      <c r="E483" s="49" t="n">
        <v>0.42</v>
      </c>
      <c r="F483" s="49" t="n">
        <v>0.36</v>
      </c>
      <c r="G483" s="49" t="n">
        <v>0.33</v>
      </c>
      <c r="H483" s="49" t="n">
        <v>0.52</v>
      </c>
      <c r="I483" s="45">
        <f>(F483-E483)/E483</f>
        <v/>
      </c>
      <c r="J483" s="45">
        <f>(G483-F483)/F483</f>
        <v/>
      </c>
      <c r="K483" s="45">
        <f>(H483-G483)/G483</f>
        <v/>
      </c>
    </row>
    <row r="484">
      <c r="D484" s="7" t="inlineStr">
        <is>
          <t>NKTR</t>
        </is>
      </c>
      <c r="E484" s="49" t="n">
        <v>3.78</v>
      </c>
      <c r="F484" s="49" t="n">
        <v>-2.88</v>
      </c>
      <c r="G484" s="49" t="n">
        <v>-2.86</v>
      </c>
      <c r="H484" s="49" t="n">
        <v>-2.31</v>
      </c>
      <c r="I484" s="45">
        <f>(F484-E484)/E484</f>
        <v/>
      </c>
      <c r="J484" s="45">
        <f>(G484-F484)/F484</f>
        <v/>
      </c>
      <c r="K484" s="45">
        <f>(H484-G484)/G484</f>
        <v/>
      </c>
    </row>
    <row r="485">
      <c r="D485" s="7" t="inlineStr">
        <is>
          <t>COTY</t>
        </is>
      </c>
      <c r="E485" s="49" t="n">
        <v>-5.04</v>
      </c>
      <c r="F485" s="49" t="n">
        <v>0.25</v>
      </c>
      <c r="G485" s="49" t="n">
        <v>0.42</v>
      </c>
      <c r="H485" s="49" t="n">
        <v>0.43</v>
      </c>
      <c r="I485" s="45">
        <f>(F485-E485)/E485</f>
        <v/>
      </c>
      <c r="J485" s="45">
        <f>(G485-F485)/F485</f>
        <v/>
      </c>
      <c r="K485" s="45">
        <f>(H485-G485)/G485</f>
        <v/>
      </c>
    </row>
    <row r="486">
      <c r="D486" s="7" t="inlineStr">
        <is>
          <t>NWS</t>
        </is>
      </c>
      <c r="E486" s="49" t="n">
        <v>0.26</v>
      </c>
      <c r="F486" s="49" t="n">
        <v>0.42</v>
      </c>
      <c r="G486" s="49" t="n">
        <v>0.54</v>
      </c>
      <c r="H486" s="49" t="n">
        <v>0.48</v>
      </c>
      <c r="I486" s="45">
        <f>(F486-E486)/E486</f>
        <v/>
      </c>
      <c r="J486" s="45">
        <f>(G486-F486)/F486</f>
        <v/>
      </c>
      <c r="K486" s="45">
        <f>(H486-G486)/G486</f>
        <v/>
      </c>
    </row>
    <row r="487">
      <c r="D487" s="7" t="inlineStr">
        <is>
          <t>HBI</t>
        </is>
      </c>
      <c r="E487" s="49" t="n">
        <v>1.52</v>
      </c>
      <c r="F487" s="49" t="n">
        <v>1.64</v>
      </c>
      <c r="G487" s="49" t="n">
        <v>1.78</v>
      </c>
      <c r="H487" s="49" t="n">
        <v>1.86</v>
      </c>
      <c r="I487" s="45">
        <f>(F487-E487)/E487</f>
        <v/>
      </c>
      <c r="J487" s="45">
        <f>(G487-F487)/F487</f>
        <v/>
      </c>
      <c r="K487" s="45">
        <f>(H487-G487)/G487</f>
        <v/>
      </c>
    </row>
    <row r="488">
      <c r="E488" s="50" t="n"/>
      <c r="F488" s="50" t="n"/>
      <c r="G488" s="50" t="n"/>
      <c r="H488" s="50" t="n"/>
    </row>
    <row r="489">
      <c r="E489" s="50" t="n"/>
      <c r="F489" s="50" t="n"/>
      <c r="G489" s="50" t="n"/>
      <c r="H489" s="50" t="n"/>
    </row>
    <row r="490">
      <c r="E490" s="50" t="n"/>
      <c r="F490" s="50" t="n"/>
      <c r="G490" s="50" t="n"/>
      <c r="H490" s="50" t="n"/>
    </row>
    <row r="491">
      <c r="E491" s="50" t="n"/>
      <c r="F491" s="50" t="n"/>
      <c r="G491" s="50" t="n"/>
      <c r="H491" s="50" t="n"/>
    </row>
    <row r="492">
      <c r="E492" s="50" t="n"/>
      <c r="F492" s="50" t="n"/>
      <c r="G492" s="50" t="n"/>
      <c r="H492" s="50" t="n"/>
    </row>
    <row r="493">
      <c r="E493" s="50" t="n"/>
      <c r="F493" s="50" t="n"/>
      <c r="G493" s="50" t="n"/>
      <c r="H493" s="50" t="n"/>
    </row>
  </sheetData>
  <autoFilter ref="D4:K487"/>
  <mergeCells count="2">
    <mergeCell ref="E3:H3"/>
    <mergeCell ref="I3:K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D3:I488"/>
  <sheetViews>
    <sheetView zoomScale="170" zoomScaleNormal="170" workbookViewId="0">
      <selection activeCell="E4" sqref="E4:G4"/>
    </sheetView>
  </sheetViews>
  <sheetFormatPr baseColWidth="8" defaultColWidth="9.1796875" defaultRowHeight="14.5"/>
  <cols>
    <col width="9.1796875" customWidth="1" style="63" min="1" max="3"/>
    <col width="13.1796875" customWidth="1" style="31" min="4" max="4"/>
    <col width="11.36328125" customWidth="1" style="3" min="5" max="5"/>
    <col width="10.81640625" bestFit="1" customWidth="1" style="3" min="6" max="7"/>
    <col width="17.6328125" customWidth="1" style="31" min="8" max="9"/>
    <col width="9.1796875" customWidth="1" style="63" min="10" max="22"/>
    <col width="9.1796875" customWidth="1" style="63" min="23" max="16384"/>
  </cols>
  <sheetData>
    <row r="2" ht="16" customHeight="1" s="76" thickBot="1"/>
    <row r="3" ht="24.75" customHeight="1" s="76">
      <c r="D3" s="17" t="inlineStr">
        <is>
          <t>Stock</t>
        </is>
      </c>
      <c r="E3" s="71" t="inlineStr">
        <is>
          <t>Sales</t>
        </is>
      </c>
      <c r="F3" s="72" t="n"/>
      <c r="G3" s="73" t="n"/>
      <c r="H3" s="74" t="inlineStr">
        <is>
          <t>% Var.</t>
        </is>
      </c>
      <c r="I3" s="73" t="n"/>
    </row>
    <row r="4" ht="24.75" customHeight="1" s="76">
      <c r="D4" s="28" t="n"/>
      <c r="E4" s="23" t="n">
        <v>2018</v>
      </c>
      <c r="F4" s="24" t="n">
        <v>2019</v>
      </c>
      <c r="G4" s="29" t="n">
        <v>2020</v>
      </c>
      <c r="H4" s="25" t="inlineStr">
        <is>
          <t>2018/2019</t>
        </is>
      </c>
      <c r="I4" s="30" t="inlineStr">
        <is>
          <t>2019/2020</t>
        </is>
      </c>
    </row>
    <row r="5">
      <c r="D5" s="7" t="inlineStr">
        <is>
          <t>MSFT</t>
        </is>
      </c>
      <c r="E5" s="26" t="n">
        <v>125843</v>
      </c>
      <c r="F5" s="26" t="n">
        <v>140036</v>
      </c>
      <c r="G5" s="26" t="n">
        <v>155370</v>
      </c>
      <c r="H5" s="45">
        <f>(F5-E5)/E5</f>
        <v/>
      </c>
      <c r="I5" s="45">
        <f>(G5-F5)/F5</f>
        <v/>
      </c>
    </row>
    <row r="6">
      <c r="D6" s="7" t="inlineStr">
        <is>
          <t>AAPL</t>
        </is>
      </c>
      <c r="E6" s="26" t="n">
        <v>265595</v>
      </c>
      <c r="F6" s="26" t="n">
        <v>258806</v>
      </c>
      <c r="G6" s="26" t="n">
        <v>269811</v>
      </c>
      <c r="H6" s="45">
        <f>(F6-E6)/E6</f>
        <v/>
      </c>
      <c r="I6" s="45">
        <f>(G6-F6)/F6</f>
        <v/>
      </c>
    </row>
    <row r="7">
      <c r="D7" s="7" t="inlineStr">
        <is>
          <t>AMZN</t>
        </is>
      </c>
      <c r="E7" s="26" t="n">
        <v>232887</v>
      </c>
      <c r="F7" s="26" t="n">
        <v>278898</v>
      </c>
      <c r="G7" s="26" t="n">
        <v>331241</v>
      </c>
      <c r="H7" s="45">
        <f>(F7-E7)/E7</f>
        <v/>
      </c>
      <c r="I7" s="45">
        <f>(G7-F7)/F7</f>
        <v/>
      </c>
    </row>
    <row r="8">
      <c r="D8" s="7" t="inlineStr">
        <is>
          <t>FB</t>
        </is>
      </c>
      <c r="E8" s="26" t="n">
        <v>55838</v>
      </c>
      <c r="F8" s="26" t="n">
        <v>70251</v>
      </c>
      <c r="G8" s="26" t="n">
        <v>85456</v>
      </c>
      <c r="H8" s="45">
        <f>(F8-E8)/E8</f>
        <v/>
      </c>
      <c r="I8" s="45">
        <f>(G8-F8)/F8</f>
        <v/>
      </c>
    </row>
    <row r="9">
      <c r="D9" s="7" t="inlineStr">
        <is>
          <t>GOOGL</t>
        </is>
      </c>
      <c r="E9" s="26" t="n">
        <v>136819</v>
      </c>
      <c r="F9" s="26" t="n">
        <v>162402</v>
      </c>
      <c r="G9" s="26" t="n">
        <v>190649</v>
      </c>
      <c r="H9" s="45">
        <f>(F9-E9)/E9</f>
        <v/>
      </c>
      <c r="I9" s="45">
        <f>(G9-F9)/F9</f>
        <v/>
      </c>
    </row>
    <row r="10">
      <c r="D10" s="7" t="inlineStr">
        <is>
          <t>JPM</t>
        </is>
      </c>
      <c r="E10" s="26" t="n">
        <v>109029</v>
      </c>
      <c r="F10" s="26" t="n">
        <v>113364</v>
      </c>
      <c r="G10" s="26" t="n">
        <v>115004</v>
      </c>
      <c r="H10" s="45">
        <f>(F10-E10)/E10</f>
        <v/>
      </c>
      <c r="I10" s="45">
        <f>(G10-F10)/F10</f>
        <v/>
      </c>
    </row>
    <row r="11">
      <c r="D11" s="7" t="inlineStr">
        <is>
          <t>JNJ</t>
        </is>
      </c>
      <c r="E11" s="26" t="n">
        <v>81581</v>
      </c>
      <c r="F11" s="26" t="n">
        <v>81612</v>
      </c>
      <c r="G11" s="26" t="n">
        <v>85127</v>
      </c>
      <c r="H11" s="45">
        <f>(F11-E11)/E11</f>
        <v/>
      </c>
      <c r="I11" s="45">
        <f>(G11-F11)/F11</f>
        <v/>
      </c>
    </row>
    <row r="12">
      <c r="D12" s="7" t="inlineStr">
        <is>
          <t>V</t>
        </is>
      </c>
      <c r="E12" s="26" t="n">
        <v>20609</v>
      </c>
      <c r="F12" s="26" t="n">
        <v>22913</v>
      </c>
      <c r="G12" s="26" t="n">
        <v>25509</v>
      </c>
      <c r="H12" s="45">
        <f>(F12-E12)/E12</f>
        <v/>
      </c>
      <c r="I12" s="45">
        <f>(G12-F12)/F12</f>
        <v/>
      </c>
    </row>
    <row r="13">
      <c r="D13" s="7" t="inlineStr">
        <is>
          <t>PG</t>
        </is>
      </c>
      <c r="E13" s="26" t="n">
        <v>67684</v>
      </c>
      <c r="F13" s="26" t="n">
        <v>70319</v>
      </c>
      <c r="G13" s="26" t="n">
        <v>72654</v>
      </c>
      <c r="H13" s="45">
        <f>(F13-E13)/E13</f>
        <v/>
      </c>
      <c r="I13" s="45">
        <f>(G13-F13)/F13</f>
        <v/>
      </c>
    </row>
    <row r="14">
      <c r="D14" s="7" t="inlineStr">
        <is>
          <t>XOM</t>
        </is>
      </c>
      <c r="E14" s="26" t="n">
        <v>290212</v>
      </c>
      <c r="F14" s="26" t="n">
        <v>270185</v>
      </c>
      <c r="G14" s="26" t="n">
        <v>283430</v>
      </c>
      <c r="H14" s="45">
        <f>(F14-E14)/E14</f>
        <v/>
      </c>
      <c r="I14" s="45">
        <f>(G14-F14)/F14</f>
        <v/>
      </c>
    </row>
    <row r="15">
      <c r="D15" s="7" t="inlineStr">
        <is>
          <t>T</t>
        </is>
      </c>
      <c r="E15" s="26" t="n">
        <v>170756</v>
      </c>
      <c r="F15" s="26" t="n">
        <v>182481</v>
      </c>
      <c r="G15" s="26" t="n">
        <v>182793</v>
      </c>
      <c r="H15" s="45">
        <f>(F15-E15)/E15</f>
        <v/>
      </c>
      <c r="I15" s="45">
        <f>(G15-F15)/F15</f>
        <v/>
      </c>
    </row>
    <row r="16">
      <c r="D16" s="7" t="inlineStr">
        <is>
          <t>MA</t>
        </is>
      </c>
      <c r="E16" s="26" t="n">
        <v>14950</v>
      </c>
      <c r="F16" s="26" t="n">
        <v>16818</v>
      </c>
      <c r="G16" s="26" t="n">
        <v>19035</v>
      </c>
      <c r="H16" s="45">
        <f>(F16-E16)/E16</f>
        <v/>
      </c>
      <c r="I16" s="45">
        <f>(G16-F16)/F16</f>
        <v/>
      </c>
    </row>
    <row r="17">
      <c r="D17" s="7" t="inlineStr">
        <is>
          <t>HD</t>
        </is>
      </c>
      <c r="E17" s="26" t="n">
        <v>108203</v>
      </c>
      <c r="F17" s="26" t="n">
        <v>110763</v>
      </c>
      <c r="G17" s="26" t="n">
        <v>115654</v>
      </c>
      <c r="H17" s="45">
        <f>(F17-E17)/E17</f>
        <v/>
      </c>
      <c r="I17" s="45">
        <f>(G17-F17)/F17</f>
        <v/>
      </c>
    </row>
    <row r="18">
      <c r="D18" s="7" t="inlineStr">
        <is>
          <t>BAC</t>
        </is>
      </c>
      <c r="E18" s="26" t="n">
        <v>91857</v>
      </c>
      <c r="F18" s="26" t="n">
        <v>91722</v>
      </c>
      <c r="G18" s="26" t="n">
        <v>91858</v>
      </c>
      <c r="H18" s="45">
        <f>(F18-E18)/E18</f>
        <v/>
      </c>
      <c r="I18" s="45">
        <f>(G18-F18)/F18</f>
        <v/>
      </c>
    </row>
    <row r="19">
      <c r="D19" s="7" t="inlineStr">
        <is>
          <t>VZ</t>
        </is>
      </c>
      <c r="E19" s="26" t="n">
        <v>130863</v>
      </c>
      <c r="F19" s="26" t="n">
        <v>131288</v>
      </c>
      <c r="G19" s="26" t="n">
        <v>132999</v>
      </c>
      <c r="H19" s="45">
        <f>(F19-E19)/E19</f>
        <v/>
      </c>
      <c r="I19" s="45">
        <f>(G19-F19)/F19</f>
        <v/>
      </c>
    </row>
    <row r="20">
      <c r="D20" s="7" t="inlineStr">
        <is>
          <t>DIS</t>
        </is>
      </c>
      <c r="E20" s="26" t="n">
        <v>59434</v>
      </c>
      <c r="F20" s="26" t="n">
        <v>69463</v>
      </c>
      <c r="G20" s="26" t="n">
        <v>82782</v>
      </c>
      <c r="H20" s="45">
        <f>(F20-E20)/E20</f>
        <v/>
      </c>
      <c r="I20" s="45">
        <f>(G20-F20)/F20</f>
        <v/>
      </c>
    </row>
    <row r="21">
      <c r="D21" s="7" t="inlineStr">
        <is>
          <t>CVX</t>
        </is>
      </c>
      <c r="E21" s="26" t="n">
        <v>166339</v>
      </c>
      <c r="F21" s="26" t="n">
        <v>153649</v>
      </c>
      <c r="G21" s="26" t="n">
        <v>159392</v>
      </c>
      <c r="H21" s="45">
        <f>(F21-E21)/E21</f>
        <v/>
      </c>
      <c r="I21" s="45">
        <f>(G21-F21)/F21</f>
        <v/>
      </c>
    </row>
    <row r="22">
      <c r="D22" s="7" t="inlineStr">
        <is>
          <t>UNH</t>
        </is>
      </c>
      <c r="E22" s="26" t="n">
        <v>226247</v>
      </c>
      <c r="F22" s="26" t="n">
        <v>242420</v>
      </c>
      <c r="G22" s="26" t="n">
        <v>261270</v>
      </c>
      <c r="H22" s="45">
        <f>(F22-E22)/E22</f>
        <v/>
      </c>
      <c r="I22" s="45">
        <f>(G22-F22)/F22</f>
        <v/>
      </c>
    </row>
    <row r="23">
      <c r="D23" s="7" t="inlineStr">
        <is>
          <t>MRK</t>
        </is>
      </c>
      <c r="E23" s="26" t="n">
        <v>42294</v>
      </c>
      <c r="F23" s="26" t="n">
        <v>45878</v>
      </c>
      <c r="G23" s="26" t="n">
        <v>48649</v>
      </c>
      <c r="H23" s="45">
        <f>(F23-E23)/E23</f>
        <v/>
      </c>
      <c r="I23" s="45">
        <f>(G23-F23)/F23</f>
        <v/>
      </c>
    </row>
    <row r="24">
      <c r="D24" s="7" t="inlineStr">
        <is>
          <t>KO</t>
        </is>
      </c>
      <c r="E24" s="26" t="n">
        <v>31847</v>
      </c>
      <c r="F24" s="26" t="n">
        <v>36996</v>
      </c>
      <c r="G24" s="26" t="n">
        <v>38809</v>
      </c>
      <c r="H24" s="45">
        <f>(F24-E24)/E24</f>
        <v/>
      </c>
      <c r="I24" s="45">
        <f>(G24-F24)/F24</f>
        <v/>
      </c>
    </row>
    <row r="25">
      <c r="D25" s="7" t="inlineStr">
        <is>
          <t>INTC</t>
        </is>
      </c>
      <c r="E25" s="26" t="n">
        <v>70848</v>
      </c>
      <c r="F25" s="26" t="n">
        <v>69419</v>
      </c>
      <c r="G25" s="26" t="n">
        <v>70983</v>
      </c>
      <c r="H25" s="45">
        <f>(F25-E25)/E25</f>
        <v/>
      </c>
      <c r="I25" s="45">
        <f>(G25-F25)/F25</f>
        <v/>
      </c>
    </row>
    <row r="26">
      <c r="D26" s="7" t="inlineStr">
        <is>
          <t>CSCO</t>
        </is>
      </c>
      <c r="E26" s="26" t="n">
        <v>51904</v>
      </c>
      <c r="F26" s="26" t="n">
        <v>52983</v>
      </c>
      <c r="G26" s="26" t="n">
        <v>54739</v>
      </c>
      <c r="H26" s="45">
        <f>(F26-E26)/E26</f>
        <v/>
      </c>
      <c r="I26" s="45">
        <f>(G26-F26)/F26</f>
        <v/>
      </c>
    </row>
    <row r="27">
      <c r="D27" s="7" t="inlineStr">
        <is>
          <t>CMCSA</t>
        </is>
      </c>
      <c r="E27" s="26" t="n">
        <v>94507</v>
      </c>
      <c r="F27" s="26" t="n">
        <v>109667</v>
      </c>
      <c r="G27" s="26" t="n">
        <v>115480</v>
      </c>
      <c r="H27" s="45">
        <f>(F27-E27)/E27</f>
        <v/>
      </c>
      <c r="I27" s="45">
        <f>(G27-F27)/F27</f>
        <v/>
      </c>
    </row>
    <row r="28">
      <c r="D28" s="7" t="inlineStr">
        <is>
          <t>PFE</t>
        </is>
      </c>
      <c r="E28" s="26" t="n">
        <v>53647</v>
      </c>
      <c r="F28" s="26" t="n">
        <v>51492</v>
      </c>
      <c r="G28" s="26" t="n">
        <v>48128</v>
      </c>
      <c r="H28" s="45">
        <f>(F28-E28)/E28</f>
        <v/>
      </c>
      <c r="I28" s="45">
        <f>(G28-F28)/F28</f>
        <v/>
      </c>
    </row>
    <row r="29">
      <c r="D29" s="7" t="inlineStr">
        <is>
          <t>BA</t>
        </is>
      </c>
      <c r="E29" s="26" t="n">
        <v>101127</v>
      </c>
      <c r="F29" s="26" t="n">
        <v>85805</v>
      </c>
      <c r="G29" s="26" t="n">
        <v>121912</v>
      </c>
      <c r="H29" s="45">
        <f>(F29-E29)/E29</f>
        <v/>
      </c>
      <c r="I29" s="45">
        <f>(G29-F29)/F29</f>
        <v/>
      </c>
    </row>
    <row r="30">
      <c r="D30" s="7" t="inlineStr">
        <is>
          <t>PEP</t>
        </is>
      </c>
      <c r="E30" s="26" t="n">
        <v>64661</v>
      </c>
      <c r="F30" s="26" t="n">
        <v>66521</v>
      </c>
      <c r="G30" s="26" t="n">
        <v>69192</v>
      </c>
      <c r="H30" s="45">
        <f>(F30-E30)/E30</f>
        <v/>
      </c>
      <c r="I30" s="45">
        <f>(G30-F30)/F30</f>
        <v/>
      </c>
    </row>
    <row r="31">
      <c r="D31" s="7" t="inlineStr">
        <is>
          <t>WFC</t>
        </is>
      </c>
      <c r="E31" s="26" t="n">
        <v>86408</v>
      </c>
      <c r="F31" s="26" t="n">
        <v>84011</v>
      </c>
      <c r="G31" s="26" t="n">
        <v>81192</v>
      </c>
      <c r="H31" s="45">
        <f>(F31-E31)/E31</f>
        <v/>
      </c>
      <c r="I31" s="45">
        <f>(G31-F31)/F31</f>
        <v/>
      </c>
    </row>
    <row r="32">
      <c r="D32" s="7" t="inlineStr">
        <is>
          <t>MCD</t>
        </is>
      </c>
      <c r="E32" s="26" t="n">
        <v>21025</v>
      </c>
      <c r="F32" s="26" t="n">
        <v>21107</v>
      </c>
      <c r="G32" s="26" t="n">
        <v>21711</v>
      </c>
      <c r="H32" s="45">
        <f>(F32-E32)/E32</f>
        <v/>
      </c>
      <c r="I32" s="45">
        <f>(G32-F32)/F32</f>
        <v/>
      </c>
    </row>
    <row r="33">
      <c r="D33" s="7" t="inlineStr">
        <is>
          <t>WMT</t>
        </is>
      </c>
      <c r="E33" s="26" t="n">
        <v>510329</v>
      </c>
      <c r="F33" s="26" t="n">
        <v>522453</v>
      </c>
      <c r="G33" s="26" t="n">
        <v>539459</v>
      </c>
      <c r="H33" s="45">
        <f>(F33-E33)/E33</f>
        <v/>
      </c>
      <c r="I33" s="45">
        <f>(G33-F33)/F33</f>
        <v/>
      </c>
    </row>
    <row r="34">
      <c r="D34" s="7" t="inlineStr">
        <is>
          <t>ABT</t>
        </is>
      </c>
      <c r="E34" s="26" t="n">
        <v>30578</v>
      </c>
      <c r="F34" s="26" t="n">
        <v>31968</v>
      </c>
      <c r="G34" s="26" t="n">
        <v>34242</v>
      </c>
      <c r="H34" s="45">
        <f>(F34-E34)/E34</f>
        <v/>
      </c>
      <c r="I34" s="45">
        <f>(G34-F34)/F34</f>
        <v/>
      </c>
    </row>
    <row r="35">
      <c r="D35" s="7" t="inlineStr">
        <is>
          <t>C</t>
        </is>
      </c>
      <c r="E35" s="26" t="n">
        <v>72854</v>
      </c>
      <c r="F35" s="26" t="n">
        <v>73856</v>
      </c>
      <c r="G35" s="26" t="n">
        <v>75406</v>
      </c>
      <c r="H35" s="45">
        <f>(F35-E35)/E35</f>
        <v/>
      </c>
      <c r="I35" s="45">
        <f>(G35-F35)/F35</f>
        <v/>
      </c>
    </row>
    <row r="36">
      <c r="D36" s="7" t="inlineStr">
        <is>
          <t>MDT</t>
        </is>
      </c>
      <c r="E36" s="26" t="n">
        <v>30557</v>
      </c>
      <c r="F36" s="26" t="n">
        <v>31496</v>
      </c>
      <c r="G36" s="26" t="n">
        <v>33018</v>
      </c>
      <c r="H36" s="45">
        <f>(F36-E36)/E36</f>
        <v/>
      </c>
      <c r="I36" s="45">
        <f>(G36-F36)/F36</f>
        <v/>
      </c>
    </row>
    <row r="37">
      <c r="D37" s="7" t="inlineStr">
        <is>
          <t>ADBE</t>
        </is>
      </c>
      <c r="E37" s="26" t="n">
        <v>9030</v>
      </c>
      <c r="F37" s="26" t="n">
        <v>11154</v>
      </c>
      <c r="G37" s="26" t="n">
        <v>13136</v>
      </c>
      <c r="H37" s="45">
        <f>(F37-E37)/E37</f>
        <v/>
      </c>
      <c r="I37" s="45">
        <f>(G37-F37)/F37</f>
        <v/>
      </c>
    </row>
    <row r="38">
      <c r="D38" s="7" t="inlineStr">
        <is>
          <t>CRM</t>
        </is>
      </c>
      <c r="E38" s="26" t="n">
        <v>13282</v>
      </c>
      <c r="F38" s="26" t="n">
        <v>16865</v>
      </c>
      <c r="G38" s="26" t="n">
        <v>20931</v>
      </c>
      <c r="H38" s="45">
        <f>(F38-E38)/E38</f>
        <v/>
      </c>
      <c r="I38" s="45">
        <f>(G38-F38)/F38</f>
        <v/>
      </c>
    </row>
    <row r="39">
      <c r="D39" s="7" t="inlineStr">
        <is>
          <t>NFLX</t>
        </is>
      </c>
      <c r="E39" s="26" t="n">
        <v>15794</v>
      </c>
      <c r="F39" s="26" t="n">
        <v>20203</v>
      </c>
      <c r="G39" s="26" t="n">
        <v>24793</v>
      </c>
      <c r="H39" s="45">
        <f>(F39-E39)/E39</f>
        <v/>
      </c>
      <c r="I39" s="45">
        <f>(G39-F39)/F39</f>
        <v/>
      </c>
    </row>
    <row r="40">
      <c r="D40" s="7" t="inlineStr">
        <is>
          <t>PM</t>
        </is>
      </c>
      <c r="E40" s="26" t="n">
        <v>29625</v>
      </c>
      <c r="F40" s="26" t="n">
        <v>29956</v>
      </c>
      <c r="G40" s="26" t="n">
        <v>31445</v>
      </c>
      <c r="H40" s="45">
        <f>(F40-E40)/E40</f>
        <v/>
      </c>
      <c r="I40" s="45">
        <f>(G40-F40)/F40</f>
        <v/>
      </c>
    </row>
    <row r="41">
      <c r="D41" s="7" t="inlineStr">
        <is>
          <t>ORCL</t>
        </is>
      </c>
      <c r="E41" s="26" t="n">
        <v>39526</v>
      </c>
      <c r="F41" s="26" t="n">
        <v>40089</v>
      </c>
      <c r="G41" s="26" t="n">
        <v>41050</v>
      </c>
      <c r="H41" s="45">
        <f>(F41-E41)/E41</f>
        <v/>
      </c>
      <c r="I41" s="45">
        <f>(G41-F41)/F41</f>
        <v/>
      </c>
    </row>
    <row r="42">
      <c r="D42" s="7" t="inlineStr">
        <is>
          <t>PYPL</t>
        </is>
      </c>
      <c r="E42" s="26" t="n">
        <v>15451</v>
      </c>
      <c r="F42" s="26" t="n">
        <v>17730</v>
      </c>
      <c r="G42" s="26" t="n">
        <v>20951</v>
      </c>
      <c r="H42" s="45">
        <f>(F42-E42)/E42</f>
        <v/>
      </c>
      <c r="I42" s="45">
        <f>(G42-F42)/F42</f>
        <v/>
      </c>
    </row>
    <row r="43">
      <c r="D43" s="7" t="inlineStr">
        <is>
          <t>ACN</t>
        </is>
      </c>
      <c r="E43" s="26" t="n">
        <v>39573</v>
      </c>
      <c r="F43" s="26" t="n">
        <v>43203</v>
      </c>
      <c r="G43" s="26" t="n">
        <v>46101</v>
      </c>
      <c r="H43" s="45">
        <f>(F43-E43)/E43</f>
        <v/>
      </c>
      <c r="I43" s="45">
        <f>(G43-F43)/F43</f>
        <v/>
      </c>
    </row>
    <row r="44">
      <c r="D44" s="7" t="inlineStr">
        <is>
          <t>AMGN</t>
        </is>
      </c>
      <c r="E44" s="26" t="n">
        <v>23747</v>
      </c>
      <c r="F44" s="26" t="n">
        <v>22827</v>
      </c>
      <c r="G44" s="26" t="n">
        <v>25063</v>
      </c>
      <c r="H44" s="45">
        <f>(F44-E44)/E44</f>
        <v/>
      </c>
      <c r="I44" s="45">
        <f>(G44-F44)/F44</f>
        <v/>
      </c>
    </row>
    <row r="45">
      <c r="D45" s="7" t="inlineStr">
        <is>
          <t>COST</t>
        </is>
      </c>
      <c r="E45" s="26" t="n">
        <v>141576</v>
      </c>
      <c r="F45" s="26" t="n">
        <v>152860</v>
      </c>
      <c r="G45" s="26" t="n">
        <v>164014</v>
      </c>
      <c r="H45" s="45">
        <f>(F45-E45)/E45</f>
        <v/>
      </c>
      <c r="I45" s="45">
        <f>(G45-F45)/F45</f>
        <v/>
      </c>
    </row>
    <row r="46">
      <c r="D46" s="7" t="inlineStr">
        <is>
          <t>IBM</t>
        </is>
      </c>
      <c r="E46" s="26" t="n">
        <v>79591</v>
      </c>
      <c r="F46" s="26" t="n">
        <v>77894</v>
      </c>
      <c r="G46" s="26" t="n">
        <v>80959</v>
      </c>
      <c r="H46" s="45">
        <f>(F46-E46)/E46</f>
        <v/>
      </c>
      <c r="I46" s="45">
        <f>(G46-F46)/F46</f>
        <v/>
      </c>
    </row>
    <row r="47">
      <c r="D47" s="7" t="inlineStr">
        <is>
          <t>SBUX</t>
        </is>
      </c>
      <c r="E47" s="26" t="n">
        <v>24720</v>
      </c>
      <c r="F47" s="26" t="n">
        <v>26437</v>
      </c>
      <c r="G47" s="26" t="n">
        <v>28437</v>
      </c>
      <c r="H47" s="45">
        <f>(F47-E47)/E47</f>
        <v/>
      </c>
      <c r="I47" s="45">
        <f>(G47-F47)/F47</f>
        <v/>
      </c>
    </row>
    <row r="48">
      <c r="D48" s="7" t="inlineStr">
        <is>
          <t>HON</t>
        </is>
      </c>
      <c r="E48" s="26" t="n">
        <v>41802</v>
      </c>
      <c r="F48" s="26" t="n">
        <v>37032</v>
      </c>
      <c r="G48" s="26" t="n">
        <v>38640</v>
      </c>
      <c r="H48" s="45">
        <f>(F48-E48)/E48</f>
        <v/>
      </c>
      <c r="I48" s="45">
        <f>(G48-F48)/F48</f>
        <v/>
      </c>
    </row>
    <row r="49">
      <c r="D49" s="7" t="inlineStr">
        <is>
          <t>UNP</t>
        </is>
      </c>
      <c r="E49" s="26" t="n">
        <v>22832</v>
      </c>
      <c r="F49" s="26" t="n">
        <v>22499</v>
      </c>
      <c r="G49" s="26" t="n">
        <v>23360</v>
      </c>
      <c r="H49" s="45">
        <f>(F49-E49)/E49</f>
        <v/>
      </c>
      <c r="I49" s="45">
        <f>(G49-F49)/F49</f>
        <v/>
      </c>
    </row>
    <row r="50">
      <c r="D50" s="7" t="inlineStr">
        <is>
          <t>TXN</t>
        </is>
      </c>
      <c r="E50" s="26" t="n">
        <v>15784</v>
      </c>
      <c r="F50" s="26" t="n">
        <v>14693</v>
      </c>
      <c r="G50" s="26" t="n">
        <v>15463</v>
      </c>
      <c r="H50" s="45">
        <f>(F50-E50)/E50</f>
        <v/>
      </c>
      <c r="I50" s="45">
        <f>(G50-F50)/F50</f>
        <v/>
      </c>
    </row>
    <row r="51">
      <c r="D51" s="7" t="inlineStr">
        <is>
          <t>TMO</t>
        </is>
      </c>
      <c r="E51" s="26" t="n">
        <v>24358</v>
      </c>
      <c r="F51" s="26" t="n">
        <v>25444</v>
      </c>
      <c r="G51" s="26" t="n">
        <v>26939</v>
      </c>
      <c r="H51" s="45">
        <f>(F51-E51)/E51</f>
        <v/>
      </c>
      <c r="I51" s="45">
        <f>(G51-F51)/F51</f>
        <v/>
      </c>
    </row>
    <row r="52">
      <c r="D52" s="7" t="inlineStr">
        <is>
          <t>AVGO</t>
        </is>
      </c>
      <c r="E52" s="26" t="n">
        <v>20862</v>
      </c>
      <c r="F52" s="26" t="n">
        <v>22621</v>
      </c>
      <c r="G52" s="26" t="n">
        <v>23744</v>
      </c>
      <c r="H52" s="45">
        <f>(F52-E52)/E52</f>
        <v/>
      </c>
      <c r="I52" s="45">
        <f>(G52-F52)/F52</f>
        <v/>
      </c>
    </row>
    <row r="53">
      <c r="D53" s="7" t="inlineStr">
        <is>
          <t>NEE</t>
        </is>
      </c>
      <c r="E53" s="26" t="n">
        <v>16727</v>
      </c>
      <c r="F53" s="26" t="n">
        <v>19083</v>
      </c>
      <c r="G53" s="26" t="n">
        <v>20084</v>
      </c>
      <c r="H53" s="45">
        <f>(F53-E53)/E53</f>
        <v/>
      </c>
      <c r="I53" s="45">
        <f>(G53-F53)/F53</f>
        <v/>
      </c>
    </row>
    <row r="54">
      <c r="D54" s="7" t="inlineStr">
        <is>
          <t>NKE</t>
        </is>
      </c>
      <c r="E54" s="26" t="n">
        <v>39117</v>
      </c>
      <c r="F54" s="26" t="n">
        <v>42037</v>
      </c>
      <c r="G54" s="26" t="n">
        <v>45426</v>
      </c>
      <c r="H54" s="45">
        <f>(F54-E54)/E54</f>
        <v/>
      </c>
      <c r="I54" s="45">
        <f>(G54-F54)/F54</f>
        <v/>
      </c>
    </row>
    <row r="55">
      <c r="D55" s="7" t="inlineStr">
        <is>
          <t>AMT</t>
        </is>
      </c>
      <c r="E55" s="26" t="n">
        <v>7440</v>
      </c>
      <c r="F55" s="26" t="n">
        <v>7440</v>
      </c>
      <c r="G55" s="26" t="n">
        <v>7973</v>
      </c>
      <c r="H55" s="45">
        <f>(F55-E55)/E55</f>
        <v/>
      </c>
      <c r="I55" s="45">
        <f>(G55-F55)/F55</f>
        <v/>
      </c>
    </row>
    <row r="56">
      <c r="D56" s="7" t="inlineStr">
        <is>
          <t>UTX</t>
        </is>
      </c>
      <c r="E56" s="26" t="n">
        <v>66501</v>
      </c>
      <c r="F56" s="26" t="n">
        <v>77009</v>
      </c>
      <c r="G56" s="26" t="n">
        <v>80590</v>
      </c>
      <c r="H56" s="45">
        <f>(F56-E56)/E56</f>
        <v/>
      </c>
      <c r="I56" s="45">
        <f>(G56-F56)/F56</f>
        <v/>
      </c>
    </row>
    <row r="57">
      <c r="D57" s="7" t="inlineStr">
        <is>
          <t>NVDA</t>
        </is>
      </c>
      <c r="E57" s="26" t="n">
        <v>11716</v>
      </c>
      <c r="F57" s="26" t="n">
        <v>10794</v>
      </c>
      <c r="G57" s="26" t="n">
        <v>12986</v>
      </c>
      <c r="H57" s="45">
        <f>(F57-E57)/E57</f>
        <v/>
      </c>
      <c r="I57" s="45">
        <f>(G57-F57)/F57</f>
        <v/>
      </c>
    </row>
    <row r="58">
      <c r="D58" s="7" t="inlineStr">
        <is>
          <t>ABBV</t>
        </is>
      </c>
      <c r="E58" s="26" t="n">
        <v>32733</v>
      </c>
      <c r="F58" s="26" t="n">
        <v>33117</v>
      </c>
      <c r="G58" s="26" t="n">
        <v>34999</v>
      </c>
      <c r="H58" s="45">
        <f>(F58-E58)/E58</f>
        <v/>
      </c>
      <c r="I58" s="45">
        <f>(G58-F58)/F58</f>
        <v/>
      </c>
    </row>
    <row r="59">
      <c r="D59" s="7" t="inlineStr">
        <is>
          <t>LLY</t>
        </is>
      </c>
      <c r="E59" s="26" t="n">
        <v>24556</v>
      </c>
      <c r="F59" s="26" t="n">
        <v>22230</v>
      </c>
      <c r="G59" s="26" t="n">
        <v>23692</v>
      </c>
      <c r="H59" s="45">
        <f>(F59-E59)/E59</f>
        <v/>
      </c>
      <c r="I59" s="45">
        <f>(G59-F59)/F59</f>
        <v/>
      </c>
    </row>
    <row r="60">
      <c r="D60" s="7" t="inlineStr">
        <is>
          <t>LMT</t>
        </is>
      </c>
      <c r="E60" s="26" t="n">
        <v>53762</v>
      </c>
      <c r="F60" s="26" t="n">
        <v>59132</v>
      </c>
      <c r="G60" s="26" t="n">
        <v>62683</v>
      </c>
      <c r="H60" s="45">
        <f>(F60-E60)/E60</f>
        <v/>
      </c>
      <c r="I60" s="45">
        <f>(G60-F60)/F60</f>
        <v/>
      </c>
    </row>
    <row r="61">
      <c r="D61" s="7" t="inlineStr">
        <is>
          <t>MMM</t>
        </is>
      </c>
      <c r="E61" s="26" t="n">
        <v>32765</v>
      </c>
      <c r="F61" s="26" t="n">
        <v>32502</v>
      </c>
      <c r="G61" s="26" t="n">
        <v>33652</v>
      </c>
      <c r="H61" s="45">
        <f>(F61-E61)/E61</f>
        <v/>
      </c>
      <c r="I61" s="45">
        <f>(G61-F61)/F61</f>
        <v/>
      </c>
    </row>
    <row r="62">
      <c r="D62" s="7" t="inlineStr">
        <is>
          <t>QCOM</t>
        </is>
      </c>
      <c r="E62" s="26" t="n">
        <v>22732</v>
      </c>
      <c r="F62" s="26" t="n">
        <v>19299</v>
      </c>
      <c r="G62" s="26" t="n">
        <v>22172</v>
      </c>
      <c r="H62" s="45">
        <f>(F62-E62)/E62</f>
        <v/>
      </c>
      <c r="I62" s="45">
        <f>(G62-F62)/F62</f>
        <v/>
      </c>
    </row>
    <row r="63">
      <c r="D63" s="7" t="inlineStr">
        <is>
          <t>MO</t>
        </is>
      </c>
      <c r="E63" s="26" t="n">
        <v>19627</v>
      </c>
      <c r="F63" s="26" t="n">
        <v>19795</v>
      </c>
      <c r="G63" s="26" t="n">
        <v>20041</v>
      </c>
      <c r="H63" s="45">
        <f>(F63-E63)/E63</f>
        <v/>
      </c>
      <c r="I63" s="45">
        <f>(G63-F63)/F63</f>
        <v/>
      </c>
    </row>
    <row r="64">
      <c r="D64" s="7" t="inlineStr">
        <is>
          <t>DHR</t>
        </is>
      </c>
      <c r="E64" s="26" t="n">
        <v>19893</v>
      </c>
      <c r="F64" s="26" t="n">
        <v>20765</v>
      </c>
      <c r="G64" s="26" t="n">
        <v>24343</v>
      </c>
      <c r="H64" s="45">
        <f>(F64-E64)/E64</f>
        <v/>
      </c>
      <c r="I64" s="45">
        <f>(G64-F64)/F64</f>
        <v/>
      </c>
    </row>
    <row r="65">
      <c r="D65" s="7" t="inlineStr">
        <is>
          <t>LOW</t>
        </is>
      </c>
      <c r="E65" s="26" t="n">
        <v>71309</v>
      </c>
      <c r="F65" s="26" t="n">
        <v>72542</v>
      </c>
      <c r="G65" s="26" t="n">
        <v>74908</v>
      </c>
      <c r="H65" s="45">
        <f>(F65-E65)/E65</f>
        <v/>
      </c>
      <c r="I65" s="45">
        <f>(G65-F65)/F65</f>
        <v/>
      </c>
    </row>
    <row r="66">
      <c r="D66" s="7" t="inlineStr">
        <is>
          <t>FIS</t>
        </is>
      </c>
      <c r="E66" s="26" t="n">
        <v>8427</v>
      </c>
      <c r="F66" s="26" t="n">
        <v>10448</v>
      </c>
      <c r="G66" s="26" t="n">
        <v>13527</v>
      </c>
      <c r="H66" s="45">
        <f>(F66-E66)/E66</f>
        <v/>
      </c>
      <c r="I66" s="45">
        <f>(G66-F66)/F66</f>
        <v/>
      </c>
    </row>
    <row r="67">
      <c r="D67" s="7" t="inlineStr">
        <is>
          <t>BKNG</t>
        </is>
      </c>
      <c r="E67" s="26" t="n">
        <v>14527</v>
      </c>
      <c r="F67" s="26" t="n">
        <v>15186</v>
      </c>
      <c r="G67" s="26" t="n">
        <v>16534</v>
      </c>
      <c r="H67" s="45">
        <f>(F67-E67)/E67</f>
        <v/>
      </c>
      <c r="I67" s="45">
        <f>(G67-F67)/F67</f>
        <v/>
      </c>
    </row>
    <row r="68">
      <c r="D68" s="7" t="inlineStr">
        <is>
          <t>AXP</t>
        </is>
      </c>
      <c r="E68" s="26" t="n">
        <v>40338</v>
      </c>
      <c r="F68" s="26" t="n">
        <v>43586</v>
      </c>
      <c r="G68" s="26" t="n">
        <v>47009</v>
      </c>
      <c r="H68" s="45">
        <f>(F68-E68)/E68</f>
        <v/>
      </c>
      <c r="I68" s="45">
        <f>(G68-F68)/F68</f>
        <v/>
      </c>
    </row>
    <row r="69">
      <c r="D69" s="7" t="inlineStr">
        <is>
          <t>GILD</t>
        </is>
      </c>
      <c r="E69" s="26" t="n">
        <v>22127</v>
      </c>
      <c r="F69" s="26" t="n">
        <v>22314</v>
      </c>
      <c r="G69" s="26" t="n">
        <v>22545</v>
      </c>
      <c r="H69" s="45">
        <f>(F69-E69)/E69</f>
        <v/>
      </c>
      <c r="I69" s="45">
        <f>(G69-F69)/F69</f>
        <v/>
      </c>
    </row>
    <row r="70">
      <c r="D70" s="7" t="inlineStr">
        <is>
          <t>CVS</t>
        </is>
      </c>
      <c r="E70" s="26" t="n">
        <v>194579</v>
      </c>
      <c r="F70" s="26" t="n">
        <v>252537</v>
      </c>
      <c r="G70" s="26" t="n">
        <v>256121</v>
      </c>
      <c r="H70" s="45">
        <f>(F70-E70)/E70</f>
        <v/>
      </c>
      <c r="I70" s="45">
        <f>(G70-F70)/F70</f>
        <v/>
      </c>
    </row>
    <row r="71">
      <c r="D71" s="7" t="inlineStr">
        <is>
          <t>UPS</t>
        </is>
      </c>
      <c r="E71" s="26" t="n">
        <v>71861</v>
      </c>
      <c r="F71" s="26" t="n">
        <v>74410</v>
      </c>
      <c r="G71" s="26" t="n">
        <v>78047</v>
      </c>
      <c r="H71" s="45">
        <f>(F71-E71)/E71</f>
        <v/>
      </c>
      <c r="I71" s="45">
        <f>(G71-F71)/F71</f>
        <v/>
      </c>
    </row>
    <row r="72">
      <c r="D72" s="7" t="inlineStr">
        <is>
          <t>MDLZ</t>
        </is>
      </c>
      <c r="E72" s="26" t="n">
        <v>25938</v>
      </c>
      <c r="F72" s="27" t="n">
        <v>25857</v>
      </c>
      <c r="G72" s="27" t="n">
        <v>26661</v>
      </c>
      <c r="H72" s="45">
        <f>(F72-E72)/E72</f>
        <v/>
      </c>
      <c r="I72" s="45">
        <f>(G72-F72)/F72</f>
        <v/>
      </c>
    </row>
    <row r="73">
      <c r="D73" s="7" t="inlineStr">
        <is>
          <t>USB</t>
        </is>
      </c>
      <c r="E73" s="26" t="n">
        <v>22521</v>
      </c>
      <c r="F73" s="26" t="n">
        <v>22979</v>
      </c>
      <c r="G73" s="26" t="n">
        <v>23386</v>
      </c>
      <c r="H73" s="45">
        <f>(F73-E73)/E73</f>
        <v/>
      </c>
      <c r="I73" s="45">
        <f>(G73-F73)/F73</f>
        <v/>
      </c>
    </row>
    <row r="74">
      <c r="D74" s="7" t="inlineStr">
        <is>
          <t>BMY</t>
        </is>
      </c>
      <c r="E74" s="26" t="n">
        <v>22561</v>
      </c>
      <c r="F74" s="26" t="n">
        <v>24213</v>
      </c>
      <c r="G74" s="26" t="n">
        <v>42013</v>
      </c>
      <c r="H74" s="45">
        <f>(F74-E74)/E74</f>
        <v/>
      </c>
      <c r="I74" s="45">
        <f>(G74-F74)/F74</f>
        <v/>
      </c>
    </row>
    <row r="75">
      <c r="D75" s="7" t="inlineStr">
        <is>
          <t>CME</t>
        </is>
      </c>
      <c r="E75" s="26" t="n">
        <v>4309</v>
      </c>
      <c r="F75" s="26" t="n">
        <v>4943</v>
      </c>
      <c r="G75" s="26" t="n">
        <v>5262</v>
      </c>
      <c r="H75" s="45">
        <f>(F75-E75)/E75</f>
        <v/>
      </c>
      <c r="I75" s="45">
        <f>(G75-F75)/F75</f>
        <v/>
      </c>
    </row>
    <row r="76">
      <c r="D76" s="7" t="inlineStr">
        <is>
          <t>INTU</t>
        </is>
      </c>
      <c r="E76" s="26" t="n">
        <v>6784</v>
      </c>
      <c r="F76" s="26" t="n">
        <v>7508</v>
      </c>
      <c r="G76" s="26" t="n">
        <v>8303</v>
      </c>
      <c r="H76" s="45">
        <f>(F76-E76)/E76</f>
        <v/>
      </c>
      <c r="I76" s="45">
        <f>(G76-F76)/F76</f>
        <v/>
      </c>
    </row>
    <row r="77">
      <c r="D77" s="7" t="inlineStr">
        <is>
          <t>ADP</t>
        </is>
      </c>
      <c r="E77" s="26" t="n">
        <v>14175</v>
      </c>
      <c r="F77" s="26" t="n">
        <v>15069</v>
      </c>
      <c r="G77" s="26" t="n">
        <v>16023</v>
      </c>
      <c r="H77" s="45">
        <f>(F77-E77)/E77</f>
        <v/>
      </c>
      <c r="I77" s="45">
        <f>(G77-F77)/F77</f>
        <v/>
      </c>
    </row>
    <row r="78">
      <c r="D78" s="7" t="inlineStr">
        <is>
          <t>CB</t>
        </is>
      </c>
      <c r="E78" s="26" t="n">
        <v>28309</v>
      </c>
      <c r="F78" s="26" t="n">
        <v>29389</v>
      </c>
      <c r="G78" s="26" t="n">
        <v>30667</v>
      </c>
      <c r="H78" s="45">
        <f>(F78-E78)/E78</f>
        <v/>
      </c>
      <c r="I78" s="45">
        <f>(G78-F78)/F78</f>
        <v/>
      </c>
    </row>
    <row r="79">
      <c r="D79" s="7" t="inlineStr">
        <is>
          <t>GE</t>
        </is>
      </c>
      <c r="E79" s="26" t="n">
        <v>121615</v>
      </c>
      <c r="F79" s="26" t="n">
        <v>116383</v>
      </c>
      <c r="G79" s="26" t="n">
        <v>109811</v>
      </c>
      <c r="H79" s="45">
        <f>(F79-E79)/E79</f>
        <v/>
      </c>
      <c r="I79" s="45">
        <f>(G79-F79)/F79</f>
        <v/>
      </c>
    </row>
    <row r="80">
      <c r="D80" s="7" t="inlineStr">
        <is>
          <t>BDX</t>
        </is>
      </c>
      <c r="E80" s="26" t="n">
        <v>15983</v>
      </c>
      <c r="F80" s="26" t="n">
        <v>17283</v>
      </c>
      <c r="G80" s="26" t="n">
        <v>18168</v>
      </c>
      <c r="H80" s="45">
        <f>(F80-E80)/E80</f>
        <v/>
      </c>
      <c r="I80" s="45">
        <f>(G80-F80)/F80</f>
        <v/>
      </c>
    </row>
    <row r="81">
      <c r="D81" s="7" t="inlineStr">
        <is>
          <t>ANTM</t>
        </is>
      </c>
      <c r="E81" s="26" t="n">
        <v>91341</v>
      </c>
      <c r="F81" s="26" t="n">
        <v>102093</v>
      </c>
      <c r="G81" s="26" t="n">
        <v>113323</v>
      </c>
      <c r="H81" s="45">
        <f>(F81-E81)/E81</f>
        <v/>
      </c>
      <c r="I81" s="45">
        <f>(G81-F81)/F81</f>
        <v/>
      </c>
    </row>
    <row r="82">
      <c r="D82" s="7" t="inlineStr">
        <is>
          <t>GS</t>
        </is>
      </c>
      <c r="E82" s="26" t="n">
        <v>36616</v>
      </c>
      <c r="F82" s="26" t="n">
        <v>35366</v>
      </c>
      <c r="G82" s="26" t="n">
        <v>36223</v>
      </c>
      <c r="H82" s="45">
        <f>(F82-E82)/E82</f>
        <v/>
      </c>
      <c r="I82" s="45">
        <f>(G82-F82)/F82</f>
        <v/>
      </c>
    </row>
    <row r="83">
      <c r="D83" s="7" t="inlineStr">
        <is>
          <t>CHTR</t>
        </is>
      </c>
      <c r="E83" s="26" t="n">
        <v>43634</v>
      </c>
      <c r="F83" s="26" t="n">
        <v>45706</v>
      </c>
      <c r="G83" s="26" t="n">
        <v>48051</v>
      </c>
      <c r="H83" s="45">
        <f>(F83-E83)/E83</f>
        <v/>
      </c>
      <c r="I83" s="45">
        <f>(G83-F83)/F83</f>
        <v/>
      </c>
    </row>
    <row r="84">
      <c r="D84" s="7" t="inlineStr">
        <is>
          <t>SYK</t>
        </is>
      </c>
      <c r="E84" s="26" t="n">
        <v>13601</v>
      </c>
      <c r="F84" s="26" t="n">
        <v>14874</v>
      </c>
      <c r="G84" s="26" t="n">
        <v>15894</v>
      </c>
      <c r="H84" s="45">
        <f>(F84-E84)/E84</f>
        <v/>
      </c>
      <c r="I84" s="45">
        <f>(G84-F84)/F84</f>
        <v/>
      </c>
    </row>
    <row r="85">
      <c r="D85" s="7" t="inlineStr">
        <is>
          <t>CELG</t>
        </is>
      </c>
      <c r="E85" s="26" t="n">
        <v>15281</v>
      </c>
      <c r="F85" s="26" t="n">
        <v>17291</v>
      </c>
      <c r="G85" s="26" t="n">
        <v>19077</v>
      </c>
      <c r="H85" s="45">
        <f>(F85-E85)/E85</f>
        <v/>
      </c>
      <c r="I85" s="45">
        <f>(G85-F85)/F85</f>
        <v/>
      </c>
    </row>
    <row r="86">
      <c r="D86" s="7" t="inlineStr">
        <is>
          <t>DUK</t>
        </is>
      </c>
      <c r="E86" s="26" t="n">
        <v>24521</v>
      </c>
      <c r="F86" s="26" t="n">
        <v>25388</v>
      </c>
      <c r="G86" s="26" t="n">
        <v>25914</v>
      </c>
      <c r="H86" s="45">
        <f>(F86-E86)/E86</f>
        <v/>
      </c>
      <c r="I86" s="45">
        <f>(G86-F86)/F86</f>
        <v/>
      </c>
    </row>
    <row r="87">
      <c r="D87" s="7" t="inlineStr">
        <is>
          <t>CAT</t>
        </is>
      </c>
      <c r="E87" s="26" t="n">
        <v>54722</v>
      </c>
      <c r="F87" s="26" t="n">
        <v>55828</v>
      </c>
      <c r="G87" s="26" t="n">
        <v>55624</v>
      </c>
      <c r="H87" s="45">
        <f>(F87-E87)/E87</f>
        <v/>
      </c>
      <c r="I87" s="45">
        <f>(G87-F87)/F87</f>
        <v/>
      </c>
    </row>
    <row r="88">
      <c r="D88" s="7" t="inlineStr">
        <is>
          <t>TJX</t>
        </is>
      </c>
      <c r="E88" s="26" t="n">
        <v>38973</v>
      </c>
      <c r="F88" s="26" t="n">
        <v>41143</v>
      </c>
      <c r="G88" s="26" t="n">
        <v>43570</v>
      </c>
      <c r="H88" s="45">
        <f>(F88-E88)/E88</f>
        <v/>
      </c>
      <c r="I88" s="45">
        <f>(G88-F88)/F88</f>
        <v/>
      </c>
    </row>
    <row r="89">
      <c r="D89" s="7" t="inlineStr">
        <is>
          <t>SPGI</t>
        </is>
      </c>
      <c r="E89" s="26" t="n">
        <v>6258</v>
      </c>
      <c r="F89" s="26" t="n">
        <v>6582</v>
      </c>
      <c r="G89" s="26" t="n">
        <v>7001</v>
      </c>
      <c r="H89" s="45">
        <f>(F89-E89)/E89</f>
        <v/>
      </c>
      <c r="I89" s="45">
        <f>(G89-F89)/F89</f>
        <v/>
      </c>
    </row>
    <row r="90">
      <c r="D90" s="7" t="inlineStr">
        <is>
          <t>CL</t>
        </is>
      </c>
      <c r="E90" s="26" t="n">
        <v>15544</v>
      </c>
      <c r="F90" s="26" t="n">
        <v>15698</v>
      </c>
      <c r="G90" s="26" t="n">
        <v>16256</v>
      </c>
      <c r="H90" s="45">
        <f>(F90-E90)/E90</f>
        <v/>
      </c>
      <c r="I90" s="45">
        <f>(G90-F90)/F90</f>
        <v/>
      </c>
    </row>
    <row r="91">
      <c r="D91" s="7" t="inlineStr">
        <is>
          <t>NOC</t>
        </is>
      </c>
      <c r="E91" s="26" t="n">
        <v>30095</v>
      </c>
      <c r="F91" s="26" t="n">
        <v>34047</v>
      </c>
      <c r="G91" s="26" t="n">
        <v>36252</v>
      </c>
      <c r="H91" s="45">
        <f>(F91-E91)/E91</f>
        <v/>
      </c>
      <c r="I91" s="45">
        <f>(G91-F91)/F91</f>
        <v/>
      </c>
    </row>
    <row r="92">
      <c r="D92" s="7" t="inlineStr">
        <is>
          <t>D</t>
        </is>
      </c>
      <c r="E92" s="26" t="n">
        <v>13366</v>
      </c>
      <c r="F92" s="26" t="n">
        <v>17691</v>
      </c>
      <c r="G92" s="26" t="n">
        <v>18677</v>
      </c>
      <c r="H92" s="45">
        <f>(F92-E92)/E92</f>
        <v/>
      </c>
      <c r="I92" s="45">
        <f>(G92-F92)/F92</f>
        <v/>
      </c>
    </row>
    <row r="93">
      <c r="D93" s="7" t="inlineStr">
        <is>
          <t>CCI</t>
        </is>
      </c>
      <c r="E93" s="26" t="n">
        <v>5423</v>
      </c>
      <c r="F93" s="26" t="n">
        <v>5879</v>
      </c>
      <c r="G93" s="26" t="n">
        <v>6113</v>
      </c>
      <c r="H93" s="45">
        <f>(F93-E93)/E93</f>
        <v/>
      </c>
      <c r="I93" s="45">
        <f>(G93-F93)/F93</f>
        <v/>
      </c>
    </row>
    <row r="94">
      <c r="D94" s="7" t="inlineStr">
        <is>
          <t>SO</t>
        </is>
      </c>
      <c r="E94" s="26" t="n">
        <v>23495</v>
      </c>
      <c r="F94" s="26" t="n">
        <v>21997</v>
      </c>
      <c r="G94" s="26" t="n">
        <v>22790</v>
      </c>
      <c r="H94" s="45">
        <f>(F94-E94)/E94</f>
        <v/>
      </c>
      <c r="I94" s="45">
        <f>(G94-F94)/F94</f>
        <v/>
      </c>
    </row>
    <row r="95">
      <c r="D95" s="7" t="inlineStr">
        <is>
          <t>FISV</t>
        </is>
      </c>
      <c r="E95" s="26" t="n">
        <v>5823</v>
      </c>
      <c r="F95" s="26" t="n">
        <v>10391</v>
      </c>
      <c r="G95" s="26" t="n">
        <v>16226</v>
      </c>
      <c r="H95" s="45">
        <f>(F95-E95)/E95</f>
        <v/>
      </c>
      <c r="I95" s="45">
        <f>(G95-F95)/F95</f>
        <v/>
      </c>
    </row>
    <row r="96">
      <c r="D96" s="7" t="inlineStr">
        <is>
          <t>ZTS</t>
        </is>
      </c>
      <c r="E96" s="26" t="n">
        <v>5825</v>
      </c>
      <c r="F96" s="26" t="n">
        <v>6236</v>
      </c>
      <c r="G96" s="26" t="n">
        <v>6673</v>
      </c>
      <c r="H96" s="45">
        <f>(F96-E96)/E96</f>
        <v/>
      </c>
      <c r="I96" s="45">
        <f>(G96-F96)/F96</f>
        <v/>
      </c>
    </row>
    <row r="97">
      <c r="D97" s="7" t="inlineStr">
        <is>
          <t>CI</t>
        </is>
      </c>
      <c r="E97" s="26" t="n">
        <v>48111</v>
      </c>
      <c r="F97" s="26" t="n">
        <v>137002</v>
      </c>
      <c r="G97" s="26" t="n">
        <v>146341</v>
      </c>
      <c r="H97" s="45">
        <f>(F97-E97)/E97</f>
        <v/>
      </c>
      <c r="I97" s="45">
        <f>(G97-F97)/F97</f>
        <v/>
      </c>
    </row>
    <row r="98">
      <c r="D98" s="7" t="inlineStr">
        <is>
          <t>BSX</t>
        </is>
      </c>
      <c r="E98" s="26" t="n">
        <v>9823</v>
      </c>
      <c r="F98" s="26" t="n">
        <v>10686</v>
      </c>
      <c r="G98" s="26" t="n">
        <v>11828</v>
      </c>
      <c r="H98" s="45">
        <f>(F98-E98)/E98</f>
        <v/>
      </c>
      <c r="I98" s="45">
        <f>(G98-F98)/F98</f>
        <v/>
      </c>
    </row>
    <row r="99">
      <c r="D99" s="7" t="inlineStr">
        <is>
          <t>COP</t>
        </is>
      </c>
      <c r="E99" s="26" t="n">
        <v>38727</v>
      </c>
      <c r="F99" s="26" t="n">
        <v>35552</v>
      </c>
      <c r="G99" s="26" t="n">
        <v>36469</v>
      </c>
      <c r="H99" s="45">
        <f>(F99-E99)/E99</f>
        <v/>
      </c>
      <c r="I99" s="45">
        <f>(G99-F99)/F99</f>
        <v/>
      </c>
    </row>
    <row r="100">
      <c r="D100" s="7" t="inlineStr">
        <is>
          <t>ISRG</t>
        </is>
      </c>
      <c r="E100" s="26" t="n">
        <v>3724</v>
      </c>
      <c r="F100" s="27" t="n">
        <v>4341</v>
      </c>
      <c r="G100" s="27" t="n">
        <v>4953</v>
      </c>
      <c r="H100" s="45">
        <f>(F100-E100)/E100</f>
        <v/>
      </c>
      <c r="I100" s="45">
        <f>(G100-F100)/F100</f>
        <v/>
      </c>
    </row>
    <row r="101">
      <c r="D101" s="7" t="inlineStr">
        <is>
          <t>PNC</t>
        </is>
      </c>
      <c r="E101" s="26" t="n">
        <v>17132</v>
      </c>
      <c r="F101" s="26" t="n">
        <v>17571</v>
      </c>
      <c r="G101" s="26" t="n">
        <v>17826</v>
      </c>
      <c r="H101" s="45">
        <f>(F101-E101)/E101</f>
        <v/>
      </c>
      <c r="I101" s="45">
        <f>(G101-F101)/F101</f>
        <v/>
      </c>
    </row>
    <row r="102">
      <c r="D102" s="7" t="inlineStr">
        <is>
          <t>TGT</t>
        </is>
      </c>
      <c r="E102" s="26" t="n">
        <v>75356</v>
      </c>
      <c r="F102" s="26" t="n">
        <v>78339</v>
      </c>
      <c r="G102" s="26" t="n">
        <v>80833</v>
      </c>
      <c r="H102" s="45">
        <f>(F102-E102)/E102</f>
        <v/>
      </c>
      <c r="I102" s="45">
        <f>(G102-F102)/F102</f>
        <v/>
      </c>
    </row>
    <row r="103">
      <c r="D103" s="7" t="inlineStr">
        <is>
          <t>PLD</t>
        </is>
      </c>
      <c r="E103" s="26" t="n">
        <v>2389</v>
      </c>
      <c r="F103" s="26" t="n">
        <v>2844</v>
      </c>
      <c r="G103" s="26" t="n">
        <v>3086</v>
      </c>
      <c r="H103" s="45">
        <f>(F103-E103)/E103</f>
        <v/>
      </c>
      <c r="I103" s="45">
        <f>(G103-F103)/F103</f>
        <v/>
      </c>
    </row>
    <row r="104">
      <c r="D104" s="7" t="inlineStr">
        <is>
          <t>ICE</t>
        </is>
      </c>
      <c r="E104" s="26" t="n">
        <v>79591</v>
      </c>
      <c r="F104" s="26" t="n">
        <v>77894</v>
      </c>
      <c r="G104" s="26" t="n">
        <v>80959</v>
      </c>
      <c r="H104" s="45">
        <f>(F104-E104)/E104</f>
        <v/>
      </c>
      <c r="I104" s="45">
        <f>(G104-F104)/F104</f>
        <v/>
      </c>
    </row>
    <row r="105">
      <c r="D105" s="7" t="inlineStr">
        <is>
          <t>ECL</t>
        </is>
      </c>
      <c r="E105" s="26" t="n">
        <v>14668</v>
      </c>
      <c r="F105" s="26" t="n">
        <v>15227</v>
      </c>
      <c r="G105" s="26" t="n">
        <v>15880</v>
      </c>
      <c r="H105" s="45">
        <f>(F105-E105)/E105</f>
        <v/>
      </c>
      <c r="I105" s="45">
        <f>(G105-F105)/F105</f>
        <v/>
      </c>
    </row>
    <row r="106">
      <c r="D106" s="7" t="inlineStr">
        <is>
          <t>MS</t>
        </is>
      </c>
      <c r="E106" s="26" t="n">
        <v>40107</v>
      </c>
      <c r="F106" s="26" t="n">
        <v>39856</v>
      </c>
      <c r="G106" s="26" t="n">
        <v>40536</v>
      </c>
      <c r="H106" s="45">
        <f>(F106-E106)/E106</f>
        <v/>
      </c>
      <c r="I106" s="45">
        <f>(G106-F106)/F106</f>
        <v/>
      </c>
    </row>
    <row r="107">
      <c r="D107" s="7" t="inlineStr">
        <is>
          <t>RTN</t>
        </is>
      </c>
      <c r="E107" s="26" t="n">
        <v>27058</v>
      </c>
      <c r="F107" s="26" t="n">
        <v>29069</v>
      </c>
      <c r="G107" s="26" t="n">
        <v>30925</v>
      </c>
      <c r="H107" s="45">
        <f>(F107-E107)/E107</f>
        <v/>
      </c>
      <c r="I107" s="45">
        <f>(G107-F107)/F107</f>
        <v/>
      </c>
    </row>
    <row r="108">
      <c r="D108" s="7" t="inlineStr">
        <is>
          <t>GD</t>
        </is>
      </c>
      <c r="E108" s="26" t="n">
        <v>36193</v>
      </c>
      <c r="F108" s="26" t="n">
        <v>39162</v>
      </c>
      <c r="G108" s="26" t="n">
        <v>41035</v>
      </c>
      <c r="H108" s="45">
        <f>(F108-E108)/E108</f>
        <v/>
      </c>
      <c r="I108" s="45">
        <f>(G108-F108)/F108</f>
        <v/>
      </c>
    </row>
    <row r="109">
      <c r="D109" s="7" t="inlineStr">
        <is>
          <t>CSX</t>
        </is>
      </c>
      <c r="E109" s="26" t="n">
        <v>12250</v>
      </c>
      <c r="F109" s="26" t="n">
        <v>12103</v>
      </c>
      <c r="G109" s="26" t="n">
        <v>12386</v>
      </c>
      <c r="H109" s="45">
        <f>(F109-E109)/E109</f>
        <v/>
      </c>
      <c r="I109" s="45">
        <f>(G109-F109)/F109</f>
        <v/>
      </c>
    </row>
    <row r="110">
      <c r="D110" s="7" t="inlineStr">
        <is>
          <t>AGN</t>
        </is>
      </c>
      <c r="E110" s="26" t="n">
        <v>15762</v>
      </c>
      <c r="F110" s="26" t="n">
        <v>15547</v>
      </c>
      <c r="G110" s="26" t="n">
        <v>15680</v>
      </c>
      <c r="H110" s="45">
        <f>(F110-E110)/E110</f>
        <v/>
      </c>
      <c r="I110" s="45">
        <f>(G110-F110)/F110</f>
        <v/>
      </c>
    </row>
    <row r="111">
      <c r="D111" s="7" t="inlineStr">
        <is>
          <t>MMC</t>
        </is>
      </c>
      <c r="E111" s="26" t="n">
        <v>14950</v>
      </c>
      <c r="F111" s="26" t="n">
        <v>16843</v>
      </c>
      <c r="G111" s="26" t="n">
        <v>18219</v>
      </c>
      <c r="H111" s="45">
        <f>(F111-E111)/E111</f>
        <v/>
      </c>
      <c r="I111" s="45">
        <f>(G111-F111)/F111</f>
        <v/>
      </c>
    </row>
    <row r="112">
      <c r="D112" s="7" t="inlineStr">
        <is>
          <t>APD</t>
        </is>
      </c>
      <c r="E112" s="26" t="n">
        <v>8930</v>
      </c>
      <c r="F112" s="26" t="n">
        <v>9067</v>
      </c>
      <c r="G112" s="26" t="n">
        <v>9833</v>
      </c>
      <c r="H112" s="45">
        <f>(F112-E112)/E112</f>
        <v/>
      </c>
      <c r="I112" s="45">
        <f>(G112-F112)/F112</f>
        <v/>
      </c>
    </row>
    <row r="113">
      <c r="D113" s="7" t="inlineStr">
        <is>
          <t>BLK</t>
        </is>
      </c>
      <c r="E113" s="26" t="n">
        <v>14198</v>
      </c>
      <c r="F113" s="26" t="n">
        <v>14382</v>
      </c>
      <c r="G113" s="26" t="n">
        <v>15551</v>
      </c>
      <c r="H113" s="45">
        <f>(F113-E113)/E113</f>
        <v/>
      </c>
      <c r="I113" s="45">
        <f>(G113-F113)/F113</f>
        <v/>
      </c>
    </row>
    <row r="114">
      <c r="D114" s="7" t="inlineStr">
        <is>
          <t>KMB</t>
        </is>
      </c>
      <c r="E114" s="26" t="n">
        <v>18486</v>
      </c>
      <c r="F114" s="26" t="n">
        <v>18506</v>
      </c>
      <c r="G114" s="26" t="n">
        <v>18849</v>
      </c>
      <c r="H114" s="45">
        <f>(F114-E114)/E114</f>
        <v/>
      </c>
      <c r="I114" s="45">
        <f>(G114-F114)/F114</f>
        <v/>
      </c>
    </row>
    <row r="115">
      <c r="D115" s="7" t="inlineStr">
        <is>
          <t>MU</t>
        </is>
      </c>
      <c r="E115" s="26" t="n">
        <v>30391</v>
      </c>
      <c r="F115" s="26" t="n">
        <v>23113</v>
      </c>
      <c r="G115" s="26" t="n">
        <v>20392</v>
      </c>
      <c r="H115" s="45">
        <f>(F115-E115)/E115</f>
        <v/>
      </c>
      <c r="I115" s="45">
        <f>(G115-F115)/F115</f>
        <v/>
      </c>
    </row>
    <row r="116">
      <c r="D116" s="7" t="inlineStr">
        <is>
          <t>GM</t>
        </is>
      </c>
      <c r="E116" s="26" t="n">
        <v>147049</v>
      </c>
      <c r="F116" s="26" t="n">
        <v>145612</v>
      </c>
      <c r="G116" s="26" t="n">
        <v>145142</v>
      </c>
      <c r="H116" s="45">
        <f>(F116-E116)/E116</f>
        <v/>
      </c>
      <c r="I116" s="45">
        <f>(G116-F116)/F116</f>
        <v/>
      </c>
    </row>
    <row r="117">
      <c r="D117" s="7" t="inlineStr">
        <is>
          <t>DE</t>
        </is>
      </c>
      <c r="E117" s="26" t="n">
        <v>33351</v>
      </c>
      <c r="F117" s="26" t="n">
        <v>34672</v>
      </c>
      <c r="G117" s="26" t="n">
        <v>35406</v>
      </c>
      <c r="H117" s="45">
        <f>(F117-E117)/E117</f>
        <v/>
      </c>
      <c r="I117" s="45">
        <f>(G117-F117)/F117</f>
        <v/>
      </c>
    </row>
    <row r="118">
      <c r="D118" s="7" t="inlineStr">
        <is>
          <t>EQIX</t>
        </is>
      </c>
      <c r="E118" s="26" t="n">
        <v>5072</v>
      </c>
      <c r="F118" s="26" t="n">
        <v>5585</v>
      </c>
      <c r="G118" s="26" t="n">
        <v>6101</v>
      </c>
      <c r="H118" s="45">
        <f>(F118-E118)/E118</f>
        <v/>
      </c>
      <c r="I118" s="45">
        <f>(G118-F118)/F118</f>
        <v/>
      </c>
    </row>
    <row r="119">
      <c r="D119" s="7" t="inlineStr">
        <is>
          <t>VRTX</t>
        </is>
      </c>
      <c r="E119" s="26" t="n">
        <v>3048</v>
      </c>
      <c r="F119" s="26" t="n">
        <v>3700</v>
      </c>
      <c r="G119" s="26" t="n">
        <v>4515</v>
      </c>
      <c r="H119" s="45">
        <f>(F119-E119)/E119</f>
        <v/>
      </c>
      <c r="I119" s="45">
        <f>(G119-F119)/F119</f>
        <v/>
      </c>
    </row>
    <row r="120">
      <c r="D120" s="7" t="inlineStr">
        <is>
          <t>AIG</t>
        </is>
      </c>
      <c r="E120" s="26" t="n">
        <v>47389</v>
      </c>
      <c r="F120" s="26" t="n">
        <v>49052</v>
      </c>
      <c r="G120" s="26" t="n">
        <v>48837</v>
      </c>
      <c r="H120" s="45">
        <f>(F120-E120)/E120</f>
        <v/>
      </c>
      <c r="I120" s="45">
        <f>(G120-F120)/F120</f>
        <v/>
      </c>
    </row>
    <row r="121">
      <c r="D121" s="7" t="inlineStr">
        <is>
          <t>AON</t>
        </is>
      </c>
      <c r="E121" s="26" t="n">
        <v>10770</v>
      </c>
      <c r="F121" s="26" t="n">
        <v>11167</v>
      </c>
      <c r="G121" s="26" t="n">
        <v>11893</v>
      </c>
      <c r="H121" s="45">
        <f>(F121-E121)/E121</f>
        <v/>
      </c>
      <c r="I121" s="45">
        <f>(G121-F121)/F121</f>
        <v/>
      </c>
    </row>
    <row r="122">
      <c r="D122" s="7" t="inlineStr">
        <is>
          <t>WM</t>
        </is>
      </c>
      <c r="E122" s="26" t="n">
        <v>14914</v>
      </c>
      <c r="F122" s="26" t="n">
        <v>15653</v>
      </c>
      <c r="G122" s="26" t="n">
        <v>16820</v>
      </c>
      <c r="H122" s="45">
        <f>(F122-E122)/E122</f>
        <v/>
      </c>
      <c r="I122" s="45">
        <f>(G122-F122)/F122</f>
        <v/>
      </c>
    </row>
    <row r="123">
      <c r="D123" s="7" t="inlineStr">
        <is>
          <t>NSC</t>
        </is>
      </c>
      <c r="E123" s="26" t="n">
        <v>11458</v>
      </c>
      <c r="F123" s="26" t="n">
        <v>11587</v>
      </c>
      <c r="G123" s="26" t="n">
        <v>11995</v>
      </c>
      <c r="H123" s="45">
        <f>(F123-E123)/E123</f>
        <v/>
      </c>
      <c r="I123" s="45">
        <f>(G123-F123)/F123</f>
        <v/>
      </c>
    </row>
    <row r="124">
      <c r="D124" s="7" t="inlineStr">
        <is>
          <t>SPG</t>
        </is>
      </c>
      <c r="E124" s="26" t="n">
        <v>5658</v>
      </c>
      <c r="F124" s="26" t="n">
        <v>5740</v>
      </c>
      <c r="G124" s="26" t="n">
        <v>5796</v>
      </c>
      <c r="H124" s="45">
        <f>(F124-E124)/E124</f>
        <v/>
      </c>
      <c r="I124" s="45">
        <f>(G124-F124)/F124</f>
        <v/>
      </c>
    </row>
    <row r="125">
      <c r="D125" s="7" t="inlineStr">
        <is>
          <t>EW</t>
        </is>
      </c>
      <c r="E125" s="26" t="n">
        <v>3813</v>
      </c>
      <c r="F125" s="26" t="n">
        <v>4238</v>
      </c>
      <c r="G125" s="26" t="n">
        <v>4702</v>
      </c>
      <c r="H125" s="45">
        <f>(F125-E125)/E125</f>
        <v/>
      </c>
      <c r="I125" s="45">
        <f>(G125-F125)/F125</f>
        <v/>
      </c>
    </row>
    <row r="126">
      <c r="D126" s="7" t="inlineStr">
        <is>
          <t>SLB</t>
        </is>
      </c>
      <c r="E126" s="26" t="n">
        <v>32815</v>
      </c>
      <c r="F126" s="26" t="n">
        <v>33320</v>
      </c>
      <c r="G126" s="26" t="n">
        <v>35528</v>
      </c>
      <c r="H126" s="45">
        <f>(F126-E126)/E126</f>
        <v/>
      </c>
      <c r="I126" s="45">
        <f>(G126-F126)/F126</f>
        <v/>
      </c>
    </row>
    <row r="127">
      <c r="D127" s="7" t="inlineStr">
        <is>
          <t>AEP</t>
        </is>
      </c>
      <c r="E127" s="27" t="n">
        <v>16197</v>
      </c>
      <c r="F127" s="27" t="n">
        <v>16437</v>
      </c>
      <c r="G127" s="27" t="n">
        <v>17039</v>
      </c>
      <c r="H127" s="45">
        <f>(F127-E127)/E127</f>
        <v/>
      </c>
      <c r="I127" s="45">
        <f>(G127-F127)/F127</f>
        <v/>
      </c>
    </row>
    <row r="128">
      <c r="D128" s="7" t="inlineStr">
        <is>
          <t>BIIB</t>
        </is>
      </c>
      <c r="E128" s="26" t="n">
        <v>13453</v>
      </c>
      <c r="F128" s="26" t="n">
        <v>14128</v>
      </c>
      <c r="G128" s="26" t="n">
        <v>13898</v>
      </c>
      <c r="H128" s="45">
        <f>(F128-E128)/E128</f>
        <v/>
      </c>
      <c r="I128" s="45">
        <f>(G128-F128)/F128</f>
        <v/>
      </c>
    </row>
    <row r="129">
      <c r="D129" s="7" t="inlineStr">
        <is>
          <t>ITW</t>
        </is>
      </c>
      <c r="E129" s="26" t="n">
        <v>14768</v>
      </c>
      <c r="F129" s="26" t="n">
        <v>14265</v>
      </c>
      <c r="G129" s="26" t="n">
        <v>14488</v>
      </c>
      <c r="H129" s="45">
        <f>(F129-E129)/E129</f>
        <v/>
      </c>
      <c r="I129" s="45">
        <f>(G129-F129)/F129</f>
        <v/>
      </c>
    </row>
    <row r="130">
      <c r="D130" s="7" t="inlineStr">
        <is>
          <t>PGR</t>
        </is>
      </c>
      <c r="E130" s="26" t="n">
        <v>32610</v>
      </c>
      <c r="F130" s="26" t="n">
        <v>36932</v>
      </c>
      <c r="G130" s="26" t="n">
        <v>40701</v>
      </c>
      <c r="H130" s="45">
        <f>(F130-E130)/E130</f>
        <v/>
      </c>
      <c r="I130" s="45">
        <f>(G130-F130)/F130</f>
        <v/>
      </c>
    </row>
    <row r="131">
      <c r="D131" s="7" t="inlineStr">
        <is>
          <t>EXC</t>
        </is>
      </c>
      <c r="E131" s="26" t="n">
        <v>35985</v>
      </c>
      <c r="F131" s="26" t="n">
        <v>32353</v>
      </c>
      <c r="G131" s="26" t="n">
        <v>31497</v>
      </c>
      <c r="H131" s="45">
        <f>(F131-E131)/E131</f>
        <v/>
      </c>
      <c r="I131" s="45">
        <f>(G131-F131)/F131</f>
        <v/>
      </c>
    </row>
    <row r="132">
      <c r="D132" s="7" t="inlineStr">
        <is>
          <t>SCHW</t>
        </is>
      </c>
      <c r="E132" s="26" t="n">
        <v>10132</v>
      </c>
      <c r="F132" s="26" t="n">
        <v>10719</v>
      </c>
      <c r="G132" s="26" t="n">
        <v>10840</v>
      </c>
      <c r="H132" s="45">
        <f>(F132-E132)/E132</f>
        <v/>
      </c>
      <c r="I132" s="45">
        <f>(G132-F132)/F132</f>
        <v/>
      </c>
    </row>
    <row r="133">
      <c r="D133" s="7" t="inlineStr">
        <is>
          <t>EL</t>
        </is>
      </c>
      <c r="E133" s="26" t="n">
        <v>14866</v>
      </c>
      <c r="F133" s="26" t="n">
        <v>15997</v>
      </c>
      <c r="G133" s="26" t="n">
        <v>17106</v>
      </c>
      <c r="H133" s="45">
        <f>(F133-E133)/E133</f>
        <v/>
      </c>
      <c r="I133" s="45">
        <f>(G133-F133)/F133</f>
        <v/>
      </c>
    </row>
    <row r="134">
      <c r="D134" s="7" t="inlineStr">
        <is>
          <t>MET</t>
        </is>
      </c>
      <c r="E134" s="26" t="n">
        <v>68161</v>
      </c>
      <c r="F134" s="26" t="n">
        <v>64707</v>
      </c>
      <c r="G134" s="26" t="n">
        <v>66732</v>
      </c>
      <c r="H134" s="45">
        <f>(F134-E134)/E134</f>
        <v/>
      </c>
      <c r="I134" s="45">
        <f>(G134-F134)/F134</f>
        <v/>
      </c>
    </row>
    <row r="135">
      <c r="D135" s="7" t="inlineStr">
        <is>
          <t>AMAT</t>
        </is>
      </c>
      <c r="E135" s="26" t="n">
        <v>17253</v>
      </c>
      <c r="F135" s="26" t="n">
        <v>14504</v>
      </c>
      <c r="G135" s="26" t="n">
        <v>15617</v>
      </c>
      <c r="H135" s="45">
        <f>(F135-E135)/E135</f>
        <v/>
      </c>
      <c r="I135" s="45">
        <f>(G135-F135)/F135</f>
        <v/>
      </c>
    </row>
    <row r="136">
      <c r="D136" s="7" t="inlineStr">
        <is>
          <t>SHW</t>
        </is>
      </c>
      <c r="E136" s="26" t="n">
        <v>17534</v>
      </c>
      <c r="F136" s="26" t="n">
        <v>18026</v>
      </c>
      <c r="G136" s="26" t="n">
        <v>18865</v>
      </c>
      <c r="H136" s="45">
        <f>(F136-E136)/E136</f>
        <v/>
      </c>
      <c r="I136" s="45">
        <f>(G136-F136)/F136</f>
        <v/>
      </c>
    </row>
    <row r="137">
      <c r="D137" s="7" t="inlineStr">
        <is>
          <t>EOG</t>
        </is>
      </c>
      <c r="E137" s="26" t="n">
        <v>17275</v>
      </c>
      <c r="F137" s="26" t="n">
        <v>17654</v>
      </c>
      <c r="G137" s="26" t="n">
        <v>19412</v>
      </c>
      <c r="H137" s="45">
        <f>(F137-E137)/E137</f>
        <v/>
      </c>
      <c r="I137" s="45">
        <f>(G137-F137)/F137</f>
        <v/>
      </c>
    </row>
    <row r="138">
      <c r="D138" s="7" t="inlineStr">
        <is>
          <t>ILMN</t>
        </is>
      </c>
      <c r="E138" s="26" t="n">
        <v>3333</v>
      </c>
      <c r="F138" s="26" t="n">
        <v>3524</v>
      </c>
      <c r="G138" s="26" t="n">
        <v>4012</v>
      </c>
      <c r="H138" s="45">
        <f>(F138-E138)/E138</f>
        <v/>
      </c>
      <c r="I138" s="45">
        <f>(G138-F138)/F138</f>
        <v/>
      </c>
    </row>
    <row r="139">
      <c r="D139" s="7" t="inlineStr">
        <is>
          <t>BAX</t>
        </is>
      </c>
      <c r="E139" s="26" t="n">
        <v>11127</v>
      </c>
      <c r="F139" s="26" t="n">
        <v>11300</v>
      </c>
      <c r="G139" s="26" t="n">
        <v>11834</v>
      </c>
      <c r="H139" s="45">
        <f>(F139-E139)/E139</f>
        <v/>
      </c>
      <c r="I139" s="45">
        <f>(G139-F139)/F139</f>
        <v/>
      </c>
    </row>
    <row r="140">
      <c r="D140" s="7" t="inlineStr">
        <is>
          <t>PSX</t>
        </is>
      </c>
      <c r="E140" s="26" t="n">
        <v>114217</v>
      </c>
      <c r="F140" s="26" t="n">
        <v>106884</v>
      </c>
      <c r="G140" s="26" t="n">
        <v>116888</v>
      </c>
      <c r="H140" s="45">
        <f>(F140-E140)/E140</f>
        <v/>
      </c>
      <c r="I140" s="45">
        <f>(G140-F140)/F140</f>
        <v/>
      </c>
    </row>
    <row r="141">
      <c r="D141" s="7" t="inlineStr">
        <is>
          <t>COF</t>
        </is>
      </c>
      <c r="E141" s="26" t="n">
        <v>28076</v>
      </c>
      <c r="F141" s="26" t="n">
        <v>28836</v>
      </c>
      <c r="G141" s="26" t="n">
        <v>30113</v>
      </c>
      <c r="H141" s="45">
        <f>(F141-E141)/E141</f>
        <v/>
      </c>
      <c r="I141" s="45">
        <f>(G141-F141)/F141</f>
        <v/>
      </c>
    </row>
    <row r="142">
      <c r="D142" s="7" t="inlineStr">
        <is>
          <t>PSA</t>
        </is>
      </c>
      <c r="E142" s="26" t="n">
        <v>2754</v>
      </c>
      <c r="F142" s="26" t="n">
        <v>2857</v>
      </c>
      <c r="G142" s="26" t="n">
        <v>2942</v>
      </c>
      <c r="H142" s="45">
        <f>(F142-E142)/E142</f>
        <v/>
      </c>
      <c r="I142" s="45">
        <f>(G142-F142)/F142</f>
        <v/>
      </c>
    </row>
    <row r="143">
      <c r="D143" s="7" t="inlineStr">
        <is>
          <t>HUM</t>
        </is>
      </c>
      <c r="E143" s="26" t="n">
        <v>56912</v>
      </c>
      <c r="F143" s="26" t="n">
        <v>64490</v>
      </c>
      <c r="G143" s="26" t="n">
        <v>70583</v>
      </c>
      <c r="H143" s="45">
        <f>(F143-E143)/E143</f>
        <v/>
      </c>
      <c r="I143" s="45">
        <f>(G143-F143)/F143</f>
        <v/>
      </c>
    </row>
    <row r="144">
      <c r="D144" s="7" t="inlineStr">
        <is>
          <t>ADI</t>
        </is>
      </c>
      <c r="E144" s="26" t="n">
        <v>6201</v>
      </c>
      <c r="F144" s="26" t="n">
        <v>6000</v>
      </c>
      <c r="G144" s="26" t="n">
        <v>6100</v>
      </c>
      <c r="H144" s="45">
        <f>(F144-E144)/E144</f>
        <v/>
      </c>
      <c r="I144" s="45">
        <f>(G144-F144)/F144</f>
        <v/>
      </c>
    </row>
    <row r="145">
      <c r="D145" s="7" t="inlineStr">
        <is>
          <t>WBA</t>
        </is>
      </c>
      <c r="E145" s="26" t="n">
        <v>131537</v>
      </c>
      <c r="F145" s="26" t="n">
        <v>136781</v>
      </c>
      <c r="G145" s="26" t="n">
        <v>140345</v>
      </c>
      <c r="H145" s="45">
        <f>(F145-E145)/E145</f>
        <v/>
      </c>
      <c r="I145" s="45">
        <f>(G145-F145)/F145</f>
        <v/>
      </c>
    </row>
    <row r="146">
      <c r="D146" s="7" t="inlineStr">
        <is>
          <t>KMI</t>
        </is>
      </c>
      <c r="E146" s="26" t="n">
        <v>14144</v>
      </c>
      <c r="F146" s="26" t="n">
        <v>13997</v>
      </c>
      <c r="G146" s="26" t="n">
        <v>14550</v>
      </c>
      <c r="H146" s="45">
        <f>(F146-E146)/E146</f>
        <v/>
      </c>
      <c r="I146" s="45">
        <f>(G146-F146)/F146</f>
        <v/>
      </c>
    </row>
    <row r="147">
      <c r="D147" s="7" t="inlineStr">
        <is>
          <t>SRE</t>
        </is>
      </c>
      <c r="E147" s="26" t="n">
        <v>11687</v>
      </c>
      <c r="F147" s="26" t="n">
        <v>11805</v>
      </c>
      <c r="G147" s="26" t="n">
        <v>12358</v>
      </c>
      <c r="H147" s="45">
        <f>(F147-E147)/E147</f>
        <v/>
      </c>
      <c r="I147" s="45">
        <f>(G147-F147)/F147</f>
        <v/>
      </c>
    </row>
    <row r="148">
      <c r="D148" s="7" t="inlineStr">
        <is>
          <t>ROST</t>
        </is>
      </c>
      <c r="E148" s="27" t="n">
        <v>14984</v>
      </c>
      <c r="F148" s="27" t="n">
        <v>15907</v>
      </c>
      <c r="G148" s="27" t="n">
        <v>16924</v>
      </c>
      <c r="H148" s="45">
        <f>(F148-E148)/E148</f>
        <v/>
      </c>
      <c r="I148" s="45">
        <f>(G148-F148)/F148</f>
        <v/>
      </c>
    </row>
    <row r="149">
      <c r="D149" s="7" t="inlineStr">
        <is>
          <t>TRV</t>
        </is>
      </c>
      <c r="E149" s="26" t="n">
        <v>27059</v>
      </c>
      <c r="F149" s="26" t="n">
        <v>28190</v>
      </c>
      <c r="G149" s="26" t="n">
        <v>29576</v>
      </c>
      <c r="H149" s="45">
        <f>(F149-E149)/E149</f>
        <v/>
      </c>
      <c r="I149" s="45">
        <f>(G149-F149)/F149</f>
        <v/>
      </c>
    </row>
    <row r="150">
      <c r="D150" s="7" t="inlineStr">
        <is>
          <t>OXY</t>
        </is>
      </c>
      <c r="E150" s="26" t="n">
        <v>18934</v>
      </c>
      <c r="F150" s="26" t="n">
        <v>20662</v>
      </c>
      <c r="G150" s="26" t="n">
        <v>28396</v>
      </c>
      <c r="H150" s="45">
        <f>(F150-E150)/E150</f>
        <v/>
      </c>
      <c r="I150" s="45">
        <f>(G150-F150)/F150</f>
        <v/>
      </c>
    </row>
    <row r="151">
      <c r="D151" s="7" t="inlineStr">
        <is>
          <t>FDX</t>
        </is>
      </c>
      <c r="E151" s="26" t="n">
        <v>69693</v>
      </c>
      <c r="F151" s="26" t="n">
        <v>70200</v>
      </c>
      <c r="G151" s="26" t="n">
        <v>73411</v>
      </c>
      <c r="H151" s="45">
        <f>(F151-E151)/E151</f>
        <v/>
      </c>
      <c r="I151" s="45">
        <f>(G151-F151)/F151</f>
        <v/>
      </c>
    </row>
    <row r="152">
      <c r="D152" s="7" t="inlineStr">
        <is>
          <t>ATVI</t>
        </is>
      </c>
      <c r="E152" s="26" t="n">
        <v>7262</v>
      </c>
      <c r="F152" s="26" t="n">
        <v>6345</v>
      </c>
      <c r="G152" s="26" t="n">
        <v>7015</v>
      </c>
      <c r="H152" s="45">
        <f>(F152-E152)/E152</f>
        <v/>
      </c>
      <c r="I152" s="45">
        <f>(G152-F152)/F152</f>
        <v/>
      </c>
    </row>
    <row r="153">
      <c r="D153" s="7" t="inlineStr">
        <is>
          <t>ROP</t>
        </is>
      </c>
      <c r="E153" s="26" t="n">
        <v>5199</v>
      </c>
      <c r="F153" s="26" t="n">
        <v>5471</v>
      </c>
      <c r="G153" s="26" t="n">
        <v>5863</v>
      </c>
      <c r="H153" s="45">
        <f>(F153-E153)/E153</f>
        <v/>
      </c>
      <c r="I153" s="45">
        <f>(G153-F153)/F153</f>
        <v/>
      </c>
    </row>
    <row r="154">
      <c r="D154" s="7" t="inlineStr">
        <is>
          <t>BK</t>
        </is>
      </c>
      <c r="E154" s="26" t="n">
        <v>16392</v>
      </c>
      <c r="F154" s="26" t="n">
        <v>15669</v>
      </c>
      <c r="G154" s="26" t="n">
        <v>15713</v>
      </c>
      <c r="H154" s="45">
        <f>(F154-E154)/E154</f>
        <v/>
      </c>
      <c r="I154" s="45">
        <f>(G154-F154)/F154</f>
        <v/>
      </c>
    </row>
    <row r="155">
      <c r="D155" s="7" t="inlineStr">
        <is>
          <t>AFL</t>
        </is>
      </c>
      <c r="E155" s="26" t="n">
        <v>21758</v>
      </c>
      <c r="F155" s="26" t="n">
        <v>21994</v>
      </c>
      <c r="G155" s="26" t="n">
        <v>21987</v>
      </c>
      <c r="H155" s="45">
        <f>(F155-E155)/E155</f>
        <v/>
      </c>
      <c r="I155" s="45">
        <f>(G155-F155)/F155</f>
        <v/>
      </c>
    </row>
    <row r="156">
      <c r="D156" s="7" t="inlineStr">
        <is>
          <t>WELL</t>
        </is>
      </c>
      <c r="E156" s="26" t="n">
        <v>4700</v>
      </c>
      <c r="F156" s="26" t="n">
        <v>5189</v>
      </c>
      <c r="G156" s="26" t="n">
        <v>5384</v>
      </c>
      <c r="H156" s="45">
        <f>(F156-E156)/E156</f>
        <v/>
      </c>
      <c r="I156" s="45">
        <f>(G156-F156)/F156</f>
        <v/>
      </c>
    </row>
    <row r="157">
      <c r="D157" s="7" t="inlineStr">
        <is>
          <t>DG</t>
        </is>
      </c>
      <c r="E157" s="26" t="n">
        <v>25625</v>
      </c>
      <c r="F157" s="26" t="n">
        <v>27653</v>
      </c>
      <c r="G157" s="26" t="n">
        <v>29737</v>
      </c>
      <c r="H157" s="45">
        <f>(F157-E157)/E157</f>
        <v/>
      </c>
      <c r="I157" s="45">
        <f>(G157-F157)/F157</f>
        <v/>
      </c>
    </row>
    <row r="158">
      <c r="D158" s="7" t="inlineStr">
        <is>
          <t>YUM</t>
        </is>
      </c>
      <c r="E158" s="26" t="n">
        <v>5688</v>
      </c>
      <c r="F158" s="26" t="n">
        <v>5569</v>
      </c>
      <c r="G158" s="26" t="n">
        <v>5783</v>
      </c>
      <c r="H158" s="45">
        <f>(F158-E158)/E158</f>
        <v/>
      </c>
      <c r="I158" s="45">
        <f>(G158-F158)/F158</f>
        <v/>
      </c>
    </row>
    <row r="159">
      <c r="D159" s="7" t="inlineStr">
        <is>
          <t>EMR</t>
        </is>
      </c>
      <c r="E159" s="26" t="n">
        <v>17408</v>
      </c>
      <c r="F159" s="26" t="n">
        <v>18472</v>
      </c>
      <c r="G159" s="26" t="n">
        <v>19113</v>
      </c>
      <c r="H159" s="45">
        <f>(F159-E159)/E159</f>
        <v/>
      </c>
      <c r="I159" s="45">
        <f>(G159-F159)/F159</f>
        <v/>
      </c>
    </row>
    <row r="160">
      <c r="D160" s="7" t="inlineStr">
        <is>
          <t>BBT</t>
        </is>
      </c>
      <c r="E160" s="26" t="n">
        <v>11654</v>
      </c>
      <c r="F160" s="26" t="n">
        <v>12391</v>
      </c>
      <c r="G160" s="26" t="n">
        <v>21646</v>
      </c>
      <c r="H160" s="45">
        <f>(F160-E160)/E160</f>
        <v/>
      </c>
      <c r="I160" s="45">
        <f>(G160-F160)/F160</f>
        <v/>
      </c>
    </row>
    <row r="161">
      <c r="D161" s="7" t="inlineStr">
        <is>
          <t>MCO</t>
        </is>
      </c>
      <c r="E161" s="26" t="n">
        <v>4443</v>
      </c>
      <c r="F161" s="26" t="n">
        <v>4684</v>
      </c>
      <c r="G161" s="26" t="n">
        <v>4946</v>
      </c>
      <c r="H161" s="45">
        <f>(F161-E161)/E161</f>
        <v/>
      </c>
      <c r="I161" s="45">
        <f>(G161-F161)/F161</f>
        <v/>
      </c>
    </row>
    <row r="162">
      <c r="D162" s="7" t="inlineStr">
        <is>
          <t>MAR</t>
        </is>
      </c>
      <c r="E162" s="26" t="n">
        <v>20758</v>
      </c>
      <c r="F162" s="26" t="n">
        <v>21022</v>
      </c>
      <c r="G162" s="26" t="n">
        <v>22050</v>
      </c>
      <c r="H162" s="45">
        <f>(F162-E162)/E162</f>
        <v/>
      </c>
      <c r="I162" s="45">
        <f>(G162-F162)/F162</f>
        <v/>
      </c>
    </row>
    <row r="163">
      <c r="D163" s="7" t="inlineStr">
        <is>
          <t>F</t>
        </is>
      </c>
      <c r="E163" s="26" t="n">
        <v>148294</v>
      </c>
      <c r="F163" s="26" t="n">
        <v>145835</v>
      </c>
      <c r="G163" s="26" t="n">
        <v>144319</v>
      </c>
      <c r="H163" s="45">
        <f>(F163-E163)/E163</f>
        <v/>
      </c>
      <c r="I163" s="45">
        <f>(G163-F163)/F163</f>
        <v/>
      </c>
    </row>
    <row r="164">
      <c r="D164" s="7" t="inlineStr">
        <is>
          <t>SYY</t>
        </is>
      </c>
      <c r="E164" s="26" t="n">
        <v>60114</v>
      </c>
      <c r="F164" s="26" t="n">
        <v>61911</v>
      </c>
      <c r="G164" s="26" t="n">
        <v>64222</v>
      </c>
      <c r="H164" s="45">
        <f>(F164-E164)/E164</f>
        <v/>
      </c>
      <c r="I164" s="45">
        <f>(G164-F164)/F164</f>
        <v/>
      </c>
    </row>
    <row r="165">
      <c r="D165" s="7" t="inlineStr">
        <is>
          <t>CTSH</t>
        </is>
      </c>
      <c r="E165" s="26" t="n">
        <v>16125</v>
      </c>
      <c r="F165" s="26" t="n">
        <v>16696</v>
      </c>
      <c r="G165" s="26" t="n">
        <v>17591</v>
      </c>
      <c r="H165" s="45">
        <f>(F165-E165)/E165</f>
        <v/>
      </c>
      <c r="I165" s="45">
        <f>(G165-F165)/F165</f>
        <v/>
      </c>
    </row>
    <row r="166">
      <c r="D166" s="7" t="inlineStr">
        <is>
          <t>ALL</t>
        </is>
      </c>
      <c r="E166" s="26" t="n">
        <v>34048</v>
      </c>
      <c r="F166" s="26" t="n">
        <v>36115</v>
      </c>
      <c r="G166" s="26" t="n">
        <v>37866</v>
      </c>
      <c r="H166" s="45">
        <f>(F166-E166)/E166</f>
        <v/>
      </c>
      <c r="I166" s="45">
        <f>(G166-F166)/F166</f>
        <v/>
      </c>
    </row>
    <row r="167">
      <c r="D167" s="7" t="inlineStr">
        <is>
          <t>DAL</t>
        </is>
      </c>
      <c r="E167" s="26" t="n">
        <v>44438</v>
      </c>
      <c r="F167" s="26" t="n">
        <v>46934</v>
      </c>
      <c r="G167" s="26" t="n">
        <v>48947</v>
      </c>
      <c r="H167" s="45">
        <f>(F167-E167)/E167</f>
        <v/>
      </c>
      <c r="I167" s="45">
        <f>(G167-F167)/F167</f>
        <v/>
      </c>
    </row>
    <row r="168">
      <c r="D168" s="7" t="inlineStr">
        <is>
          <t>STZ</t>
        </is>
      </c>
      <c r="E168" s="26" t="n">
        <v>8116</v>
      </c>
      <c r="F168" s="26" t="n">
        <v>7933</v>
      </c>
      <c r="G168" s="26" t="n">
        <v>7995</v>
      </c>
      <c r="H168" s="45">
        <f>(F168-E168)/E168</f>
        <v/>
      </c>
      <c r="I168" s="45">
        <f>(G168-F168)/F168</f>
        <v/>
      </c>
    </row>
    <row r="169">
      <c r="D169" s="7" t="inlineStr">
        <is>
          <t>JCI</t>
        </is>
      </c>
      <c r="E169" s="26" t="n">
        <v>31400</v>
      </c>
      <c r="F169" s="26" t="n">
        <v>24110</v>
      </c>
      <c r="G169" s="26" t="n">
        <v>25039</v>
      </c>
      <c r="H169" s="45">
        <f>(F169-E169)/E169</f>
        <v/>
      </c>
      <c r="I169" s="45">
        <f>(G169-F169)/F169</f>
        <v/>
      </c>
    </row>
    <row r="170">
      <c r="D170" s="7" t="inlineStr">
        <is>
          <t>ETN</t>
        </is>
      </c>
      <c r="E170" s="26" t="n">
        <v>21609</v>
      </c>
      <c r="F170" s="26" t="n">
        <v>22084</v>
      </c>
      <c r="G170" s="26" t="n">
        <v>22562</v>
      </c>
      <c r="H170" s="45">
        <f>(F170-E170)/E170</f>
        <v/>
      </c>
      <c r="I170" s="45">
        <f>(G170-F170)/F170</f>
        <v/>
      </c>
    </row>
    <row r="171">
      <c r="D171" s="7" t="inlineStr">
        <is>
          <t>XEL</t>
        </is>
      </c>
      <c r="E171" s="26" t="n">
        <v>11537</v>
      </c>
      <c r="F171" s="26" t="n">
        <v>12062</v>
      </c>
      <c r="G171" s="26" t="n">
        <v>12532</v>
      </c>
      <c r="H171" s="45">
        <f>(F171-E171)/E171</f>
        <v/>
      </c>
      <c r="I171" s="45">
        <f>(G171-F171)/F171</f>
        <v/>
      </c>
    </row>
    <row r="172">
      <c r="D172" s="7" t="inlineStr">
        <is>
          <t>PRU</t>
        </is>
      </c>
      <c r="E172" s="26" t="n">
        <v>58130</v>
      </c>
      <c r="F172" s="26" t="n">
        <v>56772</v>
      </c>
      <c r="G172" s="26" t="n">
        <v>58254</v>
      </c>
      <c r="H172" s="45">
        <f>(F172-E172)/E172</f>
        <v/>
      </c>
      <c r="I172" s="45">
        <f>(G172-F172)/F172</f>
        <v/>
      </c>
    </row>
    <row r="173">
      <c r="D173" s="7" t="inlineStr">
        <is>
          <t>GIS</t>
        </is>
      </c>
      <c r="E173" s="26" t="n">
        <v>16865</v>
      </c>
      <c r="F173" s="26" t="n">
        <v>17212</v>
      </c>
      <c r="G173" s="26" t="n">
        <v>17182</v>
      </c>
      <c r="H173" s="45">
        <f>(F173-E173)/E173</f>
        <v/>
      </c>
      <c r="I173" s="45">
        <f>(G173-F173)/F173</f>
        <v/>
      </c>
    </row>
    <row r="174">
      <c r="D174" s="7" t="inlineStr">
        <is>
          <t>NEM</t>
        </is>
      </c>
      <c r="E174" s="26" t="n">
        <v>7253</v>
      </c>
      <c r="F174" s="26" t="n">
        <v>10006</v>
      </c>
      <c r="G174" s="26" t="n">
        <v>11877</v>
      </c>
      <c r="H174" s="45">
        <f>(F174-E174)/E174</f>
        <v/>
      </c>
      <c r="I174" s="45">
        <f>(G174-F174)/F174</f>
        <v/>
      </c>
    </row>
    <row r="175">
      <c r="D175" s="7" t="inlineStr">
        <is>
          <t>HCA</t>
        </is>
      </c>
      <c r="E175" s="26" t="n">
        <v>46677</v>
      </c>
      <c r="F175" s="26" t="n">
        <v>50938</v>
      </c>
      <c r="G175" s="26" t="n">
        <v>53570</v>
      </c>
      <c r="H175" s="45">
        <f>(F175-E175)/E175</f>
        <v/>
      </c>
      <c r="I175" s="45">
        <f>(G175-F175)/F175</f>
        <v/>
      </c>
    </row>
    <row r="176">
      <c r="D176" s="7" t="inlineStr">
        <is>
          <t>EBAY</t>
        </is>
      </c>
      <c r="E176" s="26" t="n">
        <v>10746</v>
      </c>
      <c r="F176" s="26" t="n">
        <v>10827</v>
      </c>
      <c r="G176" s="26" t="n">
        <v>11347</v>
      </c>
      <c r="H176" s="45">
        <f>(F176-E176)/E176</f>
        <v/>
      </c>
      <c r="I176" s="45">
        <f>(G176-F176)/F176</f>
        <v/>
      </c>
    </row>
    <row r="177">
      <c r="D177" s="7" t="inlineStr">
        <is>
          <t>ADSK</t>
        </is>
      </c>
      <c r="E177" s="26" t="n">
        <v>2570</v>
      </c>
      <c r="F177" s="26" t="n">
        <v>3256</v>
      </c>
      <c r="G177" s="26" t="n">
        <v>3958</v>
      </c>
      <c r="H177" s="45">
        <f>(F177-E177)/E177</f>
        <v/>
      </c>
      <c r="I177" s="45">
        <f>(G177-F177)/F177</f>
        <v/>
      </c>
    </row>
    <row r="178">
      <c r="D178" s="7" t="inlineStr">
        <is>
          <t>VLO</t>
        </is>
      </c>
      <c r="E178" s="26" t="n">
        <v>117033</v>
      </c>
      <c r="F178" s="26" t="n">
        <v>104865</v>
      </c>
      <c r="G178" s="26" t="n">
        <v>120106</v>
      </c>
      <c r="H178" s="45">
        <f>(F178-E178)/E178</f>
        <v/>
      </c>
      <c r="I178" s="45">
        <f>(G178-F178)/F178</f>
        <v/>
      </c>
    </row>
    <row r="179">
      <c r="D179" s="7" t="inlineStr">
        <is>
          <t>EQR</t>
        </is>
      </c>
      <c r="E179" s="26" t="n">
        <v>2578</v>
      </c>
      <c r="F179" s="26" t="n">
        <v>2692</v>
      </c>
      <c r="G179" s="26" t="n">
        <v>2780</v>
      </c>
      <c r="H179" s="45">
        <f>(F179-E179)/E179</f>
        <v/>
      </c>
      <c r="I179" s="45">
        <f>(G179-F179)/F179</f>
        <v/>
      </c>
    </row>
    <row r="180">
      <c r="D180" s="7" t="inlineStr">
        <is>
          <t>MPC</t>
        </is>
      </c>
      <c r="E180" s="26" t="n">
        <v>97102</v>
      </c>
      <c r="F180" s="26" t="n">
        <v>127918</v>
      </c>
      <c r="G180" s="26" t="n">
        <v>138637</v>
      </c>
      <c r="H180" s="45">
        <f>(F180-E180)/E180</f>
        <v/>
      </c>
      <c r="I180" s="45">
        <f>(G180-F180)/F180</f>
        <v/>
      </c>
    </row>
    <row r="181">
      <c r="D181" s="7" t="inlineStr">
        <is>
          <t>TEL</t>
        </is>
      </c>
      <c r="E181" s="26" t="n">
        <v>14690</v>
      </c>
      <c r="F181" s="26" t="n">
        <v>13417</v>
      </c>
      <c r="G181" s="26" t="n">
        <v>13675</v>
      </c>
      <c r="H181" s="45">
        <f>(F181-E181)/E181</f>
        <v/>
      </c>
      <c r="I181" s="45">
        <f>(G181-F181)/F181</f>
        <v/>
      </c>
    </row>
    <row r="182">
      <c r="D182" s="7" t="inlineStr">
        <is>
          <t>LRCX</t>
        </is>
      </c>
      <c r="E182" s="26" t="n">
        <v>9654</v>
      </c>
      <c r="F182" s="26" t="n">
        <v>9157</v>
      </c>
      <c r="G182" s="26" t="n">
        <v>10598</v>
      </c>
      <c r="H182" s="45">
        <f>(F182-E182)/E182</f>
        <v/>
      </c>
      <c r="I182" s="45">
        <f>(G182-F182)/F182</f>
        <v/>
      </c>
    </row>
    <row r="183">
      <c r="D183" s="7" t="inlineStr">
        <is>
          <t>TWTR</t>
        </is>
      </c>
      <c r="E183" s="26" t="n">
        <v>3042</v>
      </c>
      <c r="F183" s="26" t="n">
        <v>3560</v>
      </c>
      <c r="G183" s="26" t="n">
        <v>4125</v>
      </c>
      <c r="H183" s="45">
        <f>(F183-E183)/E183</f>
        <v/>
      </c>
      <c r="I183" s="45">
        <f>(G183-F183)/F183</f>
        <v/>
      </c>
    </row>
    <row r="184">
      <c r="D184" s="7" t="inlineStr">
        <is>
          <t>ORLY</t>
        </is>
      </c>
      <c r="E184" s="26" t="n">
        <v>9536</v>
      </c>
      <c r="F184" s="26" t="n">
        <v>10113</v>
      </c>
      <c r="G184" s="26" t="n">
        <v>10683</v>
      </c>
      <c r="H184" s="45">
        <f>(F184-E184)/E184</f>
        <v/>
      </c>
      <c r="I184" s="45">
        <f>(G184-F184)/F184</f>
        <v/>
      </c>
    </row>
    <row r="185">
      <c r="D185" s="7" t="inlineStr">
        <is>
          <t>SBAC</t>
        </is>
      </c>
      <c r="E185" s="26" t="n">
        <v>1866</v>
      </c>
      <c r="F185" s="26" t="n">
        <v>2000</v>
      </c>
      <c r="G185" s="26" t="n">
        <v>2121</v>
      </c>
      <c r="H185" s="45">
        <f>(F185-E185)/E185</f>
        <v/>
      </c>
      <c r="I185" s="45">
        <f>(G185-F185)/F185</f>
        <v/>
      </c>
    </row>
    <row r="186">
      <c r="D186" s="7" t="inlineStr">
        <is>
          <t>PEG</t>
        </is>
      </c>
      <c r="E186" s="26" t="n">
        <v>9696</v>
      </c>
      <c r="F186" s="26" t="n">
        <v>10394</v>
      </c>
      <c r="G186" s="26" t="n">
        <v>10614</v>
      </c>
      <c r="H186" s="45">
        <f>(F186-E186)/E186</f>
        <v/>
      </c>
      <c r="I186" s="45">
        <f>(G186-F186)/F186</f>
        <v/>
      </c>
    </row>
    <row r="187">
      <c r="D187" s="7" t="inlineStr">
        <is>
          <t>WEC</t>
        </is>
      </c>
      <c r="E187" s="26" t="n">
        <v>7680</v>
      </c>
      <c r="F187" s="26" t="n">
        <v>7855</v>
      </c>
      <c r="G187" s="26" t="n">
        <v>8080</v>
      </c>
      <c r="H187" s="45">
        <f>(F187-E187)/E187</f>
        <v/>
      </c>
      <c r="I187" s="45">
        <f>(G187-F187)/F187</f>
        <v/>
      </c>
    </row>
    <row r="188">
      <c r="D188" s="7" t="inlineStr">
        <is>
          <t>MSI</t>
        </is>
      </c>
      <c r="E188" s="27" t="n">
        <v>7343</v>
      </c>
      <c r="F188" s="27" t="n">
        <v>7888</v>
      </c>
      <c r="G188" s="27" t="n">
        <v>8311</v>
      </c>
      <c r="H188" s="45">
        <f>(F188-E188)/E188</f>
        <v/>
      </c>
      <c r="I188" s="45">
        <f>(G188-F188)/F188</f>
        <v/>
      </c>
    </row>
    <row r="189">
      <c r="D189" s="7" t="inlineStr">
        <is>
          <t>AVB</t>
        </is>
      </c>
      <c r="E189" s="26" t="n">
        <v>2281</v>
      </c>
      <c r="F189" s="26" t="n">
        <v>2309</v>
      </c>
      <c r="G189" s="26" t="n">
        <v>2418</v>
      </c>
      <c r="H189" s="45">
        <f>(F189-E189)/E189</f>
        <v/>
      </c>
      <c r="I189" s="45">
        <f>(G189-F189)/F189</f>
        <v/>
      </c>
    </row>
    <row r="190">
      <c r="D190" s="7" t="inlineStr">
        <is>
          <t>ED</t>
        </is>
      </c>
      <c r="E190" s="26" t="n">
        <v>12337</v>
      </c>
      <c r="F190" s="26" t="n">
        <v>12773</v>
      </c>
      <c r="G190" s="26" t="n">
        <v>13151</v>
      </c>
      <c r="H190" s="45">
        <f>(F190-E190)/E190</f>
        <v/>
      </c>
      <c r="I190" s="45">
        <f>(G190-F190)/F190</f>
        <v/>
      </c>
    </row>
    <row r="191">
      <c r="D191" s="7" t="inlineStr">
        <is>
          <t>IR</t>
        </is>
      </c>
      <c r="E191" s="26" t="n">
        <v>15668</v>
      </c>
      <c r="F191" s="26" t="n">
        <v>16608</v>
      </c>
      <c r="G191" s="26" t="n">
        <v>17428</v>
      </c>
      <c r="H191" s="45">
        <f>(F191-E191)/E191</f>
        <v/>
      </c>
      <c r="I191" s="45">
        <f>(G191-F191)/F191</f>
        <v/>
      </c>
    </row>
    <row r="192">
      <c r="D192" s="7" t="inlineStr">
        <is>
          <t>OKE</t>
        </is>
      </c>
      <c r="E192" s="26" t="n">
        <v>12593</v>
      </c>
      <c r="F192" s="26" t="n">
        <v>11206</v>
      </c>
      <c r="G192" s="26" t="n">
        <v>13364</v>
      </c>
      <c r="H192" s="45">
        <f>(F192-E192)/E192</f>
        <v/>
      </c>
      <c r="I192" s="45">
        <f>(G192-F192)/F192</f>
        <v/>
      </c>
    </row>
    <row r="193">
      <c r="D193" s="7" t="inlineStr">
        <is>
          <t>WMB</t>
        </is>
      </c>
      <c r="E193" s="26" t="n">
        <v>8686</v>
      </c>
      <c r="F193" s="26" t="n">
        <v>8301</v>
      </c>
      <c r="G193" s="26" t="n">
        <v>8994</v>
      </c>
      <c r="H193" s="45">
        <f>(F193-E193)/E193</f>
        <v/>
      </c>
      <c r="I193" s="45">
        <f>(G193-F193)/F193</f>
        <v/>
      </c>
    </row>
    <row r="194">
      <c r="D194" s="7" t="inlineStr">
        <is>
          <t>EA</t>
        </is>
      </c>
      <c r="E194" s="26" t="n">
        <v>4944</v>
      </c>
      <c r="F194" s="26" t="n">
        <v>5205</v>
      </c>
      <c r="G194" s="26" t="n">
        <v>5512</v>
      </c>
      <c r="H194" s="45">
        <f>(F194-E194)/E194</f>
        <v/>
      </c>
      <c r="I194" s="45">
        <f>(G194-F194)/F194</f>
        <v/>
      </c>
    </row>
    <row r="195">
      <c r="D195" s="7" t="inlineStr">
        <is>
          <t>MCK</t>
        </is>
      </c>
      <c r="E195" s="26" t="n">
        <v>214319</v>
      </c>
      <c r="F195" s="26" t="n">
        <v>222990</v>
      </c>
      <c r="G195" s="26" t="n">
        <v>230909</v>
      </c>
      <c r="H195" s="45">
        <f>(F195-E195)/E195</f>
        <v/>
      </c>
      <c r="I195" s="45">
        <f>(G195-F195)/F195</f>
        <v/>
      </c>
    </row>
    <row r="196">
      <c r="D196" s="7" t="inlineStr">
        <is>
          <t>ZBH</t>
        </is>
      </c>
      <c r="E196" s="26" t="n">
        <v>7933</v>
      </c>
      <c r="F196" s="26" t="n">
        <v>7953</v>
      </c>
      <c r="G196" s="26" t="n">
        <v>8158</v>
      </c>
      <c r="H196" s="45">
        <f>(F196-E196)/E196</f>
        <v/>
      </c>
      <c r="I196" s="45">
        <f>(G196-F196)/F196</f>
        <v/>
      </c>
    </row>
    <row r="197">
      <c r="D197" s="7" t="inlineStr">
        <is>
          <t>HPQ</t>
        </is>
      </c>
      <c r="E197" s="26" t="n">
        <v>58472</v>
      </c>
      <c r="F197" s="26" t="n">
        <v>58613</v>
      </c>
      <c r="G197" s="26" t="n">
        <v>58388</v>
      </c>
      <c r="H197" s="45">
        <f>(F197-E197)/E197</f>
        <v/>
      </c>
      <c r="I197" s="45">
        <f>(G197-F197)/F197</f>
        <v/>
      </c>
    </row>
    <row r="198">
      <c r="D198" s="7" t="inlineStr">
        <is>
          <t>VTR</t>
        </is>
      </c>
      <c r="E198" s="27" t="n">
        <v>3746</v>
      </c>
      <c r="F198" s="27" t="n">
        <v>3766</v>
      </c>
      <c r="G198" s="27" t="n">
        <v>3898</v>
      </c>
      <c r="H198" s="45">
        <f>(F198-E198)/E198</f>
        <v/>
      </c>
      <c r="I198" s="45">
        <f>(G198-F198)/F198</f>
        <v/>
      </c>
    </row>
    <row r="199">
      <c r="D199" s="7" t="inlineStr">
        <is>
          <t>TSN</t>
        </is>
      </c>
      <c r="E199" s="26" t="n">
        <v>40052</v>
      </c>
      <c r="F199" s="26" t="n">
        <v>42638</v>
      </c>
      <c r="G199" s="26" t="n">
        <v>44961</v>
      </c>
      <c r="H199" s="45">
        <f>(F199-E199)/E199</f>
        <v/>
      </c>
      <c r="I199" s="45">
        <f>(G199-F199)/F199</f>
        <v/>
      </c>
    </row>
    <row r="200">
      <c r="D200" s="7" t="inlineStr">
        <is>
          <t>HLT</t>
        </is>
      </c>
      <c r="E200" s="26" t="n">
        <v>8906</v>
      </c>
      <c r="F200" s="26" t="n">
        <v>9496</v>
      </c>
      <c r="G200" s="26" t="n">
        <v>10045</v>
      </c>
      <c r="H200" s="45">
        <f>(F200-E200)/E200</f>
        <v/>
      </c>
      <c r="I200" s="45">
        <f>(G200-F200)/F200</f>
        <v/>
      </c>
    </row>
    <row r="201">
      <c r="D201" s="7" t="inlineStr">
        <is>
          <t>AMD</t>
        </is>
      </c>
      <c r="E201" s="26" t="n">
        <v>6475</v>
      </c>
      <c r="F201" s="26" t="n">
        <v>6746</v>
      </c>
      <c r="G201" s="26" t="n">
        <v>8389</v>
      </c>
      <c r="H201" s="45">
        <f>(F201-E201)/E201</f>
        <v/>
      </c>
      <c r="I201" s="45">
        <f>(G201-F201)/F201</f>
        <v/>
      </c>
    </row>
    <row r="202">
      <c r="D202" s="7" t="inlineStr">
        <is>
          <t>BLL</t>
        </is>
      </c>
      <c r="E202" s="26" t="n">
        <v>11635</v>
      </c>
      <c r="F202" s="26" t="n">
        <v>11847</v>
      </c>
      <c r="G202" s="26" t="n">
        <v>12481</v>
      </c>
      <c r="H202" s="45">
        <f>(F202-E202)/E202</f>
        <v/>
      </c>
      <c r="I202" s="45">
        <f>(G202-F202)/F202</f>
        <v/>
      </c>
    </row>
    <row r="203">
      <c r="D203" s="7" t="inlineStr">
        <is>
          <t>AZO</t>
        </is>
      </c>
      <c r="E203" s="26" t="n">
        <v>11221</v>
      </c>
      <c r="F203" s="26" t="n">
        <v>11812</v>
      </c>
      <c r="G203" s="26" t="n">
        <v>12098</v>
      </c>
      <c r="H203" s="45">
        <f>(F203-E203)/E203</f>
        <v/>
      </c>
      <c r="I203" s="45">
        <f>(G203-F203)/F203</f>
        <v/>
      </c>
    </row>
    <row r="204">
      <c r="D204" s="7" t="inlineStr">
        <is>
          <t>STI</t>
        </is>
      </c>
      <c r="E204" s="26" t="n">
        <v>9301</v>
      </c>
      <c r="F204" s="26" t="n">
        <v>9500</v>
      </c>
      <c r="G204" s="26" t="n">
        <v>9549</v>
      </c>
      <c r="H204" s="45">
        <f>(F204-E204)/E204</f>
        <v/>
      </c>
      <c r="I204" s="45">
        <f>(G204-F204)/F204</f>
        <v/>
      </c>
    </row>
    <row r="205">
      <c r="D205" s="7" t="inlineStr">
        <is>
          <t>ALXN</t>
        </is>
      </c>
      <c r="E205" s="26" t="n">
        <v>4131</v>
      </c>
      <c r="F205" s="26" t="n">
        <v>4839</v>
      </c>
      <c r="G205" s="26" t="n">
        <v>5513</v>
      </c>
      <c r="H205" s="45">
        <f>(F205-E205)/E205</f>
        <v/>
      </c>
      <c r="I205" s="45">
        <f>(G205-F205)/F205</f>
        <v/>
      </c>
    </row>
    <row r="206">
      <c r="D206" s="7" t="inlineStr">
        <is>
          <t>XLNX</t>
        </is>
      </c>
      <c r="E206" s="26" t="n">
        <v>3059</v>
      </c>
      <c r="F206" s="26" t="n">
        <v>3428</v>
      </c>
      <c r="G206" s="26" t="n">
        <v>3844</v>
      </c>
      <c r="H206" s="45">
        <f>(F206-E206)/E206</f>
        <v/>
      </c>
      <c r="I206" s="45">
        <f>(G206-F206)/F206</f>
        <v/>
      </c>
    </row>
    <row r="207">
      <c r="D207" s="7" t="inlineStr">
        <is>
          <t>APH</t>
        </is>
      </c>
      <c r="E207" s="26" t="n">
        <v>8202</v>
      </c>
      <c r="F207" s="26" t="n">
        <v>7964</v>
      </c>
      <c r="G207" s="26" t="n">
        <v>8355</v>
      </c>
      <c r="H207" s="45">
        <f>(F207-E207)/E207</f>
        <v/>
      </c>
      <c r="I207" s="45">
        <f>(G207-F207)/F207</f>
        <v/>
      </c>
    </row>
    <row r="208">
      <c r="D208" s="7" t="inlineStr">
        <is>
          <t>EIX</t>
        </is>
      </c>
      <c r="E208" s="26" t="n">
        <v>12657</v>
      </c>
      <c r="F208" s="26" t="n">
        <v>13227</v>
      </c>
      <c r="G208" s="26" t="n">
        <v>13713</v>
      </c>
      <c r="H208" s="45">
        <f>(F208-E208)/E208</f>
        <v/>
      </c>
      <c r="I208" s="45">
        <f>(G208-F208)/F208</f>
        <v/>
      </c>
    </row>
    <row r="209">
      <c r="D209" s="7" t="inlineStr">
        <is>
          <t>VFC</t>
        </is>
      </c>
      <c r="E209" s="26" t="n">
        <v>13849</v>
      </c>
      <c r="F209" s="26" t="n">
        <v>11863</v>
      </c>
      <c r="G209" s="26" t="n">
        <v>12664</v>
      </c>
      <c r="H209" s="45">
        <f>(F209-E209)/E209</f>
        <v/>
      </c>
      <c r="I209" s="45">
        <f>(G209-F209)/F209</f>
        <v/>
      </c>
    </row>
    <row r="210">
      <c r="D210" s="7" t="inlineStr">
        <is>
          <t>TDG</t>
        </is>
      </c>
      <c r="E210" s="26" t="n">
        <v>3811</v>
      </c>
      <c r="F210" s="26" t="n">
        <v>5541</v>
      </c>
      <c r="G210" s="26" t="n">
        <v>6648</v>
      </c>
      <c r="H210" s="45">
        <f>(F210-E210)/E210</f>
        <v/>
      </c>
      <c r="I210" s="45">
        <f>(G210-F210)/F210</f>
        <v/>
      </c>
    </row>
    <row r="211">
      <c r="D211" s="7" t="inlineStr">
        <is>
          <t>ES</t>
        </is>
      </c>
      <c r="E211" s="26" t="n">
        <v>8448</v>
      </c>
      <c r="F211" s="26" t="n">
        <v>8668</v>
      </c>
      <c r="G211" s="26" t="n">
        <v>8976</v>
      </c>
      <c r="H211" s="45">
        <f>(F211-E211)/E211</f>
        <v/>
      </c>
      <c r="I211" s="45">
        <f>(G211-F211)/F211</f>
        <v/>
      </c>
    </row>
    <row r="212">
      <c r="D212" s="7" t="inlineStr">
        <is>
          <t>PAYX</t>
        </is>
      </c>
      <c r="E212" s="26" t="n">
        <v>3773</v>
      </c>
      <c r="F212" s="26" t="n">
        <v>4150</v>
      </c>
      <c r="G212" s="26" t="n">
        <v>4403</v>
      </c>
      <c r="H212" s="45">
        <f>(F212-E212)/E212</f>
        <v/>
      </c>
      <c r="I212" s="45">
        <f>(G212-F212)/F212</f>
        <v/>
      </c>
    </row>
    <row r="213">
      <c r="D213" s="7" t="inlineStr">
        <is>
          <t>VRSK</t>
        </is>
      </c>
      <c r="E213" s="26" t="n">
        <v>2395</v>
      </c>
      <c r="F213" s="26" t="n">
        <v>2586</v>
      </c>
      <c r="G213" s="26" t="n">
        <v>2770</v>
      </c>
      <c r="H213" s="45">
        <f>(F213-E213)/E213</f>
        <v/>
      </c>
      <c r="I213" s="45">
        <f>(G213-F213)/F213</f>
        <v/>
      </c>
    </row>
    <row r="214">
      <c r="D214" s="7" t="inlineStr">
        <is>
          <t>FLT</t>
        </is>
      </c>
      <c r="E214" s="26" t="n">
        <v>2433</v>
      </c>
      <c r="F214" s="27" t="n">
        <v>2657</v>
      </c>
      <c r="G214" s="27" t="n">
        <v>2931</v>
      </c>
      <c r="H214" s="45">
        <f>(F214-E214)/E214</f>
        <v/>
      </c>
      <c r="I214" s="45">
        <f>(G214-F214)/F214</f>
        <v/>
      </c>
    </row>
    <row r="215">
      <c r="D215" s="7" t="inlineStr">
        <is>
          <t>PPG</t>
        </is>
      </c>
      <c r="E215" s="26" t="n">
        <v>15374</v>
      </c>
      <c r="F215" s="26" t="n">
        <v>15377</v>
      </c>
      <c r="G215" s="26" t="n">
        <v>15938</v>
      </c>
      <c r="H215" s="45">
        <f>(F215-E215)/E215</f>
        <v/>
      </c>
      <c r="I215" s="45">
        <f>(G215-F215)/F215</f>
        <v/>
      </c>
    </row>
    <row r="216">
      <c r="D216" s="7" t="inlineStr">
        <is>
          <t>TROW</t>
        </is>
      </c>
      <c r="E216" s="26" t="n">
        <v>5373</v>
      </c>
      <c r="F216" s="26" t="n">
        <v>5593</v>
      </c>
      <c r="G216" s="26" t="n">
        <v>5876</v>
      </c>
      <c r="H216" s="45">
        <f>(F216-E216)/E216</f>
        <v/>
      </c>
      <c r="I216" s="45">
        <f>(G216-F216)/F216</f>
        <v/>
      </c>
    </row>
    <row r="217">
      <c r="D217" s="7" t="inlineStr">
        <is>
          <t>DLR</t>
        </is>
      </c>
      <c r="E217" s="26" t="n">
        <v>3046</v>
      </c>
      <c r="F217" s="26" t="n">
        <v>3258</v>
      </c>
      <c r="G217" s="26" t="n">
        <v>3453</v>
      </c>
      <c r="H217" s="45">
        <f>(F217-E217)/E217</f>
        <v/>
      </c>
      <c r="I217" s="45">
        <f>(G217-F217)/F217</f>
        <v/>
      </c>
    </row>
    <row r="218">
      <c r="D218" s="7" t="inlineStr">
        <is>
          <t>DFS</t>
        </is>
      </c>
      <c r="E218" s="26" t="n">
        <v>10709</v>
      </c>
      <c r="F218" s="26" t="n">
        <v>11431</v>
      </c>
      <c r="G218" s="26" t="n">
        <v>12011</v>
      </c>
      <c r="H218" s="45">
        <f>(F218-E218)/E218</f>
        <v/>
      </c>
      <c r="I218" s="45">
        <f>(G218-F218)/F218</f>
        <v/>
      </c>
    </row>
    <row r="219">
      <c r="D219" s="7" t="inlineStr">
        <is>
          <t>LUV</t>
        </is>
      </c>
      <c r="E219" s="26" t="n">
        <v>21965</v>
      </c>
      <c r="F219" s="26" t="n">
        <v>22503</v>
      </c>
      <c r="G219" s="26" t="n">
        <v>24205</v>
      </c>
      <c r="H219" s="45">
        <f>(F219-E219)/E219</f>
        <v/>
      </c>
      <c r="I219" s="45">
        <f>(G219-F219)/F219</f>
        <v/>
      </c>
    </row>
    <row r="220">
      <c r="D220" s="7" t="inlineStr">
        <is>
          <t>GPN</t>
        </is>
      </c>
      <c r="E220" s="26" t="n">
        <v>3969</v>
      </c>
      <c r="F220" s="26" t="n">
        <v>5532</v>
      </c>
      <c r="G220" s="26" t="n">
        <v>9273</v>
      </c>
      <c r="H220" s="45">
        <f>(F220-E220)/E220</f>
        <v/>
      </c>
      <c r="I220" s="45">
        <f>(G220-F220)/F220</f>
        <v/>
      </c>
    </row>
    <row r="221">
      <c r="D221" s="7" t="inlineStr">
        <is>
          <t>WLTW</t>
        </is>
      </c>
      <c r="E221" s="26" t="n">
        <v>8513</v>
      </c>
      <c r="F221" s="26" t="n">
        <v>9008</v>
      </c>
      <c r="G221" s="26" t="n">
        <v>9586</v>
      </c>
      <c r="H221" s="45">
        <f>(F221-E221)/E221</f>
        <v/>
      </c>
      <c r="I221" s="45">
        <f>(G221-F221)/F221</f>
        <v/>
      </c>
    </row>
    <row r="222">
      <c r="D222" s="7" t="inlineStr">
        <is>
          <t>IQV</t>
        </is>
      </c>
      <c r="E222" s="26" t="n">
        <v>10412</v>
      </c>
      <c r="F222" s="26" t="n">
        <v>11079</v>
      </c>
      <c r="G222" s="26" t="n">
        <v>11908</v>
      </c>
      <c r="H222" s="45">
        <f>(F222-E222)/E222</f>
        <v/>
      </c>
      <c r="I222" s="45">
        <f>(G222-F222)/F222</f>
        <v/>
      </c>
    </row>
    <row r="223">
      <c r="D223" s="7" t="inlineStr">
        <is>
          <t>TMUS</t>
        </is>
      </c>
      <c r="E223" s="26" t="n">
        <v>43310</v>
      </c>
      <c r="F223" s="26" t="n">
        <v>45319</v>
      </c>
      <c r="G223" s="26" t="n">
        <v>47493</v>
      </c>
      <c r="H223" s="45">
        <f>(F223-E223)/E223</f>
        <v/>
      </c>
      <c r="I223" s="45">
        <f>(G223-F223)/F223</f>
        <v/>
      </c>
    </row>
    <row r="224">
      <c r="D224" s="7" t="inlineStr">
        <is>
          <t>DTE</t>
        </is>
      </c>
      <c r="E224" s="26" t="n">
        <v>14212</v>
      </c>
      <c r="F224" s="26" t="n">
        <v>13913</v>
      </c>
      <c r="G224" s="26" t="n">
        <v>14467</v>
      </c>
      <c r="H224" s="45">
        <f>(F224-E224)/E224</f>
        <v/>
      </c>
      <c r="I224" s="45">
        <f>(G224-F224)/F224</f>
        <v/>
      </c>
    </row>
    <row r="225">
      <c r="D225" s="7" t="inlineStr">
        <is>
          <t>IDXX</t>
        </is>
      </c>
      <c r="E225" s="26" t="n">
        <v>2213</v>
      </c>
      <c r="F225" s="26" t="n">
        <v>2395</v>
      </c>
      <c r="G225" s="26" t="n">
        <v>2634</v>
      </c>
      <c r="H225" s="45">
        <f>(F225-E225)/E225</f>
        <v/>
      </c>
      <c r="I225" s="45">
        <f>(G225-F225)/F225</f>
        <v/>
      </c>
    </row>
    <row r="226">
      <c r="D226" s="7" t="inlineStr">
        <is>
          <t>O</t>
        </is>
      </c>
      <c r="E226" s="26" t="n">
        <v>1275</v>
      </c>
      <c r="F226" s="26" t="n">
        <v>1441</v>
      </c>
      <c r="G226" s="26" t="n">
        <v>1625</v>
      </c>
      <c r="H226" s="45">
        <f>(F226-E226)/E226</f>
        <v/>
      </c>
      <c r="I226" s="45">
        <f>(G226-F226)/F226</f>
        <v/>
      </c>
    </row>
    <row r="227">
      <c r="D227" s="7" t="inlineStr">
        <is>
          <t>FE</t>
        </is>
      </c>
      <c r="E227" s="26" t="n">
        <v>11261</v>
      </c>
      <c r="F227" s="26" t="n">
        <v>11493</v>
      </c>
      <c r="G227" s="26" t="n">
        <v>11676</v>
      </c>
      <c r="H227" s="45">
        <f>(F227-E227)/E227</f>
        <v/>
      </c>
      <c r="I227" s="45">
        <f>(G227-F227)/F227</f>
        <v/>
      </c>
    </row>
    <row r="228">
      <c r="D228" s="7" t="inlineStr">
        <is>
          <t>DLTR</t>
        </is>
      </c>
      <c r="E228" s="26" t="n">
        <v>22823</v>
      </c>
      <c r="F228" s="26" t="n">
        <v>23701</v>
      </c>
      <c r="G228" s="26" t="n">
        <v>24800</v>
      </c>
      <c r="H228" s="45">
        <f>(F228-E228)/E228</f>
        <v/>
      </c>
      <c r="I228" s="45">
        <f>(G228-F228)/F228</f>
        <v/>
      </c>
    </row>
    <row r="229">
      <c r="D229" s="7" t="inlineStr">
        <is>
          <t>REGN</t>
        </is>
      </c>
      <c r="E229" s="26" t="n">
        <v>6711</v>
      </c>
      <c r="F229" s="26" t="n">
        <v>7653</v>
      </c>
      <c r="G229" s="26" t="n">
        <v>8184</v>
      </c>
      <c r="H229" s="45">
        <f>(F229-E229)/E229</f>
        <v/>
      </c>
      <c r="I229" s="45">
        <f>(G229-F229)/F229</f>
        <v/>
      </c>
    </row>
    <row r="230">
      <c r="D230" s="7" t="inlineStr">
        <is>
          <t>KLAC</t>
        </is>
      </c>
      <c r="E230" s="26" t="n">
        <v>4569</v>
      </c>
      <c r="F230" s="26" t="n">
        <v>5537</v>
      </c>
      <c r="G230" s="26" t="n">
        <v>5957</v>
      </c>
      <c r="H230" s="45">
        <f>(F230-E230)/E230</f>
        <v/>
      </c>
      <c r="I230" s="45">
        <f>(G230-F230)/F230</f>
        <v/>
      </c>
    </row>
    <row r="231">
      <c r="D231" s="7" t="inlineStr">
        <is>
          <t>AWK</t>
        </is>
      </c>
      <c r="E231" s="26" t="n">
        <v>3440</v>
      </c>
      <c r="F231" s="26" t="n">
        <v>3622</v>
      </c>
      <c r="G231" s="26" t="n">
        <v>3808</v>
      </c>
      <c r="H231" s="45">
        <f>(F231-E231)/E231</f>
        <v/>
      </c>
      <c r="I231" s="45">
        <f>(G231-F231)/F231</f>
        <v/>
      </c>
    </row>
    <row r="232">
      <c r="D232" s="7" t="inlineStr">
        <is>
          <t>CERN</t>
        </is>
      </c>
      <c r="E232" s="26" t="n">
        <v>5366</v>
      </c>
      <c r="F232" s="26" t="n">
        <v>5721</v>
      </c>
      <c r="G232" s="26" t="n">
        <v>6083</v>
      </c>
      <c r="H232" s="45">
        <f>(F232-E232)/E232</f>
        <v/>
      </c>
      <c r="I232" s="45">
        <f>(G232-F232)/F232</f>
        <v/>
      </c>
    </row>
    <row r="233">
      <c r="D233" s="7" t="inlineStr">
        <is>
          <t>A</t>
        </is>
      </c>
      <c r="E233" s="26" t="n">
        <v>4914</v>
      </c>
      <c r="F233" s="26" t="n">
        <v>5124</v>
      </c>
      <c r="G233" s="26" t="n">
        <v>5539</v>
      </c>
      <c r="H233" s="45">
        <f>(F233-E233)/E233</f>
        <v/>
      </c>
      <c r="I233" s="45">
        <f>(G233-F233)/F233</f>
        <v/>
      </c>
    </row>
    <row r="234">
      <c r="D234" s="7" t="inlineStr">
        <is>
          <t>MNST</t>
        </is>
      </c>
      <c r="E234" s="26" t="n">
        <v>3807</v>
      </c>
      <c r="F234" s="26" t="n">
        <v>4172</v>
      </c>
      <c r="G234" s="26" t="n">
        <v>4564</v>
      </c>
      <c r="H234" s="45">
        <f>(F234-E234)/E234</f>
        <v/>
      </c>
      <c r="I234" s="45">
        <f>(G234-F234)/F234</f>
        <v/>
      </c>
    </row>
    <row r="235">
      <c r="D235" s="7" t="inlineStr">
        <is>
          <t>HSY</t>
        </is>
      </c>
      <c r="E235" s="26" t="n">
        <v>7791</v>
      </c>
      <c r="F235" s="26" t="n">
        <v>7946</v>
      </c>
      <c r="G235" s="26" t="n">
        <v>8110</v>
      </c>
      <c r="H235" s="45">
        <f>(F235-E235)/E235</f>
        <v/>
      </c>
      <c r="I235" s="45">
        <f>(G235-F235)/F235</f>
        <v/>
      </c>
    </row>
    <row r="236">
      <c r="D236" s="7" t="inlineStr">
        <is>
          <t>CTAS</t>
        </is>
      </c>
      <c r="E236" s="26" t="n">
        <v>6892</v>
      </c>
      <c r="F236" s="26" t="n">
        <v>7300</v>
      </c>
      <c r="G236" s="26" t="n">
        <v>7733</v>
      </c>
      <c r="H236" s="45">
        <f>(F236-E236)/E236</f>
        <v/>
      </c>
      <c r="I236" s="45">
        <f>(G236-F236)/F236</f>
        <v/>
      </c>
    </row>
    <row r="237">
      <c r="D237" s="7" t="inlineStr">
        <is>
          <t>PCAR</t>
        </is>
      </c>
      <c r="E237" s="26" t="n">
        <v>22139</v>
      </c>
      <c r="F237" s="26" t="n">
        <v>24050</v>
      </c>
      <c r="G237" s="26" t="n">
        <v>20870</v>
      </c>
      <c r="H237" s="45">
        <f>(F237-E237)/E237</f>
        <v/>
      </c>
      <c r="I237" s="45">
        <f>(G237-F237)/F237</f>
        <v/>
      </c>
    </row>
    <row r="238">
      <c r="D238" s="7" t="inlineStr">
        <is>
          <t>GLW</t>
        </is>
      </c>
      <c r="E238" s="26" t="n">
        <v>11398</v>
      </c>
      <c r="F238" s="26" t="n">
        <v>11457</v>
      </c>
      <c r="G238" s="26" t="n">
        <v>11926</v>
      </c>
      <c r="H238" s="45">
        <f>(F238-E238)/E238</f>
        <v/>
      </c>
      <c r="I238" s="45">
        <f>(G238-F238)/F238</f>
        <v/>
      </c>
    </row>
    <row r="239">
      <c r="D239" s="7" t="inlineStr">
        <is>
          <t>PPL</t>
        </is>
      </c>
      <c r="E239" s="26" t="n">
        <v>7785</v>
      </c>
      <c r="F239" s="26" t="n">
        <v>8017</v>
      </c>
      <c r="G239" s="26" t="n">
        <v>8319</v>
      </c>
      <c r="H239" s="45">
        <f>(F239-E239)/E239</f>
        <v/>
      </c>
      <c r="I239" s="45">
        <f>(G239-F239)/F239</f>
        <v/>
      </c>
    </row>
    <row r="240">
      <c r="D240" s="7" t="inlineStr">
        <is>
          <t>VRSN</t>
        </is>
      </c>
      <c r="E240" s="26" t="n">
        <v>1215</v>
      </c>
      <c r="F240" s="26" t="n">
        <v>1233</v>
      </c>
      <c r="G240" s="26" t="n">
        <v>1296</v>
      </c>
      <c r="H240" s="45">
        <f>(F240-E240)/E240</f>
        <v/>
      </c>
      <c r="I240" s="45">
        <f>(G240-F240)/F240</f>
        <v/>
      </c>
    </row>
    <row r="241">
      <c r="D241" s="7" t="inlineStr">
        <is>
          <t>HIG</t>
        </is>
      </c>
      <c r="E241" s="26" t="n">
        <v>18955</v>
      </c>
      <c r="F241" s="26" t="n">
        <v>20462</v>
      </c>
      <c r="G241" s="26" t="n">
        <v>21364</v>
      </c>
      <c r="H241" s="45">
        <f>(F241-E241)/E241</f>
        <v/>
      </c>
      <c r="I241" s="45">
        <f>(G241-F241)/F241</f>
        <v/>
      </c>
    </row>
    <row r="242">
      <c r="D242" s="7" t="inlineStr">
        <is>
          <t>ADM</t>
        </is>
      </c>
      <c r="E242" s="26" t="n">
        <v>64341</v>
      </c>
      <c r="F242" s="26" t="n">
        <v>65223</v>
      </c>
      <c r="G242" s="26" t="n">
        <v>66703</v>
      </c>
      <c r="H242" s="45">
        <f>(F242-E242)/E242</f>
        <v/>
      </c>
      <c r="I242" s="45">
        <f>(G242-F242)/F242</f>
        <v/>
      </c>
    </row>
    <row r="243">
      <c r="D243" s="7" t="inlineStr">
        <is>
          <t>ETR</t>
        </is>
      </c>
      <c r="E243" s="26" t="n">
        <v>11009</v>
      </c>
      <c r="F243" s="26" t="n">
        <v>11552</v>
      </c>
      <c r="G243" s="26" t="n">
        <v>11918</v>
      </c>
      <c r="H243" s="45">
        <f>(F243-E243)/E243</f>
        <v/>
      </c>
      <c r="I243" s="45">
        <f>(G243-F243)/F243</f>
        <v/>
      </c>
    </row>
    <row r="244">
      <c r="D244" s="7" t="inlineStr">
        <is>
          <t>ESS</t>
        </is>
      </c>
      <c r="E244" s="26" t="n">
        <v>1391</v>
      </c>
      <c r="F244" s="26" t="n">
        <v>1444</v>
      </c>
      <c r="G244" s="26" t="n">
        <v>1512</v>
      </c>
      <c r="H244" s="45">
        <f>(F244-E244)/E244</f>
        <v/>
      </c>
      <c r="I244" s="45">
        <f>(G244-F244)/F244</f>
        <v/>
      </c>
    </row>
    <row r="245">
      <c r="D245" s="7" t="inlineStr">
        <is>
          <t>APTV</t>
        </is>
      </c>
      <c r="E245" s="26" t="n">
        <v>14435</v>
      </c>
      <c r="F245" s="26" t="n">
        <v>14668</v>
      </c>
      <c r="G245" s="26" t="n">
        <v>15503</v>
      </c>
      <c r="H245" s="45">
        <f>(F245-E245)/E245</f>
        <v/>
      </c>
      <c r="I245" s="45">
        <f>(G245-F245)/F245</f>
        <v/>
      </c>
    </row>
    <row r="246">
      <c r="D246" s="7" t="inlineStr">
        <is>
          <t>CMI</t>
        </is>
      </c>
      <c r="E246" s="26" t="n">
        <v>23771</v>
      </c>
      <c r="F246" s="26" t="n">
        <v>23963</v>
      </c>
      <c r="G246" s="26" t="n">
        <v>22587</v>
      </c>
      <c r="H246" s="45">
        <f>(F246-E246)/E246</f>
        <v/>
      </c>
      <c r="I246" s="45">
        <f>(G246-F246)/F246</f>
        <v/>
      </c>
    </row>
    <row r="247">
      <c r="D247" s="7" t="inlineStr">
        <is>
          <t>PH</t>
        </is>
      </c>
      <c r="E247" s="26" t="n">
        <v>14320</v>
      </c>
      <c r="F247" s="26" t="n">
        <v>14175</v>
      </c>
      <c r="G247" s="26" t="n">
        <v>14565</v>
      </c>
      <c r="H247" s="45">
        <f>(F247-E247)/E247</f>
        <v/>
      </c>
      <c r="I247" s="45">
        <f>(G247-F247)/F247</f>
        <v/>
      </c>
    </row>
    <row r="248">
      <c r="D248" s="7" t="inlineStr">
        <is>
          <t>PXD</t>
        </is>
      </c>
      <c r="E248" s="26" t="n">
        <v>9415</v>
      </c>
      <c r="F248" s="26" t="n">
        <v>9242</v>
      </c>
      <c r="G248" s="26" t="n">
        <v>10291</v>
      </c>
      <c r="H248" s="45">
        <f>(F248-E248)/E248</f>
        <v/>
      </c>
      <c r="I248" s="45">
        <f>(G248-F248)/F248</f>
        <v/>
      </c>
    </row>
    <row r="249">
      <c r="D249" s="7" t="inlineStr">
        <is>
          <t>FTV</t>
        </is>
      </c>
      <c r="E249" s="26" t="n">
        <v>6453</v>
      </c>
      <c r="F249" s="26" t="n">
        <v>7345</v>
      </c>
      <c r="G249" s="26" t="n">
        <v>7808</v>
      </c>
      <c r="H249" s="45">
        <f>(F249-E249)/E249</f>
        <v/>
      </c>
      <c r="I249" s="45">
        <f>(G249-F249)/F249</f>
        <v/>
      </c>
    </row>
    <row r="250">
      <c r="D250" s="7" t="inlineStr">
        <is>
          <t>SNPS</t>
        </is>
      </c>
      <c r="E250" s="26" t="n">
        <v>3121</v>
      </c>
      <c r="F250" s="26" t="n">
        <v>3359</v>
      </c>
      <c r="G250" s="26" t="n">
        <v>3617</v>
      </c>
      <c r="H250" s="45">
        <f>(F250-E250)/E250</f>
        <v/>
      </c>
      <c r="I250" s="45">
        <f>(G250-F250)/F250</f>
        <v/>
      </c>
    </row>
    <row r="251">
      <c r="D251" s="7" t="inlineStr">
        <is>
          <t>SYF</t>
        </is>
      </c>
      <c r="E251" s="26" t="n">
        <v>13284</v>
      </c>
      <c r="F251" s="26" t="n">
        <v>13542</v>
      </c>
      <c r="G251" s="26" t="n">
        <v>13386</v>
      </c>
      <c r="H251" s="45">
        <f>(F251-E251)/E251</f>
        <v/>
      </c>
      <c r="I251" s="45">
        <f>(G251-F251)/F251</f>
        <v/>
      </c>
    </row>
    <row r="252">
      <c r="D252" s="7" t="inlineStr">
        <is>
          <t>MCHP</t>
        </is>
      </c>
      <c r="E252" s="26" t="n">
        <v>5476</v>
      </c>
      <c r="F252" s="26" t="n">
        <v>5417</v>
      </c>
      <c r="G252" s="26" t="n">
        <v>5848</v>
      </c>
      <c r="H252" s="45">
        <f>(F252-E252)/E252</f>
        <v/>
      </c>
      <c r="I252" s="45">
        <f>(G252-F252)/F252</f>
        <v/>
      </c>
    </row>
    <row r="253">
      <c r="D253" s="7" t="inlineStr">
        <is>
          <t>CLX</t>
        </is>
      </c>
      <c r="E253" s="26" t="n">
        <v>6214</v>
      </c>
      <c r="F253" s="26" t="n">
        <v>6303</v>
      </c>
      <c r="G253" s="26" t="n">
        <v>6466</v>
      </c>
      <c r="H253" s="45">
        <f>(F253-E253)/E253</f>
        <v/>
      </c>
      <c r="I253" s="45">
        <f>(G253-F253)/F253</f>
        <v/>
      </c>
    </row>
    <row r="254">
      <c r="D254" s="7" t="inlineStr">
        <is>
          <t>SWK</t>
        </is>
      </c>
      <c r="E254" s="26" t="n">
        <v>13982</v>
      </c>
      <c r="F254" s="26" t="n">
        <v>14606</v>
      </c>
      <c r="G254" s="26" t="n">
        <v>15193</v>
      </c>
      <c r="H254" s="45">
        <f>(F254-E254)/E254</f>
        <v/>
      </c>
      <c r="I254" s="45">
        <f>(G254-F254)/F254</f>
        <v/>
      </c>
    </row>
    <row r="255">
      <c r="D255" s="7" t="inlineStr">
        <is>
          <t>MKC</t>
        </is>
      </c>
      <c r="E255" s="26" t="n">
        <v>5409</v>
      </c>
      <c r="F255" s="26" t="n">
        <v>5419</v>
      </c>
      <c r="G255" s="26" t="n">
        <v>5584</v>
      </c>
      <c r="H255" s="45">
        <f>(F255-E255)/E255</f>
        <v/>
      </c>
      <c r="I255" s="45">
        <f>(G255-F255)/F255</f>
        <v/>
      </c>
    </row>
    <row r="256">
      <c r="D256" s="7" t="inlineStr">
        <is>
          <t>MTB</t>
        </is>
      </c>
      <c r="E256" s="26" t="n">
        <v>5928</v>
      </c>
      <c r="F256" s="26" t="n">
        <v>6138</v>
      </c>
      <c r="G256" s="26" t="n">
        <v>6103</v>
      </c>
      <c r="H256" s="45">
        <f>(F256-E256)/E256</f>
        <v/>
      </c>
      <c r="I256" s="45">
        <f>(G256-F256)/F256</f>
        <v/>
      </c>
    </row>
    <row r="257">
      <c r="D257" s="7" t="inlineStr">
        <is>
          <t>MSCI</t>
        </is>
      </c>
      <c r="E257" s="26" t="n">
        <v>1434</v>
      </c>
      <c r="F257" s="26" t="n">
        <v>1542</v>
      </c>
      <c r="G257" s="26" t="n">
        <v>1675</v>
      </c>
      <c r="H257" s="45">
        <f>(F257-E257)/E257</f>
        <v/>
      </c>
      <c r="I257" s="45">
        <f>(G257-F257)/F257</f>
        <v/>
      </c>
    </row>
    <row r="258">
      <c r="D258" s="7" t="inlineStr">
        <is>
          <t>CMG</t>
        </is>
      </c>
      <c r="E258" s="26" t="n">
        <v>4865</v>
      </c>
      <c r="F258" s="26" t="n">
        <v>5484</v>
      </c>
      <c r="G258" s="26" t="n">
        <v>6145</v>
      </c>
      <c r="H258" s="45">
        <f>(F258-E258)/E258</f>
        <v/>
      </c>
      <c r="I258" s="45">
        <f>(G258-F258)/F258</f>
        <v/>
      </c>
    </row>
    <row r="259">
      <c r="D259" s="7" t="inlineStr">
        <is>
          <t>BXP</t>
        </is>
      </c>
      <c r="E259" s="26" t="n">
        <v>2717</v>
      </c>
      <c r="F259" s="26" t="n">
        <v>2978</v>
      </c>
      <c r="G259" s="26" t="n">
        <v>3115</v>
      </c>
      <c r="H259" s="45">
        <f>(F259-E259)/E259</f>
        <v/>
      </c>
      <c r="I259" s="45">
        <f>(G259-F259)/F259</f>
        <v/>
      </c>
    </row>
    <row r="260">
      <c r="D260" s="7" t="inlineStr">
        <is>
          <t>CHD</t>
        </is>
      </c>
      <c r="E260" s="26" t="n">
        <v>4146</v>
      </c>
      <c r="F260" s="26" t="n">
        <v>4393</v>
      </c>
      <c r="G260" s="26" t="n">
        <v>4642</v>
      </c>
      <c r="H260" s="45">
        <f>(F260-E260)/E260</f>
        <v/>
      </c>
      <c r="I260" s="45">
        <f>(G260-F260)/F260</f>
        <v/>
      </c>
    </row>
    <row r="261">
      <c r="D261" s="7" t="inlineStr">
        <is>
          <t>LYB</t>
        </is>
      </c>
      <c r="E261" s="26" t="n">
        <v>39004</v>
      </c>
      <c r="F261" s="26" t="n">
        <v>36091</v>
      </c>
      <c r="G261" s="26" t="n">
        <v>38009</v>
      </c>
      <c r="H261" s="45">
        <f>(F261-E261)/E261</f>
        <v/>
      </c>
      <c r="I261" s="45">
        <f>(G261-F261)/F261</f>
        <v/>
      </c>
    </row>
    <row r="262">
      <c r="D262" s="7" t="inlineStr">
        <is>
          <t>AME</t>
        </is>
      </c>
      <c r="E262" s="26" t="n">
        <v>4846</v>
      </c>
      <c r="F262" s="26" t="n">
        <v>5201</v>
      </c>
      <c r="G262" s="26" t="n">
        <v>5400</v>
      </c>
      <c r="H262" s="45">
        <f>(F262-E262)/E262</f>
        <v/>
      </c>
      <c r="I262" s="45">
        <f>(G262-F262)/F262</f>
        <v/>
      </c>
    </row>
    <row r="263">
      <c r="D263" s="7" t="inlineStr">
        <is>
          <t>RMD</t>
        </is>
      </c>
      <c r="E263" s="26" t="n">
        <v>2607</v>
      </c>
      <c r="F263" s="26" t="n">
        <v>2879</v>
      </c>
      <c r="G263" s="26" t="n">
        <v>3120</v>
      </c>
      <c r="H263" s="45">
        <f>(F263-E263)/E263</f>
        <v/>
      </c>
      <c r="I263" s="45">
        <f>(G263-F263)/F263</f>
        <v/>
      </c>
    </row>
    <row r="264">
      <c r="D264" s="7" t="inlineStr">
        <is>
          <t>KR</t>
        </is>
      </c>
      <c r="E264" s="26" t="n">
        <v>121162</v>
      </c>
      <c r="F264" s="26" t="n">
        <v>122657</v>
      </c>
      <c r="G264" s="26" t="n">
        <v>125556</v>
      </c>
      <c r="H264" s="45">
        <f>(F264-E264)/E264</f>
        <v/>
      </c>
      <c r="I264" s="45">
        <f>(G264-F264)/F264</f>
        <v/>
      </c>
    </row>
    <row r="265">
      <c r="D265" s="7" t="inlineStr">
        <is>
          <t>CDNS</t>
        </is>
      </c>
      <c r="E265" s="27" t="n">
        <v>2138</v>
      </c>
      <c r="F265" s="27" t="n">
        <v>2328</v>
      </c>
      <c r="G265" s="27" t="n">
        <v>2488</v>
      </c>
      <c r="H265" s="45">
        <f>(F265-E265)/E265</f>
        <v/>
      </c>
      <c r="I265" s="45">
        <f>(G265-F265)/F265</f>
        <v/>
      </c>
    </row>
    <row r="266">
      <c r="D266" s="7" t="inlineStr">
        <is>
          <t>RSG</t>
        </is>
      </c>
      <c r="E266" s="26" t="n">
        <v>10041</v>
      </c>
      <c r="F266" s="26" t="n">
        <v>10428</v>
      </c>
      <c r="G266" s="26" t="n">
        <v>10896</v>
      </c>
      <c r="H266" s="45">
        <f>(F266-E266)/E266</f>
        <v/>
      </c>
      <c r="I266" s="45">
        <f>(G266-F266)/F266</f>
        <v/>
      </c>
    </row>
    <row r="267">
      <c r="D267" s="7" t="inlineStr">
        <is>
          <t>STT</t>
        </is>
      </c>
      <c r="E267" s="26" t="n">
        <v>11982</v>
      </c>
      <c r="F267" s="26" t="n">
        <v>11564</v>
      </c>
      <c r="G267" s="26" t="n">
        <v>11626</v>
      </c>
      <c r="H267" s="45">
        <f>(F267-E267)/E267</f>
        <v/>
      </c>
      <c r="I267" s="45">
        <f>(G267-F267)/F267</f>
        <v/>
      </c>
    </row>
    <row r="268">
      <c r="D268" s="7" t="inlineStr">
        <is>
          <t>WY</t>
        </is>
      </c>
      <c r="E268" s="26" t="n">
        <v>7476</v>
      </c>
      <c r="F268" s="26" t="n">
        <v>6696</v>
      </c>
      <c r="G268" s="26" t="n">
        <v>7075</v>
      </c>
      <c r="H268" s="45">
        <f>(F268-E268)/E268</f>
        <v/>
      </c>
      <c r="I268" s="45">
        <f>(G268-F268)/F268</f>
        <v/>
      </c>
    </row>
    <row r="269">
      <c r="D269" s="7" t="inlineStr">
        <is>
          <t>VMC</t>
        </is>
      </c>
      <c r="E269" s="26" t="n">
        <v>4383</v>
      </c>
      <c r="F269" s="26" t="n">
        <v>4871</v>
      </c>
      <c r="G269" s="26" t="n">
        <v>5220</v>
      </c>
      <c r="H269" s="45">
        <f>(F269-E269)/E269</f>
        <v/>
      </c>
      <c r="I269" s="45">
        <f>(G269-F269)/F269</f>
        <v/>
      </c>
    </row>
    <row r="270">
      <c r="D270" s="7" t="inlineStr">
        <is>
          <t>NTRS</t>
        </is>
      </c>
      <c r="E270" s="26" t="n">
        <v>6001</v>
      </c>
      <c r="F270" s="26" t="n">
        <v>6049</v>
      </c>
      <c r="G270" s="26" t="n">
        <v>6171</v>
      </c>
      <c r="H270" s="45">
        <f>(F270-E270)/E270</f>
        <v/>
      </c>
      <c r="I270" s="45">
        <f>(G270-F270)/F270</f>
        <v/>
      </c>
    </row>
    <row r="271">
      <c r="D271" s="7" t="inlineStr">
        <is>
          <t>CNC</t>
        </is>
      </c>
      <c r="E271" s="26" t="n">
        <v>60116</v>
      </c>
      <c r="F271" s="26" t="n">
        <v>73794</v>
      </c>
      <c r="G271" s="26" t="n">
        <v>80198</v>
      </c>
      <c r="H271" s="45">
        <f>(F271-E271)/E271</f>
        <v/>
      </c>
      <c r="I271" s="45">
        <f>(G271-F271)/F271</f>
        <v/>
      </c>
    </row>
    <row r="272">
      <c r="D272" s="7" t="inlineStr">
        <is>
          <t>AEE</t>
        </is>
      </c>
      <c r="E272" s="26" t="n">
        <v>6291</v>
      </c>
      <c r="F272" s="26" t="n">
        <v>6355</v>
      </c>
      <c r="G272" s="26" t="n">
        <v>6610</v>
      </c>
      <c r="H272" s="45">
        <f>(F272-E272)/E272</f>
        <v/>
      </c>
      <c r="I272" s="45">
        <f>(G272-F272)/F272</f>
        <v/>
      </c>
    </row>
    <row r="273">
      <c r="D273" s="7" t="inlineStr">
        <is>
          <t>UAL</t>
        </is>
      </c>
      <c r="E273" s="26" t="n">
        <v>41303</v>
      </c>
      <c r="F273" s="26" t="n">
        <v>43264</v>
      </c>
      <c r="G273" s="26" t="n">
        <v>45768</v>
      </c>
      <c r="H273" s="45">
        <f>(F273-E273)/E273</f>
        <v/>
      </c>
      <c r="I273" s="45">
        <f>(G273-F273)/F273</f>
        <v/>
      </c>
    </row>
    <row r="274">
      <c r="D274" s="7" t="inlineStr">
        <is>
          <t>FITB</t>
        </is>
      </c>
      <c r="E274" s="26" t="n">
        <v>6946</v>
      </c>
      <c r="F274" s="26" t="n">
        <v>7736</v>
      </c>
      <c r="G274" s="26" t="n">
        <v>7830</v>
      </c>
      <c r="H274" s="45">
        <f>(F274-E274)/E274</f>
        <v/>
      </c>
      <c r="I274" s="45">
        <f>(G274-F274)/F274</f>
        <v/>
      </c>
    </row>
    <row r="275">
      <c r="D275" s="7" t="inlineStr">
        <is>
          <t>ULTA</t>
        </is>
      </c>
      <c r="E275" s="26" t="n">
        <v>6717</v>
      </c>
      <c r="F275" s="26" t="n">
        <v>7470</v>
      </c>
      <c r="G275" s="26" t="n">
        <v>8169</v>
      </c>
      <c r="H275" s="45">
        <f>(F275-E275)/E275</f>
        <v/>
      </c>
      <c r="I275" s="45">
        <f>(G275-F275)/F275</f>
        <v/>
      </c>
    </row>
    <row r="276">
      <c r="D276" s="7" t="inlineStr">
        <is>
          <t>ANSS</t>
        </is>
      </c>
      <c r="E276" s="26" t="n">
        <v>1303</v>
      </c>
      <c r="F276" s="26" t="n">
        <v>1489</v>
      </c>
      <c r="G276" s="26" t="n">
        <v>1642</v>
      </c>
      <c r="H276" s="45">
        <f>(F276-E276)/E276</f>
        <v/>
      </c>
      <c r="I276" s="45">
        <f>(G276-F276)/F276</f>
        <v/>
      </c>
    </row>
    <row r="277">
      <c r="D277" s="7" t="inlineStr">
        <is>
          <t>EXPE</t>
        </is>
      </c>
      <c r="E277" s="26" t="n">
        <v>11223</v>
      </c>
      <c r="F277" s="26" t="n">
        <v>12149</v>
      </c>
      <c r="G277" s="26" t="n">
        <v>13305</v>
      </c>
      <c r="H277" s="45">
        <f>(F277-E277)/E277</f>
        <v/>
      </c>
      <c r="I277" s="45">
        <f>(G277-F277)/F277</f>
        <v/>
      </c>
    </row>
    <row r="278">
      <c r="D278" s="7" t="inlineStr">
        <is>
          <t>RCL</t>
        </is>
      </c>
      <c r="E278" s="26" t="n">
        <v>9494</v>
      </c>
      <c r="F278" s="26" t="n">
        <v>10981</v>
      </c>
      <c r="G278" s="26" t="n">
        <v>11790</v>
      </c>
      <c r="H278" s="45">
        <f>(F278-E278)/E278</f>
        <v/>
      </c>
      <c r="I278" s="45">
        <f>(G278-F278)/F278</f>
        <v/>
      </c>
    </row>
    <row r="279">
      <c r="D279" s="7" t="inlineStr">
        <is>
          <t>ROK</t>
        </is>
      </c>
      <c r="E279" s="26" t="n">
        <v>6666</v>
      </c>
      <c r="F279" s="26" t="n">
        <v>6621</v>
      </c>
      <c r="G279" s="26" t="n">
        <v>6701</v>
      </c>
      <c r="H279" s="45">
        <f>(F279-E279)/E279</f>
        <v/>
      </c>
      <c r="I279" s="45">
        <f>(G279-F279)/F279</f>
        <v/>
      </c>
    </row>
    <row r="280">
      <c r="D280" s="7" t="inlineStr">
        <is>
          <t>CMS</t>
        </is>
      </c>
      <c r="E280" s="26" t="n">
        <v>6873</v>
      </c>
      <c r="F280" s="26" t="n">
        <v>6993</v>
      </c>
      <c r="G280" s="26" t="n">
        <v>7149</v>
      </c>
      <c r="H280" s="45">
        <f>(F280-E280)/E280</f>
        <v/>
      </c>
      <c r="I280" s="45">
        <f>(G280-F280)/F280</f>
        <v/>
      </c>
    </row>
    <row r="281">
      <c r="D281" s="7" t="inlineStr">
        <is>
          <t>KEYS</t>
        </is>
      </c>
      <c r="E281" s="26" t="n">
        <v>3914</v>
      </c>
      <c r="F281" s="26" t="n">
        <v>4288</v>
      </c>
      <c r="G281" s="26" t="n">
        <v>4564</v>
      </c>
      <c r="H281" s="45">
        <f>(F281-E281)/E281</f>
        <v/>
      </c>
      <c r="I281" s="45">
        <f>(G281-F281)/F281</f>
        <v/>
      </c>
    </row>
    <row r="282">
      <c r="D282" s="7" t="inlineStr">
        <is>
          <t>CCL</t>
        </is>
      </c>
      <c r="E282" s="26" t="n">
        <v>18881</v>
      </c>
      <c r="F282" s="26" t="n">
        <v>20266</v>
      </c>
      <c r="G282" s="26" t="n">
        <v>21613</v>
      </c>
      <c r="H282" s="45">
        <f>(F282-E282)/E282</f>
        <v/>
      </c>
      <c r="I282" s="45">
        <f>(G282-F282)/F282</f>
        <v/>
      </c>
    </row>
    <row r="283">
      <c r="D283" s="7" t="inlineStr">
        <is>
          <t>HPE</t>
        </is>
      </c>
      <c r="E283" s="26" t="n">
        <v>30852</v>
      </c>
      <c r="F283" s="26" t="n">
        <v>29331</v>
      </c>
      <c r="G283" s="26" t="n">
        <v>29374</v>
      </c>
      <c r="H283" s="45">
        <f>(F283-E283)/E283</f>
        <v/>
      </c>
      <c r="I283" s="45">
        <f>(G283-F283)/F283</f>
        <v/>
      </c>
    </row>
    <row r="284">
      <c r="D284" s="7" t="inlineStr">
        <is>
          <t>EFX</t>
        </is>
      </c>
      <c r="E284" s="26" t="n">
        <v>3412</v>
      </c>
      <c r="F284" s="26" t="n">
        <v>3478</v>
      </c>
      <c r="G284" s="26" t="n">
        <v>3681</v>
      </c>
      <c r="H284" s="45">
        <f>(F284-E284)/E284</f>
        <v/>
      </c>
      <c r="I284" s="45">
        <f>(G284-F284)/F284</f>
        <v/>
      </c>
    </row>
    <row r="285">
      <c r="D285" s="7" t="inlineStr">
        <is>
          <t>FAST</t>
        </is>
      </c>
      <c r="E285" s="26" t="n">
        <v>4965</v>
      </c>
      <c r="F285" s="26" t="n">
        <v>5355</v>
      </c>
      <c r="G285" s="26" t="n">
        <v>5698</v>
      </c>
      <c r="H285" s="45">
        <f>(F285-E285)/E285</f>
        <v/>
      </c>
      <c r="I285" s="45">
        <f>(G285-F285)/F285</f>
        <v/>
      </c>
    </row>
    <row r="286">
      <c r="D286" s="7" t="inlineStr">
        <is>
          <t>AMP</t>
        </is>
      </c>
      <c r="E286" s="26" t="n">
        <v>12694</v>
      </c>
      <c r="F286" s="26" t="n">
        <v>11982</v>
      </c>
      <c r="G286" s="26" t="n">
        <v>12226</v>
      </c>
      <c r="H286" s="45">
        <f>(F286-E286)/E286</f>
        <v/>
      </c>
      <c r="I286" s="45">
        <f>(G286-F286)/F286</f>
        <v/>
      </c>
    </row>
    <row r="287">
      <c r="D287" s="7" t="inlineStr">
        <is>
          <t>OMC</t>
        </is>
      </c>
      <c r="E287" s="26" t="n">
        <v>15290</v>
      </c>
      <c r="F287" s="26" t="n">
        <v>14935</v>
      </c>
      <c r="G287" s="26" t="n">
        <v>15258</v>
      </c>
      <c r="H287" s="45">
        <f>(F287-E287)/E287</f>
        <v/>
      </c>
      <c r="I287" s="45">
        <f>(G287-F287)/F287</f>
        <v/>
      </c>
    </row>
    <row r="288">
      <c r="D288" s="7" t="inlineStr">
        <is>
          <t>DHI</t>
        </is>
      </c>
      <c r="E288" s="26" t="n">
        <v>16068</v>
      </c>
      <c r="F288" s="26" t="n">
        <v>17383</v>
      </c>
      <c r="G288" s="26" t="n">
        <v>18560</v>
      </c>
      <c r="H288" s="45">
        <f>(F288-E288)/E288</f>
        <v/>
      </c>
      <c r="I288" s="45">
        <f>(G288-F288)/F288</f>
        <v/>
      </c>
    </row>
    <row r="289">
      <c r="D289" s="7" t="inlineStr">
        <is>
          <t>TFX</t>
        </is>
      </c>
      <c r="E289" s="26" t="n">
        <v>210838</v>
      </c>
      <c r="F289" s="26" t="n">
        <v>224496</v>
      </c>
      <c r="G289" s="26" t="n">
        <v>231212</v>
      </c>
      <c r="H289" s="45">
        <f>(F289-E289)/E289</f>
        <v/>
      </c>
      <c r="I289" s="45">
        <f>(G289-F289)/F289</f>
        <v/>
      </c>
    </row>
    <row r="290">
      <c r="D290" s="7" t="inlineStr">
        <is>
          <t>ARE</t>
        </is>
      </c>
      <c r="E290" s="26" t="n">
        <v>1327</v>
      </c>
      <c r="F290" s="26" t="n">
        <v>1521</v>
      </c>
      <c r="G290" s="26" t="n">
        <v>1722</v>
      </c>
      <c r="H290" s="45">
        <f>(F290-E290)/E290</f>
        <v/>
      </c>
      <c r="I290" s="45">
        <f>(G290-F290)/F290</f>
        <v/>
      </c>
    </row>
    <row r="291">
      <c r="D291" s="7" t="inlineStr">
        <is>
          <t>CINF</t>
        </is>
      </c>
      <c r="E291" s="26" t="n">
        <v>5407</v>
      </c>
      <c r="F291" s="26" t="n">
        <v>7181</v>
      </c>
      <c r="G291" s="26" t="n">
        <v>6444</v>
      </c>
      <c r="H291" s="45">
        <f>(F291-E291)/E291</f>
        <v/>
      </c>
      <c r="I291" s="45">
        <f>(G291-F291)/F291</f>
        <v/>
      </c>
    </row>
    <row r="292">
      <c r="D292" s="7" t="inlineStr">
        <is>
          <t>LH</t>
        </is>
      </c>
      <c r="E292" s="26" t="n">
        <v>11333</v>
      </c>
      <c r="F292" s="26" t="n">
        <v>11481</v>
      </c>
      <c r="G292" s="26" t="n">
        <v>11884</v>
      </c>
      <c r="H292" s="45">
        <f>(F292-E292)/E292</f>
        <v/>
      </c>
      <c r="I292" s="45">
        <f>(G292-F292)/F292</f>
        <v/>
      </c>
    </row>
    <row r="293">
      <c r="D293" s="7" t="inlineStr">
        <is>
          <t>HCP</t>
        </is>
      </c>
      <c r="E293" s="26" t="n">
        <v>1836</v>
      </c>
      <c r="F293" s="26" t="n">
        <v>1939</v>
      </c>
      <c r="G293" s="26" t="n">
        <v>2044</v>
      </c>
      <c r="H293" s="45">
        <f>(F293-E293)/E293</f>
        <v/>
      </c>
      <c r="I293" s="45">
        <f>(G293-F293)/F293</f>
        <v/>
      </c>
    </row>
    <row r="294">
      <c r="D294" s="7" t="inlineStr">
        <is>
          <t>AJG</t>
        </is>
      </c>
      <c r="E294" s="26" t="n">
        <v>6792</v>
      </c>
      <c r="F294" s="26" t="n">
        <v>7115</v>
      </c>
      <c r="G294" s="26" t="n">
        <v>7832</v>
      </c>
      <c r="H294" s="45">
        <f>(F294-E294)/E294</f>
        <v/>
      </c>
      <c r="I294" s="45">
        <f>(G294-F294)/F294</f>
        <v/>
      </c>
    </row>
    <row r="295">
      <c r="D295" s="7" t="inlineStr">
        <is>
          <t>KEY</t>
        </is>
      </c>
      <c r="E295" s="26" t="n">
        <v>6455</v>
      </c>
      <c r="F295" s="26" t="n">
        <v>6454</v>
      </c>
      <c r="G295" s="26" t="n">
        <v>6624</v>
      </c>
      <c r="H295" s="45">
        <f>(F295-E295)/E295</f>
        <v/>
      </c>
      <c r="I295" s="45">
        <f>(G295-F295)/F295</f>
        <v/>
      </c>
    </row>
    <row r="296">
      <c r="D296" s="7" t="inlineStr">
        <is>
          <t>WDC</t>
        </is>
      </c>
      <c r="E296" s="26" t="n">
        <v>16569</v>
      </c>
      <c r="F296" s="26" t="n">
        <v>16312</v>
      </c>
      <c r="G296" s="26" t="n">
        <v>18087</v>
      </c>
      <c r="H296" s="45">
        <f>(F296-E296)/E296</f>
        <v/>
      </c>
      <c r="I296" s="45">
        <f>(G296-F296)/F296</f>
        <v/>
      </c>
    </row>
    <row r="297">
      <c r="D297" s="7" t="inlineStr">
        <is>
          <t>MTD</t>
        </is>
      </c>
      <c r="E297" s="26" t="n">
        <v>2936</v>
      </c>
      <c r="F297" s="26" t="n">
        <v>3017</v>
      </c>
      <c r="G297" s="26" t="n">
        <v>3176</v>
      </c>
      <c r="H297" s="45">
        <f>(F297-E297)/E297</f>
        <v/>
      </c>
      <c r="I297" s="45">
        <f>(G297-F297)/F297</f>
        <v/>
      </c>
    </row>
    <row r="298">
      <c r="D298" s="7" t="inlineStr">
        <is>
          <t>COO</t>
        </is>
      </c>
      <c r="E298" s="26" t="n">
        <v>2533</v>
      </c>
      <c r="F298" s="26" t="n">
        <v>2647</v>
      </c>
      <c r="G298" s="26" t="n">
        <v>2822</v>
      </c>
      <c r="H298" s="45">
        <f>(F298-E298)/E298</f>
        <v/>
      </c>
      <c r="I298" s="45">
        <f>(G298-F298)/F298</f>
        <v/>
      </c>
    </row>
    <row r="299">
      <c r="D299" s="7" t="inlineStr">
        <is>
          <t>K</t>
        </is>
      </c>
      <c r="E299" s="26" t="n">
        <v>13547</v>
      </c>
      <c r="F299" s="26" t="n">
        <v>13491</v>
      </c>
      <c r="G299" s="26" t="n">
        <v>13291</v>
      </c>
      <c r="H299" s="45">
        <f>(F299-E299)/E299</f>
        <v/>
      </c>
      <c r="I299" s="45">
        <f>(G299-F299)/F299</f>
        <v/>
      </c>
    </row>
    <row r="300">
      <c r="D300" s="7" t="inlineStr">
        <is>
          <t>EVRG</t>
        </is>
      </c>
      <c r="E300" s="26" t="n">
        <v>4276</v>
      </c>
      <c r="F300" s="26" t="n">
        <v>5367</v>
      </c>
      <c r="G300" s="26" t="n">
        <v>5484</v>
      </c>
      <c r="H300" s="45">
        <f>(F300-E300)/E300</f>
        <v/>
      </c>
      <c r="I300" s="45">
        <f>(G300-F300)/F300</f>
        <v/>
      </c>
    </row>
    <row r="301">
      <c r="D301" s="7" t="inlineStr">
        <is>
          <t>MLM</t>
        </is>
      </c>
      <c r="E301" s="26" t="n">
        <v>4244</v>
      </c>
      <c r="F301" s="26" t="n">
        <v>4592</v>
      </c>
      <c r="G301" s="26" t="n">
        <v>4895</v>
      </c>
      <c r="H301" s="45">
        <f>(F301-E301)/E301</f>
        <v/>
      </c>
      <c r="I301" s="45">
        <f>(G301-F301)/F301</f>
        <v/>
      </c>
    </row>
    <row r="302">
      <c r="D302" s="7" t="inlineStr">
        <is>
          <t>KHC</t>
        </is>
      </c>
      <c r="E302" s="26" t="n">
        <v>26259</v>
      </c>
      <c r="F302" s="26" t="n">
        <v>25232</v>
      </c>
      <c r="G302" s="26" t="n">
        <v>25320</v>
      </c>
      <c r="H302" s="45">
        <f>(F302-E302)/E302</f>
        <v/>
      </c>
      <c r="I302" s="45">
        <f>(G302-F302)/F302</f>
        <v/>
      </c>
    </row>
    <row r="303">
      <c r="D303" s="7" t="inlineStr">
        <is>
          <t>BBY</t>
        </is>
      </c>
      <c r="E303" s="26" t="n">
        <v>42879</v>
      </c>
      <c r="F303" s="26" t="n">
        <v>43431</v>
      </c>
      <c r="G303" s="26" t="n">
        <v>44020</v>
      </c>
      <c r="H303" s="45">
        <f>(F303-E303)/E303</f>
        <v/>
      </c>
      <c r="I303" s="45">
        <f>(G303-F303)/F303</f>
        <v/>
      </c>
    </row>
    <row r="304">
      <c r="D304" s="7" t="inlineStr">
        <is>
          <t>EXR</t>
        </is>
      </c>
      <c r="E304" s="26" t="n">
        <v>1039</v>
      </c>
      <c r="F304" s="26" t="n">
        <v>1119</v>
      </c>
      <c r="G304" s="26" t="n">
        <v>1167</v>
      </c>
      <c r="H304" s="45">
        <f>(F304-E304)/E304</f>
        <v/>
      </c>
      <c r="I304" s="45">
        <f>(G304-F304)/F304</f>
        <v/>
      </c>
    </row>
    <row r="305">
      <c r="D305" s="7" t="inlineStr">
        <is>
          <t>HAL</t>
        </is>
      </c>
      <c r="E305" s="26" t="n">
        <v>23995</v>
      </c>
      <c r="F305" s="26" t="n">
        <v>23380</v>
      </c>
      <c r="G305" s="26" t="n">
        <v>24328</v>
      </c>
      <c r="H305" s="45">
        <f>(F305-E305)/E305</f>
        <v/>
      </c>
      <c r="I305" s="45">
        <f>(G305-F305)/F305</f>
        <v/>
      </c>
    </row>
    <row r="306">
      <c r="D306" s="7" t="inlineStr">
        <is>
          <t>CBRE</t>
        </is>
      </c>
      <c r="E306" s="26" t="n">
        <v>21340</v>
      </c>
      <c r="F306" s="26" t="n">
        <v>23374</v>
      </c>
      <c r="G306" s="26" t="n">
        <v>25130</v>
      </c>
      <c r="H306" s="45">
        <f>(F306-E306)/E306</f>
        <v/>
      </c>
      <c r="I306" s="45">
        <f>(G306-F306)/F306</f>
        <v/>
      </c>
    </row>
    <row r="307">
      <c r="D307" s="7" t="inlineStr">
        <is>
          <t>HES</t>
        </is>
      </c>
      <c r="E307" s="26" t="n">
        <v>6466</v>
      </c>
      <c r="F307" s="26" t="n">
        <v>6455</v>
      </c>
      <c r="G307" s="26" t="n">
        <v>7516</v>
      </c>
      <c r="H307" s="45">
        <f>(F307-E307)/E307</f>
        <v/>
      </c>
      <c r="I307" s="45">
        <f>(G307-F307)/F307</f>
        <v/>
      </c>
    </row>
    <row r="308">
      <c r="D308" s="7" t="inlineStr">
        <is>
          <t>IP</t>
        </is>
      </c>
      <c r="E308" s="26" t="n">
        <v>23306</v>
      </c>
      <c r="F308" s="26" t="n">
        <v>22694</v>
      </c>
      <c r="G308" s="26" t="n">
        <v>22374</v>
      </c>
      <c r="H308" s="45">
        <f>(F308-E308)/E308</f>
        <v/>
      </c>
      <c r="I308" s="45">
        <f>(G308-F308)/F308</f>
        <v/>
      </c>
    </row>
    <row r="309">
      <c r="D309" s="7" t="inlineStr">
        <is>
          <t>CPRT</t>
        </is>
      </c>
      <c r="E309" s="26" t="n">
        <v>2042</v>
      </c>
      <c r="F309" s="26" t="n">
        <v>2310</v>
      </c>
      <c r="G309" s="26" t="n">
        <v>2534</v>
      </c>
      <c r="H309" s="45">
        <f>(F309-E309)/E309</f>
        <v/>
      </c>
      <c r="I309" s="45">
        <f>(G309-F309)/F309</f>
        <v/>
      </c>
    </row>
    <row r="310">
      <c r="D310" s="7" t="inlineStr">
        <is>
          <t>BR</t>
        </is>
      </c>
      <c r="E310" s="26" t="n">
        <v>4362</v>
      </c>
      <c r="F310" s="26" t="n">
        <v>4558</v>
      </c>
      <c r="G310" s="26" t="n">
        <v>4778</v>
      </c>
      <c r="H310" s="45">
        <f>(F310-E310)/E310</f>
        <v/>
      </c>
      <c r="I310" s="45">
        <f>(G310-F310)/F310</f>
        <v/>
      </c>
    </row>
    <row r="311">
      <c r="D311" s="7" t="inlineStr">
        <is>
          <t>LEN</t>
        </is>
      </c>
      <c r="E311" s="26" t="n">
        <v>20572</v>
      </c>
      <c r="F311" s="26" t="n">
        <v>21568</v>
      </c>
      <c r="G311" s="26" t="n">
        <v>21967</v>
      </c>
      <c r="H311" s="45">
        <f>(F311-E311)/E311</f>
        <v/>
      </c>
      <c r="I311" s="45">
        <f>(G311-F311)/F311</f>
        <v/>
      </c>
    </row>
    <row r="312">
      <c r="D312" s="7" t="inlineStr">
        <is>
          <t>DRI</t>
        </is>
      </c>
      <c r="E312" s="26" t="n">
        <v>8510</v>
      </c>
      <c r="F312" s="26" t="n">
        <v>9014</v>
      </c>
      <c r="G312" s="26" t="n">
        <v>9303</v>
      </c>
      <c r="H312" s="45">
        <f>(F312-E312)/E312</f>
        <v/>
      </c>
      <c r="I312" s="45">
        <f>(G312-F312)/F312</f>
        <v/>
      </c>
    </row>
    <row r="313">
      <c r="D313" s="7" t="inlineStr">
        <is>
          <t>FRC</t>
        </is>
      </c>
      <c r="E313" s="26" t="n">
        <v>3149</v>
      </c>
      <c r="F313" s="26" t="n">
        <v>3420</v>
      </c>
      <c r="G313" s="26" t="n">
        <v>3796</v>
      </c>
      <c r="H313" s="45">
        <f>(F313-E313)/E313</f>
        <v/>
      </c>
      <c r="I313" s="45">
        <f>(G313-F313)/F313</f>
        <v/>
      </c>
    </row>
    <row r="314">
      <c r="D314" s="7" t="inlineStr">
        <is>
          <t>MKTX</t>
        </is>
      </c>
      <c r="E314" s="26" t="n">
        <v>436</v>
      </c>
      <c r="F314" s="26" t="n">
        <v>497</v>
      </c>
      <c r="G314" s="26" t="n">
        <v>554</v>
      </c>
      <c r="H314" s="45">
        <f>(F314-E314)/E314</f>
        <v/>
      </c>
      <c r="I314" s="45">
        <f>(G314-F314)/F314</f>
        <v/>
      </c>
    </row>
    <row r="315">
      <c r="D315" s="7" t="inlineStr">
        <is>
          <t>CBS</t>
        </is>
      </c>
      <c r="E315" s="26" t="n">
        <v>14514</v>
      </c>
      <c r="F315" s="26" t="n">
        <v>15644</v>
      </c>
      <c r="G315" s="26" t="n">
        <v>16343</v>
      </c>
      <c r="H315" s="45">
        <f>(F315-E315)/E315</f>
        <v/>
      </c>
      <c r="I315" s="45">
        <f>(G315-F315)/F315</f>
        <v/>
      </c>
    </row>
    <row r="316">
      <c r="D316" s="7" t="inlineStr">
        <is>
          <t>CFG</t>
        </is>
      </c>
      <c r="E316" s="26" t="n">
        <v>6128</v>
      </c>
      <c r="F316" s="26" t="n">
        <v>6477</v>
      </c>
      <c r="G316" s="26" t="n">
        <v>6636</v>
      </c>
      <c r="H316" s="45">
        <f>(F316-E316)/E316</f>
        <v/>
      </c>
      <c r="I316" s="45">
        <f>(G316-F316)/F316</f>
        <v/>
      </c>
    </row>
    <row r="317">
      <c r="D317" s="7" t="inlineStr">
        <is>
          <t>FANG</t>
        </is>
      </c>
      <c r="E317" s="26" t="n">
        <v>2176</v>
      </c>
      <c r="F317" s="26" t="n">
        <v>4111</v>
      </c>
      <c r="G317" s="26" t="n">
        <v>5143</v>
      </c>
      <c r="H317" s="45">
        <f>(F317-E317)/E317</f>
        <v/>
      </c>
      <c r="I317" s="45">
        <f>(G317-F317)/F317</f>
        <v/>
      </c>
    </row>
    <row r="318">
      <c r="D318" s="7" t="inlineStr">
        <is>
          <t>INCY</t>
        </is>
      </c>
      <c r="E318" s="26" t="n">
        <v>1882</v>
      </c>
      <c r="F318" s="26" t="n">
        <v>2124</v>
      </c>
      <c r="G318" s="26" t="n">
        <v>2430</v>
      </c>
      <c r="H318" s="45">
        <f>(F318-E318)/E318</f>
        <v/>
      </c>
      <c r="I318" s="45">
        <f>(G318-F318)/F318</f>
        <v/>
      </c>
    </row>
    <row r="319">
      <c r="D319" s="7" t="inlineStr">
        <is>
          <t>TTWO</t>
        </is>
      </c>
      <c r="E319" s="27" t="n">
        <v>2929</v>
      </c>
      <c r="F319" s="27" t="n">
        <v>2778</v>
      </c>
      <c r="G319" s="27" t="n">
        <v>2793</v>
      </c>
      <c r="H319" s="45">
        <f>(F319-E319)/E319</f>
        <v/>
      </c>
      <c r="I319" s="45">
        <f>(G319-F319)/F319</f>
        <v/>
      </c>
    </row>
    <row r="320">
      <c r="D320" s="7" t="inlineStr">
        <is>
          <t>SYMC</t>
        </is>
      </c>
      <c r="E320" s="26" t="n">
        <v>4762</v>
      </c>
      <c r="F320" s="26" t="n">
        <v>4846</v>
      </c>
      <c r="G320" s="26" t="n">
        <v>4919</v>
      </c>
      <c r="H320" s="45">
        <f>(F320-E320)/E320</f>
        <v/>
      </c>
      <c r="I320" s="45">
        <f>(G320-F320)/F320</f>
        <v/>
      </c>
    </row>
    <row r="321">
      <c r="D321" s="7" t="inlineStr">
        <is>
          <t>NUE</t>
        </is>
      </c>
      <c r="E321" s="26" t="n">
        <v>25067</v>
      </c>
      <c r="F321" s="26" t="n">
        <v>23128</v>
      </c>
      <c r="G321" s="26" t="n">
        <v>22872</v>
      </c>
      <c r="H321" s="45">
        <f>(F321-E321)/E321</f>
        <v/>
      </c>
      <c r="I321" s="45">
        <f>(G321-F321)/F321</f>
        <v/>
      </c>
    </row>
    <row r="322">
      <c r="D322" s="7" t="inlineStr">
        <is>
          <t>WAT</t>
        </is>
      </c>
      <c r="E322" s="26" t="n">
        <v>2420</v>
      </c>
      <c r="F322" s="26" t="n">
        <v>2440</v>
      </c>
      <c r="G322" s="26" t="n">
        <v>2552</v>
      </c>
      <c r="H322" s="45">
        <f>(F322-E322)/E322</f>
        <v/>
      </c>
      <c r="I322" s="45">
        <f>(G322-F322)/F322</f>
        <v/>
      </c>
    </row>
    <row r="323">
      <c r="D323" s="7" t="inlineStr">
        <is>
          <t>AKAM</t>
        </is>
      </c>
      <c r="E323" s="26" t="n">
        <v>2714</v>
      </c>
      <c r="F323" s="26" t="n">
        <v>2860</v>
      </c>
      <c r="G323" s="26" t="n">
        <v>3059</v>
      </c>
      <c r="H323" s="45">
        <f>(F323-E323)/E323</f>
        <v/>
      </c>
      <c r="I323" s="45">
        <f>(G323-F323)/F323</f>
        <v/>
      </c>
    </row>
    <row r="324">
      <c r="D324" s="7" t="inlineStr">
        <is>
          <t>MXIM</t>
        </is>
      </c>
      <c r="E324" s="26" t="n">
        <v>2314</v>
      </c>
      <c r="F324" s="26" t="n">
        <v>2215</v>
      </c>
      <c r="G324" s="26" t="n">
        <v>2393</v>
      </c>
      <c r="H324" s="45">
        <f>(F324-E324)/E324</f>
        <v/>
      </c>
      <c r="I324" s="45">
        <f>(G324-F324)/F324</f>
        <v/>
      </c>
    </row>
    <row r="325">
      <c r="D325" s="7" t="inlineStr">
        <is>
          <t>MAA</t>
        </is>
      </c>
      <c r="E325" s="26" t="n">
        <v>1571</v>
      </c>
      <c r="F325" s="26" t="n">
        <v>1633</v>
      </c>
      <c r="G325" s="26" t="n">
        <v>1691</v>
      </c>
      <c r="H325" s="45">
        <f>(F325-E325)/E325</f>
        <v/>
      </c>
      <c r="I325" s="45">
        <f>(G325-F325)/F325</f>
        <v/>
      </c>
    </row>
    <row r="326">
      <c r="D326" s="7" t="inlineStr">
        <is>
          <t>MGM</t>
        </is>
      </c>
      <c r="E326" s="26" t="n">
        <v>11763</v>
      </c>
      <c r="F326" s="26" t="n">
        <v>12993</v>
      </c>
      <c r="G326" s="26" t="n">
        <v>13442</v>
      </c>
      <c r="H326" s="45">
        <f>(F326-E326)/E326</f>
        <v/>
      </c>
      <c r="I326" s="45">
        <f>(G326-F326)/F326</f>
        <v/>
      </c>
    </row>
    <row r="327">
      <c r="D327" s="7" t="inlineStr">
        <is>
          <t>CXO</t>
        </is>
      </c>
      <c r="E327" s="26" t="n">
        <v>4151</v>
      </c>
      <c r="F327" s="26" t="n">
        <v>4483</v>
      </c>
      <c r="G327" s="26" t="n">
        <v>5212</v>
      </c>
      <c r="H327" s="45">
        <f>(F327-E327)/E327</f>
        <v/>
      </c>
      <c r="I327" s="45">
        <f>(G327-F327)/F327</f>
        <v/>
      </c>
    </row>
    <row r="328">
      <c r="D328" s="7" t="inlineStr">
        <is>
          <t>RF</t>
        </is>
      </c>
      <c r="E328" s="26" t="n">
        <v>5805</v>
      </c>
      <c r="F328" s="26" t="n">
        <v>5903</v>
      </c>
      <c r="G328" s="26" t="n">
        <v>6002</v>
      </c>
      <c r="H328" s="45">
        <f>(F328-E328)/E328</f>
        <v/>
      </c>
      <c r="I328" s="45">
        <f>(G328-F328)/F328</f>
        <v/>
      </c>
    </row>
    <row r="329">
      <c r="D329" s="7" t="inlineStr">
        <is>
          <t>CNP</t>
        </is>
      </c>
      <c r="E329" s="26" t="n">
        <v>10589</v>
      </c>
      <c r="F329" s="26" t="n">
        <v>13100</v>
      </c>
      <c r="G329" s="26" t="n">
        <v>13672</v>
      </c>
      <c r="H329" s="45">
        <f>(F329-E329)/E329</f>
        <v/>
      </c>
      <c r="I329" s="45">
        <f>(G329-F329)/F329</f>
        <v/>
      </c>
    </row>
    <row r="330">
      <c r="D330" s="7" t="inlineStr">
        <is>
          <t>CE</t>
        </is>
      </c>
      <c r="E330" s="26" t="n">
        <v>7155</v>
      </c>
      <c r="F330" s="26" t="n">
        <v>6637</v>
      </c>
      <c r="G330" s="26" t="n">
        <v>6934</v>
      </c>
      <c r="H330" s="45">
        <f>(F330-E330)/E330</f>
        <v/>
      </c>
      <c r="I330" s="45">
        <f>(G330-F330)/F330</f>
        <v/>
      </c>
    </row>
    <row r="331">
      <c r="D331" s="7" t="inlineStr">
        <is>
          <t>CAG</t>
        </is>
      </c>
      <c r="E331" s="26" t="n">
        <v>9538</v>
      </c>
      <c r="F331" s="26" t="n">
        <v>10806</v>
      </c>
      <c r="G331" s="26" t="n">
        <v>10751</v>
      </c>
      <c r="H331" s="45">
        <f>(F331-E331)/E331</f>
        <v/>
      </c>
      <c r="I331" s="45">
        <f>(G331-F331)/F331</f>
        <v/>
      </c>
    </row>
    <row r="332">
      <c r="D332" s="7" t="inlineStr">
        <is>
          <t>PFG</t>
        </is>
      </c>
      <c r="E332" s="26" t="n">
        <v>14425</v>
      </c>
      <c r="F332" s="26" t="n">
        <v>15780</v>
      </c>
      <c r="G332" s="26" t="n">
        <v>16580</v>
      </c>
      <c r="H332" s="45">
        <f>(F332-E332)/E332</f>
        <v/>
      </c>
      <c r="I332" s="45">
        <f>(G332-F332)/F332</f>
        <v/>
      </c>
    </row>
    <row r="333">
      <c r="D333" s="7" t="inlineStr">
        <is>
          <t>DGX</t>
        </is>
      </c>
      <c r="E333" s="26" t="n">
        <v>7531</v>
      </c>
      <c r="F333" s="26" t="n">
        <v>7703</v>
      </c>
      <c r="G333" s="26" t="n">
        <v>7901</v>
      </c>
      <c r="H333" s="45">
        <f>(F333-E333)/E333</f>
        <v/>
      </c>
      <c r="I333" s="45">
        <f>(G333-F333)/F333</f>
        <v/>
      </c>
    </row>
    <row r="334">
      <c r="D334" s="7" t="inlineStr">
        <is>
          <t>KMX</t>
        </is>
      </c>
      <c r="E334" s="26" t="n">
        <v>18173</v>
      </c>
      <c r="F334" s="26" t="n">
        <v>19640</v>
      </c>
      <c r="G334" s="26" t="n">
        <v>20792</v>
      </c>
      <c r="H334" s="45">
        <f>(F334-E334)/E334</f>
        <v/>
      </c>
      <c r="I334" s="45">
        <f>(G334-F334)/F334</f>
        <v/>
      </c>
    </row>
    <row r="335">
      <c r="D335" s="7" t="inlineStr">
        <is>
          <t>UDR</t>
        </is>
      </c>
      <c r="E335" s="26" t="n">
        <v>1035</v>
      </c>
      <c r="F335" s="26" t="n">
        <v>1123</v>
      </c>
      <c r="G335" s="26" t="n">
        <v>1207</v>
      </c>
      <c r="H335" s="45">
        <f>(F335-E335)/E335</f>
        <v/>
      </c>
      <c r="I335" s="45">
        <f>(G335-F335)/F335</f>
        <v/>
      </c>
    </row>
    <row r="336">
      <c r="D336" s="7" t="inlineStr">
        <is>
          <t>WCG</t>
        </is>
      </c>
      <c r="E336" s="26" t="n">
        <v>20414</v>
      </c>
      <c r="F336" s="26" t="n">
        <v>27236</v>
      </c>
      <c r="G336" s="26" t="n">
        <v>30656</v>
      </c>
      <c r="H336" s="45">
        <f>(F336-E336)/E336</f>
        <v/>
      </c>
      <c r="I336" s="45">
        <f>(G336-F336)/F336</f>
        <v/>
      </c>
    </row>
    <row r="337">
      <c r="D337" s="7" t="inlineStr">
        <is>
          <t>XYL</t>
        </is>
      </c>
      <c r="E337" s="26" t="n">
        <v>5207</v>
      </c>
      <c r="F337" s="26" t="n">
        <v>5359</v>
      </c>
      <c r="G337" s="26" t="n">
        <v>5636</v>
      </c>
      <c r="H337" s="45">
        <f>(F337-E337)/E337</f>
        <v/>
      </c>
      <c r="I337" s="45">
        <f>(G337-F337)/F337</f>
        <v/>
      </c>
    </row>
    <row r="338">
      <c r="D338" s="7" t="inlineStr">
        <is>
          <t>HBAN</t>
        </is>
      </c>
      <c r="E338" s="26" t="n">
        <v>4510</v>
      </c>
      <c r="F338" s="26" t="n">
        <v>4669</v>
      </c>
      <c r="G338" s="26" t="n">
        <v>4728</v>
      </c>
      <c r="H338" s="45">
        <f>(F338-E338)/E338</f>
        <v/>
      </c>
      <c r="I338" s="45">
        <f>(G338-F338)/F338</f>
        <v/>
      </c>
    </row>
    <row r="339">
      <c r="D339" s="7" t="inlineStr">
        <is>
          <t>ABC</t>
        </is>
      </c>
      <c r="E339" s="26" t="n">
        <v>167940</v>
      </c>
      <c r="F339" s="26" t="n">
        <v>179259</v>
      </c>
      <c r="G339" s="26" t="n">
        <v>187895</v>
      </c>
      <c r="H339" s="45">
        <f>(F339-E339)/E339</f>
        <v/>
      </c>
      <c r="I339" s="45">
        <f>(G339-F339)/F339</f>
        <v/>
      </c>
    </row>
    <row r="340">
      <c r="D340" s="7" t="inlineStr">
        <is>
          <t>HOLX</t>
        </is>
      </c>
      <c r="E340" s="26" t="n">
        <v>3218</v>
      </c>
      <c r="F340" s="26" t="n">
        <v>3349</v>
      </c>
      <c r="G340" s="26" t="n">
        <v>3480</v>
      </c>
      <c r="H340" s="45">
        <f>(F340-E340)/E340</f>
        <v/>
      </c>
      <c r="I340" s="45">
        <f>(G340-F340)/F340</f>
        <v/>
      </c>
    </row>
    <row r="341">
      <c r="D341" s="7" t="inlineStr">
        <is>
          <t>FCX</t>
        </is>
      </c>
      <c r="E341" s="26" t="n">
        <v>18628</v>
      </c>
      <c r="F341" s="26" t="n">
        <v>14730</v>
      </c>
      <c r="G341" s="26" t="n">
        <v>15355</v>
      </c>
      <c r="H341" s="45">
        <f>(F341-E341)/E341</f>
        <v/>
      </c>
      <c r="I341" s="45">
        <f>(G341-F341)/F341</f>
        <v/>
      </c>
    </row>
    <row r="342">
      <c r="D342" s="7" t="inlineStr">
        <is>
          <t>DOV</t>
        </is>
      </c>
      <c r="E342" s="26" t="n">
        <v>6992</v>
      </c>
      <c r="F342" s="26" t="n">
        <v>7192</v>
      </c>
      <c r="G342" s="26" t="n">
        <v>7416</v>
      </c>
      <c r="H342" s="45">
        <f>(F342-E342)/E342</f>
        <v/>
      </c>
      <c r="I342" s="45">
        <f>(G342-F342)/F342</f>
        <v/>
      </c>
    </row>
    <row r="343">
      <c r="D343" s="7" t="inlineStr">
        <is>
          <t>GPC</t>
        </is>
      </c>
      <c r="E343" s="26" t="n">
        <v>18735</v>
      </c>
      <c r="F343" s="26" t="n">
        <v>19550</v>
      </c>
      <c r="G343" s="26" t="n">
        <v>20347</v>
      </c>
      <c r="H343" s="45">
        <f>(F343-E343)/E343</f>
        <v/>
      </c>
      <c r="I343" s="45">
        <f>(G343-F343)/F343</f>
        <v/>
      </c>
    </row>
    <row r="344">
      <c r="D344" s="7" t="inlineStr">
        <is>
          <t>ALGN</t>
        </is>
      </c>
      <c r="E344" s="26" t="n">
        <v>1966</v>
      </c>
      <c r="F344" s="26" t="n">
        <v>2382</v>
      </c>
      <c r="G344" s="26" t="n">
        <v>2870</v>
      </c>
      <c r="H344" s="45">
        <f>(F344-E344)/E344</f>
        <v/>
      </c>
      <c r="I344" s="45">
        <f>(G344-F344)/F344</f>
        <v/>
      </c>
    </row>
    <row r="345">
      <c r="D345" s="7" t="inlineStr">
        <is>
          <t>SWKS</t>
        </is>
      </c>
      <c r="E345" s="26" t="n">
        <v>3868</v>
      </c>
      <c r="F345" s="26" t="n">
        <v>3375</v>
      </c>
      <c r="G345" s="26" t="n">
        <v>3404</v>
      </c>
      <c r="H345" s="45">
        <f>(F345-E345)/E345</f>
        <v/>
      </c>
      <c r="I345" s="45">
        <f>(G345-F345)/F345</f>
        <v/>
      </c>
    </row>
    <row r="346" ht="16" customHeight="1" s="76">
      <c r="D346" s="7" t="inlineStr">
        <is>
          <t>L</t>
        </is>
      </c>
      <c r="E346" s="27" t="n">
        <v>13613</v>
      </c>
      <c r="F346" s="27" t="inlineStr">
        <is>
          <t>-</t>
        </is>
      </c>
      <c r="G346" s="27" t="n">
        <v>14769</v>
      </c>
      <c r="H346" s="45">
        <f>(F346-E346)/E346</f>
        <v/>
      </c>
      <c r="I346" s="45">
        <f>(G346-F346)/F346</f>
        <v/>
      </c>
    </row>
    <row r="347">
      <c r="D347" s="7" t="inlineStr">
        <is>
          <t>ATO</t>
        </is>
      </c>
      <c r="E347" s="26" t="n">
        <v>3116</v>
      </c>
      <c r="F347" s="26" t="n">
        <v>3111</v>
      </c>
      <c r="G347" s="26" t="n">
        <v>3512</v>
      </c>
      <c r="H347" s="45">
        <f>(F347-E347)/E347</f>
        <v/>
      </c>
      <c r="I347" s="45">
        <f>(G347-F347)/F347</f>
        <v/>
      </c>
    </row>
    <row r="348">
      <c r="D348" s="7" t="inlineStr">
        <is>
          <t>CAH</t>
        </is>
      </c>
      <c r="E348" s="26" t="n">
        <v>145534</v>
      </c>
      <c r="F348" s="26" t="n">
        <v>152211</v>
      </c>
      <c r="G348" s="26" t="n">
        <v>158452</v>
      </c>
      <c r="H348" s="45">
        <f>(F348-E348)/E348</f>
        <v/>
      </c>
      <c r="I348" s="45">
        <f>(G348-F348)/F348</f>
        <v/>
      </c>
    </row>
    <row r="349">
      <c r="D349" s="7" t="inlineStr">
        <is>
          <t>SJM</t>
        </is>
      </c>
      <c r="E349" s="26" t="n">
        <v>7838</v>
      </c>
      <c r="F349" s="26" t="n">
        <v>7708</v>
      </c>
      <c r="G349" s="26" t="n">
        <v>7800</v>
      </c>
      <c r="H349" s="45">
        <f>(F349-E349)/E349</f>
        <v/>
      </c>
      <c r="I349" s="45">
        <f>(G349-F349)/F349</f>
        <v/>
      </c>
    </row>
    <row r="350">
      <c r="D350" s="7" t="inlineStr">
        <is>
          <t>XRAY</t>
        </is>
      </c>
      <c r="E350" s="26" t="n">
        <v>3986</v>
      </c>
      <c r="F350" s="26" t="n">
        <v>3992</v>
      </c>
      <c r="G350" s="26" t="n">
        <v>4130</v>
      </c>
      <c r="H350" s="45">
        <f>(F350-E350)/E350</f>
        <v/>
      </c>
      <c r="I350" s="45">
        <f>(G350-F350)/F350</f>
        <v/>
      </c>
    </row>
    <row r="351">
      <c r="D351" s="7" t="inlineStr">
        <is>
          <t>IEX</t>
        </is>
      </c>
      <c r="E351" s="26" t="n">
        <v>2484</v>
      </c>
      <c r="F351" s="26" t="n">
        <v>2551</v>
      </c>
      <c r="G351" s="26" t="n">
        <v>2665</v>
      </c>
      <c r="H351" s="45">
        <f>(F351-E351)/E351</f>
        <v/>
      </c>
      <c r="I351" s="45">
        <f>(G351-F351)/F351</f>
        <v/>
      </c>
    </row>
    <row r="352">
      <c r="D352" s="7" t="inlineStr">
        <is>
          <t>KSU</t>
        </is>
      </c>
      <c r="E352" s="26" t="n">
        <v>2714</v>
      </c>
      <c r="F352" s="26" t="n">
        <v>2858</v>
      </c>
      <c r="G352" s="26" t="n">
        <v>3034</v>
      </c>
      <c r="H352" s="45">
        <f>(F352-E352)/E352</f>
        <v/>
      </c>
      <c r="I352" s="45">
        <f>(G352-F352)/F352</f>
        <v/>
      </c>
    </row>
    <row r="353">
      <c r="D353" s="7" t="inlineStr">
        <is>
          <t>HAS</t>
        </is>
      </c>
      <c r="E353" s="26" t="n">
        <v>4580</v>
      </c>
      <c r="F353" s="26" t="n">
        <v>4997</v>
      </c>
      <c r="G353" s="26" t="n">
        <v>5217</v>
      </c>
      <c r="H353" s="45">
        <f>(F353-E353)/E353</f>
        <v/>
      </c>
      <c r="I353" s="45">
        <f>(G353-F353)/F353</f>
        <v/>
      </c>
    </row>
    <row r="354">
      <c r="D354" s="7" t="inlineStr">
        <is>
          <t>UHS</t>
        </is>
      </c>
      <c r="E354" s="26" t="n">
        <v>10772</v>
      </c>
      <c r="F354" s="26" t="n">
        <v>11307</v>
      </c>
      <c r="G354" s="26" t="n">
        <v>11810</v>
      </c>
      <c r="H354" s="45">
        <f>(F354-E354)/E354</f>
        <v/>
      </c>
      <c r="I354" s="45">
        <f>(G354-F354)/F354</f>
        <v/>
      </c>
    </row>
    <row r="355">
      <c r="D355" s="7" t="inlineStr">
        <is>
          <t>GWW</t>
        </is>
      </c>
      <c r="E355" s="26" t="n">
        <v>11221</v>
      </c>
      <c r="F355" s="26" t="n">
        <v>11524</v>
      </c>
      <c r="G355" s="26" t="n">
        <v>12013</v>
      </c>
      <c r="H355" s="45">
        <f>(F355-E355)/E355</f>
        <v/>
      </c>
      <c r="I355" s="45">
        <f>(G355-F355)/F355</f>
        <v/>
      </c>
    </row>
    <row r="356">
      <c r="D356" s="7" t="inlineStr">
        <is>
          <t>LDOS</t>
        </is>
      </c>
      <c r="E356" s="26" t="n">
        <v>10194</v>
      </c>
      <c r="F356" s="26" t="n">
        <v>10814</v>
      </c>
      <c r="G356" s="26" t="n">
        <v>11375</v>
      </c>
      <c r="H356" s="45">
        <f>(F356-E356)/E356</f>
        <v/>
      </c>
      <c r="I356" s="45">
        <f>(G356-F356)/F356</f>
        <v/>
      </c>
    </row>
    <row r="357">
      <c r="D357" s="7" t="inlineStr">
        <is>
          <t>STX</t>
        </is>
      </c>
      <c r="E357" s="26" t="n">
        <v>10391</v>
      </c>
      <c r="F357" s="26" t="n">
        <v>10311</v>
      </c>
      <c r="G357" s="26" t="n">
        <v>10408</v>
      </c>
      <c r="H357" s="45">
        <f>(F357-E357)/E357</f>
        <v/>
      </c>
      <c r="I357" s="45">
        <f>(G357-F357)/F357</f>
        <v/>
      </c>
    </row>
    <row r="358">
      <c r="D358" s="7" t="inlineStr">
        <is>
          <t>ANET</t>
        </is>
      </c>
      <c r="E358" s="26" t="n">
        <v>2151</v>
      </c>
      <c r="F358" s="26" t="n">
        <v>2545</v>
      </c>
      <c r="G358" s="26" t="n">
        <v>2951</v>
      </c>
      <c r="H358" s="45">
        <f>(F358-E358)/E358</f>
        <v/>
      </c>
      <c r="I358" s="45">
        <f>(G358-F358)/F358</f>
        <v/>
      </c>
    </row>
    <row r="359">
      <c r="D359" s="7" t="inlineStr">
        <is>
          <t>DRE</t>
        </is>
      </c>
      <c r="E359" s="26" t="n">
        <v>785</v>
      </c>
      <c r="F359" s="26" t="n">
        <v>856</v>
      </c>
      <c r="G359" s="26" t="n">
        <v>900</v>
      </c>
      <c r="H359" s="45">
        <f>(F359-E359)/E359</f>
        <v/>
      </c>
      <c r="I359" s="45">
        <f>(G359-F359)/F359</f>
        <v/>
      </c>
    </row>
    <row r="360">
      <c r="D360" s="7" t="inlineStr">
        <is>
          <t>EXPD</t>
        </is>
      </c>
      <c r="E360" s="26" t="n">
        <v>8138</v>
      </c>
      <c r="F360" s="26" t="n">
        <v>8497</v>
      </c>
      <c r="G360" s="26" t="n">
        <v>8940</v>
      </c>
      <c r="H360" s="45">
        <f>(F360-E360)/E360</f>
        <v/>
      </c>
      <c r="I360" s="45">
        <f>(G360-F360)/F360</f>
        <v/>
      </c>
    </row>
    <row r="361">
      <c r="D361" s="7" t="inlineStr">
        <is>
          <t>HST</t>
        </is>
      </c>
      <c r="E361" s="26" t="n">
        <v>5524</v>
      </c>
      <c r="F361" s="26" t="n">
        <v>5475</v>
      </c>
      <c r="G361" s="26" t="n">
        <v>5422</v>
      </c>
      <c r="H361" s="45">
        <f>(F361-E361)/E361</f>
        <v/>
      </c>
      <c r="I361" s="45">
        <f>(G361-F361)/F361</f>
        <v/>
      </c>
    </row>
    <row r="362">
      <c r="D362" s="7" t="inlineStr">
        <is>
          <t>TSCO</t>
        </is>
      </c>
      <c r="E362" s="26" t="n">
        <v>7911</v>
      </c>
      <c r="F362" s="26" t="n">
        <v>8448</v>
      </c>
      <c r="G362" s="26" t="n">
        <v>9022</v>
      </c>
      <c r="H362" s="45">
        <f>(F362-E362)/E362</f>
        <v/>
      </c>
      <c r="I362" s="45">
        <f>(G362-F362)/F362</f>
        <v/>
      </c>
    </row>
    <row r="363">
      <c r="D363" s="7" t="inlineStr">
        <is>
          <t>CTXS</t>
        </is>
      </c>
      <c r="E363" s="26" t="n">
        <v>2974</v>
      </c>
      <c r="F363" s="26" t="n">
        <v>2993</v>
      </c>
      <c r="G363" s="26" t="n">
        <v>3133</v>
      </c>
      <c r="H363" s="45">
        <f>(F363-E363)/E363</f>
        <v/>
      </c>
      <c r="I363" s="45">
        <f>(G363-F363)/F363</f>
        <v/>
      </c>
    </row>
    <row r="364">
      <c r="D364" s="7" t="inlineStr">
        <is>
          <t>IT</t>
        </is>
      </c>
      <c r="E364" s="26" t="n">
        <v>3975</v>
      </c>
      <c r="F364" s="26" t="n">
        <v>4238</v>
      </c>
      <c r="G364" s="26" t="n">
        <v>4691</v>
      </c>
      <c r="H364" s="45">
        <f>(F364-E364)/E364</f>
        <v/>
      </c>
      <c r="I364" s="45">
        <f>(G364-F364)/F364</f>
        <v/>
      </c>
    </row>
    <row r="365">
      <c r="D365" s="7" t="inlineStr">
        <is>
          <t>HRL</t>
        </is>
      </c>
      <c r="E365" s="26" t="n">
        <v>9546</v>
      </c>
      <c r="F365" s="26" t="n">
        <v>9524</v>
      </c>
      <c r="G365" s="26" t="n">
        <v>9688</v>
      </c>
      <c r="H365" s="45">
        <f>(F365-E365)/E365</f>
        <v/>
      </c>
      <c r="I365" s="45">
        <f>(G365-F365)/F365</f>
        <v/>
      </c>
    </row>
    <row r="366">
      <c r="D366" s="7" t="inlineStr">
        <is>
          <t>MAS</t>
        </is>
      </c>
      <c r="E366" s="26" t="n">
        <v>8359</v>
      </c>
      <c r="F366" s="26" t="n">
        <v>8421</v>
      </c>
      <c r="G366" s="26" t="n">
        <v>6955</v>
      </c>
      <c r="H366" s="45">
        <f>(F366-E366)/E366</f>
        <v/>
      </c>
      <c r="I366" s="45">
        <f>(G366-F366)/F366</f>
        <v/>
      </c>
    </row>
    <row r="367">
      <c r="D367" s="7" t="inlineStr">
        <is>
          <t>NDAQ</t>
        </is>
      </c>
      <c r="E367" s="26" t="n">
        <v>2526</v>
      </c>
      <c r="F367" s="26" t="n">
        <v>2535</v>
      </c>
      <c r="G367" s="26" t="n">
        <v>2648</v>
      </c>
      <c r="H367" s="45">
        <f>(F367-E367)/E367</f>
        <v/>
      </c>
      <c r="I367" s="45">
        <f>(G367-F367)/F367</f>
        <v/>
      </c>
    </row>
    <row r="368">
      <c r="D368" s="7" t="inlineStr">
        <is>
          <t>CHRW</t>
        </is>
      </c>
      <c r="E368" s="26" t="n">
        <v>16631</v>
      </c>
      <c r="F368" s="26" t="n">
        <v>15598</v>
      </c>
      <c r="G368" s="26" t="n">
        <v>16313</v>
      </c>
      <c r="H368" s="45">
        <f>(F368-E368)/E368</f>
        <v/>
      </c>
      <c r="I368" s="45">
        <f>(G368-F368)/F368</f>
        <v/>
      </c>
    </row>
    <row r="369">
      <c r="D369" s="7" t="inlineStr">
        <is>
          <t>NTAP</t>
        </is>
      </c>
      <c r="E369" s="26" t="n">
        <v>6146</v>
      </c>
      <c r="F369" s="26" t="n">
        <v>5659</v>
      </c>
      <c r="G369" s="26" t="n">
        <v>5891</v>
      </c>
      <c r="H369" s="45">
        <f>(F369-E369)/E369</f>
        <v/>
      </c>
      <c r="I369" s="45">
        <f>(G369-F369)/F369</f>
        <v/>
      </c>
    </row>
    <row r="370">
      <c r="D370" s="7" t="inlineStr">
        <is>
          <t>FMC</t>
        </is>
      </c>
      <c r="E370" s="26" t="n">
        <v>4728</v>
      </c>
      <c r="F370" s="26" t="n">
        <v>4555</v>
      </c>
      <c r="G370" s="26" t="n">
        <v>4814</v>
      </c>
      <c r="H370" s="45">
        <f>(F370-E370)/E370</f>
        <v/>
      </c>
      <c r="I370" s="45">
        <f>(G370-F370)/F370</f>
        <v/>
      </c>
    </row>
    <row r="371">
      <c r="D371" s="7" t="inlineStr">
        <is>
          <t>IFF</t>
        </is>
      </c>
      <c r="E371" s="26" t="n">
        <v>3978</v>
      </c>
      <c r="F371" s="26" t="n">
        <v>5169</v>
      </c>
      <c r="G371" s="26" t="n">
        <v>5371</v>
      </c>
      <c r="H371" s="45">
        <f>(F371-E371)/E371</f>
        <v/>
      </c>
      <c r="I371" s="45">
        <f>(G371-F371)/F371</f>
        <v/>
      </c>
    </row>
    <row r="372">
      <c r="D372" s="7" t="inlineStr">
        <is>
          <t>CTL</t>
        </is>
      </c>
      <c r="E372" s="26" t="n">
        <v>23443</v>
      </c>
      <c r="F372" s="26" t="n">
        <v>22296</v>
      </c>
      <c r="G372" s="26" t="n">
        <v>21630</v>
      </c>
      <c r="H372" s="45">
        <f>(F372-E372)/E372</f>
        <v/>
      </c>
      <c r="I372" s="45">
        <f>(G372-F372)/F372</f>
        <v/>
      </c>
    </row>
    <row r="373">
      <c r="D373" s="7" t="inlineStr">
        <is>
          <t>NI</t>
        </is>
      </c>
      <c r="E373" s="26" t="n">
        <v>5115</v>
      </c>
      <c r="F373" s="26" t="n">
        <v>5247</v>
      </c>
      <c r="G373" s="26" t="n">
        <v>5518</v>
      </c>
      <c r="H373" s="45">
        <f>(F373-E373)/E373</f>
        <v/>
      </c>
      <c r="I373" s="45">
        <f>(G373-F373)/F373</f>
        <v/>
      </c>
    </row>
    <row r="374">
      <c r="D374" s="7" t="inlineStr">
        <is>
          <t>NCLH</t>
        </is>
      </c>
      <c r="E374" s="26" t="n">
        <v>6055</v>
      </c>
      <c r="F374" s="26" t="n">
        <v>6405</v>
      </c>
      <c r="G374" s="26" t="n">
        <v>7094</v>
      </c>
      <c r="H374" s="45">
        <f>(F374-E374)/E374</f>
        <v/>
      </c>
      <c r="I374" s="45">
        <f>(G374-F374)/F374</f>
        <v/>
      </c>
    </row>
    <row r="375">
      <c r="D375" s="7" t="inlineStr">
        <is>
          <t>WAB</t>
        </is>
      </c>
      <c r="E375" s="26" t="n">
        <v>4364</v>
      </c>
      <c r="F375" s="26" t="n">
        <v>8299</v>
      </c>
      <c r="G375" s="26" t="n">
        <v>9094</v>
      </c>
      <c r="H375" s="45">
        <f>(F375-E375)/E375</f>
        <v/>
      </c>
      <c r="I375" s="45">
        <f>(G375-F375)/F375</f>
        <v/>
      </c>
    </row>
    <row r="376">
      <c r="D376" s="7" t="inlineStr">
        <is>
          <t>BHGE</t>
        </is>
      </c>
      <c r="E376" s="26" t="inlineStr">
        <is>
          <t xml:space="preserve">
</t>
        </is>
      </c>
      <c r="F376" s="26" t="inlineStr">
        <is>
          <t xml:space="preserve">
</t>
        </is>
      </c>
      <c r="G376" s="26" t="inlineStr">
        <is>
          <t xml:space="preserve">
</t>
        </is>
      </c>
      <c r="H376" s="45">
        <f>(F376-E376)/E376</f>
        <v/>
      </c>
      <c r="I376" s="45">
        <f>(G376-F376)/F376</f>
        <v/>
      </c>
    </row>
    <row r="377">
      <c r="D377" s="7" t="inlineStr">
        <is>
          <t>LNC</t>
        </is>
      </c>
      <c r="E377" s="26" t="n">
        <v>16475</v>
      </c>
      <c r="F377" s="26" t="n">
        <v>17832</v>
      </c>
      <c r="G377" s="26" t="n">
        <v>18586</v>
      </c>
      <c r="H377" s="45">
        <f>(F377-E377)/E377</f>
        <v/>
      </c>
      <c r="I377" s="45">
        <f>(G377-F377)/F377</f>
        <v/>
      </c>
    </row>
    <row r="378">
      <c r="D378" s="7" t="inlineStr">
        <is>
          <t>JKHY</t>
        </is>
      </c>
      <c r="E378" s="26" t="n">
        <v>1553</v>
      </c>
      <c r="F378" s="26" t="n">
        <v>1654</v>
      </c>
      <c r="G378" s="26" t="n">
        <v>1775</v>
      </c>
      <c r="H378" s="45">
        <f>(F378-E378)/E378</f>
        <v/>
      </c>
      <c r="I378" s="45">
        <f>(G378-F378)/F378</f>
        <v/>
      </c>
    </row>
    <row r="379">
      <c r="D379" s="7" t="inlineStr">
        <is>
          <t>PNW</t>
        </is>
      </c>
      <c r="E379" s="26" t="n">
        <v>3691</v>
      </c>
      <c r="F379" s="26" t="n">
        <v>3762</v>
      </c>
      <c r="G379" s="26" t="n">
        <v>3815</v>
      </c>
      <c r="H379" s="45">
        <f>(F379-E379)/E379</f>
        <v/>
      </c>
      <c r="I379" s="45">
        <f>(G379-F379)/F379</f>
        <v/>
      </c>
    </row>
    <row r="380">
      <c r="D380" s="7" t="inlineStr">
        <is>
          <t>CF</t>
        </is>
      </c>
      <c r="E380" s="26" t="n">
        <v>4429</v>
      </c>
      <c r="F380" s="26" t="n">
        <v>4766</v>
      </c>
      <c r="G380" s="26" t="n">
        <v>4958</v>
      </c>
      <c r="H380" s="45">
        <f>(F380-E380)/E380</f>
        <v/>
      </c>
      <c r="I380" s="45">
        <f>(G380-F380)/F380</f>
        <v/>
      </c>
    </row>
    <row r="381">
      <c r="D381" s="7" t="inlineStr">
        <is>
          <t>NBL</t>
        </is>
      </c>
      <c r="E381" s="26" t="n">
        <v>4986</v>
      </c>
      <c r="F381" s="26" t="n">
        <v>4464</v>
      </c>
      <c r="G381" s="26" t="n">
        <v>5493</v>
      </c>
      <c r="H381" s="45">
        <f>(F381-E381)/E381</f>
        <v/>
      </c>
      <c r="I381" s="45">
        <f>(G381-F381)/F381</f>
        <v/>
      </c>
    </row>
    <row r="382">
      <c r="D382" s="7" t="inlineStr">
        <is>
          <t>VNO</t>
        </is>
      </c>
      <c r="E382" s="26" t="n">
        <v>2164</v>
      </c>
      <c r="F382" s="26" t="n">
        <v>2027</v>
      </c>
      <c r="G382" s="26" t="n">
        <v>1957</v>
      </c>
      <c r="H382" s="45">
        <f>(F382-E382)/E382</f>
        <v/>
      </c>
      <c r="I382" s="45">
        <f>(G382-F382)/F382</f>
        <v/>
      </c>
    </row>
    <row r="383">
      <c r="D383" s="7" t="inlineStr">
        <is>
          <t>WYNN</t>
        </is>
      </c>
      <c r="E383" s="26" t="n">
        <v>6718</v>
      </c>
      <c r="F383" s="26" t="n">
        <v>6844</v>
      </c>
      <c r="G383" s="26" t="n">
        <v>7474</v>
      </c>
      <c r="H383" s="45">
        <f>(F383-E383)/E383</f>
        <v/>
      </c>
      <c r="I383" s="45">
        <f>(G383-F383)/F383</f>
        <v/>
      </c>
    </row>
    <row r="384">
      <c r="D384" s="7" t="inlineStr">
        <is>
          <t>TXT</t>
        </is>
      </c>
      <c r="E384" s="26" t="n">
        <v>13972</v>
      </c>
      <c r="F384" s="26" t="n">
        <v>13698</v>
      </c>
      <c r="G384" s="26" t="n">
        <v>14279</v>
      </c>
      <c r="H384" s="45">
        <f>(F384-E384)/E384</f>
        <v/>
      </c>
      <c r="I384" s="45">
        <f>(G384-F384)/F384</f>
        <v/>
      </c>
    </row>
    <row r="385">
      <c r="D385" s="7" t="inlineStr">
        <is>
          <t>AAL</t>
        </is>
      </c>
      <c r="E385" s="27" t="n">
        <v>44541</v>
      </c>
      <c r="F385" s="27" t="n">
        <v>46042</v>
      </c>
      <c r="G385" s="27" t="n">
        <v>48370</v>
      </c>
      <c r="H385" s="45">
        <f>(F385-E385)/E385</f>
        <v/>
      </c>
      <c r="I385" s="45">
        <f>(G385-F385)/F385</f>
        <v/>
      </c>
    </row>
    <row r="386">
      <c r="D386" s="7" t="inlineStr">
        <is>
          <t>LW</t>
        </is>
      </c>
      <c r="E386" s="26" t="n">
        <v>3757</v>
      </c>
      <c r="F386" s="26" t="n">
        <v>4001</v>
      </c>
      <c r="G386" s="26" t="n">
        <v>4104</v>
      </c>
      <c r="H386" s="45">
        <f>(F386-E386)/E386</f>
        <v/>
      </c>
      <c r="I386" s="45">
        <f>(G386-F386)/F386</f>
        <v/>
      </c>
    </row>
    <row r="387">
      <c r="D387" s="7" t="inlineStr">
        <is>
          <t>RE</t>
        </is>
      </c>
      <c r="E387" s="26" t="n">
        <v>7414</v>
      </c>
      <c r="F387" s="26" t="n">
        <v>7842</v>
      </c>
      <c r="G387" s="26" t="n">
        <v>8376</v>
      </c>
      <c r="H387" s="45">
        <f>(F387-E387)/E387</f>
        <v/>
      </c>
      <c r="I387" s="45">
        <f>(G387-F387)/F387</f>
        <v/>
      </c>
    </row>
    <row r="388">
      <c r="D388" s="7" t="inlineStr">
        <is>
          <t>ETFC</t>
        </is>
      </c>
      <c r="E388" s="26" t="n">
        <v>2873</v>
      </c>
      <c r="F388" s="26" t="n">
        <v>2929</v>
      </c>
      <c r="G388" s="26" t="n">
        <v>2895</v>
      </c>
      <c r="H388" s="45">
        <f>(F388-E388)/E388</f>
        <v/>
      </c>
      <c r="I388" s="45">
        <f>(G388-F388)/F388</f>
        <v/>
      </c>
    </row>
    <row r="389">
      <c r="D389" s="7" t="inlineStr">
        <is>
          <t>AES</t>
        </is>
      </c>
      <c r="E389" s="26" t="n">
        <v>10736</v>
      </c>
      <c r="F389" s="26" t="n">
        <v>10778</v>
      </c>
      <c r="G389" s="26" t="n">
        <v>11341</v>
      </c>
      <c r="H389" s="45">
        <f>(F389-E389)/E389</f>
        <v/>
      </c>
      <c r="I389" s="45">
        <f>(G389-F389)/F389</f>
        <v/>
      </c>
    </row>
    <row r="390">
      <c r="D390" s="7" t="inlineStr">
        <is>
          <t>JEC</t>
        </is>
      </c>
      <c r="E390" s="26" t="n">
        <v>14985</v>
      </c>
      <c r="F390" s="26" t="n">
        <v>12621</v>
      </c>
      <c r="G390" s="26" t="n">
        <v>13426</v>
      </c>
      <c r="H390" s="45">
        <f>(F390-E390)/E390</f>
        <v/>
      </c>
      <c r="I390" s="45">
        <f>(G390-F390)/F390</f>
        <v/>
      </c>
    </row>
    <row r="391">
      <c r="D391" s="7" t="inlineStr">
        <is>
          <t>FTI</t>
        </is>
      </c>
      <c r="E391" s="26" t="n">
        <v>12553</v>
      </c>
      <c r="F391" s="26" t="n">
        <v>13510</v>
      </c>
      <c r="G391" s="26" t="n">
        <v>15119</v>
      </c>
      <c r="H391" s="45">
        <f>(F391-E391)/E391</f>
        <v/>
      </c>
      <c r="I391" s="45">
        <f>(G391-F391)/F391</f>
        <v/>
      </c>
    </row>
    <row r="392">
      <c r="D392" s="7" t="inlineStr">
        <is>
          <t>ARNC</t>
        </is>
      </c>
      <c r="E392" s="26" t="n">
        <v>14014</v>
      </c>
      <c r="F392" s="26" t="n">
        <v>14427</v>
      </c>
      <c r="G392" s="26" t="n">
        <v>14915</v>
      </c>
      <c r="H392" s="45">
        <f>(F392-E392)/E392</f>
        <v/>
      </c>
      <c r="I392" s="45">
        <f>(G392-F392)/F392</f>
        <v/>
      </c>
    </row>
    <row r="393">
      <c r="D393" s="7" t="inlineStr">
        <is>
          <t>SIVB</t>
        </is>
      </c>
      <c r="E393" s="26" t="n">
        <v>2648</v>
      </c>
      <c r="F393" s="26" t="n">
        <v>3272</v>
      </c>
      <c r="G393" s="26" t="n">
        <v>3321</v>
      </c>
      <c r="H393" s="45">
        <f>(F393-E393)/E393</f>
        <v/>
      </c>
      <c r="I393" s="45">
        <f>(G393-F393)/F393</f>
        <v/>
      </c>
    </row>
    <row r="394">
      <c r="D394" s="7" t="inlineStr">
        <is>
          <t>AAP</t>
        </is>
      </c>
      <c r="E394" s="26" t="n">
        <v>9581</v>
      </c>
      <c r="F394" s="26" t="n">
        <v>9720</v>
      </c>
      <c r="G394" s="26" t="n">
        <v>9959</v>
      </c>
      <c r="H394" s="45">
        <f>(F394-E394)/E394</f>
        <v/>
      </c>
      <c r="I394" s="45">
        <f>(G394-F394)/F394</f>
        <v/>
      </c>
    </row>
    <row r="395">
      <c r="D395" s="7" t="inlineStr">
        <is>
          <t>VAR</t>
        </is>
      </c>
      <c r="E395" s="26" t="n">
        <v>2919</v>
      </c>
      <c r="F395" s="26" t="n">
        <v>3197</v>
      </c>
      <c r="G395" s="26" t="n">
        <v>3486</v>
      </c>
      <c r="H395" s="45">
        <f>(F395-E395)/E395</f>
        <v/>
      </c>
      <c r="I395" s="45">
        <f>(G395-F395)/F395</f>
        <v/>
      </c>
    </row>
    <row r="396">
      <c r="D396" s="7" t="inlineStr">
        <is>
          <t>RJF</t>
        </is>
      </c>
      <c r="E396" s="26" t="n">
        <v>7274</v>
      </c>
      <c r="F396" s="26" t="n">
        <v>7725</v>
      </c>
      <c r="G396" s="26" t="n">
        <v>8228</v>
      </c>
      <c r="H396" s="45">
        <f>(F396-E396)/E396</f>
        <v/>
      </c>
      <c r="I396" s="45">
        <f>(G396-F396)/F396</f>
        <v/>
      </c>
    </row>
    <row r="397">
      <c r="D397" s="7" t="inlineStr">
        <is>
          <t>MRO</t>
        </is>
      </c>
      <c r="E397" s="26" t="n">
        <v>6582</v>
      </c>
      <c r="F397" s="26" t="n">
        <v>5344</v>
      </c>
      <c r="G397" s="26" t="n">
        <v>5876</v>
      </c>
      <c r="H397" s="45">
        <f>(F397-E397)/E397</f>
        <v/>
      </c>
      <c r="I397" s="45">
        <f>(G397-F397)/F397</f>
        <v/>
      </c>
    </row>
    <row r="398">
      <c r="D398" s="7" t="inlineStr">
        <is>
          <t>FRT</t>
        </is>
      </c>
      <c r="E398" s="26" t="n">
        <v>912</v>
      </c>
      <c r="F398" s="26" t="n">
        <v>935</v>
      </c>
      <c r="G398" s="26" t="n">
        <v>979</v>
      </c>
      <c r="H398" s="45">
        <f>(F398-E398)/E398</f>
        <v/>
      </c>
      <c r="I398" s="45">
        <f>(G398-F398)/F398</f>
        <v/>
      </c>
    </row>
    <row r="399">
      <c r="D399" s="7" t="inlineStr">
        <is>
          <t>GRMN</t>
        </is>
      </c>
      <c r="E399" s="26" t="n">
        <v>3347</v>
      </c>
      <c r="F399" s="26" t="n">
        <v>3604</v>
      </c>
      <c r="G399" s="26" t="n">
        <v>3778</v>
      </c>
      <c r="H399" s="45">
        <f>(F399-E399)/E399</f>
        <v/>
      </c>
      <c r="I399" s="45">
        <f>(G399-F399)/F399</f>
        <v/>
      </c>
    </row>
    <row r="400">
      <c r="D400" s="7" t="inlineStr">
        <is>
          <t>AVY</t>
        </is>
      </c>
      <c r="E400" s="26" t="n">
        <v>7159</v>
      </c>
      <c r="F400" s="26" t="n">
        <v>7097</v>
      </c>
      <c r="G400" s="26" t="n">
        <v>7329</v>
      </c>
      <c r="H400" s="45">
        <f>(F400-E400)/E400</f>
        <v/>
      </c>
      <c r="I400" s="45">
        <f>(G400-F400)/F400</f>
        <v/>
      </c>
    </row>
    <row r="401">
      <c r="D401" s="7" t="inlineStr">
        <is>
          <t>MYL</t>
        </is>
      </c>
      <c r="E401" s="26" t="n">
        <v>11434</v>
      </c>
      <c r="F401" s="26" t="n">
        <v>11631</v>
      </c>
      <c r="G401" s="26" t="n">
        <v>11995</v>
      </c>
      <c r="H401" s="45">
        <f>(F401-E401)/E401</f>
        <v/>
      </c>
      <c r="I401" s="45">
        <f>(G401-F401)/F401</f>
        <v/>
      </c>
    </row>
    <row r="402">
      <c r="D402" s="7" t="inlineStr">
        <is>
          <t>TAP</t>
        </is>
      </c>
      <c r="E402" s="26" t="n">
        <v>10770</v>
      </c>
      <c r="F402" s="26" t="n">
        <v>10606</v>
      </c>
      <c r="G402" s="26" t="n">
        <v>10599</v>
      </c>
      <c r="H402" s="45">
        <f>(F402-E402)/E402</f>
        <v/>
      </c>
      <c r="I402" s="45">
        <f>(G402-F402)/F402</f>
        <v/>
      </c>
    </row>
    <row r="403">
      <c r="D403" s="7" t="inlineStr">
        <is>
          <t>NRG</t>
        </is>
      </c>
      <c r="E403" s="26" t="n">
        <v>9478</v>
      </c>
      <c r="F403" s="26" t="n">
        <v>10131</v>
      </c>
      <c r="G403" s="26" t="n">
        <v>10588</v>
      </c>
      <c r="H403" s="45">
        <f>(F403-E403)/E403</f>
        <v/>
      </c>
      <c r="I403" s="45">
        <f>(G403-F403)/F403</f>
        <v/>
      </c>
    </row>
    <row r="404">
      <c r="D404" s="7" t="inlineStr">
        <is>
          <t>PKG</t>
        </is>
      </c>
      <c r="E404" s="26" t="n">
        <v>7015</v>
      </c>
      <c r="F404" s="26" t="n">
        <v>7028</v>
      </c>
      <c r="G404" s="26" t="n">
        <v>7042</v>
      </c>
      <c r="H404" s="45">
        <f>(F404-E404)/E404</f>
        <v/>
      </c>
      <c r="I404" s="45">
        <f>(G404-F404)/F404</f>
        <v/>
      </c>
    </row>
    <row r="405">
      <c r="D405" s="7" t="inlineStr">
        <is>
          <t>CMA</t>
        </is>
      </c>
      <c r="E405" s="26" t="n">
        <v>3328</v>
      </c>
      <c r="F405" s="26" t="n">
        <v>3369</v>
      </c>
      <c r="G405" s="26" t="n">
        <v>3271</v>
      </c>
      <c r="H405" s="45">
        <f>(F405-E405)/E405</f>
        <v/>
      </c>
      <c r="I405" s="45">
        <f>(G405-F405)/F405</f>
        <v/>
      </c>
    </row>
    <row r="406">
      <c r="D406" s="7" t="inlineStr">
        <is>
          <t>WU</t>
        </is>
      </c>
      <c r="E406" s="26" t="n">
        <v>5590</v>
      </c>
      <c r="F406" s="26" t="n">
        <v>5311</v>
      </c>
      <c r="G406" s="26" t="n">
        <v>5287</v>
      </c>
      <c r="H406" s="45">
        <f>(F406-E406)/E406</f>
        <v/>
      </c>
      <c r="I406" s="45">
        <f>(G406-F406)/F406</f>
        <v/>
      </c>
    </row>
    <row r="407">
      <c r="D407" s="7" t="inlineStr">
        <is>
          <t>DVN</t>
        </is>
      </c>
      <c r="E407" s="26" t="n">
        <v>12346</v>
      </c>
      <c r="F407" s="26" t="n">
        <v>7205</v>
      </c>
      <c r="G407" s="26" t="n">
        <v>6705</v>
      </c>
      <c r="H407" s="45">
        <f>(F407-E407)/E407</f>
        <v/>
      </c>
      <c r="I407" s="45">
        <f>(G407-F407)/F407</f>
        <v/>
      </c>
    </row>
    <row r="408">
      <c r="D408" s="7" t="inlineStr">
        <is>
          <t>DXC</t>
        </is>
      </c>
      <c r="E408" s="26" t="n">
        <v>20753</v>
      </c>
      <c r="F408" s="26" t="n">
        <v>20315</v>
      </c>
      <c r="G408" s="26" t="n">
        <v>20499</v>
      </c>
      <c r="H408" s="45">
        <f>(F408-E408)/E408</f>
        <v/>
      </c>
      <c r="I408" s="45">
        <f>(G408-F408)/F408</f>
        <v/>
      </c>
    </row>
    <row r="409">
      <c r="D409" s="7" t="inlineStr">
        <is>
          <t>HSIC</t>
        </is>
      </c>
      <c r="E409" s="26" t="n">
        <v>13202</v>
      </c>
      <c r="F409" s="26" t="n">
        <v>9981</v>
      </c>
      <c r="G409" s="26" t="n">
        <v>10363</v>
      </c>
      <c r="H409" s="45">
        <f>(F409-E409)/E409</f>
        <v/>
      </c>
      <c r="I409" s="45">
        <f>(G409-F409)/F409</f>
        <v/>
      </c>
    </row>
    <row r="410">
      <c r="D410" s="7" t="inlineStr">
        <is>
          <t>PKI</t>
        </is>
      </c>
      <c r="E410" s="26" t="n">
        <v>2779</v>
      </c>
      <c r="F410" s="26" t="n">
        <v>2911</v>
      </c>
      <c r="G410" s="26" t="n">
        <v>3126</v>
      </c>
      <c r="H410" s="45">
        <f>(F410-E410)/E410</f>
        <v/>
      </c>
      <c r="I410" s="45">
        <f>(G410-F410)/F410</f>
        <v/>
      </c>
    </row>
    <row r="411">
      <c r="D411" s="7" t="inlineStr">
        <is>
          <t>IRM</t>
        </is>
      </c>
      <c r="E411" s="26" t="n">
        <v>4226</v>
      </c>
      <c r="F411" s="26" t="n">
        <v>4279</v>
      </c>
      <c r="G411" s="26" t="n">
        <v>4425</v>
      </c>
      <c r="H411" s="45">
        <f>(F411-E411)/E411</f>
        <v/>
      </c>
      <c r="I411" s="45">
        <f>(G411-F411)/F411</f>
        <v/>
      </c>
    </row>
    <row r="412">
      <c r="D412" s="7" t="inlineStr">
        <is>
          <t>ALLE</t>
        </is>
      </c>
      <c r="E412" s="26" t="n">
        <v>2732</v>
      </c>
      <c r="F412" s="26" t="n">
        <v>2866</v>
      </c>
      <c r="G412" s="26" t="n">
        <v>2988</v>
      </c>
      <c r="H412" s="45">
        <f>(F412-E412)/E412</f>
        <v/>
      </c>
      <c r="I412" s="45">
        <f>(G412-F412)/F412</f>
        <v/>
      </c>
    </row>
    <row r="413">
      <c r="D413" s="7" t="inlineStr">
        <is>
          <t>TIF</t>
        </is>
      </c>
      <c r="E413" s="26" t="n">
        <v>4442</v>
      </c>
      <c r="F413" s="26" t="n">
        <v>4479</v>
      </c>
      <c r="G413" s="26" t="n">
        <v>4662</v>
      </c>
      <c r="H413" s="45">
        <f>(F413-E413)/E413</f>
        <v/>
      </c>
      <c r="I413" s="45">
        <f>(G413-F413)/F413</f>
        <v/>
      </c>
    </row>
    <row r="414">
      <c r="D414" s="7" t="inlineStr">
        <is>
          <t>VIAB</t>
        </is>
      </c>
      <c r="E414" s="26" t="n">
        <v>12943</v>
      </c>
      <c r="F414" s="26" t="n">
        <v>12837</v>
      </c>
      <c r="G414" s="26" t="n">
        <v>13267</v>
      </c>
      <c r="H414" s="45">
        <f>(F414-E414)/E414</f>
        <v/>
      </c>
      <c r="I414" s="45">
        <f>(G414-F414)/F414</f>
        <v/>
      </c>
    </row>
    <row r="415">
      <c r="D415" s="7" t="inlineStr">
        <is>
          <t>JBHT</t>
        </is>
      </c>
      <c r="E415" s="26" t="n">
        <v>8615</v>
      </c>
      <c r="F415" s="26" t="n">
        <v>9155</v>
      </c>
      <c r="G415" s="26" t="n">
        <v>9766</v>
      </c>
      <c r="H415" s="45">
        <f>(F415-E415)/E415</f>
        <v/>
      </c>
      <c r="I415" s="45">
        <f>(G415-F415)/F415</f>
        <v/>
      </c>
    </row>
    <row r="416">
      <c r="D416" s="7" t="inlineStr">
        <is>
          <t>EMN</t>
        </is>
      </c>
      <c r="E416" s="26" t="n">
        <v>10151</v>
      </c>
      <c r="F416" s="26" t="n">
        <v>9539</v>
      </c>
      <c r="G416" s="26" t="n">
        <v>9904</v>
      </c>
      <c r="H416" s="45">
        <f>(F416-E416)/E416</f>
        <v/>
      </c>
      <c r="I416" s="45">
        <f>(G416-F416)/F416</f>
        <v/>
      </c>
    </row>
    <row r="417">
      <c r="D417" s="7" t="inlineStr">
        <is>
          <t>ABMD</t>
        </is>
      </c>
      <c r="E417" s="26" t="n">
        <v>769</v>
      </c>
      <c r="F417" s="26" t="n">
        <v>896</v>
      </c>
      <c r="G417" s="26" t="n">
        <v>1049</v>
      </c>
      <c r="H417" s="45">
        <f>(F417-E417)/E417</f>
        <v/>
      </c>
      <c r="I417" s="45">
        <f>(G417-F417)/F417</f>
        <v/>
      </c>
    </row>
    <row r="418">
      <c r="D418" s="7" t="inlineStr">
        <is>
          <t>HII</t>
        </is>
      </c>
      <c r="E418" s="26" t="n">
        <v>8176</v>
      </c>
      <c r="F418" s="26" t="n">
        <v>8765</v>
      </c>
      <c r="G418" s="26" t="n">
        <v>9030</v>
      </c>
      <c r="H418" s="45">
        <f>(F418-E418)/E418</f>
        <v/>
      </c>
      <c r="I418" s="45">
        <f>(G418-F418)/F418</f>
        <v/>
      </c>
    </row>
    <row r="419">
      <c r="D419" s="7" t="inlineStr">
        <is>
          <t>WHR</t>
        </is>
      </c>
      <c r="E419" s="26" t="n">
        <v>21037</v>
      </c>
      <c r="F419" s="26" t="n">
        <v>20491</v>
      </c>
      <c r="G419" s="26" t="n">
        <v>20458</v>
      </c>
      <c r="H419" s="45">
        <f>(F419-E419)/E419</f>
        <v/>
      </c>
      <c r="I419" s="45">
        <f>(G419-F419)/F419</f>
        <v/>
      </c>
    </row>
    <row r="420">
      <c r="D420" s="7" t="inlineStr">
        <is>
          <t>PHM</t>
        </is>
      </c>
      <c r="E420" s="26" t="n">
        <v>10188</v>
      </c>
      <c r="F420" s="26" t="n">
        <v>9952</v>
      </c>
      <c r="G420" s="26" t="n">
        <v>10548</v>
      </c>
      <c r="H420" s="45">
        <f>(F420-E420)/E420</f>
        <v/>
      </c>
      <c r="I420" s="45">
        <f>(G420-F420)/F420</f>
        <v/>
      </c>
    </row>
    <row r="421">
      <c r="D421" s="7" t="inlineStr">
        <is>
          <t>QRVO</t>
        </is>
      </c>
      <c r="E421" s="26" t="n">
        <v>3090</v>
      </c>
      <c r="F421" s="26" t="n">
        <v>2975</v>
      </c>
      <c r="G421" s="26" t="n">
        <v>3188</v>
      </c>
      <c r="H421" s="45">
        <f>(F421-E421)/E421</f>
        <v/>
      </c>
      <c r="I421" s="45">
        <f>(G421-F421)/F421</f>
        <v/>
      </c>
    </row>
    <row r="422">
      <c r="D422" s="7" t="inlineStr">
        <is>
          <t>WRK</t>
        </is>
      </c>
      <c r="E422" s="26" t="n">
        <v>16285</v>
      </c>
      <c r="F422" s="26" t="n">
        <v>18471</v>
      </c>
      <c r="G422" s="26" t="n">
        <v>18484</v>
      </c>
      <c r="H422" s="45">
        <f>(F422-E422)/E422</f>
        <v/>
      </c>
      <c r="I422" s="45">
        <f>(G422-F422)/F422</f>
        <v/>
      </c>
    </row>
    <row r="423">
      <c r="D423" s="7" t="inlineStr">
        <is>
          <t>URI</t>
        </is>
      </c>
      <c r="E423" s="26" t="n">
        <v>8047</v>
      </c>
      <c r="F423" s="26" t="n">
        <v>9315</v>
      </c>
      <c r="G423" s="26" t="n">
        <v>9639</v>
      </c>
      <c r="H423" s="45">
        <f>(F423-E423)/E423</f>
        <v/>
      </c>
      <c r="I423" s="45">
        <f>(G423-F423)/F423</f>
        <v/>
      </c>
    </row>
    <row r="424">
      <c r="D424" s="7" t="inlineStr">
        <is>
          <t>CPB</t>
        </is>
      </c>
      <c r="E424" s="26" t="n">
        <v>8107</v>
      </c>
      <c r="F424" s="26" t="n">
        <v>8190</v>
      </c>
      <c r="G424" s="26" t="n">
        <v>8113</v>
      </c>
      <c r="H424" s="45">
        <f>(F424-E424)/E424</f>
        <v/>
      </c>
      <c r="I424" s="45">
        <f>(G424-F424)/F424</f>
        <v/>
      </c>
    </row>
    <row r="425">
      <c r="D425" s="7" t="inlineStr">
        <is>
          <t>SNA</t>
        </is>
      </c>
      <c r="E425" s="26" t="n">
        <v>3741</v>
      </c>
      <c r="F425" s="26" t="n">
        <v>3768</v>
      </c>
      <c r="G425" s="26" t="n">
        <v>3864</v>
      </c>
      <c r="H425" s="45">
        <f>(F425-E425)/E425</f>
        <v/>
      </c>
      <c r="I425" s="45">
        <f>(G425-F425)/F425</f>
        <v/>
      </c>
    </row>
    <row r="426">
      <c r="D426" s="7" t="inlineStr">
        <is>
          <t>LKQ</t>
        </is>
      </c>
      <c r="E426" s="26" t="n">
        <v>11877</v>
      </c>
      <c r="F426" s="26" t="n">
        <v>12546</v>
      </c>
      <c r="G426" s="26" t="n">
        <v>12891</v>
      </c>
      <c r="H426" s="45">
        <f>(F426-E426)/E426</f>
        <v/>
      </c>
      <c r="I426" s="45">
        <f>(G426-F426)/F426</f>
        <v/>
      </c>
    </row>
    <row r="427">
      <c r="D427" s="7" t="inlineStr">
        <is>
          <t>JNPR</t>
        </is>
      </c>
      <c r="E427" s="26" t="n">
        <v>4648</v>
      </c>
      <c r="F427" s="26" t="n">
        <v>4470</v>
      </c>
      <c r="G427" s="26" t="n">
        <v>4621</v>
      </c>
      <c r="H427" s="45">
        <f>(F427-E427)/E427</f>
        <v/>
      </c>
      <c r="I427" s="45">
        <f>(G427-F427)/F427</f>
        <v/>
      </c>
    </row>
    <row r="428">
      <c r="D428" s="7" t="inlineStr">
        <is>
          <t>APA</t>
        </is>
      </c>
      <c r="E428" s="26" t="n">
        <v>7424</v>
      </c>
      <c r="F428" s="26" t="n">
        <v>6451</v>
      </c>
      <c r="G428" s="26" t="n">
        <v>6989</v>
      </c>
      <c r="H428" s="45">
        <f>(F428-E428)/E428</f>
        <v/>
      </c>
      <c r="I428" s="45">
        <f>(G428-F428)/F428</f>
        <v/>
      </c>
    </row>
    <row r="429">
      <c r="D429" s="7" t="inlineStr">
        <is>
          <t>BEN</t>
        </is>
      </c>
      <c r="E429" s="26" t="n">
        <v>6319</v>
      </c>
      <c r="F429" s="26" t="n">
        <v>5802</v>
      </c>
      <c r="G429" s="26" t="n">
        <v>5801</v>
      </c>
      <c r="H429" s="45">
        <f>(F429-E429)/E429</f>
        <v/>
      </c>
      <c r="I429" s="45">
        <f>(G429-F429)/F429</f>
        <v/>
      </c>
    </row>
    <row r="430">
      <c r="D430" s="7" t="inlineStr">
        <is>
          <t>IPG</t>
        </is>
      </c>
      <c r="E430" s="26" t="n">
        <v>8032</v>
      </c>
      <c r="F430" s="26" t="n">
        <v>8701</v>
      </c>
      <c r="G430" s="26" t="n">
        <v>8960</v>
      </c>
      <c r="H430" s="45">
        <f>(F430-E430)/E430</f>
        <v/>
      </c>
      <c r="I430" s="45">
        <f>(G430-F430)/F430</f>
        <v/>
      </c>
    </row>
    <row r="431">
      <c r="D431" s="7" t="inlineStr">
        <is>
          <t>KIM</t>
        </is>
      </c>
      <c r="E431" s="26" t="n">
        <v>1150</v>
      </c>
      <c r="F431" s="26" t="n">
        <v>1140</v>
      </c>
      <c r="G431" s="26" t="n">
        <v>1159</v>
      </c>
      <c r="H431" s="45">
        <f>(F431-E431)/E431</f>
        <v/>
      </c>
      <c r="I431" s="45">
        <f>(G431-F431)/F431</f>
        <v/>
      </c>
    </row>
    <row r="432">
      <c r="D432" s="7" t="inlineStr">
        <is>
          <t>AIV</t>
        </is>
      </c>
      <c r="E432" s="26" t="n">
        <v>965</v>
      </c>
      <c r="F432" s="26" t="n">
        <v>894</v>
      </c>
      <c r="G432" s="26" t="n">
        <v>916</v>
      </c>
      <c r="H432" s="45">
        <f>(F432-E432)/E432</f>
        <v/>
      </c>
      <c r="I432" s="45">
        <f>(G432-F432)/F432</f>
        <v/>
      </c>
    </row>
    <row r="433">
      <c r="D433" s="7" t="inlineStr">
        <is>
          <t>FFIV</t>
        </is>
      </c>
      <c r="E433" s="26" t="n">
        <v>2161</v>
      </c>
      <c r="F433" s="26" t="n">
        <v>2235</v>
      </c>
      <c r="G433" s="26" t="n">
        <v>2327</v>
      </c>
      <c r="H433" s="45">
        <f>(F433-E433)/E433</f>
        <v/>
      </c>
      <c r="I433" s="45">
        <f>(G433-F433)/F433</f>
        <v/>
      </c>
    </row>
    <row r="434">
      <c r="D434" s="7" t="inlineStr">
        <is>
          <t>AIZ</t>
        </is>
      </c>
      <c r="E434" s="26" t="n">
        <v>8058</v>
      </c>
      <c r="F434" s="26" t="n">
        <v>10157</v>
      </c>
      <c r="G434" s="26" t="n">
        <v>10375</v>
      </c>
      <c r="H434" s="45">
        <f>(F434-E434)/E434</f>
        <v/>
      </c>
      <c r="I434" s="45">
        <f>(G434-F434)/F434</f>
        <v/>
      </c>
    </row>
    <row r="435">
      <c r="D435" s="7" t="inlineStr">
        <is>
          <t>ZION</t>
        </is>
      </c>
      <c r="E435" s="26" t="n">
        <v>2804</v>
      </c>
      <c r="F435" s="26" t="n">
        <v>2844</v>
      </c>
      <c r="G435" s="26" t="n">
        <v>2830</v>
      </c>
      <c r="H435" s="45">
        <f>(F435-E435)/E435</f>
        <v/>
      </c>
      <c r="I435" s="45">
        <f>(G435-F435)/F435</f>
        <v/>
      </c>
    </row>
    <row r="436">
      <c r="D436" s="7" t="inlineStr">
        <is>
          <t>KSS</t>
        </is>
      </c>
      <c r="E436" s="26" t="n">
        <v>19167</v>
      </c>
      <c r="F436" s="26" t="n">
        <v>19078</v>
      </c>
      <c r="G436" s="26" t="n">
        <v>19185</v>
      </c>
      <c r="H436" s="45">
        <f>(F436-E436)/E436</f>
        <v/>
      </c>
      <c r="I436" s="45">
        <f>(G436-F436)/F436</f>
        <v/>
      </c>
    </row>
    <row r="437">
      <c r="D437" s="7" t="inlineStr">
        <is>
          <t>DISH</t>
        </is>
      </c>
      <c r="E437" s="26" t="n">
        <v>13621</v>
      </c>
      <c r="F437" s="26" t="n">
        <v>12635</v>
      </c>
      <c r="G437" s="26" t="n">
        <v>12196</v>
      </c>
      <c r="H437" s="45">
        <f>(F437-E437)/E437</f>
        <v/>
      </c>
      <c r="I437" s="45">
        <f>(G437-F437)/F437</f>
        <v/>
      </c>
    </row>
    <row r="438">
      <c r="D438" s="7" t="inlineStr">
        <is>
          <t>NOV</t>
        </is>
      </c>
      <c r="E438" s="26" t="n">
        <v>8453</v>
      </c>
      <c r="F438" s="26" t="n">
        <v>8457</v>
      </c>
      <c r="G438" s="26" t="n">
        <v>9133</v>
      </c>
      <c r="H438" s="45">
        <f>(F438-E438)/E438</f>
        <v/>
      </c>
      <c r="I438" s="45">
        <f>(G438-F438)/F438</f>
        <v/>
      </c>
    </row>
    <row r="439">
      <c r="D439" s="7" t="inlineStr">
        <is>
          <t>ALK</t>
        </is>
      </c>
      <c r="E439" s="26" t="n">
        <v>8264</v>
      </c>
      <c r="F439" s="26" t="n">
        <v>8727</v>
      </c>
      <c r="G439" s="26" t="n">
        <v>9234</v>
      </c>
      <c r="H439" s="45">
        <f>(F439-E439)/E439</f>
        <v/>
      </c>
      <c r="I439" s="45">
        <f>(G439-F439)/F439</f>
        <v/>
      </c>
    </row>
    <row r="440">
      <c r="D440" s="7" t="inlineStr">
        <is>
          <t>COG</t>
        </is>
      </c>
      <c r="E440" s="26" t="n">
        <v>2188</v>
      </c>
      <c r="F440" s="26" t="n">
        <v>2176</v>
      </c>
      <c r="G440" s="26" t="n">
        <v>2079</v>
      </c>
      <c r="H440" s="45">
        <f>(F440-E440)/E440</f>
        <v/>
      </c>
      <c r="I440" s="45">
        <f>(G440-F440)/F440</f>
        <v/>
      </c>
    </row>
    <row r="441">
      <c r="D441" s="7" t="inlineStr">
        <is>
          <t>NLSN</t>
        </is>
      </c>
      <c r="E441" s="26" t="n">
        <v>6515</v>
      </c>
      <c r="F441" s="26" t="n">
        <v>6481</v>
      </c>
      <c r="G441" s="26" t="n">
        <v>6604</v>
      </c>
      <c r="H441" s="45">
        <f>(F441-E441)/E441</f>
        <v/>
      </c>
      <c r="I441" s="45">
        <f>(G441-F441)/F441</f>
        <v/>
      </c>
    </row>
    <row r="442">
      <c r="D442" s="7" t="inlineStr">
        <is>
          <t>MHK</t>
        </is>
      </c>
      <c r="E442" s="26" t="n">
        <v>9984</v>
      </c>
      <c r="F442" s="26" t="n">
        <v>10002</v>
      </c>
      <c r="G442" s="26" t="n">
        <v>10238</v>
      </c>
      <c r="H442" s="45">
        <f>(F442-E442)/E442</f>
        <v/>
      </c>
      <c r="I442" s="45">
        <f>(G442-F442)/F442</f>
        <v/>
      </c>
    </row>
    <row r="443">
      <c r="D443" s="7" t="inlineStr">
        <is>
          <t>FBHS</t>
        </is>
      </c>
      <c r="E443" s="26" t="n">
        <v>5485</v>
      </c>
      <c r="F443" s="26" t="n">
        <v>5813</v>
      </c>
      <c r="G443" s="26" t="n">
        <v>6042</v>
      </c>
      <c r="H443" s="45">
        <f>(F443-E443)/E443</f>
        <v/>
      </c>
      <c r="I443" s="45">
        <f>(G443-F443)/F443</f>
        <v/>
      </c>
    </row>
    <row r="444">
      <c r="D444" s="7" t="inlineStr">
        <is>
          <t>HFC</t>
        </is>
      </c>
      <c r="E444" s="26" t="n">
        <v>17715</v>
      </c>
      <c r="F444" s="26" t="n">
        <v>17444</v>
      </c>
      <c r="G444" s="26" t="n">
        <v>16929</v>
      </c>
      <c r="H444" s="45">
        <f>(F444-E444)/E444</f>
        <v/>
      </c>
      <c r="I444" s="45">
        <f>(G444-F444)/F444</f>
        <v/>
      </c>
    </row>
    <row r="445">
      <c r="D445" s="7" t="inlineStr">
        <is>
          <t>DVA</t>
        </is>
      </c>
      <c r="E445" s="26" t="n">
        <v>11405</v>
      </c>
      <c r="F445" s="26" t="n">
        <v>11350</v>
      </c>
      <c r="G445" s="26" t="n">
        <v>11578</v>
      </c>
      <c r="H445" s="45">
        <f>(F445-E445)/E445</f>
        <v/>
      </c>
      <c r="I445" s="45">
        <f>(G445-F445)/F445</f>
        <v/>
      </c>
    </row>
    <row r="446">
      <c r="D446" s="7" t="inlineStr">
        <is>
          <t>SLG</t>
        </is>
      </c>
      <c r="E446" s="26" t="n">
        <v>979</v>
      </c>
      <c r="F446" s="26" t="n">
        <v>969</v>
      </c>
      <c r="G446" s="26" t="n">
        <v>944</v>
      </c>
      <c r="H446" s="45">
        <f>(F446-E446)/E446</f>
        <v/>
      </c>
      <c r="I446" s="45">
        <f>(G446-F446)/F446</f>
        <v/>
      </c>
    </row>
    <row r="447">
      <c r="D447" s="7" t="inlineStr">
        <is>
          <t>ALB</t>
        </is>
      </c>
      <c r="E447" s="26" t="n">
        <v>3375</v>
      </c>
      <c r="F447" s="26" t="n">
        <v>3648</v>
      </c>
      <c r="G447" s="26" t="n">
        <v>3899</v>
      </c>
      <c r="H447" s="45">
        <f>(F447-E447)/E447</f>
        <v/>
      </c>
      <c r="I447" s="45">
        <f>(G447-F447)/F447</f>
        <v/>
      </c>
    </row>
    <row r="448">
      <c r="D448" s="7" t="inlineStr">
        <is>
          <t>RHI</t>
        </is>
      </c>
      <c r="E448" s="26" t="n">
        <v>5800</v>
      </c>
      <c r="F448" s="26" t="n">
        <v>6080</v>
      </c>
      <c r="G448" s="26" t="n">
        <v>6359</v>
      </c>
      <c r="H448" s="45">
        <f>(F448-E448)/E448</f>
        <v/>
      </c>
      <c r="I448" s="45">
        <f>(G448-F448)/F448</f>
        <v/>
      </c>
    </row>
    <row r="449">
      <c r="D449" s="7" t="inlineStr">
        <is>
          <t>AOS</t>
        </is>
      </c>
      <c r="E449" s="27" t="n">
        <v>3188</v>
      </c>
      <c r="F449" s="27" t="n">
        <v>3091</v>
      </c>
      <c r="G449" s="27" t="n">
        <v>3214</v>
      </c>
      <c r="H449" s="45">
        <f>(F449-E449)/E449</f>
        <v/>
      </c>
      <c r="I449" s="45">
        <f>(G449-F449)/F449</f>
        <v/>
      </c>
    </row>
    <row r="450">
      <c r="D450" s="7" t="inlineStr">
        <is>
          <t>BWA</t>
        </is>
      </c>
      <c r="E450" s="26" t="n">
        <v>10530</v>
      </c>
      <c r="F450" s="26" t="n">
        <v>10043</v>
      </c>
      <c r="G450" s="26" t="n">
        <v>10483</v>
      </c>
      <c r="H450" s="45">
        <f>(F450-E450)/E450</f>
        <v/>
      </c>
      <c r="I450" s="45">
        <f>(G450-F450)/F450</f>
        <v/>
      </c>
    </row>
    <row r="451">
      <c r="D451" s="7" t="inlineStr">
        <is>
          <t>SEE</t>
        </is>
      </c>
      <c r="E451" s="26" t="n">
        <v>4733</v>
      </c>
      <c r="F451" s="26" t="n">
        <v>4841</v>
      </c>
      <c r="G451" s="26" t="n">
        <v>5077</v>
      </c>
      <c r="H451" s="45">
        <f>(F451-E451)/E451</f>
        <v/>
      </c>
      <c r="I451" s="45">
        <f>(G451-F451)/F451</f>
        <v/>
      </c>
    </row>
    <row r="452">
      <c r="D452" s="7" t="inlineStr">
        <is>
          <t>FLIR</t>
        </is>
      </c>
      <c r="E452" s="26" t="n">
        <v>1776</v>
      </c>
      <c r="F452" s="26" t="n">
        <v>1932</v>
      </c>
      <c r="G452" s="26" t="n">
        <v>2050</v>
      </c>
      <c r="H452" s="45">
        <f>(F452-E452)/E452</f>
        <v/>
      </c>
      <c r="I452" s="45">
        <f>(G452-F452)/F452</f>
        <v/>
      </c>
    </row>
    <row r="453">
      <c r="D453" s="7" t="inlineStr">
        <is>
          <t>IVZ</t>
        </is>
      </c>
      <c r="E453" s="26" t="n">
        <v>3818</v>
      </c>
      <c r="F453" s="26" t="n">
        <v>4365</v>
      </c>
      <c r="G453" s="26" t="n">
        <v>4913</v>
      </c>
      <c r="H453" s="45">
        <f>(F453-E453)/E453</f>
        <v/>
      </c>
      <c r="I453" s="45">
        <f>(G453-F453)/F453</f>
        <v/>
      </c>
    </row>
    <row r="454">
      <c r="D454" s="7" t="inlineStr">
        <is>
          <t>MOS</t>
        </is>
      </c>
      <c r="E454" s="26" t="n">
        <v>9587</v>
      </c>
      <c r="F454" s="26" t="n">
        <v>9401</v>
      </c>
      <c r="G454" s="26" t="n">
        <v>9881</v>
      </c>
      <c r="H454" s="45">
        <f>(F454-E454)/E454</f>
        <v/>
      </c>
      <c r="I454" s="45">
        <f>(G454-F454)/F454</f>
        <v/>
      </c>
    </row>
    <row r="455">
      <c r="D455" s="7" t="inlineStr">
        <is>
          <t>NWL</t>
        </is>
      </c>
      <c r="E455" s="26" t="n">
        <v>8631</v>
      </c>
      <c r="F455" s="26" t="n">
        <v>9067</v>
      </c>
      <c r="G455" s="26" t="n">
        <v>9143</v>
      </c>
      <c r="H455" s="45">
        <f>(F455-E455)/E455</f>
        <v/>
      </c>
      <c r="I455" s="45">
        <f>(G455-F455)/F455</f>
        <v/>
      </c>
    </row>
    <row r="456">
      <c r="D456" s="7" t="inlineStr">
        <is>
          <t>ADS</t>
        </is>
      </c>
      <c r="E456" s="26" t="n">
        <v>7791</v>
      </c>
      <c r="F456" s="26" t="n">
        <v>5781</v>
      </c>
      <c r="G456" s="26" t="n">
        <v>6164</v>
      </c>
      <c r="H456" s="45">
        <f>(F456-E456)/E456</f>
        <v/>
      </c>
      <c r="I456" s="45">
        <f>(G456-F456)/F456</f>
        <v/>
      </c>
    </row>
    <row r="457">
      <c r="D457" s="7" t="inlineStr">
        <is>
          <t>TPR</t>
        </is>
      </c>
      <c r="E457" s="26" t="n">
        <v>6027</v>
      </c>
      <c r="F457" s="26" t="n">
        <v>6149</v>
      </c>
      <c r="G457" s="26" t="n">
        <v>6364</v>
      </c>
      <c r="H457" s="45">
        <f>(F457-E457)/E457</f>
        <v/>
      </c>
      <c r="I457" s="45">
        <f>(G457-F457)/F457</f>
        <v/>
      </c>
    </row>
    <row r="458">
      <c r="D458" s="7" t="inlineStr">
        <is>
          <t>PRGO</t>
        </is>
      </c>
      <c r="E458" s="26" t="n">
        <v>4732</v>
      </c>
      <c r="F458" s="26" t="n">
        <v>4791</v>
      </c>
      <c r="G458" s="26" t="n">
        <v>5023</v>
      </c>
      <c r="H458" s="45">
        <f>(F458-E458)/E458</f>
        <v/>
      </c>
      <c r="I458" s="45">
        <f>(G458-F458)/F458</f>
        <v/>
      </c>
    </row>
    <row r="459">
      <c r="D459" s="7" t="inlineStr">
        <is>
          <t>UNM</t>
        </is>
      </c>
      <c r="E459" s="26" t="n">
        <v>11638</v>
      </c>
      <c r="F459" s="26" t="n">
        <v>12063</v>
      </c>
      <c r="G459" s="26" t="n">
        <v>12366</v>
      </c>
      <c r="H459" s="45">
        <f>(F459-E459)/E459</f>
        <v/>
      </c>
      <c r="I459" s="45">
        <f>(G459-F459)/F459</f>
        <v/>
      </c>
    </row>
    <row r="460">
      <c r="D460" s="7" t="inlineStr">
        <is>
          <t>PBCT</t>
        </is>
      </c>
      <c r="E460" s="26" t="n">
        <v>1629</v>
      </c>
      <c r="F460" s="26" t="n">
        <v>1816</v>
      </c>
      <c r="G460" s="26" t="n">
        <v>2057</v>
      </c>
      <c r="H460" s="45">
        <f>(F460-E460)/E460</f>
        <v/>
      </c>
      <c r="I460" s="45">
        <f>(G460-F460)/F460</f>
        <v/>
      </c>
    </row>
    <row r="461">
      <c r="D461" s="7" t="inlineStr">
        <is>
          <t>PNR</t>
        </is>
      </c>
      <c r="E461" s="26" t="n">
        <v>2965</v>
      </c>
      <c r="F461" s="26" t="n">
        <v>2981</v>
      </c>
      <c r="G461" s="26" t="n">
        <v>3097</v>
      </c>
      <c r="H461" s="45">
        <f>(F461-E461)/E461</f>
        <v/>
      </c>
      <c r="I461" s="45">
        <f>(G461-F461)/F461</f>
        <v/>
      </c>
    </row>
    <row r="462">
      <c r="D462" s="7" t="inlineStr">
        <is>
          <t>HRB</t>
        </is>
      </c>
      <c r="E462" s="26" t="n">
        <v>3095</v>
      </c>
      <c r="F462" s="26" t="n">
        <v>3159</v>
      </c>
      <c r="G462" s="26" t="n">
        <v>3198</v>
      </c>
      <c r="H462" s="45">
        <f>(F462-E462)/E462</f>
        <v/>
      </c>
      <c r="I462" s="45">
        <f>(G462-F462)/F462</f>
        <v/>
      </c>
    </row>
    <row r="463">
      <c r="D463" s="7" t="inlineStr">
        <is>
          <t>PVH</t>
        </is>
      </c>
      <c r="E463" s="26" t="n">
        <v>9657</v>
      </c>
      <c r="F463" s="26" t="n">
        <v>9786</v>
      </c>
      <c r="G463" s="26" t="n">
        <v>10064</v>
      </c>
      <c r="H463" s="45">
        <f>(F463-E463)/E463</f>
        <v/>
      </c>
      <c r="I463" s="45">
        <f>(G463-F463)/F463</f>
        <v/>
      </c>
    </row>
    <row r="464">
      <c r="D464" s="7" t="inlineStr">
        <is>
          <t>FLS</t>
        </is>
      </c>
      <c r="E464" s="26" t="n">
        <v>3833</v>
      </c>
      <c r="F464" s="26" t="n">
        <v>3985</v>
      </c>
      <c r="G464" s="26" t="n">
        <v>4178</v>
      </c>
      <c r="H464" s="45">
        <f>(F464-E464)/E464</f>
        <v/>
      </c>
      <c r="I464" s="45">
        <f>(G464-F464)/F464</f>
        <v/>
      </c>
    </row>
    <row r="465">
      <c r="D465" s="7" t="inlineStr">
        <is>
          <t>NWSA</t>
        </is>
      </c>
      <c r="E465" s="26" t="n">
        <v>10074</v>
      </c>
      <c r="F465" s="26" t="n">
        <v>9973</v>
      </c>
      <c r="G465" s="26" t="n">
        <v>10094</v>
      </c>
      <c r="H465" s="45">
        <f>(F465-E465)/E465</f>
        <v/>
      </c>
      <c r="I465" s="45">
        <f>(G465-F465)/F465</f>
        <v/>
      </c>
    </row>
    <row r="466">
      <c r="D466" s="7" t="inlineStr">
        <is>
          <t>HOG</t>
        </is>
      </c>
      <c r="E466" s="26" t="n">
        <v>4969</v>
      </c>
      <c r="F466" s="26" t="n">
        <v>4658</v>
      </c>
      <c r="G466" s="26" t="n">
        <v>4684</v>
      </c>
      <c r="H466" s="45">
        <f>(F466-E466)/E466</f>
        <v/>
      </c>
      <c r="I466" s="45">
        <f>(G466-F466)/F466</f>
        <v/>
      </c>
    </row>
    <row r="467">
      <c r="D467" s="7" t="inlineStr">
        <is>
          <t>PWR</t>
        </is>
      </c>
      <c r="E467" s="26" t="n">
        <v>11171</v>
      </c>
      <c r="F467" s="26" t="n">
        <v>11772</v>
      </c>
      <c r="G467" s="26" t="n">
        <v>12723</v>
      </c>
      <c r="H467" s="45">
        <f>(F467-E467)/E467</f>
        <v/>
      </c>
      <c r="I467" s="45">
        <f>(G467-F467)/F467</f>
        <v/>
      </c>
    </row>
    <row r="468">
      <c r="D468" s="7" t="inlineStr">
        <is>
          <t>LEG</t>
        </is>
      </c>
      <c r="E468" s="26" t="n">
        <v>4270</v>
      </c>
      <c r="F468" s="26" t="n">
        <v>4753</v>
      </c>
      <c r="G468" s="26" t="n">
        <v>4927</v>
      </c>
      <c r="H468" s="45">
        <f>(F468-E468)/E468</f>
        <v/>
      </c>
      <c r="I468" s="45">
        <f>(G468-F468)/F468</f>
        <v/>
      </c>
    </row>
    <row r="469">
      <c r="D469" s="7" t="inlineStr">
        <is>
          <t>ROL</t>
        </is>
      </c>
      <c r="E469" s="26" t="n">
        <v>1822</v>
      </c>
      <c r="F469" s="26" t="n">
        <v>2000</v>
      </c>
      <c r="G469" s="26" t="n">
        <v>2136</v>
      </c>
      <c r="H469" s="45">
        <f>(F469-E469)/E469</f>
        <v/>
      </c>
      <c r="I469" s="45">
        <f>(G469-F469)/F469</f>
        <v/>
      </c>
    </row>
    <row r="470">
      <c r="D470" s="7" t="inlineStr">
        <is>
          <t>M</t>
        </is>
      </c>
      <c r="E470" s="26" t="n">
        <v>24971</v>
      </c>
      <c r="F470" s="26" t="n">
        <v>24873</v>
      </c>
      <c r="G470" s="26" t="n">
        <v>24837</v>
      </c>
      <c r="H470" s="45">
        <f>(F470-E470)/E470</f>
        <v/>
      </c>
      <c r="I470" s="45">
        <f>(G470-F470)/F470</f>
        <v/>
      </c>
    </row>
    <row r="471">
      <c r="D471" s="7" t="inlineStr">
        <is>
          <t>JEF</t>
        </is>
      </c>
      <c r="E471" s="26" t="n">
        <v>11436</v>
      </c>
      <c r="F471" s="26" t="inlineStr">
        <is>
          <t>-</t>
        </is>
      </c>
      <c r="G471" s="26" t="n">
        <v>3947</v>
      </c>
      <c r="H471" s="45">
        <f>(F471-E471)/E471</f>
        <v/>
      </c>
      <c r="I471" s="45">
        <f>(G471-F471)/F471</f>
        <v/>
      </c>
    </row>
    <row r="472">
      <c r="D472" s="7" t="inlineStr">
        <is>
          <t>RL</t>
        </is>
      </c>
      <c r="E472" s="26" t="n">
        <v>6313</v>
      </c>
      <c r="F472" s="26" t="n">
        <v>6415</v>
      </c>
      <c r="G472" s="26" t="n">
        <v>6606</v>
      </c>
      <c r="H472" s="45">
        <f>(F472-E472)/E472</f>
        <v/>
      </c>
      <c r="I472" s="45">
        <f>(G472-F472)/F472</f>
        <v/>
      </c>
    </row>
    <row r="473">
      <c r="D473" s="7" t="inlineStr">
        <is>
          <t>DISCA</t>
        </is>
      </c>
      <c r="E473" s="26" t="n">
        <v>10553</v>
      </c>
      <c r="F473" s="26" t="n">
        <v>11177</v>
      </c>
      <c r="G473" s="26" t="n">
        <v>11753</v>
      </c>
      <c r="H473" s="45">
        <f>(F473-E473)/E473</f>
        <v/>
      </c>
      <c r="I473" s="45">
        <f>(G473-F473)/F473</f>
        <v/>
      </c>
    </row>
    <row r="474">
      <c r="D474" s="7" t="inlineStr">
        <is>
          <t>IPGP</t>
        </is>
      </c>
      <c r="E474" s="26" t="n">
        <v>1460</v>
      </c>
      <c r="F474" s="26" t="n">
        <v>1355</v>
      </c>
      <c r="G474" s="26" t="n">
        <v>1484</v>
      </c>
      <c r="H474" s="45">
        <f>(F474-E474)/E474</f>
        <v/>
      </c>
      <c r="I474" s="45">
        <f>(G474-F474)/F474</f>
        <v/>
      </c>
    </row>
    <row r="475">
      <c r="D475" s="7" t="inlineStr">
        <is>
          <t>HP</t>
        </is>
      </c>
      <c r="E475" s="26" t="n">
        <v>2487</v>
      </c>
      <c r="F475" s="26" t="n">
        <v>2792</v>
      </c>
      <c r="G475" s="26" t="n">
        <v>2633</v>
      </c>
      <c r="H475" s="45">
        <f>(F475-E475)/E475</f>
        <v/>
      </c>
      <c r="I475" s="45">
        <f>(G475-F475)/F475</f>
        <v/>
      </c>
    </row>
    <row r="476">
      <c r="D476" s="7" t="inlineStr">
        <is>
          <t>LB</t>
        </is>
      </c>
      <c r="E476" s="26" t="n">
        <v>13237</v>
      </c>
      <c r="F476" s="26" t="n">
        <v>13078</v>
      </c>
      <c r="G476" s="26" t="n">
        <v>13390</v>
      </c>
      <c r="H476" s="45">
        <f>(F476-E476)/E476</f>
        <v/>
      </c>
      <c r="I476" s="45">
        <f>(G476-F476)/F476</f>
        <v/>
      </c>
    </row>
    <row r="477">
      <c r="D477" s="7" t="inlineStr">
        <is>
          <t>XEC</t>
        </is>
      </c>
      <c r="E477" s="26" t="n">
        <v>2339</v>
      </c>
      <c r="F477" s="26" t="n">
        <v>2327</v>
      </c>
      <c r="G477" s="26" t="n">
        <v>2628</v>
      </c>
      <c r="H477" s="45">
        <f>(F477-E477)/E477</f>
        <v/>
      </c>
      <c r="I477" s="45">
        <f>(G477-F477)/F477</f>
        <v/>
      </c>
    </row>
    <row r="478">
      <c r="D478" s="7" t="inlineStr">
        <is>
          <t>AMG</t>
        </is>
      </c>
      <c r="E478" s="26" t="n">
        <v>2378</v>
      </c>
      <c r="F478" s="26" t="n">
        <v>2245</v>
      </c>
      <c r="G478" s="26" t="n">
        <v>2191</v>
      </c>
      <c r="H478" s="45">
        <f>(F478-E478)/E478</f>
        <v/>
      </c>
      <c r="I478" s="45">
        <f>(G478-F478)/F478</f>
        <v/>
      </c>
    </row>
    <row r="479">
      <c r="D479" s="7" t="inlineStr">
        <is>
          <t>TRIP</t>
        </is>
      </c>
      <c r="E479" s="26" t="n">
        <v>1615</v>
      </c>
      <c r="F479" s="26" t="n">
        <v>1620</v>
      </c>
      <c r="G479" s="26" t="n">
        <v>1757</v>
      </c>
      <c r="H479" s="45">
        <f>(F479-E479)/E479</f>
        <v/>
      </c>
      <c r="I479" s="45">
        <f>(G479-F479)/F479</f>
        <v/>
      </c>
    </row>
    <row r="480">
      <c r="D480" s="7" t="inlineStr">
        <is>
          <t>GPS</t>
        </is>
      </c>
      <c r="E480" s="26" t="n">
        <v>16580</v>
      </c>
      <c r="F480" s="26" t="n">
        <v>16399</v>
      </c>
      <c r="G480" s="26" t="n">
        <v>16541</v>
      </c>
      <c r="H480" s="45">
        <f>(F480-E480)/E480</f>
        <v/>
      </c>
      <c r="I480" s="45">
        <f>(G480-F480)/F480</f>
        <v/>
      </c>
    </row>
    <row r="481">
      <c r="D481" s="7" t="inlineStr">
        <is>
          <t>UAA</t>
        </is>
      </c>
      <c r="E481" s="26" t="n">
        <v>5193</v>
      </c>
      <c r="F481" s="26" t="n">
        <v>5359</v>
      </c>
      <c r="G481" s="26" t="n">
        <v>5651</v>
      </c>
      <c r="H481" s="45">
        <f>(F481-E481)/E481</f>
        <v/>
      </c>
      <c r="I481" s="45">
        <f>(G481-F481)/F481</f>
        <v/>
      </c>
    </row>
    <row r="482">
      <c r="D482" s="7" t="inlineStr">
        <is>
          <t>UA</t>
        </is>
      </c>
      <c r="E482" s="26" t="n">
        <v>5193</v>
      </c>
      <c r="F482" s="26" t="n">
        <v>5359</v>
      </c>
      <c r="G482" s="26" t="n">
        <v>5651</v>
      </c>
      <c r="H482" s="45">
        <f>(F482-E482)/E482</f>
        <v/>
      </c>
      <c r="I482" s="45">
        <f>(G482-F482)/F482</f>
        <v/>
      </c>
    </row>
    <row r="483">
      <c r="D483" s="7" t="inlineStr">
        <is>
          <t>JWN</t>
        </is>
      </c>
      <c r="E483" s="26" t="n">
        <v>15860</v>
      </c>
      <c r="F483" s="26" t="n">
        <v>15466</v>
      </c>
      <c r="G483" s="26" t="n">
        <v>15773</v>
      </c>
      <c r="H483" s="45">
        <f>(F483-E483)/E483</f>
        <v/>
      </c>
      <c r="I483" s="45">
        <f>(G483-F483)/F483</f>
        <v/>
      </c>
    </row>
    <row r="484">
      <c r="D484" s="7" t="inlineStr">
        <is>
          <t>MAC</t>
        </is>
      </c>
      <c r="E484" s="26" t="n">
        <v>857</v>
      </c>
      <c r="F484" s="26" t="n">
        <v>869</v>
      </c>
      <c r="G484" s="26" t="n">
        <v>882</v>
      </c>
      <c r="H484" s="45">
        <f>(F484-E484)/E484</f>
        <v/>
      </c>
      <c r="I484" s="45">
        <f>(G484-F484)/F484</f>
        <v/>
      </c>
    </row>
    <row r="485">
      <c r="D485" s="7" t="inlineStr">
        <is>
          <t>NKTR</t>
        </is>
      </c>
      <c r="E485" s="26" t="n">
        <v>1193</v>
      </c>
      <c r="F485" s="26" t="n">
        <v>106</v>
      </c>
      <c r="G485" s="26" t="n">
        <v>190</v>
      </c>
      <c r="H485" s="45">
        <f>(F485-E485)/E485</f>
        <v/>
      </c>
      <c r="I485" s="45">
        <f>(G485-F485)/F485</f>
        <v/>
      </c>
    </row>
    <row r="486">
      <c r="D486" s="7" t="inlineStr">
        <is>
          <t>COTY</t>
        </is>
      </c>
      <c r="E486" s="26" t="n">
        <v>8649</v>
      </c>
      <c r="F486" s="26" t="n">
        <v>8173</v>
      </c>
      <c r="G486" s="26" t="n">
        <v>8137</v>
      </c>
      <c r="H486" s="45">
        <f>(F486-E486)/E486</f>
        <v/>
      </c>
      <c r="I486" s="45">
        <f>(G486-F486)/F486</f>
        <v/>
      </c>
    </row>
    <row r="487">
      <c r="D487" s="7" t="inlineStr">
        <is>
          <t>NWS</t>
        </is>
      </c>
      <c r="E487" s="26" t="n">
        <v>10074</v>
      </c>
      <c r="F487" s="26" t="n">
        <v>9973</v>
      </c>
      <c r="G487" s="26" t="n">
        <v>10094</v>
      </c>
      <c r="H487" s="45">
        <f>(F487-E487)/E487</f>
        <v/>
      </c>
      <c r="I487" s="45">
        <f>(G487-F487)/F487</f>
        <v/>
      </c>
    </row>
    <row r="488">
      <c r="D488" s="7" t="inlineStr">
        <is>
          <t>HBI</t>
        </is>
      </c>
      <c r="E488" s="26" t="n">
        <v>6804</v>
      </c>
      <c r="F488" s="26" t="n">
        <v>6960</v>
      </c>
      <c r="G488" s="26" t="n">
        <v>6854</v>
      </c>
      <c r="H488" s="45">
        <f>(F488-E488)/E488</f>
        <v/>
      </c>
      <c r="I488" s="45">
        <f>(G488-F488)/F488</f>
        <v/>
      </c>
    </row>
  </sheetData>
  <mergeCells count="2">
    <mergeCell ref="E3:G3"/>
    <mergeCell ref="H3:I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5">
    <outlinePr summaryBelow="1" summaryRight="1"/>
    <pageSetUpPr/>
  </sheetPr>
  <dimension ref="B2:C464"/>
  <sheetViews>
    <sheetView zoomScale="200" zoomScaleNormal="200" workbookViewId="0">
      <selection activeCell="F17" sqref="F17"/>
    </sheetView>
  </sheetViews>
  <sheetFormatPr baseColWidth="8" defaultColWidth="9.1796875" defaultRowHeight="14.5"/>
  <cols>
    <col width="9.1796875" customWidth="1" style="63" min="1" max="1"/>
    <col width="31.6328125" customWidth="1" style="31" min="2" max="3"/>
    <col width="9.1796875" customWidth="1" style="63" min="4" max="16"/>
    <col width="9.1796875" customWidth="1" style="63" min="17" max="16384"/>
  </cols>
  <sheetData>
    <row r="1" ht="16" customHeight="1" s="76" thickBot="1"/>
    <row r="2" ht="16" customHeight="1" s="76" thickBot="1">
      <c r="B2" s="21" t="inlineStr">
        <is>
          <t>Ticker</t>
        </is>
      </c>
      <c r="C2" s="22" t="inlineStr">
        <is>
          <t>ROE</t>
        </is>
      </c>
    </row>
    <row r="3">
      <c r="B3" s="7" t="inlineStr">
        <is>
          <t>HLT</t>
        </is>
      </c>
      <c r="C3" s="51" t="n">
        <v>7.22</v>
      </c>
    </row>
    <row r="4">
      <c r="B4" s="7" t="inlineStr">
        <is>
          <t>MAS</t>
        </is>
      </c>
      <c r="C4" s="51" t="n">
        <v>6.8</v>
      </c>
    </row>
    <row r="5">
      <c r="B5" s="7" t="inlineStr">
        <is>
          <t>WU</t>
        </is>
      </c>
      <c r="C5" s="51" t="n">
        <v>4.89</v>
      </c>
    </row>
    <row r="6">
      <c r="B6" s="7" t="inlineStr">
        <is>
          <t>ORLY</t>
        </is>
      </c>
      <c r="C6" s="51" t="n">
        <v>4.43</v>
      </c>
    </row>
    <row r="7">
      <c r="B7" s="7" t="inlineStr">
        <is>
          <t>AAL</t>
        </is>
      </c>
      <c r="C7" s="51" t="n">
        <v>4.15</v>
      </c>
    </row>
    <row r="8">
      <c r="B8" s="7" t="inlineStr">
        <is>
          <t>LW</t>
        </is>
      </c>
      <c r="C8" s="51" t="n">
        <v>4.02</v>
      </c>
    </row>
    <row r="9">
      <c r="B9" s="7" t="inlineStr">
        <is>
          <t>ABBV</t>
        </is>
      </c>
      <c r="C9" s="51" t="n">
        <v>4</v>
      </c>
    </row>
    <row r="10">
      <c r="B10" s="7" t="inlineStr">
        <is>
          <t>SPGI</t>
        </is>
      </c>
      <c r="C10" s="51" t="n">
        <v>3.03</v>
      </c>
    </row>
    <row r="11">
      <c r="B11" s="7" t="inlineStr">
        <is>
          <t>MCO</t>
        </is>
      </c>
      <c r="C11" s="51" t="n">
        <v>2.75</v>
      </c>
    </row>
    <row r="12">
      <c r="B12" s="7" t="inlineStr">
        <is>
          <t>LMT</t>
        </is>
      </c>
      <c r="C12" s="51" t="n">
        <v>2.37</v>
      </c>
    </row>
    <row r="13">
      <c r="B13" s="7" t="inlineStr">
        <is>
          <t>IDXX</t>
        </is>
      </c>
      <c r="C13" s="51" t="n">
        <v>2.09</v>
      </c>
    </row>
    <row r="14">
      <c r="B14" s="7" t="inlineStr">
        <is>
          <t>QCOM</t>
        </is>
      </c>
      <c r="C14" s="51" t="n">
        <v>1.69</v>
      </c>
    </row>
    <row r="15">
      <c r="B15" s="7" t="inlineStr">
        <is>
          <t>CLX</t>
        </is>
      </c>
      <c r="C15" s="51" t="n">
        <v>1.5</v>
      </c>
    </row>
    <row r="16">
      <c r="B16" s="7" t="inlineStr">
        <is>
          <t>CTXS</t>
        </is>
      </c>
      <c r="C16" s="51" t="n">
        <v>1.44</v>
      </c>
    </row>
    <row r="17">
      <c r="B17" s="7" t="inlineStr">
        <is>
          <t>LOW</t>
        </is>
      </c>
      <c r="C17" s="51" t="n">
        <v>1.43</v>
      </c>
    </row>
    <row r="18">
      <c r="B18" s="7" t="inlineStr">
        <is>
          <t>MA</t>
        </is>
      </c>
      <c r="C18" s="51" t="n">
        <v>1.41</v>
      </c>
    </row>
    <row r="19">
      <c r="B19" s="7" t="inlineStr">
        <is>
          <t>UPS</t>
        </is>
      </c>
      <c r="C19" s="51" t="n">
        <v>1.4</v>
      </c>
    </row>
    <row r="20">
      <c r="B20" s="7" t="inlineStr">
        <is>
          <t>MAR</t>
        </is>
      </c>
      <c r="C20" s="51" t="n">
        <v>1.18</v>
      </c>
    </row>
    <row r="21">
      <c r="B21" s="7" t="inlineStr">
        <is>
          <t>HRB</t>
        </is>
      </c>
      <c r="C21" s="51" t="n">
        <v>1.11</v>
      </c>
    </row>
    <row r="22">
      <c r="B22" s="7" t="inlineStr">
        <is>
          <t>MTD</t>
        </is>
      </c>
      <c r="C22" s="51" t="n">
        <v>1.07</v>
      </c>
    </row>
    <row r="23">
      <c r="B23" s="7" t="inlineStr">
        <is>
          <t>NRG</t>
        </is>
      </c>
      <c r="C23" s="51" t="n">
        <v>1.04</v>
      </c>
    </row>
    <row r="24">
      <c r="B24" s="7" t="inlineStr">
        <is>
          <t>NTAP</t>
        </is>
      </c>
      <c r="C24" s="51" t="n">
        <v>0.961</v>
      </c>
    </row>
    <row r="25">
      <c r="B25" s="7" t="inlineStr">
        <is>
          <t>WAT</t>
        </is>
      </c>
      <c r="C25" s="51" t="n">
        <v>0.875</v>
      </c>
    </row>
    <row r="26">
      <c r="B26" s="7" t="inlineStr">
        <is>
          <t>LLY</t>
        </is>
      </c>
      <c r="C26" s="51" t="n">
        <v>0.841</v>
      </c>
    </row>
    <row r="27">
      <c r="B27" s="7" t="inlineStr">
        <is>
          <t>ITW</t>
        </is>
      </c>
      <c r="C27" s="51" t="n">
        <v>0.8080000000000001</v>
      </c>
    </row>
    <row r="28">
      <c r="B28" s="7" t="inlineStr">
        <is>
          <t>SPG</t>
        </is>
      </c>
      <c r="C28" s="51" t="n">
        <v>0.794</v>
      </c>
    </row>
    <row r="29">
      <c r="B29" s="7" t="inlineStr">
        <is>
          <t>HSY</t>
        </is>
      </c>
      <c r="C29" s="51" t="n">
        <v>0.775</v>
      </c>
    </row>
    <row r="30">
      <c r="B30" s="7" t="inlineStr">
        <is>
          <t>ZTS</t>
        </is>
      </c>
      <c r="C30" s="52" t="n">
        <v>0.738</v>
      </c>
    </row>
    <row r="31">
      <c r="B31" s="7" t="inlineStr">
        <is>
          <t>SYY</t>
        </is>
      </c>
      <c r="C31" s="51" t="n">
        <v>0.729</v>
      </c>
    </row>
    <row r="32">
      <c r="B32" s="7" t="inlineStr">
        <is>
          <t>ORCL</t>
        </is>
      </c>
      <c r="C32" s="51" t="n">
        <v>0.71</v>
      </c>
    </row>
    <row r="33">
      <c r="B33" s="7" t="inlineStr">
        <is>
          <t>ROK</t>
        </is>
      </c>
      <c r="C33" s="51" t="n">
        <v>0.702</v>
      </c>
    </row>
    <row r="34">
      <c r="B34" s="7" t="inlineStr">
        <is>
          <t>IBM</t>
        </is>
      </c>
      <c r="C34" s="51" t="n">
        <v>0.659</v>
      </c>
    </row>
    <row r="35">
      <c r="B35" s="7" t="inlineStr">
        <is>
          <t>ICE</t>
        </is>
      </c>
      <c r="C35" s="51" t="n">
        <v>0.659</v>
      </c>
    </row>
    <row r="36">
      <c r="B36" s="7" t="inlineStr">
        <is>
          <t>ALLE</t>
        </is>
      </c>
      <c r="C36" s="51" t="n">
        <v>0.642</v>
      </c>
    </row>
    <row r="37">
      <c r="B37" s="7" t="inlineStr">
        <is>
          <t>CELG</t>
        </is>
      </c>
      <c r="C37" s="52" t="n">
        <v>0.625</v>
      </c>
    </row>
    <row r="38">
      <c r="B38" s="7" t="inlineStr">
        <is>
          <t>AMGN</t>
        </is>
      </c>
      <c r="C38" s="51" t="n">
        <v>0.624</v>
      </c>
    </row>
    <row r="39">
      <c r="B39" s="7" t="inlineStr">
        <is>
          <t>STX</t>
        </is>
      </c>
      <c r="C39" s="51" t="n">
        <v>0.612</v>
      </c>
    </row>
    <row r="40">
      <c r="B40" s="7" t="inlineStr">
        <is>
          <t>TJX</t>
        </is>
      </c>
      <c r="C40" s="51" t="n">
        <v>0.607</v>
      </c>
    </row>
    <row r="41">
      <c r="B41" s="7" t="inlineStr">
        <is>
          <t>BKNG</t>
        </is>
      </c>
      <c r="C41" s="51" t="n">
        <v>0.604</v>
      </c>
    </row>
    <row r="42">
      <c r="B42" s="7" t="inlineStr">
        <is>
          <t>CBS</t>
        </is>
      </c>
      <c r="C42" s="51" t="n">
        <v>0.599</v>
      </c>
    </row>
    <row r="43">
      <c r="B43" s="7" t="inlineStr">
        <is>
          <t>TXN</t>
        </is>
      </c>
      <c r="C43" s="51" t="n">
        <v>0.593</v>
      </c>
    </row>
    <row r="44">
      <c r="B44" s="7" t="inlineStr">
        <is>
          <t>AAPL</t>
        </is>
      </c>
      <c r="C44" s="51" t="n">
        <v>0.573</v>
      </c>
    </row>
    <row r="45">
      <c r="B45" s="7" t="inlineStr">
        <is>
          <t>GILD</t>
        </is>
      </c>
      <c r="C45" s="52" t="n">
        <v>0.569</v>
      </c>
    </row>
    <row r="46">
      <c r="B46" s="7" t="inlineStr">
        <is>
          <t>JWN</t>
        </is>
      </c>
      <c r="C46" s="51" t="n">
        <v>0.5629999999999999</v>
      </c>
    </row>
    <row r="47">
      <c r="B47" s="7" t="inlineStr">
        <is>
          <t>KLAC</t>
        </is>
      </c>
      <c r="C47" s="51" t="n">
        <v>0.5610000000000001</v>
      </c>
    </row>
    <row r="48">
      <c r="B48" s="7" t="inlineStr">
        <is>
          <t>AON</t>
        </is>
      </c>
      <c r="C48" s="51" t="n">
        <v>0.545</v>
      </c>
    </row>
    <row r="49">
      <c r="B49" s="7" t="inlineStr">
        <is>
          <t>PEP</t>
        </is>
      </c>
      <c r="C49" s="51" t="n">
        <v>0.535</v>
      </c>
    </row>
    <row r="50">
      <c r="B50" s="7" t="inlineStr">
        <is>
          <t>HBI</t>
        </is>
      </c>
      <c r="C50" s="7" t="n">
        <v>0.525</v>
      </c>
    </row>
    <row r="51">
      <c r="B51" s="7" t="inlineStr">
        <is>
          <t>AVY</t>
        </is>
      </c>
      <c r="C51" s="51" t="n">
        <v>0.524</v>
      </c>
    </row>
    <row r="52">
      <c r="B52" s="7" t="inlineStr">
        <is>
          <t>MO</t>
        </is>
      </c>
      <c r="C52" s="51" t="n">
        <v>0.521</v>
      </c>
    </row>
    <row r="53">
      <c r="B53" s="7" t="inlineStr">
        <is>
          <t>BR</t>
        </is>
      </c>
      <c r="C53" s="51" t="n">
        <v>0.521</v>
      </c>
    </row>
    <row r="54">
      <c r="B54" s="7" t="inlineStr">
        <is>
          <t>MMM</t>
        </is>
      </c>
      <c r="C54" s="51" t="n">
        <v>0.512</v>
      </c>
    </row>
    <row r="55">
      <c r="B55" s="7" t="inlineStr">
        <is>
          <t>KO</t>
        </is>
      </c>
      <c r="C55" s="51" t="n">
        <v>0.503</v>
      </c>
    </row>
    <row r="56">
      <c r="B56" s="7" t="inlineStr">
        <is>
          <t>ROST</t>
        </is>
      </c>
      <c r="C56" s="51" t="n">
        <v>0.502</v>
      </c>
    </row>
    <row r="57">
      <c r="B57" s="7" t="inlineStr">
        <is>
          <t>EBAY</t>
        </is>
      </c>
      <c r="C57" s="51" t="n">
        <v>0.499</v>
      </c>
    </row>
    <row r="58">
      <c r="B58" s="7" t="inlineStr">
        <is>
          <t>VNO</t>
        </is>
      </c>
      <c r="C58" s="51" t="n">
        <v>0.495</v>
      </c>
    </row>
    <row r="59">
      <c r="B59" s="7" t="inlineStr">
        <is>
          <t>SHW</t>
        </is>
      </c>
      <c r="C59" s="51" t="n">
        <v>0.491</v>
      </c>
    </row>
    <row r="60">
      <c r="B60" s="7" t="inlineStr">
        <is>
          <t>ABC</t>
        </is>
      </c>
      <c r="C60" s="51" t="n">
        <v>0.485</v>
      </c>
    </row>
    <row r="61">
      <c r="B61" s="7" t="inlineStr">
        <is>
          <t>GWW</t>
        </is>
      </c>
      <c r="C61" s="51" t="n">
        <v>0.473</v>
      </c>
    </row>
    <row r="62">
      <c r="B62" s="7" t="inlineStr">
        <is>
          <t>OMC</t>
        </is>
      </c>
      <c r="C62" s="51" t="n">
        <v>0.469</v>
      </c>
    </row>
    <row r="63">
      <c r="B63" s="7" t="inlineStr">
        <is>
          <t>CAT</t>
        </is>
      </c>
      <c r="C63" s="51" t="n">
        <v>0.465</v>
      </c>
    </row>
    <row r="64">
      <c r="B64" s="7" t="inlineStr">
        <is>
          <t>CPB</t>
        </is>
      </c>
      <c r="C64" s="51" t="n">
        <v>0.463</v>
      </c>
    </row>
    <row r="65">
      <c r="B65" s="7" t="inlineStr">
        <is>
          <t>NKE</t>
        </is>
      </c>
      <c r="C65" s="51" t="n">
        <v>0.459</v>
      </c>
    </row>
    <row r="66">
      <c r="B66" s="7" t="inlineStr">
        <is>
          <t>SEE</t>
        </is>
      </c>
      <c r="C66" s="51" t="n">
        <v>0.458</v>
      </c>
    </row>
    <row r="67">
      <c r="B67" s="7" t="inlineStr">
        <is>
          <t>MRK</t>
        </is>
      </c>
      <c r="C67" s="51" t="n">
        <v>0.457</v>
      </c>
    </row>
    <row r="68">
      <c r="B68" s="7" t="inlineStr">
        <is>
          <t>EL</t>
        </is>
      </c>
      <c r="C68" s="51" t="n">
        <v>0.452</v>
      </c>
    </row>
    <row r="69">
      <c r="B69" s="7" t="inlineStr">
        <is>
          <t>LRCX</t>
        </is>
      </c>
      <c r="C69" s="52" t="n">
        <v>0.44</v>
      </c>
    </row>
    <row r="70">
      <c r="B70" s="7" t="inlineStr">
        <is>
          <t>BBY</t>
        </is>
      </c>
      <c r="C70" s="51" t="n">
        <v>0.44</v>
      </c>
    </row>
    <row r="71">
      <c r="B71" s="7" t="inlineStr">
        <is>
          <t>ADP</t>
        </is>
      </c>
      <c r="C71" s="51" t="n">
        <v>0.438</v>
      </c>
    </row>
    <row r="72">
      <c r="B72" s="7" t="inlineStr">
        <is>
          <t>INTU</t>
        </is>
      </c>
      <c r="C72" s="52" t="n">
        <v>0.433</v>
      </c>
    </row>
    <row r="73">
      <c r="B73" s="7" t="inlineStr">
        <is>
          <t>BIIB</t>
        </is>
      </c>
      <c r="C73" s="51" t="n">
        <v>0.428</v>
      </c>
    </row>
    <row r="74">
      <c r="B74" s="7" t="inlineStr">
        <is>
          <t>K</t>
        </is>
      </c>
      <c r="C74" s="51" t="n">
        <v>0.42</v>
      </c>
    </row>
    <row r="75">
      <c r="B75" s="7" t="inlineStr">
        <is>
          <t>CSCO</t>
        </is>
      </c>
      <c r="C75" s="51" t="n">
        <v>0.417</v>
      </c>
    </row>
    <row r="76">
      <c r="B76" s="7" t="inlineStr">
        <is>
          <t>MSFT</t>
        </is>
      </c>
      <c r="C76" s="51" t="n">
        <v>0.411</v>
      </c>
    </row>
    <row r="77">
      <c r="B77" s="7" t="inlineStr">
        <is>
          <t>PAYX</t>
        </is>
      </c>
      <c r="C77" s="51" t="n">
        <v>0.411</v>
      </c>
    </row>
    <row r="78">
      <c r="B78" s="7" t="inlineStr">
        <is>
          <t>ACN</t>
        </is>
      </c>
      <c r="C78" s="51" t="n">
        <v>0.41</v>
      </c>
    </row>
    <row r="79">
      <c r="B79" s="7" t="inlineStr">
        <is>
          <t>RHI</t>
        </is>
      </c>
      <c r="C79" s="51" t="n">
        <v>0.41</v>
      </c>
    </row>
    <row r="80">
      <c r="B80" s="7" t="inlineStr">
        <is>
          <t>URI</t>
        </is>
      </c>
      <c r="C80" s="51" t="n">
        <v>0.403</v>
      </c>
    </row>
    <row r="81">
      <c r="B81" s="7" t="inlineStr">
        <is>
          <t>ULTA</t>
        </is>
      </c>
      <c r="C81" s="51" t="n">
        <v>0.401</v>
      </c>
    </row>
    <row r="82">
      <c r="B82" s="7" t="inlineStr">
        <is>
          <t>BMY</t>
        </is>
      </c>
      <c r="C82" s="51" t="n">
        <v>0.397</v>
      </c>
    </row>
    <row r="83">
      <c r="B83" s="7" t="inlineStr">
        <is>
          <t>CE</t>
        </is>
      </c>
      <c r="C83" s="51" t="n">
        <v>0.391</v>
      </c>
    </row>
    <row r="84">
      <c r="B84" s="7" t="inlineStr">
        <is>
          <t>CHRW</t>
        </is>
      </c>
      <c r="C84" s="51" t="n">
        <v>0.391</v>
      </c>
    </row>
    <row r="85">
      <c r="B85" s="7" t="inlineStr">
        <is>
          <t>ADBE</t>
        </is>
      </c>
      <c r="C85" s="51" t="n">
        <v>0.387</v>
      </c>
    </row>
    <row r="86">
      <c r="B86" s="7" t="inlineStr">
        <is>
          <t>ADS</t>
        </is>
      </c>
      <c r="C86" s="51" t="n">
        <v>0.382</v>
      </c>
    </row>
    <row r="87">
      <c r="B87" s="7" t="inlineStr">
        <is>
          <t>AMAT</t>
        </is>
      </c>
      <c r="C87" s="51" t="n">
        <v>0.38</v>
      </c>
    </row>
    <row r="88">
      <c r="B88" s="7" t="inlineStr">
        <is>
          <t>LYB</t>
        </is>
      </c>
      <c r="C88" s="51" t="n">
        <v>0.379</v>
      </c>
    </row>
    <row r="89">
      <c r="B89" s="7" t="inlineStr">
        <is>
          <t>AMP</t>
        </is>
      </c>
      <c r="C89" s="51" t="n">
        <v>0.378</v>
      </c>
    </row>
    <row r="90">
      <c r="B90" s="7" t="inlineStr">
        <is>
          <t>NOC</t>
        </is>
      </c>
      <c r="C90" s="51" t="n">
        <v>0.375</v>
      </c>
    </row>
    <row r="91">
      <c r="B91" s="7" t="inlineStr">
        <is>
          <t>FFIV</t>
        </is>
      </c>
      <c r="C91" s="51" t="n">
        <v>0.374</v>
      </c>
    </row>
    <row r="92">
      <c r="B92" s="7" t="inlineStr">
        <is>
          <t>IT</t>
        </is>
      </c>
      <c r="C92" s="51" t="n">
        <v>0.37</v>
      </c>
    </row>
    <row r="93">
      <c r="B93" s="7" t="inlineStr">
        <is>
          <t>AVGO</t>
        </is>
      </c>
      <c r="C93" s="51" t="n">
        <v>0.367</v>
      </c>
    </row>
    <row r="94">
      <c r="B94" s="7" t="inlineStr">
        <is>
          <t>TSCO</t>
        </is>
      </c>
      <c r="C94" s="52" t="n">
        <v>0.367</v>
      </c>
    </row>
    <row r="95">
      <c r="B95" s="7" t="inlineStr">
        <is>
          <t>HII</t>
        </is>
      </c>
      <c r="C95" s="51" t="n">
        <v>0.364</v>
      </c>
    </row>
    <row r="96">
      <c r="B96" s="7" t="inlineStr">
        <is>
          <t>V</t>
        </is>
      </c>
      <c r="C96" s="51" t="n">
        <v>0.36</v>
      </c>
    </row>
    <row r="97">
      <c r="B97" s="7" t="inlineStr">
        <is>
          <t>APTV</t>
        </is>
      </c>
      <c r="C97" s="51" t="n">
        <v>0.357</v>
      </c>
    </row>
    <row r="98">
      <c r="B98" s="7" t="inlineStr">
        <is>
          <t>MXIM</t>
        </is>
      </c>
      <c r="C98" s="51" t="n">
        <v>0.355</v>
      </c>
    </row>
    <row r="99">
      <c r="B99" s="7" t="inlineStr">
        <is>
          <t>CDNS</t>
        </is>
      </c>
      <c r="C99" s="51" t="n">
        <v>0.351</v>
      </c>
    </row>
    <row r="100">
      <c r="B100" s="7" t="inlineStr">
        <is>
          <t>JNJ</t>
        </is>
      </c>
      <c r="C100" s="51" t="n">
        <v>0.346</v>
      </c>
    </row>
    <row r="101">
      <c r="B101" s="7" t="inlineStr">
        <is>
          <t>VZ</t>
        </is>
      </c>
      <c r="C101" s="51" t="n">
        <v>0.345</v>
      </c>
    </row>
    <row r="102">
      <c r="B102" s="7" t="inlineStr">
        <is>
          <t>AMD</t>
        </is>
      </c>
      <c r="C102" s="51" t="n">
        <v>0.342</v>
      </c>
    </row>
    <row r="103">
      <c r="B103" s="7" t="inlineStr">
        <is>
          <t>HAS</t>
        </is>
      </c>
      <c r="C103" s="51" t="n">
        <v>0.334</v>
      </c>
    </row>
    <row r="104">
      <c r="B104" s="7" t="inlineStr">
        <is>
          <t>UNP</t>
        </is>
      </c>
      <c r="C104" s="51" t="n">
        <v>0.327</v>
      </c>
    </row>
    <row r="105">
      <c r="B105" s="7" t="inlineStr">
        <is>
          <t>DAL</t>
        </is>
      </c>
      <c r="C105" s="51" t="n">
        <v>0.325</v>
      </c>
    </row>
    <row r="106">
      <c r="B106" s="7" t="inlineStr">
        <is>
          <t>HON</t>
        </is>
      </c>
      <c r="C106" s="51" t="n">
        <v>0.324</v>
      </c>
    </row>
    <row r="107">
      <c r="B107" s="7" t="inlineStr">
        <is>
          <t>FAST</t>
        </is>
      </c>
      <c r="C107" s="51" t="n">
        <v>0.322</v>
      </c>
    </row>
    <row r="108">
      <c r="B108" s="7" t="inlineStr">
        <is>
          <t>VRSK</t>
        </is>
      </c>
      <c r="C108" s="51" t="n">
        <v>0.321</v>
      </c>
    </row>
    <row r="109">
      <c r="B109" s="7" t="inlineStr">
        <is>
          <t>CMI</t>
        </is>
      </c>
      <c r="C109" s="51" t="n">
        <v>0.32</v>
      </c>
    </row>
    <row r="110">
      <c r="B110" s="7" t="inlineStr">
        <is>
          <t>COG</t>
        </is>
      </c>
      <c r="C110" s="51" t="n">
        <v>0.32</v>
      </c>
    </row>
    <row r="111">
      <c r="B111" s="7" t="inlineStr">
        <is>
          <t>XLNX</t>
        </is>
      </c>
      <c r="C111" s="52" t="n">
        <v>0.316</v>
      </c>
    </row>
    <row r="112">
      <c r="B112" s="7" t="inlineStr">
        <is>
          <t>PCAR</t>
        </is>
      </c>
      <c r="C112" s="51" t="n">
        <v>0.315</v>
      </c>
    </row>
    <row r="113">
      <c r="B113" s="7" t="inlineStr">
        <is>
          <t>DRI</t>
        </is>
      </c>
      <c r="C113" s="51" t="n">
        <v>0.314</v>
      </c>
    </row>
    <row r="114">
      <c r="B114" s="7" t="inlineStr">
        <is>
          <t>WHR</t>
        </is>
      </c>
      <c r="C114" s="51" t="n">
        <v>0.308</v>
      </c>
    </row>
    <row r="115">
      <c r="B115" s="7" t="inlineStr">
        <is>
          <t>AXP</t>
        </is>
      </c>
      <c r="C115" s="51" t="n">
        <v>0.307</v>
      </c>
    </row>
    <row r="116">
      <c r="B116" s="7" t="inlineStr">
        <is>
          <t>CPRT</t>
        </is>
      </c>
      <c r="C116" s="51" t="n">
        <v>0.307</v>
      </c>
    </row>
    <row r="117">
      <c r="B117" s="7" t="inlineStr">
        <is>
          <t>MKTX</t>
        </is>
      </c>
      <c r="C117" s="51" t="n">
        <v>0.306</v>
      </c>
    </row>
    <row r="118">
      <c r="B118" s="7" t="inlineStr">
        <is>
          <t>EXPD</t>
        </is>
      </c>
      <c r="C118" s="51" t="n">
        <v>0.306</v>
      </c>
    </row>
    <row r="119">
      <c r="B119" s="7" t="inlineStr">
        <is>
          <t>PPG</t>
        </is>
      </c>
      <c r="C119" s="51" t="n">
        <v>0.303</v>
      </c>
    </row>
    <row r="120">
      <c r="B120" s="7" t="inlineStr">
        <is>
          <t>EW</t>
        </is>
      </c>
      <c r="C120" s="51" t="n">
        <v>0.301</v>
      </c>
    </row>
    <row r="121">
      <c r="B121" s="7" t="inlineStr">
        <is>
          <t>ALGN</t>
        </is>
      </c>
      <c r="C121" s="51" t="n">
        <v>0.3</v>
      </c>
    </row>
    <row r="122">
      <c r="B122" s="7" t="inlineStr">
        <is>
          <t>ANET</t>
        </is>
      </c>
      <c r="C122" s="51" t="n">
        <v>0.3</v>
      </c>
    </row>
    <row r="123">
      <c r="B123" s="7" t="inlineStr">
        <is>
          <t>MCK</t>
        </is>
      </c>
      <c r="C123" s="51" t="n">
        <v>0.291</v>
      </c>
    </row>
    <row r="124">
      <c r="B124" s="7" t="inlineStr">
        <is>
          <t>TROW</t>
        </is>
      </c>
      <c r="C124" s="51" t="n">
        <v>0.291</v>
      </c>
    </row>
    <row r="125">
      <c r="B125" s="7" t="inlineStr">
        <is>
          <t>NVDA</t>
        </is>
      </c>
      <c r="C125" s="51" t="n">
        <v>0.29</v>
      </c>
    </row>
    <row r="126">
      <c r="B126" s="7" t="inlineStr">
        <is>
          <t>VFC</t>
        </is>
      </c>
      <c r="C126" s="51" t="n">
        <v>0.29</v>
      </c>
    </row>
    <row r="127">
      <c r="B127" s="7" t="inlineStr">
        <is>
          <t>EA</t>
        </is>
      </c>
      <c r="C127" s="51" t="n">
        <v>0.289</v>
      </c>
    </row>
    <row r="128">
      <c r="B128" s="7" t="inlineStr">
        <is>
          <t>IPG</t>
        </is>
      </c>
      <c r="C128" s="51" t="n">
        <v>0.285</v>
      </c>
    </row>
    <row r="129">
      <c r="B129" s="7" t="inlineStr">
        <is>
          <t>DE</t>
        </is>
      </c>
      <c r="C129" s="51" t="n">
        <v>0.283</v>
      </c>
    </row>
    <row r="130">
      <c r="B130" s="7" t="inlineStr">
        <is>
          <t>MNST</t>
        </is>
      </c>
      <c r="C130" s="52" t="n">
        <v>0.283</v>
      </c>
    </row>
    <row r="131">
      <c r="B131" s="7" t="inlineStr">
        <is>
          <t>CTAS</t>
        </is>
      </c>
      <c r="C131" s="51" t="n">
        <v>0.283</v>
      </c>
    </row>
    <row r="132">
      <c r="B132" s="7" t="inlineStr">
        <is>
          <t>KEYS</t>
        </is>
      </c>
      <c r="C132" s="51" t="n">
        <v>0.282</v>
      </c>
    </row>
    <row r="133">
      <c r="B133" s="7" t="inlineStr">
        <is>
          <t>AMT</t>
        </is>
      </c>
      <c r="C133" s="51" t="n">
        <v>0.277</v>
      </c>
    </row>
    <row r="134">
      <c r="B134" s="7" t="inlineStr">
        <is>
          <t>GD</t>
        </is>
      </c>
      <c r="C134" s="51" t="n">
        <v>0.276</v>
      </c>
    </row>
    <row r="135">
      <c r="B135" s="7" t="inlineStr">
        <is>
          <t>WYNN</t>
        </is>
      </c>
      <c r="C135" s="51" t="n">
        <v>0.273</v>
      </c>
    </row>
    <row r="136">
      <c r="B136" s="7" t="inlineStr">
        <is>
          <t>TGT</t>
        </is>
      </c>
      <c r="C136" s="51" t="n">
        <v>0.27</v>
      </c>
    </row>
    <row r="137">
      <c r="B137" s="7" t="inlineStr">
        <is>
          <t>RTN</t>
        </is>
      </c>
      <c r="C137" s="51" t="n">
        <v>0.27</v>
      </c>
    </row>
    <row r="138">
      <c r="B138" s="7" t="inlineStr">
        <is>
          <t>CSX</t>
        </is>
      </c>
      <c r="C138" s="51" t="n">
        <v>0.27</v>
      </c>
    </row>
    <row r="139">
      <c r="B139" s="7" t="inlineStr">
        <is>
          <t>UAL</t>
        </is>
      </c>
      <c r="C139" s="51" t="n">
        <v>0.27</v>
      </c>
    </row>
    <row r="140">
      <c r="B140" s="7" t="inlineStr">
        <is>
          <t>DOV</t>
        </is>
      </c>
      <c r="C140" s="51" t="n">
        <v>0.269</v>
      </c>
    </row>
    <row r="141">
      <c r="B141" s="7" t="inlineStr">
        <is>
          <t>WM</t>
        </is>
      </c>
      <c r="C141" s="51" t="n">
        <v>0.267</v>
      </c>
    </row>
    <row r="142">
      <c r="B142" s="7" t="inlineStr">
        <is>
          <t>AMZN</t>
        </is>
      </c>
      <c r="C142" s="51" t="n">
        <v>0.266</v>
      </c>
    </row>
    <row r="143">
      <c r="B143" s="7" t="inlineStr">
        <is>
          <t>PFE</t>
        </is>
      </c>
      <c r="C143" s="51" t="n">
        <v>0.266</v>
      </c>
    </row>
    <row r="144">
      <c r="B144" s="7" t="inlineStr">
        <is>
          <t>MMC</t>
        </is>
      </c>
      <c r="C144" s="51" t="n">
        <v>0.265</v>
      </c>
    </row>
    <row r="145">
      <c r="B145" s="7" t="inlineStr">
        <is>
          <t>APH</t>
        </is>
      </c>
      <c r="C145" s="51" t="n">
        <v>0.264</v>
      </c>
    </row>
    <row r="146">
      <c r="B146" s="7" t="inlineStr">
        <is>
          <t>JBHT</t>
        </is>
      </c>
      <c r="C146" s="52" t="n">
        <v>0.264</v>
      </c>
    </row>
    <row r="147">
      <c r="B147" s="7" t="inlineStr">
        <is>
          <t>DISCA</t>
        </is>
      </c>
      <c r="C147" s="51" t="n">
        <v>0.264</v>
      </c>
    </row>
    <row r="148">
      <c r="B148" s="7" t="inlineStr">
        <is>
          <t>COST</t>
        </is>
      </c>
      <c r="C148" s="51" t="n">
        <v>0.263</v>
      </c>
    </row>
    <row r="149">
      <c r="B149" s="7" t="inlineStr">
        <is>
          <t>GIS</t>
        </is>
      </c>
      <c r="C149" s="51" t="n">
        <v>0.263</v>
      </c>
    </row>
    <row r="150">
      <c r="B150" s="7" t="inlineStr">
        <is>
          <t>HOG</t>
        </is>
      </c>
      <c r="C150" s="51" t="n">
        <v>0.263</v>
      </c>
    </row>
    <row r="151">
      <c r="B151" s="7" t="inlineStr">
        <is>
          <t>FLT</t>
        </is>
      </c>
      <c r="C151" s="51" t="n">
        <v>0.261</v>
      </c>
    </row>
    <row r="152">
      <c r="B152" s="7" t="inlineStr">
        <is>
          <t>SBUX</t>
        </is>
      </c>
      <c r="C152" s="51" t="n">
        <v>0.26</v>
      </c>
    </row>
    <row r="153">
      <c r="B153" s="7" t="inlineStr">
        <is>
          <t>PG</t>
        </is>
      </c>
      <c r="C153" s="51" t="n">
        <v>0.259</v>
      </c>
    </row>
    <row r="154">
      <c r="B154" s="7" t="inlineStr">
        <is>
          <t>HOLX</t>
        </is>
      </c>
      <c r="C154" s="51" t="n">
        <v>0.257</v>
      </c>
    </row>
    <row r="155">
      <c r="B155" s="7" t="inlineStr">
        <is>
          <t>PGR</t>
        </is>
      </c>
      <c r="C155" s="51" t="n">
        <v>0.256</v>
      </c>
    </row>
    <row r="156">
      <c r="B156" s="7" t="inlineStr">
        <is>
          <t>DFS</t>
        </is>
      </c>
      <c r="C156" s="51" t="n">
        <v>0.256</v>
      </c>
    </row>
    <row r="157">
      <c r="B157" s="7" t="inlineStr">
        <is>
          <t>PSA</t>
        </is>
      </c>
      <c r="C157" s="51" t="n">
        <v>0.255</v>
      </c>
    </row>
    <row r="158">
      <c r="B158" s="7" t="inlineStr">
        <is>
          <t>CHD</t>
        </is>
      </c>
      <c r="C158" s="52" t="n">
        <v>0.255</v>
      </c>
    </row>
    <row r="159">
      <c r="B159" s="7" t="inlineStr">
        <is>
          <t>EMR</t>
        </is>
      </c>
      <c r="C159" s="51" t="n">
        <v>0.254</v>
      </c>
    </row>
    <row r="160">
      <c r="B160" s="7" t="inlineStr">
        <is>
          <t>NFLX</t>
        </is>
      </c>
      <c r="C160" s="51" t="n">
        <v>0.252</v>
      </c>
    </row>
    <row r="161">
      <c r="B161" s="7" t="inlineStr">
        <is>
          <t>PKG</t>
        </is>
      </c>
      <c r="C161" s="51" t="n">
        <v>0.251</v>
      </c>
    </row>
    <row r="162">
      <c r="B162" s="7" t="inlineStr">
        <is>
          <t>DG</t>
        </is>
      </c>
      <c r="C162" s="51" t="n">
        <v>0.25</v>
      </c>
    </row>
    <row r="163">
      <c r="B163" s="7" t="inlineStr">
        <is>
          <t>MCHP</t>
        </is>
      </c>
      <c r="C163" s="51" t="n">
        <v>0.25</v>
      </c>
    </row>
    <row r="164">
      <c r="B164" s="7" t="inlineStr">
        <is>
          <t>UNH</t>
        </is>
      </c>
      <c r="C164" s="51" t="n">
        <v>0.248</v>
      </c>
    </row>
    <row r="165">
      <c r="B165" s="7" t="inlineStr">
        <is>
          <t>INTC</t>
        </is>
      </c>
      <c r="C165" s="51" t="n">
        <v>0.248</v>
      </c>
    </row>
    <row r="166">
      <c r="B166" s="7" t="inlineStr">
        <is>
          <t>SWKS</t>
        </is>
      </c>
      <c r="C166" s="51" t="n">
        <v>0.247</v>
      </c>
    </row>
    <row r="167">
      <c r="B167" s="7" t="inlineStr">
        <is>
          <t>FMC</t>
        </is>
      </c>
      <c r="C167" s="51" t="n">
        <v>0.247</v>
      </c>
    </row>
    <row r="168">
      <c r="B168" s="7" t="inlineStr">
        <is>
          <t>BLL</t>
        </is>
      </c>
      <c r="C168" s="51" t="n">
        <v>0.246</v>
      </c>
    </row>
    <row r="169">
      <c r="B169" s="7" t="inlineStr">
        <is>
          <t>BSX</t>
        </is>
      </c>
      <c r="C169" s="51" t="n">
        <v>0.244</v>
      </c>
    </row>
    <row r="170">
      <c r="B170" s="7" t="inlineStr">
        <is>
          <t>RMD</t>
        </is>
      </c>
      <c r="C170" s="51" t="n">
        <v>0.244</v>
      </c>
    </row>
    <row r="171">
      <c r="B171" s="7" t="inlineStr">
        <is>
          <t>CMG</t>
        </is>
      </c>
      <c r="C171" s="51" t="n">
        <v>0.242</v>
      </c>
    </row>
    <row r="172">
      <c r="B172" s="7" t="inlineStr">
        <is>
          <t>IP</t>
        </is>
      </c>
      <c r="C172" s="51" t="n">
        <v>0.241</v>
      </c>
    </row>
    <row r="173">
      <c r="B173" s="7" t="inlineStr">
        <is>
          <t>TWTR</t>
        </is>
      </c>
      <c r="C173" s="52" t="n">
        <v>0.238</v>
      </c>
    </row>
    <row r="174">
      <c r="B174" s="7" t="inlineStr">
        <is>
          <t>PH</t>
        </is>
      </c>
      <c r="C174" s="51" t="n">
        <v>0.237</v>
      </c>
    </row>
    <row r="175">
      <c r="B175" s="7" t="inlineStr">
        <is>
          <t>AOS</t>
        </is>
      </c>
      <c r="C175" s="51" t="n">
        <v>0.237</v>
      </c>
    </row>
    <row r="176">
      <c r="B176" s="7" t="inlineStr">
        <is>
          <t>SYK</t>
        </is>
      </c>
      <c r="C176" s="51" t="n">
        <v>0.235</v>
      </c>
    </row>
    <row r="177">
      <c r="B177" s="7" t="inlineStr">
        <is>
          <t>SYMC</t>
        </is>
      </c>
      <c r="C177" s="51" t="n">
        <v>0.235</v>
      </c>
    </row>
    <row r="178">
      <c r="B178" s="7" t="inlineStr">
        <is>
          <t>AES</t>
        </is>
      </c>
      <c r="C178" s="51" t="n">
        <v>0.235</v>
      </c>
    </row>
    <row r="179">
      <c r="B179" s="7" t="inlineStr">
        <is>
          <t>GM</t>
        </is>
      </c>
      <c r="C179" s="51" t="n">
        <v>0.232</v>
      </c>
    </row>
    <row r="180">
      <c r="B180" s="7" t="inlineStr">
        <is>
          <t>REGN</t>
        </is>
      </c>
      <c r="C180" s="51" t="n">
        <v>0.231</v>
      </c>
    </row>
    <row r="181">
      <c r="B181" s="7" t="inlineStr">
        <is>
          <t>SYF</t>
        </is>
      </c>
      <c r="C181" s="51" t="n">
        <v>0.231</v>
      </c>
    </row>
    <row r="182">
      <c r="B182" s="7" t="inlineStr">
        <is>
          <t>KMX</t>
        </is>
      </c>
      <c r="C182" s="51" t="n">
        <v>0.23</v>
      </c>
    </row>
    <row r="183">
      <c r="B183" s="7" t="inlineStr">
        <is>
          <t>CBRE</t>
        </is>
      </c>
      <c r="C183" s="51" t="n">
        <v>0.229</v>
      </c>
    </row>
    <row r="184">
      <c r="B184" s="7" t="inlineStr">
        <is>
          <t>FB</t>
        </is>
      </c>
      <c r="C184" s="51" t="n">
        <v>0.228</v>
      </c>
    </row>
    <row r="185">
      <c r="B185" s="7" t="inlineStr">
        <is>
          <t>AIV</t>
        </is>
      </c>
      <c r="C185" s="51" t="n">
        <v>0.227</v>
      </c>
    </row>
    <row r="186">
      <c r="B186" s="7" t="inlineStr">
        <is>
          <t>INCY</t>
        </is>
      </c>
      <c r="C186" s="51" t="n">
        <v>0.225</v>
      </c>
    </row>
    <row r="187">
      <c r="B187" s="7" t="inlineStr">
        <is>
          <t>GPC</t>
        </is>
      </c>
      <c r="C187" s="52" t="n">
        <v>0.225</v>
      </c>
    </row>
    <row r="188">
      <c r="B188" s="7" t="inlineStr">
        <is>
          <t>GPS</t>
        </is>
      </c>
      <c r="C188" s="51" t="n">
        <v>0.223</v>
      </c>
    </row>
    <row r="189">
      <c r="B189" s="7" t="inlineStr">
        <is>
          <t>EXPE</t>
        </is>
      </c>
      <c r="C189" s="51" t="n">
        <v>0.22</v>
      </c>
    </row>
    <row r="190">
      <c r="B190" s="7" t="inlineStr">
        <is>
          <t>CAH</t>
        </is>
      </c>
      <c r="C190" s="51" t="n">
        <v>0.219</v>
      </c>
    </row>
    <row r="191">
      <c r="B191" s="7" t="inlineStr">
        <is>
          <t>VRTX</t>
        </is>
      </c>
      <c r="C191" s="52" t="n">
        <v>0.216</v>
      </c>
    </row>
    <row r="192">
      <c r="B192" s="7" t="inlineStr">
        <is>
          <t>DVA</t>
        </is>
      </c>
      <c r="C192" s="51" t="n">
        <v>0.216</v>
      </c>
    </row>
    <row r="193">
      <c r="B193" s="7" t="inlineStr">
        <is>
          <t>FBHS</t>
        </is>
      </c>
      <c r="C193" s="51" t="n">
        <v>0.215</v>
      </c>
    </row>
    <row r="194">
      <c r="B194" s="7" t="inlineStr">
        <is>
          <t>ALXN</t>
        </is>
      </c>
      <c r="C194" s="52" t="n">
        <v>0.214</v>
      </c>
    </row>
    <row r="195">
      <c r="B195" s="7" t="inlineStr">
        <is>
          <t>LUV</t>
        </is>
      </c>
      <c r="C195" s="51" t="n">
        <v>0.214</v>
      </c>
    </row>
    <row r="196">
      <c r="B196" s="7" t="inlineStr">
        <is>
          <t>A</t>
        </is>
      </c>
      <c r="C196" s="51" t="n">
        <v>0.214</v>
      </c>
    </row>
    <row r="197">
      <c r="B197" s="7" t="inlineStr">
        <is>
          <t>IEX</t>
        </is>
      </c>
      <c r="C197" s="51" t="n">
        <v>0.214</v>
      </c>
    </row>
    <row r="198">
      <c r="B198" s="7" t="inlineStr">
        <is>
          <t>KR</t>
        </is>
      </c>
      <c r="C198" s="51" t="n">
        <v>0.213</v>
      </c>
    </row>
    <row r="199">
      <c r="B199" s="7" t="inlineStr">
        <is>
          <t>HUM</t>
        </is>
      </c>
      <c r="C199" s="51" t="n">
        <v>0.211</v>
      </c>
    </row>
    <row r="200">
      <c r="B200" s="7" t="inlineStr">
        <is>
          <t>LDOS</t>
        </is>
      </c>
      <c r="C200" s="51" t="n">
        <v>0.21</v>
      </c>
    </row>
    <row r="201">
      <c r="B201" s="7" t="inlineStr">
        <is>
          <t>VAR</t>
        </is>
      </c>
      <c r="C201" s="51" t="n">
        <v>0.21</v>
      </c>
    </row>
    <row r="202">
      <c r="B202" s="7" t="inlineStr">
        <is>
          <t>SNA</t>
        </is>
      </c>
      <c r="C202" s="51" t="n">
        <v>0.21</v>
      </c>
    </row>
    <row r="203">
      <c r="B203" s="7" t="inlineStr">
        <is>
          <t>PNR</t>
        </is>
      </c>
      <c r="C203" s="51" t="n">
        <v>0.21</v>
      </c>
    </row>
    <row r="204">
      <c r="B204" s="7" t="inlineStr">
        <is>
          <t>TTWO</t>
        </is>
      </c>
      <c r="C204" s="51" t="n">
        <v>0.209</v>
      </c>
    </row>
    <row r="205">
      <c r="B205" s="7" t="inlineStr">
        <is>
          <t>MKC</t>
        </is>
      </c>
      <c r="C205" s="51" t="n">
        <v>0.208</v>
      </c>
    </row>
    <row r="206">
      <c r="B206" s="7" t="inlineStr">
        <is>
          <t>PYPL</t>
        </is>
      </c>
      <c r="C206" s="52" t="n">
        <v>0.207</v>
      </c>
    </row>
    <row r="207">
      <c r="B207" s="7" t="inlineStr">
        <is>
          <t>ILMN</t>
        </is>
      </c>
      <c r="C207" s="51" t="n">
        <v>0.207</v>
      </c>
    </row>
    <row r="208">
      <c r="B208" s="7" t="inlineStr">
        <is>
          <t>IR</t>
        </is>
      </c>
      <c r="C208" s="51" t="n">
        <v>0.206</v>
      </c>
    </row>
    <row r="209">
      <c r="B209" s="7" t="inlineStr">
        <is>
          <t>AKAM</t>
        </is>
      </c>
      <c r="C209" s="51" t="n">
        <v>0.206</v>
      </c>
    </row>
    <row r="210">
      <c r="B210" s="7" t="inlineStr">
        <is>
          <t>TPR</t>
        </is>
      </c>
      <c r="C210" s="51" t="n">
        <v>0.206</v>
      </c>
    </row>
    <row r="211">
      <c r="B211" s="7" t="inlineStr">
        <is>
          <t>NLSN</t>
        </is>
      </c>
      <c r="C211" s="51" t="n">
        <v>0.205</v>
      </c>
    </row>
    <row r="212">
      <c r="B212" s="7" t="inlineStr">
        <is>
          <t>ABMD</t>
        </is>
      </c>
      <c r="C212" s="51" t="n">
        <v>0.203</v>
      </c>
    </row>
    <row r="213">
      <c r="B213" s="7" t="inlineStr">
        <is>
          <t>ECL</t>
        </is>
      </c>
      <c r="C213" s="51" t="n">
        <v>0.202</v>
      </c>
    </row>
    <row r="214">
      <c r="B214" s="7" t="inlineStr">
        <is>
          <t>BAX</t>
        </is>
      </c>
      <c r="C214" s="51" t="n">
        <v>0.2</v>
      </c>
    </row>
    <row r="215">
      <c r="B215" s="7" t="inlineStr">
        <is>
          <t>DLTR</t>
        </is>
      </c>
      <c r="C215" s="51" t="n">
        <v>0.2</v>
      </c>
    </row>
    <row r="216">
      <c r="B216" s="7" t="inlineStr">
        <is>
          <t>VIAB</t>
        </is>
      </c>
      <c r="C216" s="51" t="n">
        <v>0.2</v>
      </c>
    </row>
    <row r="217">
      <c r="B217" s="7" t="inlineStr">
        <is>
          <t>MU</t>
        </is>
      </c>
      <c r="C217" s="51" t="n">
        <v>0.199</v>
      </c>
    </row>
    <row r="218">
      <c r="B218" s="7" t="inlineStr">
        <is>
          <t>SIVB</t>
        </is>
      </c>
      <c r="C218" s="51" t="n">
        <v>0.199</v>
      </c>
    </row>
    <row r="219">
      <c r="B219" s="7" t="inlineStr">
        <is>
          <t>OKE</t>
        </is>
      </c>
      <c r="C219" s="51" t="n">
        <v>0.195</v>
      </c>
    </row>
    <row r="220">
      <c r="B220" s="7" t="inlineStr">
        <is>
          <t>JKHY</t>
        </is>
      </c>
      <c r="C220" s="51" t="n">
        <v>0.195</v>
      </c>
    </row>
    <row r="221">
      <c r="B221" s="7" t="inlineStr">
        <is>
          <t>AME</t>
        </is>
      </c>
      <c r="C221" s="51" t="n">
        <v>0.193</v>
      </c>
    </row>
    <row r="222">
      <c r="B222" s="7" t="inlineStr">
        <is>
          <t>CTSH</t>
        </is>
      </c>
      <c r="C222" s="52" t="n">
        <v>0.192</v>
      </c>
    </row>
    <row r="223">
      <c r="B223" s="7" t="inlineStr">
        <is>
          <t>ISRG</t>
        </is>
      </c>
      <c r="C223" s="51" t="n">
        <v>0.191</v>
      </c>
    </row>
    <row r="224">
      <c r="B224" s="7" t="inlineStr">
        <is>
          <t>RL</t>
        </is>
      </c>
      <c r="C224" s="51" t="n">
        <v>0.188</v>
      </c>
    </row>
    <row r="225">
      <c r="B225" s="7" t="inlineStr">
        <is>
          <t>WBA</t>
        </is>
      </c>
      <c r="C225" s="51" t="n">
        <v>0.187</v>
      </c>
    </row>
    <row r="226">
      <c r="B226" s="7" t="inlineStr">
        <is>
          <t>FE</t>
        </is>
      </c>
      <c r="C226" s="51" t="n">
        <v>0.187</v>
      </c>
    </row>
    <row r="227">
      <c r="B227" s="7" t="inlineStr">
        <is>
          <t>XYL</t>
        </is>
      </c>
      <c r="C227" s="51" t="n">
        <v>0.187</v>
      </c>
    </row>
    <row r="228">
      <c r="B228" s="7" t="inlineStr">
        <is>
          <t>PHM</t>
        </is>
      </c>
      <c r="C228" s="51" t="n">
        <v>0.187</v>
      </c>
    </row>
    <row r="229">
      <c r="B229" s="7" t="inlineStr">
        <is>
          <t>CMCSA</t>
        </is>
      </c>
      <c r="C229" s="51" t="n">
        <v>0.185</v>
      </c>
    </row>
    <row r="230">
      <c r="B230" s="7" t="inlineStr">
        <is>
          <t>SCHW</t>
        </is>
      </c>
      <c r="C230" s="51" t="n">
        <v>0.185</v>
      </c>
    </row>
    <row r="231">
      <c r="B231" s="7" t="inlineStr">
        <is>
          <t>GOOGL</t>
        </is>
      </c>
      <c r="C231" s="51" t="n">
        <v>0.184</v>
      </c>
    </row>
    <row r="232">
      <c r="B232" s="7" t="inlineStr">
        <is>
          <t>TIF</t>
        </is>
      </c>
      <c r="C232" s="51" t="n">
        <v>0.183</v>
      </c>
    </row>
    <row r="233">
      <c r="B233" s="7" t="inlineStr">
        <is>
          <t>NSC</t>
        </is>
      </c>
      <c r="C233" s="51" t="n">
        <v>0.181</v>
      </c>
    </row>
    <row r="234">
      <c r="B234" s="7" t="inlineStr">
        <is>
          <t>ALK</t>
        </is>
      </c>
      <c r="C234" s="51" t="n">
        <v>0.179</v>
      </c>
    </row>
    <row r="235">
      <c r="B235" s="7" t="inlineStr">
        <is>
          <t>WMT</t>
        </is>
      </c>
      <c r="C235" s="51" t="n">
        <v>0.178</v>
      </c>
    </row>
    <row r="236">
      <c r="B236" s="7" t="inlineStr">
        <is>
          <t>ARNC</t>
        </is>
      </c>
      <c r="C236" s="51" t="n">
        <v>0.177</v>
      </c>
    </row>
    <row r="237">
      <c r="B237" s="7" t="inlineStr">
        <is>
          <t>MYL</t>
        </is>
      </c>
      <c r="C237" s="51" t="n">
        <v>0.177</v>
      </c>
    </row>
    <row r="238">
      <c r="B238" s="7" t="inlineStr">
        <is>
          <t>ALB</t>
        </is>
      </c>
      <c r="C238" s="51" t="n">
        <v>0.176</v>
      </c>
    </row>
    <row r="239">
      <c r="B239" s="7" t="inlineStr">
        <is>
          <t>FDX</t>
        </is>
      </c>
      <c r="C239" s="51" t="n">
        <v>0.175</v>
      </c>
    </row>
    <row r="240">
      <c r="B240" s="7" t="inlineStr">
        <is>
          <t>HRL</t>
        </is>
      </c>
      <c r="C240" s="51" t="n">
        <v>0.175</v>
      </c>
    </row>
    <row r="241">
      <c r="B241" s="7" t="inlineStr">
        <is>
          <t>TEL</t>
        </is>
      </c>
      <c r="C241" s="51" t="n">
        <v>0.174</v>
      </c>
    </row>
    <row r="242">
      <c r="B242" s="7" t="inlineStr">
        <is>
          <t>EMN</t>
        </is>
      </c>
      <c r="C242" s="51" t="n">
        <v>0.174</v>
      </c>
    </row>
    <row r="243">
      <c r="B243" s="7" t="inlineStr">
        <is>
          <t>GRMN</t>
        </is>
      </c>
      <c r="C243" s="51" t="n">
        <v>0.173</v>
      </c>
    </row>
    <row r="244">
      <c r="B244" s="7" t="inlineStr">
        <is>
          <t>IRM</t>
        </is>
      </c>
      <c r="C244" s="51" t="n">
        <v>0.173</v>
      </c>
    </row>
    <row r="245">
      <c r="B245" s="7" t="inlineStr">
        <is>
          <t>CERN</t>
        </is>
      </c>
      <c r="C245" s="51" t="n">
        <v>0.172</v>
      </c>
    </row>
    <row r="246">
      <c r="B246" s="7" t="inlineStr">
        <is>
          <t>EXR</t>
        </is>
      </c>
      <c r="C246" s="51" t="n">
        <v>0.172</v>
      </c>
    </row>
    <row r="247">
      <c r="B247" s="7" t="inlineStr">
        <is>
          <t>BWA</t>
        </is>
      </c>
      <c r="C247" s="51" t="n">
        <v>0.172</v>
      </c>
    </row>
    <row r="248">
      <c r="B248" s="7" t="inlineStr">
        <is>
          <t>RCL</t>
        </is>
      </c>
      <c r="C248" s="51" t="n">
        <v>0.17</v>
      </c>
    </row>
    <row r="249">
      <c r="B249" s="7" t="inlineStr">
        <is>
          <t>WCG</t>
        </is>
      </c>
      <c r="C249" s="51" t="n">
        <v>0.17</v>
      </c>
    </row>
    <row r="250">
      <c r="B250" s="7" t="inlineStr">
        <is>
          <t>NCLH</t>
        </is>
      </c>
      <c r="C250" s="51" t="n">
        <v>0.17</v>
      </c>
    </row>
    <row r="251">
      <c r="B251" s="7" t="inlineStr">
        <is>
          <t>UTX</t>
        </is>
      </c>
      <c r="C251" s="51" t="n">
        <v>0.169</v>
      </c>
    </row>
    <row r="252">
      <c r="B252" s="7" t="inlineStr">
        <is>
          <t>IQV</t>
        </is>
      </c>
      <c r="C252" s="51" t="n">
        <v>0.168</v>
      </c>
    </row>
    <row r="253">
      <c r="B253" s="7" t="inlineStr">
        <is>
          <t>TMO</t>
        </is>
      </c>
      <c r="C253" s="51" t="n">
        <v>0.167</v>
      </c>
    </row>
    <row r="254">
      <c r="B254" s="7" t="inlineStr">
        <is>
          <t>ANSS</t>
        </is>
      </c>
      <c r="C254" s="51" t="n">
        <v>0.166</v>
      </c>
    </row>
    <row r="255">
      <c r="B255" s="7" t="inlineStr">
        <is>
          <t>DHI</t>
        </is>
      </c>
      <c r="C255" s="51" t="n">
        <v>0.165</v>
      </c>
    </row>
    <row r="256">
      <c r="B256" s="7" t="inlineStr">
        <is>
          <t>AAP</t>
        </is>
      </c>
      <c r="C256" s="51" t="n">
        <v>0.164</v>
      </c>
    </row>
    <row r="257">
      <c r="B257" s="7" t="inlineStr">
        <is>
          <t>RJF</t>
        </is>
      </c>
      <c r="C257" s="51" t="n">
        <v>0.164</v>
      </c>
    </row>
    <row r="258">
      <c r="B258" s="7" t="inlineStr">
        <is>
          <t>CMA</t>
        </is>
      </c>
      <c r="C258" s="51" t="n">
        <v>0.164</v>
      </c>
    </row>
    <row r="259">
      <c r="B259" s="7" t="inlineStr">
        <is>
          <t>ETFC</t>
        </is>
      </c>
      <c r="C259" s="51" t="n">
        <v>0.163</v>
      </c>
    </row>
    <row r="260">
      <c r="B260" s="7" t="inlineStr">
        <is>
          <t>ANTM</t>
        </is>
      </c>
      <c r="C260" s="51" t="n">
        <v>0.161</v>
      </c>
    </row>
    <row r="261">
      <c r="B261" s="7" t="inlineStr">
        <is>
          <t>UHS</t>
        </is>
      </c>
      <c r="C261" s="51" t="n">
        <v>0.161</v>
      </c>
    </row>
    <row r="262">
      <c r="B262" s="7" t="inlineStr">
        <is>
          <t>CF</t>
        </is>
      </c>
      <c r="C262" s="51" t="n">
        <v>0.161</v>
      </c>
    </row>
    <row r="263">
      <c r="B263" s="7" t="inlineStr">
        <is>
          <t>TXT</t>
        </is>
      </c>
      <c r="C263" s="51" t="n">
        <v>0.16</v>
      </c>
    </row>
    <row r="264">
      <c r="B264" s="7" t="inlineStr">
        <is>
          <t>ABT</t>
        </is>
      </c>
      <c r="C264" s="51" t="n">
        <v>0.158</v>
      </c>
    </row>
    <row r="265">
      <c r="B265" s="7" t="inlineStr">
        <is>
          <t>FTV</t>
        </is>
      </c>
      <c r="C265" s="51" t="n">
        <v>0.158</v>
      </c>
    </row>
    <row r="266">
      <c r="B266" s="7" t="inlineStr">
        <is>
          <t>SNPS</t>
        </is>
      </c>
      <c r="C266" s="51" t="n">
        <v>0.158</v>
      </c>
    </row>
    <row r="267">
      <c r="B267" s="7" t="inlineStr">
        <is>
          <t>PKI</t>
        </is>
      </c>
      <c r="C267" s="51" t="n">
        <v>0.158</v>
      </c>
    </row>
    <row r="268">
      <c r="B268" s="7" t="inlineStr">
        <is>
          <t>CRM</t>
        </is>
      </c>
      <c r="C268" s="51" t="n">
        <v>0.157</v>
      </c>
    </row>
    <row r="269">
      <c r="B269" s="7" t="inlineStr">
        <is>
          <t>SWK</t>
        </is>
      </c>
      <c r="C269" s="51" t="n">
        <v>0.157</v>
      </c>
    </row>
    <row r="270">
      <c r="B270" s="7" t="inlineStr">
        <is>
          <t>FLS</t>
        </is>
      </c>
      <c r="C270" s="51" t="n">
        <v>0.157</v>
      </c>
    </row>
    <row r="271">
      <c r="B271" s="7" t="inlineStr">
        <is>
          <t>LH</t>
        </is>
      </c>
      <c r="C271" s="51" t="n">
        <v>0.156</v>
      </c>
    </row>
    <row r="272">
      <c r="B272" s="7" t="inlineStr">
        <is>
          <t>AJG</t>
        </is>
      </c>
      <c r="C272" s="51" t="n">
        <v>0.156</v>
      </c>
    </row>
    <row r="273">
      <c r="B273" s="7" t="inlineStr">
        <is>
          <t>DGX</t>
        </is>
      </c>
      <c r="C273" s="51" t="n">
        <v>0.156</v>
      </c>
    </row>
    <row r="274">
      <c r="B274" s="7" t="inlineStr">
        <is>
          <t>APD</t>
        </is>
      </c>
      <c r="C274" s="51" t="n">
        <v>0.155</v>
      </c>
    </row>
    <row r="275">
      <c r="B275" s="7" t="inlineStr">
        <is>
          <t>HSIC</t>
        </is>
      </c>
      <c r="C275" s="51" t="n">
        <v>0.155</v>
      </c>
    </row>
    <row r="276">
      <c r="B276" s="7" t="inlineStr">
        <is>
          <t>F</t>
        </is>
      </c>
      <c r="C276" s="51" t="n">
        <v>0.153</v>
      </c>
    </row>
    <row r="277">
      <c r="B277" s="7" t="inlineStr">
        <is>
          <t>AMG</t>
        </is>
      </c>
      <c r="C277" s="51" t="n">
        <v>0.152</v>
      </c>
    </row>
    <row r="278">
      <c r="B278" s="7" t="inlineStr">
        <is>
          <t>TSN</t>
        </is>
      </c>
      <c r="C278" s="51" t="n">
        <v>0.151</v>
      </c>
    </row>
    <row r="279">
      <c r="B279" s="7" t="inlineStr">
        <is>
          <t>BDX</t>
        </is>
      </c>
      <c r="C279" s="51" t="n">
        <v>0.15</v>
      </c>
    </row>
    <row r="280">
      <c r="B280" s="7" t="inlineStr">
        <is>
          <t>ALL</t>
        </is>
      </c>
      <c r="C280" s="52" t="n">
        <v>0.15</v>
      </c>
    </row>
    <row r="281">
      <c r="B281" s="7" t="inlineStr">
        <is>
          <t>ETN</t>
        </is>
      </c>
      <c r="C281" s="51" t="n">
        <v>0.15</v>
      </c>
    </row>
    <row r="282">
      <c r="B282" s="7" t="inlineStr">
        <is>
          <t>NTRS</t>
        </is>
      </c>
      <c r="C282" s="52" t="n">
        <v>0.148</v>
      </c>
    </row>
    <row r="283">
      <c r="B283" s="7" t="inlineStr">
        <is>
          <t>USB</t>
        </is>
      </c>
      <c r="C283" s="51" t="n">
        <v>0.147</v>
      </c>
    </row>
    <row r="284">
      <c r="B284" s="7" t="inlineStr">
        <is>
          <t>LKQ</t>
        </is>
      </c>
      <c r="C284" s="51" t="n">
        <v>0.147</v>
      </c>
    </row>
    <row r="285">
      <c r="B285" s="7" t="inlineStr">
        <is>
          <t>KSS</t>
        </is>
      </c>
      <c r="C285" s="51" t="n">
        <v>0.147</v>
      </c>
    </row>
    <row r="286">
      <c r="B286" s="7" t="inlineStr">
        <is>
          <t>ADI</t>
        </is>
      </c>
      <c r="C286" s="52" t="n">
        <v>0.145</v>
      </c>
    </row>
    <row r="287">
      <c r="B287" s="7" t="inlineStr">
        <is>
          <t>PPL</t>
        </is>
      </c>
      <c r="C287" s="51" t="n">
        <v>0.145</v>
      </c>
    </row>
    <row r="288">
      <c r="B288" s="7" t="inlineStr">
        <is>
          <t>CNC</t>
        </is>
      </c>
      <c r="C288" s="51" t="n">
        <v>0.145</v>
      </c>
    </row>
    <row r="289">
      <c r="B289" s="7" t="inlineStr">
        <is>
          <t>CAG</t>
        </is>
      </c>
      <c r="C289" s="51" t="n">
        <v>0.145</v>
      </c>
    </row>
    <row r="290">
      <c r="B290" s="7" t="inlineStr">
        <is>
          <t>MDT</t>
        </is>
      </c>
      <c r="C290" s="51" t="n">
        <v>0.144</v>
      </c>
    </row>
    <row r="291">
      <c r="B291" s="7" t="inlineStr">
        <is>
          <t>NDAQ</t>
        </is>
      </c>
      <c r="C291" s="51" t="n">
        <v>0.144</v>
      </c>
    </row>
    <row r="292">
      <c r="B292" s="7" t="inlineStr">
        <is>
          <t>QRVO</t>
        </is>
      </c>
      <c r="C292" s="51" t="n">
        <v>0.144</v>
      </c>
    </row>
    <row r="293">
      <c r="B293" s="7" t="inlineStr">
        <is>
          <t>JPM</t>
        </is>
      </c>
      <c r="C293" s="51" t="n">
        <v>0.143</v>
      </c>
    </row>
    <row r="294">
      <c r="B294" s="7" t="inlineStr">
        <is>
          <t>CMS</t>
        </is>
      </c>
      <c r="C294" s="51" t="n">
        <v>0.142</v>
      </c>
    </row>
    <row r="295">
      <c r="B295" s="7" t="inlineStr">
        <is>
          <t>HST</t>
        </is>
      </c>
      <c r="C295" s="52" t="n">
        <v>0.142</v>
      </c>
    </row>
    <row r="296">
      <c r="B296" s="7" t="inlineStr">
        <is>
          <t>D</t>
        </is>
      </c>
      <c r="C296" s="51" t="n">
        <v>0.14</v>
      </c>
    </row>
    <row r="297">
      <c r="B297" s="7" t="inlineStr">
        <is>
          <t>MDLZ</t>
        </is>
      </c>
      <c r="C297" s="51" t="n">
        <v>0.139</v>
      </c>
    </row>
    <row r="298">
      <c r="B298" s="7" t="inlineStr">
        <is>
          <t>PSX</t>
        </is>
      </c>
      <c r="C298" s="51" t="n">
        <v>0.139</v>
      </c>
    </row>
    <row r="299">
      <c r="B299" s="7" t="inlineStr">
        <is>
          <t>DIS</t>
        </is>
      </c>
      <c r="C299" s="51" t="n">
        <v>0.138</v>
      </c>
    </row>
    <row r="300">
      <c r="B300" s="7" t="inlineStr">
        <is>
          <t>AFL</t>
        </is>
      </c>
      <c r="C300" s="51" t="n">
        <v>0.138</v>
      </c>
    </row>
    <row r="301">
      <c r="B301" s="7" t="inlineStr">
        <is>
          <t>COO</t>
        </is>
      </c>
      <c r="C301" s="51" t="n">
        <v>0.138</v>
      </c>
    </row>
    <row r="302">
      <c r="B302" s="7" t="inlineStr">
        <is>
          <t>GE</t>
        </is>
      </c>
      <c r="C302" s="52" t="n">
        <v>0.137</v>
      </c>
    </row>
    <row r="303">
      <c r="B303" s="7" t="inlineStr">
        <is>
          <t>EOG</t>
        </is>
      </c>
      <c r="C303" s="51" t="n">
        <v>0.136</v>
      </c>
    </row>
    <row r="304">
      <c r="B304" s="7" t="inlineStr">
        <is>
          <t>NUE</t>
        </is>
      </c>
      <c r="C304" s="51" t="n">
        <v>0.136</v>
      </c>
    </row>
    <row r="305">
      <c r="B305" s="7" t="inlineStr">
        <is>
          <t>DXC</t>
        </is>
      </c>
      <c r="C305" s="51" t="n">
        <v>0.136</v>
      </c>
    </row>
    <row r="306">
      <c r="B306" s="7" t="inlineStr">
        <is>
          <t>HFC</t>
        </is>
      </c>
      <c r="C306" s="51" t="n">
        <v>0.136</v>
      </c>
    </row>
    <row r="307">
      <c r="B307" s="7" t="inlineStr">
        <is>
          <t>COP</t>
        </is>
      </c>
      <c r="C307" s="51" t="n">
        <v>0.134</v>
      </c>
    </row>
    <row r="308">
      <c r="B308" s="7" t="inlineStr">
        <is>
          <t>MTB</t>
        </is>
      </c>
      <c r="C308" s="52" t="n">
        <v>0.134</v>
      </c>
    </row>
    <row r="309">
      <c r="B309" s="7" t="inlineStr">
        <is>
          <t>NWL</t>
        </is>
      </c>
      <c r="C309" s="51" t="n">
        <v>0.134</v>
      </c>
    </row>
    <row r="310">
      <c r="B310" s="7" t="inlineStr">
        <is>
          <t>KSU</t>
        </is>
      </c>
      <c r="C310" s="51" t="n">
        <v>0.133</v>
      </c>
    </row>
    <row r="311">
      <c r="B311" s="7" t="inlineStr">
        <is>
          <t>M</t>
        </is>
      </c>
      <c r="C311" s="51" t="n">
        <v>0.133</v>
      </c>
    </row>
    <row r="312">
      <c r="B312" s="7" t="inlineStr">
        <is>
          <t>TRIP</t>
        </is>
      </c>
      <c r="C312" s="51" t="n">
        <v>0.133</v>
      </c>
    </row>
    <row r="313">
      <c r="B313" s="7" t="inlineStr">
        <is>
          <t>T</t>
        </is>
      </c>
      <c r="C313" s="51" t="n">
        <v>0.132</v>
      </c>
    </row>
    <row r="314">
      <c r="B314" s="7" t="inlineStr">
        <is>
          <t>CVS</t>
        </is>
      </c>
      <c r="C314" s="51" t="n">
        <v>0.132</v>
      </c>
    </row>
    <row r="315">
      <c r="B315" s="7" t="inlineStr">
        <is>
          <t>ROP</t>
        </is>
      </c>
      <c r="C315" s="51" t="n">
        <v>0.132</v>
      </c>
    </row>
    <row r="316">
      <c r="B316" s="7" t="inlineStr">
        <is>
          <t>BLK</t>
        </is>
      </c>
      <c r="C316" s="51" t="n">
        <v>0.131</v>
      </c>
    </row>
    <row r="317">
      <c r="B317" s="7" t="inlineStr">
        <is>
          <t>ATVI</t>
        </is>
      </c>
      <c r="C317" s="51" t="n">
        <v>0.13</v>
      </c>
    </row>
    <row r="318">
      <c r="B318" s="7" t="inlineStr">
        <is>
          <t>WLTW</t>
        </is>
      </c>
      <c r="C318" s="51" t="n">
        <v>0.13</v>
      </c>
    </row>
    <row r="319">
      <c r="B319" s="7" t="inlineStr">
        <is>
          <t>RSG</t>
        </is>
      </c>
      <c r="C319" s="52" t="n">
        <v>0.13</v>
      </c>
    </row>
    <row r="320">
      <c r="B320" s="7" t="inlineStr">
        <is>
          <t>DISH</t>
        </is>
      </c>
      <c r="C320" s="51" t="n">
        <v>0.13</v>
      </c>
    </row>
    <row r="321">
      <c r="B321" s="7" t="inlineStr">
        <is>
          <t>HIG</t>
        </is>
      </c>
      <c r="C321" s="51" t="n">
        <v>0.129</v>
      </c>
    </row>
    <row r="322">
      <c r="B322" s="7" t="inlineStr">
        <is>
          <t>HBAN</t>
        </is>
      </c>
      <c r="C322" s="52" t="n">
        <v>0.129</v>
      </c>
    </row>
    <row r="323">
      <c r="B323" s="7" t="inlineStr">
        <is>
          <t>XEC</t>
        </is>
      </c>
      <c r="C323" s="51" t="n">
        <v>0.129</v>
      </c>
    </row>
    <row r="324">
      <c r="B324" s="7" t="inlineStr">
        <is>
          <t>HPE</t>
        </is>
      </c>
      <c r="C324" s="51" t="n">
        <v>0.128</v>
      </c>
    </row>
    <row r="325">
      <c r="B325" s="7" t="inlineStr">
        <is>
          <t>STZ</t>
        </is>
      </c>
      <c r="C325" s="51" t="n">
        <v>0.127</v>
      </c>
    </row>
    <row r="326">
      <c r="B326" s="7" t="inlineStr">
        <is>
          <t>EIX</t>
        </is>
      </c>
      <c r="C326" s="52" t="n">
        <v>0.127</v>
      </c>
    </row>
    <row r="327">
      <c r="B327" s="7" t="inlineStr">
        <is>
          <t>TMUS</t>
        </is>
      </c>
      <c r="C327" s="51" t="n">
        <v>0.127</v>
      </c>
    </row>
    <row r="328">
      <c r="B328" s="7" t="inlineStr">
        <is>
          <t>FISV</t>
        </is>
      </c>
      <c r="C328" s="51" t="n">
        <v>0.126</v>
      </c>
    </row>
    <row r="329">
      <c r="B329" s="7" t="inlineStr">
        <is>
          <t>TFX</t>
        </is>
      </c>
      <c r="C329" s="51" t="n">
        <v>0.126</v>
      </c>
    </row>
    <row r="330">
      <c r="B330" s="7" t="inlineStr">
        <is>
          <t>PFG</t>
        </is>
      </c>
      <c r="C330" s="51" t="n">
        <v>0.125</v>
      </c>
    </row>
    <row r="331">
      <c r="B331" s="7" t="inlineStr">
        <is>
          <t>LNC</t>
        </is>
      </c>
      <c r="C331" s="51" t="n">
        <v>0.125</v>
      </c>
    </row>
    <row r="332">
      <c r="B332" s="7" t="inlineStr">
        <is>
          <t>CI</t>
        </is>
      </c>
      <c r="C332" s="51" t="n">
        <v>0.124</v>
      </c>
    </row>
    <row r="333">
      <c r="B333" s="7" t="inlineStr">
        <is>
          <t>UNM</t>
        </is>
      </c>
      <c r="C333" s="51" t="n">
        <v>0.124</v>
      </c>
    </row>
    <row r="334">
      <c r="B334" s="7" t="inlineStr">
        <is>
          <t>KEY</t>
        </is>
      </c>
      <c r="C334" s="51" t="n">
        <v>0.123</v>
      </c>
    </row>
    <row r="335">
      <c r="B335" s="7" t="inlineStr">
        <is>
          <t>FITB</t>
        </is>
      </c>
      <c r="C335" s="51" t="n">
        <v>0.122</v>
      </c>
    </row>
    <row r="336">
      <c r="B336" s="7" t="inlineStr">
        <is>
          <t>RE</t>
        </is>
      </c>
      <c r="C336" s="51" t="n">
        <v>0.122</v>
      </c>
    </row>
    <row r="337">
      <c r="B337" s="7" t="inlineStr">
        <is>
          <t>ZBH</t>
        </is>
      </c>
      <c r="C337" s="51" t="n">
        <v>0.121</v>
      </c>
    </row>
    <row r="338">
      <c r="B338" s="7" t="inlineStr">
        <is>
          <t>CCL</t>
        </is>
      </c>
      <c r="C338" s="51" t="n">
        <v>0.121</v>
      </c>
    </row>
    <row r="339">
      <c r="B339" s="7" t="inlineStr">
        <is>
          <t>WAB</t>
        </is>
      </c>
      <c r="C339" s="52" t="n">
        <v>0.121</v>
      </c>
    </row>
    <row r="340">
      <c r="B340" s="7" t="inlineStr">
        <is>
          <t>FRT</t>
        </is>
      </c>
      <c r="C340" s="51" t="n">
        <v>0.119</v>
      </c>
    </row>
    <row r="341">
      <c r="B341" s="7" t="inlineStr">
        <is>
          <t>BEN</t>
        </is>
      </c>
      <c r="C341" s="51" t="n">
        <v>0.119</v>
      </c>
    </row>
    <row r="342">
      <c r="B342" s="7" t="inlineStr">
        <is>
          <t>WFC</t>
        </is>
      </c>
      <c r="C342" s="51" t="n">
        <v>0.117</v>
      </c>
    </row>
    <row r="343">
      <c r="B343" s="7" t="inlineStr">
        <is>
          <t>DHR</t>
        </is>
      </c>
      <c r="C343" s="51" t="n">
        <v>0.117</v>
      </c>
    </row>
    <row r="344">
      <c r="B344" s="7" t="inlineStr">
        <is>
          <t>VMC</t>
        </is>
      </c>
      <c r="C344" s="51" t="n">
        <v>0.117</v>
      </c>
    </row>
    <row r="345">
      <c r="B345" s="7" t="inlineStr">
        <is>
          <t>MET</t>
        </is>
      </c>
      <c r="C345" s="51" t="n">
        <v>0.116</v>
      </c>
    </row>
    <row r="346">
      <c r="B346" s="7" t="inlineStr">
        <is>
          <t>GLW</t>
        </is>
      </c>
      <c r="C346" s="51" t="n">
        <v>0.116</v>
      </c>
    </row>
    <row r="347">
      <c r="B347" s="7" t="inlineStr">
        <is>
          <t>JNPR</t>
        </is>
      </c>
      <c r="C347" s="52" t="n">
        <v>0.116</v>
      </c>
    </row>
    <row r="348">
      <c r="B348" s="7" t="inlineStr">
        <is>
          <t>TRV</t>
        </is>
      </c>
      <c r="C348" s="51" t="n">
        <v>0.115</v>
      </c>
    </row>
    <row r="349">
      <c r="B349" s="7" t="inlineStr">
        <is>
          <t>LEN</t>
        </is>
      </c>
      <c r="C349" s="52" t="n">
        <v>0.115</v>
      </c>
    </row>
    <row r="350">
      <c r="B350" s="7" t="inlineStr">
        <is>
          <t>FIS</t>
        </is>
      </c>
      <c r="C350" s="51" t="n">
        <v>0.114</v>
      </c>
    </row>
    <row r="351">
      <c r="B351" s="7" t="inlineStr">
        <is>
          <t>ETR</t>
        </is>
      </c>
      <c r="C351" s="51" t="n">
        <v>0.114</v>
      </c>
    </row>
    <row r="352">
      <c r="B352" s="7" t="inlineStr">
        <is>
          <t>MLM</t>
        </is>
      </c>
      <c r="C352" s="51" t="n">
        <v>0.114</v>
      </c>
    </row>
    <row r="353">
      <c r="B353" s="7" t="inlineStr">
        <is>
          <t>PNC</t>
        </is>
      </c>
      <c r="C353" s="51" t="n">
        <v>0.112</v>
      </c>
    </row>
    <row r="354">
      <c r="B354" s="7" t="inlineStr">
        <is>
          <t>WEC</t>
        </is>
      </c>
      <c r="C354" s="51" t="n">
        <v>0.112</v>
      </c>
    </row>
    <row r="355">
      <c r="B355" s="7" t="inlineStr">
        <is>
          <t>CNP</t>
        </is>
      </c>
      <c r="C355" s="51" t="n">
        <v>0.112</v>
      </c>
    </row>
    <row r="356">
      <c r="B356" s="7" t="inlineStr">
        <is>
          <t>PVH</t>
        </is>
      </c>
      <c r="C356" s="51" t="n">
        <v>0.112</v>
      </c>
    </row>
    <row r="357">
      <c r="B357" s="7" t="inlineStr">
        <is>
          <t>SO</t>
        </is>
      </c>
      <c r="C357" s="51" t="n">
        <v>0.111</v>
      </c>
    </row>
    <row r="358">
      <c r="B358" s="7" t="inlineStr">
        <is>
          <t>MS</t>
        </is>
      </c>
      <c r="C358" s="51" t="n">
        <v>0.111</v>
      </c>
    </row>
    <row r="359">
      <c r="B359" s="7" t="inlineStr">
        <is>
          <t>BBT</t>
        </is>
      </c>
      <c r="C359" s="51" t="n">
        <v>0.111</v>
      </c>
    </row>
    <row r="360">
      <c r="B360" s="7" t="inlineStr">
        <is>
          <t>PEG</t>
        </is>
      </c>
      <c r="C360" s="52" t="n">
        <v>0.111</v>
      </c>
    </row>
    <row r="361">
      <c r="B361" s="7" t="inlineStr">
        <is>
          <t>HAL</t>
        </is>
      </c>
      <c r="C361" s="51" t="n">
        <v>0.111</v>
      </c>
    </row>
    <row r="362">
      <c r="B362" s="7" t="inlineStr">
        <is>
          <t>ZION</t>
        </is>
      </c>
      <c r="C362" s="52" t="n">
        <v>0.111</v>
      </c>
    </row>
    <row r="363">
      <c r="B363" s="7" t="inlineStr">
        <is>
          <t>PRU</t>
        </is>
      </c>
      <c r="C363" s="52" t="n">
        <v>0.11</v>
      </c>
    </row>
    <row r="364">
      <c r="B364" s="7" t="inlineStr">
        <is>
          <t>IPGP</t>
        </is>
      </c>
      <c r="C364" s="51" t="n">
        <v>0.109</v>
      </c>
    </row>
    <row r="365">
      <c r="B365" s="7" t="inlineStr">
        <is>
          <t>BAC</t>
        </is>
      </c>
      <c r="C365" s="51" t="n">
        <v>0.108</v>
      </c>
    </row>
    <row r="366">
      <c r="B366" s="7" t="inlineStr">
        <is>
          <t>NEE</t>
        </is>
      </c>
      <c r="C366" s="51" t="n">
        <v>0.108</v>
      </c>
    </row>
    <row r="367">
      <c r="B367" s="7" t="inlineStr">
        <is>
          <t>XEL</t>
        </is>
      </c>
      <c r="C367" s="51" t="n">
        <v>0.108</v>
      </c>
    </row>
    <row r="368">
      <c r="B368" s="7" t="inlineStr">
        <is>
          <t>AWK</t>
        </is>
      </c>
      <c r="C368" s="51" t="n">
        <v>0.108</v>
      </c>
    </row>
    <row r="369">
      <c r="B369" s="7" t="inlineStr">
        <is>
          <t>GS</t>
        </is>
      </c>
      <c r="C369" s="51" t="n">
        <v>0.107</v>
      </c>
    </row>
    <row r="370">
      <c r="B370" s="7" t="inlineStr">
        <is>
          <t>SJM</t>
        </is>
      </c>
      <c r="C370" s="51" t="n">
        <v>0.107</v>
      </c>
    </row>
    <row r="371">
      <c r="B371" s="7" t="inlineStr">
        <is>
          <t>COF</t>
        </is>
      </c>
      <c r="C371" s="51" t="n">
        <v>0.105</v>
      </c>
    </row>
    <row r="372">
      <c r="B372" s="7" t="inlineStr">
        <is>
          <t>DTE</t>
        </is>
      </c>
      <c r="C372" s="51" t="n">
        <v>0.105</v>
      </c>
    </row>
    <row r="373">
      <c r="B373" s="7" t="inlineStr">
        <is>
          <t>XRAY</t>
        </is>
      </c>
      <c r="C373" s="51" t="n">
        <v>0.105</v>
      </c>
    </row>
    <row r="374">
      <c r="B374" s="7" t="inlineStr">
        <is>
          <t>IVZ</t>
        </is>
      </c>
      <c r="C374" s="51" t="n">
        <v>0.105</v>
      </c>
    </row>
    <row r="375">
      <c r="B375" s="7" t="inlineStr">
        <is>
          <t>AEP</t>
        </is>
      </c>
      <c r="C375" s="51" t="n">
        <v>0.104</v>
      </c>
    </row>
    <row r="376">
      <c r="B376" s="7" t="inlineStr">
        <is>
          <t>RF</t>
        </is>
      </c>
      <c r="C376" s="51" t="n">
        <v>0.104</v>
      </c>
    </row>
    <row r="377">
      <c r="B377" s="7" t="inlineStr">
        <is>
          <t>STI</t>
        </is>
      </c>
      <c r="C377" s="51" t="n">
        <v>0.103</v>
      </c>
    </row>
    <row r="378">
      <c r="B378" s="7" t="inlineStr">
        <is>
          <t>STT</t>
        </is>
      </c>
      <c r="C378" s="51" t="n">
        <v>0.103</v>
      </c>
    </row>
    <row r="379">
      <c r="B379" s="7" t="inlineStr">
        <is>
          <t>PXD</t>
        </is>
      </c>
      <c r="C379" s="51" t="n">
        <v>0.102</v>
      </c>
    </row>
    <row r="380">
      <c r="B380" s="7" t="inlineStr">
        <is>
          <t>COTY</t>
        </is>
      </c>
      <c r="C380" s="7" t="n">
        <v>0.102</v>
      </c>
    </row>
    <row r="381">
      <c r="B381" s="7" t="inlineStr">
        <is>
          <t>AEE</t>
        </is>
      </c>
      <c r="C381" s="51" t="n">
        <v>0.101</v>
      </c>
    </row>
    <row r="382">
      <c r="B382" s="7" t="inlineStr">
        <is>
          <t>FRC</t>
        </is>
      </c>
      <c r="C382" s="51" t="n">
        <v>0.101</v>
      </c>
    </row>
    <row r="383">
      <c r="B383" s="7" t="inlineStr">
        <is>
          <t>PNW</t>
        </is>
      </c>
      <c r="C383" s="51" t="n">
        <v>0.1</v>
      </c>
    </row>
    <row r="384">
      <c r="B384" s="7" t="inlineStr">
        <is>
          <t>AIZ</t>
        </is>
      </c>
      <c r="C384" s="51" t="n">
        <v>0.0999</v>
      </c>
    </row>
    <row r="385">
      <c r="B385" s="7" t="inlineStr">
        <is>
          <t>JEC</t>
        </is>
      </c>
      <c r="C385" s="51" t="n">
        <v>0.0997</v>
      </c>
    </row>
    <row r="386">
      <c r="B386" s="7" t="inlineStr">
        <is>
          <t>BK</t>
        </is>
      </c>
      <c r="C386" s="51" t="n">
        <v>0.09810000000000001</v>
      </c>
    </row>
    <row r="387">
      <c r="B387" s="7" t="inlineStr">
        <is>
          <t>SRE</t>
        </is>
      </c>
      <c r="C387" s="51" t="n">
        <v>0.0979</v>
      </c>
    </row>
    <row r="388">
      <c r="B388" s="7" t="inlineStr">
        <is>
          <t>ATO</t>
        </is>
      </c>
      <c r="C388" s="51" t="n">
        <v>0.0977</v>
      </c>
    </row>
    <row r="389">
      <c r="B389" s="7" t="inlineStr">
        <is>
          <t>PWR</t>
        </is>
      </c>
      <c r="C389" s="51" t="n">
        <v>0.0977</v>
      </c>
    </row>
    <row r="390">
      <c r="B390" s="7" t="inlineStr">
        <is>
          <t>PRGO</t>
        </is>
      </c>
      <c r="C390" s="51" t="n">
        <v>0.09569999999999999</v>
      </c>
    </row>
    <row r="391">
      <c r="B391" s="7" t="inlineStr">
        <is>
          <t>CB</t>
        </is>
      </c>
      <c r="C391" s="51" t="n">
        <v>0.0954</v>
      </c>
    </row>
    <row r="392">
      <c r="B392" s="7" t="inlineStr">
        <is>
          <t>C</t>
        </is>
      </c>
      <c r="C392" s="51" t="n">
        <v>0.0951</v>
      </c>
    </row>
    <row r="393">
      <c r="B393" s="7" t="inlineStr">
        <is>
          <t>IFF</t>
        </is>
      </c>
      <c r="C393" s="51" t="n">
        <v>0.09470000000000001</v>
      </c>
    </row>
    <row r="394">
      <c r="B394" s="7" t="inlineStr">
        <is>
          <t>EXC</t>
        </is>
      </c>
      <c r="C394" s="51" t="n">
        <v>0.0936</v>
      </c>
    </row>
    <row r="395">
      <c r="B395" s="7" t="inlineStr">
        <is>
          <t>VLO</t>
        </is>
      </c>
      <c r="C395" s="52" t="n">
        <v>0.09329999999999999</v>
      </c>
    </row>
    <row r="396">
      <c r="B396" s="7" t="inlineStr">
        <is>
          <t>NI</t>
        </is>
      </c>
      <c r="C396" s="51" t="n">
        <v>0.09130000000000001</v>
      </c>
    </row>
    <row r="397">
      <c r="B397" s="7" t="inlineStr">
        <is>
          <t>CME</t>
        </is>
      </c>
      <c r="C397" s="51" t="n">
        <v>0.0912</v>
      </c>
    </row>
    <row r="398">
      <c r="B398" s="7" t="inlineStr">
        <is>
          <t>AGN</t>
        </is>
      </c>
      <c r="C398" s="51" t="n">
        <v>0.0896</v>
      </c>
    </row>
    <row r="399">
      <c r="B399" s="7" t="inlineStr">
        <is>
          <t>MHK</t>
        </is>
      </c>
      <c r="C399" s="51" t="n">
        <v>0.0893</v>
      </c>
    </row>
    <row r="400">
      <c r="B400" s="7" t="inlineStr">
        <is>
          <t>BXP</t>
        </is>
      </c>
      <c r="C400" s="51" t="n">
        <v>0.089</v>
      </c>
    </row>
    <row r="401">
      <c r="B401" s="7" t="inlineStr">
        <is>
          <t>WDC</t>
        </is>
      </c>
      <c r="C401" s="51" t="n">
        <v>0.08890000000000001</v>
      </c>
    </row>
    <row r="402">
      <c r="B402" s="7" t="inlineStr">
        <is>
          <t>ES</t>
        </is>
      </c>
      <c r="C402" s="52" t="n">
        <v>0.0886</v>
      </c>
    </row>
    <row r="403">
      <c r="B403" s="7" t="inlineStr">
        <is>
          <t>OXY</t>
        </is>
      </c>
      <c r="C403" s="51" t="n">
        <v>0.0876</v>
      </c>
    </row>
    <row r="404">
      <c r="B404" s="7" t="inlineStr">
        <is>
          <t>EFX</t>
        </is>
      </c>
      <c r="C404" s="51" t="n">
        <v>0.0872</v>
      </c>
    </row>
    <row r="405">
      <c r="B405" s="7" t="inlineStr">
        <is>
          <t>WRK</t>
        </is>
      </c>
      <c r="C405" s="51" t="n">
        <v>0.0853</v>
      </c>
    </row>
    <row r="406">
      <c r="B406" s="7" t="inlineStr">
        <is>
          <t>CFG</t>
        </is>
      </c>
      <c r="C406" s="51" t="n">
        <v>0.08400000000000001</v>
      </c>
    </row>
    <row r="407">
      <c r="B407" s="7" t="inlineStr">
        <is>
          <t>JCI</t>
        </is>
      </c>
      <c r="C407" s="51" t="n">
        <v>0.08359999999999999</v>
      </c>
    </row>
    <row r="408">
      <c r="B408" s="7" t="inlineStr">
        <is>
          <t>CVX</t>
        </is>
      </c>
      <c r="C408" s="51" t="n">
        <v>0.082</v>
      </c>
    </row>
    <row r="409">
      <c r="B409" s="7" t="inlineStr">
        <is>
          <t>ED</t>
        </is>
      </c>
      <c r="C409" s="51" t="n">
        <v>0.08169999999999999</v>
      </c>
    </row>
    <row r="410">
      <c r="B410" s="7" t="inlineStr">
        <is>
          <t>DUK</t>
        </is>
      </c>
      <c r="C410" s="51" t="n">
        <v>0.0805</v>
      </c>
    </row>
    <row r="411">
      <c r="B411" s="7" t="inlineStr">
        <is>
          <t>ADM</t>
        </is>
      </c>
      <c r="C411" s="52" t="n">
        <v>0.0803</v>
      </c>
    </row>
    <row r="412">
      <c r="B412" s="7" t="inlineStr">
        <is>
          <t>AIG</t>
        </is>
      </c>
      <c r="C412" s="51" t="n">
        <v>0.07969999999999999</v>
      </c>
    </row>
    <row r="413">
      <c r="B413" s="7" t="inlineStr">
        <is>
          <t>MPC</t>
        </is>
      </c>
      <c r="C413" s="52" t="n">
        <v>0.07779999999999999</v>
      </c>
    </row>
    <row r="414">
      <c r="B414" s="7" t="inlineStr">
        <is>
          <t>WMB</t>
        </is>
      </c>
      <c r="C414" s="52" t="n">
        <v>0.0757</v>
      </c>
    </row>
    <row r="415">
      <c r="B415" s="7" t="inlineStr">
        <is>
          <t>EVRG</t>
        </is>
      </c>
      <c r="C415" s="51" t="n">
        <v>0.0757</v>
      </c>
    </row>
    <row r="416">
      <c r="B416" s="7" t="inlineStr">
        <is>
          <t>CTL</t>
        </is>
      </c>
      <c r="C416" s="52" t="n">
        <v>0.07389999999999999</v>
      </c>
    </row>
    <row r="417">
      <c r="B417" s="7" t="inlineStr">
        <is>
          <t>CINF</t>
        </is>
      </c>
      <c r="C417" s="51" t="n">
        <v>0.0733</v>
      </c>
    </row>
    <row r="418">
      <c r="B418" s="7" t="inlineStr">
        <is>
          <t>UAA</t>
        </is>
      </c>
      <c r="C418" s="51" t="n">
        <v>0.07290000000000001</v>
      </c>
    </row>
    <row r="419">
      <c r="B419" s="7" t="inlineStr">
        <is>
          <t>UA</t>
        </is>
      </c>
      <c r="C419" s="51" t="n">
        <v>0.07290000000000001</v>
      </c>
    </row>
    <row r="420">
      <c r="B420" s="7" t="inlineStr">
        <is>
          <t>EQIX</t>
        </is>
      </c>
      <c r="C420" s="51" t="n">
        <v>0.0725</v>
      </c>
    </row>
    <row r="421">
      <c r="B421" s="7" t="inlineStr">
        <is>
          <t>CCI</t>
        </is>
      </c>
      <c r="C421" s="51" t="n">
        <v>0.0722</v>
      </c>
    </row>
    <row r="422">
      <c r="B422" s="7" t="inlineStr">
        <is>
          <t>KMI</t>
        </is>
      </c>
      <c r="C422" s="51" t="n">
        <v>0.0722</v>
      </c>
    </row>
    <row r="423">
      <c r="B423" s="7" t="inlineStr">
        <is>
          <t>XOM</t>
        </is>
      </c>
      <c r="C423" s="52" t="n">
        <v>0.0712</v>
      </c>
    </row>
    <row r="424">
      <c r="B424" s="7" t="inlineStr">
        <is>
          <t>NEM</t>
        </is>
      </c>
      <c r="C424" s="51" t="n">
        <v>0.0709</v>
      </c>
    </row>
    <row r="425">
      <c r="B425" s="7" t="inlineStr">
        <is>
          <t>PBCT</t>
        </is>
      </c>
      <c r="C425" s="51" t="n">
        <v>0.0707</v>
      </c>
    </row>
    <row r="426">
      <c r="B426" s="7" t="inlineStr">
        <is>
          <t>FANG</t>
        </is>
      </c>
      <c r="C426" s="51" t="n">
        <v>0.06950000000000001</v>
      </c>
    </row>
    <row r="427">
      <c r="B427" s="7" t="inlineStr">
        <is>
          <t>TAP</t>
        </is>
      </c>
      <c r="C427" s="51" t="n">
        <v>0.0688</v>
      </c>
    </row>
    <row r="428">
      <c r="B428" s="7" t="inlineStr">
        <is>
          <t>MGM</t>
        </is>
      </c>
      <c r="C428" s="51" t="n">
        <v>0.0672</v>
      </c>
    </row>
    <row r="429">
      <c r="B429" s="7" t="inlineStr">
        <is>
          <t>DVN</t>
        </is>
      </c>
      <c r="C429" s="51" t="n">
        <v>0.0655</v>
      </c>
    </row>
    <row r="430">
      <c r="B430" s="7" t="inlineStr">
        <is>
          <t>WELL</t>
        </is>
      </c>
      <c r="C430" s="51" t="n">
        <v>0.06510000000000001</v>
      </c>
    </row>
    <row r="431">
      <c r="B431" s="7" t="inlineStr">
        <is>
          <t>EQR</t>
        </is>
      </c>
      <c r="C431" s="51" t="n">
        <v>0.06510000000000001</v>
      </c>
    </row>
    <row r="432">
      <c r="B432" s="7" t="inlineStr">
        <is>
          <t>AVB</t>
        </is>
      </c>
      <c r="C432" s="52" t="n">
        <v>0.0633</v>
      </c>
    </row>
    <row r="433">
      <c r="B433" s="7" t="inlineStr">
        <is>
          <t>ESS</t>
        </is>
      </c>
      <c r="C433" s="51" t="n">
        <v>0.063</v>
      </c>
    </row>
    <row r="434">
      <c r="B434" s="7" t="inlineStr">
        <is>
          <t>KIM</t>
        </is>
      </c>
      <c r="C434" s="51" t="n">
        <v>0.0624</v>
      </c>
    </row>
    <row r="435">
      <c r="B435" s="7" t="inlineStr">
        <is>
          <t>PLD</t>
        </is>
      </c>
      <c r="C435" s="51" t="n">
        <v>0.0609</v>
      </c>
    </row>
    <row r="436">
      <c r="B436" s="7" t="inlineStr">
        <is>
          <t>FTI</t>
        </is>
      </c>
      <c r="C436" s="51" t="n">
        <v>0.058</v>
      </c>
    </row>
    <row r="437">
      <c r="B437" s="7" t="inlineStr">
        <is>
          <t>SLB</t>
        </is>
      </c>
      <c r="C437" s="51" t="n">
        <v>0.0579</v>
      </c>
    </row>
    <row r="438">
      <c r="B438" s="7" t="inlineStr">
        <is>
          <t>VTR</t>
        </is>
      </c>
      <c r="C438" s="51" t="n">
        <v>0.0575</v>
      </c>
    </row>
    <row r="439">
      <c r="B439" s="7" t="inlineStr">
        <is>
          <t>KHC</t>
        </is>
      </c>
      <c r="C439" s="51" t="n">
        <v>0.0574</v>
      </c>
    </row>
    <row r="440">
      <c r="B440" s="7" t="inlineStr">
        <is>
          <t>SLG</t>
        </is>
      </c>
      <c r="C440" s="51" t="n">
        <v>0.0479</v>
      </c>
    </row>
    <row r="441">
      <c r="B441" s="7" t="inlineStr">
        <is>
          <t>MRO</t>
        </is>
      </c>
      <c r="C441" s="51" t="n">
        <v>0.0473</v>
      </c>
    </row>
    <row r="442">
      <c r="B442" s="7" t="inlineStr">
        <is>
          <t>O</t>
        </is>
      </c>
      <c r="C442" s="52" t="n">
        <v>0.047</v>
      </c>
    </row>
    <row r="443">
      <c r="B443" s="7" t="inlineStr">
        <is>
          <t>DRE</t>
        </is>
      </c>
      <c r="C443" s="51" t="n">
        <v>0.0467</v>
      </c>
    </row>
    <row r="444">
      <c r="B444" s="7" t="inlineStr">
        <is>
          <t>GPN</t>
        </is>
      </c>
      <c r="C444" s="51" t="n">
        <v>0.0425</v>
      </c>
    </row>
    <row r="445">
      <c r="B445" s="7" t="inlineStr">
        <is>
          <t>HP</t>
        </is>
      </c>
      <c r="C445" s="51" t="n">
        <v>0.0415</v>
      </c>
    </row>
    <row r="446">
      <c r="B446" s="7" t="inlineStr">
        <is>
          <t>CHTR</t>
        </is>
      </c>
      <c r="C446" s="51" t="n">
        <v>0.0389</v>
      </c>
    </row>
    <row r="447">
      <c r="B447" s="7" t="inlineStr">
        <is>
          <t>WY</t>
        </is>
      </c>
      <c r="C447" s="51" t="n">
        <v>0.0365</v>
      </c>
    </row>
    <row r="448">
      <c r="B448" s="7" t="inlineStr">
        <is>
          <t>CXO</t>
        </is>
      </c>
      <c r="C448" s="51" t="n">
        <v>0.0338</v>
      </c>
    </row>
    <row r="449">
      <c r="B449" s="7" t="inlineStr">
        <is>
          <t>UDR</t>
        </is>
      </c>
      <c r="C449" s="52" t="n">
        <v>0.0332</v>
      </c>
    </row>
    <row r="450">
      <c r="B450" s="7" t="inlineStr">
        <is>
          <t>BHGE</t>
        </is>
      </c>
      <c r="C450" s="51" t="n">
        <v>0.0317</v>
      </c>
    </row>
    <row r="451">
      <c r="B451" s="7" t="inlineStr">
        <is>
          <t>ARE</t>
        </is>
      </c>
      <c r="C451" s="51" t="n">
        <v>0.0313</v>
      </c>
    </row>
    <row r="452">
      <c r="B452" s="7" t="inlineStr">
        <is>
          <t>HCP</t>
        </is>
      </c>
      <c r="C452" s="51" t="n">
        <v>0.0313</v>
      </c>
    </row>
    <row r="453">
      <c r="B453" s="7" t="inlineStr">
        <is>
          <t>MOS</t>
        </is>
      </c>
      <c r="C453" s="51" t="n">
        <v>0.0311</v>
      </c>
    </row>
    <row r="454">
      <c r="B454" s="7" t="inlineStr">
        <is>
          <t>NWSA</t>
        </is>
      </c>
      <c r="C454" s="51" t="n">
        <v>0.0273</v>
      </c>
    </row>
    <row r="455">
      <c r="B455" s="7" t="inlineStr">
        <is>
          <t>NWS</t>
        </is>
      </c>
      <c r="C455" s="7" t="n">
        <v>0.0273</v>
      </c>
    </row>
    <row r="456">
      <c r="B456" s="7" t="inlineStr">
        <is>
          <t>MAC</t>
        </is>
      </c>
      <c r="C456" s="51" t="n">
        <v>0.0253</v>
      </c>
    </row>
    <row r="457">
      <c r="B457" s="7" t="inlineStr">
        <is>
          <t>DLR</t>
        </is>
      </c>
      <c r="C457" s="51" t="n">
        <v>0.0234</v>
      </c>
    </row>
    <row r="458">
      <c r="B458" s="7" t="inlineStr">
        <is>
          <t>FCX</t>
        </is>
      </c>
      <c r="C458" s="51" t="n">
        <v>0.0216</v>
      </c>
    </row>
    <row r="459">
      <c r="B459" s="7" t="inlineStr">
        <is>
          <t>APA</t>
        </is>
      </c>
      <c r="C459" s="51" t="n">
        <v>0.0208</v>
      </c>
    </row>
    <row r="460">
      <c r="B460" s="7" t="inlineStr">
        <is>
          <t>ADSK</t>
        </is>
      </c>
      <c r="C460" s="51" t="n">
        <v>0.004</v>
      </c>
    </row>
    <row r="461">
      <c r="B461" s="31" t="inlineStr">
        <is>
          <t>NOV</t>
        </is>
      </c>
      <c r="C461" s="53" t="n">
        <v>0.0013</v>
      </c>
    </row>
    <row r="462">
      <c r="B462" s="31" t="inlineStr">
        <is>
          <t>NBL</t>
        </is>
      </c>
      <c r="C462" s="53" t="n">
        <v>-0.0118</v>
      </c>
    </row>
    <row r="463">
      <c r="B463" s="31" t="inlineStr">
        <is>
          <t>HES</t>
        </is>
      </c>
      <c r="C463" s="53" t="n">
        <v>-0.0143</v>
      </c>
    </row>
    <row r="464">
      <c r="B464" s="31" t="inlineStr">
        <is>
          <t>NKTR</t>
        </is>
      </c>
      <c r="C464" s="31" t="n">
        <v>-0.354</v>
      </c>
    </row>
  </sheetData>
  <autoFilter ref="B2:C2"/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U1686"/>
  <sheetViews>
    <sheetView workbookViewId="0">
      <selection activeCell="A23" sqref="A23:XFD23"/>
    </sheetView>
  </sheetViews>
  <sheetFormatPr baseColWidth="8" defaultColWidth="11.1796875" defaultRowHeight="14.5"/>
  <cols>
    <col width="11.1796875" customWidth="1" style="63" min="1" max="1"/>
    <col width="11.1796875" customWidth="1" style="4" min="2" max="4"/>
    <col width="11.1796875" customWidth="1" style="63" min="5" max="17"/>
    <col width="11.1796875" customWidth="1" style="63" min="18" max="16384"/>
  </cols>
  <sheetData>
    <row r="1">
      <c r="F1" s="63">
        <f>SUBTOTAL(1,B14:B1686)</f>
        <v/>
      </c>
      <c r="H1" s="63" t="n">
        <v>0.3813482577751208</v>
      </c>
      <c r="R1" s="54">
        <f>SUBTOTAL(1,R17:R1685)</f>
        <v/>
      </c>
    </row>
    <row r="2">
      <c r="F2" s="63">
        <f>SUBTOTAL(1,C14:C1686)</f>
        <v/>
      </c>
      <c r="H2" s="63" t="n">
        <v>1672</v>
      </c>
      <c r="R2" s="54">
        <f>SUBTOTAL(1,S17:S1682)</f>
        <v/>
      </c>
    </row>
    <row r="3">
      <c r="E3" s="63">
        <f>SUM(F1:F3)</f>
        <v/>
      </c>
      <c r="F3" s="63">
        <f>SUBTOTAL(1,D14:D1686)</f>
        <v/>
      </c>
      <c r="R3" s="63">
        <f>SUBTOTAL(2,S17:S1682)</f>
        <v/>
      </c>
    </row>
    <row r="4">
      <c r="F4" s="63">
        <f>SUBTOTAL(2,B14:B1686)</f>
        <v/>
      </c>
      <c r="R4" s="63">
        <f>SUBTOTAL(2,T17:T1682)</f>
        <v/>
      </c>
      <c r="S4" s="63">
        <f>R4/R3</f>
        <v/>
      </c>
    </row>
    <row r="5">
      <c r="F5" s="54">
        <f>SUBTOTAL(1,N13:N1685)</f>
        <v/>
      </c>
      <c r="R5" s="63">
        <f>SUBTOTAL(2,U17:U1682)</f>
        <v/>
      </c>
      <c r="S5" s="63">
        <f>R5/R3</f>
        <v/>
      </c>
    </row>
    <row r="6">
      <c r="F6" s="54">
        <f>SUBTOTAL(1,O13:O1682)</f>
        <v/>
      </c>
    </row>
    <row r="7">
      <c r="F7" s="54">
        <f>SUBTOTAL(5,O13:O1682)</f>
        <v/>
      </c>
    </row>
    <row r="8">
      <c r="F8" s="54" t="n"/>
    </row>
    <row r="9">
      <c r="F9" s="54" t="n"/>
    </row>
    <row r="10" ht="16" customHeight="1" s="76" thickBot="1"/>
    <row r="11" ht="49" customHeight="1" s="76" thickBot="1">
      <c r="A11" s="36" t="inlineStr">
        <is>
          <t>Date</t>
        </is>
      </c>
      <c r="B11" s="37" t="inlineStr">
        <is>
          <t>Bullish</t>
        </is>
      </c>
      <c r="C11" s="37" t="inlineStr">
        <is>
          <t>Neutral</t>
        </is>
      </c>
      <c r="D11" s="37" t="inlineStr">
        <is>
          <t>Bearish</t>
        </is>
      </c>
      <c r="E11" s="38" t="inlineStr">
        <is>
          <t>Total</t>
        </is>
      </c>
      <c r="F11" s="38" t="inlineStr">
        <is>
          <t>Bullish 8-Week Mov Avg</t>
        </is>
      </c>
      <c r="G11" s="38" t="inlineStr">
        <is>
          <t>Bull-Bear Spread</t>
        </is>
      </c>
      <c r="H11" s="38" t="inlineStr">
        <is>
          <t>Bullish Average</t>
        </is>
      </c>
      <c r="I11" s="38" t="inlineStr">
        <is>
          <t>Bullish Average + St. Dev</t>
        </is>
      </c>
      <c r="J11" s="38" t="inlineStr">
        <is>
          <t>Bullish Average - St. Dev</t>
        </is>
      </c>
      <c r="K11" s="38" t="inlineStr">
        <is>
          <t>S&amp;P 500 Weekly High</t>
        </is>
      </c>
      <c r="L11" s="38" t="inlineStr">
        <is>
          <t>S&amp;P 500 Weekly Low</t>
        </is>
      </c>
      <c r="M11" s="38" t="inlineStr">
        <is>
          <t>S&amp;P 500 Weekly Close</t>
        </is>
      </c>
      <c r="N11" s="39" t="inlineStr">
        <is>
          <t>1w after</t>
        </is>
      </c>
      <c r="O11" s="39" t="inlineStr">
        <is>
          <t>4w after</t>
        </is>
      </c>
      <c r="P11" s="40" t="inlineStr">
        <is>
          <t>Bull-Bear spread</t>
        </is>
      </c>
      <c r="Q11" s="40" t="inlineStr">
        <is>
          <t>Bull-Bear Spread 4 weeks Average</t>
        </is>
      </c>
      <c r="R11" s="40" t="n"/>
      <c r="S11" s="41" t="n"/>
    </row>
    <row r="12">
      <c r="A12" s="35" t="n">
        <v>31954</v>
      </c>
      <c r="H12" s="63" t="n">
        <v>0.386013987936</v>
      </c>
      <c r="I12" s="63" t="n">
        <v>0.489177823145</v>
      </c>
      <c r="J12" s="63" t="n">
        <v>0.282850152726</v>
      </c>
    </row>
    <row r="13">
      <c r="A13" s="35" t="n">
        <v>31975</v>
      </c>
      <c r="H13" s="63" t="n">
        <v>0.386013987936</v>
      </c>
      <c r="I13" s="63" t="n">
        <v>0.489177823145</v>
      </c>
      <c r="J13" s="63" t="n">
        <v>0.282850152726</v>
      </c>
      <c r="K13" s="63" t="n">
        <v>314.59</v>
      </c>
      <c r="L13" s="63" t="n">
        <v>307.63</v>
      </c>
      <c r="M13" s="63" t="n">
        <v>314.59</v>
      </c>
      <c r="N13" s="54">
        <f>(M14-M13)/M13</f>
        <v/>
      </c>
      <c r="O13" s="54">
        <f>(M17-M13)/M13</f>
        <v/>
      </c>
    </row>
    <row r="14">
      <c r="A14" s="35" t="n">
        <v>31982</v>
      </c>
      <c r="B14" s="4" t="n">
        <v>0.36</v>
      </c>
      <c r="C14" s="4" t="n">
        <v>0.5</v>
      </c>
      <c r="D14" s="4" t="n">
        <v>0.14</v>
      </c>
      <c r="E14" s="63" t="n">
        <v>1</v>
      </c>
      <c r="G14" s="63" t="n">
        <v>0.22</v>
      </c>
      <c r="H14" s="63" t="n">
        <v>0.386013987936</v>
      </c>
      <c r="I14" s="63" t="n">
        <v>0.489177823145</v>
      </c>
      <c r="J14" s="63" t="n">
        <v>0.282850152726</v>
      </c>
      <c r="K14" s="63" t="n">
        <v>311.39</v>
      </c>
      <c r="L14" s="63" t="n">
        <v>307.81</v>
      </c>
      <c r="M14" s="63" t="n">
        <v>309.27</v>
      </c>
      <c r="N14" s="54">
        <f>(M15-M14)/M14</f>
        <v/>
      </c>
      <c r="O14" s="54">
        <f>(M18-M14)/M14</f>
        <v/>
      </c>
      <c r="P14" s="4">
        <f>B14-D14</f>
        <v/>
      </c>
    </row>
    <row r="15">
      <c r="A15" s="35" t="n">
        <v>31989</v>
      </c>
      <c r="B15" s="4" t="n">
        <v>0.26</v>
      </c>
      <c r="C15" s="4" t="n">
        <v>0.48</v>
      </c>
      <c r="D15" s="4" t="n">
        <v>0.26</v>
      </c>
      <c r="E15" s="63" t="n">
        <v>1</v>
      </c>
      <c r="G15" s="63" t="n">
        <v>0</v>
      </c>
      <c r="H15" s="63" t="n">
        <v>0.386013987936</v>
      </c>
      <c r="I15" s="63" t="n">
        <v>0.489177823145</v>
      </c>
      <c r="J15" s="63" t="n">
        <v>0.282850152726</v>
      </c>
      <c r="K15" s="63" t="n">
        <v>318.66</v>
      </c>
      <c r="L15" s="63" t="n">
        <v>310.65</v>
      </c>
      <c r="M15" s="63" t="n">
        <v>318.66</v>
      </c>
      <c r="N15" s="54">
        <f>(M16-M15)/M15</f>
        <v/>
      </c>
      <c r="O15" s="54">
        <f>(M19-M15)/M15</f>
        <v/>
      </c>
      <c r="P15" s="4">
        <f>B15-D15</f>
        <v/>
      </c>
    </row>
    <row r="16">
      <c r="A16" s="35" t="n">
        <v>31996</v>
      </c>
      <c r="B16" s="4" t="n">
        <v>0.5600000000000001</v>
      </c>
      <c r="C16" s="4" t="n">
        <v>0.15</v>
      </c>
      <c r="D16" s="4" t="n">
        <v>0.29</v>
      </c>
      <c r="E16" s="63" t="n">
        <v>1</v>
      </c>
      <c r="G16" s="63" t="n">
        <v>0.27</v>
      </c>
      <c r="H16" s="63" t="n">
        <v>0.386013987936</v>
      </c>
      <c r="I16" s="63" t="n">
        <v>0.489177823145</v>
      </c>
      <c r="J16" s="63" t="n">
        <v>0.282850152726</v>
      </c>
      <c r="K16" s="63" t="n">
        <v>323</v>
      </c>
      <c r="L16" s="63" t="n">
        <v>316.23</v>
      </c>
      <c r="M16" s="63" t="n">
        <v>323</v>
      </c>
      <c r="N16" s="54">
        <f>(M17-M16)/M16</f>
        <v/>
      </c>
      <c r="O16" s="54">
        <f>(M20-M16)/M16</f>
        <v/>
      </c>
      <c r="P16" s="4">
        <f>B16-D16</f>
        <v/>
      </c>
    </row>
    <row r="17">
      <c r="A17" s="35" t="n">
        <v>32003</v>
      </c>
      <c r="B17" s="4" t="n">
        <v>0.45</v>
      </c>
      <c r="C17" s="4" t="n">
        <v>0.35</v>
      </c>
      <c r="D17" s="4" t="n">
        <v>0.2</v>
      </c>
      <c r="E17" s="63" t="n">
        <v>1</v>
      </c>
      <c r="G17" s="63" t="n">
        <v>0.25</v>
      </c>
      <c r="H17" s="63" t="n">
        <v>0.386013987936</v>
      </c>
      <c r="I17" s="63" t="n">
        <v>0.489177823145</v>
      </c>
      <c r="J17" s="63" t="n">
        <v>0.282850152726</v>
      </c>
      <c r="K17" s="63" t="n">
        <v>334.65</v>
      </c>
      <c r="L17" s="63" t="n">
        <v>323</v>
      </c>
      <c r="M17" s="63" t="n">
        <v>333.99</v>
      </c>
      <c r="N17" s="54">
        <f>(M18-M17)/M17</f>
        <v/>
      </c>
      <c r="O17" s="54">
        <f>(M21-M17)/M17</f>
        <v/>
      </c>
      <c r="P17" s="4">
        <f>B17-D17</f>
        <v/>
      </c>
      <c r="Q17" s="4">
        <f>AVERAGE(P14:P17)</f>
        <v/>
      </c>
      <c r="R17" s="54">
        <f>(M18-M17)/M17</f>
        <v/>
      </c>
      <c r="S17" s="54">
        <f>(M21-M17)/M17</f>
        <v/>
      </c>
      <c r="T17" s="63">
        <f>IF(R17&gt;0,1,"")</f>
        <v/>
      </c>
      <c r="U17" s="63">
        <f>IF(S17&gt;0,1,"")</f>
        <v/>
      </c>
    </row>
    <row r="18">
      <c r="A18" s="35" t="n">
        <v>32010</v>
      </c>
      <c r="B18" s="4" t="n">
        <v>0.66</v>
      </c>
      <c r="C18" s="4" t="n">
        <v>0.28</v>
      </c>
      <c r="D18" s="4" t="n">
        <v>0.06</v>
      </c>
      <c r="E18" s="63" t="n">
        <v>1</v>
      </c>
      <c r="G18" s="63" t="n">
        <v>0.6</v>
      </c>
      <c r="H18" s="63" t="n">
        <v>0.386013987936</v>
      </c>
      <c r="I18" s="63" t="n">
        <v>0.489177823145</v>
      </c>
      <c r="J18" s="63" t="n">
        <v>0.282850152726</v>
      </c>
      <c r="K18" s="63" t="n">
        <v>335.9</v>
      </c>
      <c r="L18" s="63" t="n">
        <v>329.25</v>
      </c>
      <c r="M18" s="63" t="n">
        <v>335.9</v>
      </c>
      <c r="N18" s="54">
        <f>(M19-M18)/M18</f>
        <v/>
      </c>
      <c r="O18" s="54">
        <f>(M22-M18)/M18</f>
        <v/>
      </c>
      <c r="P18" s="4">
        <f>B18-D18</f>
        <v/>
      </c>
      <c r="Q18" s="4">
        <f>AVERAGE(P15:P18)</f>
        <v/>
      </c>
      <c r="R18" s="54">
        <f>(M19-M18)/M18</f>
        <v/>
      </c>
      <c r="S18" s="54">
        <f>(M22-M18)/M18</f>
        <v/>
      </c>
      <c r="T18" s="63">
        <f>IF(R18&gt;0,1,"")</f>
        <v/>
      </c>
      <c r="U18" s="63">
        <f>IF(S18&gt;0,1,"")</f>
        <v/>
      </c>
    </row>
    <row r="19">
      <c r="A19" s="35" t="n">
        <v>32017</v>
      </c>
      <c r="B19" s="4" t="n">
        <v>0.52</v>
      </c>
      <c r="C19" s="4" t="n">
        <v>0.18</v>
      </c>
      <c r="D19" s="4" t="n">
        <v>0.3</v>
      </c>
      <c r="E19" s="63" t="n">
        <v>1</v>
      </c>
      <c r="G19" s="63" t="n">
        <v>0.22</v>
      </c>
      <c r="H19" s="63" t="n">
        <v>0.386013987936</v>
      </c>
      <c r="I19" s="63" t="n">
        <v>0.489177823145</v>
      </c>
      <c r="J19" s="63" t="n">
        <v>0.282850152726</v>
      </c>
      <c r="K19" s="63" t="n">
        <v>331.38</v>
      </c>
      <c r="L19" s="63" t="n">
        <v>323.04</v>
      </c>
      <c r="M19" s="63" t="n">
        <v>323.04</v>
      </c>
      <c r="N19" s="54">
        <f>(M20-M19)/M19</f>
        <v/>
      </c>
      <c r="O19" s="54">
        <f>(M23-M19)/M19</f>
        <v/>
      </c>
      <c r="P19" s="4">
        <f>B19-D19</f>
        <v/>
      </c>
      <c r="Q19" s="4">
        <f>AVERAGE(P16:P19)</f>
        <v/>
      </c>
      <c r="R19" s="54">
        <f>(M20-M19)/M19</f>
        <v/>
      </c>
      <c r="S19" s="54">
        <f>(M23-M19)/M19</f>
        <v/>
      </c>
      <c r="T19" s="63">
        <f>IF(R19&gt;0,1,"")</f>
        <v/>
      </c>
      <c r="U19" s="63">
        <f>IF(S19&gt;0,1,"")</f>
        <v/>
      </c>
    </row>
    <row r="20">
      <c r="A20" s="35" t="n">
        <v>32024</v>
      </c>
      <c r="B20" s="4" t="n">
        <v>0.42</v>
      </c>
      <c r="C20" s="4" t="n">
        <v>0.17</v>
      </c>
      <c r="D20" s="4" t="n">
        <v>0.41</v>
      </c>
      <c r="E20" s="63" t="n">
        <v>1</v>
      </c>
      <c r="G20" s="63" t="n">
        <v>0.01</v>
      </c>
      <c r="H20" s="63" t="n">
        <v>0.386013987936</v>
      </c>
      <c r="I20" s="63" t="n">
        <v>0.489177823145</v>
      </c>
      <c r="J20" s="63" t="n">
        <v>0.282850152726</v>
      </c>
      <c r="K20" s="63" t="n">
        <v>329.79</v>
      </c>
      <c r="L20" s="63" t="n">
        <v>316.7</v>
      </c>
      <c r="M20" s="63" t="n">
        <v>316.7</v>
      </c>
      <c r="N20" s="54">
        <f>(M21-M20)/M20</f>
        <v/>
      </c>
      <c r="O20" s="54">
        <f>(M24-M20)/M20</f>
        <v/>
      </c>
      <c r="P20" s="4">
        <f>B20-D20</f>
        <v/>
      </c>
      <c r="Q20" s="4">
        <f>AVERAGE(P17:P20)</f>
        <v/>
      </c>
      <c r="R20" s="54">
        <f>(M21-M20)/M20</f>
        <v/>
      </c>
      <c r="S20" s="54">
        <f>(M24-M20)/M20</f>
        <v/>
      </c>
      <c r="T20" s="63">
        <f>IF(R20&gt;0,1,"")</f>
        <v/>
      </c>
      <c r="U20" s="63">
        <f>IF(S20&gt;0,1,"")</f>
        <v/>
      </c>
    </row>
    <row r="21">
      <c r="A21" s="35" t="n">
        <v>32031</v>
      </c>
      <c r="B21" s="4" t="n">
        <v>0.5</v>
      </c>
      <c r="C21" s="4" t="n">
        <v>0.23</v>
      </c>
      <c r="D21" s="4" t="n">
        <v>0.27</v>
      </c>
      <c r="E21" s="63" t="n">
        <v>1</v>
      </c>
      <c r="F21" s="63" t="n">
        <v>0.46625</v>
      </c>
      <c r="G21" s="63" t="n">
        <v>0.23</v>
      </c>
      <c r="H21" s="63" t="n">
        <v>0.384907436629</v>
      </c>
      <c r="I21" s="63" t="n">
        <v>0.48829287048</v>
      </c>
      <c r="J21" s="63" t="n">
        <v>0.281522002778</v>
      </c>
      <c r="K21" s="63" t="n">
        <v>321.98</v>
      </c>
      <c r="L21" s="63" t="n">
        <v>313.56</v>
      </c>
      <c r="M21" s="63" t="n">
        <v>321.98</v>
      </c>
      <c r="N21" s="54">
        <f>(M22-M21)/M21</f>
        <v/>
      </c>
      <c r="O21" s="54">
        <f>(M25-M21)/M21</f>
        <v/>
      </c>
      <c r="P21" s="4">
        <f>B21-D21</f>
        <v/>
      </c>
      <c r="Q21" s="4">
        <f>AVERAGE(P18:P21)</f>
        <v/>
      </c>
      <c r="R21" s="54">
        <f>(M22-M21)/M21</f>
        <v/>
      </c>
      <c r="S21" s="54">
        <f>(M25-M21)/M21</f>
        <v/>
      </c>
      <c r="T21" s="63">
        <f>IF(R21&gt;0,1,"")</f>
        <v/>
      </c>
      <c r="U21" s="63">
        <f>IF(S21&gt;0,1,"")</f>
        <v/>
      </c>
    </row>
    <row r="22">
      <c r="A22" s="35" t="n">
        <v>32038</v>
      </c>
      <c r="B22" s="4" t="n">
        <v>0.6</v>
      </c>
      <c r="C22" s="4" t="n">
        <v>0.29</v>
      </c>
      <c r="D22" s="4" t="n">
        <v>0.11</v>
      </c>
      <c r="E22" s="63" t="n">
        <v>1</v>
      </c>
      <c r="F22" s="63" t="n">
        <v>0.49625</v>
      </c>
      <c r="G22" s="63" t="n">
        <v>0.49</v>
      </c>
      <c r="H22" s="63" t="n">
        <v>0.384907436629</v>
      </c>
      <c r="I22" s="63" t="n">
        <v>0.48829287048</v>
      </c>
      <c r="J22" s="63" t="n">
        <v>0.281522002778</v>
      </c>
      <c r="K22" s="63" t="n">
        <v>323.08</v>
      </c>
      <c r="L22" s="63" t="n">
        <v>314.86</v>
      </c>
      <c r="M22" s="63" t="n">
        <v>314.86</v>
      </c>
      <c r="N22" s="54">
        <f>(M23-M22)/M22</f>
        <v/>
      </c>
      <c r="O22" s="54">
        <f>(M26-M22)/M22</f>
        <v/>
      </c>
      <c r="P22" s="4">
        <f>B22-D22</f>
        <v/>
      </c>
      <c r="Q22" s="4">
        <f>AVERAGE(P19:P22)</f>
        <v/>
      </c>
      <c r="R22" s="54">
        <f>(M23-M22)/M22</f>
        <v/>
      </c>
      <c r="S22" s="54">
        <f>(M26-M22)/M22</f>
        <v/>
      </c>
      <c r="T22" s="63">
        <f>IF(R22&gt;0,1,"")</f>
        <v/>
      </c>
      <c r="U22" s="63">
        <f>IF(S22&gt;0,1,"")</f>
        <v/>
      </c>
    </row>
    <row r="23">
      <c r="A23" s="35" t="n">
        <v>32045</v>
      </c>
      <c r="B23" s="4" t="n">
        <v>0.53</v>
      </c>
      <c r="C23" s="4" t="n">
        <v>0.17</v>
      </c>
      <c r="D23" s="4" t="n">
        <v>0.3</v>
      </c>
      <c r="E23" s="63" t="n">
        <v>1</v>
      </c>
      <c r="F23" s="63" t="n">
        <v>0.53</v>
      </c>
      <c r="G23" s="63" t="n">
        <v>0.23</v>
      </c>
      <c r="H23" s="63" t="n">
        <v>0.384907436629</v>
      </c>
      <c r="I23" s="63" t="n">
        <v>0.48829287048</v>
      </c>
      <c r="J23" s="63" t="n">
        <v>0.281522002778</v>
      </c>
      <c r="K23" s="63" t="n">
        <v>321.19</v>
      </c>
      <c r="L23" s="63" t="n">
        <v>310.54</v>
      </c>
      <c r="M23" s="63" t="n">
        <v>320.16</v>
      </c>
      <c r="N23" s="54">
        <f>(M24-M23)/M23</f>
        <v/>
      </c>
      <c r="O23" s="54">
        <f>(M27-M23)/M23</f>
        <v/>
      </c>
      <c r="P23" s="4">
        <f>B23-D23</f>
        <v/>
      </c>
      <c r="Q23" s="4">
        <f>AVERAGE(P20:P23)</f>
        <v/>
      </c>
      <c r="R23" s="54">
        <f>(M24-M23)/M23</f>
        <v/>
      </c>
      <c r="S23" s="54">
        <f>(M27-M23)/M23</f>
        <v/>
      </c>
      <c r="T23" s="63">
        <f>IF(R23&gt;0,1,"")</f>
        <v/>
      </c>
      <c r="U23" s="63">
        <f>IF(S23&gt;0,1,"")</f>
        <v/>
      </c>
    </row>
    <row r="24">
      <c r="A24" s="35" t="n">
        <v>32052</v>
      </c>
      <c r="B24" s="4" t="n">
        <v>0.44</v>
      </c>
      <c r="C24" s="4" t="n">
        <v>0.26</v>
      </c>
      <c r="D24" s="4" t="n">
        <v>0.3</v>
      </c>
      <c r="E24" s="63" t="n">
        <v>1</v>
      </c>
      <c r="F24" s="63" t="n">
        <v>0.515</v>
      </c>
      <c r="G24" s="63" t="n">
        <v>0.14</v>
      </c>
      <c r="H24" s="63" t="n">
        <v>0.384907436629</v>
      </c>
      <c r="I24" s="63" t="n">
        <v>0.48829287048</v>
      </c>
      <c r="J24" s="63" t="n">
        <v>0.281522002778</v>
      </c>
      <c r="K24" s="63" t="n">
        <v>328.07</v>
      </c>
      <c r="L24" s="63" t="n">
        <v>321.69</v>
      </c>
      <c r="M24" s="63" t="n">
        <v>328.07</v>
      </c>
      <c r="N24" s="54">
        <f>(M25-M24)/M24</f>
        <v/>
      </c>
      <c r="O24" s="54">
        <f>(M28-M24)/M24</f>
        <v/>
      </c>
      <c r="P24" s="4">
        <f>B24-D24</f>
        <v/>
      </c>
      <c r="Q24" s="4">
        <f>AVERAGE(P21:P24)</f>
        <v/>
      </c>
      <c r="R24" s="54">
        <f>(M25-M24)/M24</f>
        <v/>
      </c>
      <c r="S24" s="54">
        <f>(M28-M24)/M24</f>
        <v/>
      </c>
      <c r="T24" s="63">
        <f>IF(R24&gt;0,1,"")</f>
        <v/>
      </c>
      <c r="U24" s="63">
        <f>IF(S24&gt;0,1,"")</f>
        <v/>
      </c>
    </row>
    <row r="25">
      <c r="A25" s="35" t="n">
        <v>32059</v>
      </c>
      <c r="B25" s="4" t="n">
        <v>0.46</v>
      </c>
      <c r="C25" s="4" t="n">
        <v>0.39</v>
      </c>
      <c r="D25" s="4" t="n">
        <v>0.15</v>
      </c>
      <c r="E25" s="63" t="n">
        <v>1</v>
      </c>
      <c r="F25" s="63" t="n">
        <v>0.51625</v>
      </c>
      <c r="G25" s="63" t="n">
        <v>0.31</v>
      </c>
      <c r="H25" s="63" t="n">
        <v>0.384907436629</v>
      </c>
      <c r="I25" s="63" t="n">
        <v>0.48829287048</v>
      </c>
      <c r="J25" s="63" t="n">
        <v>0.281522002778</v>
      </c>
      <c r="K25" s="63" t="n">
        <v>328.08</v>
      </c>
      <c r="L25" s="63" t="n">
        <v>311.07</v>
      </c>
      <c r="M25" s="63" t="n">
        <v>311.07</v>
      </c>
      <c r="N25" s="54">
        <f>(M26-M25)/M25</f>
        <v/>
      </c>
      <c r="O25" s="54">
        <f>(M29-M25)/M25</f>
        <v/>
      </c>
      <c r="P25" s="4">
        <f>B25-D25</f>
        <v/>
      </c>
      <c r="Q25" s="4">
        <f>AVERAGE(P22:P25)</f>
        <v/>
      </c>
      <c r="R25" s="54">
        <f>(M26-M25)/M25</f>
        <v/>
      </c>
      <c r="S25" s="54">
        <f>(M29-M25)/M25</f>
        <v/>
      </c>
      <c r="T25" s="63">
        <f>IF(R25&gt;0,1,"")</f>
        <v/>
      </c>
      <c r="U25" s="63">
        <f>IF(S25&gt;0,1,"")</f>
        <v/>
      </c>
    </row>
    <row r="26">
      <c r="A26" s="35" t="n">
        <v>32066</v>
      </c>
      <c r="B26" s="4" t="n">
        <v>0.37</v>
      </c>
      <c r="C26" s="4" t="n">
        <v>0.3</v>
      </c>
      <c r="D26" s="4" t="n">
        <v>0.33</v>
      </c>
      <c r="E26" s="63" t="n">
        <v>1</v>
      </c>
      <c r="F26" s="63" t="n">
        <v>0.48</v>
      </c>
      <c r="G26" s="63" t="n">
        <v>0.04</v>
      </c>
      <c r="H26" s="63" t="n">
        <v>0.384907436629</v>
      </c>
      <c r="I26" s="63" t="n">
        <v>0.48829287048</v>
      </c>
      <c r="J26" s="63" t="n">
        <v>0.281522002778</v>
      </c>
      <c r="K26" s="63" t="n">
        <v>314.52</v>
      </c>
      <c r="L26" s="63" t="n">
        <v>282.7</v>
      </c>
      <c r="M26" s="63" t="n">
        <v>282.7</v>
      </c>
      <c r="N26" s="54">
        <f>(M27-M26)/M26</f>
        <v/>
      </c>
      <c r="O26" s="54">
        <f>(M30-M26)/M26</f>
        <v/>
      </c>
      <c r="P26" s="4">
        <f>B26-D26</f>
        <v/>
      </c>
      <c r="Q26" s="4">
        <f>AVERAGE(P23:P26)</f>
        <v/>
      </c>
      <c r="R26" s="54">
        <f>(M27-M26)/M26</f>
        <v/>
      </c>
      <c r="S26" s="54">
        <f>(M30-M26)/M26</f>
        <v/>
      </c>
      <c r="T26" s="63">
        <f>IF(R26&gt;0,1,"")</f>
        <v/>
      </c>
      <c r="U26" s="63">
        <f>IF(S26&gt;0,1,"")</f>
        <v/>
      </c>
    </row>
    <row r="27">
      <c r="A27" s="35" t="n">
        <v>32073</v>
      </c>
      <c r="B27" s="4" t="n">
        <v>0.39</v>
      </c>
      <c r="C27" s="4" t="n">
        <v>0.3</v>
      </c>
      <c r="D27" s="4" t="n">
        <v>0.31</v>
      </c>
      <c r="E27" s="63" t="n">
        <v>1</v>
      </c>
      <c r="F27" s="63" t="n">
        <v>0.46375</v>
      </c>
      <c r="G27" s="63" t="n">
        <v>0.08</v>
      </c>
      <c r="H27" s="63" t="n">
        <v>0.384907436629</v>
      </c>
      <c r="I27" s="63" t="n">
        <v>0.48829287048</v>
      </c>
      <c r="J27" s="63" t="n">
        <v>0.281522002778</v>
      </c>
      <c r="K27" s="63" t="n">
        <v>258.39</v>
      </c>
      <c r="L27" s="63" t="n">
        <v>224.84</v>
      </c>
      <c r="M27" s="63" t="n">
        <v>248.22</v>
      </c>
      <c r="N27" s="54">
        <f>(M28-M27)/M27</f>
        <v/>
      </c>
      <c r="O27" s="54">
        <f>(M31-M27)/M27</f>
        <v/>
      </c>
      <c r="P27" s="4">
        <f>B27-D27</f>
        <v/>
      </c>
      <c r="Q27" s="4">
        <f>AVERAGE(P24:P27)</f>
        <v/>
      </c>
      <c r="R27" s="54">
        <f>(M28-M27)/M27</f>
        <v/>
      </c>
      <c r="S27" s="54">
        <f>(M31-M27)/M27</f>
        <v/>
      </c>
      <c r="T27" s="63">
        <f>IF(R27&gt;0,1,"")</f>
        <v/>
      </c>
      <c r="U27" s="63">
        <f>IF(S27&gt;0,1,"")</f>
        <v/>
      </c>
    </row>
    <row r="28">
      <c r="A28" s="35" t="n">
        <v>32080</v>
      </c>
      <c r="B28" s="4" t="n">
        <v>0.44</v>
      </c>
      <c r="C28" s="4" t="n">
        <v>0.23</v>
      </c>
      <c r="D28" s="4" t="n">
        <v>0.33</v>
      </c>
      <c r="E28" s="63" t="n">
        <v>1</v>
      </c>
      <c r="F28" s="63" t="n">
        <v>0.46625</v>
      </c>
      <c r="G28" s="63" t="n">
        <v>0.11</v>
      </c>
      <c r="H28" s="63" t="n">
        <v>0.384907436629</v>
      </c>
      <c r="I28" s="63" t="n">
        <v>0.48829287048</v>
      </c>
      <c r="J28" s="63" t="n">
        <v>0.281522002778</v>
      </c>
      <c r="K28" s="63" t="n">
        <v>251.79</v>
      </c>
      <c r="L28" s="63" t="n">
        <v>227.67</v>
      </c>
      <c r="M28" s="63" t="n">
        <v>251.79</v>
      </c>
      <c r="N28" s="54">
        <f>(M29-M28)/M28</f>
        <v/>
      </c>
      <c r="O28" s="54">
        <f>(M32-M28)/M28</f>
        <v/>
      </c>
      <c r="P28" s="4">
        <f>B28-D28</f>
        <v/>
      </c>
      <c r="Q28" s="4">
        <f>AVERAGE(P25:P28)</f>
        <v/>
      </c>
      <c r="R28" s="54">
        <f>(M29-M28)/M28</f>
        <v/>
      </c>
      <c r="S28" s="54">
        <f>(M32-M28)/M28</f>
        <v/>
      </c>
      <c r="T28" s="63">
        <f>IF(R28&gt;0,1,"")</f>
        <v/>
      </c>
      <c r="U28" s="63">
        <f>IF(S28&gt;0,1,"")</f>
        <v/>
      </c>
    </row>
    <row r="29">
      <c r="A29" s="35" t="n">
        <v>32087</v>
      </c>
      <c r="B29" s="4" t="n">
        <v>0.47</v>
      </c>
      <c r="C29" s="4" t="n">
        <v>0.31</v>
      </c>
      <c r="D29" s="4" t="n">
        <v>0.22</v>
      </c>
      <c r="E29" s="63" t="n">
        <v>1</v>
      </c>
      <c r="F29" s="63" t="n">
        <v>0.4625</v>
      </c>
      <c r="G29" s="63" t="n">
        <v>0.25</v>
      </c>
      <c r="H29" s="63" t="n">
        <v>0.384907436629</v>
      </c>
      <c r="I29" s="63" t="n">
        <v>0.48829287048</v>
      </c>
      <c r="J29" s="63" t="n">
        <v>0.281522002778</v>
      </c>
      <c r="K29" s="63" t="n">
        <v>255.75</v>
      </c>
      <c r="L29" s="63" t="n">
        <v>248.31</v>
      </c>
      <c r="M29" s="63" t="n">
        <v>250.41</v>
      </c>
      <c r="N29" s="54">
        <f>(M30-M29)/M29</f>
        <v/>
      </c>
      <c r="O29" s="54">
        <f>(M33-M29)/M29</f>
        <v/>
      </c>
      <c r="P29" s="4">
        <f>B29-D29</f>
        <v/>
      </c>
      <c r="Q29" s="4">
        <f>AVERAGE(P26:P29)</f>
        <v/>
      </c>
      <c r="R29" s="54">
        <f>(M30-M29)/M29</f>
        <v/>
      </c>
      <c r="S29" s="54">
        <f>(M33-M29)/M29</f>
        <v/>
      </c>
      <c r="T29" s="63">
        <f>IF(R29&gt;0,1,"")</f>
        <v/>
      </c>
      <c r="U29" s="63">
        <f>IF(S29&gt;0,1,"")</f>
        <v/>
      </c>
    </row>
    <row r="30">
      <c r="A30" s="35" t="n">
        <v>32094</v>
      </c>
      <c r="B30" s="4" t="n">
        <v>0.31</v>
      </c>
      <c r="C30" s="4" t="n">
        <v>0.41</v>
      </c>
      <c r="D30" s="4" t="n">
        <v>0.28</v>
      </c>
      <c r="E30" s="63" t="n">
        <v>1</v>
      </c>
      <c r="F30" s="63" t="n">
        <v>0.42625</v>
      </c>
      <c r="G30" s="63" t="n">
        <v>0.03</v>
      </c>
      <c r="H30" s="63" t="n">
        <v>0.384907436629</v>
      </c>
      <c r="I30" s="63" t="n">
        <v>0.48829287048</v>
      </c>
      <c r="J30" s="63" t="n">
        <v>0.281522002778</v>
      </c>
      <c r="K30" s="63" t="n">
        <v>248.52</v>
      </c>
      <c r="L30" s="63" t="n">
        <v>239</v>
      </c>
      <c r="M30" s="63" t="n">
        <v>245.64</v>
      </c>
      <c r="N30" s="54">
        <f>(M31-M30)/M30</f>
        <v/>
      </c>
      <c r="O30" s="54">
        <f>(M34-M30)/M30</f>
        <v/>
      </c>
      <c r="P30" s="4">
        <f>B30-D30</f>
        <v/>
      </c>
      <c r="Q30" s="4">
        <f>AVERAGE(P27:P30)</f>
        <v/>
      </c>
      <c r="R30" s="54">
        <f>(M31-M30)/M30</f>
        <v/>
      </c>
      <c r="S30" s="54">
        <f>(M34-M30)/M30</f>
        <v/>
      </c>
      <c r="T30" s="63">
        <f>IF(R30&gt;0,1,"")</f>
        <v/>
      </c>
      <c r="U30" s="63">
        <f>IF(S30&gt;0,1,"")</f>
        <v/>
      </c>
    </row>
    <row r="31">
      <c r="A31" s="35" t="n">
        <v>32101</v>
      </c>
      <c r="B31" s="4" t="n">
        <v>0.39</v>
      </c>
      <c r="C31" s="4" t="n">
        <v>0.42</v>
      </c>
      <c r="D31" s="4" t="n">
        <v>0.19</v>
      </c>
      <c r="E31" s="63" t="n">
        <v>1</v>
      </c>
      <c r="F31" s="63" t="n">
        <v>0.40875</v>
      </c>
      <c r="G31" s="63" t="n">
        <v>0.2</v>
      </c>
      <c r="H31" s="63" t="n">
        <v>0.384907436629</v>
      </c>
      <c r="I31" s="63" t="n">
        <v>0.48829287048</v>
      </c>
      <c r="J31" s="63" t="n">
        <v>0.281522002778</v>
      </c>
      <c r="K31" s="63" t="n">
        <v>246.76</v>
      </c>
      <c r="L31" s="63" t="n">
        <v>240.05</v>
      </c>
      <c r="M31" s="63" t="n">
        <v>242</v>
      </c>
      <c r="N31" s="54">
        <f>(M32-M31)/M31</f>
        <v/>
      </c>
      <c r="O31" s="54">
        <f>(M35-M31)/M31</f>
        <v/>
      </c>
      <c r="P31" s="4">
        <f>B31-D31</f>
        <v/>
      </c>
      <c r="Q31" s="4">
        <f>AVERAGE(P28:P31)</f>
        <v/>
      </c>
      <c r="R31" s="54">
        <f>(M32-M31)/M31</f>
        <v/>
      </c>
      <c r="S31" s="54">
        <f>(M35-M31)/M31</f>
        <v/>
      </c>
      <c r="T31" s="63">
        <f>IF(R31&gt;0,1,"")</f>
        <v/>
      </c>
      <c r="U31" s="63">
        <f>IF(S31&gt;0,1,"")</f>
        <v/>
      </c>
    </row>
    <row r="32">
      <c r="A32" s="35" t="n">
        <v>32108</v>
      </c>
      <c r="B32" s="4" t="n">
        <v>0.27</v>
      </c>
      <c r="C32" s="4" t="n">
        <v>0.46</v>
      </c>
      <c r="D32" s="4" t="n">
        <v>0.27</v>
      </c>
      <c r="E32" s="63" t="n">
        <v>1</v>
      </c>
      <c r="F32" s="63" t="n">
        <v>0.3875</v>
      </c>
      <c r="G32" s="63" t="n">
        <v>0</v>
      </c>
      <c r="H32" s="63" t="n">
        <v>0.384907436629</v>
      </c>
      <c r="I32" s="63" t="n">
        <v>0.48829287048</v>
      </c>
      <c r="J32" s="63" t="n">
        <v>0.281522002778</v>
      </c>
      <c r="K32" s="63" t="n">
        <v>246.39</v>
      </c>
      <c r="L32" s="63" t="n">
        <v>240.34</v>
      </c>
      <c r="M32" s="63" t="n">
        <v>240.34</v>
      </c>
      <c r="N32" s="54">
        <f>(M33-M32)/M32</f>
        <v/>
      </c>
      <c r="O32" s="54">
        <f>(M36-M32)/M32</f>
        <v/>
      </c>
      <c r="P32" s="4">
        <f>B32-D32</f>
        <v/>
      </c>
      <c r="Q32" s="4">
        <f>AVERAGE(P29:P32)</f>
        <v/>
      </c>
      <c r="R32" s="54">
        <f>(M33-M32)/M32</f>
        <v/>
      </c>
      <c r="S32" s="54">
        <f>(M36-M32)/M32</f>
        <v/>
      </c>
      <c r="T32" s="63">
        <f>IF(R32&gt;0,1,"")</f>
        <v/>
      </c>
      <c r="U32" s="63">
        <f>IF(S32&gt;0,1,"")</f>
        <v/>
      </c>
    </row>
    <row r="33">
      <c r="A33" s="35" t="n">
        <v>32115</v>
      </c>
      <c r="B33" s="4" t="n">
        <v>0.25</v>
      </c>
      <c r="C33" s="4" t="n">
        <v>0.33</v>
      </c>
      <c r="D33" s="4" t="n">
        <v>0.42</v>
      </c>
      <c r="E33" s="63" t="n">
        <v>1</v>
      </c>
      <c r="F33" s="63" t="n">
        <v>0.36125</v>
      </c>
      <c r="G33" s="63" t="n">
        <v>-0.17</v>
      </c>
      <c r="H33" s="63" t="n">
        <v>0.384907436629</v>
      </c>
      <c r="I33" s="63" t="n">
        <v>0.48829287048</v>
      </c>
      <c r="J33" s="63" t="n">
        <v>0.281522002778</v>
      </c>
      <c r="K33" s="63" t="n">
        <v>233.45</v>
      </c>
      <c r="L33" s="63" t="n">
        <v>223.92</v>
      </c>
      <c r="M33" s="63" t="n">
        <v>223.92</v>
      </c>
      <c r="N33" s="54">
        <f>(M34-M33)/M33</f>
        <v/>
      </c>
      <c r="O33" s="54">
        <f>(M37-M33)/M33</f>
        <v/>
      </c>
      <c r="P33" s="4">
        <f>B33-D33</f>
        <v/>
      </c>
      <c r="Q33" s="4">
        <f>AVERAGE(P30:P33)</f>
        <v/>
      </c>
      <c r="R33" s="54">
        <f>(M34-M33)/M33</f>
        <v/>
      </c>
      <c r="S33" s="54">
        <f>(M37-M33)/M33</f>
        <v/>
      </c>
      <c r="T33" s="63">
        <f>IF(R33&gt;0,1,"")</f>
        <v/>
      </c>
      <c r="U33" s="63">
        <f>IF(S33&gt;0,1,"")</f>
        <v/>
      </c>
    </row>
    <row r="34">
      <c r="A34" s="35" t="n">
        <v>32122</v>
      </c>
      <c r="B34" s="4" t="n">
        <v>0.23</v>
      </c>
      <c r="C34" s="4" t="n">
        <v>0.45</v>
      </c>
      <c r="D34" s="4" t="n">
        <v>0.32</v>
      </c>
      <c r="E34" s="63" t="n">
        <v>1</v>
      </c>
      <c r="F34" s="63" t="n">
        <v>0.34375</v>
      </c>
      <c r="G34" s="63" t="n">
        <v>-0.09</v>
      </c>
      <c r="H34" s="63" t="n">
        <v>0.384907436629</v>
      </c>
      <c r="I34" s="63" t="n">
        <v>0.48829287048</v>
      </c>
      <c r="J34" s="63" t="n">
        <v>0.281522002778</v>
      </c>
      <c r="K34" s="63" t="n">
        <v>238.89</v>
      </c>
      <c r="L34" s="63" t="n">
        <v>228.76</v>
      </c>
      <c r="M34" s="63" t="n">
        <v>235.32</v>
      </c>
      <c r="N34" s="54">
        <f>(M35-M34)/M34</f>
        <v/>
      </c>
      <c r="O34" s="54">
        <f>(M38-M34)/M34</f>
        <v/>
      </c>
      <c r="P34" s="4">
        <f>B34-D34</f>
        <v/>
      </c>
      <c r="Q34" s="4">
        <f>AVERAGE(P31:P34)</f>
        <v/>
      </c>
      <c r="R34" s="54">
        <f>(M35-M34)/M34</f>
        <v/>
      </c>
      <c r="S34" s="54">
        <f>(M38-M34)/M34</f>
        <v/>
      </c>
      <c r="T34" s="63">
        <f>IF(R34&gt;0,1,"")</f>
        <v/>
      </c>
      <c r="U34" s="63">
        <f>IF(S34&gt;0,1,"")</f>
        <v/>
      </c>
    </row>
    <row r="35">
      <c r="A35" s="35" t="n">
        <v>32129</v>
      </c>
      <c r="B35" s="4" t="n">
        <v>0.33</v>
      </c>
      <c r="C35" s="4" t="n">
        <v>0.4</v>
      </c>
      <c r="D35" s="4" t="n">
        <v>0.27</v>
      </c>
      <c r="E35" s="63" t="n">
        <v>1</v>
      </c>
      <c r="F35" s="63" t="n">
        <v>0.33625</v>
      </c>
      <c r="G35" s="63" t="n">
        <v>0.06</v>
      </c>
      <c r="H35" s="63" t="n">
        <v>0.384907436629</v>
      </c>
      <c r="I35" s="63" t="n">
        <v>0.48829287048</v>
      </c>
      <c r="J35" s="63" t="n">
        <v>0.281522002778</v>
      </c>
      <c r="K35" s="63" t="n">
        <v>249.16</v>
      </c>
      <c r="L35" s="63" t="n">
        <v>242.19</v>
      </c>
      <c r="M35" s="63" t="n">
        <v>249.16</v>
      </c>
      <c r="N35" s="54">
        <f>(M36-M35)/M35</f>
        <v/>
      </c>
      <c r="O35" s="54">
        <f>(M39-M35)/M35</f>
        <v/>
      </c>
      <c r="P35" s="4">
        <f>B35-D35</f>
        <v/>
      </c>
      <c r="Q35" s="4">
        <f>AVERAGE(P32:P35)</f>
        <v/>
      </c>
      <c r="R35" s="54">
        <f>(M36-M35)/M35</f>
        <v/>
      </c>
      <c r="S35" s="54">
        <f>(M39-M35)/M35</f>
        <v/>
      </c>
      <c r="T35" s="63">
        <f>IF(R35&gt;0,1,"")</f>
        <v/>
      </c>
      <c r="U35" s="63">
        <f>IF(S35&gt;0,1,"")</f>
        <v/>
      </c>
    </row>
    <row r="36">
      <c r="A36" s="35" t="n">
        <v>32135</v>
      </c>
      <c r="B36" s="4" t="n">
        <v>0.28</v>
      </c>
      <c r="C36" s="4" t="n">
        <v>0.52</v>
      </c>
      <c r="D36" s="4" t="n">
        <v>0.2</v>
      </c>
      <c r="E36" s="63" t="n">
        <v>1</v>
      </c>
      <c r="F36" s="63" t="n">
        <v>0.31625</v>
      </c>
      <c r="G36" s="63" t="n">
        <v>0.08</v>
      </c>
      <c r="H36" s="63" t="n">
        <v>0.384907436629</v>
      </c>
      <c r="I36" s="63" t="n">
        <v>0.48829287048</v>
      </c>
      <c r="J36" s="63" t="n">
        <v>0.281522002778</v>
      </c>
      <c r="K36" s="63" t="n">
        <v>253.16</v>
      </c>
      <c r="L36" s="63" t="n">
        <v>249.54</v>
      </c>
      <c r="M36" s="63" t="n">
        <v>252.02</v>
      </c>
      <c r="N36" s="54">
        <f>(M37-M36)/M36</f>
        <v/>
      </c>
      <c r="O36" s="54">
        <f>(M40-M36)/M36</f>
        <v/>
      </c>
      <c r="P36" s="4">
        <f>B36-D36</f>
        <v/>
      </c>
      <c r="Q36" s="4">
        <f>AVERAGE(P33:P36)</f>
        <v/>
      </c>
      <c r="R36" s="54">
        <f>(M37-M36)/M36</f>
        <v/>
      </c>
      <c r="S36" s="54">
        <f>(M40-M36)/M36</f>
        <v/>
      </c>
      <c r="T36" s="63">
        <f>IF(R36&gt;0,1,"")</f>
        <v/>
      </c>
      <c r="U36" s="63">
        <f>IF(S36&gt;0,1,"")</f>
        <v/>
      </c>
    </row>
    <row r="37">
      <c r="A37" s="35" t="n">
        <v>32142</v>
      </c>
      <c r="B37" s="4" t="n">
        <v>0.25</v>
      </c>
      <c r="C37" s="4" t="n">
        <v>0.49</v>
      </c>
      <c r="D37" s="4" t="n">
        <v>0.26</v>
      </c>
      <c r="E37" s="63" t="n">
        <v>1</v>
      </c>
      <c r="F37" s="63" t="n">
        <v>0.28875</v>
      </c>
      <c r="G37" s="63" t="n">
        <v>-0.01</v>
      </c>
      <c r="H37" s="63" t="n">
        <v>0.384907436629</v>
      </c>
      <c r="I37" s="63" t="n">
        <v>0.48829287048</v>
      </c>
      <c r="J37" s="63" t="n">
        <v>0.281522002778</v>
      </c>
      <c r="K37" s="63" t="n">
        <v>247.86</v>
      </c>
      <c r="L37" s="63" t="n">
        <v>244.59</v>
      </c>
      <c r="M37" s="63" t="n">
        <v>247.08</v>
      </c>
      <c r="N37" s="54">
        <f>(M38-M37)/M37</f>
        <v/>
      </c>
      <c r="O37" s="54">
        <f>(M41-M37)/M37</f>
        <v/>
      </c>
      <c r="P37" s="4">
        <f>B37-D37</f>
        <v/>
      </c>
      <c r="Q37" s="4">
        <f>AVERAGE(P34:P37)</f>
        <v/>
      </c>
      <c r="R37" s="54">
        <f>(M38-M37)/M37</f>
        <v/>
      </c>
      <c r="S37" s="54">
        <f>(M41-M37)/M37</f>
        <v/>
      </c>
      <c r="T37" s="63">
        <f>IF(R37&gt;0,1,"")</f>
        <v/>
      </c>
      <c r="U37" s="63">
        <f>IF(S37&gt;0,1,"")</f>
        <v/>
      </c>
    </row>
    <row r="38">
      <c r="A38" s="35" t="n">
        <v>32150</v>
      </c>
      <c r="B38" s="4" t="n">
        <v>0.34</v>
      </c>
      <c r="C38" s="4" t="n">
        <v>0.46</v>
      </c>
      <c r="D38" s="4" t="n">
        <v>0.2</v>
      </c>
      <c r="E38" s="63" t="n">
        <v>1</v>
      </c>
      <c r="F38" s="63" t="n">
        <v>0.2925</v>
      </c>
      <c r="G38" s="63" t="n">
        <v>0.14</v>
      </c>
      <c r="H38" s="63" t="n">
        <v>0.384907436629</v>
      </c>
      <c r="I38" s="63" t="n">
        <v>0.48829287048</v>
      </c>
      <c r="J38" s="63" t="n">
        <v>0.281522002778</v>
      </c>
      <c r="K38" s="63" t="n">
        <v>261.07</v>
      </c>
      <c r="L38" s="63" t="n">
        <v>243.4</v>
      </c>
      <c r="M38" s="63" t="n">
        <v>243.4</v>
      </c>
      <c r="N38" s="54">
        <f>(M39-M38)/M38</f>
        <v/>
      </c>
      <c r="O38" s="54">
        <f>(M42-M38)/M38</f>
        <v/>
      </c>
      <c r="P38" s="4">
        <f>B38-D38</f>
        <v/>
      </c>
      <c r="Q38" s="4">
        <f>AVERAGE(P35:P38)</f>
        <v/>
      </c>
      <c r="R38" s="54">
        <f>(M39-M38)/M38</f>
        <v/>
      </c>
      <c r="S38" s="54">
        <f>(M42-M38)/M38</f>
        <v/>
      </c>
      <c r="T38" s="63">
        <f>IF(R38&gt;0,1,"")</f>
        <v/>
      </c>
      <c r="U38" s="63">
        <f>IF(S38&gt;0,1,"")</f>
        <v/>
      </c>
    </row>
    <row r="39">
      <c r="A39" s="35" t="n">
        <v>32157</v>
      </c>
      <c r="B39" s="4" t="n">
        <v>0.34</v>
      </c>
      <c r="C39" s="4" t="n">
        <v>0.4</v>
      </c>
      <c r="D39" s="4" t="n">
        <v>0.26</v>
      </c>
      <c r="E39" s="63" t="n">
        <v>1</v>
      </c>
      <c r="F39" s="63" t="n">
        <v>0.28625</v>
      </c>
      <c r="G39" s="63" t="n">
        <v>0.08</v>
      </c>
      <c r="H39" s="63" t="n">
        <v>0.384907436629</v>
      </c>
      <c r="I39" s="63" t="n">
        <v>0.48829287048</v>
      </c>
      <c r="J39" s="63" t="n">
        <v>0.281522002778</v>
      </c>
      <c r="K39" s="63" t="n">
        <v>252.05</v>
      </c>
      <c r="L39" s="63" t="n">
        <v>245.42</v>
      </c>
      <c r="M39" s="63" t="n">
        <v>252.05</v>
      </c>
      <c r="N39" s="54">
        <f>(M40-M39)/M39</f>
        <v/>
      </c>
      <c r="O39" s="54">
        <f>(M43-M39)/M39</f>
        <v/>
      </c>
      <c r="P39" s="4">
        <f>B39-D39</f>
        <v/>
      </c>
      <c r="Q39" s="4">
        <f>AVERAGE(P36:P39)</f>
        <v/>
      </c>
      <c r="R39" s="54">
        <f>(M40-M39)/M39</f>
        <v/>
      </c>
      <c r="S39" s="54">
        <f>(M43-M39)/M39</f>
        <v/>
      </c>
      <c r="T39" s="63">
        <f>IF(R39&gt;0,1,"")</f>
        <v/>
      </c>
      <c r="U39" s="63">
        <f>IF(S39&gt;0,1,"")</f>
        <v/>
      </c>
    </row>
    <row r="40">
      <c r="A40" s="35" t="n">
        <v>32164</v>
      </c>
      <c r="B40" s="4" t="n">
        <v>0.21</v>
      </c>
      <c r="C40" s="4" t="n">
        <v>0.48</v>
      </c>
      <c r="D40" s="4" t="n">
        <v>0.31</v>
      </c>
      <c r="E40" s="63" t="n">
        <v>1</v>
      </c>
      <c r="F40" s="63" t="n">
        <v>0.27875</v>
      </c>
      <c r="G40" s="63" t="n">
        <v>-0.1</v>
      </c>
      <c r="H40" s="63" t="n">
        <v>0.384907436629</v>
      </c>
      <c r="I40" s="63" t="n">
        <v>0.48829287048</v>
      </c>
      <c r="J40" s="63" t="n">
        <v>0.281522002778</v>
      </c>
      <c r="K40" s="63" t="n">
        <v>251.88</v>
      </c>
      <c r="L40" s="63" t="n">
        <v>242.63</v>
      </c>
      <c r="M40" s="63" t="n">
        <v>246.5</v>
      </c>
      <c r="N40" s="54">
        <f>(M41-M40)/M40</f>
        <v/>
      </c>
      <c r="O40" s="54">
        <f>(M44-M40)/M40</f>
        <v/>
      </c>
      <c r="P40" s="4">
        <f>B40-D40</f>
        <v/>
      </c>
      <c r="Q40" s="4">
        <f>AVERAGE(P37:P40)</f>
        <v/>
      </c>
      <c r="R40" s="54">
        <f>(M41-M40)/M40</f>
        <v/>
      </c>
      <c r="S40" s="54">
        <f>(M44-M40)/M40</f>
        <v/>
      </c>
      <c r="T40" s="63">
        <f>IF(R40&gt;0,1,"")</f>
        <v/>
      </c>
      <c r="U40" s="63">
        <f>IF(S40&gt;0,1,"")</f>
        <v/>
      </c>
    </row>
    <row r="41">
      <c r="A41" s="35" t="n">
        <v>32171</v>
      </c>
      <c r="B41" s="4" t="n">
        <v>0.26</v>
      </c>
      <c r="C41" s="4" t="n">
        <v>0.45</v>
      </c>
      <c r="D41" s="4" t="n">
        <v>0.29</v>
      </c>
      <c r="E41" s="63" t="n">
        <v>1</v>
      </c>
      <c r="F41" s="63" t="n">
        <v>0.28</v>
      </c>
      <c r="G41" s="63" t="n">
        <v>-0.03</v>
      </c>
      <c r="H41" s="63" t="n">
        <v>0.384907436629</v>
      </c>
      <c r="I41" s="63" t="n">
        <v>0.48829287048</v>
      </c>
      <c r="J41" s="63" t="n">
        <v>0.281522002778</v>
      </c>
      <c r="K41" s="63" t="n">
        <v>257.07</v>
      </c>
      <c r="L41" s="63" t="n">
        <v>249.38</v>
      </c>
      <c r="M41" s="63" t="n">
        <v>257.07</v>
      </c>
      <c r="N41" s="54">
        <f>(M42-M41)/M41</f>
        <v/>
      </c>
      <c r="O41" s="54">
        <f>(M45-M41)/M41</f>
        <v/>
      </c>
      <c r="P41" s="4">
        <f>B41-D41</f>
        <v/>
      </c>
      <c r="Q41" s="4">
        <f>AVERAGE(P38:P41)</f>
        <v/>
      </c>
      <c r="R41" s="54">
        <f>(M42-M41)/M41</f>
        <v/>
      </c>
      <c r="S41" s="54">
        <f>(M45-M41)/M41</f>
        <v/>
      </c>
      <c r="T41" s="63">
        <f>IF(R41&gt;0,1,"")</f>
        <v/>
      </c>
      <c r="U41" s="63">
        <f>IF(S41&gt;0,1,"")</f>
        <v/>
      </c>
    </row>
    <row r="42">
      <c r="A42" s="35" t="n">
        <v>32178</v>
      </c>
      <c r="B42" s="4" t="n">
        <v>0.32</v>
      </c>
      <c r="C42" s="4" t="n">
        <v>0.53</v>
      </c>
      <c r="D42" s="4" t="n">
        <v>0.15</v>
      </c>
      <c r="E42" s="63" t="n">
        <v>1</v>
      </c>
      <c r="F42" s="63" t="n">
        <v>0.29125</v>
      </c>
      <c r="G42" s="63" t="n">
        <v>0.17</v>
      </c>
      <c r="H42" s="63" t="n">
        <v>0.384907436629</v>
      </c>
      <c r="I42" s="63" t="n">
        <v>0.48829287048</v>
      </c>
      <c r="J42" s="63" t="n">
        <v>0.281522002778</v>
      </c>
      <c r="K42" s="63" t="n">
        <v>255.57</v>
      </c>
      <c r="L42" s="63" t="n">
        <v>250.96</v>
      </c>
      <c r="M42" s="63" t="n">
        <v>250.96</v>
      </c>
      <c r="N42" s="54">
        <f>(M43-M42)/M42</f>
        <v/>
      </c>
      <c r="O42" s="54">
        <f>(M46-M42)/M42</f>
        <v/>
      </c>
      <c r="P42" s="4">
        <f>B42-D42</f>
        <v/>
      </c>
      <c r="Q42" s="4">
        <f>AVERAGE(P39:P42)</f>
        <v/>
      </c>
      <c r="R42" s="54">
        <f>(M43-M42)/M42</f>
        <v/>
      </c>
      <c r="S42" s="54">
        <f>(M46-M42)/M42</f>
        <v/>
      </c>
      <c r="T42" s="63">
        <f>IF(R42&gt;0,1,"")</f>
        <v/>
      </c>
      <c r="U42" s="63">
        <f>IF(S42&gt;0,1,"")</f>
        <v/>
      </c>
    </row>
    <row r="43">
      <c r="A43" s="35" t="n">
        <v>32185</v>
      </c>
      <c r="B43" s="4" t="n">
        <v>0.32</v>
      </c>
      <c r="C43" s="4" t="n">
        <v>0.46</v>
      </c>
      <c r="D43" s="4" t="n">
        <v>0.22</v>
      </c>
      <c r="E43" s="63" t="n">
        <v>1</v>
      </c>
      <c r="F43" s="63" t="n">
        <v>0.29</v>
      </c>
      <c r="G43" s="63" t="n">
        <v>0.1</v>
      </c>
      <c r="H43" s="63" t="n">
        <v>0.384907436629</v>
      </c>
      <c r="I43" s="63" t="n">
        <v>0.48829287048</v>
      </c>
      <c r="J43" s="63" t="n">
        <v>0.281522002778</v>
      </c>
      <c r="K43" s="63" t="n">
        <v>257.63</v>
      </c>
      <c r="L43" s="63" t="n">
        <v>249.1</v>
      </c>
      <c r="M43" s="63" t="n">
        <v>257.63</v>
      </c>
      <c r="N43" s="54">
        <f>(M44-M43)/M43</f>
        <v/>
      </c>
      <c r="O43" s="54">
        <f>(M47-M43)/M43</f>
        <v/>
      </c>
      <c r="P43" s="4">
        <f>B43-D43</f>
        <v/>
      </c>
      <c r="Q43" s="4">
        <f>AVERAGE(P40:P43)</f>
        <v/>
      </c>
      <c r="R43" s="54">
        <f>(M44-M43)/M43</f>
        <v/>
      </c>
      <c r="S43" s="54">
        <f>(M47-M43)/M43</f>
        <v/>
      </c>
      <c r="T43" s="63">
        <f>IF(R43&gt;0,1,"")</f>
        <v/>
      </c>
      <c r="U43" s="63">
        <f>IF(S43&gt;0,1,"")</f>
        <v/>
      </c>
    </row>
    <row r="44">
      <c r="A44" s="35" t="n">
        <v>32192</v>
      </c>
      <c r="B44" s="4" t="n">
        <v>0.27</v>
      </c>
      <c r="C44" s="4" t="n">
        <v>0.49</v>
      </c>
      <c r="D44" s="4" t="n">
        <v>0.24</v>
      </c>
      <c r="E44" s="63" t="n">
        <v>1</v>
      </c>
      <c r="F44" s="63" t="n">
        <v>0.28875</v>
      </c>
      <c r="G44" s="63" t="n">
        <v>0.03</v>
      </c>
      <c r="H44" s="63" t="n">
        <v>0.384907436629</v>
      </c>
      <c r="I44" s="63" t="n">
        <v>0.48829287048</v>
      </c>
      <c r="J44" s="63" t="n">
        <v>0.281522002778</v>
      </c>
      <c r="K44" s="63" t="n">
        <v>261.61</v>
      </c>
      <c r="L44" s="63" t="n">
        <v>257.91</v>
      </c>
      <c r="M44" s="63" t="n">
        <v>261.61</v>
      </c>
      <c r="N44" s="54">
        <f>(M45-M44)/M44</f>
        <v/>
      </c>
      <c r="O44" s="54">
        <f>(M48-M44)/M44</f>
        <v/>
      </c>
      <c r="P44" s="4">
        <f>B44-D44</f>
        <v/>
      </c>
      <c r="Q44" s="4">
        <f>AVERAGE(P41:P44)</f>
        <v/>
      </c>
      <c r="R44" s="54">
        <f>(M45-M44)/M44</f>
        <v/>
      </c>
      <c r="S44" s="54">
        <f>(M48-M44)/M44</f>
        <v/>
      </c>
      <c r="T44" s="63">
        <f>IF(R44&gt;0,1,"")</f>
        <v/>
      </c>
      <c r="U44" s="63">
        <f>IF(S44&gt;0,1,"")</f>
        <v/>
      </c>
    </row>
    <row r="45">
      <c r="A45" s="35" t="n">
        <v>32199</v>
      </c>
      <c r="B45" s="4" t="n">
        <v>0.3</v>
      </c>
      <c r="C45" s="4" t="n">
        <v>0.51</v>
      </c>
      <c r="D45" s="4" t="n">
        <v>0.19</v>
      </c>
      <c r="E45" s="63" t="n">
        <v>1</v>
      </c>
      <c r="F45" s="63" t="n">
        <v>0.295</v>
      </c>
      <c r="G45" s="63" t="n">
        <v>0.11</v>
      </c>
      <c r="H45" s="63" t="n">
        <v>0.384907436629</v>
      </c>
      <c r="I45" s="63" t="n">
        <v>0.48829287048</v>
      </c>
      <c r="J45" s="63" t="n">
        <v>0.281522002778</v>
      </c>
      <c r="K45" s="63" t="n">
        <v>265.64</v>
      </c>
      <c r="L45" s="63" t="n">
        <v>261.58</v>
      </c>
      <c r="M45" s="63" t="n">
        <v>262.46</v>
      </c>
      <c r="N45" s="54">
        <f>(M46-M45)/M45</f>
        <v/>
      </c>
      <c r="O45" s="54">
        <f>(M49-M45)/M45</f>
        <v/>
      </c>
      <c r="P45" s="4">
        <f>B45-D45</f>
        <v/>
      </c>
      <c r="Q45" s="4">
        <f>AVERAGE(P42:P45)</f>
        <v/>
      </c>
      <c r="R45" s="54">
        <f>(M46-M45)/M45</f>
        <v/>
      </c>
      <c r="S45" s="54">
        <f>(M49-M45)/M45</f>
        <v/>
      </c>
      <c r="T45" s="63">
        <f>IF(R45&gt;0,1,"")</f>
        <v/>
      </c>
      <c r="U45" s="63">
        <f>IF(S45&gt;0,1,"")</f>
        <v/>
      </c>
    </row>
    <row r="46">
      <c r="A46" s="35" t="n">
        <v>32206</v>
      </c>
      <c r="B46" s="4" t="n">
        <v>0.38</v>
      </c>
      <c r="C46" s="4" t="n">
        <v>0.4</v>
      </c>
      <c r="D46" s="4" t="n">
        <v>0.22</v>
      </c>
      <c r="E46" s="63" t="n">
        <v>1</v>
      </c>
      <c r="F46" s="63" t="n">
        <v>0.3</v>
      </c>
      <c r="G46" s="63" t="n">
        <v>0.16</v>
      </c>
      <c r="H46" s="63" t="n">
        <v>0.384907436629</v>
      </c>
      <c r="I46" s="63" t="n">
        <v>0.48829287048</v>
      </c>
      <c r="J46" s="63" t="n">
        <v>0.281522002778</v>
      </c>
      <c r="K46" s="63" t="n">
        <v>267.98</v>
      </c>
      <c r="L46" s="63" t="n">
        <v>267.22</v>
      </c>
      <c r="M46" s="63" t="n">
        <v>267.3</v>
      </c>
      <c r="N46" s="54">
        <f>(M47-M46)/M46</f>
        <v/>
      </c>
      <c r="O46" s="54">
        <f>(M50-M46)/M46</f>
        <v/>
      </c>
      <c r="P46" s="4">
        <f>B46-D46</f>
        <v/>
      </c>
      <c r="Q46" s="4">
        <f>AVERAGE(P43:P46)</f>
        <v/>
      </c>
      <c r="R46" s="54">
        <f>(M47-M46)/M46</f>
        <v/>
      </c>
      <c r="S46" s="54">
        <f>(M50-M46)/M46</f>
        <v/>
      </c>
      <c r="T46" s="63">
        <f>IF(R46&gt;0,1,"")</f>
        <v/>
      </c>
      <c r="U46" s="63">
        <f>IF(S46&gt;0,1,"")</f>
        <v/>
      </c>
    </row>
    <row r="47">
      <c r="A47" s="35" t="n">
        <v>32213</v>
      </c>
      <c r="B47" s="4" t="n">
        <v>0.43</v>
      </c>
      <c r="C47" s="4" t="n">
        <v>0.4</v>
      </c>
      <c r="D47" s="4" t="n">
        <v>0.17</v>
      </c>
      <c r="E47" s="63" t="n">
        <v>1</v>
      </c>
      <c r="F47" s="63" t="n">
        <v>0.31125</v>
      </c>
      <c r="G47" s="63" t="n">
        <v>0.26</v>
      </c>
      <c r="H47" s="63" t="n">
        <v>0.384907436629</v>
      </c>
      <c r="I47" s="63" t="n">
        <v>0.48829287048</v>
      </c>
      <c r="J47" s="63" t="n">
        <v>0.281522002778</v>
      </c>
      <c r="K47" s="63" t="n">
        <v>269.43</v>
      </c>
      <c r="L47" s="63" t="n">
        <v>263.84</v>
      </c>
      <c r="M47" s="63" t="n">
        <v>264.94</v>
      </c>
      <c r="N47" s="54">
        <f>(M48-M47)/M47</f>
        <v/>
      </c>
      <c r="O47" s="54">
        <f>(M51-M47)/M47</f>
        <v/>
      </c>
      <c r="P47" s="4">
        <f>B47-D47</f>
        <v/>
      </c>
      <c r="Q47" s="4">
        <f>AVERAGE(P44:P47)</f>
        <v/>
      </c>
      <c r="R47" s="54">
        <f>(M48-M47)/M47</f>
        <v/>
      </c>
      <c r="S47" s="54">
        <f>(M51-M47)/M47</f>
        <v/>
      </c>
      <c r="T47" s="63">
        <f>IF(R47&gt;0,1,"")</f>
        <v/>
      </c>
      <c r="U47" s="63">
        <f>IF(S47&gt;0,1,"")</f>
        <v/>
      </c>
    </row>
    <row r="48">
      <c r="A48" s="35" t="n">
        <v>32220</v>
      </c>
      <c r="B48" s="4" t="n">
        <v>0.41</v>
      </c>
      <c r="C48" s="4" t="n">
        <v>0.49</v>
      </c>
      <c r="D48" s="4" t="n">
        <v>0.1</v>
      </c>
      <c r="E48" s="63" t="n">
        <v>1</v>
      </c>
      <c r="F48" s="63" t="n">
        <v>0.33625</v>
      </c>
      <c r="G48" s="63" t="n">
        <v>0.31</v>
      </c>
      <c r="H48" s="63" t="n">
        <v>0.384907436629</v>
      </c>
      <c r="I48" s="63" t="n">
        <v>0.48829287048</v>
      </c>
      <c r="J48" s="63" t="n">
        <v>0.281522002778</v>
      </c>
      <c r="K48" s="63" t="n">
        <v>271.22</v>
      </c>
      <c r="L48" s="63" t="n">
        <v>266.13</v>
      </c>
      <c r="M48" s="63" t="n">
        <v>271.12</v>
      </c>
      <c r="N48" s="54">
        <f>(M49-M48)/M48</f>
        <v/>
      </c>
      <c r="O48" s="54">
        <f>(M52-M48)/M48</f>
        <v/>
      </c>
      <c r="P48" s="4">
        <f>B48-D48</f>
        <v/>
      </c>
      <c r="Q48" s="4">
        <f>AVERAGE(P45:P48)</f>
        <v/>
      </c>
      <c r="R48" s="54">
        <f>(M49-M48)/M48</f>
        <v/>
      </c>
      <c r="S48" s="54">
        <f>(M52-M48)/M48</f>
        <v/>
      </c>
      <c r="T48" s="63">
        <f>IF(R48&gt;0,1,"")</f>
        <v/>
      </c>
      <c r="U48" s="63">
        <f>IF(S48&gt;0,1,"")</f>
        <v/>
      </c>
    </row>
    <row r="49">
      <c r="A49" s="35" t="n">
        <v>32227</v>
      </c>
      <c r="B49" s="4" t="n">
        <v>0.45</v>
      </c>
      <c r="C49" s="4" t="n">
        <v>0.38</v>
      </c>
      <c r="D49" s="4" t="n">
        <v>0.17</v>
      </c>
      <c r="E49" s="63" t="n">
        <v>1</v>
      </c>
      <c r="F49" s="63" t="n">
        <v>0.36</v>
      </c>
      <c r="G49" s="63" t="n">
        <v>0.28</v>
      </c>
      <c r="H49" s="63" t="n">
        <v>0.384907436629</v>
      </c>
      <c r="I49" s="63" t="n">
        <v>0.48829287048</v>
      </c>
      <c r="J49" s="63" t="n">
        <v>0.281522002778</v>
      </c>
      <c r="K49" s="63" t="n">
        <v>268.91</v>
      </c>
      <c r="L49" s="63" t="n">
        <v>258.51</v>
      </c>
      <c r="M49" s="63" t="n">
        <v>258.51</v>
      </c>
      <c r="N49" s="54">
        <f>(M50-M49)/M49</f>
        <v/>
      </c>
      <c r="O49" s="54">
        <f>(M53-M49)/M49</f>
        <v/>
      </c>
      <c r="P49" s="4">
        <f>B49-D49</f>
        <v/>
      </c>
      <c r="Q49" s="4">
        <f>AVERAGE(P46:P49)</f>
        <v/>
      </c>
      <c r="R49" s="54">
        <f>(M50-M49)/M49</f>
        <v/>
      </c>
      <c r="S49" s="54">
        <f>(M53-M49)/M49</f>
        <v/>
      </c>
      <c r="T49" s="63">
        <f>IF(R49&gt;0,1,"")</f>
        <v/>
      </c>
      <c r="U49" s="63">
        <f>IF(S49&gt;0,1,"")</f>
        <v/>
      </c>
    </row>
    <row r="50">
      <c r="A50" s="35" t="n">
        <v>32234</v>
      </c>
      <c r="B50" s="4" t="n">
        <v>0.35</v>
      </c>
      <c r="C50" s="4" t="n">
        <v>0.45</v>
      </c>
      <c r="D50" s="4" t="n">
        <v>0.2</v>
      </c>
      <c r="E50" s="63" t="n">
        <v>1</v>
      </c>
      <c r="F50" s="63" t="n">
        <v>0.36375</v>
      </c>
      <c r="G50" s="63" t="n">
        <v>0.15</v>
      </c>
      <c r="H50" s="63" t="n">
        <v>0.384907436629</v>
      </c>
      <c r="I50" s="63" t="n">
        <v>0.48829287048</v>
      </c>
      <c r="J50" s="63" t="n">
        <v>0.281522002778</v>
      </c>
      <c r="K50" s="63" t="n">
        <v>260.07</v>
      </c>
      <c r="L50" s="63" t="n">
        <v>258.06</v>
      </c>
      <c r="M50" s="63" t="n">
        <v>258.89</v>
      </c>
      <c r="N50" s="54">
        <f>(M51-M50)/M50</f>
        <v/>
      </c>
      <c r="O50" s="54">
        <f>(M54-M50)/M50</f>
        <v/>
      </c>
      <c r="P50" s="4">
        <f>B50-D50</f>
        <v/>
      </c>
      <c r="Q50" s="4">
        <f>AVERAGE(P47:P50)</f>
        <v/>
      </c>
      <c r="R50" s="54">
        <f>(M51-M50)/M50</f>
        <v/>
      </c>
      <c r="S50" s="54">
        <f>(M54-M50)/M50</f>
        <v/>
      </c>
      <c r="T50" s="63">
        <f>IF(R50&gt;0,1,"")</f>
        <v/>
      </c>
      <c r="U50" s="63">
        <f>IF(S50&gt;0,1,"")</f>
        <v/>
      </c>
    </row>
    <row r="51">
      <c r="A51" s="35" t="n">
        <v>32241</v>
      </c>
      <c r="B51" s="4" t="n">
        <v>0.33</v>
      </c>
      <c r="C51" s="4" t="n">
        <v>0.48</v>
      </c>
      <c r="D51" s="4" t="n">
        <v>0.19</v>
      </c>
      <c r="E51" s="63" t="n">
        <v>1</v>
      </c>
      <c r="F51" s="63" t="n">
        <v>0.365</v>
      </c>
      <c r="G51" s="63" t="n">
        <v>0.14</v>
      </c>
      <c r="H51" s="63" t="n">
        <v>0.384907436629</v>
      </c>
      <c r="I51" s="63" t="n">
        <v>0.48829287048</v>
      </c>
      <c r="J51" s="63" t="n">
        <v>0.281522002778</v>
      </c>
      <c r="K51" s="63" t="n">
        <v>269.43</v>
      </c>
      <c r="L51" s="63" t="n">
        <v>256.09</v>
      </c>
      <c r="M51" s="63" t="n">
        <v>269.43</v>
      </c>
      <c r="N51" s="54">
        <f>(M52-M51)/M51</f>
        <v/>
      </c>
      <c r="O51" s="54">
        <f>(M55-M51)/M51</f>
        <v/>
      </c>
      <c r="P51" s="4">
        <f>B51-D51</f>
        <v/>
      </c>
      <c r="Q51" s="4">
        <f>AVERAGE(P48:P51)</f>
        <v/>
      </c>
      <c r="R51" s="54">
        <f>(M52-M51)/M51</f>
        <v/>
      </c>
      <c r="S51" s="54">
        <f>(M55-M51)/M51</f>
        <v/>
      </c>
      <c r="T51" s="63">
        <f>IF(R51&gt;0,1,"")</f>
        <v/>
      </c>
      <c r="U51" s="63">
        <f>IF(S51&gt;0,1,"")</f>
        <v/>
      </c>
    </row>
    <row r="52">
      <c r="A52" s="35" t="n">
        <v>32248</v>
      </c>
      <c r="B52" s="4" t="n">
        <v>0.23</v>
      </c>
      <c r="C52" s="4" t="n">
        <v>0.53</v>
      </c>
      <c r="D52" s="4" t="n">
        <v>0.24</v>
      </c>
      <c r="E52" s="63" t="n">
        <v>1</v>
      </c>
      <c r="F52" s="63" t="n">
        <v>0.36</v>
      </c>
      <c r="G52" s="63" t="n">
        <v>-0.01</v>
      </c>
      <c r="H52" s="63" t="n">
        <v>0.384907436629</v>
      </c>
      <c r="I52" s="63" t="n">
        <v>0.48829287048</v>
      </c>
      <c r="J52" s="63" t="n">
        <v>0.281522002778</v>
      </c>
      <c r="K52" s="63" t="n">
        <v>271.55</v>
      </c>
      <c r="L52" s="63" t="n">
        <v>259.75</v>
      </c>
      <c r="M52" s="63" t="n">
        <v>259.77</v>
      </c>
      <c r="N52" s="54">
        <f>(M53-M52)/M52</f>
        <v/>
      </c>
      <c r="O52" s="54">
        <f>(M56-M52)/M52</f>
        <v/>
      </c>
      <c r="P52" s="4">
        <f>B52-D52</f>
        <v/>
      </c>
      <c r="Q52" s="4">
        <f>AVERAGE(P49:P52)</f>
        <v/>
      </c>
      <c r="R52" s="54">
        <f>(M53-M52)/M52</f>
        <v/>
      </c>
      <c r="S52" s="54">
        <f>(M56-M52)/M52</f>
        <v/>
      </c>
      <c r="T52" s="63">
        <f>IF(R52&gt;0,1,"")</f>
        <v/>
      </c>
      <c r="U52" s="63">
        <f>IF(S52&gt;0,1,"")</f>
        <v/>
      </c>
    </row>
    <row r="53">
      <c r="A53" s="35" t="n">
        <v>32255</v>
      </c>
      <c r="B53" s="4" t="n">
        <v>0.23</v>
      </c>
      <c r="C53" s="4" t="n">
        <v>0.57</v>
      </c>
      <c r="D53" s="4" t="n">
        <v>0.2</v>
      </c>
      <c r="E53" s="63" t="n">
        <v>1</v>
      </c>
      <c r="F53" s="63" t="n">
        <v>0.35125</v>
      </c>
      <c r="G53" s="63" t="n">
        <v>0.03</v>
      </c>
      <c r="H53" s="63" t="n">
        <v>0.384907436629</v>
      </c>
      <c r="I53" s="63" t="n">
        <v>0.48829287048</v>
      </c>
      <c r="J53" s="63" t="n">
        <v>0.281522002778</v>
      </c>
      <c r="K53" s="63" t="n">
        <v>260.14</v>
      </c>
      <c r="L53" s="63" t="n">
        <v>256.13</v>
      </c>
      <c r="M53" s="63" t="n">
        <v>260.14</v>
      </c>
      <c r="N53" s="54">
        <f>(M54-M53)/M53</f>
        <v/>
      </c>
      <c r="O53" s="54">
        <f>(M57-M53)/M53</f>
        <v/>
      </c>
      <c r="P53" s="4">
        <f>B53-D53</f>
        <v/>
      </c>
      <c r="Q53" s="4">
        <f>AVERAGE(P50:P53)</f>
        <v/>
      </c>
      <c r="R53" s="54">
        <f>(M54-M53)/M53</f>
        <v/>
      </c>
      <c r="S53" s="54">
        <f>(M57-M53)/M53</f>
        <v/>
      </c>
      <c r="T53" s="63">
        <f>IF(R53&gt;0,1,"")</f>
        <v/>
      </c>
      <c r="U53" s="63">
        <f>IF(S53&gt;0,1,"")</f>
        <v/>
      </c>
    </row>
    <row r="54">
      <c r="A54" s="35" t="n">
        <v>32262</v>
      </c>
      <c r="B54" s="4" t="n">
        <v>0.22</v>
      </c>
      <c r="C54" s="4" t="n">
        <v>0.48</v>
      </c>
      <c r="D54" s="4" t="n">
        <v>0.3</v>
      </c>
      <c r="E54" s="63" t="n">
        <v>1</v>
      </c>
      <c r="F54" s="63" t="n">
        <v>0.33125</v>
      </c>
      <c r="G54" s="63" t="n">
        <v>-0.08</v>
      </c>
      <c r="H54" s="63" t="n">
        <v>0.384907436629</v>
      </c>
      <c r="I54" s="63" t="n">
        <v>0.48829287048</v>
      </c>
      <c r="J54" s="63" t="n">
        <v>0.281522002778</v>
      </c>
      <c r="K54" s="63" t="n">
        <v>263.93</v>
      </c>
      <c r="L54" s="63" t="n">
        <v>261.33</v>
      </c>
      <c r="M54" s="63" t="n">
        <v>261.33</v>
      </c>
      <c r="N54" s="54">
        <f>(M55-M54)/M54</f>
        <v/>
      </c>
      <c r="O54" s="54">
        <f>(M58-M54)/M54</f>
        <v/>
      </c>
      <c r="P54" s="4">
        <f>B54-D54</f>
        <v/>
      </c>
      <c r="Q54" s="4">
        <f>AVERAGE(P51:P54)</f>
        <v/>
      </c>
      <c r="R54" s="54">
        <f>(M55-M54)/M54</f>
        <v/>
      </c>
      <c r="S54" s="54">
        <f>(M58-M54)/M54</f>
        <v/>
      </c>
      <c r="T54" s="63">
        <f>IF(R54&gt;0,1,"")</f>
        <v/>
      </c>
      <c r="U54" s="63">
        <f>IF(S54&gt;0,1,"")</f>
        <v/>
      </c>
    </row>
    <row r="55">
      <c r="A55" s="35" t="n">
        <v>32269</v>
      </c>
      <c r="B55" s="4" t="n">
        <v>0.38</v>
      </c>
      <c r="C55" s="4" t="n">
        <v>0.42</v>
      </c>
      <c r="D55" s="4" t="n">
        <v>0.2</v>
      </c>
      <c r="E55" s="63" t="n">
        <v>1</v>
      </c>
      <c r="F55" s="63" t="n">
        <v>0.325</v>
      </c>
      <c r="G55" s="63" t="n">
        <v>0.18</v>
      </c>
      <c r="H55" s="63" t="n">
        <v>0.384907436629</v>
      </c>
      <c r="I55" s="63" t="n">
        <v>0.48829287048</v>
      </c>
      <c r="J55" s="63" t="n">
        <v>0.281522002778</v>
      </c>
      <c r="K55" s="63" t="n">
        <v>263</v>
      </c>
      <c r="L55" s="63" t="n">
        <v>257.48</v>
      </c>
      <c r="M55" s="63" t="n">
        <v>257.48</v>
      </c>
      <c r="N55" s="54">
        <f>(M56-M55)/M55</f>
        <v/>
      </c>
      <c r="O55" s="54">
        <f>(M59-M55)/M55</f>
        <v/>
      </c>
      <c r="P55" s="4">
        <f>B55-D55</f>
        <v/>
      </c>
      <c r="Q55" s="4">
        <f>AVERAGE(P52:P55)</f>
        <v/>
      </c>
      <c r="R55" s="54">
        <f>(M56-M55)/M55</f>
        <v/>
      </c>
      <c r="S55" s="54">
        <f>(M59-M55)/M55</f>
        <v/>
      </c>
      <c r="T55" s="63">
        <f>IF(R55&gt;0,1,"")</f>
        <v/>
      </c>
      <c r="U55" s="63">
        <f>IF(S55&gt;0,1,"")</f>
        <v/>
      </c>
    </row>
    <row r="56">
      <c r="A56" s="35" t="n">
        <v>32276</v>
      </c>
      <c r="B56" s="4" t="n">
        <v>0.19</v>
      </c>
      <c r="C56" s="4" t="n">
        <v>0.5600000000000001</v>
      </c>
      <c r="D56" s="4" t="n">
        <v>0.25</v>
      </c>
      <c r="E56" s="63" t="n">
        <v>1</v>
      </c>
      <c r="F56" s="63" t="n">
        <v>0.2975</v>
      </c>
      <c r="G56" s="63" t="n">
        <v>-0.06</v>
      </c>
      <c r="H56" s="63" t="n">
        <v>0.384907436629</v>
      </c>
      <c r="I56" s="63" t="n">
        <v>0.48829287048</v>
      </c>
      <c r="J56" s="63" t="n">
        <v>0.281522002778</v>
      </c>
      <c r="K56" s="63" t="n">
        <v>257.62</v>
      </c>
      <c r="L56" s="63" t="n">
        <v>253.31</v>
      </c>
      <c r="M56" s="63" t="n">
        <v>256.78</v>
      </c>
      <c r="N56" s="54">
        <f>(M57-M56)/M56</f>
        <v/>
      </c>
      <c r="O56" s="54">
        <f>(M60-M56)/M56</f>
        <v/>
      </c>
      <c r="P56" s="4">
        <f>B56-D56</f>
        <v/>
      </c>
      <c r="Q56" s="4">
        <f>AVERAGE(P53:P56)</f>
        <v/>
      </c>
      <c r="R56" s="54">
        <f>(M57-M56)/M56</f>
        <v/>
      </c>
      <c r="S56" s="54">
        <f>(M60-M56)/M56</f>
        <v/>
      </c>
      <c r="T56" s="63">
        <f>IF(R56&gt;0,1,"")</f>
        <v/>
      </c>
      <c r="U56" s="63">
        <f>IF(S56&gt;0,1,"")</f>
        <v/>
      </c>
    </row>
    <row r="57">
      <c r="A57" s="35" t="n">
        <v>32283</v>
      </c>
      <c r="B57" s="4" t="n">
        <v>0.23</v>
      </c>
      <c r="C57" s="4" t="n">
        <v>0.52</v>
      </c>
      <c r="D57" s="4" t="n">
        <v>0.25</v>
      </c>
      <c r="E57" s="63" t="n">
        <v>1</v>
      </c>
      <c r="F57" s="63" t="n">
        <v>0.27</v>
      </c>
      <c r="G57" s="63" t="n">
        <v>-0.02</v>
      </c>
      <c r="H57" s="63" t="n">
        <v>0.384907436629</v>
      </c>
      <c r="I57" s="63" t="n">
        <v>0.48829287048</v>
      </c>
      <c r="J57" s="63" t="n">
        <v>0.281522002778</v>
      </c>
      <c r="K57" s="63" t="n">
        <v>258.71</v>
      </c>
      <c r="L57" s="63" t="n">
        <v>251.35</v>
      </c>
      <c r="M57" s="63" t="n">
        <v>253.02</v>
      </c>
      <c r="N57" s="54">
        <f>(M58-M57)/M57</f>
        <v/>
      </c>
      <c r="O57" s="54">
        <f>(M61-M57)/M57</f>
        <v/>
      </c>
      <c r="P57" s="4">
        <f>B57-D57</f>
        <v/>
      </c>
      <c r="Q57" s="4">
        <f>AVERAGE(P54:P57)</f>
        <v/>
      </c>
      <c r="R57" s="54">
        <f>(M58-M57)/M57</f>
        <v/>
      </c>
      <c r="S57" s="54">
        <f>(M61-M57)/M57</f>
        <v/>
      </c>
      <c r="T57" s="63">
        <f>IF(R57&gt;0,1,"")</f>
        <v/>
      </c>
      <c r="U57" s="63">
        <f>IF(S57&gt;0,1,"")</f>
        <v/>
      </c>
    </row>
    <row r="58">
      <c r="A58" s="35" t="n">
        <v>32290</v>
      </c>
      <c r="B58" s="4" t="n">
        <v>0.28</v>
      </c>
      <c r="C58" s="4" t="n">
        <v>0.52</v>
      </c>
      <c r="D58" s="4" t="n">
        <v>0.2</v>
      </c>
      <c r="E58" s="63" t="n">
        <v>1</v>
      </c>
      <c r="F58" s="63" t="n">
        <v>0.26125</v>
      </c>
      <c r="G58" s="63" t="n">
        <v>0.08</v>
      </c>
      <c r="H58" s="63" t="n">
        <v>0.384907436629</v>
      </c>
      <c r="I58" s="63" t="n">
        <v>0.48829287048</v>
      </c>
      <c r="J58" s="63" t="n">
        <v>0.281522002778</v>
      </c>
      <c r="K58" s="63" t="n">
        <v>254.63</v>
      </c>
      <c r="L58" s="63" t="n">
        <v>250.83</v>
      </c>
      <c r="M58" s="63" t="n">
        <v>253.42</v>
      </c>
      <c r="N58" s="54">
        <f>(M59-M58)/M58</f>
        <v/>
      </c>
      <c r="O58" s="54">
        <f>(M62-M58)/M58</f>
        <v/>
      </c>
      <c r="P58" s="4">
        <f>B58-D58</f>
        <v/>
      </c>
      <c r="Q58" s="4">
        <f>AVERAGE(P55:P58)</f>
        <v/>
      </c>
      <c r="R58" s="54">
        <f>(M59-M58)/M58</f>
        <v/>
      </c>
      <c r="S58" s="54">
        <f>(M62-M58)/M58</f>
        <v/>
      </c>
      <c r="T58" s="63">
        <f>IF(R58&gt;0,1,"")</f>
        <v/>
      </c>
      <c r="U58" s="63">
        <f>IF(S58&gt;0,1,"")</f>
        <v/>
      </c>
    </row>
    <row r="59">
      <c r="A59" s="35" t="n">
        <v>32297</v>
      </c>
      <c r="B59" s="4" t="n">
        <v>0.26</v>
      </c>
      <c r="C59" s="4" t="n">
        <v>0.62</v>
      </c>
      <c r="D59" s="4" t="n">
        <v>0.12</v>
      </c>
      <c r="E59" s="63" t="n">
        <v>1</v>
      </c>
      <c r="F59" s="63" t="n">
        <v>0.2525</v>
      </c>
      <c r="G59" s="63" t="n">
        <v>0.14</v>
      </c>
      <c r="H59" s="63" t="n">
        <v>0.384907436629</v>
      </c>
      <c r="I59" s="63" t="n">
        <v>0.48829287048</v>
      </c>
      <c r="J59" s="63" t="n">
        <v>0.281522002778</v>
      </c>
      <c r="K59" s="63" t="n">
        <v>266.69</v>
      </c>
      <c r="L59" s="63" t="n">
        <v>262.16</v>
      </c>
      <c r="M59" s="63" t="n">
        <v>266.45</v>
      </c>
      <c r="N59" s="54">
        <f>(M60-M59)/M59</f>
        <v/>
      </c>
      <c r="O59" s="54">
        <f>(M63-M59)/M59</f>
        <v/>
      </c>
      <c r="P59" s="4">
        <f>B59-D59</f>
        <v/>
      </c>
      <c r="Q59" s="4">
        <f>AVERAGE(P56:P59)</f>
        <v/>
      </c>
      <c r="R59" s="54">
        <f>(M60-M59)/M59</f>
        <v/>
      </c>
      <c r="S59" s="54">
        <f>(M63-M59)/M59</f>
        <v/>
      </c>
      <c r="T59" s="63">
        <f>IF(R59&gt;0,1,"")</f>
        <v/>
      </c>
      <c r="U59" s="63">
        <f>IF(S59&gt;0,1,"")</f>
        <v/>
      </c>
    </row>
    <row r="60">
      <c r="A60" s="35" t="n">
        <v>32304</v>
      </c>
      <c r="B60" s="4" t="n">
        <v>0.28</v>
      </c>
      <c r="C60" s="4" t="n">
        <v>0.49</v>
      </c>
      <c r="D60" s="4" t="n">
        <v>0.23</v>
      </c>
      <c r="E60" s="63" t="n">
        <v>1</v>
      </c>
      <c r="F60" s="63" t="n">
        <v>0.25875</v>
      </c>
      <c r="G60" s="63" t="n">
        <v>0.05</v>
      </c>
      <c r="H60" s="63" t="n">
        <v>0.384907436629</v>
      </c>
      <c r="I60" s="63" t="n">
        <v>0.48829287048</v>
      </c>
      <c r="J60" s="63" t="n">
        <v>0.281522002778</v>
      </c>
      <c r="K60" s="63" t="n">
        <v>271.52</v>
      </c>
      <c r="L60" s="63" t="n">
        <v>265.17</v>
      </c>
      <c r="M60" s="63" t="n">
        <v>271.26</v>
      </c>
      <c r="N60" s="54">
        <f>(M61-M60)/M60</f>
        <v/>
      </c>
      <c r="O60" s="54">
        <f>(M64-M60)/M60</f>
        <v/>
      </c>
      <c r="P60" s="4">
        <f>B60-D60</f>
        <v/>
      </c>
      <c r="Q60" s="4">
        <f>AVERAGE(P57:P60)</f>
        <v/>
      </c>
      <c r="R60" s="54">
        <f>(M61-M60)/M60</f>
        <v/>
      </c>
      <c r="S60" s="54">
        <f>(M64-M60)/M60</f>
        <v/>
      </c>
      <c r="T60" s="63">
        <f>IF(R60&gt;0,1,"")</f>
        <v/>
      </c>
      <c r="U60" s="63">
        <f>IF(S60&gt;0,1,"")</f>
        <v/>
      </c>
    </row>
    <row r="61">
      <c r="A61" s="35" t="n">
        <v>32311</v>
      </c>
      <c r="B61" s="4" t="n">
        <v>0.29</v>
      </c>
      <c r="C61" s="4" t="n">
        <v>0.5</v>
      </c>
      <c r="D61" s="4" t="n">
        <v>0.21</v>
      </c>
      <c r="E61" s="63" t="n">
        <v>1</v>
      </c>
      <c r="F61" s="63" t="n">
        <v>0.26625</v>
      </c>
      <c r="G61" s="63" t="n">
        <v>0.08</v>
      </c>
      <c r="H61" s="63" t="n">
        <v>0.384907436629</v>
      </c>
      <c r="I61" s="63" t="n">
        <v>0.48829287048</v>
      </c>
      <c r="J61" s="63" t="n">
        <v>0.281522002778</v>
      </c>
      <c r="K61" s="63" t="n">
        <v>274.44</v>
      </c>
      <c r="L61" s="63" t="n">
        <v>269.77</v>
      </c>
      <c r="M61" s="63" t="n">
        <v>270.68</v>
      </c>
      <c r="N61" s="54">
        <f>(M62-M61)/M61</f>
        <v/>
      </c>
      <c r="O61" s="54">
        <f>(M65-M61)/M61</f>
        <v/>
      </c>
      <c r="P61" s="4">
        <f>B61-D61</f>
        <v/>
      </c>
      <c r="Q61" s="4">
        <f>AVERAGE(P58:P61)</f>
        <v/>
      </c>
      <c r="R61" s="54">
        <f>(M62-M61)/M61</f>
        <v/>
      </c>
      <c r="S61" s="54">
        <f>(M65-M61)/M61</f>
        <v/>
      </c>
      <c r="T61" s="63">
        <f>IF(R61&gt;0,1,"")</f>
        <v/>
      </c>
      <c r="U61" s="63">
        <f>IF(S61&gt;0,1,"")</f>
        <v/>
      </c>
    </row>
    <row r="62">
      <c r="A62" s="35" t="n">
        <v>32318</v>
      </c>
      <c r="B62" s="4" t="n">
        <v>0.33</v>
      </c>
      <c r="C62" s="4" t="n">
        <v>0.44</v>
      </c>
      <c r="D62" s="4" t="n">
        <v>0.23</v>
      </c>
      <c r="E62" s="63" t="n">
        <v>1</v>
      </c>
      <c r="F62" s="63" t="n">
        <v>0.28</v>
      </c>
      <c r="G62" s="63" t="n">
        <v>0.1</v>
      </c>
      <c r="H62" s="63" t="n">
        <v>0.384907436629</v>
      </c>
      <c r="I62" s="63" t="n">
        <v>0.48829287048</v>
      </c>
      <c r="J62" s="63" t="n">
        <v>0.281522002778</v>
      </c>
      <c r="K62" s="63" t="n">
        <v>275.66</v>
      </c>
      <c r="L62" s="63" t="n">
        <v>268.94</v>
      </c>
      <c r="M62" s="63" t="n">
        <v>273.78</v>
      </c>
      <c r="N62" s="54">
        <f>(M63-M62)/M62</f>
        <v/>
      </c>
      <c r="O62" s="54">
        <f>(M66-M62)/M62</f>
        <v/>
      </c>
      <c r="P62" s="4">
        <f>B62-D62</f>
        <v/>
      </c>
      <c r="Q62" s="4">
        <f>AVERAGE(P59:P62)</f>
        <v/>
      </c>
      <c r="R62" s="54">
        <f>(M63-M62)/M62</f>
        <v/>
      </c>
      <c r="S62" s="54">
        <f>(M66-M62)/M62</f>
        <v/>
      </c>
      <c r="T62" s="63">
        <f>IF(R62&gt;0,1,"")</f>
        <v/>
      </c>
      <c r="U62" s="63">
        <f>IF(S62&gt;0,1,"")</f>
        <v/>
      </c>
    </row>
    <row r="63">
      <c r="A63" s="35" t="n">
        <v>32325</v>
      </c>
      <c r="B63" s="4" t="n">
        <v>0.45</v>
      </c>
      <c r="C63" s="4" t="n">
        <v>0.38</v>
      </c>
      <c r="D63" s="4" t="n">
        <v>0.17</v>
      </c>
      <c r="E63" s="63" t="n">
        <v>1</v>
      </c>
      <c r="F63" s="63" t="n">
        <v>0.28875</v>
      </c>
      <c r="G63" s="63" t="n">
        <v>0.28</v>
      </c>
      <c r="H63" s="63" t="n">
        <v>0.384907436629</v>
      </c>
      <c r="I63" s="63" t="n">
        <v>0.48829287048</v>
      </c>
      <c r="J63" s="63" t="n">
        <v>0.281522002778</v>
      </c>
      <c r="K63" s="63" t="n">
        <v>273.5</v>
      </c>
      <c r="L63" s="63" t="n">
        <v>269.07</v>
      </c>
      <c r="M63" s="63" t="n">
        <v>271.78</v>
      </c>
      <c r="N63" s="54">
        <f>(M64-M63)/M63</f>
        <v/>
      </c>
      <c r="O63" s="54">
        <f>(M67-M63)/M63</f>
        <v/>
      </c>
      <c r="P63" s="4">
        <f>B63-D63</f>
        <v/>
      </c>
      <c r="Q63" s="4">
        <f>AVERAGE(P60:P63)</f>
        <v/>
      </c>
      <c r="R63" s="54">
        <f>(M64-M63)/M63</f>
        <v/>
      </c>
      <c r="S63" s="54">
        <f>(M67-M63)/M63</f>
        <v/>
      </c>
      <c r="T63" s="63">
        <f>IF(R63&gt;0,1,"")</f>
        <v/>
      </c>
      <c r="U63" s="63">
        <f>IF(S63&gt;0,1,"")</f>
        <v/>
      </c>
    </row>
    <row r="64">
      <c r="A64" s="35" t="n">
        <v>32332</v>
      </c>
      <c r="B64" s="4" t="n">
        <v>0.35</v>
      </c>
      <c r="C64" s="4" t="n">
        <v>0.5</v>
      </c>
      <c r="D64" s="4" t="n">
        <v>0.15</v>
      </c>
      <c r="E64" s="63" t="n">
        <v>1</v>
      </c>
      <c r="F64" s="63" t="n">
        <v>0.30875</v>
      </c>
      <c r="G64" s="63" t="n">
        <v>0.2</v>
      </c>
      <c r="H64" s="63" t="n">
        <v>0.384907436629</v>
      </c>
      <c r="I64" s="63" t="n">
        <v>0.48829287048</v>
      </c>
      <c r="J64" s="63" t="n">
        <v>0.281522002778</v>
      </c>
      <c r="K64" s="63" t="n">
        <v>275.8</v>
      </c>
      <c r="L64" s="63" t="n">
        <v>270.02</v>
      </c>
      <c r="M64" s="63" t="n">
        <v>270.02</v>
      </c>
      <c r="N64" s="54">
        <f>(M65-M64)/M64</f>
        <v/>
      </c>
      <c r="O64" s="54">
        <f>(M68-M64)/M64</f>
        <v/>
      </c>
      <c r="P64" s="4">
        <f>B64-D64</f>
        <v/>
      </c>
      <c r="Q64" s="4">
        <f>AVERAGE(P61:P64)</f>
        <v/>
      </c>
      <c r="R64" s="54">
        <f>(M65-M64)/M64</f>
        <v/>
      </c>
      <c r="S64" s="54">
        <f>(M68-M64)/M64</f>
        <v/>
      </c>
      <c r="T64" s="63">
        <f>IF(R64&gt;0,1,"")</f>
        <v/>
      </c>
      <c r="U64" s="63">
        <f>IF(S64&gt;0,1,"")</f>
        <v/>
      </c>
    </row>
    <row r="65">
      <c r="A65" s="35" t="n">
        <v>32339</v>
      </c>
      <c r="B65" s="4" t="n">
        <v>0.26</v>
      </c>
      <c r="C65" s="4" t="n">
        <v>0.37</v>
      </c>
      <c r="D65" s="4" t="n">
        <v>0.37</v>
      </c>
      <c r="E65" s="63" t="n">
        <v>1</v>
      </c>
      <c r="F65" s="63" t="n">
        <v>0.3125</v>
      </c>
      <c r="G65" s="63" t="n">
        <v>-0.11</v>
      </c>
      <c r="H65" s="63" t="n">
        <v>0.384907436629</v>
      </c>
      <c r="I65" s="63" t="n">
        <v>0.48829287048</v>
      </c>
      <c r="J65" s="63" t="n">
        <v>0.281522002778</v>
      </c>
      <c r="K65" s="63" t="n">
        <v>272.05</v>
      </c>
      <c r="L65" s="63" t="n">
        <v>267.77</v>
      </c>
      <c r="M65" s="63" t="n">
        <v>272.05</v>
      </c>
      <c r="N65" s="54">
        <f>(M66-M65)/M65</f>
        <v/>
      </c>
      <c r="O65" s="54">
        <f>(M69-M65)/M65</f>
        <v/>
      </c>
      <c r="P65" s="4">
        <f>B65-D65</f>
        <v/>
      </c>
      <c r="Q65" s="4">
        <f>AVERAGE(P62:P65)</f>
        <v/>
      </c>
      <c r="R65" s="54">
        <f>(M66-M65)/M65</f>
        <v/>
      </c>
      <c r="S65" s="54">
        <f>(M69-M65)/M65</f>
        <v/>
      </c>
      <c r="T65" s="63">
        <f>IF(R65&gt;0,1,"")</f>
        <v/>
      </c>
      <c r="U65" s="63">
        <f>IF(S65&gt;0,1,"")</f>
        <v/>
      </c>
    </row>
    <row r="66">
      <c r="A66" s="35" t="n">
        <v>32346</v>
      </c>
      <c r="B66" s="4" t="n">
        <v>0.16</v>
      </c>
      <c r="C66" s="4" t="n">
        <v>0.58</v>
      </c>
      <c r="D66" s="4" t="n">
        <v>0.26</v>
      </c>
      <c r="E66" s="63" t="n">
        <v>1</v>
      </c>
      <c r="F66" s="63" t="n">
        <v>0.2975</v>
      </c>
      <c r="G66" s="63" t="n">
        <v>-0.1</v>
      </c>
      <c r="H66" s="63" t="n">
        <v>0.384907436629</v>
      </c>
      <c r="I66" s="63" t="n">
        <v>0.48829287048</v>
      </c>
      <c r="J66" s="63" t="n">
        <v>0.281522002778</v>
      </c>
      <c r="K66" s="63" t="n">
        <v>270.51</v>
      </c>
      <c r="L66" s="63" t="n">
        <v>263.5</v>
      </c>
      <c r="M66" s="63" t="n">
        <v>263.5</v>
      </c>
      <c r="N66" s="54">
        <f>(M67-M66)/M66</f>
        <v/>
      </c>
      <c r="O66" s="54">
        <f>(M70-M66)/M66</f>
        <v/>
      </c>
      <c r="P66" s="4">
        <f>B66-D66</f>
        <v/>
      </c>
      <c r="Q66" s="4">
        <f>AVERAGE(P63:P66)</f>
        <v/>
      </c>
      <c r="R66" s="54">
        <f>(M67-M66)/M66</f>
        <v/>
      </c>
      <c r="S66" s="54">
        <f>(M70-M66)/M66</f>
        <v/>
      </c>
      <c r="T66" s="63">
        <f>IF(R66&gt;0,1,"")</f>
        <v/>
      </c>
      <c r="U66" s="63">
        <f>IF(S66&gt;0,1,"")</f>
        <v/>
      </c>
    </row>
    <row r="67">
      <c r="A67" s="35" t="n">
        <v>32353</v>
      </c>
      <c r="B67" s="4" t="n">
        <v>0.23</v>
      </c>
      <c r="C67" s="4" t="n">
        <v>0.54</v>
      </c>
      <c r="D67" s="4" t="n">
        <v>0.23</v>
      </c>
      <c r="E67" s="63" t="n">
        <v>1</v>
      </c>
      <c r="F67" s="63" t="n">
        <v>0.29375</v>
      </c>
      <c r="G67" s="63" t="n">
        <v>0</v>
      </c>
      <c r="H67" s="63" t="n">
        <v>0.384907436629</v>
      </c>
      <c r="I67" s="63" t="n">
        <v>0.48829287048</v>
      </c>
      <c r="J67" s="63" t="n">
        <v>0.281522002778</v>
      </c>
      <c r="K67" s="63" t="n">
        <v>272.02</v>
      </c>
      <c r="L67" s="63" t="n">
        <v>262.5</v>
      </c>
      <c r="M67" s="63" t="n">
        <v>272.02</v>
      </c>
      <c r="N67" s="54">
        <f>(M68-M67)/M67</f>
        <v/>
      </c>
      <c r="O67" s="54">
        <f>(M71-M67)/M67</f>
        <v/>
      </c>
      <c r="P67" s="4">
        <f>B67-D67</f>
        <v/>
      </c>
      <c r="Q67" s="4">
        <f>AVERAGE(P64:P67)</f>
        <v/>
      </c>
      <c r="R67" s="54">
        <f>(M68-M67)/M67</f>
        <v/>
      </c>
      <c r="S67" s="54">
        <f>(M71-M67)/M67</f>
        <v/>
      </c>
      <c r="T67" s="63">
        <f>IF(R67&gt;0,1,"")</f>
        <v/>
      </c>
      <c r="U67" s="63">
        <f>IF(S67&gt;0,1,"")</f>
        <v/>
      </c>
    </row>
    <row r="68">
      <c r="A68" s="35" t="n">
        <v>32360</v>
      </c>
      <c r="B68" s="4" t="n">
        <v>0.21</v>
      </c>
      <c r="C68" s="4" t="n">
        <v>0.49</v>
      </c>
      <c r="D68" s="4" t="n">
        <v>0.3</v>
      </c>
      <c r="E68" s="63" t="n">
        <v>1</v>
      </c>
      <c r="F68" s="63" t="n">
        <v>0.285</v>
      </c>
      <c r="G68" s="63" t="n">
        <v>-0.09</v>
      </c>
      <c r="H68" s="63" t="n">
        <v>0.384907436629</v>
      </c>
      <c r="I68" s="63" t="n">
        <v>0.48829287048</v>
      </c>
      <c r="J68" s="63" t="n">
        <v>0.281522002778</v>
      </c>
      <c r="K68" s="63" t="n">
        <v>272.98</v>
      </c>
      <c r="L68" s="63" t="n">
        <v>271.15</v>
      </c>
      <c r="M68" s="63" t="n">
        <v>271.15</v>
      </c>
      <c r="N68" s="54">
        <f>(M69-M68)/M68</f>
        <v/>
      </c>
      <c r="O68" s="54">
        <f>(M72-M68)/M68</f>
        <v/>
      </c>
      <c r="P68" s="4">
        <f>B68-D68</f>
        <v/>
      </c>
      <c r="Q68" s="4">
        <f>AVERAGE(P65:P68)</f>
        <v/>
      </c>
      <c r="R68" s="54">
        <f>(M69-M68)/M68</f>
        <v/>
      </c>
      <c r="S68" s="54">
        <f>(M72-M68)/M68</f>
        <v/>
      </c>
      <c r="T68" s="63">
        <f>IF(R68&gt;0,1,"")</f>
        <v/>
      </c>
      <c r="U68" s="63">
        <f>IF(S68&gt;0,1,"")</f>
        <v/>
      </c>
    </row>
    <row r="69">
      <c r="A69" s="35" t="n">
        <v>32367</v>
      </c>
      <c r="B69" s="4" t="n">
        <v>0.26</v>
      </c>
      <c r="C69" s="4" t="n">
        <v>0.48</v>
      </c>
      <c r="D69" s="4" t="n">
        <v>0.26</v>
      </c>
      <c r="E69" s="63" t="n">
        <v>1</v>
      </c>
      <c r="F69" s="63" t="n">
        <v>0.28125</v>
      </c>
      <c r="G69" s="63" t="n">
        <v>0</v>
      </c>
      <c r="H69" s="63" t="n">
        <v>0.384907436629</v>
      </c>
      <c r="I69" s="63" t="n">
        <v>0.48829287048</v>
      </c>
      <c r="J69" s="63" t="n">
        <v>0.281522002778</v>
      </c>
      <c r="K69" s="63" t="n">
        <v>269.98</v>
      </c>
      <c r="L69" s="63" t="n">
        <v>261.9</v>
      </c>
      <c r="M69" s="63" t="n">
        <v>262.55</v>
      </c>
      <c r="N69" s="54">
        <f>(M70-M69)/M69</f>
        <v/>
      </c>
      <c r="O69" s="54">
        <f>(M73-M69)/M69</f>
        <v/>
      </c>
      <c r="P69" s="4">
        <f>B69-D69</f>
        <v/>
      </c>
      <c r="Q69" s="4">
        <f>AVERAGE(P66:P69)</f>
        <v/>
      </c>
      <c r="R69" s="54">
        <f>(M70-M69)/M69</f>
        <v/>
      </c>
      <c r="S69" s="54">
        <f>(M73-M69)/M69</f>
        <v/>
      </c>
      <c r="T69" s="63">
        <f>IF(R69&gt;0,1,"")</f>
        <v/>
      </c>
      <c r="U69" s="63">
        <f>IF(S69&gt;0,1,"")</f>
        <v/>
      </c>
    </row>
    <row r="70">
      <c r="A70" s="35" t="n">
        <v>32374</v>
      </c>
      <c r="B70" s="4" t="n">
        <v>0.19</v>
      </c>
      <c r="C70" s="4" t="n">
        <v>0.53</v>
      </c>
      <c r="D70" s="4" t="n">
        <v>0.28</v>
      </c>
      <c r="E70" s="63" t="n">
        <v>1</v>
      </c>
      <c r="F70" s="63" t="n">
        <v>0.26375</v>
      </c>
      <c r="G70" s="63" t="n">
        <v>-0.09</v>
      </c>
      <c r="H70" s="63" t="n">
        <v>0.384907436629</v>
      </c>
      <c r="I70" s="63" t="n">
        <v>0.48829287048</v>
      </c>
      <c r="J70" s="63" t="n">
        <v>0.281522002778</v>
      </c>
      <c r="K70" s="63" t="n">
        <v>261.03</v>
      </c>
      <c r="L70" s="63" t="n">
        <v>258.69</v>
      </c>
      <c r="M70" s="63" t="n">
        <v>260.24</v>
      </c>
      <c r="N70" s="54">
        <f>(M71-M70)/M70</f>
        <v/>
      </c>
      <c r="O70" s="54">
        <f>(M74-M70)/M70</f>
        <v/>
      </c>
      <c r="P70" s="4">
        <f>B70-D70</f>
        <v/>
      </c>
      <c r="Q70" s="4">
        <f>AVERAGE(P67:P70)</f>
        <v/>
      </c>
      <c r="R70" s="54">
        <f>(M71-M70)/M70</f>
        <v/>
      </c>
      <c r="S70" s="54">
        <f>(M74-M70)/M70</f>
        <v/>
      </c>
      <c r="T70" s="63">
        <f>IF(R70&gt;0,1,"")</f>
        <v/>
      </c>
      <c r="U70" s="63">
        <f>IF(S70&gt;0,1,"")</f>
        <v/>
      </c>
    </row>
    <row r="71">
      <c r="A71" s="35" t="n">
        <v>32381</v>
      </c>
      <c r="B71" s="4" t="n">
        <v>0.28</v>
      </c>
      <c r="C71" s="4" t="n">
        <v>0.4</v>
      </c>
      <c r="D71" s="4" t="n">
        <v>0.32</v>
      </c>
      <c r="E71" s="63" t="n">
        <v>1</v>
      </c>
      <c r="F71" s="63" t="n">
        <v>0.2425</v>
      </c>
      <c r="G71" s="63" t="n">
        <v>-0.04</v>
      </c>
      <c r="H71" s="63" t="n">
        <v>0.384907436629</v>
      </c>
      <c r="I71" s="63" t="n">
        <v>0.48829287048</v>
      </c>
      <c r="J71" s="63" t="n">
        <v>0.281522002778</v>
      </c>
      <c r="K71" s="63" t="n">
        <v>261.13</v>
      </c>
      <c r="L71" s="63" t="n">
        <v>256.98</v>
      </c>
      <c r="M71" s="63" t="n">
        <v>259.68</v>
      </c>
      <c r="N71" s="54">
        <f>(M72-M71)/M71</f>
        <v/>
      </c>
      <c r="O71" s="54">
        <f>(M75-M71)/M71</f>
        <v/>
      </c>
      <c r="P71" s="4">
        <f>B71-D71</f>
        <v/>
      </c>
      <c r="Q71" s="4">
        <f>AVERAGE(P68:P71)</f>
        <v/>
      </c>
      <c r="R71" s="54">
        <f>(M72-M71)/M71</f>
        <v/>
      </c>
      <c r="S71" s="54">
        <f>(M75-M71)/M71</f>
        <v/>
      </c>
      <c r="T71" s="63">
        <f>IF(R71&gt;0,1,"")</f>
        <v/>
      </c>
      <c r="U71" s="63">
        <f>IF(S71&gt;0,1,"")</f>
        <v/>
      </c>
    </row>
    <row r="72">
      <c r="A72" s="35" t="n">
        <v>32388</v>
      </c>
      <c r="B72" s="4" t="n">
        <v>0.18</v>
      </c>
      <c r="C72" s="4" t="n">
        <v>0.43</v>
      </c>
      <c r="D72" s="4" t="n">
        <v>0.39</v>
      </c>
      <c r="E72" s="63" t="n">
        <v>1</v>
      </c>
      <c r="F72" s="63" t="n">
        <v>0.22125</v>
      </c>
      <c r="G72" s="63" t="n">
        <v>-0.21</v>
      </c>
      <c r="H72" s="63" t="n">
        <v>0.384907436629</v>
      </c>
      <c r="I72" s="63" t="n">
        <v>0.48829287048</v>
      </c>
      <c r="J72" s="63" t="n">
        <v>0.281522002778</v>
      </c>
      <c r="K72" s="63" t="n">
        <v>264.48</v>
      </c>
      <c r="L72" s="63" t="n">
        <v>258.35</v>
      </c>
      <c r="M72" s="63" t="n">
        <v>264.48</v>
      </c>
      <c r="N72" s="54">
        <f>(M73-M72)/M72</f>
        <v/>
      </c>
      <c r="O72" s="54">
        <f>(M76-M72)/M72</f>
        <v/>
      </c>
      <c r="P72" s="4">
        <f>B72-D72</f>
        <v/>
      </c>
      <c r="Q72" s="4">
        <f>AVERAGE(P69:P72)</f>
        <v/>
      </c>
      <c r="R72" s="54">
        <f>(M73-M72)/M72</f>
        <v/>
      </c>
      <c r="S72" s="54">
        <f>(M76-M72)/M72</f>
        <v/>
      </c>
      <c r="T72" s="63">
        <f>IF(R72&gt;0,1,"")</f>
        <v/>
      </c>
      <c r="U72" s="63">
        <f>IF(S72&gt;0,1,"")</f>
        <v/>
      </c>
    </row>
    <row r="73">
      <c r="A73" s="35" t="n">
        <v>32395</v>
      </c>
      <c r="B73" s="4" t="n">
        <v>0.17</v>
      </c>
      <c r="C73" s="4" t="n">
        <v>0.52</v>
      </c>
      <c r="D73" s="4" t="n">
        <v>0.31</v>
      </c>
      <c r="E73" s="63" t="n">
        <v>1</v>
      </c>
      <c r="F73" s="63" t="n">
        <v>0.21</v>
      </c>
      <c r="G73" s="63" t="n">
        <v>-0.14</v>
      </c>
      <c r="H73" s="63" t="n">
        <v>0.384907436629</v>
      </c>
      <c r="I73" s="63" t="n">
        <v>0.48829287048</v>
      </c>
      <c r="J73" s="63" t="n">
        <v>0.281522002778</v>
      </c>
      <c r="K73" s="63" t="n">
        <v>266.84</v>
      </c>
      <c r="L73" s="63" t="n">
        <v>265.59</v>
      </c>
      <c r="M73" s="63" t="n">
        <v>266.84</v>
      </c>
      <c r="N73" s="54">
        <f>(M74-M73)/M73</f>
        <v/>
      </c>
      <c r="O73" s="54">
        <f>(M77-M73)/M73</f>
        <v/>
      </c>
      <c r="P73" s="4">
        <f>B73-D73</f>
        <v/>
      </c>
      <c r="Q73" s="4">
        <f>AVERAGE(P70:P73)</f>
        <v/>
      </c>
      <c r="R73" s="54">
        <f>(M74-M73)/M73</f>
        <v/>
      </c>
      <c r="S73" s="54">
        <f>(M77-M73)/M73</f>
        <v/>
      </c>
      <c r="T73" s="63">
        <f>IF(R73&gt;0,1,"")</f>
        <v/>
      </c>
      <c r="U73" s="63">
        <f>IF(S73&gt;0,1,"")</f>
        <v/>
      </c>
    </row>
    <row r="74">
      <c r="A74" s="35" t="n">
        <v>32402</v>
      </c>
      <c r="B74" s="4" t="n">
        <v>0.24</v>
      </c>
      <c r="C74" s="4" t="n">
        <v>0.46</v>
      </c>
      <c r="D74" s="4" t="n">
        <v>0.3</v>
      </c>
      <c r="E74" s="63" t="n">
        <v>1</v>
      </c>
      <c r="F74" s="63" t="n">
        <v>0.22</v>
      </c>
      <c r="G74" s="63" t="n">
        <v>-0.06</v>
      </c>
      <c r="H74" s="63" t="n">
        <v>0.384907436629</v>
      </c>
      <c r="I74" s="63" t="n">
        <v>0.48829287048</v>
      </c>
      <c r="J74" s="63" t="n">
        <v>0.281522002778</v>
      </c>
      <c r="K74" s="63" t="n">
        <v>270.65</v>
      </c>
      <c r="L74" s="63" t="n">
        <v>266.47</v>
      </c>
      <c r="M74" s="63" t="n">
        <v>270.65</v>
      </c>
      <c r="N74" s="54">
        <f>(M75-M74)/M74</f>
        <v/>
      </c>
      <c r="O74" s="54">
        <f>(M78-M74)/M74</f>
        <v/>
      </c>
      <c r="P74" s="4">
        <f>B74-D74</f>
        <v/>
      </c>
      <c r="Q74" s="4">
        <f>AVERAGE(P71:P74)</f>
        <v/>
      </c>
      <c r="R74" s="54">
        <f>(M75-M74)/M74</f>
        <v/>
      </c>
      <c r="S74" s="54">
        <f>(M78-M74)/M74</f>
        <v/>
      </c>
      <c r="T74" s="63">
        <f>IF(R74&gt;0,1,"")</f>
        <v/>
      </c>
      <c r="U74" s="63">
        <f>IF(S74&gt;0,1,"")</f>
        <v/>
      </c>
    </row>
    <row r="75">
      <c r="A75" s="35" t="n">
        <v>32409</v>
      </c>
      <c r="B75" s="4" t="n">
        <v>0.2</v>
      </c>
      <c r="C75" s="4" t="n">
        <v>0.53</v>
      </c>
      <c r="D75" s="4" t="n">
        <v>0.27</v>
      </c>
      <c r="E75" s="63" t="n">
        <v>1</v>
      </c>
      <c r="F75" s="63" t="n">
        <v>0.21625</v>
      </c>
      <c r="G75" s="63" t="n">
        <v>-0.07000000000000001</v>
      </c>
      <c r="H75" s="63" t="n">
        <v>0.384907436629</v>
      </c>
      <c r="I75" s="63" t="n">
        <v>0.48829287048</v>
      </c>
      <c r="J75" s="63" t="n">
        <v>0.281522002778</v>
      </c>
      <c r="K75" s="63" t="n">
        <v>270.16</v>
      </c>
      <c r="L75" s="63" t="n">
        <v>268.82</v>
      </c>
      <c r="M75" s="63" t="n">
        <v>269.76</v>
      </c>
      <c r="N75" s="54">
        <f>(M76-M75)/M75</f>
        <v/>
      </c>
      <c r="O75" s="54">
        <f>(M79-M75)/M75</f>
        <v/>
      </c>
      <c r="P75" s="4">
        <f>B75-D75</f>
        <v/>
      </c>
      <c r="Q75" s="4">
        <f>AVERAGE(P72:P75)</f>
        <v/>
      </c>
      <c r="R75" s="54">
        <f>(M76-M75)/M75</f>
        <v/>
      </c>
      <c r="S75" s="54">
        <f>(M79-M75)/M75</f>
        <v/>
      </c>
      <c r="T75" s="63">
        <f>IF(R75&gt;0,1,"")</f>
        <v/>
      </c>
      <c r="U75" s="63">
        <f>IF(S75&gt;0,1,"")</f>
        <v/>
      </c>
    </row>
    <row r="76">
      <c r="A76" s="35" t="n">
        <v>32416</v>
      </c>
      <c r="B76" s="4" t="n">
        <v>0.26</v>
      </c>
      <c r="C76" s="4" t="n">
        <v>0.44</v>
      </c>
      <c r="D76" s="4" t="n">
        <v>0.3</v>
      </c>
      <c r="E76" s="63" t="n">
        <v>1</v>
      </c>
      <c r="F76" s="63" t="n">
        <v>0.2225</v>
      </c>
      <c r="G76" s="63" t="n">
        <v>-0.04</v>
      </c>
      <c r="H76" s="63" t="n">
        <v>0.384907436629</v>
      </c>
      <c r="I76" s="63" t="n">
        <v>0.48829287048</v>
      </c>
      <c r="J76" s="63" t="n">
        <v>0.281522002778</v>
      </c>
      <c r="K76" s="63" t="n">
        <v>272.59</v>
      </c>
      <c r="L76" s="63" t="n">
        <v>268.26</v>
      </c>
      <c r="M76" s="63" t="n">
        <v>271.91</v>
      </c>
      <c r="N76" s="54">
        <f>(M77-M76)/M76</f>
        <v/>
      </c>
      <c r="O76" s="54">
        <f>(M80-M76)/M76</f>
        <v/>
      </c>
      <c r="P76" s="4">
        <f>B76-D76</f>
        <v/>
      </c>
      <c r="Q76" s="4">
        <f>AVERAGE(P73:P76)</f>
        <v/>
      </c>
      <c r="R76" s="54">
        <f>(M77-M76)/M76</f>
        <v/>
      </c>
      <c r="S76" s="54">
        <f>(M80-M76)/M76</f>
        <v/>
      </c>
      <c r="T76" s="63">
        <f>IF(R76&gt;0,1,"")</f>
        <v/>
      </c>
      <c r="U76" s="63">
        <f>IF(S76&gt;0,1,"")</f>
        <v/>
      </c>
    </row>
    <row r="77">
      <c r="A77" s="35" t="n">
        <v>32423</v>
      </c>
      <c r="B77" s="4" t="n">
        <v>0.13</v>
      </c>
      <c r="C77" s="4" t="n">
        <v>0.49</v>
      </c>
      <c r="D77" s="4" t="n">
        <v>0.38</v>
      </c>
      <c r="E77" s="63" t="n">
        <v>1</v>
      </c>
      <c r="F77" s="63" t="n">
        <v>0.20625</v>
      </c>
      <c r="G77" s="63" t="n">
        <v>-0.25</v>
      </c>
      <c r="H77" s="63" t="n">
        <v>0.384907436629</v>
      </c>
      <c r="I77" s="63" t="n">
        <v>0.48829287048</v>
      </c>
      <c r="J77" s="63" t="n">
        <v>0.281522002778</v>
      </c>
      <c r="K77" s="63" t="n">
        <v>278.07</v>
      </c>
      <c r="L77" s="63" t="n">
        <v>270.62</v>
      </c>
      <c r="M77" s="63" t="n">
        <v>278.07</v>
      </c>
      <c r="N77" s="54">
        <f>(M78-M77)/M77</f>
        <v/>
      </c>
      <c r="O77" s="54">
        <f>(M81-M77)/M77</f>
        <v/>
      </c>
      <c r="P77" s="4">
        <f>B77-D77</f>
        <v/>
      </c>
      <c r="Q77" s="4">
        <f>AVERAGE(P74:P77)</f>
        <v/>
      </c>
      <c r="R77" s="54">
        <f>(M78-M77)/M77</f>
        <v/>
      </c>
      <c r="S77" s="54">
        <f>(M81-M77)/M77</f>
        <v/>
      </c>
      <c r="T77" s="63">
        <f>IF(R77&gt;0,1,"")</f>
        <v/>
      </c>
      <c r="U77" s="63">
        <f>IF(S77&gt;0,1,"")</f>
        <v/>
      </c>
    </row>
    <row r="78">
      <c r="A78" s="35" t="n">
        <v>32430</v>
      </c>
      <c r="B78" s="4" t="n">
        <v>0.22</v>
      </c>
      <c r="C78" s="4" t="n">
        <v>0.46</v>
      </c>
      <c r="D78" s="4" t="n">
        <v>0.32</v>
      </c>
      <c r="E78" s="63" t="n">
        <v>1</v>
      </c>
      <c r="F78" s="63" t="n">
        <v>0.21</v>
      </c>
      <c r="G78" s="63" t="n">
        <v>-0.1</v>
      </c>
      <c r="H78" s="63" t="n">
        <v>0.384907436629</v>
      </c>
      <c r="I78" s="63" t="n">
        <v>0.48829287048</v>
      </c>
      <c r="J78" s="63" t="n">
        <v>0.281522002778</v>
      </c>
      <c r="K78" s="63" t="n">
        <v>278.24</v>
      </c>
      <c r="L78" s="63" t="n">
        <v>273.98</v>
      </c>
      <c r="M78" s="63" t="n">
        <v>275.5</v>
      </c>
      <c r="N78" s="54">
        <f>(M79-M78)/M78</f>
        <v/>
      </c>
      <c r="O78" s="54">
        <f>(M82-M78)/M78</f>
        <v/>
      </c>
      <c r="P78" s="4">
        <f>B78-D78</f>
        <v/>
      </c>
      <c r="Q78" s="4">
        <f>AVERAGE(P75:P78)</f>
        <v/>
      </c>
      <c r="R78" s="54">
        <f>(M79-M78)/M78</f>
        <v/>
      </c>
      <c r="S78" s="54">
        <f>(M82-M78)/M78</f>
        <v/>
      </c>
      <c r="T78" s="63">
        <f>IF(R78&gt;0,1,"")</f>
        <v/>
      </c>
      <c r="U78" s="63">
        <f>IF(S78&gt;0,1,"")</f>
        <v/>
      </c>
    </row>
    <row r="79">
      <c r="A79" s="35" t="n">
        <v>32437</v>
      </c>
      <c r="B79" s="4" t="n">
        <v>0.26</v>
      </c>
      <c r="C79" s="4" t="n">
        <v>0.51</v>
      </c>
      <c r="D79" s="4" t="n">
        <v>0.23</v>
      </c>
      <c r="E79" s="63" t="n">
        <v>1</v>
      </c>
      <c r="F79" s="63" t="n">
        <v>0.2075</v>
      </c>
      <c r="G79" s="63" t="n">
        <v>0.03</v>
      </c>
      <c r="H79" s="63" t="n">
        <v>0.384907436629</v>
      </c>
      <c r="I79" s="63" t="n">
        <v>0.48829287048</v>
      </c>
      <c r="J79" s="63" t="n">
        <v>0.281522002778</v>
      </c>
      <c r="K79" s="63" t="n">
        <v>283.66</v>
      </c>
      <c r="L79" s="63" t="n">
        <v>276.41</v>
      </c>
      <c r="M79" s="63" t="n">
        <v>283.66</v>
      </c>
      <c r="N79" s="54">
        <f>(M80-M79)/M79</f>
        <v/>
      </c>
      <c r="O79" s="54">
        <f>(M83-M79)/M79</f>
        <v/>
      </c>
      <c r="P79" s="4">
        <f>B79-D79</f>
        <v/>
      </c>
      <c r="Q79" s="4">
        <f>AVERAGE(P76:P79)</f>
        <v/>
      </c>
      <c r="R79" s="54">
        <f>(M80-M79)/M79</f>
        <v/>
      </c>
      <c r="S79" s="54">
        <f>(M83-M79)/M79</f>
        <v/>
      </c>
      <c r="T79" s="63">
        <f>IF(R79&gt;0,1,"")</f>
        <v/>
      </c>
      <c r="U79" s="63">
        <f>IF(S79&gt;0,1,"")</f>
        <v/>
      </c>
    </row>
    <row r="80">
      <c r="A80" s="35" t="n">
        <v>32444</v>
      </c>
      <c r="B80" s="4" t="n">
        <v>0.4</v>
      </c>
      <c r="C80" s="4" t="n">
        <v>0.38</v>
      </c>
      <c r="D80" s="4" t="n">
        <v>0.22</v>
      </c>
      <c r="E80" s="63" t="n">
        <v>1</v>
      </c>
      <c r="F80" s="63" t="n">
        <v>0.235</v>
      </c>
      <c r="G80" s="63" t="n">
        <v>0.18</v>
      </c>
      <c r="H80" s="63" t="n">
        <v>0.384907436629</v>
      </c>
      <c r="I80" s="63" t="n">
        <v>0.48829287048</v>
      </c>
      <c r="J80" s="63" t="n">
        <v>0.281522002778</v>
      </c>
      <c r="K80" s="63" t="n">
        <v>282.38</v>
      </c>
      <c r="L80" s="63" t="n">
        <v>277.28</v>
      </c>
      <c r="M80" s="63" t="n">
        <v>278.53</v>
      </c>
      <c r="N80" s="54">
        <f>(M81-M80)/M80</f>
        <v/>
      </c>
      <c r="O80" s="54">
        <f>(M84-M80)/M80</f>
        <v/>
      </c>
      <c r="P80" s="4">
        <f>B80-D80</f>
        <v/>
      </c>
      <c r="Q80" s="4">
        <f>AVERAGE(P77:P80)</f>
        <v/>
      </c>
      <c r="R80" s="54">
        <f>(M81-M80)/M80</f>
        <v/>
      </c>
      <c r="S80" s="54">
        <f>(M84-M80)/M80</f>
        <v/>
      </c>
      <c r="T80" s="63">
        <f>IF(R80&gt;0,1,"")</f>
        <v/>
      </c>
      <c r="U80" s="63">
        <f>IF(S80&gt;0,1,"")</f>
        <v/>
      </c>
    </row>
    <row r="81">
      <c r="A81" s="35" t="n">
        <v>32451</v>
      </c>
      <c r="B81" s="4" t="n">
        <v>0.35</v>
      </c>
      <c r="C81" s="4" t="n">
        <v>0.46</v>
      </c>
      <c r="D81" s="4" t="n">
        <v>0.19</v>
      </c>
      <c r="E81" s="63" t="n">
        <v>1</v>
      </c>
      <c r="F81" s="63" t="n">
        <v>0.2575</v>
      </c>
      <c r="G81" s="63" t="n">
        <v>0.16</v>
      </c>
      <c r="H81" s="63" t="n">
        <v>0.384907436629</v>
      </c>
      <c r="I81" s="63" t="n">
        <v>0.48829287048</v>
      </c>
      <c r="J81" s="63" t="n">
        <v>0.281522002778</v>
      </c>
      <c r="K81" s="63" t="n">
        <v>279.2</v>
      </c>
      <c r="L81" s="63" t="n">
        <v>276.31</v>
      </c>
      <c r="M81" s="63" t="n">
        <v>276.31</v>
      </c>
      <c r="N81" s="54">
        <f>(M82-M81)/M81</f>
        <v/>
      </c>
      <c r="O81" s="54">
        <f>(M85-M81)/M81</f>
        <v/>
      </c>
      <c r="P81" s="4">
        <f>B81-D81</f>
        <v/>
      </c>
      <c r="Q81" s="4">
        <f>AVERAGE(P78:P81)</f>
        <v/>
      </c>
      <c r="R81" s="54">
        <f>(M82-M81)/M81</f>
        <v/>
      </c>
      <c r="S81" s="54">
        <f>(M85-M81)/M81</f>
        <v/>
      </c>
      <c r="T81" s="63">
        <f>IF(R81&gt;0,1,"")</f>
        <v/>
      </c>
      <c r="U81" s="63">
        <f>IF(S81&gt;0,1,"")</f>
        <v/>
      </c>
    </row>
    <row r="82">
      <c r="A82" s="35" t="n">
        <v>32458</v>
      </c>
      <c r="B82" s="4" t="n">
        <v>0.23</v>
      </c>
      <c r="C82" s="4" t="n">
        <v>0.5600000000000001</v>
      </c>
      <c r="D82" s="4" t="n">
        <v>0.21</v>
      </c>
      <c r="E82" s="63" t="n">
        <v>1</v>
      </c>
      <c r="F82" s="63" t="n">
        <v>0.25625</v>
      </c>
      <c r="G82" s="63" t="n">
        <v>0.02</v>
      </c>
      <c r="H82" s="63" t="n">
        <v>0.384907436629</v>
      </c>
      <c r="I82" s="63" t="n">
        <v>0.48829287048</v>
      </c>
      <c r="J82" s="63" t="n">
        <v>0.281522002778</v>
      </c>
      <c r="K82" s="63" t="n">
        <v>275.15</v>
      </c>
      <c r="L82" s="63" t="n">
        <v>267.92</v>
      </c>
      <c r="M82" s="63" t="n">
        <v>267.92</v>
      </c>
      <c r="N82" s="54">
        <f>(M83-M82)/M82</f>
        <v/>
      </c>
      <c r="O82" s="54">
        <f>(M86-M82)/M82</f>
        <v/>
      </c>
      <c r="P82" s="4">
        <f>B82-D82</f>
        <v/>
      </c>
      <c r="Q82" s="4">
        <f>AVERAGE(P79:P82)</f>
        <v/>
      </c>
      <c r="R82" s="54">
        <f>(M83-M82)/M82</f>
        <v/>
      </c>
      <c r="S82" s="54">
        <f>(M86-M82)/M82</f>
        <v/>
      </c>
      <c r="T82" s="63">
        <f>IF(R82&gt;0,1,"")</f>
        <v/>
      </c>
      <c r="U82" s="63">
        <f>IF(S82&gt;0,1,"")</f>
        <v/>
      </c>
    </row>
    <row r="83">
      <c r="A83" s="35" t="n">
        <v>32465</v>
      </c>
      <c r="B83" s="4" t="n">
        <v>0.3</v>
      </c>
      <c r="C83" s="4" t="n">
        <v>0.34</v>
      </c>
      <c r="D83" s="4" t="n">
        <v>0.36</v>
      </c>
      <c r="E83" s="63" t="n">
        <v>1</v>
      </c>
      <c r="F83" s="63" t="n">
        <v>0.26875</v>
      </c>
      <c r="G83" s="63" t="n">
        <v>-0.06</v>
      </c>
      <c r="H83" s="63" t="n">
        <v>0.384907436629</v>
      </c>
      <c r="I83" s="63" t="n">
        <v>0.48829287048</v>
      </c>
      <c r="J83" s="63" t="n">
        <v>0.281522002778</v>
      </c>
      <c r="K83" s="63" t="n">
        <v>268.34</v>
      </c>
      <c r="L83" s="63" t="n">
        <v>263.82</v>
      </c>
      <c r="M83" s="63" t="n">
        <v>266.47</v>
      </c>
      <c r="N83" s="54">
        <f>(M84-M83)/M83</f>
        <v/>
      </c>
      <c r="O83" s="54">
        <f>(M87-M83)/M83</f>
        <v/>
      </c>
      <c r="P83" s="4">
        <f>B83-D83</f>
        <v/>
      </c>
      <c r="Q83" s="4">
        <f>AVERAGE(P80:P83)</f>
        <v/>
      </c>
      <c r="R83" s="54">
        <f>(M84-M83)/M83</f>
        <v/>
      </c>
      <c r="S83" s="54">
        <f>(M87-M83)/M83</f>
        <v/>
      </c>
      <c r="T83" s="63">
        <f>IF(R83&gt;0,1,"")</f>
        <v/>
      </c>
      <c r="U83" s="63">
        <f>IF(S83&gt;0,1,"")</f>
        <v/>
      </c>
    </row>
    <row r="84">
      <c r="A84" s="35" t="n">
        <v>32472</v>
      </c>
      <c r="B84" s="4" t="n">
        <v>0.17</v>
      </c>
      <c r="C84" s="4" t="n">
        <v>0.44</v>
      </c>
      <c r="D84" s="4" t="n">
        <v>0.39</v>
      </c>
      <c r="E84" s="63" t="n">
        <v>1</v>
      </c>
      <c r="F84" s="63" t="n">
        <v>0.2575</v>
      </c>
      <c r="G84" s="63" t="n">
        <v>-0.22</v>
      </c>
      <c r="H84" s="63" t="n">
        <v>0.384907436629</v>
      </c>
      <c r="I84" s="63" t="n">
        <v>0.48829287048</v>
      </c>
      <c r="J84" s="63" t="n">
        <v>0.281522002778</v>
      </c>
      <c r="K84" s="63" t="n">
        <v>269</v>
      </c>
      <c r="L84" s="63" t="n">
        <v>266.22</v>
      </c>
      <c r="M84" s="63" t="n">
        <v>267.23</v>
      </c>
      <c r="N84" s="54">
        <f>(M85-M84)/M84</f>
        <v/>
      </c>
      <c r="O84" s="54">
        <f>(M88-M84)/M84</f>
        <v/>
      </c>
      <c r="P84" s="4">
        <f>B84-D84</f>
        <v/>
      </c>
      <c r="Q84" s="4">
        <f>AVERAGE(P81:P84)</f>
        <v/>
      </c>
      <c r="R84" s="54">
        <f>(M85-M84)/M84</f>
        <v/>
      </c>
      <c r="S84" s="54">
        <f>(M88-M84)/M84</f>
        <v/>
      </c>
      <c r="T84" s="63">
        <f>IF(R84&gt;0,1,"")</f>
        <v/>
      </c>
      <c r="U84" s="63">
        <f>IF(S84&gt;0,1,"")</f>
        <v/>
      </c>
    </row>
    <row r="85">
      <c r="A85" s="35" t="n">
        <v>32479</v>
      </c>
      <c r="B85" s="4" t="n">
        <v>0.19</v>
      </c>
      <c r="C85" s="4" t="n">
        <v>0.47</v>
      </c>
      <c r="D85" s="4" t="n">
        <v>0.34</v>
      </c>
      <c r="E85" s="63" t="n">
        <v>1</v>
      </c>
      <c r="F85" s="63" t="n">
        <v>0.265</v>
      </c>
      <c r="G85" s="63" t="n">
        <v>-0.15</v>
      </c>
      <c r="H85" s="63" t="n">
        <v>0.384907436629</v>
      </c>
      <c r="I85" s="63" t="n">
        <v>0.48829287048</v>
      </c>
      <c r="J85" s="63" t="n">
        <v>0.281522002778</v>
      </c>
      <c r="K85" s="63" t="n">
        <v>273.7</v>
      </c>
      <c r="L85" s="63" t="n">
        <v>268.64</v>
      </c>
      <c r="M85" s="63" t="n">
        <v>271.81</v>
      </c>
      <c r="N85" s="54">
        <f>(M86-M85)/M85</f>
        <v/>
      </c>
      <c r="O85" s="54">
        <f>(M89-M85)/M85</f>
        <v/>
      </c>
      <c r="P85" s="4">
        <f>B85-D85</f>
        <v/>
      </c>
      <c r="Q85" s="4">
        <f>AVERAGE(P82:P85)</f>
        <v/>
      </c>
      <c r="R85" s="54">
        <f>(M86-M85)/M85</f>
        <v/>
      </c>
      <c r="S85" s="54">
        <f>(M89-M85)/M85</f>
        <v/>
      </c>
      <c r="T85" s="63">
        <f>IF(R85&gt;0,1,"")</f>
        <v/>
      </c>
      <c r="U85" s="63">
        <f>IF(S85&gt;0,1,"")</f>
        <v/>
      </c>
    </row>
    <row r="86">
      <c r="A86" s="35" t="n">
        <v>32486</v>
      </c>
      <c r="B86" s="4" t="n">
        <v>0.17</v>
      </c>
      <c r="C86" s="4" t="n">
        <v>0.44</v>
      </c>
      <c r="D86" s="4" t="n">
        <v>0.39</v>
      </c>
      <c r="E86" s="63" t="n">
        <v>1</v>
      </c>
      <c r="F86" s="63" t="n">
        <v>0.25875</v>
      </c>
      <c r="G86" s="63" t="n">
        <v>-0.22</v>
      </c>
      <c r="H86" s="63" t="n">
        <v>0.384907436629</v>
      </c>
      <c r="I86" s="63" t="n">
        <v>0.48829287048</v>
      </c>
      <c r="J86" s="63" t="n">
        <v>0.281522002778</v>
      </c>
      <c r="K86" s="63" t="n">
        <v>278.13</v>
      </c>
      <c r="L86" s="63" t="n">
        <v>274.93</v>
      </c>
      <c r="M86" s="63" t="n">
        <v>277.03</v>
      </c>
      <c r="N86" s="54">
        <f>(M87-M86)/M86</f>
        <v/>
      </c>
      <c r="O86" s="54">
        <f>(M90-M86)/M86</f>
        <v/>
      </c>
      <c r="P86" s="4">
        <f>B86-D86</f>
        <v/>
      </c>
      <c r="Q86" s="4">
        <f>AVERAGE(P83:P86)</f>
        <v/>
      </c>
      <c r="R86" s="54">
        <f>(M87-M86)/M86</f>
        <v/>
      </c>
      <c r="S86" s="54">
        <f>(M90-M86)/M86</f>
        <v/>
      </c>
      <c r="T86" s="63">
        <f>IF(R86&gt;0,1,"")</f>
        <v/>
      </c>
      <c r="U86" s="63">
        <f>IF(S86&gt;0,1,"")</f>
        <v/>
      </c>
    </row>
    <row r="87">
      <c r="A87" s="35" t="n">
        <v>32493</v>
      </c>
      <c r="B87" s="4" t="n">
        <v>0.24</v>
      </c>
      <c r="C87" s="4" t="n">
        <v>0.54</v>
      </c>
      <c r="D87" s="4" t="n">
        <v>0.22</v>
      </c>
      <c r="E87" s="63" t="n">
        <v>1</v>
      </c>
      <c r="F87" s="63" t="n">
        <v>0.25625</v>
      </c>
      <c r="G87" s="63" t="n">
        <v>0.02</v>
      </c>
      <c r="H87" s="63" t="n">
        <v>0.384907436629</v>
      </c>
      <c r="I87" s="63" t="n">
        <v>0.48829287048</v>
      </c>
      <c r="J87" s="63" t="n">
        <v>0.281522002778</v>
      </c>
      <c r="K87" s="63" t="n">
        <v>276.52</v>
      </c>
      <c r="L87" s="63" t="n">
        <v>274.28</v>
      </c>
      <c r="M87" s="63" t="n">
        <v>276.29</v>
      </c>
      <c r="N87" s="54">
        <f>(M88-M87)/M87</f>
        <v/>
      </c>
      <c r="O87" s="54">
        <f>(M91-M87)/M87</f>
        <v/>
      </c>
      <c r="P87" s="4">
        <f>B87-D87</f>
        <v/>
      </c>
      <c r="Q87" s="4">
        <f>AVERAGE(P84:P87)</f>
        <v/>
      </c>
      <c r="R87" s="54">
        <f>(M88-M87)/M87</f>
        <v/>
      </c>
      <c r="S87" s="54">
        <f>(M91-M87)/M87</f>
        <v/>
      </c>
      <c r="T87" s="63">
        <f>IF(R87&gt;0,1,"")</f>
        <v/>
      </c>
      <c r="U87" s="63">
        <f>IF(S87&gt;0,1,"")</f>
        <v/>
      </c>
    </row>
    <row r="88">
      <c r="A88" s="35" t="n">
        <v>32500</v>
      </c>
      <c r="B88" s="4" t="n">
        <v>0.22</v>
      </c>
      <c r="C88" s="4" t="n">
        <v>0.46</v>
      </c>
      <c r="D88" s="4" t="n">
        <v>0.32</v>
      </c>
      <c r="E88" s="63" t="n">
        <v>1</v>
      </c>
      <c r="F88" s="63" t="n">
        <v>0.23375</v>
      </c>
      <c r="G88" s="63" t="n">
        <v>-0.1</v>
      </c>
      <c r="H88" s="63" t="n">
        <v>0.384907436629</v>
      </c>
      <c r="I88" s="63" t="n">
        <v>0.48829287048</v>
      </c>
      <c r="J88" s="63" t="n">
        <v>0.281522002778</v>
      </c>
      <c r="K88" s="63" t="n">
        <v>278.91</v>
      </c>
      <c r="L88" s="63" t="n">
        <v>276.87</v>
      </c>
      <c r="M88" s="63" t="n">
        <v>277.87</v>
      </c>
      <c r="N88" s="54">
        <f>(M89-M88)/M88</f>
        <v/>
      </c>
      <c r="O88" s="54">
        <f>(M92-M88)/M88</f>
        <v/>
      </c>
      <c r="P88" s="4">
        <f>B88-D88</f>
        <v/>
      </c>
      <c r="Q88" s="4">
        <f>AVERAGE(P85:P88)</f>
        <v/>
      </c>
      <c r="R88" s="54">
        <f>(M89-M88)/M88</f>
        <v/>
      </c>
      <c r="S88" s="54">
        <f>(M92-M88)/M88</f>
        <v/>
      </c>
      <c r="T88" s="63">
        <f>IF(R88&gt;0,1,"")</f>
        <v/>
      </c>
      <c r="U88" s="63">
        <f>IF(S88&gt;0,1,"")</f>
        <v/>
      </c>
    </row>
    <row r="89">
      <c r="A89" s="35" t="n">
        <v>32507</v>
      </c>
      <c r="B89" s="4" t="n">
        <v>0.24</v>
      </c>
      <c r="C89" s="4" t="n">
        <v>0.54</v>
      </c>
      <c r="D89" s="4" t="n">
        <v>0.22</v>
      </c>
      <c r="E89" s="63" t="n">
        <v>1</v>
      </c>
      <c r="F89" s="63" t="n">
        <v>0.22</v>
      </c>
      <c r="G89" s="63" t="n">
        <v>0.02</v>
      </c>
      <c r="H89" s="63" t="n">
        <v>0.384907436629</v>
      </c>
      <c r="I89" s="63" t="n">
        <v>0.48829287048</v>
      </c>
      <c r="J89" s="63" t="n">
        <v>0.281522002778</v>
      </c>
      <c r="K89" s="63" t="n">
        <v>279.4</v>
      </c>
      <c r="L89" s="63" t="n">
        <v>276.83</v>
      </c>
      <c r="M89" s="63" t="n">
        <v>277.72</v>
      </c>
      <c r="N89" s="54">
        <f>(M90-M89)/M89</f>
        <v/>
      </c>
      <c r="O89" s="54">
        <f>(M93-M89)/M89</f>
        <v/>
      </c>
      <c r="P89" s="4">
        <f>B89-D89</f>
        <v/>
      </c>
      <c r="Q89" s="4">
        <f>AVERAGE(P86:P89)</f>
        <v/>
      </c>
      <c r="R89" s="54">
        <f>(M90-M89)/M89</f>
        <v/>
      </c>
      <c r="S89" s="54">
        <f>(M93-M89)/M89</f>
        <v/>
      </c>
      <c r="T89" s="63">
        <f>IF(R89&gt;0,1,"")</f>
        <v/>
      </c>
      <c r="U89" s="63">
        <f>IF(S89&gt;0,1,"")</f>
        <v/>
      </c>
    </row>
    <row r="90">
      <c r="A90" s="35" t="n">
        <v>32514</v>
      </c>
      <c r="B90" s="4" t="n">
        <v>0.26</v>
      </c>
      <c r="C90" s="4" t="n">
        <v>0.51</v>
      </c>
      <c r="D90" s="4" t="n">
        <v>0.23</v>
      </c>
      <c r="E90" s="63" t="n">
        <v>1</v>
      </c>
      <c r="F90" s="63" t="n">
        <v>0.22375</v>
      </c>
      <c r="G90" s="63" t="n">
        <v>0.03</v>
      </c>
      <c r="H90" s="63" t="n">
        <v>0.384907436629</v>
      </c>
      <c r="I90" s="63" t="n">
        <v>0.48829287048</v>
      </c>
      <c r="J90" s="63" t="n">
        <v>0.281522002778</v>
      </c>
      <c r="K90" s="63" t="n">
        <v>280.67</v>
      </c>
      <c r="L90" s="63" t="n">
        <v>275.31</v>
      </c>
      <c r="M90" s="63" t="n">
        <v>280.67</v>
      </c>
      <c r="N90" s="54">
        <f>(M91-M90)/M90</f>
        <v/>
      </c>
      <c r="O90" s="54">
        <f>(M94-M90)/M90</f>
        <v/>
      </c>
      <c r="P90" s="4">
        <f>B90-D90</f>
        <v/>
      </c>
      <c r="Q90" s="4">
        <f>AVERAGE(P87:P90)</f>
        <v/>
      </c>
      <c r="R90" s="54">
        <f>(M91-M90)/M90</f>
        <v/>
      </c>
      <c r="S90" s="54">
        <f>(M94-M90)/M90</f>
        <v/>
      </c>
      <c r="T90" s="63">
        <f>IF(R90&gt;0,1,"")</f>
        <v/>
      </c>
      <c r="U90" s="63">
        <f>IF(S90&gt;0,1,"")</f>
        <v/>
      </c>
    </row>
    <row r="91">
      <c r="A91" s="35" t="n">
        <v>32521</v>
      </c>
      <c r="B91" s="4" t="n">
        <v>0.36</v>
      </c>
      <c r="C91" s="4" t="n">
        <v>0.44</v>
      </c>
      <c r="D91" s="4" t="n">
        <v>0.2</v>
      </c>
      <c r="E91" s="63" t="n">
        <v>1</v>
      </c>
      <c r="F91" s="63" t="n">
        <v>0.23125</v>
      </c>
      <c r="G91" s="63" t="n">
        <v>0.16</v>
      </c>
      <c r="H91" s="63" t="n">
        <v>0.384907436629</v>
      </c>
      <c r="I91" s="63" t="n">
        <v>0.48829287048</v>
      </c>
      <c r="J91" s="63" t="n">
        <v>0.281522002778</v>
      </c>
      <c r="K91" s="63" t="n">
        <v>283.87</v>
      </c>
      <c r="L91" s="63" t="n">
        <v>280.38</v>
      </c>
      <c r="M91" s="63" t="n">
        <v>283.87</v>
      </c>
      <c r="N91" s="54">
        <f>(M92-M91)/M91</f>
        <v/>
      </c>
      <c r="O91" s="54">
        <f>(M95-M91)/M91</f>
        <v/>
      </c>
      <c r="P91" s="4">
        <f>B91-D91</f>
        <v/>
      </c>
      <c r="Q91" s="4">
        <f>AVERAGE(P88:P91)</f>
        <v/>
      </c>
      <c r="R91" s="54">
        <f>(M92-M91)/M91</f>
        <v/>
      </c>
      <c r="S91" s="54">
        <f>(M95-M91)/M91</f>
        <v/>
      </c>
      <c r="T91" s="63">
        <f>IF(R91&gt;0,1,"")</f>
        <v/>
      </c>
      <c r="U91" s="63">
        <f>IF(S91&gt;0,1,"")</f>
        <v/>
      </c>
    </row>
    <row r="92">
      <c r="A92" s="35" t="n">
        <v>32528</v>
      </c>
      <c r="B92" s="4" t="n">
        <v>0.36</v>
      </c>
      <c r="C92" s="4" t="n">
        <v>0.47</v>
      </c>
      <c r="D92" s="4" t="n">
        <v>0.17</v>
      </c>
      <c r="E92" s="63" t="n">
        <v>1</v>
      </c>
      <c r="F92" s="63" t="n">
        <v>0.255</v>
      </c>
      <c r="G92" s="63" t="n">
        <v>0.19</v>
      </c>
      <c r="H92" s="63" t="n">
        <v>0.384907436629</v>
      </c>
      <c r="I92" s="63" t="n">
        <v>0.48829287048</v>
      </c>
      <c r="J92" s="63" t="n">
        <v>0.281522002778</v>
      </c>
      <c r="K92" s="63" t="n">
        <v>286.9</v>
      </c>
      <c r="L92" s="63" t="n">
        <v>283.55</v>
      </c>
      <c r="M92" s="63" t="n">
        <v>286.63</v>
      </c>
      <c r="N92" s="54">
        <f>(M93-M92)/M92</f>
        <v/>
      </c>
      <c r="O92" s="54">
        <f>(M96-M92)/M92</f>
        <v/>
      </c>
      <c r="P92" s="4">
        <f>B92-D92</f>
        <v/>
      </c>
      <c r="Q92" s="4">
        <f>AVERAGE(P89:P92)</f>
        <v/>
      </c>
      <c r="R92" s="54">
        <f>(M93-M92)/M92</f>
        <v/>
      </c>
      <c r="S92" s="54">
        <f>(M96-M92)/M92</f>
        <v/>
      </c>
      <c r="T92" s="63">
        <f>IF(R92&gt;0,1,"")</f>
        <v/>
      </c>
      <c r="U92" s="63">
        <f>IF(S92&gt;0,1,"")</f>
        <v/>
      </c>
    </row>
    <row r="93">
      <c r="A93" s="35" t="n">
        <v>32535</v>
      </c>
      <c r="B93" s="4" t="n">
        <v>0.32</v>
      </c>
      <c r="C93" s="4" t="n">
        <v>0.49</v>
      </c>
      <c r="D93" s="4" t="n">
        <v>0.19</v>
      </c>
      <c r="E93" s="63" t="n">
        <v>1</v>
      </c>
      <c r="F93" s="63" t="n">
        <v>0.27125</v>
      </c>
      <c r="G93" s="63" t="n">
        <v>0.13</v>
      </c>
      <c r="H93" s="63" t="n">
        <v>0.384907436629</v>
      </c>
      <c r="I93" s="63" t="n">
        <v>0.48829287048</v>
      </c>
      <c r="J93" s="63" t="n">
        <v>0.281522002778</v>
      </c>
      <c r="K93" s="63" t="n">
        <v>293.82</v>
      </c>
      <c r="L93" s="63" t="n">
        <v>284.5</v>
      </c>
      <c r="M93" s="63" t="n">
        <v>293.82</v>
      </c>
      <c r="N93" s="54">
        <f>(M94-M93)/M93</f>
        <v/>
      </c>
      <c r="O93" s="54">
        <f>(M97-M93)/M93</f>
        <v/>
      </c>
      <c r="P93" s="4">
        <f>B93-D93</f>
        <v/>
      </c>
      <c r="Q93" s="4">
        <f>AVERAGE(P90:P93)</f>
        <v/>
      </c>
      <c r="R93" s="54">
        <f>(M94-M93)/M93</f>
        <v/>
      </c>
      <c r="S93" s="54">
        <f>(M97-M93)/M93</f>
        <v/>
      </c>
      <c r="T93" s="63">
        <f>IF(R93&gt;0,1,"")</f>
        <v/>
      </c>
      <c r="U93" s="63">
        <f>IF(S93&gt;0,1,"")</f>
        <v/>
      </c>
    </row>
    <row r="94">
      <c r="A94" s="35" t="n">
        <v>32542</v>
      </c>
      <c r="B94" s="4" t="n">
        <v>0.33</v>
      </c>
      <c r="C94" s="4" t="n">
        <v>0.44</v>
      </c>
      <c r="D94" s="4" t="n">
        <v>0.23</v>
      </c>
      <c r="E94" s="63" t="n">
        <v>1</v>
      </c>
      <c r="F94" s="63" t="n">
        <v>0.29125</v>
      </c>
      <c r="G94" s="63" t="n">
        <v>0.1</v>
      </c>
      <c r="H94" s="63" t="n">
        <v>0.384907436629</v>
      </c>
      <c r="I94" s="63" t="n">
        <v>0.48829287048</v>
      </c>
      <c r="J94" s="63" t="n">
        <v>0.281522002778</v>
      </c>
      <c r="K94" s="63" t="n">
        <v>297.47</v>
      </c>
      <c r="L94" s="63" t="n">
        <v>294.99</v>
      </c>
      <c r="M94" s="63" t="n">
        <v>296.97</v>
      </c>
      <c r="N94" s="54">
        <f>(M95-M94)/M94</f>
        <v/>
      </c>
      <c r="O94" s="54">
        <f>(M98-M94)/M94</f>
        <v/>
      </c>
      <c r="P94" s="4">
        <f>B94-D94</f>
        <v/>
      </c>
      <c r="Q94" s="4">
        <f>AVERAGE(P91:P94)</f>
        <v/>
      </c>
      <c r="R94" s="54">
        <f>(M95-M94)/M94</f>
        <v/>
      </c>
      <c r="S94" s="54">
        <f>(M98-M94)/M94</f>
        <v/>
      </c>
      <c r="T94" s="63">
        <f>IF(R94&gt;0,1,"")</f>
        <v/>
      </c>
      <c r="U94" s="63">
        <f>IF(S94&gt;0,1,"")</f>
        <v/>
      </c>
    </row>
    <row r="95">
      <c r="A95" s="35" t="n">
        <v>32549</v>
      </c>
      <c r="B95" s="4" t="n">
        <v>0.43</v>
      </c>
      <c r="C95" s="4" t="n">
        <v>0.31</v>
      </c>
      <c r="D95" s="4" t="n">
        <v>0.26</v>
      </c>
      <c r="E95" s="63" t="n">
        <v>1</v>
      </c>
      <c r="F95" s="63" t="n">
        <v>0.315</v>
      </c>
      <c r="G95" s="63" t="n">
        <v>0.17</v>
      </c>
      <c r="H95" s="63" t="n">
        <v>0.384907436629</v>
      </c>
      <c r="I95" s="63" t="n">
        <v>0.48829287048</v>
      </c>
      <c r="J95" s="63" t="n">
        <v>0.281522002778</v>
      </c>
      <c r="K95" s="63" t="n">
        <v>299.63</v>
      </c>
      <c r="L95" s="63" t="n">
        <v>292.02</v>
      </c>
      <c r="M95" s="63" t="n">
        <v>292.02</v>
      </c>
      <c r="N95" s="54">
        <f>(M96-M95)/M95</f>
        <v/>
      </c>
      <c r="O95" s="54">
        <f>(M99-M95)/M95</f>
        <v/>
      </c>
      <c r="P95" s="4">
        <f>B95-D95</f>
        <v/>
      </c>
      <c r="Q95" s="4">
        <f>AVERAGE(P92:P95)</f>
        <v/>
      </c>
      <c r="R95" s="54">
        <f>(M96-M95)/M95</f>
        <v/>
      </c>
      <c r="S95" s="54">
        <f>(M99-M95)/M95</f>
        <v/>
      </c>
      <c r="T95" s="63">
        <f>IF(R95&gt;0,1,"")</f>
        <v/>
      </c>
      <c r="U95" s="63">
        <f>IF(S95&gt;0,1,"")</f>
        <v/>
      </c>
    </row>
    <row r="96">
      <c r="A96" s="35" t="n">
        <v>32556</v>
      </c>
      <c r="B96" s="4" t="n">
        <v>0.42</v>
      </c>
      <c r="C96" s="4" t="n">
        <v>0.41</v>
      </c>
      <c r="D96" s="4" t="n">
        <v>0.17</v>
      </c>
      <c r="E96" s="63" t="n">
        <v>1</v>
      </c>
      <c r="F96" s="63" t="n">
        <v>0.34</v>
      </c>
      <c r="G96" s="63" t="n">
        <v>0.25</v>
      </c>
      <c r="H96" s="63" t="n">
        <v>0.384907436629</v>
      </c>
      <c r="I96" s="63" t="n">
        <v>0.48829287048</v>
      </c>
      <c r="J96" s="63" t="n">
        <v>0.281522002778</v>
      </c>
      <c r="K96" s="63" t="n">
        <v>296.76</v>
      </c>
      <c r="L96" s="63" t="n">
        <v>291.81</v>
      </c>
      <c r="M96" s="63" t="n">
        <v>296.76</v>
      </c>
      <c r="N96" s="54">
        <f>(M97-M96)/M96</f>
        <v/>
      </c>
      <c r="O96" s="54">
        <f>(M100-M96)/M96</f>
        <v/>
      </c>
      <c r="P96" s="4">
        <f>B96-D96</f>
        <v/>
      </c>
      <c r="Q96" s="4">
        <f>AVERAGE(P93:P96)</f>
        <v/>
      </c>
      <c r="R96" s="54">
        <f>(M97-M96)/M96</f>
        <v/>
      </c>
      <c r="S96" s="54">
        <f>(M100-M96)/M96</f>
        <v/>
      </c>
      <c r="T96" s="63">
        <f>IF(R96&gt;0,1,"")</f>
        <v/>
      </c>
      <c r="U96" s="63">
        <f>IF(S96&gt;0,1,"")</f>
        <v/>
      </c>
    </row>
    <row r="97">
      <c r="A97" s="35" t="n">
        <v>32563</v>
      </c>
      <c r="B97" s="4" t="n">
        <v>0.29</v>
      </c>
      <c r="C97" s="4" t="n">
        <v>0.45</v>
      </c>
      <c r="D97" s="4" t="n">
        <v>0.26</v>
      </c>
      <c r="E97" s="63" t="n">
        <v>1</v>
      </c>
      <c r="F97" s="63" t="n">
        <v>0.34625</v>
      </c>
      <c r="G97" s="63" t="n">
        <v>0.03</v>
      </c>
      <c r="H97" s="63" t="n">
        <v>0.384907436629</v>
      </c>
      <c r="I97" s="63" t="n">
        <v>0.48829287048</v>
      </c>
      <c r="J97" s="63" t="n">
        <v>0.281522002778</v>
      </c>
      <c r="K97" s="63" t="n">
        <v>295.98</v>
      </c>
      <c r="L97" s="63" t="n">
        <v>287.13</v>
      </c>
      <c r="M97" s="63" t="n">
        <v>287.13</v>
      </c>
      <c r="N97" s="54">
        <f>(M98-M97)/M97</f>
        <v/>
      </c>
      <c r="O97" s="54">
        <f>(M101-M97)/M97</f>
        <v/>
      </c>
      <c r="P97" s="4">
        <f>B97-D97</f>
        <v/>
      </c>
      <c r="Q97" s="4">
        <f>AVERAGE(P94:P97)</f>
        <v/>
      </c>
      <c r="R97" s="54">
        <f>(M98-M97)/M97</f>
        <v/>
      </c>
      <c r="S97" s="54">
        <f>(M101-M97)/M97</f>
        <v/>
      </c>
      <c r="T97" s="63">
        <f>IF(R97&gt;0,1,"")</f>
        <v/>
      </c>
      <c r="U97" s="63">
        <f>IF(S97&gt;0,1,"")</f>
        <v/>
      </c>
    </row>
    <row r="98">
      <c r="A98" s="35" t="n">
        <v>32570</v>
      </c>
      <c r="B98" s="4" t="n">
        <v>0.29</v>
      </c>
      <c r="C98" s="4" t="n">
        <v>0.35</v>
      </c>
      <c r="D98" s="4" t="n">
        <v>0.36</v>
      </c>
      <c r="E98" s="63" t="n">
        <v>1</v>
      </c>
      <c r="F98" s="63" t="n">
        <v>0.35</v>
      </c>
      <c r="G98" s="63" t="n">
        <v>-0.07000000000000001</v>
      </c>
      <c r="H98" s="63" t="n">
        <v>0.384907436629</v>
      </c>
      <c r="I98" s="63" t="n">
        <v>0.48829287048</v>
      </c>
      <c r="J98" s="63" t="n">
        <v>0.281522002778</v>
      </c>
      <c r="K98" s="63" t="n">
        <v>291.18</v>
      </c>
      <c r="L98" s="63" t="n">
        <v>287.11</v>
      </c>
      <c r="M98" s="63" t="n">
        <v>291.18</v>
      </c>
      <c r="N98" s="54">
        <f>(M99-M98)/M98</f>
        <v/>
      </c>
      <c r="O98" s="54">
        <f>(M102-M98)/M98</f>
        <v/>
      </c>
      <c r="P98" s="4">
        <f>B98-D98</f>
        <v/>
      </c>
      <c r="Q98" s="4">
        <f>AVERAGE(P95:P98)</f>
        <v/>
      </c>
      <c r="R98" s="54">
        <f>(M99-M98)/M98</f>
        <v/>
      </c>
      <c r="S98" s="54">
        <f>(M102-M98)/M98</f>
        <v/>
      </c>
      <c r="T98" s="63">
        <f>IF(R98&gt;0,1,"")</f>
        <v/>
      </c>
      <c r="U98" s="63">
        <f>IF(S98&gt;0,1,"")</f>
        <v/>
      </c>
    </row>
    <row r="99">
      <c r="A99" s="35" t="n">
        <v>32577</v>
      </c>
      <c r="B99" s="4" t="n">
        <v>0.13</v>
      </c>
      <c r="C99" s="4" t="n">
        <v>0.52</v>
      </c>
      <c r="D99" s="4" t="n">
        <v>0.35</v>
      </c>
      <c r="E99" s="63" t="n">
        <v>1</v>
      </c>
      <c r="F99" s="63" t="n">
        <v>0.32125</v>
      </c>
      <c r="G99" s="63" t="n">
        <v>-0.22</v>
      </c>
      <c r="H99" s="63" t="n">
        <v>0.384907436629</v>
      </c>
      <c r="I99" s="63" t="n">
        <v>0.48829287048</v>
      </c>
      <c r="J99" s="63" t="n">
        <v>0.281522002778</v>
      </c>
      <c r="K99" s="63" t="n">
        <v>294.81</v>
      </c>
      <c r="L99" s="63" t="n">
        <v>292.88</v>
      </c>
      <c r="M99" s="63" t="n">
        <v>292.88</v>
      </c>
      <c r="N99" s="54">
        <f>(M100-M99)/M99</f>
        <v/>
      </c>
      <c r="O99" s="54">
        <f>(M103-M99)/M99</f>
        <v/>
      </c>
      <c r="P99" s="4">
        <f>B99-D99</f>
        <v/>
      </c>
      <c r="Q99" s="4">
        <f>AVERAGE(P96:P99)</f>
        <v/>
      </c>
      <c r="R99" s="54">
        <f>(M100-M99)/M99</f>
        <v/>
      </c>
      <c r="S99" s="54">
        <f>(M103-M99)/M99</f>
        <v/>
      </c>
      <c r="T99" s="63">
        <f>IF(R99&gt;0,1,"")</f>
        <v/>
      </c>
      <c r="U99" s="63">
        <f>IF(S99&gt;0,1,"")</f>
        <v/>
      </c>
    </row>
    <row r="100">
      <c r="A100" s="35" t="n">
        <v>32584</v>
      </c>
      <c r="B100" s="4" t="n">
        <v>0.28</v>
      </c>
      <c r="C100" s="4" t="n">
        <v>0.43</v>
      </c>
      <c r="D100" s="4" t="n">
        <v>0.29</v>
      </c>
      <c r="E100" s="63" t="n">
        <v>1</v>
      </c>
      <c r="F100" s="63" t="n">
        <v>0.31125</v>
      </c>
      <c r="G100" s="63" t="n">
        <v>-0.01</v>
      </c>
      <c r="H100" s="63" t="n">
        <v>0.384907436629</v>
      </c>
      <c r="I100" s="63" t="n">
        <v>0.48829287048</v>
      </c>
      <c r="J100" s="63" t="n">
        <v>0.281522002778</v>
      </c>
      <c r="K100" s="63" t="n">
        <v>299.44</v>
      </c>
      <c r="L100" s="63" t="n">
        <v>292.69</v>
      </c>
      <c r="M100" s="63" t="n">
        <v>292.69</v>
      </c>
      <c r="N100" s="54">
        <f>(M101-M100)/M100</f>
        <v/>
      </c>
      <c r="O100" s="54">
        <f>(M104-M100)/M100</f>
        <v/>
      </c>
      <c r="P100" s="4">
        <f>B100-D100</f>
        <v/>
      </c>
      <c r="Q100" s="4">
        <f>AVERAGE(P97:P100)</f>
        <v/>
      </c>
      <c r="R100" s="54">
        <f>(M101-M100)/M100</f>
        <v/>
      </c>
      <c r="S100" s="54">
        <f>(M104-M100)/M100</f>
        <v/>
      </c>
      <c r="T100" s="63">
        <f>IF(R100&gt;0,1,"")</f>
        <v/>
      </c>
      <c r="U100" s="63">
        <f>IF(S100&gt;0,1,"")</f>
        <v/>
      </c>
    </row>
    <row r="101">
      <c r="A101" s="35" t="n">
        <v>32590</v>
      </c>
      <c r="B101" s="4" t="n">
        <v>0.29</v>
      </c>
      <c r="C101" s="4" t="n">
        <v>0.41</v>
      </c>
      <c r="D101" s="4" t="n">
        <v>0.3</v>
      </c>
      <c r="E101" s="63" t="n">
        <v>1</v>
      </c>
      <c r="F101" s="63" t="n">
        <v>0.3075</v>
      </c>
      <c r="G101" s="63" t="n">
        <v>-0.01</v>
      </c>
      <c r="H101" s="63" t="n">
        <v>0.384907436629</v>
      </c>
      <c r="I101" s="63" t="n">
        <v>0.48829287048</v>
      </c>
      <c r="J101" s="63" t="n">
        <v>0.281522002778</v>
      </c>
      <c r="K101" s="63" t="n">
        <v>291.33</v>
      </c>
      <c r="L101" s="63" t="n">
        <v>288.98</v>
      </c>
      <c r="M101" s="63" t="n">
        <v>288.98</v>
      </c>
      <c r="N101" s="54">
        <f>(M102-M101)/M101</f>
        <v/>
      </c>
      <c r="O101" s="54">
        <f>(M105-M101)/M101</f>
        <v/>
      </c>
      <c r="P101" s="4">
        <f>B101-D101</f>
        <v/>
      </c>
      <c r="Q101" s="4">
        <f>AVERAGE(P98:P101)</f>
        <v/>
      </c>
      <c r="R101" s="54">
        <f>(M102-M101)/M101</f>
        <v/>
      </c>
      <c r="S101" s="54">
        <f>(M105-M101)/M101</f>
        <v/>
      </c>
      <c r="T101" s="63">
        <f>IF(R101&gt;0,1,"")</f>
        <v/>
      </c>
      <c r="U101" s="63">
        <f>IF(S101&gt;0,1,"")</f>
        <v/>
      </c>
    </row>
    <row r="102">
      <c r="A102" s="35" t="n">
        <v>32598</v>
      </c>
      <c r="B102" s="4" t="n">
        <v>0.18</v>
      </c>
      <c r="C102" s="4" t="n">
        <v>0.42</v>
      </c>
      <c r="D102" s="4" t="n">
        <v>0.4</v>
      </c>
      <c r="E102" s="63" t="n">
        <v>1</v>
      </c>
      <c r="F102" s="63" t="n">
        <v>0.28875</v>
      </c>
      <c r="G102" s="63" t="n">
        <v>-0.22</v>
      </c>
      <c r="H102" s="63" t="n">
        <v>0.384907436629</v>
      </c>
      <c r="I102" s="63" t="n">
        <v>0.48829287048</v>
      </c>
      <c r="J102" s="63" t="n">
        <v>0.281522002778</v>
      </c>
      <c r="K102" s="63" t="n">
        <v>294.87</v>
      </c>
      <c r="L102" s="63" t="n">
        <v>290.57</v>
      </c>
      <c r="M102" s="63" t="n">
        <v>294.87</v>
      </c>
      <c r="N102" s="54">
        <f>(M103-M102)/M102</f>
        <v/>
      </c>
      <c r="O102" s="54">
        <f>(M106-M102)/M102</f>
        <v/>
      </c>
      <c r="P102" s="4">
        <f>B102-D102</f>
        <v/>
      </c>
      <c r="Q102" s="4">
        <f>AVERAGE(P99:P102)</f>
        <v/>
      </c>
      <c r="R102" s="54">
        <f>(M103-M102)/M102</f>
        <v/>
      </c>
      <c r="S102" s="54">
        <f>(M106-M102)/M102</f>
        <v/>
      </c>
      <c r="T102" s="63">
        <f>IF(R102&gt;0,1,"")</f>
        <v/>
      </c>
      <c r="U102" s="63">
        <f>IF(S102&gt;0,1,"")</f>
        <v/>
      </c>
    </row>
    <row r="103">
      <c r="A103" s="35" t="n">
        <v>32605</v>
      </c>
      <c r="B103" s="4" t="n">
        <v>0.23</v>
      </c>
      <c r="C103" s="4" t="n">
        <v>0.45</v>
      </c>
      <c r="D103" s="4" t="n">
        <v>0.32</v>
      </c>
      <c r="E103" s="63" t="n">
        <v>1</v>
      </c>
      <c r="F103" s="63" t="n">
        <v>0.26375</v>
      </c>
      <c r="G103" s="63" t="n">
        <v>-0.09</v>
      </c>
      <c r="H103" s="63" t="n">
        <v>0.384907436629</v>
      </c>
      <c r="I103" s="63" t="n">
        <v>0.48829287048</v>
      </c>
      <c r="J103" s="63" t="n">
        <v>0.281522002778</v>
      </c>
      <c r="K103" s="63" t="n">
        <v>297.16</v>
      </c>
      <c r="L103" s="63" t="n">
        <v>295.29</v>
      </c>
      <c r="M103" s="63" t="n">
        <v>297.16</v>
      </c>
      <c r="N103" s="54">
        <f>(M104-M103)/M103</f>
        <v/>
      </c>
      <c r="O103" s="54">
        <f>(M107-M103)/M103</f>
        <v/>
      </c>
      <c r="P103" s="4">
        <f>B103-D103</f>
        <v/>
      </c>
      <c r="Q103" s="4">
        <f>AVERAGE(P100:P103)</f>
        <v/>
      </c>
      <c r="R103" s="54">
        <f>(M104-M103)/M103</f>
        <v/>
      </c>
      <c r="S103" s="54">
        <f>(M107-M103)/M103</f>
        <v/>
      </c>
      <c r="T103" s="63">
        <f>IF(R103&gt;0,1,"")</f>
        <v/>
      </c>
      <c r="U103" s="63">
        <f>IF(S103&gt;0,1,"")</f>
        <v/>
      </c>
    </row>
    <row r="104">
      <c r="A104" s="35" t="n">
        <v>32612</v>
      </c>
      <c r="B104" s="4" t="n">
        <v>0.25</v>
      </c>
      <c r="C104" s="4" t="n">
        <v>0.42</v>
      </c>
      <c r="D104" s="4" t="n">
        <v>0.33</v>
      </c>
      <c r="E104" s="63" t="n">
        <v>1</v>
      </c>
      <c r="F104" s="63" t="n">
        <v>0.2425</v>
      </c>
      <c r="G104" s="63" t="n">
        <v>-0.08</v>
      </c>
      <c r="H104" s="63" t="n">
        <v>0.384907436629</v>
      </c>
      <c r="I104" s="63" t="n">
        <v>0.48829287048</v>
      </c>
      <c r="J104" s="63" t="n">
        <v>0.281522002778</v>
      </c>
      <c r="K104" s="63" t="n">
        <v>301.36</v>
      </c>
      <c r="L104" s="63" t="n">
        <v>297.11</v>
      </c>
      <c r="M104" s="63" t="n">
        <v>301.36</v>
      </c>
      <c r="N104" s="54">
        <f>(M105-M104)/M104</f>
        <v/>
      </c>
      <c r="O104" s="54">
        <f>(M108-M104)/M104</f>
        <v/>
      </c>
      <c r="P104" s="4">
        <f>B104-D104</f>
        <v/>
      </c>
      <c r="Q104" s="4">
        <f>AVERAGE(P101:P104)</f>
        <v/>
      </c>
      <c r="R104" s="54">
        <f>(M105-M104)/M104</f>
        <v/>
      </c>
      <c r="S104" s="54">
        <f>(M108-M104)/M104</f>
        <v/>
      </c>
      <c r="T104" s="63">
        <f>IF(R104&gt;0,1,"")</f>
        <v/>
      </c>
      <c r="U104" s="63">
        <f>IF(S104&gt;0,1,"")</f>
        <v/>
      </c>
    </row>
    <row r="105">
      <c r="A105" s="35" t="n">
        <v>32619</v>
      </c>
      <c r="B105" s="4" t="n">
        <v>0.21</v>
      </c>
      <c r="C105" s="4" t="n">
        <v>0.51</v>
      </c>
      <c r="D105" s="4" t="n">
        <v>0.28</v>
      </c>
      <c r="E105" s="63" t="n">
        <v>1</v>
      </c>
      <c r="F105" s="63" t="n">
        <v>0.2325</v>
      </c>
      <c r="G105" s="63" t="n">
        <v>-0.07000000000000001</v>
      </c>
      <c r="H105" s="63" t="n">
        <v>0.384907436629</v>
      </c>
      <c r="I105" s="63" t="n">
        <v>0.48829287048</v>
      </c>
      <c r="J105" s="63" t="n">
        <v>0.281522002778</v>
      </c>
      <c r="K105" s="63" t="n">
        <v>309.61</v>
      </c>
      <c r="L105" s="63" t="n">
        <v>301.72</v>
      </c>
      <c r="M105" s="63" t="n">
        <v>309.61</v>
      </c>
      <c r="N105" s="54">
        <f>(M106-M105)/M105</f>
        <v/>
      </c>
      <c r="O105" s="54">
        <f>(M109-M105)/M105</f>
        <v/>
      </c>
      <c r="P105" s="4">
        <f>B105-D105</f>
        <v/>
      </c>
      <c r="Q105" s="4">
        <f>AVERAGE(P102:P105)</f>
        <v/>
      </c>
      <c r="R105" s="54">
        <f>(M106-M105)/M105</f>
        <v/>
      </c>
      <c r="S105" s="54">
        <f>(M109-M105)/M105</f>
        <v/>
      </c>
      <c r="T105" s="63">
        <f>IF(R105&gt;0,1,"")</f>
        <v/>
      </c>
      <c r="U105" s="63">
        <f>IF(S105&gt;0,1,"")</f>
        <v/>
      </c>
    </row>
    <row r="106">
      <c r="A106" s="35" t="n">
        <v>32626</v>
      </c>
      <c r="B106" s="4" t="n">
        <v>0.31</v>
      </c>
      <c r="C106" s="4" t="n">
        <v>0.4</v>
      </c>
      <c r="D106" s="4" t="n">
        <v>0.29</v>
      </c>
      <c r="E106" s="63" t="n">
        <v>1</v>
      </c>
      <c r="F106" s="63" t="n">
        <v>0.235</v>
      </c>
      <c r="G106" s="63" t="n">
        <v>0.02</v>
      </c>
      <c r="H106" s="63" t="n">
        <v>0.384907436629</v>
      </c>
      <c r="I106" s="63" t="n">
        <v>0.48829287048</v>
      </c>
      <c r="J106" s="63" t="n">
        <v>0.281522002778</v>
      </c>
      <c r="K106" s="63" t="n">
        <v>309.64</v>
      </c>
      <c r="L106" s="63" t="n">
        <v>306.75</v>
      </c>
      <c r="M106" s="63" t="n">
        <v>309.64</v>
      </c>
      <c r="N106" s="54">
        <f>(M107-M106)/M106</f>
        <v/>
      </c>
      <c r="O106" s="54">
        <f>(M110-M106)/M106</f>
        <v/>
      </c>
      <c r="P106" s="4">
        <f>B106-D106</f>
        <v/>
      </c>
      <c r="Q106" s="4">
        <f>AVERAGE(P103:P106)</f>
        <v/>
      </c>
      <c r="R106" s="54">
        <f>(M107-M106)/M106</f>
        <v/>
      </c>
      <c r="S106" s="54">
        <f>(M110-M106)/M106</f>
        <v/>
      </c>
      <c r="T106" s="63">
        <f>IF(R106&gt;0,1,"")</f>
        <v/>
      </c>
      <c r="U106" s="63">
        <f>IF(S106&gt;0,1,"")</f>
        <v/>
      </c>
    </row>
    <row r="107">
      <c r="A107" s="35" t="n">
        <v>32633</v>
      </c>
      <c r="B107" s="4" t="n">
        <v>0.3</v>
      </c>
      <c r="C107" s="4" t="n">
        <v>0.4</v>
      </c>
      <c r="D107" s="4" t="n">
        <v>0.3</v>
      </c>
      <c r="E107" s="63" t="n">
        <v>1</v>
      </c>
      <c r="F107" s="63" t="n">
        <v>0.25625</v>
      </c>
      <c r="G107" s="63" t="n">
        <v>0</v>
      </c>
      <c r="H107" s="63" t="n">
        <v>0.384907436629</v>
      </c>
      <c r="I107" s="63" t="n">
        <v>0.48829287048</v>
      </c>
      <c r="J107" s="63" t="n">
        <v>0.281522002778</v>
      </c>
      <c r="K107" s="63" t="n">
        <v>309.12</v>
      </c>
      <c r="L107" s="63" t="n">
        <v>307.61</v>
      </c>
      <c r="M107" s="63" t="n">
        <v>307.61</v>
      </c>
      <c r="N107" s="54">
        <f>(M108-M107)/M107</f>
        <v/>
      </c>
      <c r="O107" s="54">
        <f>(M111-M107)/M107</f>
        <v/>
      </c>
      <c r="P107" s="4">
        <f>B107-D107</f>
        <v/>
      </c>
      <c r="Q107" s="4">
        <f>AVERAGE(P104:P107)</f>
        <v/>
      </c>
      <c r="R107" s="54">
        <f>(M108-M107)/M107</f>
        <v/>
      </c>
      <c r="S107" s="54">
        <f>(M111-M107)/M107</f>
        <v/>
      </c>
      <c r="T107" s="63">
        <f>IF(R107&gt;0,1,"")</f>
        <v/>
      </c>
      <c r="U107" s="63">
        <f>IF(S107&gt;0,1,"")</f>
        <v/>
      </c>
    </row>
    <row r="108">
      <c r="A108" s="35" t="n">
        <v>32640</v>
      </c>
      <c r="B108" s="4" t="n">
        <v>0.38</v>
      </c>
      <c r="C108" s="4" t="n">
        <v>0.43</v>
      </c>
      <c r="D108" s="4" t="n">
        <v>0.19</v>
      </c>
      <c r="E108" s="63" t="n">
        <v>1</v>
      </c>
      <c r="F108" s="63" t="n">
        <v>0.26875</v>
      </c>
      <c r="G108" s="63" t="n">
        <v>0.19</v>
      </c>
      <c r="H108" s="63" t="n">
        <v>0.384907436629</v>
      </c>
      <c r="I108" s="63" t="n">
        <v>0.48829287048</v>
      </c>
      <c r="J108" s="63" t="n">
        <v>0.281522002778</v>
      </c>
      <c r="K108" s="63" t="n">
        <v>313.84</v>
      </c>
      <c r="L108" s="63" t="n">
        <v>305.19</v>
      </c>
      <c r="M108" s="63" t="n">
        <v>313.84</v>
      </c>
      <c r="N108" s="54">
        <f>(M109-M108)/M108</f>
        <v/>
      </c>
      <c r="O108" s="54">
        <f>(M112-M108)/M108</f>
        <v/>
      </c>
      <c r="P108" s="4">
        <f>B108-D108</f>
        <v/>
      </c>
      <c r="Q108" s="4">
        <f>AVERAGE(P105:P108)</f>
        <v/>
      </c>
      <c r="R108" s="54">
        <f>(M109-M108)/M108</f>
        <v/>
      </c>
      <c r="S108" s="54">
        <f>(M112-M108)/M108</f>
        <v/>
      </c>
      <c r="T108" s="63">
        <f>IF(R108&gt;0,1,"")</f>
        <v/>
      </c>
      <c r="U108" s="63">
        <f>IF(S108&gt;0,1,"")</f>
        <v/>
      </c>
    </row>
    <row r="109">
      <c r="A109" s="35" t="n">
        <v>32647</v>
      </c>
      <c r="B109" s="4" t="n">
        <v>0.43</v>
      </c>
      <c r="C109" s="4" t="n">
        <v>0.38</v>
      </c>
      <c r="D109" s="4" t="n">
        <v>0.19</v>
      </c>
      <c r="E109" s="63" t="n">
        <v>1</v>
      </c>
      <c r="F109" s="63" t="n">
        <v>0.28625</v>
      </c>
      <c r="G109" s="63" t="n">
        <v>0.24</v>
      </c>
      <c r="H109" s="63" t="n">
        <v>0.384907436629</v>
      </c>
      <c r="I109" s="63" t="n">
        <v>0.48829287048</v>
      </c>
      <c r="J109" s="63" t="n">
        <v>0.281522002778</v>
      </c>
      <c r="K109" s="63" t="n">
        <v>321.24</v>
      </c>
      <c r="L109" s="63" t="n">
        <v>315.28</v>
      </c>
      <c r="M109" s="63" t="n">
        <v>321.24</v>
      </c>
      <c r="N109" s="54">
        <f>(M110-M109)/M109</f>
        <v/>
      </c>
      <c r="O109" s="54">
        <f>(M113-M109)/M109</f>
        <v/>
      </c>
      <c r="P109" s="4">
        <f>B109-D109</f>
        <v/>
      </c>
      <c r="Q109" s="4">
        <f>AVERAGE(P106:P109)</f>
        <v/>
      </c>
      <c r="R109" s="54">
        <f>(M110-M109)/M109</f>
        <v/>
      </c>
      <c r="S109" s="54">
        <f>(M113-M109)/M109</f>
        <v/>
      </c>
      <c r="T109" s="63">
        <f>IF(R109&gt;0,1,"")</f>
        <v/>
      </c>
      <c r="U109" s="63">
        <f>IF(S109&gt;0,1,"")</f>
        <v/>
      </c>
    </row>
    <row r="110">
      <c r="A110" s="35" t="n">
        <v>32654</v>
      </c>
      <c r="B110" s="4" t="n">
        <v>0.48</v>
      </c>
      <c r="C110" s="4" t="n">
        <v>0.31</v>
      </c>
      <c r="D110" s="4" t="n">
        <v>0.21</v>
      </c>
      <c r="E110" s="63" t="n">
        <v>1</v>
      </c>
      <c r="F110" s="63" t="n">
        <v>0.32375</v>
      </c>
      <c r="G110" s="63" t="n">
        <v>0.27</v>
      </c>
      <c r="H110" s="63" t="n">
        <v>0.384907436629</v>
      </c>
      <c r="I110" s="63" t="n">
        <v>0.48829287048</v>
      </c>
      <c r="J110" s="63" t="n">
        <v>0.281522002778</v>
      </c>
      <c r="K110" s="63" t="n">
        <v>321.98</v>
      </c>
      <c r="L110" s="63" t="n">
        <v>318.32</v>
      </c>
      <c r="M110" s="63" t="n">
        <v>321.59</v>
      </c>
      <c r="N110" s="54">
        <f>(M111-M110)/M110</f>
        <v/>
      </c>
      <c r="O110" s="54">
        <f>(M114-M110)/M110</f>
        <v/>
      </c>
      <c r="P110" s="4">
        <f>B110-D110</f>
        <v/>
      </c>
      <c r="Q110" s="4">
        <f>AVERAGE(P107:P110)</f>
        <v/>
      </c>
      <c r="R110" s="54">
        <f>(M111-M110)/M110</f>
        <v/>
      </c>
      <c r="S110" s="54">
        <f>(M114-M110)/M110</f>
        <v/>
      </c>
      <c r="T110" s="63">
        <f>IF(R110&gt;0,1,"")</f>
        <v/>
      </c>
      <c r="U110" s="63">
        <f>IF(S110&gt;0,1,"")</f>
        <v/>
      </c>
    </row>
    <row r="111">
      <c r="A111" s="35" t="n">
        <v>32661</v>
      </c>
      <c r="B111" s="4" t="n">
        <v>0.42</v>
      </c>
      <c r="C111" s="4" t="n">
        <v>0.27</v>
      </c>
      <c r="D111" s="4" t="n">
        <v>0.31</v>
      </c>
      <c r="E111" s="63" t="n">
        <v>1</v>
      </c>
      <c r="F111" s="63" t="n">
        <v>0.3475</v>
      </c>
      <c r="G111" s="63" t="n">
        <v>0.11</v>
      </c>
      <c r="H111" s="63" t="n">
        <v>0.384907436629</v>
      </c>
      <c r="I111" s="63" t="n">
        <v>0.48829287048</v>
      </c>
      <c r="J111" s="63" t="n">
        <v>0.281522002778</v>
      </c>
      <c r="K111" s="63" t="n">
        <v>325.52</v>
      </c>
      <c r="L111" s="63" t="n">
        <v>319.05</v>
      </c>
      <c r="M111" s="63" t="n">
        <v>325.52</v>
      </c>
      <c r="N111" s="54">
        <f>(M112-M111)/M111</f>
        <v/>
      </c>
      <c r="O111" s="54">
        <f>(M115-M111)/M111</f>
        <v/>
      </c>
      <c r="P111" s="4">
        <f>B111-D111</f>
        <v/>
      </c>
      <c r="Q111" s="4">
        <f>AVERAGE(P108:P111)</f>
        <v/>
      </c>
      <c r="R111" s="54">
        <f>(M112-M111)/M111</f>
        <v/>
      </c>
      <c r="S111" s="54">
        <f>(M115-M111)/M111</f>
        <v/>
      </c>
      <c r="T111" s="63">
        <f>IF(R111&gt;0,1,"")</f>
        <v/>
      </c>
      <c r="U111" s="63">
        <f>IF(S111&gt;0,1,"")</f>
        <v/>
      </c>
    </row>
    <row r="112">
      <c r="A112" s="35" t="n">
        <v>32668</v>
      </c>
      <c r="B112" s="4" t="n">
        <v>0.43</v>
      </c>
      <c r="C112" s="4" t="n">
        <v>0.34</v>
      </c>
      <c r="D112" s="4" t="n">
        <v>0.23</v>
      </c>
      <c r="E112" s="63" t="n">
        <v>1</v>
      </c>
      <c r="F112" s="63" t="n">
        <v>0.37</v>
      </c>
      <c r="G112" s="63" t="n">
        <v>0.2</v>
      </c>
      <c r="H112" s="63" t="n">
        <v>0.384907436629</v>
      </c>
      <c r="I112" s="63" t="n">
        <v>0.48829287048</v>
      </c>
      <c r="J112" s="63" t="n">
        <v>0.281522002778</v>
      </c>
      <c r="K112" s="63" t="n">
        <v>326.95</v>
      </c>
      <c r="L112" s="63" t="n">
        <v>322.03</v>
      </c>
      <c r="M112" s="63" t="n">
        <v>326.69</v>
      </c>
      <c r="N112" s="54">
        <f>(M113-M112)/M112</f>
        <v/>
      </c>
      <c r="O112" s="54">
        <f>(M116-M112)/M112</f>
        <v/>
      </c>
      <c r="P112" s="4">
        <f>B112-D112</f>
        <v/>
      </c>
      <c r="Q112" s="4">
        <f>AVERAGE(P109:P112)</f>
        <v/>
      </c>
      <c r="R112" s="54">
        <f>(M113-M112)/M112</f>
        <v/>
      </c>
      <c r="S112" s="54">
        <f>(M116-M112)/M112</f>
        <v/>
      </c>
      <c r="T112" s="63">
        <f>IF(R112&gt;0,1,"")</f>
        <v/>
      </c>
      <c r="U112" s="63">
        <f>IF(S112&gt;0,1,"")</f>
        <v/>
      </c>
    </row>
    <row r="113">
      <c r="A113" s="35" t="n">
        <v>32675</v>
      </c>
      <c r="B113" s="4" t="n">
        <v>0.32</v>
      </c>
      <c r="C113" s="4" t="n">
        <v>0.37</v>
      </c>
      <c r="D113" s="4" t="n">
        <v>0.31</v>
      </c>
      <c r="E113" s="63" t="n">
        <v>1</v>
      </c>
      <c r="F113" s="63" t="n">
        <v>0.38375</v>
      </c>
      <c r="G113" s="63" t="n">
        <v>0.01</v>
      </c>
      <c r="H113" s="63" t="n">
        <v>0.384907436629</v>
      </c>
      <c r="I113" s="63" t="n">
        <v>0.48829287048</v>
      </c>
      <c r="J113" s="63" t="n">
        <v>0.281522002778</v>
      </c>
      <c r="K113" s="63" t="n">
        <v>326.24</v>
      </c>
      <c r="L113" s="63" t="n">
        <v>320.08</v>
      </c>
      <c r="M113" s="63" t="n">
        <v>321.35</v>
      </c>
      <c r="N113" s="54">
        <f>(M114-M113)/M113</f>
        <v/>
      </c>
      <c r="O113" s="54">
        <f>(M117-M113)/M113</f>
        <v/>
      </c>
      <c r="P113" s="4">
        <f>B113-D113</f>
        <v/>
      </c>
      <c r="Q113" s="4">
        <f>AVERAGE(P110:P113)</f>
        <v/>
      </c>
      <c r="R113" s="54">
        <f>(M114-M113)/M113</f>
        <v/>
      </c>
      <c r="S113" s="54">
        <f>(M117-M113)/M113</f>
        <v/>
      </c>
      <c r="T113" s="63">
        <f>IF(R113&gt;0,1,"")</f>
        <v/>
      </c>
      <c r="U113" s="63">
        <f>IF(S113&gt;0,1,"")</f>
        <v/>
      </c>
    </row>
    <row r="114">
      <c r="A114" s="35" t="n">
        <v>32682</v>
      </c>
      <c r="B114" s="4" t="n">
        <v>0.33</v>
      </c>
      <c r="C114" s="4" t="n">
        <v>0.22</v>
      </c>
      <c r="D114" s="4" t="n">
        <v>0.45</v>
      </c>
      <c r="E114" s="63" t="n">
        <v>1</v>
      </c>
      <c r="F114" s="63" t="n">
        <v>0.38625</v>
      </c>
      <c r="G114" s="63" t="n">
        <v>-0.12</v>
      </c>
      <c r="H114" s="63" t="n">
        <v>0.384907436629</v>
      </c>
      <c r="I114" s="63" t="n">
        <v>0.48829287048</v>
      </c>
      <c r="J114" s="63" t="n">
        <v>0.281522002778</v>
      </c>
      <c r="K114" s="63" t="n">
        <v>328</v>
      </c>
      <c r="L114" s="63" t="n">
        <v>320.48</v>
      </c>
      <c r="M114" s="63" t="n">
        <v>328</v>
      </c>
      <c r="N114" s="54">
        <f>(M115-M114)/M114</f>
        <v/>
      </c>
      <c r="O114" s="54">
        <f>(M118-M114)/M114</f>
        <v/>
      </c>
      <c r="P114" s="4">
        <f>B114-D114</f>
        <v/>
      </c>
      <c r="Q114" s="4">
        <f>AVERAGE(P111:P114)</f>
        <v/>
      </c>
      <c r="R114" s="54">
        <f>(M115-M114)/M114</f>
        <v/>
      </c>
      <c r="S114" s="54">
        <f>(M118-M114)/M114</f>
        <v/>
      </c>
      <c r="T114" s="63">
        <f>IF(R114&gt;0,1,"")</f>
        <v/>
      </c>
      <c r="U114" s="63">
        <f>IF(S114&gt;0,1,"")</f>
        <v/>
      </c>
    </row>
    <row r="115">
      <c r="A115" s="35" t="n">
        <v>32689</v>
      </c>
      <c r="B115" s="4" t="n">
        <v>0.4</v>
      </c>
      <c r="C115" s="4" t="n">
        <v>0.34</v>
      </c>
      <c r="D115" s="4" t="n">
        <v>0.26</v>
      </c>
      <c r="E115" s="63" t="n">
        <v>1</v>
      </c>
      <c r="F115" s="63" t="n">
        <v>0.39875</v>
      </c>
      <c r="G115" s="63" t="n">
        <v>0.14</v>
      </c>
      <c r="H115" s="63" t="n">
        <v>0.384907436629</v>
      </c>
      <c r="I115" s="63" t="n">
        <v>0.48829287048</v>
      </c>
      <c r="J115" s="63" t="n">
        <v>0.281522002778</v>
      </c>
      <c r="K115" s="63" t="n">
        <v>328.44</v>
      </c>
      <c r="L115" s="63" t="n">
        <v>317.98</v>
      </c>
      <c r="M115" s="63" t="n">
        <v>317.98</v>
      </c>
      <c r="N115" s="54">
        <f>(M116-M115)/M115</f>
        <v/>
      </c>
      <c r="O115" s="54">
        <f>(M119-M115)/M115</f>
        <v/>
      </c>
      <c r="P115" s="4">
        <f>B115-D115</f>
        <v/>
      </c>
      <c r="Q115" s="4">
        <f>AVERAGE(P112:P115)</f>
        <v/>
      </c>
      <c r="R115" s="54">
        <f>(M116-M115)/M115</f>
        <v/>
      </c>
      <c r="S115" s="54">
        <f>(M119-M115)/M115</f>
        <v/>
      </c>
      <c r="T115" s="63">
        <f>IF(R115&gt;0,1,"")</f>
        <v/>
      </c>
      <c r="U115" s="63">
        <f>IF(S115&gt;0,1,"")</f>
        <v/>
      </c>
    </row>
    <row r="116">
      <c r="A116" s="35" t="n">
        <v>32696</v>
      </c>
      <c r="B116" s="4" t="n">
        <v>0.37</v>
      </c>
      <c r="C116" s="4" t="n">
        <v>0.32</v>
      </c>
      <c r="D116" s="4" t="n">
        <v>0.31</v>
      </c>
      <c r="E116" s="63" t="n">
        <v>1</v>
      </c>
      <c r="F116" s="63" t="n">
        <v>0.3975</v>
      </c>
      <c r="G116" s="63" t="n">
        <v>0.06</v>
      </c>
      <c r="H116" s="63" t="n">
        <v>0.384907436629</v>
      </c>
      <c r="I116" s="63" t="n">
        <v>0.48829287048</v>
      </c>
      <c r="J116" s="63" t="n">
        <v>0.281522002778</v>
      </c>
      <c r="K116" s="63" t="n">
        <v>324.91</v>
      </c>
      <c r="L116" s="63" t="n">
        <v>319.23</v>
      </c>
      <c r="M116" s="63" t="n">
        <v>324.91</v>
      </c>
      <c r="N116" s="54">
        <f>(M117-M116)/M116</f>
        <v/>
      </c>
      <c r="O116" s="54">
        <f>(M120-M116)/M116</f>
        <v/>
      </c>
      <c r="P116" s="4">
        <f>B116-D116</f>
        <v/>
      </c>
      <c r="Q116" s="4">
        <f>AVERAGE(P113:P116)</f>
        <v/>
      </c>
      <c r="R116" s="54">
        <f>(M117-M116)/M116</f>
        <v/>
      </c>
      <c r="S116" s="54">
        <f>(M120-M116)/M116</f>
        <v/>
      </c>
      <c r="T116" s="63">
        <f>IF(R116&gt;0,1,"")</f>
        <v/>
      </c>
      <c r="U116" s="63">
        <f>IF(S116&gt;0,1,"")</f>
        <v/>
      </c>
    </row>
    <row r="117">
      <c r="A117" s="35" t="n">
        <v>32703</v>
      </c>
      <c r="B117" s="4" t="n">
        <v>0.22</v>
      </c>
      <c r="C117" s="4" t="n">
        <v>0.3</v>
      </c>
      <c r="D117" s="4" t="n">
        <v>0.48</v>
      </c>
      <c r="E117" s="63" t="n">
        <v>1</v>
      </c>
      <c r="F117" s="63" t="n">
        <v>0.37125</v>
      </c>
      <c r="G117" s="63" t="n">
        <v>-0.26</v>
      </c>
      <c r="H117" s="63" t="n">
        <v>0.384907436629</v>
      </c>
      <c r="I117" s="63" t="n">
        <v>0.48829287048</v>
      </c>
      <c r="J117" s="63" t="n">
        <v>0.281522002778</v>
      </c>
      <c r="K117" s="63" t="n">
        <v>331.84</v>
      </c>
      <c r="L117" s="63" t="n">
        <v>327.07</v>
      </c>
      <c r="M117" s="63" t="n">
        <v>331.84</v>
      </c>
      <c r="N117" s="54">
        <f>(M118-M117)/M117</f>
        <v/>
      </c>
      <c r="O117" s="54">
        <f>(M121-M117)/M117</f>
        <v/>
      </c>
      <c r="P117" s="4">
        <f>B117-D117</f>
        <v/>
      </c>
      <c r="Q117" s="4">
        <f>AVERAGE(P114:P117)</f>
        <v/>
      </c>
      <c r="R117" s="54">
        <f>(M118-M117)/M117</f>
        <v/>
      </c>
      <c r="S117" s="54">
        <f>(M121-M117)/M117</f>
        <v/>
      </c>
      <c r="T117" s="63">
        <f>IF(R117&gt;0,1,"")</f>
        <v/>
      </c>
      <c r="U117" s="63">
        <f>IF(S117&gt;0,1,"")</f>
        <v/>
      </c>
    </row>
    <row r="118">
      <c r="A118" s="35" t="n">
        <v>32710</v>
      </c>
      <c r="B118" s="4" t="n">
        <v>0.32</v>
      </c>
      <c r="C118" s="4" t="n">
        <v>0.39</v>
      </c>
      <c r="D118" s="4" t="n">
        <v>0.29</v>
      </c>
      <c r="E118" s="63" t="n">
        <v>1</v>
      </c>
      <c r="F118" s="63" t="n">
        <v>0.35125</v>
      </c>
      <c r="G118" s="63" t="n">
        <v>0.03</v>
      </c>
      <c r="H118" s="63" t="n">
        <v>0.384907436629</v>
      </c>
      <c r="I118" s="63" t="n">
        <v>0.48829287048</v>
      </c>
      <c r="J118" s="63" t="n">
        <v>0.281522002778</v>
      </c>
      <c r="K118" s="63" t="n">
        <v>335.9</v>
      </c>
      <c r="L118" s="63" t="n">
        <v>331.35</v>
      </c>
      <c r="M118" s="63" t="n">
        <v>335.9</v>
      </c>
      <c r="N118" s="54">
        <f>(M119-M118)/M118</f>
        <v/>
      </c>
      <c r="O118" s="54">
        <f>(M122-M118)/M118</f>
        <v/>
      </c>
      <c r="P118" s="4">
        <f>B118-D118</f>
        <v/>
      </c>
      <c r="Q118" s="4">
        <f>AVERAGE(P115:P118)</f>
        <v/>
      </c>
      <c r="R118" s="54">
        <f>(M119-M118)/M118</f>
        <v/>
      </c>
      <c r="S118" s="54">
        <f>(M122-M118)/M118</f>
        <v/>
      </c>
      <c r="T118" s="63">
        <f>IF(R118&gt;0,1,"")</f>
        <v/>
      </c>
      <c r="U118" s="63">
        <f>IF(S118&gt;0,1,"")</f>
        <v/>
      </c>
    </row>
    <row r="119">
      <c r="A119" s="35" t="n">
        <v>32717</v>
      </c>
      <c r="B119" s="4" t="n">
        <v>0.41</v>
      </c>
      <c r="C119" s="4" t="n">
        <v>0.25</v>
      </c>
      <c r="D119" s="4" t="n">
        <v>0.34</v>
      </c>
      <c r="E119" s="63" t="n">
        <v>1</v>
      </c>
      <c r="F119" s="63" t="n">
        <v>0.35</v>
      </c>
      <c r="G119" s="63" t="n">
        <v>0.07000000000000001</v>
      </c>
      <c r="H119" s="63" t="n">
        <v>0.384907436629</v>
      </c>
      <c r="I119" s="63" t="n">
        <v>0.48829287048</v>
      </c>
      <c r="J119" s="63" t="n">
        <v>0.281522002778</v>
      </c>
      <c r="K119" s="63" t="n">
        <v>342.15</v>
      </c>
      <c r="L119" s="63" t="n">
        <v>333.67</v>
      </c>
      <c r="M119" s="63" t="n">
        <v>342.15</v>
      </c>
      <c r="N119" s="54">
        <f>(M120-M119)/M119</f>
        <v/>
      </c>
      <c r="O119" s="54">
        <f>(M123-M119)/M119</f>
        <v/>
      </c>
      <c r="P119" s="4">
        <f>B119-D119</f>
        <v/>
      </c>
      <c r="Q119" s="4">
        <f>AVERAGE(P116:P119)</f>
        <v/>
      </c>
      <c r="R119" s="54">
        <f>(M120-M119)/M119</f>
        <v/>
      </c>
      <c r="S119" s="54">
        <f>(M123-M119)/M119</f>
        <v/>
      </c>
      <c r="T119" s="63">
        <f>IF(R119&gt;0,1,"")</f>
        <v/>
      </c>
      <c r="U119" s="63">
        <f>IF(S119&gt;0,1,"")</f>
        <v/>
      </c>
    </row>
    <row r="120">
      <c r="A120" s="35" t="n">
        <v>32724</v>
      </c>
      <c r="B120" s="4" t="n">
        <v>0.35</v>
      </c>
      <c r="C120" s="4" t="n">
        <v>0.3</v>
      </c>
      <c r="D120" s="4" t="n">
        <v>0.35</v>
      </c>
      <c r="E120" s="63" t="n">
        <v>1</v>
      </c>
      <c r="F120" s="63" t="n">
        <v>0.34</v>
      </c>
      <c r="G120" s="63" t="n">
        <v>0</v>
      </c>
      <c r="H120" s="63" t="n">
        <v>0.384907436629</v>
      </c>
      <c r="I120" s="63" t="n">
        <v>0.48829287048</v>
      </c>
      <c r="J120" s="63" t="n">
        <v>0.281522002778</v>
      </c>
      <c r="K120" s="63" t="n">
        <v>346.08</v>
      </c>
      <c r="L120" s="63" t="n">
        <v>343.75</v>
      </c>
      <c r="M120" s="63" t="n">
        <v>343.92</v>
      </c>
      <c r="N120" s="54">
        <f>(M121-M120)/M120</f>
        <v/>
      </c>
      <c r="O120" s="54">
        <f>(M124-M120)/M120</f>
        <v/>
      </c>
      <c r="P120" s="4">
        <f>B120-D120</f>
        <v/>
      </c>
      <c r="Q120" s="4">
        <f>AVERAGE(P117:P120)</f>
        <v/>
      </c>
      <c r="R120" s="54">
        <f>(M121-M120)/M120</f>
        <v/>
      </c>
      <c r="S120" s="54">
        <f>(M124-M120)/M120</f>
        <v/>
      </c>
      <c r="T120" s="63">
        <f>IF(R120&gt;0,1,"")</f>
        <v/>
      </c>
      <c r="U120" s="63">
        <f>IF(S120&gt;0,1,"")</f>
        <v/>
      </c>
    </row>
    <row r="121">
      <c r="A121" s="35" t="n">
        <v>32731</v>
      </c>
      <c r="B121" s="4" t="n">
        <v>0.53</v>
      </c>
      <c r="C121" s="4" t="n">
        <v>0.21</v>
      </c>
      <c r="D121" s="4" t="n">
        <v>0.26</v>
      </c>
      <c r="E121" s="63" t="n">
        <v>1</v>
      </c>
      <c r="F121" s="63" t="n">
        <v>0.36625</v>
      </c>
      <c r="G121" s="63" t="n">
        <v>0.27</v>
      </c>
      <c r="H121" s="63" t="n">
        <v>0.384907436629</v>
      </c>
      <c r="I121" s="63" t="n">
        <v>0.48829287048</v>
      </c>
      <c r="J121" s="63" t="n">
        <v>0.281522002778</v>
      </c>
      <c r="K121" s="63" t="n">
        <v>349.41</v>
      </c>
      <c r="L121" s="63" t="n">
        <v>344.74</v>
      </c>
      <c r="M121" s="63" t="n">
        <v>344.74</v>
      </c>
      <c r="N121" s="54">
        <f>(M122-M121)/M121</f>
        <v/>
      </c>
      <c r="O121" s="54">
        <f>(M125-M121)/M121</f>
        <v/>
      </c>
      <c r="P121" s="4">
        <f>B121-D121</f>
        <v/>
      </c>
      <c r="Q121" s="4">
        <f>AVERAGE(P118:P121)</f>
        <v/>
      </c>
      <c r="R121" s="54">
        <f>(M122-M121)/M121</f>
        <v/>
      </c>
      <c r="S121" s="54">
        <f>(M125-M121)/M121</f>
        <v/>
      </c>
      <c r="T121" s="63">
        <f>IF(R121&gt;0,1,"")</f>
        <v/>
      </c>
      <c r="U121" s="63">
        <f>IF(S121&gt;0,1,"")</f>
        <v/>
      </c>
    </row>
    <row r="122">
      <c r="A122" s="35" t="n">
        <v>32738</v>
      </c>
      <c r="B122" s="4" t="n">
        <v>0.35</v>
      </c>
      <c r="C122" s="4" t="n">
        <v>0.28</v>
      </c>
      <c r="D122" s="4" t="n">
        <v>0.37</v>
      </c>
      <c r="E122" s="63" t="n">
        <v>1</v>
      </c>
      <c r="F122" s="63" t="n">
        <v>0.36875</v>
      </c>
      <c r="G122" s="63" t="n">
        <v>-0.02</v>
      </c>
      <c r="H122" s="63" t="n">
        <v>0.384907436629</v>
      </c>
      <c r="I122" s="63" t="n">
        <v>0.48829287048</v>
      </c>
      <c r="J122" s="63" t="n">
        <v>0.281522002778</v>
      </c>
      <c r="K122" s="63" t="n">
        <v>346.03</v>
      </c>
      <c r="L122" s="63" t="n">
        <v>343.06</v>
      </c>
      <c r="M122" s="63" t="n">
        <v>346.03</v>
      </c>
      <c r="N122" s="54">
        <f>(M123-M122)/M122</f>
        <v/>
      </c>
      <c r="O122" s="54">
        <f>(M126-M122)/M122</f>
        <v/>
      </c>
      <c r="P122" s="4">
        <f>B122-D122</f>
        <v/>
      </c>
      <c r="Q122" s="4">
        <f>AVERAGE(P119:P122)</f>
        <v/>
      </c>
      <c r="R122" s="54">
        <f>(M123-M122)/M122</f>
        <v/>
      </c>
      <c r="S122" s="54">
        <f>(M126-M122)/M122</f>
        <v/>
      </c>
      <c r="T122" s="63">
        <f>IF(R122&gt;0,1,"")</f>
        <v/>
      </c>
      <c r="U122" s="63">
        <f>IF(S122&gt;0,1,"")</f>
        <v/>
      </c>
    </row>
    <row r="123">
      <c r="A123" s="35" t="n">
        <v>32745</v>
      </c>
      <c r="B123" s="4" t="n">
        <v>0.45</v>
      </c>
      <c r="C123" s="4" t="n">
        <v>0.24</v>
      </c>
      <c r="D123" s="4" t="n">
        <v>0.31</v>
      </c>
      <c r="E123" s="63" t="n">
        <v>1</v>
      </c>
      <c r="F123" s="63" t="n">
        <v>0.375</v>
      </c>
      <c r="G123" s="63" t="n">
        <v>0.14</v>
      </c>
      <c r="H123" s="63" t="n">
        <v>0.384907436629</v>
      </c>
      <c r="I123" s="63" t="n">
        <v>0.48829287048</v>
      </c>
      <c r="J123" s="63" t="n">
        <v>0.281522002778</v>
      </c>
      <c r="K123" s="63" t="n">
        <v>351.52</v>
      </c>
      <c r="L123" s="63" t="n">
        <v>340.67</v>
      </c>
      <c r="M123" s="63" t="n">
        <v>350.52</v>
      </c>
      <c r="N123" s="54">
        <f>(M124-M123)/M123</f>
        <v/>
      </c>
      <c r="O123" s="54">
        <f>(M127-M123)/M123</f>
        <v/>
      </c>
      <c r="P123" s="4">
        <f>B123-D123</f>
        <v/>
      </c>
      <c r="Q123" s="4">
        <f>AVERAGE(P120:P123)</f>
        <v/>
      </c>
      <c r="R123" s="54">
        <f>(M124-M123)/M123</f>
        <v/>
      </c>
      <c r="S123" s="54">
        <f>(M127-M123)/M123</f>
        <v/>
      </c>
      <c r="T123" s="63">
        <f>IF(R123&gt;0,1,"")</f>
        <v/>
      </c>
      <c r="U123" s="63">
        <f>IF(S123&gt;0,1,"")</f>
        <v/>
      </c>
    </row>
    <row r="124">
      <c r="A124" s="35" t="n">
        <v>32752</v>
      </c>
      <c r="B124" s="4" t="n">
        <v>0.34</v>
      </c>
      <c r="C124" s="4" t="n">
        <v>0.3</v>
      </c>
      <c r="D124" s="4" t="n">
        <v>0.36</v>
      </c>
      <c r="E124" s="63" t="n">
        <v>1</v>
      </c>
      <c r="F124" s="63" t="n">
        <v>0.37125</v>
      </c>
      <c r="G124" s="63" t="n">
        <v>-0.02</v>
      </c>
      <c r="H124" s="63" t="n">
        <v>0.384907436629</v>
      </c>
      <c r="I124" s="63" t="n">
        <v>0.48829287048</v>
      </c>
      <c r="J124" s="63" t="n">
        <v>0.281522002778</v>
      </c>
      <c r="K124" s="63" t="n">
        <v>353.73</v>
      </c>
      <c r="L124" s="63" t="n">
        <v>349.84</v>
      </c>
      <c r="M124" s="63" t="n">
        <v>353.73</v>
      </c>
      <c r="N124" s="54">
        <f>(M125-M124)/M124</f>
        <v/>
      </c>
      <c r="O124" s="54">
        <f>(M128-M124)/M124</f>
        <v/>
      </c>
      <c r="P124" s="4">
        <f>B124-D124</f>
        <v/>
      </c>
      <c r="Q124" s="4">
        <f>AVERAGE(P121:P124)</f>
        <v/>
      </c>
      <c r="R124" s="54">
        <f>(M125-M124)/M124</f>
        <v/>
      </c>
      <c r="S124" s="54">
        <f>(M128-M124)/M124</f>
        <v/>
      </c>
      <c r="T124" s="63">
        <f>IF(R124&gt;0,1,"")</f>
        <v/>
      </c>
      <c r="U124" s="63">
        <f>IF(S124&gt;0,1,"")</f>
        <v/>
      </c>
    </row>
    <row r="125">
      <c r="A125" s="35" t="n">
        <v>32759</v>
      </c>
      <c r="B125" s="4" t="n">
        <v>0.3</v>
      </c>
      <c r="C125" s="4" t="n">
        <v>0.3</v>
      </c>
      <c r="D125" s="4" t="n">
        <v>0.4</v>
      </c>
      <c r="E125" s="63" t="n">
        <v>1</v>
      </c>
      <c r="F125" s="63" t="n">
        <v>0.38125</v>
      </c>
      <c r="G125" s="63" t="n">
        <v>-0.1</v>
      </c>
      <c r="H125" s="63" t="n">
        <v>0.384907436629</v>
      </c>
      <c r="I125" s="63" t="n">
        <v>0.48829287048</v>
      </c>
      <c r="J125" s="63" t="n">
        <v>0.281522002778</v>
      </c>
      <c r="K125" s="63" t="n">
        <v>352.56</v>
      </c>
      <c r="L125" s="63" t="n">
        <v>348.35</v>
      </c>
      <c r="M125" s="63" t="n">
        <v>348.76</v>
      </c>
      <c r="N125" s="54">
        <f>(M126-M125)/M125</f>
        <v/>
      </c>
      <c r="O125" s="54">
        <f>(M129-M125)/M125</f>
        <v/>
      </c>
      <c r="P125" s="4">
        <f>B125-D125</f>
        <v/>
      </c>
      <c r="Q125" s="4">
        <f>AVERAGE(P122:P125)</f>
        <v/>
      </c>
      <c r="R125" s="54">
        <f>(M126-M125)/M125</f>
        <v/>
      </c>
      <c r="S125" s="54">
        <f>(M129-M125)/M125</f>
        <v/>
      </c>
      <c r="T125" s="63">
        <f>IF(R125&gt;0,1,"")</f>
        <v/>
      </c>
      <c r="U125" s="63">
        <f>IF(S125&gt;0,1,"")</f>
        <v/>
      </c>
    </row>
    <row r="126">
      <c r="A126" s="35" t="n">
        <v>32766</v>
      </c>
      <c r="B126" s="4" t="n">
        <v>0.31</v>
      </c>
      <c r="C126" s="4" t="n">
        <v>0.44</v>
      </c>
      <c r="D126" s="4" t="n">
        <v>0.25</v>
      </c>
      <c r="E126" s="63" t="n">
        <v>1</v>
      </c>
      <c r="F126" s="63" t="n">
        <v>0.38</v>
      </c>
      <c r="G126" s="63" t="n">
        <v>0.06</v>
      </c>
      <c r="H126" s="63" t="n">
        <v>0.384907436629</v>
      </c>
      <c r="I126" s="63" t="n">
        <v>0.48829287048</v>
      </c>
      <c r="J126" s="63" t="n">
        <v>0.281522002778</v>
      </c>
      <c r="K126" s="63" t="n">
        <v>348.7</v>
      </c>
      <c r="L126" s="63" t="n">
        <v>343.16</v>
      </c>
      <c r="M126" s="63" t="n">
        <v>345.06</v>
      </c>
      <c r="N126" s="54">
        <f>(M127-M126)/M126</f>
        <v/>
      </c>
      <c r="O126" s="54">
        <f>(M130-M126)/M126</f>
        <v/>
      </c>
      <c r="P126" s="4">
        <f>B126-D126</f>
        <v/>
      </c>
      <c r="Q126" s="4">
        <f>AVERAGE(P123:P126)</f>
        <v/>
      </c>
      <c r="R126" s="54">
        <f>(M127-M126)/M126</f>
        <v/>
      </c>
      <c r="S126" s="54">
        <f>(M130-M126)/M126</f>
        <v/>
      </c>
      <c r="T126" s="63">
        <f>IF(R126&gt;0,1,"")</f>
        <v/>
      </c>
      <c r="U126" s="63">
        <f>IF(S126&gt;0,1,"")</f>
        <v/>
      </c>
    </row>
    <row r="127">
      <c r="A127" s="35" t="n">
        <v>32773</v>
      </c>
      <c r="B127" s="4" t="n">
        <v>0.24</v>
      </c>
      <c r="C127" s="4" t="n">
        <v>0.37</v>
      </c>
      <c r="D127" s="4" t="n">
        <v>0.39</v>
      </c>
      <c r="E127" s="63" t="n">
        <v>1</v>
      </c>
      <c r="F127" s="63" t="n">
        <v>0.35875</v>
      </c>
      <c r="G127" s="63" t="n">
        <v>-0.15</v>
      </c>
      <c r="H127" s="63" t="n">
        <v>0.384907436629</v>
      </c>
      <c r="I127" s="63" t="n">
        <v>0.48829287048</v>
      </c>
      <c r="J127" s="63" t="n">
        <v>0.281522002778</v>
      </c>
      <c r="K127" s="63" t="n">
        <v>347.05</v>
      </c>
      <c r="L127" s="63" t="n">
        <v>345.7</v>
      </c>
      <c r="M127" s="63" t="n">
        <v>347.05</v>
      </c>
      <c r="N127" s="54">
        <f>(M128-M127)/M127</f>
        <v/>
      </c>
      <c r="O127" s="54">
        <f>(M131-M127)/M127</f>
        <v/>
      </c>
      <c r="P127" s="4">
        <f>B127-D127</f>
        <v/>
      </c>
      <c r="Q127" s="4">
        <f>AVERAGE(P124:P127)</f>
        <v/>
      </c>
      <c r="R127" s="54">
        <f>(M128-M127)/M127</f>
        <v/>
      </c>
      <c r="S127" s="54">
        <f>(M131-M127)/M127</f>
        <v/>
      </c>
      <c r="T127" s="63">
        <f>IF(R127&gt;0,1,"")</f>
        <v/>
      </c>
      <c r="U127" s="63">
        <f>IF(S127&gt;0,1,"")</f>
        <v/>
      </c>
    </row>
    <row r="128">
      <c r="A128" s="35" t="n">
        <v>32780</v>
      </c>
      <c r="B128" s="4" t="n">
        <v>0.33</v>
      </c>
      <c r="C128" s="4" t="n">
        <v>0.38</v>
      </c>
      <c r="D128" s="4" t="n">
        <v>0.29</v>
      </c>
      <c r="E128" s="63" t="n">
        <v>1</v>
      </c>
      <c r="F128" s="63" t="n">
        <v>0.35625</v>
      </c>
      <c r="G128" s="63" t="n">
        <v>0.04</v>
      </c>
      <c r="H128" s="63" t="n">
        <v>0.384907436629</v>
      </c>
      <c r="I128" s="63" t="n">
        <v>0.48829287048</v>
      </c>
      <c r="J128" s="63" t="n">
        <v>0.281522002778</v>
      </c>
      <c r="K128" s="63" t="n">
        <v>349.15</v>
      </c>
      <c r="L128" s="63" t="n">
        <v>344.23</v>
      </c>
      <c r="M128" s="63" t="n">
        <v>349.15</v>
      </c>
      <c r="N128" s="54">
        <f>(M129-M128)/M128</f>
        <v/>
      </c>
      <c r="O128" s="54">
        <f>(M132-M128)/M128</f>
        <v/>
      </c>
      <c r="P128" s="4">
        <f>B128-D128</f>
        <v/>
      </c>
      <c r="Q128" s="4">
        <f>AVERAGE(P125:P128)</f>
        <v/>
      </c>
      <c r="R128" s="54">
        <f>(M129-M128)/M128</f>
        <v/>
      </c>
      <c r="S128" s="54">
        <f>(M132-M128)/M128</f>
        <v/>
      </c>
      <c r="T128" s="63">
        <f>IF(R128&gt;0,1,"")</f>
        <v/>
      </c>
      <c r="U128" s="63">
        <f>IF(S128&gt;0,1,"")</f>
        <v/>
      </c>
    </row>
    <row r="129">
      <c r="A129" s="35" t="n">
        <v>32787</v>
      </c>
      <c r="B129" s="4" t="n">
        <v>0.24</v>
      </c>
      <c r="C129" s="4" t="n">
        <v>0.43</v>
      </c>
      <c r="D129" s="4" t="n">
        <v>0.33</v>
      </c>
      <c r="E129" s="63" t="n">
        <v>1</v>
      </c>
      <c r="F129" s="63" t="n">
        <v>0.32</v>
      </c>
      <c r="G129" s="63" t="n">
        <v>-0.09</v>
      </c>
      <c r="H129" s="63" t="n">
        <v>0.384907436629</v>
      </c>
      <c r="I129" s="63" t="n">
        <v>0.48829287048</v>
      </c>
      <c r="J129" s="63" t="n">
        <v>0.281522002778</v>
      </c>
      <c r="K129" s="63" t="n">
        <v>358.78</v>
      </c>
      <c r="L129" s="63" t="n">
        <v>350.87</v>
      </c>
      <c r="M129" s="63" t="n">
        <v>358.78</v>
      </c>
      <c r="N129" s="54">
        <f>(M130-M129)/M129</f>
        <v/>
      </c>
      <c r="O129" s="54">
        <f>(M133-M129)/M129</f>
        <v/>
      </c>
      <c r="P129" s="4">
        <f>B129-D129</f>
        <v/>
      </c>
      <c r="Q129" s="4">
        <f>AVERAGE(P126:P129)</f>
        <v/>
      </c>
      <c r="R129" s="54">
        <f>(M130-M129)/M129</f>
        <v/>
      </c>
      <c r="S129" s="54">
        <f>(M133-M129)/M129</f>
        <v/>
      </c>
      <c r="T129" s="63">
        <f>IF(R129&gt;0,1,"")</f>
        <v/>
      </c>
      <c r="U129" s="63">
        <f>IF(S129&gt;0,1,"")</f>
        <v/>
      </c>
    </row>
    <row r="130">
      <c r="A130" s="35" t="n">
        <v>32794</v>
      </c>
      <c r="B130" s="4" t="n">
        <v>0.28</v>
      </c>
      <c r="C130" s="4" t="n">
        <v>0.52</v>
      </c>
      <c r="D130" s="4" t="n">
        <v>0.2</v>
      </c>
      <c r="E130" s="63" t="n">
        <v>1</v>
      </c>
      <c r="F130" s="63" t="n">
        <v>0.31125</v>
      </c>
      <c r="G130" s="63" t="n">
        <v>0.08</v>
      </c>
      <c r="H130" s="63" t="n">
        <v>0.384907436629</v>
      </c>
      <c r="I130" s="63" t="n">
        <v>0.48829287048</v>
      </c>
      <c r="J130" s="63" t="n">
        <v>0.281522002778</v>
      </c>
      <c r="K130" s="63" t="n">
        <v>359.8</v>
      </c>
      <c r="L130" s="63" t="n">
        <v>333.65</v>
      </c>
      <c r="M130" s="63" t="n">
        <v>333.65</v>
      </c>
      <c r="N130" s="54">
        <f>(M131-M130)/M130</f>
        <v/>
      </c>
      <c r="O130" s="54">
        <f>(M134-M130)/M130</f>
        <v/>
      </c>
      <c r="P130" s="4">
        <f>B130-D130</f>
        <v/>
      </c>
      <c r="Q130" s="4">
        <f>AVERAGE(P127:P130)</f>
        <v/>
      </c>
      <c r="R130" s="54">
        <f>(M131-M130)/M130</f>
        <v/>
      </c>
      <c r="S130" s="54">
        <f>(M134-M130)/M130</f>
        <v/>
      </c>
      <c r="T130" s="63">
        <f>IF(R130&gt;0,1,"")</f>
        <v/>
      </c>
      <c r="U130" s="63">
        <f>IF(S130&gt;0,1,"")</f>
        <v/>
      </c>
    </row>
    <row r="131">
      <c r="A131" s="35" t="n">
        <v>32801</v>
      </c>
      <c r="B131" s="4" t="n">
        <v>0.39</v>
      </c>
      <c r="C131" s="4" t="n">
        <v>0.28</v>
      </c>
      <c r="D131" s="4" t="n">
        <v>0.33</v>
      </c>
      <c r="E131" s="63" t="n">
        <v>1</v>
      </c>
      <c r="F131" s="63" t="n">
        <v>0.30375</v>
      </c>
      <c r="G131" s="63" t="n">
        <v>0.06</v>
      </c>
      <c r="H131" s="63" t="n">
        <v>0.384907436629</v>
      </c>
      <c r="I131" s="63" t="n">
        <v>0.48829287048</v>
      </c>
      <c r="J131" s="63" t="n">
        <v>0.281522002778</v>
      </c>
      <c r="K131" s="63" t="n">
        <v>347.16</v>
      </c>
      <c r="L131" s="63" t="n">
        <v>341.16</v>
      </c>
      <c r="M131" s="63" t="n">
        <v>347.16</v>
      </c>
      <c r="N131" s="54">
        <f>(M132-M131)/M131</f>
        <v/>
      </c>
      <c r="O131" s="54">
        <f>(M135-M131)/M131</f>
        <v/>
      </c>
      <c r="P131" s="4">
        <f>B131-D131</f>
        <v/>
      </c>
      <c r="Q131" s="4">
        <f>AVERAGE(P128:P131)</f>
        <v/>
      </c>
      <c r="R131" s="54">
        <f>(M132-M131)/M131</f>
        <v/>
      </c>
      <c r="S131" s="54">
        <f>(M135-M131)/M131</f>
        <v/>
      </c>
      <c r="T131" s="63">
        <f>IF(R131&gt;0,1,"")</f>
        <v/>
      </c>
      <c r="U131" s="63">
        <f>IF(S131&gt;0,1,"")</f>
        <v/>
      </c>
    </row>
    <row r="132">
      <c r="A132" s="35" t="n">
        <v>32808</v>
      </c>
      <c r="B132" s="4" t="n">
        <v>0.36</v>
      </c>
      <c r="C132" s="4" t="n">
        <v>0.33</v>
      </c>
      <c r="D132" s="4" t="n">
        <v>0.31</v>
      </c>
      <c r="E132" s="63" t="n">
        <v>1</v>
      </c>
      <c r="F132" s="63" t="n">
        <v>0.30625</v>
      </c>
      <c r="G132" s="63" t="n">
        <v>0.05</v>
      </c>
      <c r="H132" s="63" t="n">
        <v>0.384907436629</v>
      </c>
      <c r="I132" s="63" t="n">
        <v>0.48829287048</v>
      </c>
      <c r="J132" s="63" t="n">
        <v>0.281522002778</v>
      </c>
      <c r="K132" s="63" t="n">
        <v>344.83</v>
      </c>
      <c r="L132" s="63" t="n">
        <v>335.06</v>
      </c>
      <c r="M132" s="63" t="n">
        <v>335.06</v>
      </c>
      <c r="N132" s="54">
        <f>(M133-M132)/M132</f>
        <v/>
      </c>
      <c r="O132" s="54">
        <f>(M136-M132)/M132</f>
        <v/>
      </c>
      <c r="P132" s="4">
        <f>B132-D132</f>
        <v/>
      </c>
      <c r="Q132" s="4">
        <f>AVERAGE(P129:P132)</f>
        <v/>
      </c>
      <c r="R132" s="54">
        <f>(M133-M132)/M132</f>
        <v/>
      </c>
      <c r="S132" s="54">
        <f>(M136-M132)/M132</f>
        <v/>
      </c>
      <c r="T132" s="63">
        <f>IF(R132&gt;0,1,"")</f>
        <v/>
      </c>
      <c r="U132" s="63">
        <f>IF(S132&gt;0,1,"")</f>
        <v/>
      </c>
    </row>
    <row r="133">
      <c r="A133" s="35" t="n">
        <v>32815</v>
      </c>
      <c r="B133" s="4" t="n">
        <v>0.37</v>
      </c>
      <c r="C133" s="4" t="n">
        <v>0.31</v>
      </c>
      <c r="D133" s="4" t="n">
        <v>0.32</v>
      </c>
      <c r="E133" s="63" t="n">
        <v>1</v>
      </c>
      <c r="F133" s="63" t="n">
        <v>0.315</v>
      </c>
      <c r="G133" s="63" t="n">
        <v>0.05</v>
      </c>
      <c r="H133" s="63" t="n">
        <v>0.384907436629</v>
      </c>
      <c r="I133" s="63" t="n">
        <v>0.48829287048</v>
      </c>
      <c r="J133" s="63" t="n">
        <v>0.281522002778</v>
      </c>
      <c r="K133" s="63" t="n">
        <v>341.2</v>
      </c>
      <c r="L133" s="63" t="n">
        <v>335.07</v>
      </c>
      <c r="M133" s="63" t="n">
        <v>337.62</v>
      </c>
      <c r="N133" s="54">
        <f>(M134-M133)/M133</f>
        <v/>
      </c>
      <c r="O133" s="54">
        <f>(M137-M133)/M133</f>
        <v/>
      </c>
      <c r="P133" s="4">
        <f>B133-D133</f>
        <v/>
      </c>
      <c r="Q133" s="4">
        <f>AVERAGE(P130:P133)</f>
        <v/>
      </c>
      <c r="R133" s="54">
        <f>(M134-M133)/M133</f>
        <v/>
      </c>
      <c r="S133" s="54">
        <f>(M137-M133)/M133</f>
        <v/>
      </c>
      <c r="T133" s="63">
        <f>IF(R133&gt;0,1,"")</f>
        <v/>
      </c>
      <c r="U133" s="63">
        <f>IF(S133&gt;0,1,"")</f>
        <v/>
      </c>
    </row>
    <row r="134">
      <c r="A134" s="35" t="n">
        <v>32822</v>
      </c>
      <c r="B134" s="4" t="n">
        <v>0.27</v>
      </c>
      <c r="C134" s="4" t="n">
        <v>0.37</v>
      </c>
      <c r="D134" s="4" t="n">
        <v>0.36</v>
      </c>
      <c r="E134" s="63" t="n">
        <v>1</v>
      </c>
      <c r="F134" s="63" t="n">
        <v>0.31</v>
      </c>
      <c r="G134" s="63" t="n">
        <v>-0.09</v>
      </c>
      <c r="H134" s="63" t="n">
        <v>0.384907436629</v>
      </c>
      <c r="I134" s="63" t="n">
        <v>0.48829287048</v>
      </c>
      <c r="J134" s="63" t="n">
        <v>0.281522002778</v>
      </c>
      <c r="K134" s="63" t="n">
        <v>339.1</v>
      </c>
      <c r="L134" s="63" t="n">
        <v>332.61</v>
      </c>
      <c r="M134" s="63" t="n">
        <v>339.1</v>
      </c>
      <c r="N134" s="54">
        <f>(M135-M134)/M134</f>
        <v/>
      </c>
      <c r="O134" s="54">
        <f>(M138-M134)/M134</f>
        <v/>
      </c>
      <c r="P134" s="4">
        <f>B134-D134</f>
        <v/>
      </c>
      <c r="Q134" s="4">
        <f>AVERAGE(P131:P134)</f>
        <v/>
      </c>
      <c r="R134" s="54">
        <f>(M135-M134)/M134</f>
        <v/>
      </c>
      <c r="S134" s="54">
        <f>(M138-M134)/M134</f>
        <v/>
      </c>
      <c r="T134" s="63">
        <f>IF(R134&gt;0,1,"")</f>
        <v/>
      </c>
      <c r="U134" s="63">
        <f>IF(S134&gt;0,1,"")</f>
        <v/>
      </c>
    </row>
    <row r="135">
      <c r="A135" s="35" t="n">
        <v>32829</v>
      </c>
      <c r="B135" s="4" t="n">
        <v>0.24</v>
      </c>
      <c r="C135" s="4" t="n">
        <v>0.28</v>
      </c>
      <c r="D135" s="4" t="n">
        <v>0.48</v>
      </c>
      <c r="E135" s="63" t="n">
        <v>1</v>
      </c>
      <c r="F135" s="63" t="n">
        <v>0.31</v>
      </c>
      <c r="G135" s="63" t="n">
        <v>-0.24</v>
      </c>
      <c r="H135" s="63" t="n">
        <v>0.384907436629</v>
      </c>
      <c r="I135" s="63" t="n">
        <v>0.48829287048</v>
      </c>
      <c r="J135" s="63" t="n">
        <v>0.281522002778</v>
      </c>
      <c r="K135" s="63" t="n">
        <v>341.61</v>
      </c>
      <c r="L135" s="63" t="n">
        <v>337.99</v>
      </c>
      <c r="M135" s="63" t="n">
        <v>341.61</v>
      </c>
      <c r="N135" s="54">
        <f>(M136-M135)/M135</f>
        <v/>
      </c>
      <c r="O135" s="54">
        <f>(M139-M135)/M135</f>
        <v/>
      </c>
      <c r="P135" s="4">
        <f>B135-D135</f>
        <v/>
      </c>
      <c r="Q135" s="4">
        <f>AVERAGE(P132:P135)</f>
        <v/>
      </c>
      <c r="R135" s="54">
        <f>(M136-M135)/M135</f>
        <v/>
      </c>
      <c r="S135" s="54">
        <f>(M139-M135)/M135</f>
        <v/>
      </c>
      <c r="T135" s="63">
        <f>IF(R135&gt;0,1,"")</f>
        <v/>
      </c>
      <c r="U135" s="63">
        <f>IF(S135&gt;0,1,"")</f>
        <v/>
      </c>
    </row>
    <row r="136">
      <c r="A136" s="35" t="n">
        <v>32834</v>
      </c>
      <c r="B136" s="4" t="n">
        <v>0.27</v>
      </c>
      <c r="C136" s="4" t="n">
        <v>0.4</v>
      </c>
      <c r="D136" s="4" t="n">
        <v>0.33</v>
      </c>
      <c r="E136" s="63" t="n">
        <v>1</v>
      </c>
      <c r="F136" s="63" t="n">
        <v>0.3025</v>
      </c>
      <c r="G136" s="63" t="n">
        <v>-0.06</v>
      </c>
      <c r="H136" s="63" t="n">
        <v>0.384907436629</v>
      </c>
      <c r="I136" s="63" t="n">
        <v>0.48829287048</v>
      </c>
      <c r="J136" s="63" t="n">
        <v>0.281522002778</v>
      </c>
      <c r="K136" s="63" t="n">
        <v>343.97</v>
      </c>
      <c r="L136" s="63" t="n">
        <v>339.35</v>
      </c>
      <c r="M136" s="63" t="n">
        <v>343.97</v>
      </c>
      <c r="N136" s="54">
        <f>(M137-M136)/M136</f>
        <v/>
      </c>
      <c r="O136" s="54">
        <f>(M140-M136)/M136</f>
        <v/>
      </c>
      <c r="P136" s="4">
        <f>B136-D136</f>
        <v/>
      </c>
      <c r="Q136" s="4">
        <f>AVERAGE(P133:P136)</f>
        <v/>
      </c>
      <c r="R136" s="54">
        <f>(M137-M136)/M136</f>
        <v/>
      </c>
      <c r="S136" s="54">
        <f>(M140-M136)/M136</f>
        <v/>
      </c>
      <c r="T136" s="63">
        <f>IF(R136&gt;0,1,"")</f>
        <v/>
      </c>
      <c r="U136" s="63">
        <f>IF(S136&gt;0,1,"")</f>
        <v/>
      </c>
    </row>
    <row r="137">
      <c r="A137" s="35" t="n">
        <v>32843</v>
      </c>
      <c r="B137" s="4" t="n">
        <v>0.28</v>
      </c>
      <c r="C137" s="4" t="n">
        <v>0.4</v>
      </c>
      <c r="D137" s="4" t="n">
        <v>0.32</v>
      </c>
      <c r="E137" s="63" t="n">
        <v>1</v>
      </c>
      <c r="F137" s="63" t="n">
        <v>0.3075</v>
      </c>
      <c r="G137" s="63" t="n">
        <v>-0.04</v>
      </c>
      <c r="H137" s="63" t="n">
        <v>0.384907436629</v>
      </c>
      <c r="I137" s="63" t="n">
        <v>0.48829287048</v>
      </c>
      <c r="J137" s="63" t="n">
        <v>0.281522002778</v>
      </c>
      <c r="K137" s="63" t="n">
        <v>350.63</v>
      </c>
      <c r="L137" s="63" t="n">
        <v>343.6</v>
      </c>
      <c r="M137" s="63" t="n">
        <v>350.63</v>
      </c>
      <c r="N137" s="54">
        <f>(M138-M137)/M137</f>
        <v/>
      </c>
      <c r="O137" s="54">
        <f>(M141-M137)/M137</f>
        <v/>
      </c>
      <c r="P137" s="4">
        <f>B137-D137</f>
        <v/>
      </c>
      <c r="Q137" s="4">
        <f>AVERAGE(P134:P137)</f>
        <v/>
      </c>
      <c r="R137" s="54">
        <f>(M138-M137)/M137</f>
        <v/>
      </c>
      <c r="S137" s="54">
        <f>(M141-M137)/M137</f>
        <v/>
      </c>
      <c r="T137" s="63">
        <f>IF(R137&gt;0,1,"")</f>
        <v/>
      </c>
      <c r="U137" s="63">
        <f>IF(S137&gt;0,1,"")</f>
        <v/>
      </c>
    </row>
    <row r="138">
      <c r="A138" s="35" t="n">
        <v>32850</v>
      </c>
      <c r="B138" s="4" t="n">
        <v>0.31</v>
      </c>
      <c r="C138" s="4" t="n">
        <v>0.41</v>
      </c>
      <c r="D138" s="4" t="n">
        <v>0.28</v>
      </c>
      <c r="E138" s="63" t="n">
        <v>1</v>
      </c>
      <c r="F138" s="63" t="n">
        <v>0.31125</v>
      </c>
      <c r="G138" s="63" t="n">
        <v>0.03</v>
      </c>
      <c r="H138" s="63" t="n">
        <v>0.384907436629</v>
      </c>
      <c r="I138" s="63" t="n">
        <v>0.48829287048</v>
      </c>
      <c r="J138" s="63" t="n">
        <v>0.281522002778</v>
      </c>
      <c r="K138" s="63" t="n">
        <v>351.41</v>
      </c>
      <c r="L138" s="63" t="n">
        <v>347.59</v>
      </c>
      <c r="M138" s="63" t="n">
        <v>348.69</v>
      </c>
      <c r="N138" s="54">
        <f>(M139-M138)/M138</f>
        <v/>
      </c>
      <c r="O138" s="54">
        <f>(M142-M138)/M138</f>
        <v/>
      </c>
      <c r="P138" s="4">
        <f>B138-D138</f>
        <v/>
      </c>
      <c r="Q138" s="4">
        <f>AVERAGE(P135:P138)</f>
        <v/>
      </c>
      <c r="R138" s="54">
        <f>(M139-M138)/M138</f>
        <v/>
      </c>
      <c r="S138" s="54">
        <f>(M142-M138)/M138</f>
        <v/>
      </c>
      <c r="T138" s="63">
        <f>IF(R138&gt;0,1,"")</f>
        <v/>
      </c>
      <c r="U138" s="63">
        <f>IF(S138&gt;0,1,"")</f>
        <v/>
      </c>
    </row>
    <row r="139">
      <c r="A139" s="35" t="n">
        <v>32857</v>
      </c>
      <c r="B139" s="4" t="n">
        <v>0.42</v>
      </c>
      <c r="C139" s="4" t="n">
        <v>0.3</v>
      </c>
      <c r="D139" s="4" t="n">
        <v>0.28</v>
      </c>
      <c r="E139" s="63" t="n">
        <v>1</v>
      </c>
      <c r="F139" s="63" t="n">
        <v>0.315</v>
      </c>
      <c r="G139" s="63" t="n">
        <v>0.14</v>
      </c>
      <c r="H139" s="63" t="n">
        <v>0.384907436629</v>
      </c>
      <c r="I139" s="63" t="n">
        <v>0.48829287048</v>
      </c>
      <c r="J139" s="63" t="n">
        <v>0.281522002778</v>
      </c>
      <c r="K139" s="63" t="n">
        <v>352.75</v>
      </c>
      <c r="L139" s="63" t="n">
        <v>348.56</v>
      </c>
      <c r="M139" s="63" t="n">
        <v>350.14</v>
      </c>
      <c r="N139" s="54">
        <f>(M140-M139)/M139</f>
        <v/>
      </c>
      <c r="O139" s="54">
        <f>(M143-M139)/M139</f>
        <v/>
      </c>
      <c r="P139" s="4">
        <f>B139-D139</f>
        <v/>
      </c>
      <c r="Q139" s="4">
        <f>AVERAGE(P136:P139)</f>
        <v/>
      </c>
      <c r="R139" s="54">
        <f>(M140-M139)/M139</f>
        <v/>
      </c>
      <c r="S139" s="54">
        <f>(M143-M139)/M139</f>
        <v/>
      </c>
      <c r="T139" s="63">
        <f>IF(R139&gt;0,1,"")</f>
        <v/>
      </c>
      <c r="U139" s="63">
        <f>IF(S139&gt;0,1,"")</f>
        <v/>
      </c>
    </row>
    <row r="140">
      <c r="A140" s="35" t="n">
        <v>32864</v>
      </c>
      <c r="B140" s="4" t="n">
        <v>0.36</v>
      </c>
      <c r="C140" s="4" t="n">
        <v>0.32</v>
      </c>
      <c r="D140" s="4" t="n">
        <v>0.32</v>
      </c>
      <c r="E140" s="63" t="n">
        <v>1</v>
      </c>
      <c r="F140" s="63" t="n">
        <v>0.315</v>
      </c>
      <c r="G140" s="63" t="n">
        <v>0.04</v>
      </c>
      <c r="H140" s="63" t="n">
        <v>0.384907436629</v>
      </c>
      <c r="I140" s="63" t="n">
        <v>0.48829287048</v>
      </c>
      <c r="J140" s="63" t="n">
        <v>0.281522002778</v>
      </c>
      <c r="K140" s="63" t="n">
        <v>347.42</v>
      </c>
      <c r="L140" s="63" t="n">
        <v>342.46</v>
      </c>
      <c r="M140" s="63" t="n">
        <v>347.42</v>
      </c>
      <c r="N140" s="54">
        <f>(M141-M140)/M140</f>
        <v/>
      </c>
      <c r="O140" s="54">
        <f>(M144-M140)/M140</f>
        <v/>
      </c>
      <c r="P140" s="4">
        <f>B140-D140</f>
        <v/>
      </c>
      <c r="Q140" s="4">
        <f>AVERAGE(P137:P140)</f>
        <v/>
      </c>
      <c r="R140" s="54">
        <f>(M141-M140)/M140</f>
        <v/>
      </c>
      <c r="S140" s="54">
        <f>(M144-M140)/M140</f>
        <v/>
      </c>
      <c r="T140" s="63">
        <f>IF(R140&gt;0,1,"")</f>
        <v/>
      </c>
      <c r="U140" s="63">
        <f>IF(S140&gt;0,1,"")</f>
        <v/>
      </c>
    </row>
    <row r="141">
      <c r="A141" s="35" t="n">
        <v>32871</v>
      </c>
      <c r="B141" s="4" t="n">
        <v>0.35</v>
      </c>
      <c r="C141" s="4" t="n">
        <v>0.31</v>
      </c>
      <c r="D141" s="4" t="n">
        <v>0.34</v>
      </c>
      <c r="E141" s="63" t="n">
        <v>1</v>
      </c>
      <c r="F141" s="63" t="n">
        <v>0.3125</v>
      </c>
      <c r="G141" s="63" t="n">
        <v>0.01</v>
      </c>
      <c r="H141" s="63" t="n">
        <v>0.384907436629</v>
      </c>
      <c r="I141" s="63" t="n">
        <v>0.48829287048</v>
      </c>
      <c r="J141" s="63" t="n">
        <v>0.281522002778</v>
      </c>
      <c r="K141" s="63" t="n">
        <v>353.4</v>
      </c>
      <c r="L141" s="63" t="n">
        <v>346.81</v>
      </c>
      <c r="M141" s="63" t="n">
        <v>353.4</v>
      </c>
      <c r="N141" s="54">
        <f>(M142-M141)/M141</f>
        <v/>
      </c>
      <c r="O141" s="54">
        <f>(M145-M141)/M141</f>
        <v/>
      </c>
      <c r="P141" s="4">
        <f>B141-D141</f>
        <v/>
      </c>
      <c r="Q141" s="4">
        <f>AVERAGE(P138:P141)</f>
        <v/>
      </c>
      <c r="R141" s="54">
        <f>(M142-M141)/M141</f>
        <v/>
      </c>
      <c r="S141" s="54">
        <f>(M145-M141)/M141</f>
        <v/>
      </c>
      <c r="T141" s="63">
        <f>IF(R141&gt;0,1,"")</f>
        <v/>
      </c>
      <c r="U141" s="63">
        <f>IF(S141&gt;0,1,"")</f>
        <v/>
      </c>
    </row>
    <row r="142">
      <c r="A142" s="35" t="n">
        <v>32878</v>
      </c>
      <c r="B142" s="4" t="n">
        <v>0.4</v>
      </c>
      <c r="C142" s="4" t="n">
        <v>0.3</v>
      </c>
      <c r="D142" s="4" t="n">
        <v>0.3</v>
      </c>
      <c r="E142" s="63" t="n">
        <v>1</v>
      </c>
      <c r="F142" s="63" t="n">
        <v>0.32875</v>
      </c>
      <c r="G142" s="63" t="n">
        <v>0.1</v>
      </c>
      <c r="H142" s="63" t="n">
        <v>0.384907436629</v>
      </c>
      <c r="I142" s="63" t="n">
        <v>0.48829287048</v>
      </c>
      <c r="J142" s="63" t="n">
        <v>0.281522002778</v>
      </c>
      <c r="K142" s="63" t="n">
        <v>359.69</v>
      </c>
      <c r="L142" s="63" t="n">
        <v>352.2</v>
      </c>
      <c r="M142" s="63" t="n">
        <v>352.2</v>
      </c>
      <c r="N142" s="54">
        <f>(M143-M142)/M142</f>
        <v/>
      </c>
      <c r="O142" s="54">
        <f>(M146-M142)/M142</f>
        <v/>
      </c>
      <c r="P142" s="4">
        <f>B142-D142</f>
        <v/>
      </c>
      <c r="Q142" s="4">
        <f>AVERAGE(P139:P142)</f>
        <v/>
      </c>
      <c r="R142" s="54">
        <f>(M143-M142)/M142</f>
        <v/>
      </c>
      <c r="S142" s="54">
        <f>(M146-M142)/M142</f>
        <v/>
      </c>
      <c r="T142" s="63">
        <f>IF(R142&gt;0,1,"")</f>
        <v/>
      </c>
      <c r="U142" s="63">
        <f>IF(S142&gt;0,1,"")</f>
        <v/>
      </c>
    </row>
    <row r="143">
      <c r="A143" s="35" t="n">
        <v>32885</v>
      </c>
      <c r="B143" s="4" t="n">
        <v>0.45</v>
      </c>
      <c r="C143" s="4" t="n">
        <v>0.38</v>
      </c>
      <c r="D143" s="4" t="n">
        <v>0.17</v>
      </c>
      <c r="E143" s="63" t="n">
        <v>1</v>
      </c>
      <c r="F143" s="63" t="n">
        <v>0.355</v>
      </c>
      <c r="G143" s="63" t="n">
        <v>0.28</v>
      </c>
      <c r="H143" s="63" t="n">
        <v>0.384907436629</v>
      </c>
      <c r="I143" s="63" t="n">
        <v>0.48829287048</v>
      </c>
      <c r="J143" s="63" t="n">
        <v>0.281522002778</v>
      </c>
      <c r="K143" s="63" t="n">
        <v>353.79</v>
      </c>
      <c r="L143" s="63" t="n">
        <v>339.93</v>
      </c>
      <c r="M143" s="63" t="n">
        <v>339.93</v>
      </c>
      <c r="N143" s="54">
        <f>(M144-M143)/M143</f>
        <v/>
      </c>
      <c r="O143" s="54">
        <f>(M147-M143)/M143</f>
        <v/>
      </c>
      <c r="P143" s="4">
        <f>B143-D143</f>
        <v/>
      </c>
      <c r="Q143" s="4">
        <f>AVERAGE(P140:P143)</f>
        <v/>
      </c>
      <c r="R143" s="54">
        <f>(M144-M143)/M143</f>
        <v/>
      </c>
      <c r="S143" s="54">
        <f>(M147-M143)/M143</f>
        <v/>
      </c>
      <c r="T143" s="63">
        <f>IF(R143&gt;0,1,"")</f>
        <v/>
      </c>
      <c r="U143" s="63">
        <f>IF(S143&gt;0,1,"")</f>
        <v/>
      </c>
    </row>
    <row r="144">
      <c r="A144" s="35" t="n">
        <v>32892</v>
      </c>
      <c r="B144" s="4" t="n">
        <v>0.31</v>
      </c>
      <c r="C144" s="4" t="n">
        <v>0.49</v>
      </c>
      <c r="D144" s="4" t="n">
        <v>0.2</v>
      </c>
      <c r="E144" s="63" t="n">
        <v>1</v>
      </c>
      <c r="F144" s="63" t="n">
        <v>0.36</v>
      </c>
      <c r="G144" s="63" t="n">
        <v>0.11</v>
      </c>
      <c r="H144" s="63" t="n">
        <v>0.384907436629</v>
      </c>
      <c r="I144" s="63" t="n">
        <v>0.48829287048</v>
      </c>
      <c r="J144" s="63" t="n">
        <v>0.281522002778</v>
      </c>
      <c r="K144" s="63" t="n">
        <v>340.75</v>
      </c>
      <c r="L144" s="63" t="n">
        <v>337</v>
      </c>
      <c r="M144" s="63" t="n">
        <v>339.15</v>
      </c>
      <c r="N144" s="54">
        <f>(M145-M144)/M144</f>
        <v/>
      </c>
      <c r="O144" s="54">
        <f>(M148-M144)/M144</f>
        <v/>
      </c>
      <c r="P144" s="4">
        <f>B144-D144</f>
        <v/>
      </c>
      <c r="Q144" s="4">
        <f>AVERAGE(P141:P144)</f>
        <v/>
      </c>
      <c r="R144" s="54">
        <f>(M145-M144)/M144</f>
        <v/>
      </c>
      <c r="S144" s="54">
        <f>(M148-M144)/M144</f>
        <v/>
      </c>
      <c r="T144" s="63">
        <f>IF(R144&gt;0,1,"")</f>
        <v/>
      </c>
      <c r="U144" s="63">
        <f>IF(S144&gt;0,1,"")</f>
        <v/>
      </c>
    </row>
    <row r="145">
      <c r="A145" s="35" t="n">
        <v>32899</v>
      </c>
      <c r="B145" s="4" t="n">
        <v>0.24</v>
      </c>
      <c r="C145" s="4" t="n">
        <v>0.38</v>
      </c>
      <c r="D145" s="4" t="n">
        <v>0.38</v>
      </c>
      <c r="E145" s="63" t="n">
        <v>1</v>
      </c>
      <c r="F145" s="63" t="n">
        <v>0.355</v>
      </c>
      <c r="G145" s="63" t="n">
        <v>-0.14</v>
      </c>
      <c r="H145" s="63" t="n">
        <v>0.384907436629</v>
      </c>
      <c r="I145" s="63" t="n">
        <v>0.48829287048</v>
      </c>
      <c r="J145" s="63" t="n">
        <v>0.281522002778</v>
      </c>
      <c r="K145" s="63" t="n">
        <v>331.61</v>
      </c>
      <c r="L145" s="63" t="n">
        <v>325.8</v>
      </c>
      <c r="M145" s="63" t="n">
        <v>325.8</v>
      </c>
      <c r="N145" s="54">
        <f>(M146-M145)/M145</f>
        <v/>
      </c>
      <c r="O145" s="54">
        <f>(M149-M145)/M145</f>
        <v/>
      </c>
      <c r="P145" s="4">
        <f>B145-D145</f>
        <v/>
      </c>
      <c r="Q145" s="4">
        <f>AVERAGE(P142:P145)</f>
        <v/>
      </c>
      <c r="R145" s="54">
        <f>(M146-M145)/M145</f>
        <v/>
      </c>
      <c r="S145" s="54">
        <f>(M149-M145)/M145</f>
        <v/>
      </c>
      <c r="T145" s="63">
        <f>IF(R145&gt;0,1,"")</f>
        <v/>
      </c>
      <c r="U145" s="63">
        <f>IF(S145&gt;0,1,"")</f>
        <v/>
      </c>
    </row>
    <row r="146">
      <c r="A146" s="35" t="n">
        <v>32906</v>
      </c>
      <c r="B146" s="4" t="n">
        <v>0.15</v>
      </c>
      <c r="C146" s="4" t="n">
        <v>0.37</v>
      </c>
      <c r="D146" s="4" t="n">
        <v>0.48</v>
      </c>
      <c r="E146" s="63" t="n">
        <v>1</v>
      </c>
      <c r="F146" s="63" t="n">
        <v>0.335</v>
      </c>
      <c r="G146" s="63" t="n">
        <v>-0.33</v>
      </c>
      <c r="H146" s="63" t="n">
        <v>0.384907436629</v>
      </c>
      <c r="I146" s="63" t="n">
        <v>0.48829287048</v>
      </c>
      <c r="J146" s="63" t="n">
        <v>0.281522002778</v>
      </c>
      <c r="K146" s="63" t="n">
        <v>330.92</v>
      </c>
      <c r="L146" s="63" t="n">
        <v>322.98</v>
      </c>
      <c r="M146" s="63" t="n">
        <v>330.92</v>
      </c>
      <c r="N146" s="54">
        <f>(M147-M146)/M146</f>
        <v/>
      </c>
      <c r="O146" s="54">
        <f>(M150-M146)/M146</f>
        <v/>
      </c>
      <c r="P146" s="4">
        <f>B146-D146</f>
        <v/>
      </c>
      <c r="Q146" s="4">
        <f>AVERAGE(P143:P146)</f>
        <v/>
      </c>
      <c r="R146" s="54">
        <f>(M147-M146)/M146</f>
        <v/>
      </c>
      <c r="S146" s="54">
        <f>(M150-M146)/M146</f>
        <v/>
      </c>
      <c r="T146" s="63">
        <f>IF(R146&gt;0,1,"")</f>
        <v/>
      </c>
      <c r="U146" s="63">
        <f>IF(S146&gt;0,1,"")</f>
        <v/>
      </c>
    </row>
    <row r="147">
      <c r="A147" s="35" t="n">
        <v>32913</v>
      </c>
      <c r="B147" s="4" t="n">
        <v>0.19</v>
      </c>
      <c r="C147" s="4" t="n">
        <v>0.3</v>
      </c>
      <c r="D147" s="4" t="n">
        <v>0.51</v>
      </c>
      <c r="E147" s="63" t="n">
        <v>1</v>
      </c>
      <c r="F147" s="63" t="n">
        <v>0.30625</v>
      </c>
      <c r="G147" s="63" t="n">
        <v>-0.32</v>
      </c>
      <c r="H147" s="63" t="n">
        <v>0.384907436629</v>
      </c>
      <c r="I147" s="63" t="n">
        <v>0.48829287048</v>
      </c>
      <c r="J147" s="63" t="n">
        <v>0.281522002778</v>
      </c>
      <c r="K147" s="63" t="n">
        <v>333.75</v>
      </c>
      <c r="L147" s="63" t="n">
        <v>329.66</v>
      </c>
      <c r="M147" s="63" t="n">
        <v>333.62</v>
      </c>
      <c r="N147" s="54">
        <f>(M148-M147)/M147</f>
        <v/>
      </c>
      <c r="O147" s="54">
        <f>(M151-M147)/M147</f>
        <v/>
      </c>
      <c r="P147" s="4">
        <f>B147-D147</f>
        <v/>
      </c>
      <c r="Q147" s="4">
        <f>AVERAGE(P144:P147)</f>
        <v/>
      </c>
      <c r="R147" s="54">
        <f>(M148-M147)/M147</f>
        <v/>
      </c>
      <c r="S147" s="54">
        <f>(M151-M147)/M147</f>
        <v/>
      </c>
      <c r="T147" s="63">
        <f>IF(R147&gt;0,1,"")</f>
        <v/>
      </c>
      <c r="U147" s="63">
        <f>IF(S147&gt;0,1,"")</f>
        <v/>
      </c>
    </row>
    <row r="148">
      <c r="A148" s="35" t="n">
        <v>32920</v>
      </c>
      <c r="B148" s="4" t="n">
        <v>0.23</v>
      </c>
      <c r="C148" s="4" t="n">
        <v>0.43</v>
      </c>
      <c r="D148" s="4" t="n">
        <v>0.34</v>
      </c>
      <c r="E148" s="63" t="n">
        <v>1</v>
      </c>
      <c r="F148" s="63" t="n">
        <v>0.29</v>
      </c>
      <c r="G148" s="63" t="n">
        <v>-0.11</v>
      </c>
      <c r="H148" s="63" t="n">
        <v>0.384907436629</v>
      </c>
      <c r="I148" s="63" t="n">
        <v>0.48829287048</v>
      </c>
      <c r="J148" s="63" t="n">
        <v>0.281522002778</v>
      </c>
      <c r="K148" s="63" t="n">
        <v>334.89</v>
      </c>
      <c r="L148" s="63" t="n">
        <v>330.08</v>
      </c>
      <c r="M148" s="63" t="n">
        <v>332.72</v>
      </c>
      <c r="N148" s="54">
        <f>(M149-M148)/M148</f>
        <v/>
      </c>
      <c r="O148" s="54">
        <f>(M152-M148)/M148</f>
        <v/>
      </c>
      <c r="P148" s="4">
        <f>B148-D148</f>
        <v/>
      </c>
      <c r="Q148" s="4">
        <f>AVERAGE(P145:P148)</f>
        <v/>
      </c>
      <c r="R148" s="54">
        <f>(M149-M148)/M148</f>
        <v/>
      </c>
      <c r="S148" s="54">
        <f>(M152-M148)/M148</f>
        <v/>
      </c>
      <c r="T148" s="63">
        <f>IF(R148&gt;0,1,"")</f>
        <v/>
      </c>
      <c r="U148" s="63">
        <f>IF(S148&gt;0,1,"")</f>
        <v/>
      </c>
    </row>
    <row r="149">
      <c r="A149" s="35" t="n">
        <v>32927</v>
      </c>
      <c r="B149" s="4" t="n">
        <v>0.24</v>
      </c>
      <c r="C149" s="4" t="n">
        <v>0.38</v>
      </c>
      <c r="D149" s="4" t="n">
        <v>0.38</v>
      </c>
      <c r="E149" s="63" t="n">
        <v>1</v>
      </c>
      <c r="F149" s="63" t="n">
        <v>0.27625</v>
      </c>
      <c r="G149" s="63" t="n">
        <v>-0.14</v>
      </c>
      <c r="H149" s="63" t="n">
        <v>0.384907436629</v>
      </c>
      <c r="I149" s="63" t="n">
        <v>0.48829287048</v>
      </c>
      <c r="J149" s="63" t="n">
        <v>0.281522002778</v>
      </c>
      <c r="K149" s="63" t="n">
        <v>327.99</v>
      </c>
      <c r="L149" s="63" t="n">
        <v>324.15</v>
      </c>
      <c r="M149" s="63" t="n">
        <v>324.15</v>
      </c>
      <c r="N149" s="54">
        <f>(M150-M149)/M149</f>
        <v/>
      </c>
      <c r="O149" s="54">
        <f>(M153-M149)/M149</f>
        <v/>
      </c>
      <c r="P149" s="4">
        <f>B149-D149</f>
        <v/>
      </c>
      <c r="Q149" s="4">
        <f>AVERAGE(P146:P149)</f>
        <v/>
      </c>
      <c r="R149" s="54">
        <f>(M150-M149)/M149</f>
        <v/>
      </c>
      <c r="S149" s="54">
        <f>(M153-M149)/M149</f>
        <v/>
      </c>
      <c r="T149" s="63">
        <f>IF(R149&gt;0,1,"")</f>
        <v/>
      </c>
      <c r="U149" s="63">
        <f>IF(S149&gt;0,1,"")</f>
        <v/>
      </c>
    </row>
    <row r="150">
      <c r="A150" s="35" t="n">
        <v>32934</v>
      </c>
      <c r="B150" s="4" t="n">
        <v>0.21</v>
      </c>
      <c r="C150" s="4" t="n">
        <v>0.37</v>
      </c>
      <c r="D150" s="4" t="n">
        <v>0.42</v>
      </c>
      <c r="E150" s="63" t="n">
        <v>1</v>
      </c>
      <c r="F150" s="63" t="n">
        <v>0.2525</v>
      </c>
      <c r="G150" s="63" t="n">
        <v>-0.21</v>
      </c>
      <c r="H150" s="63" t="n">
        <v>0.384907436629</v>
      </c>
      <c r="I150" s="63" t="n">
        <v>0.48829287048</v>
      </c>
      <c r="J150" s="63" t="n">
        <v>0.281522002778</v>
      </c>
      <c r="K150" s="63" t="n">
        <v>335.54</v>
      </c>
      <c r="L150" s="63" t="n">
        <v>328.67</v>
      </c>
      <c r="M150" s="63" t="n">
        <v>335.54</v>
      </c>
      <c r="N150" s="54">
        <f>(M151-M150)/M150</f>
        <v/>
      </c>
      <c r="O150" s="54">
        <f>(M154-M150)/M150</f>
        <v/>
      </c>
      <c r="P150" s="4">
        <f>B150-D150</f>
        <v/>
      </c>
      <c r="Q150" s="4">
        <f>AVERAGE(P147:P150)</f>
        <v/>
      </c>
      <c r="R150" s="54">
        <f>(M151-M150)/M150</f>
        <v/>
      </c>
      <c r="S150" s="54">
        <f>(M154-M150)/M150</f>
        <v/>
      </c>
      <c r="T150" s="63">
        <f>IF(R150&gt;0,1,"")</f>
        <v/>
      </c>
      <c r="U150" s="63">
        <f>IF(S150&gt;0,1,"")</f>
        <v/>
      </c>
    </row>
    <row r="151">
      <c r="A151" s="35" t="n">
        <v>32941</v>
      </c>
      <c r="B151" s="4" t="n">
        <v>0.22</v>
      </c>
      <c r="C151" s="4" t="n">
        <v>0.42</v>
      </c>
      <c r="D151" s="4" t="n">
        <v>0.36</v>
      </c>
      <c r="E151" s="63" t="n">
        <v>1</v>
      </c>
      <c r="F151" s="63" t="n">
        <v>0.22375</v>
      </c>
      <c r="G151" s="63" t="n">
        <v>-0.14</v>
      </c>
      <c r="H151" s="63" t="n">
        <v>0.384907436629</v>
      </c>
      <c r="I151" s="63" t="n">
        <v>0.48829287048</v>
      </c>
      <c r="J151" s="63" t="n">
        <v>0.281522002778</v>
      </c>
      <c r="K151" s="63" t="n">
        <v>340.27</v>
      </c>
      <c r="L151" s="63" t="n">
        <v>333.74</v>
      </c>
      <c r="M151" s="63" t="n">
        <v>337.93</v>
      </c>
      <c r="N151" s="54">
        <f>(M152-M151)/M151</f>
        <v/>
      </c>
      <c r="O151" s="54">
        <f>(M155-M151)/M151</f>
        <v/>
      </c>
      <c r="P151" s="4">
        <f>B151-D151</f>
        <v/>
      </c>
      <c r="Q151" s="4">
        <f>AVERAGE(P148:P151)</f>
        <v/>
      </c>
      <c r="R151" s="54">
        <f>(M152-M151)/M151</f>
        <v/>
      </c>
      <c r="S151" s="54">
        <f>(M155-M151)/M151</f>
        <v/>
      </c>
      <c r="T151" s="63">
        <f>IF(R151&gt;0,1,"")</f>
        <v/>
      </c>
      <c r="U151" s="63">
        <f>IF(S151&gt;0,1,"")</f>
        <v/>
      </c>
    </row>
    <row r="152">
      <c r="A152" s="35" t="n">
        <v>32948</v>
      </c>
      <c r="B152" s="4" t="n">
        <v>0.25</v>
      </c>
      <c r="C152" s="4" t="n">
        <v>0.35</v>
      </c>
      <c r="D152" s="4" t="n">
        <v>0.4</v>
      </c>
      <c r="E152" s="63" t="n">
        <v>1</v>
      </c>
      <c r="F152" s="63" t="n">
        <v>0.21625</v>
      </c>
      <c r="G152" s="63" t="n">
        <v>-0.15</v>
      </c>
      <c r="H152" s="63" t="n">
        <v>0.384907436629</v>
      </c>
      <c r="I152" s="63" t="n">
        <v>0.48829287048</v>
      </c>
      <c r="J152" s="63" t="n">
        <v>0.281522002778</v>
      </c>
      <c r="K152" s="63" t="n">
        <v>341.91</v>
      </c>
      <c r="L152" s="63" t="n">
        <v>336</v>
      </c>
      <c r="M152" s="63" t="n">
        <v>341.91</v>
      </c>
      <c r="N152" s="54">
        <f>(M153-M152)/M152</f>
        <v/>
      </c>
      <c r="O152" s="54">
        <f>(M156-M152)/M152</f>
        <v/>
      </c>
      <c r="P152" s="4">
        <f>B152-D152</f>
        <v/>
      </c>
      <c r="Q152" s="4">
        <f>AVERAGE(P149:P152)</f>
        <v/>
      </c>
      <c r="R152" s="54">
        <f>(M153-M152)/M152</f>
        <v/>
      </c>
      <c r="S152" s="54">
        <f>(M156-M152)/M152</f>
        <v/>
      </c>
      <c r="T152" s="63">
        <f>IF(R152&gt;0,1,"")</f>
        <v/>
      </c>
      <c r="U152" s="63">
        <f>IF(S152&gt;0,1,"")</f>
        <v/>
      </c>
    </row>
    <row r="153">
      <c r="A153" s="35" t="n">
        <v>32955</v>
      </c>
      <c r="B153" s="4" t="n">
        <v>0.37</v>
      </c>
      <c r="C153" s="4" t="n">
        <v>0.39</v>
      </c>
      <c r="D153" s="4" t="n">
        <v>0.24</v>
      </c>
      <c r="E153" s="63" t="n">
        <v>1</v>
      </c>
      <c r="F153" s="63" t="n">
        <v>0.2325</v>
      </c>
      <c r="G153" s="63" t="n">
        <v>0.13</v>
      </c>
      <c r="H153" s="63" t="n">
        <v>0.384907436629</v>
      </c>
      <c r="I153" s="63" t="n">
        <v>0.48829287048</v>
      </c>
      <c r="J153" s="63" t="n">
        <v>0.281522002778</v>
      </c>
      <c r="K153" s="63" t="n">
        <v>343.53</v>
      </c>
      <c r="L153" s="63" t="n">
        <v>335.65</v>
      </c>
      <c r="M153" s="63" t="n">
        <v>337.22</v>
      </c>
      <c r="N153" s="54">
        <f>(M154-M153)/M153</f>
        <v/>
      </c>
      <c r="O153" s="54">
        <f>(M157-M153)/M153</f>
        <v/>
      </c>
      <c r="P153" s="4">
        <f>B153-D153</f>
        <v/>
      </c>
      <c r="Q153" s="4">
        <f>AVERAGE(P150:P153)</f>
        <v/>
      </c>
      <c r="R153" s="54">
        <f>(M154-M153)/M153</f>
        <v/>
      </c>
      <c r="S153" s="54">
        <f>(M157-M153)/M153</f>
        <v/>
      </c>
      <c r="T153" s="63">
        <f>IF(R153&gt;0,1,"")</f>
        <v/>
      </c>
      <c r="U153" s="63">
        <f>IF(S153&gt;0,1,"")</f>
        <v/>
      </c>
    </row>
    <row r="154">
      <c r="A154" s="35" t="n">
        <v>32962</v>
      </c>
      <c r="B154" s="4" t="n">
        <v>0.34</v>
      </c>
      <c r="C154" s="4" t="n">
        <v>0.35</v>
      </c>
      <c r="D154" s="4" t="n">
        <v>0.31</v>
      </c>
      <c r="E154" s="63" t="n">
        <v>1</v>
      </c>
      <c r="F154" s="63" t="n">
        <v>0.25625</v>
      </c>
      <c r="G154" s="63" t="n">
        <v>0.03</v>
      </c>
      <c r="H154" s="63" t="n">
        <v>0.384907436629</v>
      </c>
      <c r="I154" s="63" t="n">
        <v>0.48829287048</v>
      </c>
      <c r="J154" s="63" t="n">
        <v>0.281522002778</v>
      </c>
      <c r="K154" s="63" t="n">
        <v>342</v>
      </c>
      <c r="L154" s="63" t="n">
        <v>337.63</v>
      </c>
      <c r="M154" s="63" t="n">
        <v>339.94</v>
      </c>
      <c r="N154" s="54">
        <f>(M155-M154)/M154</f>
        <v/>
      </c>
      <c r="O154" s="54">
        <f>(M158-M154)/M154</f>
        <v/>
      </c>
      <c r="P154" s="4">
        <f>B154-D154</f>
        <v/>
      </c>
      <c r="Q154" s="4">
        <f>AVERAGE(P151:P154)</f>
        <v/>
      </c>
      <c r="R154" s="54">
        <f>(M155-M154)/M154</f>
        <v/>
      </c>
      <c r="S154" s="54">
        <f>(M158-M154)/M154</f>
        <v/>
      </c>
      <c r="T154" s="63">
        <f>IF(R154&gt;0,1,"")</f>
        <v/>
      </c>
      <c r="U154" s="63">
        <f>IF(S154&gt;0,1,"")</f>
        <v/>
      </c>
    </row>
    <row r="155">
      <c r="A155" s="35" t="n">
        <v>32969</v>
      </c>
      <c r="B155" s="4" t="n">
        <v>0.38</v>
      </c>
      <c r="C155" s="4" t="n">
        <v>0.37</v>
      </c>
      <c r="D155" s="4" t="n">
        <v>0.25</v>
      </c>
      <c r="E155" s="63" t="n">
        <v>1</v>
      </c>
      <c r="F155" s="63" t="n">
        <v>0.28</v>
      </c>
      <c r="G155" s="63" t="n">
        <v>0.13</v>
      </c>
      <c r="H155" s="63" t="n">
        <v>0.384907436629</v>
      </c>
      <c r="I155" s="63" t="n">
        <v>0.48829287048</v>
      </c>
      <c r="J155" s="63" t="n">
        <v>0.281522002778</v>
      </c>
      <c r="K155" s="63" t="n">
        <v>343.64</v>
      </c>
      <c r="L155" s="63" t="n">
        <v>338.7</v>
      </c>
      <c r="M155" s="63" t="n">
        <v>340.08</v>
      </c>
      <c r="N155" s="54">
        <f>(M156-M155)/M155</f>
        <v/>
      </c>
      <c r="O155" s="54">
        <f>(M159-M155)/M155</f>
        <v/>
      </c>
      <c r="P155" s="4">
        <f>B155-D155</f>
        <v/>
      </c>
      <c r="Q155" s="4">
        <f>AVERAGE(P152:P155)</f>
        <v/>
      </c>
      <c r="R155" s="54">
        <f>(M156-M155)/M155</f>
        <v/>
      </c>
      <c r="S155" s="54">
        <f>(M159-M155)/M155</f>
        <v/>
      </c>
      <c r="T155" s="63">
        <f>IF(R155&gt;0,1,"")</f>
        <v/>
      </c>
      <c r="U155" s="63">
        <f>IF(S155&gt;0,1,"")</f>
        <v/>
      </c>
    </row>
    <row r="156">
      <c r="A156" s="35" t="n">
        <v>32975</v>
      </c>
      <c r="B156" s="4" t="n">
        <v>0.27</v>
      </c>
      <c r="C156" s="4" t="n">
        <v>0.5600000000000001</v>
      </c>
      <c r="D156" s="4" t="n">
        <v>0.17</v>
      </c>
      <c r="E156" s="63" t="n">
        <v>1</v>
      </c>
      <c r="F156" s="63" t="n">
        <v>0.285</v>
      </c>
      <c r="G156" s="63" t="n">
        <v>0.1</v>
      </c>
      <c r="H156" s="63" t="n">
        <v>0.384907436629</v>
      </c>
      <c r="I156" s="63" t="n">
        <v>0.48829287048</v>
      </c>
      <c r="J156" s="63" t="n">
        <v>0.281522002778</v>
      </c>
      <c r="K156" s="63" t="n">
        <v>344.34</v>
      </c>
      <c r="L156" s="63" t="n">
        <v>341.37</v>
      </c>
      <c r="M156" s="63" t="n">
        <v>344.34</v>
      </c>
      <c r="N156" s="54">
        <f>(M157-M156)/M156</f>
        <v/>
      </c>
      <c r="O156" s="54">
        <f>(M160-M156)/M156</f>
        <v/>
      </c>
      <c r="P156" s="4">
        <f>B156-D156</f>
        <v/>
      </c>
      <c r="Q156" s="4">
        <f>AVERAGE(P153:P156)</f>
        <v/>
      </c>
      <c r="R156" s="54">
        <f>(M157-M156)/M156</f>
        <v/>
      </c>
      <c r="S156" s="54">
        <f>(M160-M156)/M156</f>
        <v/>
      </c>
      <c r="T156" s="63">
        <f>IF(R156&gt;0,1,"")</f>
        <v/>
      </c>
      <c r="U156" s="63">
        <f>IF(S156&gt;0,1,"")</f>
        <v/>
      </c>
    </row>
    <row r="157">
      <c r="A157" s="35" t="n">
        <v>32983</v>
      </c>
      <c r="B157" s="4" t="n">
        <v>0.34</v>
      </c>
      <c r="C157" s="4" t="n">
        <v>0.43</v>
      </c>
      <c r="D157" s="4" t="n">
        <v>0.23</v>
      </c>
      <c r="E157" s="63" t="n">
        <v>1</v>
      </c>
      <c r="F157" s="63" t="n">
        <v>0.2975</v>
      </c>
      <c r="G157" s="63" t="n">
        <v>0.11</v>
      </c>
      <c r="H157" s="63" t="n">
        <v>0.384907436629</v>
      </c>
      <c r="I157" s="63" t="n">
        <v>0.48829287048</v>
      </c>
      <c r="J157" s="63" t="n">
        <v>0.281522002778</v>
      </c>
      <c r="K157" s="63" t="n">
        <v>344.74</v>
      </c>
      <c r="L157" s="63" t="n">
        <v>335.12</v>
      </c>
      <c r="M157" s="63" t="n">
        <v>335.12</v>
      </c>
      <c r="N157" s="54">
        <f>(M158-M157)/M157</f>
        <v/>
      </c>
      <c r="O157" s="54">
        <f>(M161-M157)/M157</f>
        <v/>
      </c>
      <c r="P157" s="4">
        <f>B157-D157</f>
        <v/>
      </c>
      <c r="Q157" s="4">
        <f>AVERAGE(P154:P157)</f>
        <v/>
      </c>
      <c r="R157" s="54">
        <f>(M158-M157)/M157</f>
        <v/>
      </c>
      <c r="S157" s="54">
        <f>(M161-M157)/M157</f>
        <v/>
      </c>
      <c r="T157" s="63">
        <f>IF(R157&gt;0,1,"")</f>
        <v/>
      </c>
      <c r="U157" s="63">
        <f>IF(S157&gt;0,1,"")</f>
        <v/>
      </c>
    </row>
    <row r="158">
      <c r="A158" s="35" t="n">
        <v>32990</v>
      </c>
      <c r="B158" s="4" t="n">
        <v>0.28</v>
      </c>
      <c r="C158" s="4" t="n">
        <v>0.35</v>
      </c>
      <c r="D158" s="4" t="n">
        <v>0.37</v>
      </c>
      <c r="E158" s="63" t="n">
        <v>1</v>
      </c>
      <c r="F158" s="63" t="n">
        <v>0.30625</v>
      </c>
      <c r="G158" s="63" t="n">
        <v>-0.09</v>
      </c>
      <c r="H158" s="63" t="n">
        <v>0.384907436629</v>
      </c>
      <c r="I158" s="63" t="n">
        <v>0.48829287048</v>
      </c>
      <c r="J158" s="63" t="n">
        <v>0.281522002778</v>
      </c>
      <c r="K158" s="63" t="n">
        <v>332.92</v>
      </c>
      <c r="L158" s="63" t="n">
        <v>329.11</v>
      </c>
      <c r="M158" s="63" t="n">
        <v>329.11</v>
      </c>
      <c r="N158" s="54">
        <f>(M159-M158)/M158</f>
        <v/>
      </c>
      <c r="O158" s="54">
        <f>(M162-M158)/M158</f>
        <v/>
      </c>
      <c r="P158" s="4">
        <f>B158-D158</f>
        <v/>
      </c>
      <c r="Q158" s="4">
        <f>AVERAGE(P155:P158)</f>
        <v/>
      </c>
      <c r="R158" s="54">
        <f>(M159-M158)/M158</f>
        <v/>
      </c>
      <c r="S158" s="54">
        <f>(M162-M158)/M158</f>
        <v/>
      </c>
      <c r="T158" s="63">
        <f>IF(R158&gt;0,1,"")</f>
        <v/>
      </c>
      <c r="U158" s="63">
        <f>IF(S158&gt;0,1,"")</f>
        <v/>
      </c>
    </row>
    <row r="159">
      <c r="A159" s="35" t="n">
        <v>32997</v>
      </c>
      <c r="B159" s="4" t="n">
        <v>0.2</v>
      </c>
      <c r="C159" s="4" t="n">
        <v>0.35</v>
      </c>
      <c r="D159" s="4" t="n">
        <v>0.45</v>
      </c>
      <c r="E159" s="63" t="n">
        <v>1</v>
      </c>
      <c r="F159" s="63" t="n">
        <v>0.30375</v>
      </c>
      <c r="G159" s="63" t="n">
        <v>-0.25</v>
      </c>
      <c r="H159" s="63" t="n">
        <v>0.384907436629</v>
      </c>
      <c r="I159" s="63" t="n">
        <v>0.48829287048</v>
      </c>
      <c r="J159" s="63" t="n">
        <v>0.281522002778</v>
      </c>
      <c r="K159" s="63" t="n">
        <v>338.39</v>
      </c>
      <c r="L159" s="63" t="n">
        <v>330.8</v>
      </c>
      <c r="M159" s="63" t="n">
        <v>338.39</v>
      </c>
      <c r="N159" s="54">
        <f>(M160-M159)/M159</f>
        <v/>
      </c>
      <c r="O159" s="54">
        <f>(M163-M159)/M159</f>
        <v/>
      </c>
      <c r="P159" s="4">
        <f>B159-D159</f>
        <v/>
      </c>
      <c r="Q159" s="4">
        <f>AVERAGE(P156:P159)</f>
        <v/>
      </c>
      <c r="R159" s="54">
        <f>(M160-M159)/M159</f>
        <v/>
      </c>
      <c r="S159" s="54">
        <f>(M163-M159)/M159</f>
        <v/>
      </c>
      <c r="T159" s="63">
        <f>IF(R159&gt;0,1,"")</f>
        <v/>
      </c>
      <c r="U159" s="63">
        <f>IF(S159&gt;0,1,"")</f>
        <v/>
      </c>
    </row>
    <row r="160">
      <c r="A160" s="35" t="n">
        <v>33004</v>
      </c>
      <c r="B160" s="4" t="n">
        <v>0.28</v>
      </c>
      <c r="C160" s="4" t="n">
        <v>0.38</v>
      </c>
      <c r="D160" s="4" t="n">
        <v>0.34</v>
      </c>
      <c r="E160" s="63" t="n">
        <v>1</v>
      </c>
      <c r="F160" s="63" t="n">
        <v>0.3075</v>
      </c>
      <c r="G160" s="63" t="n">
        <v>-0.06</v>
      </c>
      <c r="H160" s="63" t="n">
        <v>0.384907436629</v>
      </c>
      <c r="I160" s="63" t="n">
        <v>0.48829287048</v>
      </c>
      <c r="J160" s="63" t="n">
        <v>0.281522002778</v>
      </c>
      <c r="K160" s="63" t="n">
        <v>352</v>
      </c>
      <c r="L160" s="63" t="n">
        <v>340.53</v>
      </c>
      <c r="M160" s="63" t="n">
        <v>352</v>
      </c>
      <c r="N160" s="54">
        <f>(M161-M160)/M160</f>
        <v/>
      </c>
      <c r="O160" s="54">
        <f>(M164-M160)/M160</f>
        <v/>
      </c>
      <c r="P160" s="4">
        <f>B160-D160</f>
        <v/>
      </c>
      <c r="Q160" s="4">
        <f>AVERAGE(P157:P160)</f>
        <v/>
      </c>
      <c r="R160" s="54">
        <f>(M161-M160)/M160</f>
        <v/>
      </c>
      <c r="S160" s="54">
        <f>(M164-M160)/M160</f>
        <v/>
      </c>
      <c r="T160" s="63">
        <f>IF(R160&gt;0,1,"")</f>
        <v/>
      </c>
      <c r="U160" s="63">
        <f>IF(S160&gt;0,1,"")</f>
        <v/>
      </c>
    </row>
    <row r="161">
      <c r="A161" s="35" t="n">
        <v>33011</v>
      </c>
      <c r="B161" s="4" t="n">
        <v>0.37</v>
      </c>
      <c r="C161" s="4" t="n">
        <v>0.35</v>
      </c>
      <c r="D161" s="4" t="n">
        <v>0.28</v>
      </c>
      <c r="E161" s="63" t="n">
        <v>1</v>
      </c>
      <c r="F161" s="63" t="n">
        <v>0.3075</v>
      </c>
      <c r="G161" s="63" t="n">
        <v>0.09</v>
      </c>
      <c r="H161" s="63" t="n">
        <v>0.384907436629</v>
      </c>
      <c r="I161" s="63" t="n">
        <v>0.48829287048</v>
      </c>
      <c r="J161" s="63" t="n">
        <v>0.281522002778</v>
      </c>
      <c r="K161" s="63" t="n">
        <v>354.75</v>
      </c>
      <c r="L161" s="63" t="n">
        <v>354</v>
      </c>
      <c r="M161" s="63" t="n">
        <v>354.64</v>
      </c>
      <c r="N161" s="54">
        <f>(M162-M161)/M161</f>
        <v/>
      </c>
      <c r="O161" s="54">
        <f>(M165-M161)/M161</f>
        <v/>
      </c>
      <c r="P161" s="4">
        <f>B161-D161</f>
        <v/>
      </c>
      <c r="Q161" s="4">
        <f>AVERAGE(P158:P161)</f>
        <v/>
      </c>
      <c r="R161" s="54">
        <f>(M162-M161)/M161</f>
        <v/>
      </c>
      <c r="S161" s="54">
        <f>(M165-M161)/M161</f>
        <v/>
      </c>
      <c r="T161" s="63">
        <f>IF(R161&gt;0,1,"")</f>
        <v/>
      </c>
      <c r="U161" s="63">
        <f>IF(S161&gt;0,1,"")</f>
        <v/>
      </c>
    </row>
    <row r="162">
      <c r="A162" s="35" t="n">
        <v>33018</v>
      </c>
      <c r="B162" s="4" t="n">
        <v>0.39</v>
      </c>
      <c r="C162" s="4" t="n">
        <v>0.32</v>
      </c>
      <c r="D162" s="4" t="n">
        <v>0.29</v>
      </c>
      <c r="E162" s="63" t="n">
        <v>1</v>
      </c>
      <c r="F162" s="63" t="n">
        <v>0.31375</v>
      </c>
      <c r="G162" s="63" t="n">
        <v>0.1</v>
      </c>
      <c r="H162" s="63" t="n">
        <v>0.384907436629</v>
      </c>
      <c r="I162" s="63" t="n">
        <v>0.48829287048</v>
      </c>
      <c r="J162" s="63" t="n">
        <v>0.281522002778</v>
      </c>
      <c r="K162" s="63" t="n">
        <v>359.29</v>
      </c>
      <c r="L162" s="63" t="n">
        <v>354.58</v>
      </c>
      <c r="M162" s="63" t="n">
        <v>354.58</v>
      </c>
      <c r="N162" s="54">
        <f>(M163-M162)/M162</f>
        <v/>
      </c>
      <c r="O162" s="54">
        <f>(M166-M162)/M162</f>
        <v/>
      </c>
      <c r="P162" s="4">
        <f>B162-D162</f>
        <v/>
      </c>
      <c r="Q162" s="4">
        <f>AVERAGE(P159:P162)</f>
        <v/>
      </c>
      <c r="R162" s="54">
        <f>(M163-M162)/M162</f>
        <v/>
      </c>
      <c r="S162" s="54">
        <f>(M166-M162)/M162</f>
        <v/>
      </c>
      <c r="T162" s="63">
        <f>IF(R162&gt;0,1,"")</f>
        <v/>
      </c>
      <c r="U162" s="63">
        <f>IF(S162&gt;0,1,"")</f>
        <v/>
      </c>
    </row>
    <row r="163">
      <c r="A163" s="35" t="n">
        <v>33025</v>
      </c>
      <c r="B163" s="4" t="n">
        <v>0.37</v>
      </c>
      <c r="C163" s="4" t="n">
        <v>0.28</v>
      </c>
      <c r="D163" s="4" t="n">
        <v>0.35</v>
      </c>
      <c r="E163" s="63" t="n">
        <v>1</v>
      </c>
      <c r="F163" s="63" t="n">
        <v>0.3125</v>
      </c>
      <c r="G163" s="63" t="n">
        <v>0.02</v>
      </c>
      <c r="H163" s="63" t="n">
        <v>0.384907436629</v>
      </c>
      <c r="I163" s="63" t="n">
        <v>0.48829287048</v>
      </c>
      <c r="J163" s="63" t="n">
        <v>0.281522002778</v>
      </c>
      <c r="K163" s="63" t="n">
        <v>363.16</v>
      </c>
      <c r="L163" s="63" t="n">
        <v>360.65</v>
      </c>
      <c r="M163" s="63" t="n">
        <v>363.16</v>
      </c>
      <c r="N163" s="54">
        <f>(M164-M163)/M163</f>
        <v/>
      </c>
      <c r="O163" s="54">
        <f>(M167-M163)/M163</f>
        <v/>
      </c>
      <c r="P163" s="4">
        <f>B163-D163</f>
        <v/>
      </c>
      <c r="Q163" s="4">
        <f>AVERAGE(P160:P163)</f>
        <v/>
      </c>
      <c r="R163" s="54">
        <f>(M164-M163)/M163</f>
        <v/>
      </c>
      <c r="S163" s="54">
        <f>(M167-M163)/M163</f>
        <v/>
      </c>
      <c r="T163" s="63">
        <f>IF(R163&gt;0,1,"")</f>
        <v/>
      </c>
      <c r="U163" s="63">
        <f>IF(S163&gt;0,1,"")</f>
        <v/>
      </c>
    </row>
    <row r="164">
      <c r="A164" s="35" t="n">
        <v>33032</v>
      </c>
      <c r="B164" s="4" t="n">
        <v>0.35</v>
      </c>
      <c r="C164" s="4" t="n">
        <v>0.35</v>
      </c>
      <c r="D164" s="4" t="n">
        <v>0.3</v>
      </c>
      <c r="E164" s="63" t="n">
        <v>1</v>
      </c>
      <c r="F164" s="63" t="n">
        <v>0.3225</v>
      </c>
      <c r="G164" s="63" t="n">
        <v>0.05</v>
      </c>
      <c r="H164" s="63" t="n">
        <v>0.384907436629</v>
      </c>
      <c r="I164" s="63" t="n">
        <v>0.48829287048</v>
      </c>
      <c r="J164" s="63" t="n">
        <v>0.281522002778</v>
      </c>
      <c r="K164" s="63" t="n">
        <v>367.4</v>
      </c>
      <c r="L164" s="63" t="n">
        <v>358.71</v>
      </c>
      <c r="M164" s="63" t="n">
        <v>358.71</v>
      </c>
      <c r="N164" s="54">
        <f>(M165-M164)/M164</f>
        <v/>
      </c>
      <c r="O164" s="54">
        <f>(M168-M164)/M164</f>
        <v/>
      </c>
      <c r="P164" s="4">
        <f>B164-D164</f>
        <v/>
      </c>
      <c r="Q164" s="4">
        <f>AVERAGE(P161:P164)</f>
        <v/>
      </c>
      <c r="R164" s="54">
        <f>(M165-M164)/M164</f>
        <v/>
      </c>
      <c r="S164" s="54">
        <f>(M168-M164)/M164</f>
        <v/>
      </c>
      <c r="T164" s="63">
        <f>IF(R164&gt;0,1,"")</f>
        <v/>
      </c>
      <c r="U164" s="63">
        <f>IF(S164&gt;0,1,"")</f>
        <v/>
      </c>
    </row>
    <row r="165">
      <c r="A165" s="35" t="n">
        <v>33039</v>
      </c>
      <c r="B165" s="4" t="n">
        <v>0.43</v>
      </c>
      <c r="C165" s="4" t="n">
        <v>0.32</v>
      </c>
      <c r="D165" s="4" t="n">
        <v>0.25</v>
      </c>
      <c r="E165" s="63" t="n">
        <v>1</v>
      </c>
      <c r="F165" s="63" t="n">
        <v>0.33375</v>
      </c>
      <c r="G165" s="63" t="n">
        <v>0.18</v>
      </c>
      <c r="H165" s="63" t="n">
        <v>0.384907436629</v>
      </c>
      <c r="I165" s="63" t="n">
        <v>0.48829287048</v>
      </c>
      <c r="J165" s="63" t="n">
        <v>0.281522002778</v>
      </c>
      <c r="K165" s="63" t="n">
        <v>366.25</v>
      </c>
      <c r="L165" s="63" t="n">
        <v>361.63</v>
      </c>
      <c r="M165" s="63" t="n">
        <v>362.91</v>
      </c>
      <c r="N165" s="54">
        <f>(M166-M165)/M165</f>
        <v/>
      </c>
      <c r="O165" s="54">
        <f>(M169-M165)/M165</f>
        <v/>
      </c>
      <c r="P165" s="4">
        <f>B165-D165</f>
        <v/>
      </c>
      <c r="Q165" s="4">
        <f>AVERAGE(P162:P165)</f>
        <v/>
      </c>
      <c r="R165" s="54">
        <f>(M166-M165)/M165</f>
        <v/>
      </c>
      <c r="S165" s="54">
        <f>(M169-M165)/M165</f>
        <v/>
      </c>
      <c r="T165" s="63">
        <f>IF(R165&gt;0,1,"")</f>
        <v/>
      </c>
      <c r="U165" s="63">
        <f>IF(S165&gt;0,1,"")</f>
        <v/>
      </c>
    </row>
    <row r="166">
      <c r="A166" s="35" t="n">
        <v>33046</v>
      </c>
      <c r="B166" s="4" t="n">
        <v>0.34</v>
      </c>
      <c r="C166" s="4" t="n">
        <v>0.32</v>
      </c>
      <c r="D166" s="4" t="n">
        <v>0.34</v>
      </c>
      <c r="E166" s="63" t="n">
        <v>1</v>
      </c>
      <c r="F166" s="63" t="n">
        <v>0.34125</v>
      </c>
      <c r="G166" s="63" t="n">
        <v>0</v>
      </c>
      <c r="H166" s="63" t="n">
        <v>0.384907436629</v>
      </c>
      <c r="I166" s="63" t="n">
        <v>0.48829287048</v>
      </c>
      <c r="J166" s="63" t="n">
        <v>0.281522002778</v>
      </c>
      <c r="K166" s="63" t="n">
        <v>360.47</v>
      </c>
      <c r="L166" s="63" t="n">
        <v>355.43</v>
      </c>
      <c r="M166" s="63" t="n">
        <v>355.43</v>
      </c>
      <c r="N166" s="54">
        <f>(M167-M166)/M166</f>
        <v/>
      </c>
      <c r="O166" s="54">
        <f>(M170-M166)/M166</f>
        <v/>
      </c>
      <c r="P166" s="4">
        <f>B166-D166</f>
        <v/>
      </c>
      <c r="Q166" s="4">
        <f>AVERAGE(P163:P166)</f>
        <v/>
      </c>
      <c r="R166" s="54">
        <f>(M167-M166)/M166</f>
        <v/>
      </c>
      <c r="S166" s="54">
        <f>(M170-M166)/M166</f>
        <v/>
      </c>
      <c r="T166" s="63">
        <f>IF(R166&gt;0,1,"")</f>
        <v/>
      </c>
      <c r="U166" s="63">
        <f>IF(S166&gt;0,1,"")</f>
        <v/>
      </c>
    </row>
    <row r="167">
      <c r="A167" s="35" t="n">
        <v>33053</v>
      </c>
      <c r="B167" s="4" t="n">
        <v>0.31</v>
      </c>
      <c r="C167" s="4" t="n">
        <v>0.31</v>
      </c>
      <c r="D167" s="4" t="n">
        <v>0.38</v>
      </c>
      <c r="E167" s="63" t="n">
        <v>1</v>
      </c>
      <c r="F167" s="63" t="n">
        <v>0.355</v>
      </c>
      <c r="G167" s="63" t="n">
        <v>-0.07000000000000001</v>
      </c>
      <c r="H167" s="63" t="n">
        <v>0.384907436629</v>
      </c>
      <c r="I167" s="63" t="n">
        <v>0.48829287048</v>
      </c>
      <c r="J167" s="63" t="n">
        <v>0.281522002778</v>
      </c>
      <c r="K167" s="63" t="n">
        <v>358.02</v>
      </c>
      <c r="L167" s="63" t="n">
        <v>352.06</v>
      </c>
      <c r="M167" s="63" t="n">
        <v>358.02</v>
      </c>
      <c r="N167" s="54">
        <f>(M168-M167)/M167</f>
        <v/>
      </c>
      <c r="O167" s="54">
        <f>(M171-M167)/M167</f>
        <v/>
      </c>
      <c r="P167" s="4">
        <f>B167-D167</f>
        <v/>
      </c>
      <c r="Q167" s="4">
        <f>AVERAGE(P164:P167)</f>
        <v/>
      </c>
      <c r="R167" s="54">
        <f>(M168-M167)/M167</f>
        <v/>
      </c>
      <c r="S167" s="54">
        <f>(M171-M167)/M167</f>
        <v/>
      </c>
      <c r="T167" s="63">
        <f>IF(R167&gt;0,1,"")</f>
        <v/>
      </c>
      <c r="U167" s="63">
        <f>IF(S167&gt;0,1,"")</f>
        <v/>
      </c>
    </row>
    <row r="168">
      <c r="A168" s="35" t="n">
        <v>33060</v>
      </c>
      <c r="B168" s="4" t="n">
        <v>0.28</v>
      </c>
      <c r="C168" s="4" t="n">
        <v>0.34</v>
      </c>
      <c r="D168" s="4" t="n">
        <v>0.38</v>
      </c>
      <c r="E168" s="63" t="n">
        <v>1</v>
      </c>
      <c r="F168" s="63" t="n">
        <v>0.355</v>
      </c>
      <c r="G168" s="63" t="n">
        <v>-0.1</v>
      </c>
      <c r="H168" s="63" t="n">
        <v>0.384907436629</v>
      </c>
      <c r="I168" s="63" t="n">
        <v>0.48829287048</v>
      </c>
      <c r="J168" s="63" t="n">
        <v>0.281522002778</v>
      </c>
      <c r="K168" s="63" t="n">
        <v>360.16</v>
      </c>
      <c r="L168" s="63" t="n">
        <v>355.68</v>
      </c>
      <c r="M168" s="63" t="n">
        <v>358.42</v>
      </c>
      <c r="N168" s="54">
        <f>(M169-M168)/M168</f>
        <v/>
      </c>
      <c r="O168" s="54">
        <f>(M172-M168)/M168</f>
        <v/>
      </c>
      <c r="P168" s="4">
        <f>B168-D168</f>
        <v/>
      </c>
      <c r="Q168" s="4">
        <f>AVERAGE(P165:P168)</f>
        <v/>
      </c>
      <c r="R168" s="54">
        <f>(M169-M168)/M168</f>
        <v/>
      </c>
      <c r="S168" s="54">
        <f>(M172-M168)/M168</f>
        <v/>
      </c>
      <c r="T168" s="63">
        <f>IF(R168&gt;0,1,"")</f>
        <v/>
      </c>
      <c r="U168" s="63">
        <f>IF(S168&gt;0,1,"")</f>
        <v/>
      </c>
    </row>
    <row r="169">
      <c r="A169" s="35" t="n">
        <v>33067</v>
      </c>
      <c r="B169" s="4" t="n">
        <v>0.4</v>
      </c>
      <c r="C169" s="4" t="n">
        <v>0.3</v>
      </c>
      <c r="D169" s="4" t="n">
        <v>0.3</v>
      </c>
      <c r="E169" s="63" t="n">
        <v>1</v>
      </c>
      <c r="F169" s="63" t="n">
        <v>0.35875</v>
      </c>
      <c r="G169" s="63" t="n">
        <v>0.1</v>
      </c>
      <c r="H169" s="63" t="n">
        <v>0.384907436629</v>
      </c>
      <c r="I169" s="63" t="n">
        <v>0.48829287048</v>
      </c>
      <c r="J169" s="63" t="n">
        <v>0.281522002778</v>
      </c>
      <c r="K169" s="63" t="n">
        <v>367.31</v>
      </c>
      <c r="L169" s="63" t="n">
        <v>356.49</v>
      </c>
      <c r="M169" s="63" t="n">
        <v>367.31</v>
      </c>
      <c r="N169" s="54">
        <f>(M170-M169)/M169</f>
        <v/>
      </c>
      <c r="O169" s="54">
        <f>(M173-M169)/M169</f>
        <v/>
      </c>
      <c r="P169" s="4">
        <f>B169-D169</f>
        <v/>
      </c>
      <c r="Q169" s="4">
        <f>AVERAGE(P166:P169)</f>
        <v/>
      </c>
      <c r="R169" s="54">
        <f>(M170-M169)/M169</f>
        <v/>
      </c>
      <c r="S169" s="54">
        <f>(M173-M169)/M169</f>
        <v/>
      </c>
      <c r="T169" s="63">
        <f>IF(R169&gt;0,1,"")</f>
        <v/>
      </c>
      <c r="U169" s="63">
        <f>IF(S169&gt;0,1,"")</f>
        <v/>
      </c>
    </row>
    <row r="170">
      <c r="A170" s="35" t="n">
        <v>33074</v>
      </c>
      <c r="B170" s="4" t="n">
        <v>0.4</v>
      </c>
      <c r="C170" s="4" t="n">
        <v>0.3</v>
      </c>
      <c r="D170" s="4" t="n">
        <v>0.3</v>
      </c>
      <c r="E170" s="63" t="n">
        <v>1</v>
      </c>
      <c r="F170" s="63" t="n">
        <v>0.36</v>
      </c>
      <c r="G170" s="63" t="n">
        <v>0.1</v>
      </c>
      <c r="H170" s="63" t="n">
        <v>0.384907436629</v>
      </c>
      <c r="I170" s="63" t="n">
        <v>0.48829287048</v>
      </c>
      <c r="J170" s="63" t="n">
        <v>0.281522002778</v>
      </c>
      <c r="K170" s="63" t="n">
        <v>368.95</v>
      </c>
      <c r="L170" s="63" t="n">
        <v>361.61</v>
      </c>
      <c r="M170" s="63" t="n">
        <v>361.61</v>
      </c>
      <c r="N170" s="54">
        <f>(M171-M170)/M170</f>
        <v/>
      </c>
      <c r="O170" s="54">
        <f>(M174-M170)/M170</f>
        <v/>
      </c>
      <c r="P170" s="4">
        <f>B170-D170</f>
        <v/>
      </c>
      <c r="Q170" s="4">
        <f>AVERAGE(P167:P170)</f>
        <v/>
      </c>
      <c r="R170" s="54">
        <f>(M171-M170)/M170</f>
        <v/>
      </c>
      <c r="S170" s="54">
        <f>(M174-M170)/M170</f>
        <v/>
      </c>
      <c r="T170" s="63">
        <f>IF(R170&gt;0,1,"")</f>
        <v/>
      </c>
      <c r="U170" s="63">
        <f>IF(S170&gt;0,1,"")</f>
        <v/>
      </c>
    </row>
    <row r="171">
      <c r="A171" s="35" t="n">
        <v>33081</v>
      </c>
      <c r="B171" s="4" t="n">
        <v>0.52</v>
      </c>
      <c r="C171" s="4" t="n">
        <v>0.24</v>
      </c>
      <c r="D171" s="4" t="n">
        <v>0.24</v>
      </c>
      <c r="E171" s="63" t="n">
        <v>1</v>
      </c>
      <c r="F171" s="63" t="n">
        <v>0.37875</v>
      </c>
      <c r="G171" s="63" t="n">
        <v>0.28</v>
      </c>
      <c r="H171" s="63" t="n">
        <v>0.384907436629</v>
      </c>
      <c r="I171" s="63" t="n">
        <v>0.48829287048</v>
      </c>
      <c r="J171" s="63" t="n">
        <v>0.281522002778</v>
      </c>
      <c r="K171" s="63" t="n">
        <v>357.09</v>
      </c>
      <c r="L171" s="63" t="n">
        <v>353.44</v>
      </c>
      <c r="M171" s="63" t="n">
        <v>353.44</v>
      </c>
      <c r="N171" s="54">
        <f>(M172-M171)/M171</f>
        <v/>
      </c>
      <c r="O171" s="54">
        <f>(M175-M171)/M171</f>
        <v/>
      </c>
      <c r="P171" s="4">
        <f>B171-D171</f>
        <v/>
      </c>
      <c r="Q171" s="4">
        <f>AVERAGE(P168:P171)</f>
        <v/>
      </c>
      <c r="R171" s="54">
        <f>(M172-M171)/M171</f>
        <v/>
      </c>
      <c r="S171" s="54">
        <f>(M175-M171)/M171</f>
        <v/>
      </c>
      <c r="T171" s="63">
        <f>IF(R171&gt;0,1,"")</f>
        <v/>
      </c>
      <c r="U171" s="63">
        <f>IF(S171&gt;0,1,"")</f>
        <v/>
      </c>
    </row>
    <row r="172">
      <c r="A172" s="35" t="n">
        <v>33088</v>
      </c>
      <c r="B172" s="4" t="n">
        <v>0.26</v>
      </c>
      <c r="C172" s="4" t="n">
        <v>0.28</v>
      </c>
      <c r="D172" s="4" t="n">
        <v>0.46</v>
      </c>
      <c r="E172" s="63" t="n">
        <v>1</v>
      </c>
      <c r="F172" s="63" t="n">
        <v>0.3675</v>
      </c>
      <c r="G172" s="63" t="n">
        <v>-0.2</v>
      </c>
      <c r="H172" s="63" t="n">
        <v>0.384907436629</v>
      </c>
      <c r="I172" s="63" t="n">
        <v>0.48829287048</v>
      </c>
      <c r="J172" s="63" t="n">
        <v>0.281522002778</v>
      </c>
      <c r="K172" s="63" t="n">
        <v>356.15</v>
      </c>
      <c r="L172" s="63" t="n">
        <v>344.86</v>
      </c>
      <c r="M172" s="63" t="n">
        <v>344.86</v>
      </c>
      <c r="N172" s="54">
        <f>(M173-M172)/M172</f>
        <v/>
      </c>
      <c r="O172" s="54">
        <f>(M176-M172)/M172</f>
        <v/>
      </c>
      <c r="P172" s="4">
        <f>B172-D172</f>
        <v/>
      </c>
      <c r="Q172" s="4">
        <f>AVERAGE(P169:P172)</f>
        <v/>
      </c>
      <c r="R172" s="54">
        <f>(M173-M172)/M172</f>
        <v/>
      </c>
      <c r="S172" s="54">
        <f>(M176-M172)/M172</f>
        <v/>
      </c>
      <c r="T172" s="63">
        <f>IF(R172&gt;0,1,"")</f>
        <v/>
      </c>
      <c r="U172" s="63">
        <f>IF(S172&gt;0,1,"")</f>
        <v/>
      </c>
    </row>
    <row r="173">
      <c r="A173" s="35" t="n">
        <v>33095</v>
      </c>
      <c r="B173" s="4" t="n">
        <v>0.25</v>
      </c>
      <c r="C173" s="4" t="n">
        <v>0.21</v>
      </c>
      <c r="D173" s="4" t="n">
        <v>0.54</v>
      </c>
      <c r="E173" s="63" t="n">
        <v>1</v>
      </c>
      <c r="F173" s="63" t="n">
        <v>0.345</v>
      </c>
      <c r="G173" s="63" t="n">
        <v>-0.29</v>
      </c>
      <c r="H173" s="63" t="n">
        <v>0.384907436629</v>
      </c>
      <c r="I173" s="63" t="n">
        <v>0.48829287048</v>
      </c>
      <c r="J173" s="63" t="n">
        <v>0.281522002778</v>
      </c>
      <c r="K173" s="63" t="n">
        <v>339.94</v>
      </c>
      <c r="L173" s="63" t="n">
        <v>334.43</v>
      </c>
      <c r="M173" s="63" t="n">
        <v>335.52</v>
      </c>
      <c r="N173" s="54">
        <f>(M174-M173)/M173</f>
        <v/>
      </c>
      <c r="O173" s="54">
        <f>(M177-M173)/M173</f>
        <v/>
      </c>
      <c r="P173" s="4">
        <f>B173-D173</f>
        <v/>
      </c>
      <c r="Q173" s="4">
        <f>AVERAGE(P170:P173)</f>
        <v/>
      </c>
      <c r="R173" s="54">
        <f>(M174-M173)/M173</f>
        <v/>
      </c>
      <c r="S173" s="54">
        <f>(M177-M173)/M173</f>
        <v/>
      </c>
      <c r="T173" s="63">
        <f>IF(R173&gt;0,1,"")</f>
        <v/>
      </c>
      <c r="U173" s="63">
        <f>IF(S173&gt;0,1,"")</f>
        <v/>
      </c>
    </row>
    <row r="174">
      <c r="A174" s="35" t="n">
        <v>33102</v>
      </c>
      <c r="B174" s="4" t="n">
        <v>0.18</v>
      </c>
      <c r="C174" s="4" t="n">
        <v>0.23</v>
      </c>
      <c r="D174" s="4" t="n">
        <v>0.59</v>
      </c>
      <c r="E174" s="63" t="n">
        <v>1</v>
      </c>
      <c r="F174" s="63" t="n">
        <v>0.325</v>
      </c>
      <c r="G174" s="63" t="n">
        <v>-0.41</v>
      </c>
      <c r="H174" s="63" t="n">
        <v>0.384907436629</v>
      </c>
      <c r="I174" s="63" t="n">
        <v>0.48829287048</v>
      </c>
      <c r="J174" s="63" t="n">
        <v>0.281522002778</v>
      </c>
      <c r="K174" s="63" t="n">
        <v>340.06</v>
      </c>
      <c r="L174" s="63" t="n">
        <v>327.83</v>
      </c>
      <c r="M174" s="63" t="n">
        <v>327.83</v>
      </c>
      <c r="N174" s="54">
        <f>(M175-M174)/M174</f>
        <v/>
      </c>
      <c r="O174" s="54">
        <f>(M178-M174)/M174</f>
        <v/>
      </c>
      <c r="P174" s="4">
        <f>B174-D174</f>
        <v/>
      </c>
      <c r="Q174" s="4">
        <f>AVERAGE(P171:P174)</f>
        <v/>
      </c>
      <c r="R174" s="54">
        <f>(M175-M174)/M174</f>
        <v/>
      </c>
      <c r="S174" s="54">
        <f>(M178-M174)/M174</f>
        <v/>
      </c>
      <c r="T174" s="63">
        <f>IF(R174&gt;0,1,"")</f>
        <v/>
      </c>
      <c r="U174" s="63">
        <f>IF(S174&gt;0,1,"")</f>
        <v/>
      </c>
    </row>
    <row r="175">
      <c r="A175" s="35" t="n">
        <v>33109</v>
      </c>
      <c r="B175" s="4" t="n">
        <v>0.25</v>
      </c>
      <c r="C175" s="4" t="n">
        <v>0.24</v>
      </c>
      <c r="D175" s="4" t="n">
        <v>0.51</v>
      </c>
      <c r="E175" s="63" t="n">
        <v>1</v>
      </c>
      <c r="F175" s="63" t="n">
        <v>0.3175</v>
      </c>
      <c r="G175" s="63" t="n">
        <v>-0.26</v>
      </c>
      <c r="H175" s="63" t="n">
        <v>0.384907436629</v>
      </c>
      <c r="I175" s="63" t="n">
        <v>0.48829287048</v>
      </c>
      <c r="J175" s="63" t="n">
        <v>0.281522002778</v>
      </c>
      <c r="K175" s="63" t="n">
        <v>328.51</v>
      </c>
      <c r="L175" s="63" t="n">
        <v>307.06</v>
      </c>
      <c r="M175" s="63" t="n">
        <v>311.51</v>
      </c>
      <c r="N175" s="54">
        <f>(M176-M175)/M175</f>
        <v/>
      </c>
      <c r="O175" s="54">
        <f>(M179-M175)/M175</f>
        <v/>
      </c>
      <c r="P175" s="4">
        <f>B175-D175</f>
        <v/>
      </c>
      <c r="Q175" s="4">
        <f>AVERAGE(P172:P175)</f>
        <v/>
      </c>
      <c r="R175" s="54">
        <f>(M176-M175)/M175</f>
        <v/>
      </c>
      <c r="S175" s="54">
        <f>(M179-M175)/M175</f>
        <v/>
      </c>
      <c r="T175" s="63">
        <f>IF(R175&gt;0,1,"")</f>
        <v/>
      </c>
      <c r="U175" s="63">
        <f>IF(S175&gt;0,1,"")</f>
        <v/>
      </c>
    </row>
    <row r="176">
      <c r="A176" s="35" t="n">
        <v>33116</v>
      </c>
      <c r="B176" s="4" t="n">
        <v>0.23</v>
      </c>
      <c r="C176" s="4" t="n">
        <v>0.16</v>
      </c>
      <c r="D176" s="4" t="n">
        <v>0.61</v>
      </c>
      <c r="E176" s="63" t="n">
        <v>1</v>
      </c>
      <c r="F176" s="63" t="n">
        <v>0.31125</v>
      </c>
      <c r="G176" s="63" t="n">
        <v>-0.38</v>
      </c>
      <c r="H176" s="63" t="n">
        <v>0.384907436629</v>
      </c>
      <c r="I176" s="63" t="n">
        <v>0.48829287048</v>
      </c>
      <c r="J176" s="63" t="n">
        <v>0.281522002778</v>
      </c>
      <c r="K176" s="63" t="n">
        <v>324.19</v>
      </c>
      <c r="L176" s="63" t="n">
        <v>318.71</v>
      </c>
      <c r="M176" s="63" t="n">
        <v>322.56</v>
      </c>
      <c r="N176" s="54">
        <f>(M177-M176)/M176</f>
        <v/>
      </c>
      <c r="O176" s="54">
        <f>(M180-M176)/M176</f>
        <v/>
      </c>
      <c r="P176" s="4">
        <f>B176-D176</f>
        <v/>
      </c>
      <c r="Q176" s="4">
        <f>AVERAGE(P173:P176)</f>
        <v/>
      </c>
      <c r="R176" s="54">
        <f>(M177-M176)/M176</f>
        <v/>
      </c>
      <c r="S176" s="54">
        <f>(M180-M176)/M176</f>
        <v/>
      </c>
      <c r="T176" s="63">
        <f>IF(R176&gt;0,1,"")</f>
        <v/>
      </c>
      <c r="U176" s="63">
        <f>IF(S176&gt;0,1,"")</f>
        <v/>
      </c>
    </row>
    <row r="177">
      <c r="A177" s="35" t="n">
        <v>33123</v>
      </c>
      <c r="B177" s="4" t="n">
        <v>0.33</v>
      </c>
      <c r="C177" s="4" t="n">
        <v>0.18</v>
      </c>
      <c r="D177" s="4" t="n">
        <v>0.49</v>
      </c>
      <c r="E177" s="63" t="n">
        <v>1</v>
      </c>
      <c r="F177" s="63" t="n">
        <v>0.3025</v>
      </c>
      <c r="G177" s="63" t="n">
        <v>-0.16</v>
      </c>
      <c r="H177" s="63" t="n">
        <v>0.384907436629</v>
      </c>
      <c r="I177" s="63" t="n">
        <v>0.48829287048</v>
      </c>
      <c r="J177" s="63" t="n">
        <v>0.281522002778</v>
      </c>
      <c r="K177" s="63" t="n">
        <v>324.39</v>
      </c>
      <c r="L177" s="63" t="n">
        <v>320.46</v>
      </c>
      <c r="M177" s="63" t="n">
        <v>323.4</v>
      </c>
      <c r="N177" s="54">
        <f>(M178-M177)/M177</f>
        <v/>
      </c>
      <c r="O177" s="54">
        <f>(M181-M177)/M177</f>
        <v/>
      </c>
      <c r="P177" s="4">
        <f>B177-D177</f>
        <v/>
      </c>
      <c r="Q177" s="4">
        <f>AVERAGE(P174:P177)</f>
        <v/>
      </c>
      <c r="R177" s="54">
        <f>(M178-M177)/M177</f>
        <v/>
      </c>
      <c r="S177" s="54">
        <f>(M181-M177)/M177</f>
        <v/>
      </c>
      <c r="T177" s="63">
        <f>IF(R177&gt;0,1,"")</f>
        <v/>
      </c>
      <c r="U177" s="63">
        <f>IF(S177&gt;0,1,"")</f>
        <v/>
      </c>
    </row>
    <row r="178">
      <c r="A178" s="35" t="n">
        <v>33130</v>
      </c>
      <c r="B178" s="4" t="n">
        <v>0.16</v>
      </c>
      <c r="C178" s="4" t="n">
        <v>0.33</v>
      </c>
      <c r="D178" s="4" t="n">
        <v>0.51</v>
      </c>
      <c r="E178" s="63" t="n">
        <v>1</v>
      </c>
      <c r="F178" s="63" t="n">
        <v>0.2725</v>
      </c>
      <c r="G178" s="63" t="n">
        <v>-0.35</v>
      </c>
      <c r="H178" s="63" t="n">
        <v>0.384907436629</v>
      </c>
      <c r="I178" s="63" t="n">
        <v>0.48829287048</v>
      </c>
      <c r="J178" s="63" t="n">
        <v>0.281522002778</v>
      </c>
      <c r="K178" s="63" t="n">
        <v>322.54</v>
      </c>
      <c r="L178" s="63" t="n">
        <v>316.83</v>
      </c>
      <c r="M178" s="63" t="n">
        <v>316.83</v>
      </c>
      <c r="N178" s="54">
        <f>(M179-M178)/M178</f>
        <v/>
      </c>
      <c r="O178" s="54">
        <f>(M182-M178)/M178</f>
        <v/>
      </c>
      <c r="P178" s="4">
        <f>B178-D178</f>
        <v/>
      </c>
      <c r="Q178" s="4">
        <f>AVERAGE(P175:P178)</f>
        <v/>
      </c>
      <c r="R178" s="54">
        <f>(M179-M178)/M178</f>
        <v/>
      </c>
      <c r="S178" s="54">
        <f>(M182-M178)/M178</f>
        <v/>
      </c>
      <c r="T178" s="63">
        <f>IF(R178&gt;0,1,"")</f>
        <v/>
      </c>
      <c r="U178" s="63">
        <f>IF(S178&gt;0,1,"")</f>
        <v/>
      </c>
    </row>
    <row r="179">
      <c r="A179" s="35" t="n">
        <v>33137</v>
      </c>
      <c r="B179" s="4" t="n">
        <v>0.13</v>
      </c>
      <c r="C179" s="4" t="n">
        <v>0.31</v>
      </c>
      <c r="D179" s="4" t="n">
        <v>0.5600000000000001</v>
      </c>
      <c r="E179" s="63" t="n">
        <v>1</v>
      </c>
      <c r="F179" s="63" t="n">
        <v>0.22375</v>
      </c>
      <c r="G179" s="63" t="n">
        <v>-0.43</v>
      </c>
      <c r="H179" s="63" t="n">
        <v>0.384907436629</v>
      </c>
      <c r="I179" s="63" t="n">
        <v>0.48829287048</v>
      </c>
      <c r="J179" s="63" t="n">
        <v>0.281522002778</v>
      </c>
      <c r="K179" s="63" t="n">
        <v>318.6</v>
      </c>
      <c r="L179" s="63" t="n">
        <v>311.32</v>
      </c>
      <c r="M179" s="63" t="n">
        <v>311.32</v>
      </c>
      <c r="N179" s="54">
        <f>(M180-M179)/M179</f>
        <v/>
      </c>
      <c r="O179" s="54">
        <f>(M183-M179)/M179</f>
        <v/>
      </c>
      <c r="P179" s="4">
        <f>B179-D179</f>
        <v/>
      </c>
      <c r="Q179" s="4">
        <f>AVERAGE(P176:P179)</f>
        <v/>
      </c>
      <c r="R179" s="54">
        <f>(M180-M179)/M179</f>
        <v/>
      </c>
      <c r="S179" s="54">
        <f>(M183-M179)/M179</f>
        <v/>
      </c>
      <c r="T179" s="63">
        <f>IF(R179&gt;0,1,"")</f>
        <v/>
      </c>
      <c r="U179" s="63">
        <f>IF(S179&gt;0,1,"")</f>
        <v/>
      </c>
    </row>
    <row r="180">
      <c r="A180" s="35" t="n">
        <v>33144</v>
      </c>
      <c r="B180" s="4" t="n">
        <v>0.26</v>
      </c>
      <c r="C180" s="4" t="n">
        <v>0.2</v>
      </c>
      <c r="D180" s="4" t="n">
        <v>0.54</v>
      </c>
      <c r="E180" s="63" t="n">
        <v>1</v>
      </c>
      <c r="F180" s="63" t="n">
        <v>0.22375</v>
      </c>
      <c r="G180" s="63" t="n">
        <v>-0.28</v>
      </c>
      <c r="H180" s="63" t="n">
        <v>0.384907436629</v>
      </c>
      <c r="I180" s="63" t="n">
        <v>0.48829287048</v>
      </c>
      <c r="J180" s="63" t="n">
        <v>0.281522002778</v>
      </c>
      <c r="K180" s="63" t="n">
        <v>308.26</v>
      </c>
      <c r="L180" s="63" t="n">
        <v>300.97</v>
      </c>
      <c r="M180" s="63" t="n">
        <v>306.05</v>
      </c>
      <c r="N180" s="54">
        <f>(M181-M180)/M180</f>
        <v/>
      </c>
      <c r="O180" s="54">
        <f>(M184-M180)/M180</f>
        <v/>
      </c>
      <c r="P180" s="4">
        <f>B180-D180</f>
        <v/>
      </c>
      <c r="Q180" s="4">
        <f>AVERAGE(P177:P180)</f>
        <v/>
      </c>
      <c r="R180" s="54">
        <f>(M181-M180)/M180</f>
        <v/>
      </c>
      <c r="S180" s="54">
        <f>(M184-M180)/M180</f>
        <v/>
      </c>
      <c r="T180" s="63">
        <f>IF(R180&gt;0,1,"")</f>
        <v/>
      </c>
      <c r="U180" s="63">
        <f>IF(S180&gt;0,1,"")</f>
        <v/>
      </c>
    </row>
    <row r="181">
      <c r="A181" s="35" t="n">
        <v>33151</v>
      </c>
      <c r="B181" s="4" t="n">
        <v>0.15</v>
      </c>
      <c r="C181" s="4" t="n">
        <v>0.26</v>
      </c>
      <c r="D181" s="4" t="n">
        <v>0.59</v>
      </c>
      <c r="E181" s="63" t="n">
        <v>1</v>
      </c>
      <c r="F181" s="63" t="n">
        <v>0.21125</v>
      </c>
      <c r="G181" s="63" t="n">
        <v>-0.44</v>
      </c>
      <c r="H181" s="63" t="n">
        <v>0.384907436629</v>
      </c>
      <c r="I181" s="63" t="n">
        <v>0.48829287048</v>
      </c>
      <c r="J181" s="63" t="n">
        <v>0.281522002778</v>
      </c>
      <c r="K181" s="63" t="n">
        <v>315.21</v>
      </c>
      <c r="L181" s="63" t="n">
        <v>311.4</v>
      </c>
      <c r="M181" s="63" t="n">
        <v>311.5</v>
      </c>
      <c r="N181" s="54">
        <f>(M182-M181)/M181</f>
        <v/>
      </c>
      <c r="O181" s="54">
        <f>(M185-M181)/M181</f>
        <v/>
      </c>
      <c r="P181" s="4">
        <f>B181-D181</f>
        <v/>
      </c>
      <c r="Q181" s="4">
        <f>AVERAGE(P178:P181)</f>
        <v/>
      </c>
      <c r="R181" s="54">
        <f>(M182-M181)/M181</f>
        <v/>
      </c>
      <c r="S181" s="54">
        <f>(M185-M181)/M181</f>
        <v/>
      </c>
      <c r="T181" s="63">
        <f>IF(R181&gt;0,1,"")</f>
        <v/>
      </c>
      <c r="U181" s="63">
        <f>IF(S181&gt;0,1,"")</f>
        <v/>
      </c>
    </row>
    <row r="182">
      <c r="A182" s="35" t="n">
        <v>33158</v>
      </c>
      <c r="B182" s="4" t="n">
        <v>0.21</v>
      </c>
      <c r="C182" s="4" t="n">
        <v>0.27</v>
      </c>
      <c r="D182" s="4" t="n">
        <v>0.52</v>
      </c>
      <c r="E182" s="63" t="n">
        <v>1</v>
      </c>
      <c r="F182" s="63" t="n">
        <v>0.215</v>
      </c>
      <c r="G182" s="63" t="n">
        <v>-0.31</v>
      </c>
      <c r="H182" s="63" t="n">
        <v>0.384907436629</v>
      </c>
      <c r="I182" s="63" t="n">
        <v>0.48829287048</v>
      </c>
      <c r="J182" s="63" t="n">
        <v>0.281522002778</v>
      </c>
      <c r="K182" s="63" t="n">
        <v>313.48</v>
      </c>
      <c r="L182" s="63" t="n">
        <v>295.46</v>
      </c>
      <c r="M182" s="63" t="n">
        <v>300.03</v>
      </c>
      <c r="N182" s="54">
        <f>(M183-M182)/M182</f>
        <v/>
      </c>
      <c r="O182" s="54">
        <f>(M186-M182)/M182</f>
        <v/>
      </c>
      <c r="P182" s="4">
        <f>B182-D182</f>
        <v/>
      </c>
      <c r="Q182" s="4">
        <f>AVERAGE(P179:P182)</f>
        <v/>
      </c>
      <c r="R182" s="54">
        <f>(M183-M182)/M182</f>
        <v/>
      </c>
      <c r="S182" s="54">
        <f>(M186-M182)/M182</f>
        <v/>
      </c>
      <c r="T182" s="63">
        <f>IF(R182&gt;0,1,"")</f>
        <v/>
      </c>
      <c r="U182" s="63">
        <f>IF(S182&gt;0,1,"")</f>
        <v/>
      </c>
    </row>
    <row r="183">
      <c r="A183" s="35" t="n">
        <v>33165</v>
      </c>
      <c r="B183" s="4" t="n">
        <v>0.13</v>
      </c>
      <c r="C183" s="4" t="n">
        <v>0.2</v>
      </c>
      <c r="D183" s="4" t="n">
        <v>0.67</v>
      </c>
      <c r="E183" s="63" t="n">
        <v>1</v>
      </c>
      <c r="F183" s="63" t="n">
        <v>0.2</v>
      </c>
      <c r="G183" s="63" t="n">
        <v>-0.54</v>
      </c>
      <c r="H183" s="63" t="n">
        <v>0.384907436629</v>
      </c>
      <c r="I183" s="63" t="n">
        <v>0.48829287048</v>
      </c>
      <c r="J183" s="63" t="n">
        <v>0.281522002778</v>
      </c>
      <c r="K183" s="63" t="n">
        <v>312.48</v>
      </c>
      <c r="L183" s="63" t="n">
        <v>298.76</v>
      </c>
      <c r="M183" s="63" t="n">
        <v>312.48</v>
      </c>
      <c r="N183" s="54">
        <f>(M184-M183)/M183</f>
        <v/>
      </c>
      <c r="O183" s="54">
        <f>(M187-M183)/M183</f>
        <v/>
      </c>
      <c r="P183" s="4">
        <f>B183-D183</f>
        <v/>
      </c>
      <c r="Q183" s="4">
        <f>AVERAGE(P180:P183)</f>
        <v/>
      </c>
      <c r="R183" s="54">
        <f>(M184-M183)/M183</f>
        <v/>
      </c>
      <c r="S183" s="54">
        <f>(M187-M183)/M183</f>
        <v/>
      </c>
      <c r="T183" s="63">
        <f>IF(R183&gt;0,1,"")</f>
        <v/>
      </c>
      <c r="U183" s="63">
        <f>IF(S183&gt;0,1,"")</f>
        <v/>
      </c>
    </row>
    <row r="184">
      <c r="A184" s="35" t="n">
        <v>33172</v>
      </c>
      <c r="B184" s="4" t="n">
        <v>0.23</v>
      </c>
      <c r="C184" s="4" t="n">
        <v>0.19</v>
      </c>
      <c r="D184" s="4" t="n">
        <v>0.58</v>
      </c>
      <c r="E184" s="63" t="n">
        <v>1</v>
      </c>
      <c r="F184" s="63" t="n">
        <v>0.2</v>
      </c>
      <c r="G184" s="63" t="n">
        <v>-0.35</v>
      </c>
      <c r="H184" s="63" t="n">
        <v>0.384907436629</v>
      </c>
      <c r="I184" s="63" t="n">
        <v>0.48829287048</v>
      </c>
      <c r="J184" s="63" t="n">
        <v>0.281522002778</v>
      </c>
      <c r="K184" s="63" t="n">
        <v>314.76</v>
      </c>
      <c r="L184" s="63" t="n">
        <v>304.71</v>
      </c>
      <c r="M184" s="63" t="n">
        <v>304.71</v>
      </c>
      <c r="N184" s="54">
        <f>(M185-M184)/M184</f>
        <v/>
      </c>
      <c r="O184" s="54">
        <f>(M188-M184)/M184</f>
        <v/>
      </c>
      <c r="P184" s="4">
        <f>B184-D184</f>
        <v/>
      </c>
      <c r="Q184" s="4">
        <f>AVERAGE(P181:P184)</f>
        <v/>
      </c>
      <c r="R184" s="54">
        <f>(M185-M184)/M184</f>
        <v/>
      </c>
      <c r="S184" s="54">
        <f>(M188-M184)/M184</f>
        <v/>
      </c>
      <c r="T184" s="63">
        <f>IF(R184&gt;0,1,"")</f>
        <v/>
      </c>
      <c r="U184" s="63">
        <f>IF(S184&gt;0,1,"")</f>
        <v/>
      </c>
    </row>
    <row r="185">
      <c r="A185" s="35" t="n">
        <v>33179</v>
      </c>
      <c r="B185" s="4" t="n">
        <v>0.2</v>
      </c>
      <c r="C185" s="4" t="n">
        <v>0.36</v>
      </c>
      <c r="D185" s="4" t="n">
        <v>0.44</v>
      </c>
      <c r="E185" s="63" t="n">
        <v>1</v>
      </c>
      <c r="F185" s="63" t="n">
        <v>0.18375</v>
      </c>
      <c r="G185" s="63" t="n">
        <v>-0.24</v>
      </c>
      <c r="H185" s="63" t="n">
        <v>0.384907436629</v>
      </c>
      <c r="I185" s="63" t="n">
        <v>0.48829287048</v>
      </c>
      <c r="J185" s="63" t="n">
        <v>0.281522002778</v>
      </c>
      <c r="K185" s="63" t="n">
        <v>311.85</v>
      </c>
      <c r="L185" s="63" t="n">
        <v>301.88</v>
      </c>
      <c r="M185" s="63" t="n">
        <v>311.85</v>
      </c>
      <c r="N185" s="54">
        <f>(M186-M185)/M185</f>
        <v/>
      </c>
      <c r="O185" s="54">
        <f>(M189-M185)/M185</f>
        <v/>
      </c>
      <c r="P185" s="4">
        <f>B185-D185</f>
        <v/>
      </c>
      <c r="Q185" s="4">
        <f>AVERAGE(P182:P185)</f>
        <v/>
      </c>
      <c r="R185" s="54">
        <f>(M186-M185)/M185</f>
        <v/>
      </c>
      <c r="S185" s="54">
        <f>(M189-M185)/M185</f>
        <v/>
      </c>
      <c r="T185" s="63">
        <f>IF(R185&gt;0,1,"")</f>
        <v/>
      </c>
      <c r="U185" s="63">
        <f>IF(S185&gt;0,1,"")</f>
        <v/>
      </c>
    </row>
    <row r="186">
      <c r="A186" s="35" t="n">
        <v>33186</v>
      </c>
      <c r="B186" s="4" t="n">
        <v>0.2</v>
      </c>
      <c r="C186" s="4" t="n">
        <v>0.32</v>
      </c>
      <c r="D186" s="4" t="n">
        <v>0.48</v>
      </c>
      <c r="E186" s="63" t="n">
        <v>1</v>
      </c>
      <c r="F186" s="63" t="n">
        <v>0.18875</v>
      </c>
      <c r="G186" s="63" t="n">
        <v>-0.28</v>
      </c>
      <c r="H186" s="63" t="n">
        <v>0.384907436629</v>
      </c>
      <c r="I186" s="63" t="n">
        <v>0.48829287048</v>
      </c>
      <c r="J186" s="63" t="n">
        <v>0.281522002778</v>
      </c>
      <c r="K186" s="63" t="n">
        <v>314.59</v>
      </c>
      <c r="L186" s="63" t="n">
        <v>306.01</v>
      </c>
      <c r="M186" s="63" t="n">
        <v>313.74</v>
      </c>
      <c r="N186" s="54">
        <f>(M187-M186)/M186</f>
        <v/>
      </c>
      <c r="O186" s="54">
        <f>(M190-M186)/M186</f>
        <v/>
      </c>
      <c r="P186" s="4">
        <f>B186-D186</f>
        <v/>
      </c>
      <c r="Q186" s="4">
        <f>AVERAGE(P183:P186)</f>
        <v/>
      </c>
      <c r="R186" s="54">
        <f>(M187-M186)/M186</f>
        <v/>
      </c>
      <c r="S186" s="54">
        <f>(M190-M186)/M186</f>
        <v/>
      </c>
      <c r="T186" s="63">
        <f>IF(R186&gt;0,1,"")</f>
        <v/>
      </c>
      <c r="U186" s="63">
        <f>IF(S186&gt;0,1,"")</f>
        <v/>
      </c>
    </row>
    <row r="187">
      <c r="A187" s="35" t="n">
        <v>33193</v>
      </c>
      <c r="B187" s="4" t="n">
        <v>0.12</v>
      </c>
      <c r="C187" s="4" t="n">
        <v>0.33</v>
      </c>
      <c r="D187" s="4" t="n">
        <v>0.55</v>
      </c>
      <c r="E187" s="63" t="n">
        <v>1</v>
      </c>
      <c r="F187" s="63" t="n">
        <v>0.1875</v>
      </c>
      <c r="G187" s="63" t="n">
        <v>-0.43</v>
      </c>
      <c r="H187" s="63" t="n">
        <v>0.384907436629</v>
      </c>
      <c r="I187" s="63" t="n">
        <v>0.48829287048</v>
      </c>
      <c r="J187" s="63" t="n">
        <v>0.281522002778</v>
      </c>
      <c r="K187" s="63" t="n">
        <v>320.4</v>
      </c>
      <c r="L187" s="63" t="n">
        <v>317.02</v>
      </c>
      <c r="M187" s="63" t="n">
        <v>317.12</v>
      </c>
      <c r="N187" s="54">
        <f>(M188-M187)/M187</f>
        <v/>
      </c>
      <c r="O187" s="54">
        <f>(M191-M187)/M187</f>
        <v/>
      </c>
      <c r="P187" s="4">
        <f>B187-D187</f>
        <v/>
      </c>
      <c r="Q187" s="4">
        <f>AVERAGE(P184:P187)</f>
        <v/>
      </c>
      <c r="R187" s="54">
        <f>(M188-M187)/M187</f>
        <v/>
      </c>
      <c r="S187" s="54">
        <f>(M191-M187)/M187</f>
        <v/>
      </c>
      <c r="T187" s="63">
        <f>IF(R187&gt;0,1,"")</f>
        <v/>
      </c>
      <c r="U187" s="63">
        <f>IF(S187&gt;0,1,"")</f>
        <v/>
      </c>
    </row>
    <row r="188">
      <c r="A188" s="35" t="n">
        <v>33198</v>
      </c>
      <c r="B188" s="4" t="n">
        <v>0.16</v>
      </c>
      <c r="C188" s="4" t="n">
        <v>0.37</v>
      </c>
      <c r="D188" s="4" t="n">
        <v>0.47</v>
      </c>
      <c r="E188" s="63" t="n">
        <v>1</v>
      </c>
      <c r="F188" s="63" t="n">
        <v>0.175</v>
      </c>
      <c r="G188" s="63" t="n">
        <v>-0.31</v>
      </c>
      <c r="H188" s="63" t="n">
        <v>0.384907436629</v>
      </c>
      <c r="I188" s="63" t="n">
        <v>0.48829287048</v>
      </c>
      <c r="J188" s="63" t="n">
        <v>0.281522002778</v>
      </c>
      <c r="K188" s="63" t="n">
        <v>319.34</v>
      </c>
      <c r="L188" s="63" t="n">
        <v>315.1</v>
      </c>
      <c r="M188" s="63" t="n">
        <v>316.03</v>
      </c>
      <c r="N188" s="54">
        <f>(M189-M188)/M188</f>
        <v/>
      </c>
      <c r="O188" s="54">
        <f>(M192-M188)/M188</f>
        <v/>
      </c>
      <c r="P188" s="4">
        <f>B188-D188</f>
        <v/>
      </c>
      <c r="Q188" s="4">
        <f>AVERAGE(P185:P188)</f>
        <v/>
      </c>
      <c r="R188" s="54">
        <f>(M189-M188)/M188</f>
        <v/>
      </c>
      <c r="S188" s="54">
        <f>(M192-M188)/M188</f>
        <v/>
      </c>
      <c r="T188" s="63">
        <f>IF(R188&gt;0,1,"")</f>
        <v/>
      </c>
      <c r="U188" s="63">
        <f>IF(S188&gt;0,1,"")</f>
        <v/>
      </c>
    </row>
    <row r="189">
      <c r="A189" s="35" t="n">
        <v>33207</v>
      </c>
      <c r="B189" s="4" t="n">
        <v>0.22</v>
      </c>
      <c r="C189" s="4" t="n">
        <v>0.33</v>
      </c>
      <c r="D189" s="4" t="n">
        <v>0.45</v>
      </c>
      <c r="E189" s="63" t="n">
        <v>1</v>
      </c>
      <c r="F189" s="63" t="n">
        <v>0.18375</v>
      </c>
      <c r="G189" s="63" t="n">
        <v>-0.23</v>
      </c>
      <c r="H189" s="63" t="n">
        <v>0.384907436629</v>
      </c>
      <c r="I189" s="63" t="n">
        <v>0.48829287048</v>
      </c>
      <c r="J189" s="63" t="n">
        <v>0.281522002778</v>
      </c>
      <c r="K189" s="63" t="n">
        <v>322.22</v>
      </c>
      <c r="L189" s="63" t="n">
        <v>316.42</v>
      </c>
      <c r="M189" s="63" t="n">
        <v>322.22</v>
      </c>
      <c r="N189" s="54">
        <f>(M190-M189)/M189</f>
        <v/>
      </c>
      <c r="O189" s="54">
        <f>(M193-M189)/M189</f>
        <v/>
      </c>
      <c r="P189" s="4">
        <f>B189-D189</f>
        <v/>
      </c>
      <c r="Q189" s="4">
        <f>AVERAGE(P186:P189)</f>
        <v/>
      </c>
      <c r="R189" s="54">
        <f>(M190-M189)/M189</f>
        <v/>
      </c>
      <c r="S189" s="54">
        <f>(M193-M189)/M189</f>
        <v/>
      </c>
      <c r="T189" s="63">
        <f>IF(R189&gt;0,1,"")</f>
        <v/>
      </c>
      <c r="U189" s="63">
        <f>IF(S189&gt;0,1,"")</f>
        <v/>
      </c>
    </row>
    <row r="190">
      <c r="A190" s="35" t="n">
        <v>33214</v>
      </c>
      <c r="B190" s="4" t="n">
        <v>0.26</v>
      </c>
      <c r="C190" s="4" t="n">
        <v>0.33</v>
      </c>
      <c r="D190" s="4" t="n">
        <v>0.41</v>
      </c>
      <c r="E190" s="63" t="n">
        <v>1</v>
      </c>
      <c r="F190" s="63" t="n">
        <v>0.19</v>
      </c>
      <c r="G190" s="63" t="n">
        <v>-0.15</v>
      </c>
      <c r="H190" s="63" t="n">
        <v>0.384907436629</v>
      </c>
      <c r="I190" s="63" t="n">
        <v>0.48829287048</v>
      </c>
      <c r="J190" s="63" t="n">
        <v>0.281522002778</v>
      </c>
      <c r="K190" s="63" t="n">
        <v>329.92</v>
      </c>
      <c r="L190" s="63" t="n">
        <v>324.1</v>
      </c>
      <c r="M190" s="63" t="n">
        <v>327.75</v>
      </c>
      <c r="N190" s="54">
        <f>(M191-M190)/M190</f>
        <v/>
      </c>
      <c r="O190" s="54">
        <f>(M194-M190)/M190</f>
        <v/>
      </c>
      <c r="P190" s="4">
        <f>B190-D190</f>
        <v/>
      </c>
      <c r="Q190" s="4">
        <f>AVERAGE(P187:P190)</f>
        <v/>
      </c>
      <c r="R190" s="54">
        <f>(M191-M190)/M190</f>
        <v/>
      </c>
      <c r="S190" s="54">
        <f>(M194-M190)/M190</f>
        <v/>
      </c>
      <c r="T190" s="63">
        <f>IF(R190&gt;0,1,"")</f>
        <v/>
      </c>
      <c r="U190" s="63">
        <f>IF(S190&gt;0,1,"")</f>
        <v/>
      </c>
    </row>
    <row r="191">
      <c r="A191" s="35" t="n">
        <v>33221</v>
      </c>
      <c r="B191" s="4" t="n">
        <v>0.31</v>
      </c>
      <c r="C191" s="4" t="n">
        <v>0.31</v>
      </c>
      <c r="D191" s="4" t="n">
        <v>0.38</v>
      </c>
      <c r="E191" s="63" t="n">
        <v>1</v>
      </c>
      <c r="F191" s="63" t="n">
        <v>0.2125</v>
      </c>
      <c r="G191" s="63" t="n">
        <v>-0.07000000000000001</v>
      </c>
      <c r="H191" s="63" t="n">
        <v>0.384907436629</v>
      </c>
      <c r="I191" s="63" t="n">
        <v>0.48829287048</v>
      </c>
      <c r="J191" s="63" t="n">
        <v>0.281522002778</v>
      </c>
      <c r="K191" s="63" t="n">
        <v>330.19</v>
      </c>
      <c r="L191" s="63" t="n">
        <v>326.44</v>
      </c>
      <c r="M191" s="63" t="n">
        <v>326.82</v>
      </c>
      <c r="N191" s="54">
        <f>(M192-M191)/M191</f>
        <v/>
      </c>
      <c r="O191" s="54">
        <f>(M195-M191)/M191</f>
        <v/>
      </c>
      <c r="P191" s="4">
        <f>B191-D191</f>
        <v/>
      </c>
      <c r="Q191" s="4">
        <f>AVERAGE(P188:P191)</f>
        <v/>
      </c>
      <c r="R191" s="54">
        <f>(M192-M191)/M191</f>
        <v/>
      </c>
      <c r="S191" s="54">
        <f>(M195-M191)/M191</f>
        <v/>
      </c>
      <c r="T191" s="63">
        <f>IF(R191&gt;0,1,"")</f>
        <v/>
      </c>
      <c r="U191" s="63">
        <f>IF(S191&gt;0,1,"")</f>
        <v/>
      </c>
    </row>
    <row r="192">
      <c r="A192" s="35" t="n">
        <v>33228</v>
      </c>
      <c r="B192" s="4" t="n">
        <v>0.16</v>
      </c>
      <c r="C192" s="4" t="n">
        <v>0.34</v>
      </c>
      <c r="D192" s="4" t="n">
        <v>0.5</v>
      </c>
      <c r="E192" s="63" t="n">
        <v>1</v>
      </c>
      <c r="F192" s="63" t="n">
        <v>0.20375</v>
      </c>
      <c r="G192" s="63" t="n">
        <v>-0.34</v>
      </c>
      <c r="H192" s="63" t="n">
        <v>0.384907436629</v>
      </c>
      <c r="I192" s="63" t="n">
        <v>0.48829287048</v>
      </c>
      <c r="J192" s="63" t="n">
        <v>0.281522002778</v>
      </c>
      <c r="K192" s="63" t="n">
        <v>331.75</v>
      </c>
      <c r="L192" s="63" t="n">
        <v>326.02</v>
      </c>
      <c r="M192" s="63" t="n">
        <v>331.75</v>
      </c>
      <c r="N192" s="54">
        <f>(M193-M192)/M192</f>
        <v/>
      </c>
      <c r="O192" s="54">
        <f>(M196-M192)/M192</f>
        <v/>
      </c>
      <c r="P192" s="4">
        <f>B192-D192</f>
        <v/>
      </c>
      <c r="Q192" s="4">
        <f>AVERAGE(P189:P192)</f>
        <v/>
      </c>
      <c r="R192" s="54">
        <f>(M193-M192)/M192</f>
        <v/>
      </c>
      <c r="S192" s="54">
        <f>(M196-M192)/M192</f>
        <v/>
      </c>
      <c r="T192" s="63">
        <f>IF(R192&gt;0,1,"")</f>
        <v/>
      </c>
      <c r="U192" s="63">
        <f>IF(S192&gt;0,1,"")</f>
        <v/>
      </c>
    </row>
    <row r="193">
      <c r="A193" s="35" t="n">
        <v>33235</v>
      </c>
      <c r="B193" s="4" t="n">
        <v>0.3</v>
      </c>
      <c r="C193" s="4" t="n">
        <v>0.3</v>
      </c>
      <c r="D193" s="4" t="n">
        <v>0.4</v>
      </c>
      <c r="E193" s="63" t="n">
        <v>1</v>
      </c>
      <c r="F193" s="63" t="n">
        <v>0.21625</v>
      </c>
      <c r="G193" s="63" t="n">
        <v>-0.1</v>
      </c>
      <c r="H193" s="63" t="n">
        <v>0.384907436629</v>
      </c>
      <c r="I193" s="63" t="n">
        <v>0.48829287048</v>
      </c>
      <c r="J193" s="63" t="n">
        <v>0.281522002778</v>
      </c>
      <c r="K193" s="63" t="n">
        <v>330.85</v>
      </c>
      <c r="L193" s="63" t="n">
        <v>328.29</v>
      </c>
      <c r="M193" s="63" t="n">
        <v>328.72</v>
      </c>
      <c r="N193" s="54">
        <f>(M194-M193)/M193</f>
        <v/>
      </c>
      <c r="O193" s="54">
        <f>(M197-M193)/M193</f>
        <v/>
      </c>
      <c r="P193" s="4">
        <f>B193-D193</f>
        <v/>
      </c>
      <c r="Q193" s="4">
        <f>AVERAGE(P190:P193)</f>
        <v/>
      </c>
      <c r="R193" s="54">
        <f>(M194-M193)/M193</f>
        <v/>
      </c>
      <c r="S193" s="54">
        <f>(M197-M193)/M193</f>
        <v/>
      </c>
      <c r="T193" s="63">
        <f>IF(R193&gt;0,1,"")</f>
        <v/>
      </c>
      <c r="U193" s="63">
        <f>IF(S193&gt;0,1,"")</f>
        <v/>
      </c>
    </row>
    <row r="194">
      <c r="A194" s="35" t="n">
        <v>33242</v>
      </c>
      <c r="B194" s="4" t="n">
        <v>0.31</v>
      </c>
      <c r="C194" s="4" t="n">
        <v>0.39</v>
      </c>
      <c r="D194" s="4" t="n">
        <v>0.3</v>
      </c>
      <c r="E194" s="63" t="n">
        <v>1</v>
      </c>
      <c r="F194" s="63" t="n">
        <v>0.23</v>
      </c>
      <c r="G194" s="63" t="n">
        <v>0.01</v>
      </c>
      <c r="H194" s="63" t="n">
        <v>0.384907436629</v>
      </c>
      <c r="I194" s="63" t="n">
        <v>0.48829287048</v>
      </c>
      <c r="J194" s="63" t="n">
        <v>0.281522002778</v>
      </c>
      <c r="K194" s="63" t="n">
        <v>330.22</v>
      </c>
      <c r="L194" s="63" t="n">
        <v>321</v>
      </c>
      <c r="M194" s="63" t="n">
        <v>321</v>
      </c>
      <c r="N194" s="54">
        <f>(M195-M194)/M194</f>
        <v/>
      </c>
      <c r="O194" s="54">
        <f>(M198-M194)/M194</f>
        <v/>
      </c>
      <c r="P194" s="4">
        <f>B194-D194</f>
        <v/>
      </c>
      <c r="Q194" s="4">
        <f>AVERAGE(P191:P194)</f>
        <v/>
      </c>
      <c r="R194" s="54">
        <f>(M195-M194)/M194</f>
        <v/>
      </c>
      <c r="S194" s="54">
        <f>(M198-M194)/M194</f>
        <v/>
      </c>
      <c r="T194" s="63">
        <f>IF(R194&gt;0,1,"")</f>
        <v/>
      </c>
      <c r="U194" s="63">
        <f>IF(S194&gt;0,1,"")</f>
        <v/>
      </c>
    </row>
    <row r="195">
      <c r="A195" s="35" t="n">
        <v>33249</v>
      </c>
      <c r="B195" s="4" t="n">
        <v>0.22</v>
      </c>
      <c r="C195" s="4" t="n">
        <v>0.3</v>
      </c>
      <c r="D195" s="4" t="n">
        <v>0.48</v>
      </c>
      <c r="E195" s="63" t="n">
        <v>1</v>
      </c>
      <c r="F195" s="63" t="n">
        <v>0.2425</v>
      </c>
      <c r="G195" s="63" t="n">
        <v>-0.26</v>
      </c>
      <c r="H195" s="63" t="n">
        <v>0.384907436629</v>
      </c>
      <c r="I195" s="63" t="n">
        <v>0.48829287048</v>
      </c>
      <c r="J195" s="63" t="n">
        <v>0.281522002778</v>
      </c>
      <c r="K195" s="63" t="n">
        <v>315.44</v>
      </c>
      <c r="L195" s="63" t="n">
        <v>311.49</v>
      </c>
      <c r="M195" s="63" t="n">
        <v>315.23</v>
      </c>
      <c r="N195" s="54">
        <f>(M196-M195)/M195</f>
        <v/>
      </c>
      <c r="O195" s="54">
        <f>(M199-M195)/M195</f>
        <v/>
      </c>
      <c r="P195" s="4">
        <f>B195-D195</f>
        <v/>
      </c>
      <c r="Q195" s="4">
        <f>AVERAGE(P192:P195)</f>
        <v/>
      </c>
      <c r="R195" s="54">
        <f>(M196-M195)/M195</f>
        <v/>
      </c>
      <c r="S195" s="54">
        <f>(M199-M195)/M195</f>
        <v/>
      </c>
      <c r="T195" s="63">
        <f>IF(R195&gt;0,1,"")</f>
        <v/>
      </c>
      <c r="U195" s="63">
        <f>IF(S195&gt;0,1,"")</f>
        <v/>
      </c>
    </row>
    <row r="196">
      <c r="A196" s="35" t="n">
        <v>33256</v>
      </c>
      <c r="B196" s="4" t="n">
        <v>0.22</v>
      </c>
      <c r="C196" s="4" t="n">
        <v>0.27</v>
      </c>
      <c r="D196" s="4" t="n">
        <v>0.51</v>
      </c>
      <c r="E196" s="63" t="n">
        <v>1</v>
      </c>
      <c r="F196" s="63" t="n">
        <v>0.25</v>
      </c>
      <c r="G196" s="63" t="n">
        <v>-0.29</v>
      </c>
      <c r="H196" s="63" t="n">
        <v>0.384907436629</v>
      </c>
      <c r="I196" s="63" t="n">
        <v>0.48829287048</v>
      </c>
      <c r="J196" s="63" t="n">
        <v>0.281522002778</v>
      </c>
      <c r="K196" s="63" t="n">
        <v>332.23</v>
      </c>
      <c r="L196" s="63" t="n">
        <v>312.49</v>
      </c>
      <c r="M196" s="63" t="n">
        <v>332.23</v>
      </c>
      <c r="N196" s="54">
        <f>(M197-M196)/M196</f>
        <v/>
      </c>
      <c r="O196" s="54">
        <f>(M200-M196)/M196</f>
        <v/>
      </c>
      <c r="P196" s="4">
        <f>B196-D196</f>
        <v/>
      </c>
      <c r="Q196" s="4">
        <f>AVERAGE(P193:P196)</f>
        <v/>
      </c>
      <c r="R196" s="54">
        <f>(M197-M196)/M196</f>
        <v/>
      </c>
      <c r="S196" s="54">
        <f>(M200-M196)/M196</f>
        <v/>
      </c>
      <c r="T196" s="63">
        <f>IF(R196&gt;0,1,"")</f>
        <v/>
      </c>
      <c r="U196" s="63">
        <f>IF(S196&gt;0,1,"")</f>
        <v/>
      </c>
    </row>
    <row r="197">
      <c r="A197" s="35" t="n">
        <v>33263</v>
      </c>
      <c r="B197" s="4" t="n">
        <v>0.25</v>
      </c>
      <c r="C197" s="4" t="n">
        <v>0.25</v>
      </c>
      <c r="D197" s="4" t="n">
        <v>0.5</v>
      </c>
      <c r="E197" s="63" t="n">
        <v>1</v>
      </c>
      <c r="F197" s="63" t="n">
        <v>0.25375</v>
      </c>
      <c r="G197" s="63" t="n">
        <v>-0.25</v>
      </c>
      <c r="H197" s="63" t="n">
        <v>0.384907436629</v>
      </c>
      <c r="I197" s="63" t="n">
        <v>0.48829287048</v>
      </c>
      <c r="J197" s="63" t="n">
        <v>0.281522002778</v>
      </c>
      <c r="K197" s="63" t="n">
        <v>336.07</v>
      </c>
      <c r="L197" s="63" t="n">
        <v>328.31</v>
      </c>
      <c r="M197" s="63" t="n">
        <v>336.07</v>
      </c>
      <c r="N197" s="54">
        <f>(M198-M197)/M197</f>
        <v/>
      </c>
      <c r="O197" s="54">
        <f>(M201-M197)/M197</f>
        <v/>
      </c>
      <c r="P197" s="4">
        <f>B197-D197</f>
        <v/>
      </c>
      <c r="Q197" s="4">
        <f>AVERAGE(P194:P197)</f>
        <v/>
      </c>
      <c r="R197" s="54">
        <f>(M198-M197)/M197</f>
        <v/>
      </c>
      <c r="S197" s="54">
        <f>(M201-M197)/M197</f>
        <v/>
      </c>
      <c r="T197" s="63">
        <f>IF(R197&gt;0,1,"")</f>
        <v/>
      </c>
      <c r="U197" s="63">
        <f>IF(S197&gt;0,1,"")</f>
        <v/>
      </c>
    </row>
    <row r="198">
      <c r="A198" s="35" t="n">
        <v>33270</v>
      </c>
      <c r="B198" s="4" t="n">
        <v>0.29</v>
      </c>
      <c r="C198" s="4" t="n">
        <v>0.29</v>
      </c>
      <c r="D198" s="4" t="n">
        <v>0.42</v>
      </c>
      <c r="E198" s="63" t="n">
        <v>1</v>
      </c>
      <c r="F198" s="63" t="n">
        <v>0.2575</v>
      </c>
      <c r="G198" s="63" t="n">
        <v>-0.13</v>
      </c>
      <c r="H198" s="63" t="n">
        <v>0.384907436629</v>
      </c>
      <c r="I198" s="63" t="n">
        <v>0.48829287048</v>
      </c>
      <c r="J198" s="63" t="n">
        <v>0.281522002778</v>
      </c>
      <c r="K198" s="63" t="n">
        <v>343.93</v>
      </c>
      <c r="L198" s="63" t="n">
        <v>335.84</v>
      </c>
      <c r="M198" s="63" t="n">
        <v>343.05</v>
      </c>
      <c r="N198" s="54">
        <f>(M199-M198)/M198</f>
        <v/>
      </c>
      <c r="O198" s="54">
        <f>(M202-M198)/M198</f>
        <v/>
      </c>
      <c r="P198" s="4">
        <f>B198-D198</f>
        <v/>
      </c>
      <c r="Q198" s="4">
        <f>AVERAGE(P195:P198)</f>
        <v/>
      </c>
      <c r="R198" s="54">
        <f>(M199-M198)/M198</f>
        <v/>
      </c>
      <c r="S198" s="54">
        <f>(M202-M198)/M198</f>
        <v/>
      </c>
      <c r="T198" s="63">
        <f>IF(R198&gt;0,1,"")</f>
        <v/>
      </c>
      <c r="U198" s="63">
        <f>IF(S198&gt;0,1,"")</f>
        <v/>
      </c>
    </row>
    <row r="199">
      <c r="A199" s="35" t="n">
        <v>33277</v>
      </c>
      <c r="B199" s="4" t="n">
        <v>0.36</v>
      </c>
      <c r="C199" s="4" t="n">
        <v>0.28</v>
      </c>
      <c r="D199" s="4" t="n">
        <v>0.36</v>
      </c>
      <c r="E199" s="63" t="n">
        <v>1</v>
      </c>
      <c r="F199" s="63" t="n">
        <v>0.26375</v>
      </c>
      <c r="G199" s="63" t="n">
        <v>0</v>
      </c>
      <c r="H199" s="63" t="n">
        <v>0.384907436629</v>
      </c>
      <c r="I199" s="63" t="n">
        <v>0.48829287048</v>
      </c>
      <c r="J199" s="63" t="n">
        <v>0.281522002778</v>
      </c>
      <c r="K199" s="63" t="n">
        <v>359.35</v>
      </c>
      <c r="L199" s="63" t="n">
        <v>343.05</v>
      </c>
      <c r="M199" s="63" t="n">
        <v>359.35</v>
      </c>
      <c r="N199" s="54">
        <f>(M200-M199)/M199</f>
        <v/>
      </c>
      <c r="O199" s="54">
        <f>(M203-M199)/M199</f>
        <v/>
      </c>
      <c r="P199" s="4">
        <f>B199-D199</f>
        <v/>
      </c>
      <c r="Q199" s="4">
        <f>AVERAGE(P196:P199)</f>
        <v/>
      </c>
      <c r="R199" s="54">
        <f>(M200-M199)/M199</f>
        <v/>
      </c>
      <c r="S199" s="54">
        <f>(M203-M199)/M199</f>
        <v/>
      </c>
      <c r="T199" s="63">
        <f>IF(R199&gt;0,1,"")</f>
        <v/>
      </c>
      <c r="U199" s="63">
        <f>IF(S199&gt;0,1,"")</f>
        <v/>
      </c>
    </row>
    <row r="200">
      <c r="A200" s="35" t="n">
        <v>33284</v>
      </c>
      <c r="B200" s="4" t="n">
        <v>0.46</v>
      </c>
      <c r="C200" s="4" t="n">
        <v>0.3</v>
      </c>
      <c r="D200" s="4" t="n">
        <v>0.24</v>
      </c>
      <c r="E200" s="63" t="n">
        <v>1</v>
      </c>
      <c r="F200" s="63" t="n">
        <v>0.30125</v>
      </c>
      <c r="G200" s="63" t="n">
        <v>0.22</v>
      </c>
      <c r="H200" s="63" t="n">
        <v>0.384907436629</v>
      </c>
      <c r="I200" s="63" t="n">
        <v>0.48829287048</v>
      </c>
      <c r="J200" s="63" t="n">
        <v>0.281522002778</v>
      </c>
      <c r="K200" s="63" t="n">
        <v>369.06</v>
      </c>
      <c r="L200" s="63" t="n">
        <v>359.35</v>
      </c>
      <c r="M200" s="63" t="n">
        <v>369.06</v>
      </c>
      <c r="N200" s="54">
        <f>(M201-M200)/M200</f>
        <v/>
      </c>
      <c r="O200" s="54">
        <f>(M204-M200)/M200</f>
        <v/>
      </c>
      <c r="P200" s="4">
        <f>B200-D200</f>
        <v/>
      </c>
      <c r="Q200" s="4">
        <f>AVERAGE(P197:P200)</f>
        <v/>
      </c>
      <c r="R200" s="54">
        <f>(M201-M200)/M200</f>
        <v/>
      </c>
      <c r="S200" s="54">
        <f>(M204-M200)/M200</f>
        <v/>
      </c>
      <c r="T200" s="63">
        <f>IF(R200&gt;0,1,"")</f>
        <v/>
      </c>
      <c r="U200" s="63">
        <f>IF(S200&gt;0,1,"")</f>
        <v/>
      </c>
    </row>
    <row r="201">
      <c r="A201" s="35" t="n">
        <v>33291</v>
      </c>
      <c r="B201" s="4" t="n">
        <v>0.57</v>
      </c>
      <c r="C201" s="4" t="n">
        <v>0.2</v>
      </c>
      <c r="D201" s="4" t="n">
        <v>0.23</v>
      </c>
      <c r="E201" s="63" t="n">
        <v>1</v>
      </c>
      <c r="F201" s="63" t="n">
        <v>0.335</v>
      </c>
      <c r="G201" s="63" t="n">
        <v>0.34</v>
      </c>
      <c r="H201" s="63" t="n">
        <v>0.384907436629</v>
      </c>
      <c r="I201" s="63" t="n">
        <v>0.48829287048</v>
      </c>
      <c r="J201" s="63" t="n">
        <v>0.281522002778</v>
      </c>
      <c r="K201" s="63" t="n">
        <v>369.39</v>
      </c>
      <c r="L201" s="63" t="n">
        <v>365.14</v>
      </c>
      <c r="M201" s="63" t="n">
        <v>365.65</v>
      </c>
      <c r="N201" s="54">
        <f>(M202-M201)/M201</f>
        <v/>
      </c>
      <c r="O201" s="54">
        <f>(M205-M201)/M201</f>
        <v/>
      </c>
      <c r="P201" s="4">
        <f>B201-D201</f>
        <v/>
      </c>
      <c r="Q201" s="4">
        <f>AVERAGE(P198:P201)</f>
        <v/>
      </c>
      <c r="R201" s="54">
        <f>(M202-M201)/M201</f>
        <v/>
      </c>
      <c r="S201" s="54">
        <f>(M205-M201)/M201</f>
        <v/>
      </c>
      <c r="T201" s="63">
        <f>IF(R201&gt;0,1,"")</f>
        <v/>
      </c>
      <c r="U201" s="63">
        <f>IF(S201&gt;0,1,"")</f>
        <v/>
      </c>
    </row>
    <row r="202">
      <c r="A202" s="35" t="n">
        <v>33298</v>
      </c>
      <c r="B202" s="4" t="n">
        <v>0.5</v>
      </c>
      <c r="C202" s="4" t="n">
        <v>0.18</v>
      </c>
      <c r="D202" s="4" t="n">
        <v>0.32</v>
      </c>
      <c r="E202" s="63" t="n">
        <v>1</v>
      </c>
      <c r="F202" s="63" t="n">
        <v>0.35875</v>
      </c>
      <c r="G202" s="63" t="n">
        <v>0.18</v>
      </c>
      <c r="H202" s="63" t="n">
        <v>0.384907436629</v>
      </c>
      <c r="I202" s="63" t="n">
        <v>0.48829287048</v>
      </c>
      <c r="J202" s="63" t="n">
        <v>0.281522002778</v>
      </c>
      <c r="K202" s="63" t="n">
        <v>370.42</v>
      </c>
      <c r="L202" s="63" t="n">
        <v>362.81</v>
      </c>
      <c r="M202" s="63" t="n">
        <v>370.42</v>
      </c>
      <c r="N202" s="54">
        <f>(M203-M202)/M202</f>
        <v/>
      </c>
      <c r="O202" s="54">
        <f>(M206-M202)/M202</f>
        <v/>
      </c>
      <c r="P202" s="4">
        <f>B202-D202</f>
        <v/>
      </c>
      <c r="Q202" s="4">
        <f>AVERAGE(P199:P202)</f>
        <v/>
      </c>
      <c r="R202" s="54">
        <f>(M203-M202)/M202</f>
        <v/>
      </c>
      <c r="S202" s="54">
        <f>(M206-M202)/M202</f>
        <v/>
      </c>
      <c r="T202" s="63">
        <f>IF(R202&gt;0,1,"")</f>
        <v/>
      </c>
      <c r="U202" s="63">
        <f>IF(S202&gt;0,1,"")</f>
        <v/>
      </c>
    </row>
    <row r="203">
      <c r="A203" s="35" t="n">
        <v>33305</v>
      </c>
      <c r="B203" s="4" t="n">
        <v>0.5</v>
      </c>
      <c r="C203" s="4" t="n">
        <v>0.21</v>
      </c>
      <c r="D203" s="4" t="n">
        <v>0.29</v>
      </c>
      <c r="E203" s="63" t="n">
        <v>1</v>
      </c>
      <c r="F203" s="63" t="n">
        <v>0.39375</v>
      </c>
      <c r="G203" s="63" t="n">
        <v>0.21</v>
      </c>
      <c r="H203" s="63" t="n">
        <v>0.384907436629</v>
      </c>
      <c r="I203" s="63" t="n">
        <v>0.48829287048</v>
      </c>
      <c r="J203" s="63" t="n">
        <v>0.281522002778</v>
      </c>
      <c r="K203" s="63" t="n">
        <v>376.72</v>
      </c>
      <c r="L203" s="63" t="n">
        <v>369.33</v>
      </c>
      <c r="M203" s="63" t="n">
        <v>374.95</v>
      </c>
      <c r="N203" s="54">
        <f>(M204-M203)/M203</f>
        <v/>
      </c>
      <c r="O203" s="54">
        <f>(M207-M203)/M203</f>
        <v/>
      </c>
      <c r="P203" s="4">
        <f>B203-D203</f>
        <v/>
      </c>
      <c r="Q203" s="4">
        <f>AVERAGE(P200:P203)</f>
        <v/>
      </c>
      <c r="R203" s="54">
        <f>(M204-M203)/M203</f>
        <v/>
      </c>
      <c r="S203" s="54">
        <f>(M207-M203)/M203</f>
        <v/>
      </c>
      <c r="T203" s="63">
        <f>IF(R203&gt;0,1,"")</f>
        <v/>
      </c>
      <c r="U203" s="63">
        <f>IF(S203&gt;0,1,"")</f>
        <v/>
      </c>
    </row>
    <row r="204">
      <c r="A204" s="35" t="n">
        <v>33312</v>
      </c>
      <c r="B204" s="4" t="n">
        <v>0.55</v>
      </c>
      <c r="C204" s="4" t="n">
        <v>0.22</v>
      </c>
      <c r="D204" s="4" t="n">
        <v>0.23</v>
      </c>
      <c r="E204" s="63" t="n">
        <v>1</v>
      </c>
      <c r="F204" s="63" t="n">
        <v>0.435</v>
      </c>
      <c r="G204" s="63" t="n">
        <v>0.32</v>
      </c>
      <c r="H204" s="63" t="n">
        <v>0.384907436629</v>
      </c>
      <c r="I204" s="63" t="n">
        <v>0.48829287048</v>
      </c>
      <c r="J204" s="63" t="n">
        <v>0.281522002778</v>
      </c>
      <c r="K204" s="63" t="n">
        <v>374.57</v>
      </c>
      <c r="L204" s="63" t="n">
        <v>370.03</v>
      </c>
      <c r="M204" s="63" t="n">
        <v>373.59</v>
      </c>
      <c r="N204" s="54">
        <f>(M205-M204)/M204</f>
        <v/>
      </c>
      <c r="O204" s="54">
        <f>(M208-M204)/M204</f>
        <v/>
      </c>
      <c r="P204" s="4">
        <f>B204-D204</f>
        <v/>
      </c>
      <c r="Q204" s="4">
        <f>AVERAGE(P201:P204)</f>
        <v/>
      </c>
      <c r="R204" s="54">
        <f>(M205-M204)/M204</f>
        <v/>
      </c>
      <c r="S204" s="54">
        <f>(M208-M204)/M204</f>
        <v/>
      </c>
      <c r="T204" s="63">
        <f>IF(R204&gt;0,1,"")</f>
        <v/>
      </c>
      <c r="U204" s="63">
        <f>IF(S204&gt;0,1,"")</f>
        <v/>
      </c>
    </row>
    <row r="205">
      <c r="A205" s="35" t="n">
        <v>33319</v>
      </c>
      <c r="B205" s="4" t="n">
        <v>0.42</v>
      </c>
      <c r="C205" s="4" t="n">
        <v>0.31</v>
      </c>
      <c r="D205" s="4" t="n">
        <v>0.27</v>
      </c>
      <c r="E205" s="63" t="n">
        <v>1</v>
      </c>
      <c r="F205" s="63" t="n">
        <v>0.45625</v>
      </c>
      <c r="G205" s="63" t="n">
        <v>0.15</v>
      </c>
      <c r="H205" s="63" t="n">
        <v>0.384907436629</v>
      </c>
      <c r="I205" s="63" t="n">
        <v>0.48829287048</v>
      </c>
      <c r="J205" s="63" t="n">
        <v>0.281522002778</v>
      </c>
      <c r="K205" s="63" t="n">
        <v>372.11</v>
      </c>
      <c r="L205" s="63" t="n">
        <v>366.58</v>
      </c>
      <c r="M205" s="63" t="n">
        <v>367.48</v>
      </c>
      <c r="N205" s="54">
        <f>(M206-M205)/M205</f>
        <v/>
      </c>
      <c r="O205" s="54">
        <f>(M209-M205)/M205</f>
        <v/>
      </c>
      <c r="P205" s="4">
        <f>B205-D205</f>
        <v/>
      </c>
      <c r="Q205" s="4">
        <f>AVERAGE(P202:P205)</f>
        <v/>
      </c>
      <c r="R205" s="54">
        <f>(M206-M205)/M205</f>
        <v/>
      </c>
      <c r="S205" s="54">
        <f>(M209-M205)/M205</f>
        <v/>
      </c>
      <c r="T205" s="63">
        <f>IF(R205&gt;0,1,"")</f>
        <v/>
      </c>
      <c r="U205" s="63">
        <f>IF(S205&gt;0,1,"")</f>
        <v/>
      </c>
    </row>
    <row r="206">
      <c r="A206" s="35" t="n">
        <v>33326</v>
      </c>
      <c r="B206" s="4" t="n">
        <v>0.47</v>
      </c>
      <c r="C206" s="4" t="n">
        <v>0.28</v>
      </c>
      <c r="D206" s="4" t="n">
        <v>0.25</v>
      </c>
      <c r="E206" s="63" t="n">
        <v>1</v>
      </c>
      <c r="F206" s="63" t="n">
        <v>0.47875</v>
      </c>
      <c r="G206" s="63" t="n">
        <v>0.22</v>
      </c>
      <c r="H206" s="63" t="n">
        <v>0.384907436629</v>
      </c>
      <c r="I206" s="63" t="n">
        <v>0.48829287048</v>
      </c>
      <c r="J206" s="63" t="n">
        <v>0.281522002778</v>
      </c>
      <c r="K206" s="63" t="n">
        <v>376.3</v>
      </c>
      <c r="L206" s="63" t="n">
        <v>369.83</v>
      </c>
      <c r="M206" s="63" t="n">
        <v>375.22</v>
      </c>
      <c r="N206" s="54">
        <f>(M207-M206)/M206</f>
        <v/>
      </c>
      <c r="O206" s="54">
        <f>(M210-M206)/M206</f>
        <v/>
      </c>
      <c r="P206" s="4">
        <f>B206-D206</f>
        <v/>
      </c>
      <c r="Q206" s="4">
        <f>AVERAGE(P203:P206)</f>
        <v/>
      </c>
      <c r="R206" s="54">
        <f>(M207-M206)/M206</f>
        <v/>
      </c>
      <c r="S206" s="54">
        <f>(M210-M206)/M206</f>
        <v/>
      </c>
      <c r="T206" s="63">
        <f>IF(R206&gt;0,1,"")</f>
        <v/>
      </c>
      <c r="U206" s="63">
        <f>IF(S206&gt;0,1,"")</f>
        <v/>
      </c>
    </row>
    <row r="207">
      <c r="A207" s="35" t="n">
        <v>33333</v>
      </c>
      <c r="B207" s="4" t="n">
        <v>0.58</v>
      </c>
      <c r="C207" s="4" t="n">
        <v>0.22</v>
      </c>
      <c r="D207" s="4" t="n">
        <v>0.2</v>
      </c>
      <c r="E207" s="63" t="n">
        <v>1</v>
      </c>
      <c r="F207" s="63" t="n">
        <v>0.50625</v>
      </c>
      <c r="G207" s="63" t="n">
        <v>0.38</v>
      </c>
      <c r="H207" s="63" t="n">
        <v>0.384907436629</v>
      </c>
      <c r="I207" s="63" t="n">
        <v>0.48829287048</v>
      </c>
      <c r="J207" s="63" t="n">
        <v>0.281522002778</v>
      </c>
      <c r="K207" s="63" t="n">
        <v>379.77</v>
      </c>
      <c r="L207" s="63" t="n">
        <v>371.3</v>
      </c>
      <c r="M207" s="63" t="n">
        <v>375.36</v>
      </c>
      <c r="N207" s="54">
        <f>(M208-M207)/M207</f>
        <v/>
      </c>
      <c r="O207" s="54">
        <f>(M211-M207)/M207</f>
        <v/>
      </c>
      <c r="P207" s="4">
        <f>B207-D207</f>
        <v/>
      </c>
      <c r="Q207" s="4">
        <f>AVERAGE(P204:P207)</f>
        <v/>
      </c>
      <c r="R207" s="54">
        <f>(M208-M207)/M207</f>
        <v/>
      </c>
      <c r="S207" s="54">
        <f>(M211-M207)/M207</f>
        <v/>
      </c>
      <c r="T207" s="63">
        <f>IF(R207&gt;0,1,"")</f>
        <v/>
      </c>
      <c r="U207" s="63">
        <f>IF(S207&gt;0,1,"")</f>
        <v/>
      </c>
    </row>
    <row r="208">
      <c r="A208" s="35" t="n">
        <v>33340</v>
      </c>
      <c r="B208" s="4" t="n">
        <v>0.43</v>
      </c>
      <c r="C208" s="4" t="n">
        <v>0.32</v>
      </c>
      <c r="D208" s="4" t="n">
        <v>0.25</v>
      </c>
      <c r="E208" s="63" t="n">
        <v>1</v>
      </c>
      <c r="F208" s="63" t="n">
        <v>0.5024999999999999</v>
      </c>
      <c r="G208" s="63" t="n">
        <v>0.18</v>
      </c>
      <c r="H208" s="63" t="n">
        <v>0.384907436629</v>
      </c>
      <c r="I208" s="63" t="n">
        <v>0.48829287048</v>
      </c>
      <c r="J208" s="63" t="n">
        <v>0.281522002778</v>
      </c>
      <c r="K208" s="63" t="n">
        <v>380.4</v>
      </c>
      <c r="L208" s="63" t="n">
        <v>373.15</v>
      </c>
      <c r="M208" s="63" t="n">
        <v>380.4</v>
      </c>
      <c r="N208" s="54">
        <f>(M209-M208)/M208</f>
        <v/>
      </c>
      <c r="O208" s="54">
        <f>(M212-M208)/M208</f>
        <v/>
      </c>
      <c r="P208" s="4">
        <f>B208-D208</f>
        <v/>
      </c>
      <c r="Q208" s="4">
        <f>AVERAGE(P205:P208)</f>
        <v/>
      </c>
      <c r="R208" s="54">
        <f>(M209-M208)/M208</f>
        <v/>
      </c>
      <c r="S208" s="54">
        <f>(M212-M208)/M208</f>
        <v/>
      </c>
      <c r="T208" s="63">
        <f>IF(R208&gt;0,1,"")</f>
        <v/>
      </c>
      <c r="U208" s="63">
        <f>IF(S208&gt;0,1,"")</f>
        <v/>
      </c>
    </row>
    <row r="209">
      <c r="A209" s="35" t="n">
        <v>33347</v>
      </c>
      <c r="B209" s="4" t="n">
        <v>0.39</v>
      </c>
      <c r="C209" s="4" t="n">
        <v>0.39</v>
      </c>
      <c r="D209" s="4" t="n">
        <v>0.22</v>
      </c>
      <c r="E209" s="63" t="n">
        <v>1</v>
      </c>
      <c r="F209" s="63" t="n">
        <v>0.48</v>
      </c>
      <c r="G209" s="63" t="n">
        <v>0.17</v>
      </c>
      <c r="H209" s="63" t="n">
        <v>0.384907436629</v>
      </c>
      <c r="I209" s="63" t="n">
        <v>0.48829287048</v>
      </c>
      <c r="J209" s="63" t="n">
        <v>0.281522002778</v>
      </c>
      <c r="K209" s="63" t="n">
        <v>390.45</v>
      </c>
      <c r="L209" s="63" t="n">
        <v>381.19</v>
      </c>
      <c r="M209" s="63" t="n">
        <v>384.2</v>
      </c>
      <c r="N209" s="54">
        <f>(M210-M209)/M209</f>
        <v/>
      </c>
      <c r="O209" s="54">
        <f>(M213-M209)/M209</f>
        <v/>
      </c>
      <c r="P209" s="4">
        <f>B209-D209</f>
        <v/>
      </c>
      <c r="Q209" s="4">
        <f>AVERAGE(P206:P209)</f>
        <v/>
      </c>
      <c r="R209" s="54">
        <f>(M210-M209)/M209</f>
        <v/>
      </c>
      <c r="S209" s="54">
        <f>(M213-M209)/M209</f>
        <v/>
      </c>
      <c r="T209" s="63">
        <f>IF(R209&gt;0,1,"")</f>
        <v/>
      </c>
      <c r="U209" s="63">
        <f>IF(S209&gt;0,1,"")</f>
        <v/>
      </c>
    </row>
    <row r="210">
      <c r="A210" s="35" t="n">
        <v>33354</v>
      </c>
      <c r="B210" s="4" t="n">
        <v>0.55</v>
      </c>
      <c r="C210" s="4" t="n">
        <v>0.28</v>
      </c>
      <c r="D210" s="4" t="n">
        <v>0.17</v>
      </c>
      <c r="E210" s="63" t="n">
        <v>1</v>
      </c>
      <c r="F210" s="63" t="n">
        <v>0.48625</v>
      </c>
      <c r="G210" s="63" t="n">
        <v>0.38</v>
      </c>
      <c r="H210" s="63" t="n">
        <v>0.384907436629</v>
      </c>
      <c r="I210" s="63" t="n">
        <v>0.48829287048</v>
      </c>
      <c r="J210" s="63" t="n">
        <v>0.281522002778</v>
      </c>
      <c r="K210" s="63" t="n">
        <v>382.76</v>
      </c>
      <c r="L210" s="63" t="n">
        <v>379.02</v>
      </c>
      <c r="M210" s="63" t="n">
        <v>379.02</v>
      </c>
      <c r="N210" s="54">
        <f>(M211-M210)/M210</f>
        <v/>
      </c>
      <c r="O210" s="54">
        <f>(M214-M210)/M210</f>
        <v/>
      </c>
      <c r="P210" s="4">
        <f>B210-D210</f>
        <v/>
      </c>
      <c r="Q210" s="4">
        <f>AVERAGE(P207:P210)</f>
        <v/>
      </c>
      <c r="R210" s="54">
        <f>(M211-M210)/M210</f>
        <v/>
      </c>
      <c r="S210" s="54">
        <f>(M214-M210)/M210</f>
        <v/>
      </c>
      <c r="T210" s="63">
        <f>IF(R210&gt;0,1,"")</f>
        <v/>
      </c>
      <c r="U210" s="63">
        <f>IF(S210&gt;0,1,"")</f>
        <v/>
      </c>
    </row>
    <row r="211">
      <c r="A211" s="35" t="n">
        <v>33361</v>
      </c>
      <c r="B211" s="4" t="n">
        <v>0.39</v>
      </c>
      <c r="C211" s="4" t="n">
        <v>0.33</v>
      </c>
      <c r="D211" s="4" t="n">
        <v>0.28</v>
      </c>
      <c r="E211" s="63" t="n">
        <v>1</v>
      </c>
      <c r="F211" s="63" t="n">
        <v>0.4725</v>
      </c>
      <c r="G211" s="63" t="n">
        <v>0.11</v>
      </c>
      <c r="H211" s="63" t="n">
        <v>0.384907436629</v>
      </c>
      <c r="I211" s="63" t="n">
        <v>0.48829287048</v>
      </c>
      <c r="J211" s="63" t="n">
        <v>0.281522002778</v>
      </c>
      <c r="K211" s="63" t="n">
        <v>380.8</v>
      </c>
      <c r="L211" s="63" t="n">
        <v>373.66</v>
      </c>
      <c r="M211" s="63" t="n">
        <v>380.8</v>
      </c>
      <c r="N211" s="54">
        <f>(M212-M211)/M211</f>
        <v/>
      </c>
      <c r="O211" s="54">
        <f>(M215-M211)/M211</f>
        <v/>
      </c>
      <c r="P211" s="4">
        <f>B211-D211</f>
        <v/>
      </c>
      <c r="Q211" s="4">
        <f>AVERAGE(P208:P211)</f>
        <v/>
      </c>
      <c r="R211" s="54">
        <f>(M212-M211)/M211</f>
        <v/>
      </c>
      <c r="S211" s="54">
        <f>(M215-M211)/M211</f>
        <v/>
      </c>
      <c r="T211" s="63">
        <f>IF(R211&gt;0,1,"")</f>
        <v/>
      </c>
      <c r="U211" s="63">
        <f>IF(S211&gt;0,1,"")</f>
        <v/>
      </c>
    </row>
    <row r="212">
      <c r="A212" s="35" t="n">
        <v>33368</v>
      </c>
      <c r="B212" s="4" t="n">
        <v>0.38</v>
      </c>
      <c r="C212" s="4" t="n">
        <v>0.34</v>
      </c>
      <c r="D212" s="4" t="n">
        <v>0.28</v>
      </c>
      <c r="E212" s="63" t="n">
        <v>1</v>
      </c>
      <c r="F212" s="63" t="n">
        <v>0.45125</v>
      </c>
      <c r="G212" s="63" t="n">
        <v>0.1</v>
      </c>
      <c r="H212" s="63" t="n">
        <v>0.384907436629</v>
      </c>
      <c r="I212" s="63" t="n">
        <v>0.48829287048</v>
      </c>
      <c r="J212" s="63" t="n">
        <v>0.281522002778</v>
      </c>
      <c r="K212" s="63" t="n">
        <v>383.25</v>
      </c>
      <c r="L212" s="63" t="n">
        <v>375.74</v>
      </c>
      <c r="M212" s="63" t="n">
        <v>375.74</v>
      </c>
      <c r="N212" s="54">
        <f>(M213-M212)/M212</f>
        <v/>
      </c>
      <c r="O212" s="54">
        <f>(M216-M212)/M212</f>
        <v/>
      </c>
      <c r="P212" s="4">
        <f>B212-D212</f>
        <v/>
      </c>
      <c r="Q212" s="4">
        <f>AVERAGE(P209:P212)</f>
        <v/>
      </c>
      <c r="R212" s="54">
        <f>(M213-M212)/M212</f>
        <v/>
      </c>
      <c r="S212" s="54">
        <f>(M216-M212)/M212</f>
        <v/>
      </c>
      <c r="T212" s="63">
        <f>IF(R212&gt;0,1,"")</f>
        <v/>
      </c>
      <c r="U212" s="63">
        <f>IF(S212&gt;0,1,"")</f>
        <v/>
      </c>
    </row>
    <row r="213">
      <c r="A213" s="35" t="n">
        <v>33375</v>
      </c>
      <c r="B213" s="4" t="n">
        <v>0.42</v>
      </c>
      <c r="C213" s="4" t="n">
        <v>0.32</v>
      </c>
      <c r="D213" s="4" t="n">
        <v>0.26</v>
      </c>
      <c r="E213" s="63" t="n">
        <v>1</v>
      </c>
      <c r="F213" s="63" t="n">
        <v>0.45125</v>
      </c>
      <c r="G213" s="63" t="n">
        <v>0.16</v>
      </c>
      <c r="H213" s="63" t="n">
        <v>0.384907436629</v>
      </c>
      <c r="I213" s="63" t="n">
        <v>0.48829287048</v>
      </c>
      <c r="J213" s="63" t="n">
        <v>0.281522002778</v>
      </c>
      <c r="K213" s="63" t="n">
        <v>376.76</v>
      </c>
      <c r="L213" s="63" t="n">
        <v>368.57</v>
      </c>
      <c r="M213" s="63" t="n">
        <v>372.39</v>
      </c>
      <c r="N213" s="54">
        <f>(M214-M213)/M213</f>
        <v/>
      </c>
      <c r="O213" s="54">
        <f>(M217-M213)/M213</f>
        <v/>
      </c>
      <c r="P213" s="4">
        <f>B213-D213</f>
        <v/>
      </c>
      <c r="Q213" s="4">
        <f>AVERAGE(P210:P213)</f>
        <v/>
      </c>
      <c r="R213" s="54">
        <f>(M214-M213)/M213</f>
        <v/>
      </c>
      <c r="S213" s="54">
        <f>(M217-M213)/M213</f>
        <v/>
      </c>
      <c r="T213" s="63">
        <f>IF(R213&gt;0,1,"")</f>
        <v/>
      </c>
      <c r="U213" s="63">
        <f>IF(S213&gt;0,1,"")</f>
        <v/>
      </c>
    </row>
    <row r="214">
      <c r="A214" s="35" t="n">
        <v>33382</v>
      </c>
      <c r="B214" s="4" t="n">
        <v>0.38</v>
      </c>
      <c r="C214" s="4" t="n">
        <v>0.39</v>
      </c>
      <c r="D214" s="4" t="n">
        <v>0.23</v>
      </c>
      <c r="E214" s="63" t="n">
        <v>1</v>
      </c>
      <c r="F214" s="63" t="n">
        <v>0.44</v>
      </c>
      <c r="G214" s="63" t="n">
        <v>0.15</v>
      </c>
      <c r="H214" s="63" t="n">
        <v>0.384907436629</v>
      </c>
      <c r="I214" s="63" t="n">
        <v>0.48829287048</v>
      </c>
      <c r="J214" s="63" t="n">
        <v>0.281522002778</v>
      </c>
      <c r="K214" s="63" t="n">
        <v>377.49</v>
      </c>
      <c r="L214" s="63" t="n">
        <v>372.28</v>
      </c>
      <c r="M214" s="63" t="n">
        <v>377.49</v>
      </c>
      <c r="N214" s="54">
        <f>(M215-M214)/M214</f>
        <v/>
      </c>
      <c r="O214" s="54">
        <f>(M218-M214)/M214</f>
        <v/>
      </c>
      <c r="P214" s="4">
        <f>B214-D214</f>
        <v/>
      </c>
      <c r="Q214" s="4">
        <f>AVERAGE(P211:P214)</f>
        <v/>
      </c>
      <c r="R214" s="54">
        <f>(M215-M214)/M214</f>
        <v/>
      </c>
      <c r="S214" s="54">
        <f>(M218-M214)/M214</f>
        <v/>
      </c>
      <c r="T214" s="63">
        <f>IF(R214&gt;0,1,"")</f>
        <v/>
      </c>
      <c r="U214" s="63">
        <f>IF(S214&gt;0,1,"")</f>
        <v/>
      </c>
    </row>
    <row r="215">
      <c r="A215" s="35" t="n">
        <v>33389</v>
      </c>
      <c r="B215" s="4" t="n">
        <v>0.42</v>
      </c>
      <c r="C215" s="4" t="n">
        <v>0.35</v>
      </c>
      <c r="D215" s="4" t="n">
        <v>0.23</v>
      </c>
      <c r="E215" s="63" t="n">
        <v>1</v>
      </c>
      <c r="F215" s="63" t="n">
        <v>0.42</v>
      </c>
      <c r="G215" s="63" t="n">
        <v>0.19</v>
      </c>
      <c r="H215" s="63" t="n">
        <v>0.384907436629</v>
      </c>
      <c r="I215" s="63" t="n">
        <v>0.48829287048</v>
      </c>
      <c r="J215" s="63" t="n">
        <v>0.281522002778</v>
      </c>
      <c r="K215" s="63" t="n">
        <v>389.83</v>
      </c>
      <c r="L215" s="63" t="n">
        <v>381.94</v>
      </c>
      <c r="M215" s="63" t="n">
        <v>389.83</v>
      </c>
      <c r="N215" s="54">
        <f>(M216-M215)/M215</f>
        <v/>
      </c>
      <c r="O215" s="54">
        <f>(M219-M215)/M215</f>
        <v/>
      </c>
      <c r="P215" s="4">
        <f>B215-D215</f>
        <v/>
      </c>
      <c r="Q215" s="4">
        <f>AVERAGE(P212:P215)</f>
        <v/>
      </c>
      <c r="R215" s="54">
        <f>(M216-M215)/M215</f>
        <v/>
      </c>
      <c r="S215" s="54">
        <f>(M219-M215)/M215</f>
        <v/>
      </c>
      <c r="T215" s="63">
        <f>IF(R215&gt;0,1,"")</f>
        <v/>
      </c>
      <c r="U215" s="63">
        <f>IF(S215&gt;0,1,"")</f>
        <v/>
      </c>
    </row>
    <row r="216">
      <c r="A216" s="35" t="n">
        <v>33396</v>
      </c>
      <c r="B216" s="4" t="n">
        <v>0.46</v>
      </c>
      <c r="C216" s="4" t="n">
        <v>0.37</v>
      </c>
      <c r="D216" s="4" t="n">
        <v>0.17</v>
      </c>
      <c r="E216" s="63" t="n">
        <v>1</v>
      </c>
      <c r="F216" s="63" t="n">
        <v>0.42375</v>
      </c>
      <c r="G216" s="63" t="n">
        <v>0.29</v>
      </c>
      <c r="H216" s="63" t="n">
        <v>0.384907436629</v>
      </c>
      <c r="I216" s="63" t="n">
        <v>0.48829287048</v>
      </c>
      <c r="J216" s="63" t="n">
        <v>0.281522002778</v>
      </c>
      <c r="K216" s="63" t="n">
        <v>388.06</v>
      </c>
      <c r="L216" s="63" t="n">
        <v>383.63</v>
      </c>
      <c r="M216" s="63" t="n">
        <v>379.43</v>
      </c>
      <c r="N216" s="54">
        <f>(M217-M216)/M216</f>
        <v/>
      </c>
      <c r="O216" s="54">
        <f>(M220-M216)/M216</f>
        <v/>
      </c>
      <c r="P216" s="4">
        <f>B216-D216</f>
        <v/>
      </c>
      <c r="Q216" s="4">
        <f>AVERAGE(P213:P216)</f>
        <v/>
      </c>
      <c r="R216" s="54">
        <f>(M217-M216)/M216</f>
        <v/>
      </c>
      <c r="S216" s="54">
        <f>(M220-M216)/M216</f>
        <v/>
      </c>
      <c r="T216" s="63">
        <f>IF(R216&gt;0,1,"")</f>
        <v/>
      </c>
      <c r="U216" s="63">
        <f>IF(S216&gt;0,1,"")</f>
        <v/>
      </c>
    </row>
    <row r="217">
      <c r="A217" s="35" t="n">
        <v>33403</v>
      </c>
      <c r="B217" s="4" t="n">
        <v>0.47</v>
      </c>
      <c r="C217" s="4" t="n">
        <v>0.31</v>
      </c>
      <c r="D217" s="4" t="n">
        <v>0.22</v>
      </c>
      <c r="E217" s="63" t="n">
        <v>1</v>
      </c>
      <c r="F217" s="63" t="n">
        <v>0.43375</v>
      </c>
      <c r="G217" s="63" t="n">
        <v>0.25</v>
      </c>
      <c r="H217" s="63" t="n">
        <v>0.384907436629</v>
      </c>
      <c r="I217" s="63" t="n">
        <v>0.48829287048</v>
      </c>
      <c r="J217" s="63" t="n">
        <v>0.281522002778</v>
      </c>
      <c r="K217" s="63" t="n">
        <v>382.29</v>
      </c>
      <c r="L217" s="63" t="n">
        <v>376.65</v>
      </c>
      <c r="M217" s="63" t="n">
        <v>382.29</v>
      </c>
      <c r="N217" s="54">
        <f>(M218-M217)/M217</f>
        <v/>
      </c>
      <c r="O217" s="54">
        <f>(M221-M217)/M217</f>
        <v/>
      </c>
      <c r="P217" s="4">
        <f>B217-D217</f>
        <v/>
      </c>
      <c r="Q217" s="4">
        <f>AVERAGE(P214:P217)</f>
        <v/>
      </c>
      <c r="R217" s="54">
        <f>(M218-M217)/M217</f>
        <v/>
      </c>
      <c r="S217" s="54">
        <f>(M221-M217)/M217</f>
        <v/>
      </c>
      <c r="T217" s="63">
        <f>IF(R217&gt;0,1,"")</f>
        <v/>
      </c>
      <c r="U217" s="63">
        <f>IF(S217&gt;0,1,"")</f>
        <v/>
      </c>
    </row>
    <row r="218">
      <c r="A218" s="35" t="n">
        <v>33410</v>
      </c>
      <c r="B218" s="4" t="n">
        <v>0.44</v>
      </c>
      <c r="C218" s="4" t="n">
        <v>0.4</v>
      </c>
      <c r="D218" s="4" t="n">
        <v>0.16</v>
      </c>
      <c r="E218" s="63" t="n">
        <v>1</v>
      </c>
      <c r="F218" s="63" t="n">
        <v>0.42</v>
      </c>
      <c r="G218" s="63" t="n">
        <v>0.28</v>
      </c>
      <c r="H218" s="63" t="n">
        <v>0.384907436629</v>
      </c>
      <c r="I218" s="63" t="n">
        <v>0.48829287048</v>
      </c>
      <c r="J218" s="63" t="n">
        <v>0.281522002778</v>
      </c>
      <c r="K218" s="63" t="n">
        <v>380.13</v>
      </c>
      <c r="L218" s="63" t="n">
        <v>375.09</v>
      </c>
      <c r="M218" s="63" t="n">
        <v>377.75</v>
      </c>
      <c r="N218" s="54">
        <f>(M219-M218)/M218</f>
        <v/>
      </c>
      <c r="O218" s="54">
        <f>(M222-M218)/M218</f>
        <v/>
      </c>
      <c r="P218" s="4">
        <f>B218-D218</f>
        <v/>
      </c>
      <c r="Q218" s="4">
        <f>AVERAGE(P215:P218)</f>
        <v/>
      </c>
      <c r="R218" s="54">
        <f>(M219-M218)/M218</f>
        <v/>
      </c>
      <c r="S218" s="54">
        <f>(M222-M218)/M218</f>
        <v/>
      </c>
      <c r="T218" s="63">
        <f>IF(R218&gt;0,1,"")</f>
        <v/>
      </c>
      <c r="U218" s="63">
        <f>IF(S218&gt;0,1,"")</f>
        <v/>
      </c>
    </row>
    <row r="219">
      <c r="A219" s="35" t="n">
        <v>33417</v>
      </c>
      <c r="B219" s="4" t="n">
        <v>0.28</v>
      </c>
      <c r="C219" s="4" t="n">
        <v>0.37</v>
      </c>
      <c r="D219" s="4" t="n">
        <v>0.35</v>
      </c>
      <c r="E219" s="63" t="n">
        <v>1</v>
      </c>
      <c r="F219" s="63" t="n">
        <v>0.40625</v>
      </c>
      <c r="G219" s="63" t="n">
        <v>-0.07000000000000001</v>
      </c>
      <c r="H219" s="63" t="n">
        <v>0.384907436629</v>
      </c>
      <c r="I219" s="63" t="n">
        <v>0.48829287048</v>
      </c>
      <c r="J219" s="63" t="n">
        <v>0.281522002778</v>
      </c>
      <c r="K219" s="63" t="n">
        <v>374.4</v>
      </c>
      <c r="L219" s="63" t="n">
        <v>370.65</v>
      </c>
      <c r="M219" s="63" t="n">
        <v>371.16</v>
      </c>
      <c r="N219" s="54">
        <f>(M220-M219)/M219</f>
        <v/>
      </c>
      <c r="O219" s="54">
        <f>(M223-M219)/M219</f>
        <v/>
      </c>
      <c r="P219" s="4">
        <f>B219-D219</f>
        <v/>
      </c>
      <c r="Q219" s="4">
        <f>AVERAGE(P216:P219)</f>
        <v/>
      </c>
      <c r="R219" s="54">
        <f>(M220-M219)/M219</f>
        <v/>
      </c>
      <c r="S219" s="54">
        <f>(M223-M219)/M219</f>
        <v/>
      </c>
      <c r="T219" s="63">
        <f>IF(R219&gt;0,1,"")</f>
        <v/>
      </c>
      <c r="U219" s="63">
        <f>IF(S219&gt;0,1,"")</f>
        <v/>
      </c>
    </row>
    <row r="220">
      <c r="A220" s="35" t="n">
        <v>33422</v>
      </c>
      <c r="B220" s="4" t="n">
        <v>0.28</v>
      </c>
      <c r="C220" s="4" t="n">
        <v>0.39</v>
      </c>
      <c r="D220" s="4" t="n">
        <v>0.33</v>
      </c>
      <c r="E220" s="63" t="n">
        <v>1</v>
      </c>
      <c r="F220" s="63" t="n">
        <v>0.39375</v>
      </c>
      <c r="G220" s="63" t="n">
        <v>-0.05</v>
      </c>
      <c r="H220" s="63" t="n">
        <v>0.384907436629</v>
      </c>
      <c r="I220" s="63" t="n">
        <v>0.48829287048</v>
      </c>
      <c r="J220" s="63" t="n">
        <v>0.281522002778</v>
      </c>
      <c r="K220" s="63" t="n">
        <v>377.92</v>
      </c>
      <c r="L220" s="63" t="n">
        <v>373.33</v>
      </c>
      <c r="M220" s="63" t="n">
        <v>374.08</v>
      </c>
      <c r="N220" s="54">
        <f>(M221-M220)/M220</f>
        <v/>
      </c>
      <c r="O220" s="54">
        <f>(M224-M220)/M220</f>
        <v/>
      </c>
      <c r="P220" s="4">
        <f>B220-D220</f>
        <v/>
      </c>
      <c r="Q220" s="4">
        <f>AVERAGE(P217:P220)</f>
        <v/>
      </c>
      <c r="R220" s="54">
        <f>(M221-M220)/M220</f>
        <v/>
      </c>
      <c r="S220" s="54">
        <f>(M224-M220)/M220</f>
        <v/>
      </c>
      <c r="T220" s="63">
        <f>IF(R220&gt;0,1,"")</f>
        <v/>
      </c>
      <c r="U220" s="63">
        <f>IF(S220&gt;0,1,"")</f>
        <v/>
      </c>
    </row>
    <row r="221">
      <c r="A221" s="35" t="n">
        <v>33431</v>
      </c>
      <c r="B221" s="4" t="n">
        <v>0.41</v>
      </c>
      <c r="C221" s="4" t="n">
        <v>0.39</v>
      </c>
      <c r="D221" s="4" t="n">
        <v>0.2</v>
      </c>
      <c r="E221" s="63" t="n">
        <v>1</v>
      </c>
      <c r="F221" s="63" t="n">
        <v>0.3925</v>
      </c>
      <c r="G221" s="63" t="n">
        <v>0.21</v>
      </c>
      <c r="H221" s="63" t="n">
        <v>0.384907436629</v>
      </c>
      <c r="I221" s="63" t="n">
        <v>0.48829287048</v>
      </c>
      <c r="J221" s="63" t="n">
        <v>0.281522002778</v>
      </c>
      <c r="K221" s="63" t="n">
        <v>380.25</v>
      </c>
      <c r="L221" s="63" t="n">
        <v>375.74</v>
      </c>
      <c r="M221" s="63" t="n">
        <v>380.25</v>
      </c>
      <c r="N221" s="54">
        <f>(M222-M221)/M221</f>
        <v/>
      </c>
      <c r="O221" s="54">
        <f>(M225-M221)/M221</f>
        <v/>
      </c>
      <c r="P221" s="4">
        <f>B221-D221</f>
        <v/>
      </c>
      <c r="Q221" s="4">
        <f>AVERAGE(P218:P221)</f>
        <v/>
      </c>
      <c r="R221" s="54">
        <f>(M222-M221)/M221</f>
        <v/>
      </c>
      <c r="S221" s="54">
        <f>(M225-M221)/M221</f>
        <v/>
      </c>
      <c r="T221" s="63">
        <f>IF(R221&gt;0,1,"")</f>
        <v/>
      </c>
      <c r="U221" s="63">
        <f>IF(S221&gt;0,1,"")</f>
        <v/>
      </c>
    </row>
    <row r="222">
      <c r="A222" s="35" t="n">
        <v>33438</v>
      </c>
      <c r="B222" s="4" t="n">
        <v>0.27</v>
      </c>
      <c r="C222" s="4" t="n">
        <v>0.51</v>
      </c>
      <c r="D222" s="4" t="n">
        <v>0.22</v>
      </c>
      <c r="E222" s="63" t="n">
        <v>1</v>
      </c>
      <c r="F222" s="63" t="n">
        <v>0.37875</v>
      </c>
      <c r="G222" s="63" t="n">
        <v>0.05</v>
      </c>
      <c r="H222" s="63" t="n">
        <v>0.384907436629</v>
      </c>
      <c r="I222" s="63" t="n">
        <v>0.48829287048</v>
      </c>
      <c r="J222" s="63" t="n">
        <v>0.281522002778</v>
      </c>
      <c r="K222" s="63" t="n">
        <v>385.83</v>
      </c>
      <c r="L222" s="63" t="n">
        <v>380.25</v>
      </c>
      <c r="M222" s="63" t="n">
        <v>384.22</v>
      </c>
      <c r="N222" s="54">
        <f>(M223-M222)/M222</f>
        <v/>
      </c>
      <c r="O222" s="54">
        <f>(M226-M222)/M222</f>
        <v/>
      </c>
      <c r="P222" s="4">
        <f>B222-D222</f>
        <v/>
      </c>
      <c r="Q222" s="4">
        <f>AVERAGE(P219:P222)</f>
        <v/>
      </c>
      <c r="R222" s="54">
        <f>(M223-M222)/M222</f>
        <v/>
      </c>
      <c r="S222" s="54">
        <f>(M226-M222)/M222</f>
        <v/>
      </c>
      <c r="T222" s="63">
        <f>IF(R222&gt;0,1,"")</f>
        <v/>
      </c>
      <c r="U222" s="63">
        <f>IF(S222&gt;0,1,"")</f>
        <v/>
      </c>
    </row>
    <row r="223">
      <c r="A223" s="35" t="n">
        <v>33445</v>
      </c>
      <c r="B223" s="4" t="n">
        <v>0.35</v>
      </c>
      <c r="C223" s="4" t="n">
        <v>0.42</v>
      </c>
      <c r="D223" s="4" t="n">
        <v>0.23</v>
      </c>
      <c r="E223" s="63" t="n">
        <v>1</v>
      </c>
      <c r="F223" s="63" t="n">
        <v>0.37</v>
      </c>
      <c r="G223" s="63" t="n">
        <v>0.12</v>
      </c>
      <c r="H223" s="63" t="n">
        <v>0.384907436629</v>
      </c>
      <c r="I223" s="63" t="n">
        <v>0.48829287048</v>
      </c>
      <c r="J223" s="63" t="n">
        <v>0.281522002778</v>
      </c>
      <c r="K223" s="63" t="n">
        <v>384.86</v>
      </c>
      <c r="L223" s="63" t="n">
        <v>378.15</v>
      </c>
      <c r="M223" s="63" t="n">
        <v>380.93</v>
      </c>
      <c r="N223" s="54">
        <f>(M224-M223)/M223</f>
        <v/>
      </c>
      <c r="O223" s="54">
        <f>(M227-M223)/M223</f>
        <v/>
      </c>
      <c r="P223" s="4">
        <f>B223-D223</f>
        <v/>
      </c>
      <c r="Q223" s="4">
        <f>AVERAGE(P220:P223)</f>
        <v/>
      </c>
      <c r="R223" s="54">
        <f>(M224-M223)/M223</f>
        <v/>
      </c>
      <c r="S223" s="54">
        <f>(M227-M223)/M223</f>
        <v/>
      </c>
      <c r="T223" s="63">
        <f>IF(R223&gt;0,1,"")</f>
        <v/>
      </c>
      <c r="U223" s="63">
        <f>IF(S223&gt;0,1,"")</f>
        <v/>
      </c>
    </row>
    <row r="224">
      <c r="A224" s="35" t="n">
        <v>33452</v>
      </c>
      <c r="B224" s="4" t="n">
        <v>0.33</v>
      </c>
      <c r="C224" s="4" t="n">
        <v>0.36</v>
      </c>
      <c r="D224" s="4" t="n">
        <v>0.31</v>
      </c>
      <c r="E224" s="63" t="n">
        <v>1</v>
      </c>
      <c r="F224" s="63" t="n">
        <v>0.35375</v>
      </c>
      <c r="G224" s="63" t="n">
        <v>0.02</v>
      </c>
      <c r="H224" s="63" t="n">
        <v>0.384907436629</v>
      </c>
      <c r="I224" s="63" t="n">
        <v>0.48829287048</v>
      </c>
      <c r="J224" s="63" t="n">
        <v>0.281522002778</v>
      </c>
      <c r="K224" s="63" t="n">
        <v>389.56</v>
      </c>
      <c r="L224" s="63" t="n">
        <v>380.45</v>
      </c>
      <c r="M224" s="63" t="n">
        <v>387.18</v>
      </c>
      <c r="N224" s="54">
        <f>(M225-M224)/M224</f>
        <v/>
      </c>
      <c r="O224" s="54">
        <f>(M228-M224)/M224</f>
        <v/>
      </c>
      <c r="P224" s="4">
        <f>B224-D224</f>
        <v/>
      </c>
      <c r="Q224" s="4">
        <f>AVERAGE(P221:P224)</f>
        <v/>
      </c>
      <c r="R224" s="54">
        <f>(M225-M224)/M224</f>
        <v/>
      </c>
      <c r="S224" s="54">
        <f>(M228-M224)/M224</f>
        <v/>
      </c>
      <c r="T224" s="63">
        <f>IF(R224&gt;0,1,"")</f>
        <v/>
      </c>
      <c r="U224" s="63">
        <f>IF(S224&gt;0,1,"")</f>
        <v/>
      </c>
    </row>
    <row r="225">
      <c r="A225" s="35" t="n">
        <v>33459</v>
      </c>
      <c r="B225" s="4" t="n">
        <v>0.26</v>
      </c>
      <c r="C225" s="4" t="n">
        <v>0.45</v>
      </c>
      <c r="D225" s="4" t="n">
        <v>0.29</v>
      </c>
      <c r="E225" s="63" t="n">
        <v>1</v>
      </c>
      <c r="F225" s="63" t="n">
        <v>0.3275</v>
      </c>
      <c r="G225" s="63" t="n">
        <v>-0.03</v>
      </c>
      <c r="H225" s="63" t="n">
        <v>0.384907436629</v>
      </c>
      <c r="I225" s="63" t="n">
        <v>0.48829287048</v>
      </c>
      <c r="J225" s="63" t="n">
        <v>0.281522002778</v>
      </c>
      <c r="K225" s="63" t="n">
        <v>391.8</v>
      </c>
      <c r="L225" s="63" t="n">
        <v>384.29</v>
      </c>
      <c r="M225" s="63" t="n">
        <v>387.12</v>
      </c>
      <c r="N225" s="54">
        <f>(M226-M225)/M225</f>
        <v/>
      </c>
      <c r="O225" s="54">
        <f>(M229-M225)/M225</f>
        <v/>
      </c>
      <c r="P225" s="4">
        <f>B225-D225</f>
        <v/>
      </c>
      <c r="Q225" s="4">
        <f>AVERAGE(P222:P225)</f>
        <v/>
      </c>
      <c r="R225" s="54">
        <f>(M226-M225)/M225</f>
        <v/>
      </c>
      <c r="S225" s="54">
        <f>(M229-M225)/M225</f>
        <v/>
      </c>
      <c r="T225" s="63">
        <f>IF(R225&gt;0,1,"")</f>
        <v/>
      </c>
      <c r="U225" s="63">
        <f>IF(S225&gt;0,1,"")</f>
        <v/>
      </c>
    </row>
    <row r="226">
      <c r="A226" s="35" t="n">
        <v>33466</v>
      </c>
      <c r="B226" s="4" t="n">
        <v>0.37</v>
      </c>
      <c r="C226" s="4" t="n">
        <v>0.33</v>
      </c>
      <c r="D226" s="4" t="n">
        <v>0.3</v>
      </c>
      <c r="E226" s="63" t="n">
        <v>1</v>
      </c>
      <c r="F226" s="63" t="n">
        <v>0.31875</v>
      </c>
      <c r="G226" s="63" t="n">
        <v>0.07000000000000001</v>
      </c>
      <c r="H226" s="63" t="n">
        <v>0.384907436629</v>
      </c>
      <c r="I226" s="63" t="n">
        <v>0.48829287048</v>
      </c>
      <c r="J226" s="63" t="n">
        <v>0.281522002778</v>
      </c>
      <c r="K226" s="63" t="n">
        <v>391.92</v>
      </c>
      <c r="L226" s="63" t="n">
        <v>382.59</v>
      </c>
      <c r="M226" s="63" t="n">
        <v>385.58</v>
      </c>
      <c r="N226" s="54">
        <f>(M227-M226)/M226</f>
        <v/>
      </c>
      <c r="O226" s="54">
        <f>(M230-M226)/M226</f>
        <v/>
      </c>
      <c r="P226" s="4">
        <f>B226-D226</f>
        <v/>
      </c>
      <c r="Q226" s="4">
        <f>AVERAGE(P223:P226)</f>
        <v/>
      </c>
      <c r="R226" s="54">
        <f>(M227-M226)/M226</f>
        <v/>
      </c>
      <c r="S226" s="54">
        <f>(M230-M226)/M226</f>
        <v/>
      </c>
      <c r="T226" s="63">
        <f>IF(R226&gt;0,1,"")</f>
        <v/>
      </c>
      <c r="U226" s="63">
        <f>IF(S226&gt;0,1,"")</f>
        <v/>
      </c>
    </row>
    <row r="227">
      <c r="A227" s="35" t="n">
        <v>33473</v>
      </c>
      <c r="B227" s="4" t="n">
        <v>0.32</v>
      </c>
      <c r="C227" s="4" t="n">
        <v>0.36</v>
      </c>
      <c r="D227" s="4" t="n">
        <v>0.32</v>
      </c>
      <c r="E227" s="63" t="n">
        <v>1</v>
      </c>
      <c r="F227" s="63" t="n">
        <v>0.32375</v>
      </c>
      <c r="G227" s="63" t="n">
        <v>0</v>
      </c>
      <c r="H227" s="63" t="n">
        <v>0.384907436629</v>
      </c>
      <c r="I227" s="63" t="n">
        <v>0.48829287048</v>
      </c>
      <c r="J227" s="63" t="n">
        <v>0.281522002778</v>
      </c>
      <c r="K227" s="63" t="n">
        <v>395.34</v>
      </c>
      <c r="L227" s="63" t="n">
        <v>374.09</v>
      </c>
      <c r="M227" s="63" t="n">
        <v>394.17</v>
      </c>
      <c r="N227" s="54">
        <f>(M228-M227)/M227</f>
        <v/>
      </c>
      <c r="O227" s="54">
        <f>(M231-M227)/M227</f>
        <v/>
      </c>
      <c r="P227" s="4">
        <f>B227-D227</f>
        <v/>
      </c>
      <c r="Q227" s="4">
        <f>AVERAGE(P224:P227)</f>
        <v/>
      </c>
      <c r="R227" s="54">
        <f>(M228-M227)/M227</f>
        <v/>
      </c>
      <c r="S227" s="54">
        <f>(M231-M227)/M227</f>
        <v/>
      </c>
      <c r="T227" s="63">
        <f>IF(R227&gt;0,1,"")</f>
        <v/>
      </c>
      <c r="U227" s="63">
        <f>IF(S227&gt;0,1,"")</f>
        <v/>
      </c>
    </row>
    <row r="228">
      <c r="A228" s="35" t="n">
        <v>33480</v>
      </c>
      <c r="B228" s="4" t="n">
        <v>0.41</v>
      </c>
      <c r="C228" s="4" t="n">
        <v>0.4</v>
      </c>
      <c r="D228" s="4" t="n">
        <v>0.19</v>
      </c>
      <c r="E228" s="63" t="n">
        <v>1</v>
      </c>
      <c r="F228" s="63" t="n">
        <v>0.34</v>
      </c>
      <c r="G228" s="63" t="n">
        <v>0.22</v>
      </c>
      <c r="H228" s="63" t="n">
        <v>0.384907436629</v>
      </c>
      <c r="I228" s="63" t="n">
        <v>0.48829287048</v>
      </c>
      <c r="J228" s="63" t="n">
        <v>0.281522002778</v>
      </c>
      <c r="K228" s="63" t="n">
        <v>396.82</v>
      </c>
      <c r="L228" s="63" t="n">
        <v>391.77</v>
      </c>
      <c r="M228" s="63" t="n">
        <v>395.43</v>
      </c>
      <c r="N228" s="54">
        <f>(M229-M228)/M228</f>
        <v/>
      </c>
      <c r="O228" s="54">
        <f>(M232-M228)/M228</f>
        <v/>
      </c>
      <c r="P228" s="4">
        <f>B228-D228</f>
        <v/>
      </c>
      <c r="Q228" s="4">
        <f>AVERAGE(P225:P228)</f>
        <v/>
      </c>
      <c r="R228" s="54">
        <f>(M229-M228)/M228</f>
        <v/>
      </c>
      <c r="S228" s="54">
        <f>(M232-M228)/M228</f>
        <v/>
      </c>
      <c r="T228" s="63">
        <f>IF(R228&gt;0,1,"")</f>
        <v/>
      </c>
      <c r="U228" s="63">
        <f>IF(S228&gt;0,1,"")</f>
        <v/>
      </c>
    </row>
    <row r="229">
      <c r="A229" s="35" t="n">
        <v>33487</v>
      </c>
      <c r="B229" s="4" t="n">
        <v>0.36</v>
      </c>
      <c r="C229" s="4" t="n">
        <v>0.31</v>
      </c>
      <c r="D229" s="4" t="n">
        <v>0.33</v>
      </c>
      <c r="E229" s="63" t="n">
        <v>1</v>
      </c>
      <c r="F229" s="63" t="n">
        <v>0.33375</v>
      </c>
      <c r="G229" s="63" t="n">
        <v>0.03</v>
      </c>
      <c r="H229" s="63" t="n">
        <v>0.384907436629</v>
      </c>
      <c r="I229" s="63" t="n">
        <v>0.48829287048</v>
      </c>
      <c r="J229" s="63" t="n">
        <v>0.281522002778</v>
      </c>
      <c r="K229" s="63" t="n">
        <v>397.62</v>
      </c>
      <c r="L229" s="63" t="n">
        <v>387.36</v>
      </c>
      <c r="M229" s="63" t="n">
        <v>389.1</v>
      </c>
      <c r="N229" s="54">
        <f>(M230-M229)/M229</f>
        <v/>
      </c>
      <c r="O229" s="54">
        <f>(M233-M229)/M229</f>
        <v/>
      </c>
      <c r="P229" s="4">
        <f>B229-D229</f>
        <v/>
      </c>
      <c r="Q229" s="4">
        <f>AVERAGE(P226:P229)</f>
        <v/>
      </c>
      <c r="R229" s="54">
        <f>(M230-M229)/M229</f>
        <v/>
      </c>
      <c r="S229" s="54">
        <f>(M233-M229)/M229</f>
        <v/>
      </c>
      <c r="T229" s="63">
        <f>IF(R229&gt;0,1,"")</f>
        <v/>
      </c>
      <c r="U229" s="63">
        <f>IF(S229&gt;0,1,"")</f>
        <v/>
      </c>
    </row>
    <row r="230">
      <c r="A230" s="35" t="n">
        <v>33494</v>
      </c>
      <c r="B230" s="4" t="n">
        <v>0.43</v>
      </c>
      <c r="C230" s="4" t="n">
        <v>0.39</v>
      </c>
      <c r="D230" s="4" t="n">
        <v>0.18</v>
      </c>
      <c r="E230" s="63" t="n">
        <v>1</v>
      </c>
      <c r="F230" s="63" t="n">
        <v>0.35375</v>
      </c>
      <c r="G230" s="63" t="n">
        <v>0.25</v>
      </c>
      <c r="H230" s="63" t="n">
        <v>0.384907436629</v>
      </c>
      <c r="I230" s="63" t="n">
        <v>0.48829287048</v>
      </c>
      <c r="J230" s="63" t="n">
        <v>0.281522002778</v>
      </c>
      <c r="K230" s="63" t="n">
        <v>389.34</v>
      </c>
      <c r="L230" s="63" t="n">
        <v>382.85</v>
      </c>
      <c r="M230" s="63" t="n">
        <v>383.59</v>
      </c>
      <c r="N230" s="54">
        <f>(M231-M230)/M230</f>
        <v/>
      </c>
      <c r="O230" s="54">
        <f>(M234-M230)/M230</f>
        <v/>
      </c>
      <c r="P230" s="4">
        <f>B230-D230</f>
        <v/>
      </c>
      <c r="Q230" s="4">
        <f>AVERAGE(P227:P230)</f>
        <v/>
      </c>
      <c r="R230" s="54">
        <f>(M231-M230)/M230</f>
        <v/>
      </c>
      <c r="S230" s="54">
        <f>(M234-M230)/M230</f>
        <v/>
      </c>
      <c r="T230" s="63">
        <f>IF(R230&gt;0,1,"")</f>
        <v/>
      </c>
      <c r="U230" s="63">
        <f>IF(S230&gt;0,1,"")</f>
        <v/>
      </c>
    </row>
    <row r="231">
      <c r="A231" s="35" t="n">
        <v>33501</v>
      </c>
      <c r="B231" s="4" t="n">
        <v>0.32</v>
      </c>
      <c r="C231" s="4" t="n">
        <v>0.48</v>
      </c>
      <c r="D231" s="4" t="n">
        <v>0.2</v>
      </c>
      <c r="E231" s="63" t="n">
        <v>1</v>
      </c>
      <c r="F231" s="63" t="n">
        <v>0.35</v>
      </c>
      <c r="G231" s="63" t="n">
        <v>0.12</v>
      </c>
      <c r="H231" s="63" t="n">
        <v>0.384907436629</v>
      </c>
      <c r="I231" s="63" t="n">
        <v>0.48829287048</v>
      </c>
      <c r="J231" s="63" t="n">
        <v>0.281522002778</v>
      </c>
      <c r="K231" s="63" t="n">
        <v>389.42</v>
      </c>
      <c r="L231" s="63" t="n">
        <v>382.77</v>
      </c>
      <c r="M231" s="63" t="n">
        <v>387.92</v>
      </c>
      <c r="N231" s="54">
        <f>(M232-M231)/M231</f>
        <v/>
      </c>
      <c r="O231" s="54">
        <f>(M235-M231)/M231</f>
        <v/>
      </c>
      <c r="P231" s="4">
        <f>B231-D231</f>
        <v/>
      </c>
      <c r="Q231" s="4">
        <f>AVERAGE(P228:P231)</f>
        <v/>
      </c>
      <c r="R231" s="54">
        <f>(M232-M231)/M231</f>
        <v/>
      </c>
      <c r="S231" s="54">
        <f>(M235-M231)/M231</f>
        <v/>
      </c>
      <c r="T231" s="63">
        <f>IF(R231&gt;0,1,"")</f>
        <v/>
      </c>
      <c r="U231" s="63">
        <f>IF(S231&gt;0,1,"")</f>
        <v/>
      </c>
    </row>
    <row r="232">
      <c r="A232" s="35" t="n">
        <v>33508</v>
      </c>
      <c r="B232" s="4" t="n">
        <v>0.31</v>
      </c>
      <c r="C232" s="4" t="n">
        <v>0.38</v>
      </c>
      <c r="D232" s="4" t="n">
        <v>0.31</v>
      </c>
      <c r="E232" s="63" t="n">
        <v>1</v>
      </c>
      <c r="F232" s="63" t="n">
        <v>0.3475</v>
      </c>
      <c r="G232" s="63" t="n">
        <v>0</v>
      </c>
      <c r="H232" s="63" t="n">
        <v>0.384907436629</v>
      </c>
      <c r="I232" s="63" t="n">
        <v>0.48829287048</v>
      </c>
      <c r="J232" s="63" t="n">
        <v>0.281522002778</v>
      </c>
      <c r="K232" s="63" t="n">
        <v>389.09</v>
      </c>
      <c r="L232" s="63" t="n">
        <v>384.46</v>
      </c>
      <c r="M232" s="63" t="n">
        <v>385.9</v>
      </c>
      <c r="N232" s="54">
        <f>(M233-M232)/M232</f>
        <v/>
      </c>
      <c r="O232" s="54">
        <f>(M236-M232)/M232</f>
        <v/>
      </c>
      <c r="P232" s="4">
        <f>B232-D232</f>
        <v/>
      </c>
      <c r="Q232" s="4">
        <f>AVERAGE(P229:P232)</f>
        <v/>
      </c>
      <c r="R232" s="54">
        <f>(M233-M232)/M232</f>
        <v/>
      </c>
      <c r="S232" s="54">
        <f>(M236-M232)/M232</f>
        <v/>
      </c>
      <c r="T232" s="63">
        <f>IF(R232&gt;0,1,"")</f>
        <v/>
      </c>
      <c r="U232" s="63">
        <f>IF(S232&gt;0,1,"")</f>
        <v/>
      </c>
    </row>
    <row r="233">
      <c r="A233" s="35" t="n">
        <v>33515</v>
      </c>
      <c r="B233" s="4" t="n">
        <v>0.35</v>
      </c>
      <c r="C233" s="4" t="n">
        <v>0.3</v>
      </c>
      <c r="D233" s="4" t="n">
        <v>0.35</v>
      </c>
      <c r="E233" s="63" t="n">
        <v>1</v>
      </c>
      <c r="F233" s="63" t="n">
        <v>0.35875</v>
      </c>
      <c r="G233" s="63" t="n">
        <v>0</v>
      </c>
      <c r="H233" s="63" t="n">
        <v>0.384907436629</v>
      </c>
      <c r="I233" s="63" t="n">
        <v>0.48829287048</v>
      </c>
      <c r="J233" s="63" t="n">
        <v>0.281522002778</v>
      </c>
      <c r="K233" s="63" t="n">
        <v>390.03</v>
      </c>
      <c r="L233" s="63" t="n">
        <v>381.24</v>
      </c>
      <c r="M233" s="63" t="n">
        <v>381.24</v>
      </c>
      <c r="N233" s="54">
        <f>(M234-M233)/M233</f>
        <v/>
      </c>
      <c r="O233" s="54">
        <f>(M237-M233)/M233</f>
        <v/>
      </c>
      <c r="P233" s="4">
        <f>B233-D233</f>
        <v/>
      </c>
      <c r="Q233" s="4">
        <f>AVERAGE(P230:P233)</f>
        <v/>
      </c>
      <c r="R233" s="54">
        <f>(M234-M233)/M233</f>
        <v/>
      </c>
      <c r="S233" s="54">
        <f>(M237-M233)/M233</f>
        <v/>
      </c>
      <c r="T233" s="63">
        <f>IF(R233&gt;0,1,"")</f>
        <v/>
      </c>
      <c r="U233" s="63">
        <f>IF(S233&gt;0,1,"")</f>
        <v/>
      </c>
    </row>
    <row r="234">
      <c r="A234" s="35" t="n">
        <v>33522</v>
      </c>
      <c r="B234" s="4" t="n">
        <v>0.39</v>
      </c>
      <c r="C234" s="4" t="n">
        <v>0.37</v>
      </c>
      <c r="D234" s="4" t="n">
        <v>0.24</v>
      </c>
      <c r="E234" s="63" t="n">
        <v>1</v>
      </c>
      <c r="F234" s="63" t="n">
        <v>0.36125</v>
      </c>
      <c r="G234" s="63" t="n">
        <v>0.15</v>
      </c>
      <c r="H234" s="63" t="n">
        <v>0.384907436629</v>
      </c>
      <c r="I234" s="63" t="n">
        <v>0.48829287048</v>
      </c>
      <c r="J234" s="63" t="n">
        <v>0.281522002778</v>
      </c>
      <c r="K234" s="63" t="n">
        <v>381.46</v>
      </c>
      <c r="L234" s="63" t="n">
        <v>376.11</v>
      </c>
      <c r="M234" s="63" t="n">
        <v>381.45</v>
      </c>
      <c r="N234" s="54">
        <f>(M235-M234)/M234</f>
        <v/>
      </c>
      <c r="O234" s="54">
        <f>(M238-M234)/M234</f>
        <v/>
      </c>
      <c r="P234" s="4">
        <f>B234-D234</f>
        <v/>
      </c>
      <c r="Q234" s="4">
        <f>AVERAGE(P231:P234)</f>
        <v/>
      </c>
      <c r="R234" s="54">
        <f>(M235-M234)/M234</f>
        <v/>
      </c>
      <c r="S234" s="54">
        <f>(M238-M234)/M234</f>
        <v/>
      </c>
      <c r="T234" s="63">
        <f>IF(R234&gt;0,1,"")</f>
        <v/>
      </c>
      <c r="U234" s="63">
        <f>IF(S234&gt;0,1,"")</f>
        <v/>
      </c>
    </row>
    <row r="235">
      <c r="A235" s="35" t="n">
        <v>33529</v>
      </c>
      <c r="B235" s="4" t="n">
        <v>0.3</v>
      </c>
      <c r="C235" s="4" t="n">
        <v>0.31</v>
      </c>
      <c r="D235" s="4" t="n">
        <v>0.39</v>
      </c>
      <c r="E235" s="63" t="n">
        <v>1</v>
      </c>
      <c r="F235" s="63" t="n">
        <v>0.35875</v>
      </c>
      <c r="G235" s="63" t="n">
        <v>-0.09</v>
      </c>
      <c r="H235" s="63" t="n">
        <v>0.384907436629</v>
      </c>
      <c r="I235" s="63" t="n">
        <v>0.48829287048</v>
      </c>
      <c r="J235" s="63" t="n">
        <v>0.281522002778</v>
      </c>
      <c r="K235" s="63" t="n">
        <v>393.81</v>
      </c>
      <c r="L235" s="63" t="n">
        <v>381.45</v>
      </c>
      <c r="M235" s="63" t="n">
        <v>392.5</v>
      </c>
      <c r="N235" s="54">
        <f>(M236-M235)/M235</f>
        <v/>
      </c>
      <c r="O235" s="54">
        <f>(M239-M235)/M235</f>
        <v/>
      </c>
      <c r="P235" s="4">
        <f>B235-D235</f>
        <v/>
      </c>
      <c r="Q235" s="4">
        <f>AVERAGE(P232:P235)</f>
        <v/>
      </c>
      <c r="R235" s="54">
        <f>(M236-M235)/M235</f>
        <v/>
      </c>
      <c r="S235" s="54">
        <f>(M239-M235)/M235</f>
        <v/>
      </c>
      <c r="T235" s="63">
        <f>IF(R235&gt;0,1,"")</f>
        <v/>
      </c>
      <c r="U235" s="63">
        <f>IF(S235&gt;0,1,"")</f>
        <v/>
      </c>
    </row>
    <row r="236">
      <c r="A236" s="35" t="n">
        <v>33536</v>
      </c>
      <c r="B236" s="4" t="n">
        <v>0.31</v>
      </c>
      <c r="C236" s="4" t="n">
        <v>0.36</v>
      </c>
      <c r="D236" s="4" t="n">
        <v>0.33</v>
      </c>
      <c r="E236" s="63" t="n">
        <v>1</v>
      </c>
      <c r="F236" s="63" t="n">
        <v>0.34625</v>
      </c>
      <c r="G236" s="63" t="n">
        <v>-0.02</v>
      </c>
      <c r="H236" s="63" t="n">
        <v>0.384907436629</v>
      </c>
      <c r="I236" s="63" t="n">
        <v>0.48829287048</v>
      </c>
      <c r="J236" s="63" t="n">
        <v>0.281522002778</v>
      </c>
      <c r="K236" s="63" t="n">
        <v>392.5</v>
      </c>
      <c r="L236" s="63" t="n">
        <v>382.97</v>
      </c>
      <c r="M236" s="63" t="n">
        <v>384.2</v>
      </c>
      <c r="N236" s="54">
        <f>(M237-M236)/M236</f>
        <v/>
      </c>
      <c r="O236" s="54">
        <f>(M240-M236)/M236</f>
        <v/>
      </c>
      <c r="P236" s="4">
        <f>B236-D236</f>
        <v/>
      </c>
      <c r="Q236" s="4">
        <f>AVERAGE(P233:P236)</f>
        <v/>
      </c>
      <c r="R236" s="54">
        <f>(M237-M236)/M236</f>
        <v/>
      </c>
      <c r="S236" s="54">
        <f>(M240-M236)/M236</f>
        <v/>
      </c>
      <c r="T236" s="63">
        <f>IF(R236&gt;0,1,"")</f>
        <v/>
      </c>
      <c r="U236" s="63">
        <f>IF(S236&gt;0,1,"")</f>
        <v/>
      </c>
    </row>
    <row r="237">
      <c r="A237" s="35" t="n">
        <v>33543</v>
      </c>
      <c r="B237" s="4" t="n">
        <v>0.52</v>
      </c>
      <c r="C237" s="4" t="n">
        <v>0.12</v>
      </c>
      <c r="D237" s="4" t="n">
        <v>0.36</v>
      </c>
      <c r="E237" s="63" t="n">
        <v>1</v>
      </c>
      <c r="F237" s="63" t="n">
        <v>0.36625</v>
      </c>
      <c r="G237" s="63" t="n">
        <v>0.16</v>
      </c>
      <c r="H237" s="63" t="n">
        <v>0.384907436629</v>
      </c>
      <c r="I237" s="63" t="n">
        <v>0.48829287048</v>
      </c>
      <c r="J237" s="63" t="n">
        <v>0.281522002778</v>
      </c>
      <c r="K237" s="63" t="n">
        <v>395.1</v>
      </c>
      <c r="L237" s="63" t="n">
        <v>384.2</v>
      </c>
      <c r="M237" s="63" t="n">
        <v>391.32</v>
      </c>
      <c r="N237" s="54">
        <f>(M238-M237)/M237</f>
        <v/>
      </c>
      <c r="O237" s="54">
        <f>(M241-M237)/M237</f>
        <v/>
      </c>
      <c r="P237" s="4">
        <f>B237-D237</f>
        <v/>
      </c>
      <c r="Q237" s="4">
        <f>AVERAGE(P234:P237)</f>
        <v/>
      </c>
      <c r="R237" s="54">
        <f>(M238-M237)/M237</f>
        <v/>
      </c>
      <c r="S237" s="54">
        <f>(M241-M237)/M237</f>
        <v/>
      </c>
      <c r="T237" s="63">
        <f>IF(R237&gt;0,1,"")</f>
        <v/>
      </c>
      <c r="U237" s="63">
        <f>IF(S237&gt;0,1,"")</f>
        <v/>
      </c>
    </row>
    <row r="238">
      <c r="A238" s="35" t="n">
        <v>33550</v>
      </c>
      <c r="B238" s="4" t="n">
        <v>0.32</v>
      </c>
      <c r="C238" s="4" t="n">
        <v>0.36</v>
      </c>
      <c r="D238" s="4" t="n">
        <v>0.32</v>
      </c>
      <c r="E238" s="63" t="n">
        <v>1</v>
      </c>
      <c r="F238" s="63" t="n">
        <v>0.3525</v>
      </c>
      <c r="G238" s="63" t="n">
        <v>0</v>
      </c>
      <c r="H238" s="63" t="n">
        <v>0.384907436629</v>
      </c>
      <c r="I238" s="63" t="n">
        <v>0.48829287048</v>
      </c>
      <c r="J238" s="63" t="n">
        <v>0.281522002778</v>
      </c>
      <c r="K238" s="63" t="n">
        <v>396.43</v>
      </c>
      <c r="L238" s="63" t="n">
        <v>388.09</v>
      </c>
      <c r="M238" s="63" t="n">
        <v>392.89</v>
      </c>
      <c r="N238" s="54">
        <f>(M239-M238)/M238</f>
        <v/>
      </c>
      <c r="O238" s="54">
        <f>(M242-M238)/M238</f>
        <v/>
      </c>
      <c r="P238" s="4">
        <f>B238-D238</f>
        <v/>
      </c>
      <c r="Q238" s="4">
        <f>AVERAGE(P235:P238)</f>
        <v/>
      </c>
      <c r="R238" s="54">
        <f>(M239-M238)/M238</f>
        <v/>
      </c>
      <c r="S238" s="54">
        <f>(M242-M238)/M238</f>
        <v/>
      </c>
      <c r="T238" s="63">
        <f>IF(R238&gt;0,1,"")</f>
        <v/>
      </c>
      <c r="U238" s="63">
        <f>IF(S238&gt;0,1,"")</f>
        <v/>
      </c>
    </row>
    <row r="239">
      <c r="A239" s="35" t="n">
        <v>33557</v>
      </c>
      <c r="B239" s="4" t="n">
        <v>0.38</v>
      </c>
      <c r="C239" s="4" t="n">
        <v>0.33</v>
      </c>
      <c r="D239" s="4" t="n">
        <v>0.29</v>
      </c>
      <c r="E239" s="63" t="n">
        <v>1</v>
      </c>
      <c r="F239" s="63" t="n">
        <v>0.36</v>
      </c>
      <c r="G239" s="63" t="n">
        <v>0.09</v>
      </c>
      <c r="H239" s="63" t="n">
        <v>0.384907436629</v>
      </c>
      <c r="I239" s="63" t="n">
        <v>0.48829287048</v>
      </c>
      <c r="J239" s="63" t="n">
        <v>0.281522002778</v>
      </c>
      <c r="K239" s="63" t="n">
        <v>398.22</v>
      </c>
      <c r="L239" s="63" t="n">
        <v>382.62</v>
      </c>
      <c r="M239" s="63" t="n">
        <v>382.62</v>
      </c>
      <c r="N239" s="54">
        <f>(M240-M239)/M239</f>
        <v/>
      </c>
      <c r="O239" s="54">
        <f>(M243-M239)/M239</f>
        <v/>
      </c>
      <c r="P239" s="4">
        <f>B239-D239</f>
        <v/>
      </c>
      <c r="Q239" s="4">
        <f>AVERAGE(P236:P239)</f>
        <v/>
      </c>
      <c r="R239" s="54">
        <f>(M240-M239)/M239</f>
        <v/>
      </c>
      <c r="S239" s="54">
        <f>(M243-M239)/M239</f>
        <v/>
      </c>
      <c r="T239" s="63">
        <f>IF(R239&gt;0,1,"")</f>
        <v/>
      </c>
      <c r="U239" s="63">
        <f>IF(S239&gt;0,1,"")</f>
        <v/>
      </c>
    </row>
    <row r="240">
      <c r="A240" s="35" t="n">
        <v>33564</v>
      </c>
      <c r="B240" s="4" t="n">
        <v>0.48</v>
      </c>
      <c r="C240" s="4" t="n">
        <v>0.32</v>
      </c>
      <c r="D240" s="4" t="n">
        <v>0.2</v>
      </c>
      <c r="E240" s="63" t="n">
        <v>1</v>
      </c>
      <c r="F240" s="63" t="n">
        <v>0.38125</v>
      </c>
      <c r="G240" s="63" t="n">
        <v>0.28</v>
      </c>
      <c r="H240" s="63" t="n">
        <v>0.384907436629</v>
      </c>
      <c r="I240" s="63" t="n">
        <v>0.48829287048</v>
      </c>
      <c r="J240" s="63" t="n">
        <v>0.281522002778</v>
      </c>
      <c r="K240" s="63" t="n">
        <v>385.4</v>
      </c>
      <c r="L240" s="63" t="n">
        <v>374.52</v>
      </c>
      <c r="M240" s="63" t="n">
        <v>376.14</v>
      </c>
      <c r="N240" s="54">
        <f>(M241-M240)/M240</f>
        <v/>
      </c>
      <c r="O240" s="54">
        <f>(M244-M240)/M240</f>
        <v/>
      </c>
      <c r="P240" s="4">
        <f>B240-D240</f>
        <v/>
      </c>
      <c r="Q240" s="4">
        <f>AVERAGE(P237:P240)</f>
        <v/>
      </c>
      <c r="R240" s="54">
        <f>(M241-M240)/M240</f>
        <v/>
      </c>
      <c r="S240" s="54">
        <f>(M244-M240)/M240</f>
        <v/>
      </c>
      <c r="T240" s="63">
        <f>IF(R240&gt;0,1,"")</f>
        <v/>
      </c>
      <c r="U240" s="63">
        <f>IF(S240&gt;0,1,"")</f>
        <v/>
      </c>
    </row>
    <row r="241">
      <c r="A241" s="35" t="n">
        <v>33569</v>
      </c>
      <c r="B241" s="4" t="n">
        <v>0.33</v>
      </c>
      <c r="C241" s="4" t="n">
        <v>0.27</v>
      </c>
      <c r="D241" s="4" t="n">
        <v>0.4</v>
      </c>
      <c r="E241" s="63" t="n">
        <v>1</v>
      </c>
      <c r="F241" s="63" t="n">
        <v>0.37875</v>
      </c>
      <c r="G241" s="63" t="n">
        <v>-0.07000000000000001</v>
      </c>
      <c r="H241" s="63" t="n">
        <v>0.384907436629</v>
      </c>
      <c r="I241" s="63" t="n">
        <v>0.48829287048</v>
      </c>
      <c r="J241" s="63" t="n">
        <v>0.281522002778</v>
      </c>
      <c r="K241" s="63" t="n">
        <v>378.11</v>
      </c>
      <c r="L241" s="63" t="n">
        <v>375.22</v>
      </c>
      <c r="M241" s="63" t="n">
        <v>376.55</v>
      </c>
      <c r="N241" s="54">
        <f>(M242-M241)/M241</f>
        <v/>
      </c>
      <c r="O241" s="54">
        <f>(M245-M241)/M241</f>
        <v/>
      </c>
      <c r="P241" s="4">
        <f>B241-D241</f>
        <v/>
      </c>
      <c r="Q241" s="4">
        <f>AVERAGE(P238:P241)</f>
        <v/>
      </c>
      <c r="R241" s="54">
        <f>(M242-M241)/M241</f>
        <v/>
      </c>
      <c r="S241" s="54">
        <f>(M245-M241)/M241</f>
        <v/>
      </c>
      <c r="T241" s="63">
        <f>IF(R241&gt;0,1,"")</f>
        <v/>
      </c>
      <c r="U241" s="63">
        <f>IF(S241&gt;0,1,"")</f>
        <v/>
      </c>
    </row>
    <row r="242">
      <c r="A242" s="35" t="n">
        <v>33578</v>
      </c>
      <c r="B242" s="4" t="n">
        <v>0.23</v>
      </c>
      <c r="C242" s="4" t="n">
        <v>0.32</v>
      </c>
      <c r="D242" s="4" t="n">
        <v>0.45</v>
      </c>
      <c r="E242" s="63" t="n">
        <v>1</v>
      </c>
      <c r="F242" s="63" t="n">
        <v>0.35875</v>
      </c>
      <c r="G242" s="63" t="n">
        <v>-0.22</v>
      </c>
      <c r="H242" s="63" t="n">
        <v>0.384907436629</v>
      </c>
      <c r="I242" s="63" t="n">
        <v>0.48829287048</v>
      </c>
      <c r="J242" s="63" t="n">
        <v>0.281522002778</v>
      </c>
      <c r="K242" s="63" t="n">
        <v>382.39</v>
      </c>
      <c r="L242" s="63" t="n">
        <v>375.41</v>
      </c>
      <c r="M242" s="63" t="n">
        <v>379.1</v>
      </c>
      <c r="N242" s="54">
        <f>(M243-M242)/M242</f>
        <v/>
      </c>
      <c r="O242" s="54">
        <f>(M246-M242)/M242</f>
        <v/>
      </c>
      <c r="P242" s="4">
        <f>B242-D242</f>
        <v/>
      </c>
      <c r="Q242" s="4">
        <f>AVERAGE(P239:P242)</f>
        <v/>
      </c>
      <c r="R242" s="54">
        <f>(M243-M242)/M242</f>
        <v/>
      </c>
      <c r="S242" s="54">
        <f>(M246-M242)/M242</f>
        <v/>
      </c>
      <c r="T242" s="63">
        <f>IF(R242&gt;0,1,"")</f>
        <v/>
      </c>
      <c r="U242" s="63">
        <f>IF(S242&gt;0,1,"")</f>
        <v/>
      </c>
    </row>
    <row r="243">
      <c r="A243" s="35" t="n">
        <v>33585</v>
      </c>
      <c r="B243" s="4" t="n">
        <v>0.33</v>
      </c>
      <c r="C243" s="4" t="n">
        <v>0.36</v>
      </c>
      <c r="D243" s="4" t="n">
        <v>0.31</v>
      </c>
      <c r="E243" s="63" t="n">
        <v>1</v>
      </c>
      <c r="F243" s="63" t="n">
        <v>0.3625</v>
      </c>
      <c r="G243" s="63" t="n">
        <v>0.02</v>
      </c>
      <c r="H243" s="63" t="n">
        <v>0.384907436629</v>
      </c>
      <c r="I243" s="63" t="n">
        <v>0.48829287048</v>
      </c>
      <c r="J243" s="63" t="n">
        <v>0.281522002778</v>
      </c>
      <c r="K243" s="63" t="n">
        <v>385.04</v>
      </c>
      <c r="L243" s="63" t="n">
        <v>374.78</v>
      </c>
      <c r="M243" s="63" t="n">
        <v>384.47</v>
      </c>
      <c r="N243" s="54">
        <f>(M244-M243)/M243</f>
        <v/>
      </c>
      <c r="O243" s="54">
        <f>(M247-M243)/M243</f>
        <v/>
      </c>
      <c r="P243" s="4">
        <f>B243-D243</f>
        <v/>
      </c>
      <c r="Q243" s="4">
        <f>AVERAGE(P240:P243)</f>
        <v/>
      </c>
      <c r="R243" s="54">
        <f>(M244-M243)/M243</f>
        <v/>
      </c>
      <c r="S243" s="54">
        <f>(M247-M243)/M243</f>
        <v/>
      </c>
      <c r="T243" s="63">
        <f>IF(R243&gt;0,1,"")</f>
        <v/>
      </c>
      <c r="U243" s="63">
        <f>IF(S243&gt;0,1,"")</f>
        <v/>
      </c>
    </row>
    <row r="244">
      <c r="A244" s="35" t="n">
        <v>33592</v>
      </c>
      <c r="B244" s="4" t="n">
        <v>0.36</v>
      </c>
      <c r="C244" s="4" t="n">
        <v>0.3</v>
      </c>
      <c r="D244" s="4" t="n">
        <v>0.34</v>
      </c>
      <c r="E244" s="63" t="n">
        <v>1</v>
      </c>
      <c r="F244" s="63" t="n">
        <v>0.36875</v>
      </c>
      <c r="G244" s="63" t="n">
        <v>0.02</v>
      </c>
      <c r="H244" s="63" t="n">
        <v>0.384907436629</v>
      </c>
      <c r="I244" s="63" t="n">
        <v>0.48829287048</v>
      </c>
      <c r="J244" s="63" t="n">
        <v>0.281522002778</v>
      </c>
      <c r="K244" s="63" t="n">
        <v>388.24</v>
      </c>
      <c r="L244" s="63" t="n">
        <v>380.64</v>
      </c>
      <c r="M244" s="63" t="n">
        <v>387.04</v>
      </c>
      <c r="N244" s="54">
        <f>(M245-M244)/M244</f>
        <v/>
      </c>
      <c r="O244" s="54">
        <f>(M248-M244)/M244</f>
        <v/>
      </c>
      <c r="P244" s="4">
        <f>B244-D244</f>
        <v/>
      </c>
      <c r="Q244" s="4">
        <f>AVERAGE(P241:P244)</f>
        <v/>
      </c>
      <c r="R244" s="54">
        <f>(M245-M244)/M244</f>
        <v/>
      </c>
      <c r="S244" s="54">
        <f>(M248-M244)/M244</f>
        <v/>
      </c>
      <c r="T244" s="63">
        <f>IF(R244&gt;0,1,"")</f>
        <v/>
      </c>
      <c r="U244" s="63">
        <f>IF(S244&gt;0,1,"")</f>
        <v/>
      </c>
    </row>
    <row r="245">
      <c r="A245" s="35" t="n">
        <v>33599</v>
      </c>
      <c r="B245" s="4" t="n">
        <v>0.39</v>
      </c>
      <c r="C245" s="4" t="n">
        <v>0.29</v>
      </c>
      <c r="D245" s="4" t="n">
        <v>0.32</v>
      </c>
      <c r="E245" s="63" t="n">
        <v>1</v>
      </c>
      <c r="F245" s="63" t="n">
        <v>0.3525</v>
      </c>
      <c r="G245" s="63" t="n">
        <v>0.07000000000000001</v>
      </c>
      <c r="H245" s="63" t="n">
        <v>0.384907436629</v>
      </c>
      <c r="I245" s="63" t="n">
        <v>0.48829287048</v>
      </c>
      <c r="J245" s="63" t="n">
        <v>0.281522002778</v>
      </c>
      <c r="K245" s="63" t="n">
        <v>406.58</v>
      </c>
      <c r="L245" s="63" t="n">
        <v>386.96</v>
      </c>
      <c r="M245" s="63" t="n">
        <v>406.46</v>
      </c>
      <c r="N245" s="54">
        <f>(M246-M245)/M245</f>
        <v/>
      </c>
      <c r="O245" s="54">
        <f>(M249-M245)/M245</f>
        <v/>
      </c>
      <c r="P245" s="4">
        <f>B245-D245</f>
        <v/>
      </c>
      <c r="Q245" s="4">
        <f>AVERAGE(P242:P245)</f>
        <v/>
      </c>
      <c r="R245" s="54">
        <f>(M246-M245)/M245</f>
        <v/>
      </c>
      <c r="S245" s="54">
        <f>(M249-M245)/M245</f>
        <v/>
      </c>
      <c r="T245" s="63">
        <f>IF(R245&gt;0,1,"")</f>
        <v/>
      </c>
      <c r="U245" s="63">
        <f>IF(S245&gt;0,1,"")</f>
        <v/>
      </c>
    </row>
    <row r="246">
      <c r="A246" s="35" t="n">
        <v>33606</v>
      </c>
      <c r="B246" s="4" t="n">
        <v>0.49</v>
      </c>
      <c r="C246" s="4" t="n">
        <v>0.2</v>
      </c>
      <c r="D246" s="4" t="n">
        <v>0.31</v>
      </c>
      <c r="E246" s="63" t="n">
        <v>1</v>
      </c>
      <c r="F246" s="63" t="n">
        <v>0.37375</v>
      </c>
      <c r="G246" s="63" t="n">
        <v>0.18</v>
      </c>
      <c r="H246" s="63" t="n">
        <v>0.384907436629</v>
      </c>
      <c r="I246" s="63" t="n">
        <v>0.48829287048</v>
      </c>
      <c r="J246" s="63" t="n">
        <v>0.281522002778</v>
      </c>
      <c r="K246" s="63" t="n">
        <v>419.79</v>
      </c>
      <c r="L246" s="63" t="n">
        <v>406.46</v>
      </c>
      <c r="M246" s="63" t="n">
        <v>419.34</v>
      </c>
      <c r="N246" s="54">
        <f>(M247-M246)/M246</f>
        <v/>
      </c>
      <c r="O246" s="54">
        <f>(M250-M246)/M246</f>
        <v/>
      </c>
      <c r="P246" s="4">
        <f>B246-D246</f>
        <v/>
      </c>
      <c r="Q246" s="4">
        <f>AVERAGE(P243:P246)</f>
        <v/>
      </c>
      <c r="R246" s="54">
        <f>(M247-M246)/M246</f>
        <v/>
      </c>
      <c r="S246" s="54">
        <f>(M250-M246)/M246</f>
        <v/>
      </c>
      <c r="T246" s="63">
        <f>IF(R246&gt;0,1,"")</f>
        <v/>
      </c>
      <c r="U246" s="63">
        <f>IF(S246&gt;0,1,"")</f>
        <v/>
      </c>
    </row>
    <row r="247">
      <c r="A247" s="35" t="n">
        <v>33613</v>
      </c>
      <c r="B247" s="4" t="n">
        <v>0.48</v>
      </c>
      <c r="C247" s="4" t="n">
        <v>0.27</v>
      </c>
      <c r="D247" s="4" t="n">
        <v>0.25</v>
      </c>
      <c r="E247" s="63" t="n">
        <v>1</v>
      </c>
      <c r="F247" s="63" t="n">
        <v>0.38625</v>
      </c>
      <c r="G247" s="63" t="n">
        <v>0.23</v>
      </c>
      <c r="H247" s="63" t="n">
        <v>0.384907436629</v>
      </c>
      <c r="I247" s="63" t="n">
        <v>0.48829287048</v>
      </c>
      <c r="J247" s="63" t="n">
        <v>0.281522002778</v>
      </c>
      <c r="K247" s="63" t="n">
        <v>420.5</v>
      </c>
      <c r="L247" s="63" t="n">
        <v>413.31</v>
      </c>
      <c r="M247" s="63" t="n">
        <v>415.1</v>
      </c>
      <c r="N247" s="54">
        <f>(M248-M247)/M247</f>
        <v/>
      </c>
      <c r="O247" s="54">
        <f>(M251-M247)/M247</f>
        <v/>
      </c>
      <c r="P247" s="4">
        <f>B247-D247</f>
        <v/>
      </c>
      <c r="Q247" s="4">
        <f>AVERAGE(P244:P247)</f>
        <v/>
      </c>
      <c r="R247" s="54">
        <f>(M248-M247)/M247</f>
        <v/>
      </c>
      <c r="S247" s="54">
        <f>(M251-M247)/M247</f>
        <v/>
      </c>
      <c r="T247" s="63">
        <f>IF(R247&gt;0,1,"")</f>
        <v/>
      </c>
      <c r="U247" s="63">
        <f>IF(S247&gt;0,1,"")</f>
        <v/>
      </c>
    </row>
    <row r="248">
      <c r="A248" s="35" t="n">
        <v>33620</v>
      </c>
      <c r="B248" s="4" t="n">
        <v>0.51</v>
      </c>
      <c r="C248" s="4" t="n">
        <v>0.21</v>
      </c>
      <c r="D248" s="4" t="n">
        <v>0.28</v>
      </c>
      <c r="E248" s="63" t="n">
        <v>1</v>
      </c>
      <c r="F248" s="63" t="n">
        <v>0.39</v>
      </c>
      <c r="G248" s="63" t="n">
        <v>0.23</v>
      </c>
      <c r="H248" s="63" t="n">
        <v>0.384907436629</v>
      </c>
      <c r="I248" s="63" t="n">
        <v>0.48829287048</v>
      </c>
      <c r="J248" s="63" t="n">
        <v>0.281522002778</v>
      </c>
      <c r="K248" s="63" t="n">
        <v>420.77</v>
      </c>
      <c r="L248" s="63" t="n">
        <v>414.34</v>
      </c>
      <c r="M248" s="63" t="n">
        <v>418.86</v>
      </c>
      <c r="N248" s="54">
        <f>(M249-M248)/M248</f>
        <v/>
      </c>
      <c r="O248" s="54">
        <f>(M252-M248)/M248</f>
        <v/>
      </c>
      <c r="P248" s="4">
        <f>B248-D248</f>
        <v/>
      </c>
      <c r="Q248" s="4">
        <f>AVERAGE(P245:P248)</f>
        <v/>
      </c>
      <c r="R248" s="54">
        <f>(M249-M248)/M248</f>
        <v/>
      </c>
      <c r="S248" s="54">
        <f>(M252-M248)/M248</f>
        <v/>
      </c>
      <c r="T248" s="63">
        <f>IF(R248&gt;0,1,"")</f>
        <v/>
      </c>
      <c r="U248" s="63">
        <f>IF(S248&gt;0,1,"")</f>
        <v/>
      </c>
    </row>
    <row r="249">
      <c r="A249" s="35" t="n">
        <v>33627</v>
      </c>
      <c r="B249" s="4" t="n">
        <v>0.46</v>
      </c>
      <c r="C249" s="4" t="n">
        <v>0.25</v>
      </c>
      <c r="D249" s="4" t="n">
        <v>0.29</v>
      </c>
      <c r="E249" s="63" t="n">
        <v>1</v>
      </c>
      <c r="F249" s="63" t="n">
        <v>0.40625</v>
      </c>
      <c r="G249" s="63" t="n">
        <v>0.17</v>
      </c>
      <c r="H249" s="63" t="n">
        <v>0.384907436629</v>
      </c>
      <c r="I249" s="63" t="n">
        <v>0.48829287048</v>
      </c>
      <c r="J249" s="63" t="n">
        <v>0.281522002778</v>
      </c>
      <c r="K249" s="63" t="n">
        <v>418.13</v>
      </c>
      <c r="L249" s="63" t="n">
        <v>412.64</v>
      </c>
      <c r="M249" s="63" t="n">
        <v>415.48</v>
      </c>
      <c r="N249" s="54">
        <f>(M250-M249)/M249</f>
        <v/>
      </c>
      <c r="O249" s="54">
        <f>(M253-M249)/M249</f>
        <v/>
      </c>
      <c r="P249" s="4">
        <f>B249-D249</f>
        <v/>
      </c>
      <c r="Q249" s="4">
        <f>AVERAGE(P246:P249)</f>
        <v/>
      </c>
      <c r="R249" s="54">
        <f>(M250-M249)/M249</f>
        <v/>
      </c>
      <c r="S249" s="54">
        <f>(M253-M249)/M249</f>
        <v/>
      </c>
      <c r="T249" s="63">
        <f>IF(R249&gt;0,1,"")</f>
        <v/>
      </c>
      <c r="U249" s="63">
        <f>IF(S249&gt;0,1,"")</f>
        <v/>
      </c>
    </row>
    <row r="250">
      <c r="A250" s="35" t="n">
        <v>33634</v>
      </c>
      <c r="B250" s="4" t="n">
        <v>0.47</v>
      </c>
      <c r="C250" s="4" t="n">
        <v>0.26</v>
      </c>
      <c r="D250" s="4" t="n">
        <v>0.27</v>
      </c>
      <c r="E250" s="63" t="n">
        <v>1</v>
      </c>
      <c r="F250" s="63" t="n">
        <v>0.43625</v>
      </c>
      <c r="G250" s="63" t="n">
        <v>0.2</v>
      </c>
      <c r="H250" s="63" t="n">
        <v>0.384907436629</v>
      </c>
      <c r="I250" s="63" t="n">
        <v>0.48829287048</v>
      </c>
      <c r="J250" s="63" t="n">
        <v>0.281522002778</v>
      </c>
      <c r="K250" s="63" t="n">
        <v>410.34</v>
      </c>
      <c r="L250" s="63" t="n">
        <v>414.99</v>
      </c>
      <c r="M250" s="63" t="n">
        <v>408.79</v>
      </c>
      <c r="N250" s="54">
        <f>(M251-M250)/M250</f>
        <v/>
      </c>
      <c r="O250" s="54">
        <f>(M254-M250)/M250</f>
        <v/>
      </c>
      <c r="P250" s="4">
        <f>B250-D250</f>
        <v/>
      </c>
      <c r="Q250" s="4">
        <f>AVERAGE(P247:P250)</f>
        <v/>
      </c>
      <c r="R250" s="54">
        <f>(M251-M250)/M250</f>
        <v/>
      </c>
      <c r="S250" s="54">
        <f>(M254-M250)/M250</f>
        <v/>
      </c>
      <c r="T250" s="63">
        <f>IF(R250&gt;0,1,"")</f>
        <v/>
      </c>
      <c r="U250" s="63">
        <f>IF(S250&gt;0,1,"")</f>
        <v/>
      </c>
    </row>
    <row r="251">
      <c r="A251" s="35" t="n">
        <v>33641</v>
      </c>
      <c r="B251" s="4" t="n">
        <v>0.36</v>
      </c>
      <c r="C251" s="4" t="n">
        <v>0.39</v>
      </c>
      <c r="D251" s="4" t="n">
        <v>0.25</v>
      </c>
      <c r="E251" s="63" t="n">
        <v>1</v>
      </c>
      <c r="F251" s="63" t="n">
        <v>0.44</v>
      </c>
      <c r="G251" s="63" t="n">
        <v>0.11</v>
      </c>
      <c r="H251" s="63" t="n">
        <v>0.384907436629</v>
      </c>
      <c r="I251" s="63" t="n">
        <v>0.48829287048</v>
      </c>
      <c r="J251" s="63" t="n">
        <v>0.281522002778</v>
      </c>
      <c r="K251" s="63" t="n">
        <v>413.85</v>
      </c>
      <c r="L251" s="63" t="n">
        <v>409.53</v>
      </c>
      <c r="M251" s="63" t="n">
        <v>411.09</v>
      </c>
      <c r="N251" s="54">
        <f>(M252-M251)/M251</f>
        <v/>
      </c>
      <c r="O251" s="54">
        <f>(M255-M251)/M251</f>
        <v/>
      </c>
      <c r="P251" s="4">
        <f>B251-D251</f>
        <v/>
      </c>
      <c r="Q251" s="4">
        <f>AVERAGE(P248:P251)</f>
        <v/>
      </c>
      <c r="R251" s="54">
        <f>(M252-M251)/M251</f>
        <v/>
      </c>
      <c r="S251" s="54">
        <f>(M255-M251)/M251</f>
        <v/>
      </c>
      <c r="T251" s="63">
        <f>IF(R251&gt;0,1,"")</f>
        <v/>
      </c>
      <c r="U251" s="63">
        <f>IF(S251&gt;0,1,"")</f>
        <v/>
      </c>
    </row>
    <row r="252">
      <c r="A252" s="35" t="n">
        <v>33648</v>
      </c>
      <c r="B252" s="4" t="n">
        <v>0.46</v>
      </c>
      <c r="C252" s="4" t="n">
        <v>0.28</v>
      </c>
      <c r="D252" s="4" t="n">
        <v>0.26</v>
      </c>
      <c r="E252" s="63" t="n">
        <v>1</v>
      </c>
      <c r="F252" s="63" t="n">
        <v>0.4525</v>
      </c>
      <c r="G252" s="63" t="n">
        <v>0.2</v>
      </c>
      <c r="H252" s="63" t="n">
        <v>0.384907436629</v>
      </c>
      <c r="I252" s="63" t="n">
        <v>0.48829287048</v>
      </c>
      <c r="J252" s="63" t="n">
        <v>0.281522002778</v>
      </c>
      <c r="K252" s="63" t="n">
        <v>417.13</v>
      </c>
      <c r="L252" s="63" t="n">
        <v>413.69</v>
      </c>
      <c r="M252" s="63" t="n">
        <v>412.48</v>
      </c>
      <c r="N252" s="54">
        <f>(M253-M252)/M252</f>
        <v/>
      </c>
      <c r="O252" s="54">
        <f>(M256-M252)/M252</f>
        <v/>
      </c>
      <c r="P252" s="4">
        <f>B252-D252</f>
        <v/>
      </c>
      <c r="Q252" s="4">
        <f>AVERAGE(P249:P252)</f>
        <v/>
      </c>
      <c r="R252" s="54">
        <f>(M253-M252)/M252</f>
        <v/>
      </c>
      <c r="S252" s="54">
        <f>(M256-M252)/M252</f>
        <v/>
      </c>
      <c r="T252" s="63">
        <f>IF(R252&gt;0,1,"")</f>
        <v/>
      </c>
      <c r="U252" s="63">
        <f>IF(S252&gt;0,1,"")</f>
        <v/>
      </c>
    </row>
    <row r="253">
      <c r="A253" s="35" t="n">
        <v>33655</v>
      </c>
      <c r="B253" s="4" t="n">
        <v>0.47</v>
      </c>
      <c r="C253" s="4" t="n">
        <v>0.25</v>
      </c>
      <c r="D253" s="4" t="n">
        <v>0.28</v>
      </c>
      <c r="E253" s="63" t="n">
        <v>1</v>
      </c>
      <c r="F253" s="63" t="n">
        <v>0.4625</v>
      </c>
      <c r="G253" s="63" t="n">
        <v>0.19</v>
      </c>
      <c r="H253" s="63" t="n">
        <v>0.384907436629</v>
      </c>
      <c r="I253" s="63" t="n">
        <v>0.48829287048</v>
      </c>
      <c r="J253" s="63" t="n">
        <v>0.281522002778</v>
      </c>
      <c r="K253" s="63" t="n">
        <v>413.9</v>
      </c>
      <c r="L253" s="63" t="n">
        <v>407.38</v>
      </c>
      <c r="M253" s="63" t="n">
        <v>411.46</v>
      </c>
      <c r="N253" s="54">
        <f>(M254-M253)/M253</f>
        <v/>
      </c>
      <c r="O253" s="54">
        <f>(M257-M253)/M253</f>
        <v/>
      </c>
      <c r="P253" s="4">
        <f>B253-D253</f>
        <v/>
      </c>
      <c r="Q253" s="4">
        <f>AVERAGE(P250:P253)</f>
        <v/>
      </c>
      <c r="R253" s="54">
        <f>(M254-M253)/M253</f>
        <v/>
      </c>
      <c r="S253" s="54">
        <f>(M257-M253)/M253</f>
        <v/>
      </c>
      <c r="T253" s="63">
        <f>IF(R253&gt;0,1,"")</f>
        <v/>
      </c>
      <c r="U253" s="63">
        <f>IF(S253&gt;0,1,"")</f>
        <v/>
      </c>
    </row>
    <row r="254">
      <c r="A254" s="35" t="n">
        <v>33662</v>
      </c>
      <c r="B254" s="4" t="n">
        <v>0.43</v>
      </c>
      <c r="C254" s="4" t="n">
        <v>0.36</v>
      </c>
      <c r="D254" s="4" t="n">
        <v>0.21</v>
      </c>
      <c r="E254" s="63" t="n">
        <v>1</v>
      </c>
      <c r="F254" s="63" t="n">
        <v>0.455</v>
      </c>
      <c r="G254" s="63" t="n">
        <v>0.22</v>
      </c>
      <c r="H254" s="63" t="n">
        <v>0.384907436629</v>
      </c>
      <c r="I254" s="63" t="n">
        <v>0.48829287048</v>
      </c>
      <c r="J254" s="63" t="n">
        <v>0.281522002778</v>
      </c>
      <c r="K254" s="63" t="n">
        <v>416.07</v>
      </c>
      <c r="L254" s="63" t="n">
        <v>408.02</v>
      </c>
      <c r="M254" s="63" t="n">
        <v>412.7</v>
      </c>
      <c r="N254" s="54">
        <f>(M255-M254)/M254</f>
        <v/>
      </c>
      <c r="O254" s="54">
        <f>(M258-M254)/M254</f>
        <v/>
      </c>
      <c r="P254" s="4">
        <f>B254-D254</f>
        <v/>
      </c>
      <c r="Q254" s="4">
        <f>AVERAGE(P251:P254)</f>
        <v/>
      </c>
      <c r="R254" s="54">
        <f>(M255-M254)/M254</f>
        <v/>
      </c>
      <c r="S254" s="54">
        <f>(M258-M254)/M254</f>
        <v/>
      </c>
      <c r="T254" s="63">
        <f>IF(R254&gt;0,1,"")</f>
        <v/>
      </c>
      <c r="U254" s="63">
        <f>IF(S254&gt;0,1,"")</f>
        <v/>
      </c>
    </row>
    <row r="255">
      <c r="A255" s="35" t="n">
        <v>33669</v>
      </c>
      <c r="B255" s="4" t="n">
        <v>0.45</v>
      </c>
      <c r="C255" s="4" t="n">
        <v>0.29</v>
      </c>
      <c r="D255" s="4" t="n">
        <v>0.26</v>
      </c>
      <c r="E255" s="63" t="n">
        <v>1</v>
      </c>
      <c r="F255" s="63" t="n">
        <v>0.45125</v>
      </c>
      <c r="G255" s="63" t="n">
        <v>0.19</v>
      </c>
      <c r="H255" s="63" t="n">
        <v>0.384907436629</v>
      </c>
      <c r="I255" s="63" t="n">
        <v>0.48829287048</v>
      </c>
      <c r="J255" s="63" t="n">
        <v>0.281522002778</v>
      </c>
      <c r="K255" s="63" t="n">
        <v>413.78</v>
      </c>
      <c r="L255" s="63" t="n">
        <v>403.65</v>
      </c>
      <c r="M255" s="63" t="n">
        <v>404.44</v>
      </c>
      <c r="N255" s="54">
        <f>(M256-M255)/M255</f>
        <v/>
      </c>
      <c r="O255" s="54">
        <f>(M259-M255)/M255</f>
        <v/>
      </c>
      <c r="P255" s="4">
        <f>B255-D255</f>
        <v/>
      </c>
      <c r="Q255" s="4">
        <f>AVERAGE(P252:P255)</f>
        <v/>
      </c>
      <c r="R255" s="54">
        <f>(M256-M255)/M255</f>
        <v/>
      </c>
      <c r="S255" s="54">
        <f>(M259-M255)/M255</f>
        <v/>
      </c>
      <c r="T255" s="63">
        <f>IF(R255&gt;0,1,"")</f>
        <v/>
      </c>
      <c r="U255" s="63">
        <f>IF(S255&gt;0,1,"")</f>
        <v/>
      </c>
    </row>
    <row r="256">
      <c r="A256" s="35" t="n">
        <v>33676</v>
      </c>
      <c r="B256" s="4" t="n">
        <v>0.38</v>
      </c>
      <c r="C256" s="4" t="n">
        <v>0.35</v>
      </c>
      <c r="D256" s="4" t="n">
        <v>0.27</v>
      </c>
      <c r="E256" s="63" t="n">
        <v>1</v>
      </c>
      <c r="F256" s="63" t="n">
        <v>0.435</v>
      </c>
      <c r="G256" s="63" t="n">
        <v>0.11</v>
      </c>
      <c r="H256" s="63" t="n">
        <v>0.384907436629</v>
      </c>
      <c r="I256" s="63" t="n">
        <v>0.48829287048</v>
      </c>
      <c r="J256" s="63" t="n">
        <v>0.281522002778</v>
      </c>
      <c r="K256" s="63" t="n">
        <v>409.16</v>
      </c>
      <c r="L256" s="63" t="n">
        <v>404.72</v>
      </c>
      <c r="M256" s="63" t="n">
        <v>405.84</v>
      </c>
      <c r="N256" s="54">
        <f>(M257-M256)/M256</f>
        <v/>
      </c>
      <c r="O256" s="54">
        <f>(M260-M256)/M256</f>
        <v/>
      </c>
      <c r="P256" s="4">
        <f>B256-D256</f>
        <v/>
      </c>
      <c r="Q256" s="4">
        <f>AVERAGE(P253:P256)</f>
        <v/>
      </c>
      <c r="R256" s="54">
        <f>(M257-M256)/M256</f>
        <v/>
      </c>
      <c r="S256" s="54">
        <f>(M260-M256)/M256</f>
        <v/>
      </c>
      <c r="T256" s="63">
        <f>IF(R256&gt;0,1,"")</f>
        <v/>
      </c>
      <c r="U256" s="63">
        <f>IF(S256&gt;0,1,"")</f>
        <v/>
      </c>
    </row>
    <row r="257">
      <c r="A257" s="35" t="n">
        <v>33683</v>
      </c>
      <c r="B257" s="4" t="n">
        <v>0.48</v>
      </c>
      <c r="C257" s="4" t="n">
        <v>0.29</v>
      </c>
      <c r="D257" s="4" t="n">
        <v>0.23</v>
      </c>
      <c r="E257" s="63" t="n">
        <v>1</v>
      </c>
      <c r="F257" s="63" t="n">
        <v>0.4375</v>
      </c>
      <c r="G257" s="63" t="n">
        <v>0.25</v>
      </c>
      <c r="H257" s="63" t="n">
        <v>0.384907436629</v>
      </c>
      <c r="I257" s="63" t="n">
        <v>0.48829287048</v>
      </c>
      <c r="J257" s="63" t="n">
        <v>0.281522002778</v>
      </c>
      <c r="K257" s="63" t="n">
        <v>411.3</v>
      </c>
      <c r="L257" s="63" t="n">
        <v>406.39</v>
      </c>
      <c r="M257" s="63" t="n">
        <v>411.3</v>
      </c>
      <c r="N257" s="54">
        <f>(M258-M257)/M257</f>
        <v/>
      </c>
      <c r="O257" s="54">
        <f>(M261-M257)/M257</f>
        <v/>
      </c>
      <c r="P257" s="4">
        <f>B257-D257</f>
        <v/>
      </c>
      <c r="Q257" s="4">
        <f>AVERAGE(P254:P257)</f>
        <v/>
      </c>
      <c r="R257" s="54">
        <f>(M258-M257)/M257</f>
        <v/>
      </c>
      <c r="S257" s="54">
        <f>(M261-M257)/M257</f>
        <v/>
      </c>
      <c r="T257" s="63">
        <f>IF(R257&gt;0,1,"")</f>
        <v/>
      </c>
      <c r="U257" s="63">
        <f>IF(S257&gt;0,1,"")</f>
        <v/>
      </c>
    </row>
    <row r="258">
      <c r="A258" s="35" t="n">
        <v>33690</v>
      </c>
      <c r="B258" s="4" t="n">
        <v>0.43</v>
      </c>
      <c r="C258" s="4" t="n">
        <v>0.35</v>
      </c>
      <c r="D258" s="4" t="n">
        <v>0.22</v>
      </c>
      <c r="E258" s="63" t="n">
        <v>1</v>
      </c>
      <c r="F258" s="63" t="n">
        <v>0.4325</v>
      </c>
      <c r="G258" s="63" t="n">
        <v>0.21</v>
      </c>
      <c r="H258" s="63" t="n">
        <v>0.384907436629</v>
      </c>
      <c r="I258" s="63" t="n">
        <v>0.48829287048</v>
      </c>
      <c r="J258" s="63" t="n">
        <v>0.281522002778</v>
      </c>
      <c r="K258" s="63" t="n">
        <v>409.91</v>
      </c>
      <c r="L258" s="63" t="n">
        <v>403.5</v>
      </c>
      <c r="M258" s="63" t="n">
        <v>403.5</v>
      </c>
      <c r="N258" s="54">
        <f>(M259-M258)/M258</f>
        <v/>
      </c>
      <c r="O258" s="54">
        <f>(M262-M258)/M258</f>
        <v/>
      </c>
      <c r="P258" s="4">
        <f>B258-D258</f>
        <v/>
      </c>
      <c r="Q258" s="4">
        <f>AVERAGE(P255:P258)</f>
        <v/>
      </c>
      <c r="R258" s="54">
        <f>(M259-M258)/M258</f>
        <v/>
      </c>
      <c r="S258" s="54">
        <f>(M262-M258)/M258</f>
        <v/>
      </c>
      <c r="T258" s="63">
        <f>IF(R258&gt;0,1,"")</f>
        <v/>
      </c>
      <c r="U258" s="63">
        <f>IF(S258&gt;0,1,"")</f>
        <v/>
      </c>
    </row>
    <row r="259">
      <c r="A259" s="35" t="n">
        <v>33697</v>
      </c>
      <c r="B259" s="4" t="n">
        <v>0.35</v>
      </c>
      <c r="C259" s="4" t="n">
        <v>0.42</v>
      </c>
      <c r="D259" s="4" t="n">
        <v>0.23</v>
      </c>
      <c r="E259" s="63" t="n">
        <v>1</v>
      </c>
      <c r="F259" s="63" t="n">
        <v>0.43125</v>
      </c>
      <c r="G259" s="63" t="n">
        <v>0.12</v>
      </c>
      <c r="H259" s="63" t="n">
        <v>0.384907436629</v>
      </c>
      <c r="I259" s="63" t="n">
        <v>0.48829287048</v>
      </c>
      <c r="J259" s="63" t="n">
        <v>0.281522002778</v>
      </c>
      <c r="K259" s="63" t="n">
        <v>404.23</v>
      </c>
      <c r="L259" s="63" t="n">
        <v>400.5</v>
      </c>
      <c r="M259" s="63" t="n">
        <v>401.55</v>
      </c>
      <c r="N259" s="54">
        <f>(M260-M259)/M259</f>
        <v/>
      </c>
      <c r="O259" s="54">
        <f>(M263-M259)/M259</f>
        <v/>
      </c>
      <c r="P259" s="4">
        <f>B259-D259</f>
        <v/>
      </c>
      <c r="Q259" s="4">
        <f>AVERAGE(P256:P259)</f>
        <v/>
      </c>
      <c r="R259" s="54">
        <f>(M260-M259)/M259</f>
        <v/>
      </c>
      <c r="S259" s="54">
        <f>(M263-M259)/M259</f>
        <v/>
      </c>
      <c r="T259" s="63">
        <f>IF(R259&gt;0,1,"")</f>
        <v/>
      </c>
      <c r="U259" s="63">
        <f>IF(S259&gt;0,1,"")</f>
        <v/>
      </c>
    </row>
    <row r="260">
      <c r="A260" s="35" t="n">
        <v>33704</v>
      </c>
      <c r="B260" s="4" t="n">
        <v>0.43</v>
      </c>
      <c r="C260" s="4" t="n">
        <v>0.27</v>
      </c>
      <c r="D260" s="4" t="n">
        <v>0.3</v>
      </c>
      <c r="E260" s="63" t="n">
        <v>1</v>
      </c>
      <c r="F260" s="63" t="n">
        <v>0.4275</v>
      </c>
      <c r="G260" s="63" t="n">
        <v>0.13</v>
      </c>
      <c r="H260" s="63" t="n">
        <v>0.384907436629</v>
      </c>
      <c r="I260" s="63" t="n">
        <v>0.48829287048</v>
      </c>
      <c r="J260" s="63" t="n">
        <v>0.281522002778</v>
      </c>
      <c r="K260" s="63" t="n">
        <v>405.59</v>
      </c>
      <c r="L260" s="63" t="n">
        <v>394.5</v>
      </c>
      <c r="M260" s="63" t="n">
        <v>404.29</v>
      </c>
      <c r="N260" s="54">
        <f>(M261-M260)/M260</f>
        <v/>
      </c>
      <c r="O260" s="54">
        <f>(M264-M260)/M260</f>
        <v/>
      </c>
      <c r="P260" s="4">
        <f>B260-D260</f>
        <v/>
      </c>
      <c r="Q260" s="4">
        <f>AVERAGE(P257:P260)</f>
        <v/>
      </c>
      <c r="R260" s="54">
        <f>(M261-M260)/M260</f>
        <v/>
      </c>
      <c r="S260" s="54">
        <f>(M264-M260)/M260</f>
        <v/>
      </c>
      <c r="T260" s="63">
        <f>IF(R260&gt;0,1,"")</f>
        <v/>
      </c>
      <c r="U260" s="63">
        <f>IF(S260&gt;0,1,"")</f>
        <v/>
      </c>
    </row>
    <row r="261">
      <c r="A261" s="35" t="n">
        <v>33711</v>
      </c>
      <c r="B261" s="4" t="n">
        <v>0.37</v>
      </c>
      <c r="C261" s="4" t="n">
        <v>0.38</v>
      </c>
      <c r="D261" s="4" t="n">
        <v>0.25</v>
      </c>
      <c r="E261" s="63" t="n">
        <v>1</v>
      </c>
      <c r="F261" s="63" t="n">
        <v>0.415</v>
      </c>
      <c r="G261" s="63" t="n">
        <v>0.12</v>
      </c>
      <c r="H261" s="63" t="n">
        <v>0.384907436629</v>
      </c>
      <c r="I261" s="63" t="n">
        <v>0.48829287048</v>
      </c>
      <c r="J261" s="63" t="n">
        <v>0.281522002778</v>
      </c>
      <c r="K261" s="63" t="n">
        <v>416.28</v>
      </c>
      <c r="L261" s="63" t="n">
        <v>406.08</v>
      </c>
      <c r="M261" s="63" t="n">
        <v>416.05</v>
      </c>
      <c r="N261" s="54">
        <f>(M262-M261)/M261</f>
        <v/>
      </c>
      <c r="O261" s="54">
        <f>(M265-M261)/M261</f>
        <v/>
      </c>
      <c r="P261" s="4">
        <f>B261-D261</f>
        <v/>
      </c>
      <c r="Q261" s="4">
        <f>AVERAGE(P258:P261)</f>
        <v/>
      </c>
      <c r="R261" s="54">
        <f>(M262-M261)/M261</f>
        <v/>
      </c>
      <c r="S261" s="54">
        <f>(M265-M261)/M261</f>
        <v/>
      </c>
      <c r="T261" s="63">
        <f>IF(R261&gt;0,1,"")</f>
        <v/>
      </c>
      <c r="U261" s="63">
        <f>IF(S261&gt;0,1,"")</f>
        <v/>
      </c>
    </row>
    <row r="262">
      <c r="A262" s="35" t="n">
        <v>33718</v>
      </c>
      <c r="B262" s="4" t="n">
        <v>0.52</v>
      </c>
      <c r="C262" s="4" t="n">
        <v>0.34</v>
      </c>
      <c r="D262" s="4" t="n">
        <v>0.14</v>
      </c>
      <c r="E262" s="63" t="n">
        <v>1</v>
      </c>
      <c r="F262" s="63" t="n">
        <v>0.42625</v>
      </c>
      <c r="G262" s="63" t="n">
        <v>0.38</v>
      </c>
      <c r="H262" s="63" t="n">
        <v>0.384907436629</v>
      </c>
      <c r="I262" s="63" t="n">
        <v>0.48829287048</v>
      </c>
      <c r="J262" s="63" t="n">
        <v>0.281522002778</v>
      </c>
      <c r="K262" s="63" t="n">
        <v>411.6</v>
      </c>
      <c r="L262" s="63" t="n">
        <v>409.81</v>
      </c>
      <c r="M262" s="63" t="n">
        <v>409.02</v>
      </c>
      <c r="N262" s="54">
        <f>(M263-M262)/M262</f>
        <v/>
      </c>
      <c r="O262" s="54">
        <f>(M266-M262)/M262</f>
        <v/>
      </c>
      <c r="P262" s="4">
        <f>B262-D262</f>
        <v/>
      </c>
      <c r="Q262" s="4">
        <f>AVERAGE(P259:P262)</f>
        <v/>
      </c>
      <c r="R262" s="54">
        <f>(M263-M262)/M262</f>
        <v/>
      </c>
      <c r="S262" s="54">
        <f>(M266-M262)/M262</f>
        <v/>
      </c>
      <c r="T262" s="63">
        <f>IF(R262&gt;0,1,"")</f>
        <v/>
      </c>
      <c r="U262" s="63">
        <f>IF(S262&gt;0,1,"")</f>
        <v/>
      </c>
    </row>
    <row r="263">
      <c r="A263" s="35" t="n">
        <v>33725</v>
      </c>
      <c r="B263" s="4" t="n">
        <v>0.29</v>
      </c>
      <c r="C263" s="4" t="n">
        <v>0.36</v>
      </c>
      <c r="D263" s="4" t="n">
        <v>0.35</v>
      </c>
      <c r="E263" s="63" t="n">
        <v>1</v>
      </c>
      <c r="F263" s="63" t="n">
        <v>0.40625</v>
      </c>
      <c r="G263" s="63" t="n">
        <v>-0.06</v>
      </c>
      <c r="H263" s="63" t="n">
        <v>0.384907436629</v>
      </c>
      <c r="I263" s="63" t="n">
        <v>0.48829287048</v>
      </c>
      <c r="J263" s="63" t="n">
        <v>0.281522002778</v>
      </c>
      <c r="K263" s="63" t="n">
        <v>414.95</v>
      </c>
      <c r="L263" s="63" t="n">
        <v>408.45</v>
      </c>
      <c r="M263" s="63" t="n">
        <v>412.53</v>
      </c>
      <c r="N263" s="54">
        <f>(M264-M263)/M263</f>
        <v/>
      </c>
      <c r="O263" s="54">
        <f>(M267-M263)/M263</f>
        <v/>
      </c>
      <c r="P263" s="4">
        <f>B263-D263</f>
        <v/>
      </c>
      <c r="Q263" s="4">
        <f>AVERAGE(P260:P263)</f>
        <v/>
      </c>
      <c r="R263" s="54">
        <f>(M264-M263)/M263</f>
        <v/>
      </c>
      <c r="S263" s="54">
        <f>(M267-M263)/M263</f>
        <v/>
      </c>
      <c r="T263" s="63">
        <f>IF(R263&gt;0,1,"")</f>
        <v/>
      </c>
      <c r="U263" s="63">
        <f>IF(S263&gt;0,1,"")</f>
        <v/>
      </c>
    </row>
    <row r="264">
      <c r="A264" s="35" t="n">
        <v>33732</v>
      </c>
      <c r="B264" s="4" t="n">
        <v>0.43</v>
      </c>
      <c r="C264" s="4" t="n">
        <v>0.31</v>
      </c>
      <c r="D264" s="4" t="n">
        <v>0.26</v>
      </c>
      <c r="E264" s="63" t="n">
        <v>1</v>
      </c>
      <c r="F264" s="63" t="n">
        <v>0.4125</v>
      </c>
      <c r="G264" s="63" t="n">
        <v>0.17</v>
      </c>
      <c r="H264" s="63" t="n">
        <v>0.384907436629</v>
      </c>
      <c r="I264" s="63" t="n">
        <v>0.48829287048</v>
      </c>
      <c r="J264" s="63" t="n">
        <v>0.281522002778</v>
      </c>
      <c r="K264" s="63" t="n">
        <v>416.91</v>
      </c>
      <c r="L264" s="63" t="n">
        <v>415.85</v>
      </c>
      <c r="M264" s="63" t="n">
        <v>416.05</v>
      </c>
      <c r="N264" s="54">
        <f>(M265-M264)/M264</f>
        <v/>
      </c>
      <c r="O264" s="54">
        <f>(M268-M264)/M264</f>
        <v/>
      </c>
      <c r="P264" s="4">
        <f>B264-D264</f>
        <v/>
      </c>
      <c r="Q264" s="4">
        <f>AVERAGE(P261:P264)</f>
        <v/>
      </c>
      <c r="R264" s="54">
        <f>(M265-M264)/M264</f>
        <v/>
      </c>
      <c r="S264" s="54">
        <f>(M268-M264)/M264</f>
        <v/>
      </c>
      <c r="T264" s="63">
        <f>IF(R264&gt;0,1,"")</f>
        <v/>
      </c>
      <c r="U264" s="63">
        <f>IF(S264&gt;0,1,"")</f>
        <v/>
      </c>
    </row>
    <row r="265">
      <c r="A265" s="35" t="n">
        <v>33739</v>
      </c>
      <c r="B265" s="4" t="n">
        <v>0.4</v>
      </c>
      <c r="C265" s="4" t="n">
        <v>0.37</v>
      </c>
      <c r="D265" s="4" t="n">
        <v>0.23</v>
      </c>
      <c r="E265" s="63" t="n">
        <v>1</v>
      </c>
      <c r="F265" s="63" t="n">
        <v>0.4025</v>
      </c>
      <c r="G265" s="63" t="n">
        <v>0.17</v>
      </c>
      <c r="H265" s="63" t="n">
        <v>0.384907436629</v>
      </c>
      <c r="I265" s="63" t="n">
        <v>0.48829287048</v>
      </c>
      <c r="J265" s="63" t="n">
        <v>0.281522002778</v>
      </c>
      <c r="K265" s="63" t="n">
        <v>418.49</v>
      </c>
      <c r="L265" s="63" t="n">
        <v>410.09</v>
      </c>
      <c r="M265" s="63" t="n">
        <v>410.09</v>
      </c>
      <c r="N265" s="54">
        <f>(M266-M265)/M265</f>
        <v/>
      </c>
      <c r="O265" s="54">
        <f>(M269-M265)/M265</f>
        <v/>
      </c>
      <c r="P265" s="4">
        <f>B265-D265</f>
        <v/>
      </c>
      <c r="Q265" s="4">
        <f>AVERAGE(P262:P265)</f>
        <v/>
      </c>
      <c r="R265" s="54">
        <f>(M266-M265)/M265</f>
        <v/>
      </c>
      <c r="S265" s="54">
        <f>(M269-M265)/M265</f>
        <v/>
      </c>
      <c r="T265" s="63">
        <f>IF(R265&gt;0,1,"")</f>
        <v/>
      </c>
      <c r="U265" s="63">
        <f>IF(S265&gt;0,1,"")</f>
        <v/>
      </c>
    </row>
    <row r="266">
      <c r="A266" s="35" t="n">
        <v>33746</v>
      </c>
      <c r="B266" s="4" t="n">
        <v>0.48</v>
      </c>
      <c r="C266" s="4" t="n">
        <v>0.24</v>
      </c>
      <c r="D266" s="4" t="n">
        <v>0.28</v>
      </c>
      <c r="E266" s="63" t="n">
        <v>1</v>
      </c>
      <c r="F266" s="63" t="n">
        <v>0.40875</v>
      </c>
      <c r="G266" s="63" t="n">
        <v>0.2</v>
      </c>
      <c r="H266" s="63" t="n">
        <v>0.384907436629</v>
      </c>
      <c r="I266" s="63" t="n">
        <v>0.48829287048</v>
      </c>
      <c r="J266" s="63" t="n">
        <v>0.281522002778</v>
      </c>
      <c r="K266" s="63" t="n">
        <v>416.37</v>
      </c>
      <c r="L266" s="63" t="n">
        <v>412.6</v>
      </c>
      <c r="M266" s="63" t="n">
        <v>414.02</v>
      </c>
      <c r="N266" s="54">
        <f>(M267-M266)/M266</f>
        <v/>
      </c>
      <c r="O266" s="54">
        <f>(M270-M266)/M266</f>
        <v/>
      </c>
      <c r="P266" s="4">
        <f>B266-D266</f>
        <v/>
      </c>
      <c r="Q266" s="4">
        <f>AVERAGE(P263:P266)</f>
        <v/>
      </c>
      <c r="R266" s="54">
        <f>(M267-M266)/M266</f>
        <v/>
      </c>
      <c r="S266" s="54">
        <f>(M270-M266)/M266</f>
        <v/>
      </c>
      <c r="T266" s="63">
        <f>IF(R266&gt;0,1,"")</f>
        <v/>
      </c>
      <c r="U266" s="63">
        <f>IF(S266&gt;0,1,"")</f>
        <v/>
      </c>
    </row>
    <row r="267">
      <c r="A267" s="35" t="n">
        <v>33753</v>
      </c>
      <c r="B267" s="4" t="n">
        <v>0.41</v>
      </c>
      <c r="C267" s="4" t="n">
        <v>0.43</v>
      </c>
      <c r="D267" s="4" t="n">
        <v>0.16</v>
      </c>
      <c r="E267" s="63" t="n">
        <v>1</v>
      </c>
      <c r="F267" s="63" t="n">
        <v>0.41625</v>
      </c>
      <c r="G267" s="63" t="n">
        <v>0.25</v>
      </c>
      <c r="H267" s="63" t="n">
        <v>0.384907436629</v>
      </c>
      <c r="I267" s="63" t="n">
        <v>0.48829287048</v>
      </c>
      <c r="J267" s="63" t="n">
        <v>0.281522002778</v>
      </c>
      <c r="K267" s="63" t="n">
        <v>416.74</v>
      </c>
      <c r="L267" s="63" t="n">
        <v>411.41</v>
      </c>
      <c r="M267" s="63" t="n">
        <v>415.35</v>
      </c>
      <c r="N267" s="54">
        <f>(M268-M267)/M267</f>
        <v/>
      </c>
      <c r="O267" s="54">
        <f>(M271-M267)/M267</f>
        <v/>
      </c>
      <c r="P267" s="4">
        <f>B267-D267</f>
        <v/>
      </c>
      <c r="Q267" s="4">
        <f>AVERAGE(P264:P267)</f>
        <v/>
      </c>
      <c r="R267" s="54">
        <f>(M268-M267)/M267</f>
        <v/>
      </c>
      <c r="S267" s="54">
        <f>(M271-M267)/M267</f>
        <v/>
      </c>
      <c r="T267" s="63">
        <f>IF(R267&gt;0,1,"")</f>
        <v/>
      </c>
      <c r="U267" s="63">
        <f>IF(S267&gt;0,1,"")</f>
        <v/>
      </c>
    </row>
    <row r="268">
      <c r="A268" s="35" t="n">
        <v>33760</v>
      </c>
      <c r="B268" s="4" t="n">
        <v>0.41</v>
      </c>
      <c r="C268" s="4" t="n">
        <v>0.4</v>
      </c>
      <c r="D268" s="4" t="n">
        <v>0.19</v>
      </c>
      <c r="E268" s="63" t="n">
        <v>1</v>
      </c>
      <c r="F268" s="63" t="n">
        <v>0.41375</v>
      </c>
      <c r="G268" s="63" t="n">
        <v>0.22</v>
      </c>
      <c r="H268" s="63" t="n">
        <v>0.384907436629</v>
      </c>
      <c r="I268" s="63" t="n">
        <v>0.48829287048</v>
      </c>
      <c r="J268" s="63" t="n">
        <v>0.281522002778</v>
      </c>
      <c r="K268" s="63" t="n">
        <v>417.3</v>
      </c>
      <c r="L268" s="63" t="n">
        <v>413.26</v>
      </c>
      <c r="M268" s="63" t="n">
        <v>413.48</v>
      </c>
      <c r="N268" s="54">
        <f>(M269-M268)/M268</f>
        <v/>
      </c>
      <c r="O268" s="54">
        <f>(M272-M268)/M268</f>
        <v/>
      </c>
      <c r="P268" s="4">
        <f>B268-D268</f>
        <v/>
      </c>
      <c r="Q268" s="4">
        <f>AVERAGE(P265:P268)</f>
        <v/>
      </c>
      <c r="R268" s="54">
        <f>(M269-M268)/M268</f>
        <v/>
      </c>
      <c r="S268" s="54">
        <f>(M272-M268)/M268</f>
        <v/>
      </c>
      <c r="T268" s="63">
        <f>IF(R268&gt;0,1,"")</f>
        <v/>
      </c>
      <c r="U268" s="63">
        <f>IF(S268&gt;0,1,"")</f>
        <v/>
      </c>
    </row>
    <row r="269">
      <c r="A269" s="35" t="n">
        <v>33767</v>
      </c>
      <c r="B269" s="4" t="n">
        <v>0.31</v>
      </c>
      <c r="C269" s="4" t="n">
        <v>0.46</v>
      </c>
      <c r="D269" s="4" t="n">
        <v>0.23</v>
      </c>
      <c r="E269" s="63" t="n">
        <v>1</v>
      </c>
      <c r="F269" s="63" t="n">
        <v>0.40625</v>
      </c>
      <c r="G269" s="63" t="n">
        <v>0.08</v>
      </c>
      <c r="H269" s="63" t="n">
        <v>0.384907436629</v>
      </c>
      <c r="I269" s="63" t="n">
        <v>0.48829287048</v>
      </c>
      <c r="J269" s="63" t="n">
        <v>0.281522002778</v>
      </c>
      <c r="K269" s="63" t="n">
        <v>413.36</v>
      </c>
      <c r="L269" s="63" t="n">
        <v>406.64</v>
      </c>
      <c r="M269" s="63" t="n">
        <v>409.76</v>
      </c>
      <c r="N269" s="54">
        <f>(M270-M269)/M269</f>
        <v/>
      </c>
      <c r="O269" s="54">
        <f>(M273-M269)/M269</f>
        <v/>
      </c>
      <c r="P269" s="4">
        <f>B269-D269</f>
        <v/>
      </c>
      <c r="Q269" s="4">
        <f>AVERAGE(P266:P269)</f>
        <v/>
      </c>
      <c r="R269" s="54">
        <f>(M270-M269)/M269</f>
        <v/>
      </c>
      <c r="S269" s="54">
        <f>(M273-M269)/M269</f>
        <v/>
      </c>
      <c r="T269" s="63">
        <f>IF(R269&gt;0,1,"")</f>
        <v/>
      </c>
      <c r="U269" s="63">
        <f>IF(S269&gt;0,1,"")</f>
        <v/>
      </c>
    </row>
    <row r="270">
      <c r="A270" s="35" t="n">
        <v>33774</v>
      </c>
      <c r="B270" s="4" t="n">
        <v>0.35</v>
      </c>
      <c r="C270" s="4" t="n">
        <v>0.37</v>
      </c>
      <c r="D270" s="4" t="n">
        <v>0.28</v>
      </c>
      <c r="E270" s="63" t="n">
        <v>1</v>
      </c>
      <c r="F270" s="63" t="n">
        <v>0.385</v>
      </c>
      <c r="G270" s="63" t="n">
        <v>0.07000000000000001</v>
      </c>
      <c r="H270" s="63" t="n">
        <v>0.384907436629</v>
      </c>
      <c r="I270" s="63" t="n">
        <v>0.48829287048</v>
      </c>
      <c r="J270" s="63" t="n">
        <v>0.281522002778</v>
      </c>
      <c r="K270" s="63" t="n">
        <v>410.29</v>
      </c>
      <c r="L270" s="63" t="n">
        <v>400.96</v>
      </c>
      <c r="M270" s="63" t="n">
        <v>403.67</v>
      </c>
      <c r="N270" s="54">
        <f>(M271-M270)/M270</f>
        <v/>
      </c>
      <c r="O270" s="54">
        <f>(M274-M270)/M270</f>
        <v/>
      </c>
      <c r="P270" s="4">
        <f>B270-D270</f>
        <v/>
      </c>
      <c r="Q270" s="4">
        <f>AVERAGE(P267:P270)</f>
        <v/>
      </c>
      <c r="R270" s="54">
        <f>(M271-M270)/M270</f>
        <v/>
      </c>
      <c r="S270" s="54">
        <f>(M274-M270)/M270</f>
        <v/>
      </c>
      <c r="T270" s="63">
        <f>IF(R270&gt;0,1,"")</f>
        <v/>
      </c>
      <c r="U270" s="63">
        <f>IF(S270&gt;0,1,"")</f>
        <v/>
      </c>
    </row>
    <row r="271">
      <c r="A271" s="35" t="n">
        <v>33781</v>
      </c>
      <c r="B271" s="4" t="n">
        <v>0.39</v>
      </c>
      <c r="C271" s="4" t="n">
        <v>0.34</v>
      </c>
      <c r="D271" s="4" t="n">
        <v>0.27</v>
      </c>
      <c r="E271" s="63" t="n">
        <v>1</v>
      </c>
      <c r="F271" s="63" t="n">
        <v>0.3975</v>
      </c>
      <c r="G271" s="63" t="n">
        <v>0.12</v>
      </c>
      <c r="H271" s="63" t="n">
        <v>0.384907436629</v>
      </c>
      <c r="I271" s="63" t="n">
        <v>0.48829287048</v>
      </c>
      <c r="J271" s="63" t="n">
        <v>0.281522002778</v>
      </c>
      <c r="K271" s="63" t="n">
        <v>404.04</v>
      </c>
      <c r="L271" s="63" t="n">
        <v>403.12</v>
      </c>
      <c r="M271" s="63" t="n">
        <v>403.45</v>
      </c>
      <c r="N271" s="54">
        <f>(M272-M271)/M271</f>
        <v/>
      </c>
      <c r="O271" s="54">
        <f>(M275-M271)/M271</f>
        <v/>
      </c>
      <c r="P271" s="4">
        <f>B271-D271</f>
        <v/>
      </c>
      <c r="Q271" s="4">
        <f>AVERAGE(P268:P271)</f>
        <v/>
      </c>
      <c r="R271" s="54">
        <f>(M272-M271)/M271</f>
        <v/>
      </c>
      <c r="S271" s="54">
        <f>(M275-M271)/M271</f>
        <v/>
      </c>
      <c r="T271" s="63">
        <f>IF(R271&gt;0,1,"")</f>
        <v/>
      </c>
      <c r="U271" s="63">
        <f>IF(S271&gt;0,1,"")</f>
        <v/>
      </c>
    </row>
    <row r="272">
      <c r="A272" s="35" t="n">
        <v>33787</v>
      </c>
      <c r="B272" s="4" t="n">
        <v>0.21</v>
      </c>
      <c r="C272" s="4" t="n">
        <v>0.44</v>
      </c>
      <c r="D272" s="4" t="n">
        <v>0.35</v>
      </c>
      <c r="E272" s="63" t="n">
        <v>1</v>
      </c>
      <c r="F272" s="63" t="n">
        <v>0.37</v>
      </c>
      <c r="G272" s="63" t="n">
        <v>-0.14</v>
      </c>
      <c r="H272" s="63" t="n">
        <v>0.384907436629</v>
      </c>
      <c r="I272" s="63" t="n">
        <v>0.48829287048</v>
      </c>
      <c r="J272" s="63" t="n">
        <v>0.281522002778</v>
      </c>
      <c r="K272" s="63" t="n">
        <v>412.88</v>
      </c>
      <c r="L272" s="63" t="n">
        <v>408.14</v>
      </c>
      <c r="M272" s="63" t="n">
        <v>411.77</v>
      </c>
      <c r="N272" s="54">
        <f>(M273-M272)/M272</f>
        <v/>
      </c>
      <c r="O272" s="54">
        <f>(M276-M272)/M272</f>
        <v/>
      </c>
      <c r="P272" s="4">
        <f>B272-D272</f>
        <v/>
      </c>
      <c r="Q272" s="4">
        <f>AVERAGE(P269:P272)</f>
        <v/>
      </c>
      <c r="R272" s="54">
        <f>(M273-M272)/M272</f>
        <v/>
      </c>
      <c r="S272" s="54">
        <f>(M276-M272)/M272</f>
        <v/>
      </c>
      <c r="T272" s="63">
        <f>IF(R272&gt;0,1,"")</f>
        <v/>
      </c>
      <c r="U272" s="63">
        <f>IF(S272&gt;0,1,"")</f>
        <v/>
      </c>
    </row>
    <row r="273">
      <c r="A273" s="35" t="n">
        <v>33794</v>
      </c>
      <c r="B273" s="4" t="n">
        <v>0.23</v>
      </c>
      <c r="C273" s="4" t="n">
        <v>0.42</v>
      </c>
      <c r="D273" s="4" t="n">
        <v>0.35</v>
      </c>
      <c r="E273" s="63" t="n">
        <v>1</v>
      </c>
      <c r="F273" s="63" t="n">
        <v>0.34875</v>
      </c>
      <c r="G273" s="63" t="n">
        <v>-0.12</v>
      </c>
      <c r="H273" s="63" t="n">
        <v>0.384907436629</v>
      </c>
      <c r="I273" s="63" t="n">
        <v>0.48829287048</v>
      </c>
      <c r="J273" s="63" t="n">
        <v>0.281522002778</v>
      </c>
      <c r="K273" s="63" t="n">
        <v>414.62</v>
      </c>
      <c r="L273" s="63" t="n">
        <v>409.16</v>
      </c>
      <c r="M273" s="63" t="n">
        <v>414.62</v>
      </c>
      <c r="N273" s="54">
        <f>(M274-M273)/M273</f>
        <v/>
      </c>
      <c r="O273" s="54">
        <f>(M277-M273)/M273</f>
        <v/>
      </c>
      <c r="P273" s="4">
        <f>B273-D273</f>
        <v/>
      </c>
      <c r="Q273" s="4">
        <f>AVERAGE(P270:P273)</f>
        <v/>
      </c>
      <c r="R273" s="54">
        <f>(M274-M273)/M273</f>
        <v/>
      </c>
      <c r="S273" s="54">
        <f>(M277-M273)/M273</f>
        <v/>
      </c>
      <c r="T273" s="63">
        <f>IF(R273&gt;0,1,"")</f>
        <v/>
      </c>
      <c r="U273" s="63">
        <f>IF(S273&gt;0,1,"")</f>
        <v/>
      </c>
    </row>
    <row r="274">
      <c r="A274" s="35" t="n">
        <v>33802</v>
      </c>
      <c r="B274" s="4" t="n">
        <v>0.29</v>
      </c>
      <c r="C274" s="4" t="n">
        <v>0.4</v>
      </c>
      <c r="D274" s="4" t="n">
        <v>0.31</v>
      </c>
      <c r="E274" s="63" t="n">
        <v>1</v>
      </c>
      <c r="F274" s="63" t="n">
        <v>0.325</v>
      </c>
      <c r="G274" s="63" t="n">
        <v>-0.02</v>
      </c>
      <c r="H274" s="63" t="n">
        <v>0.384907436629</v>
      </c>
      <c r="I274" s="63" t="n">
        <v>0.48829287048</v>
      </c>
      <c r="J274" s="63" t="n">
        <v>0.281522002778</v>
      </c>
      <c r="K274" s="63" t="n">
        <v>417.81</v>
      </c>
      <c r="L274" s="63" t="n">
        <v>412.96</v>
      </c>
      <c r="M274" s="63" t="n">
        <v>415.62</v>
      </c>
      <c r="N274" s="54">
        <f>(M275-M274)/M274</f>
        <v/>
      </c>
      <c r="O274" s="54">
        <f>(M278-M274)/M274</f>
        <v/>
      </c>
      <c r="P274" s="4">
        <f>B274-D274</f>
        <v/>
      </c>
      <c r="Q274" s="4">
        <f>AVERAGE(P271:P274)</f>
        <v/>
      </c>
      <c r="R274" s="54">
        <f>(M275-M274)/M274</f>
        <v/>
      </c>
      <c r="S274" s="54">
        <f>(M278-M274)/M274</f>
        <v/>
      </c>
      <c r="T274" s="63">
        <f>IF(R274&gt;0,1,"")</f>
        <v/>
      </c>
      <c r="U274" s="63">
        <f>IF(S274&gt;0,1,"")</f>
        <v/>
      </c>
    </row>
    <row r="275">
      <c r="A275" s="35" t="n">
        <v>33809</v>
      </c>
      <c r="B275" s="4" t="n">
        <v>0.32</v>
      </c>
      <c r="C275" s="4" t="n">
        <v>0.44</v>
      </c>
      <c r="D275" s="4" t="n">
        <v>0.24</v>
      </c>
      <c r="E275" s="63" t="n">
        <v>1</v>
      </c>
      <c r="F275" s="63" t="n">
        <v>0.31375</v>
      </c>
      <c r="G275" s="63" t="n">
        <v>0.08</v>
      </c>
      <c r="H275" s="63" t="n">
        <v>0.384907436629</v>
      </c>
      <c r="I275" s="63" t="n">
        <v>0.48829287048</v>
      </c>
      <c r="J275" s="63" t="n">
        <v>0.281522002778</v>
      </c>
      <c r="K275" s="63" t="n">
        <v>415.62</v>
      </c>
      <c r="L275" s="63" t="n">
        <v>409.94</v>
      </c>
      <c r="M275" s="63" t="n">
        <v>411.6</v>
      </c>
      <c r="N275" s="54">
        <f>(M276-M275)/M275</f>
        <v/>
      </c>
      <c r="O275" s="54">
        <f>(M279-M275)/M275</f>
        <v/>
      </c>
      <c r="P275" s="4">
        <f>B275-D275</f>
        <v/>
      </c>
      <c r="Q275" s="4">
        <f>AVERAGE(P272:P275)</f>
        <v/>
      </c>
      <c r="R275" s="54">
        <f>(M276-M275)/M275</f>
        <v/>
      </c>
      <c r="S275" s="54">
        <f>(M279-M275)/M275</f>
        <v/>
      </c>
      <c r="T275" s="63">
        <f>IF(R275&gt;0,1,"")</f>
        <v/>
      </c>
      <c r="U275" s="63">
        <f>IF(S275&gt;0,1,"")</f>
        <v/>
      </c>
    </row>
    <row r="276">
      <c r="A276" s="35" t="n">
        <v>33816</v>
      </c>
      <c r="B276" s="4" t="n">
        <v>0.22</v>
      </c>
      <c r="C276" s="4" t="n">
        <v>0.47</v>
      </c>
      <c r="D276" s="4" t="n">
        <v>0.31</v>
      </c>
      <c r="E276" s="63" t="n">
        <v>1</v>
      </c>
      <c r="F276" s="63" t="n">
        <v>0.29</v>
      </c>
      <c r="G276" s="63" t="n">
        <v>-0.09</v>
      </c>
      <c r="H276" s="63" t="n">
        <v>0.384907436629</v>
      </c>
      <c r="I276" s="63" t="n">
        <v>0.48829287048</v>
      </c>
      <c r="J276" s="63" t="n">
        <v>0.281522002778</v>
      </c>
      <c r="K276" s="63" t="n">
        <v>424.8</v>
      </c>
      <c r="L276" s="63" t="n">
        <v>411.27</v>
      </c>
      <c r="M276" s="63" t="n">
        <v>424.21</v>
      </c>
      <c r="N276" s="54">
        <f>(M277-M276)/M276</f>
        <v/>
      </c>
      <c r="O276" s="54">
        <f>(M280-M276)/M276</f>
        <v/>
      </c>
      <c r="P276" s="4">
        <f>B276-D276</f>
        <v/>
      </c>
      <c r="Q276" s="4">
        <f>AVERAGE(P273:P276)</f>
        <v/>
      </c>
      <c r="R276" s="54">
        <f>(M277-M276)/M276</f>
        <v/>
      </c>
      <c r="S276" s="54">
        <f>(M280-M276)/M276</f>
        <v/>
      </c>
      <c r="T276" s="63">
        <f>IF(R276&gt;0,1,"")</f>
        <v/>
      </c>
      <c r="U276" s="63">
        <f>IF(S276&gt;0,1,"")</f>
        <v/>
      </c>
    </row>
    <row r="277">
      <c r="A277" s="35" t="n">
        <v>33821</v>
      </c>
      <c r="B277" s="4" t="n">
        <v>0.28</v>
      </c>
      <c r="C277" s="4" t="n">
        <v>0.39</v>
      </c>
      <c r="D277" s="4" t="n">
        <v>0.33</v>
      </c>
      <c r="E277" s="63" t="n">
        <v>1</v>
      </c>
      <c r="F277" s="63" t="n">
        <v>0.28625</v>
      </c>
      <c r="G277" s="63" t="n">
        <v>-0.05</v>
      </c>
      <c r="H277" s="63" t="n">
        <v>0.384907436629</v>
      </c>
      <c r="I277" s="63" t="n">
        <v>0.48829287048</v>
      </c>
      <c r="J277" s="63" t="n">
        <v>0.281522002778</v>
      </c>
      <c r="K277" s="63" t="n">
        <v>424.36</v>
      </c>
      <c r="L277" s="63" t="n">
        <v>421.92</v>
      </c>
      <c r="M277" s="63" t="n">
        <v>422.19</v>
      </c>
      <c r="N277" s="54">
        <f>(M278-M277)/M277</f>
        <v/>
      </c>
      <c r="O277" s="54">
        <f>(M281-M277)/M277</f>
        <v/>
      </c>
      <c r="P277" s="4">
        <f>B277-D277</f>
        <v/>
      </c>
      <c r="Q277" s="4">
        <f>AVERAGE(P274:P277)</f>
        <v/>
      </c>
      <c r="R277" s="54">
        <f>(M278-M277)/M277</f>
        <v/>
      </c>
      <c r="S277" s="54">
        <f>(M281-M277)/M277</f>
        <v/>
      </c>
      <c r="T277" s="63">
        <f>IF(R277&gt;0,1,"")</f>
        <v/>
      </c>
      <c r="U277" s="63">
        <f>IF(S277&gt;0,1,"")</f>
        <v/>
      </c>
    </row>
    <row r="278">
      <c r="A278" s="35" t="n">
        <v>33830</v>
      </c>
      <c r="B278" s="4" t="n">
        <v>0.26</v>
      </c>
      <c r="C278" s="4" t="n">
        <v>0.37</v>
      </c>
      <c r="D278" s="4" t="n">
        <v>0.37</v>
      </c>
      <c r="E278" s="63" t="n">
        <v>1</v>
      </c>
      <c r="F278" s="63" t="n">
        <v>0.275</v>
      </c>
      <c r="G278" s="63" t="n">
        <v>-0.11</v>
      </c>
      <c r="H278" s="63" t="n">
        <v>0.384907436629</v>
      </c>
      <c r="I278" s="63" t="n">
        <v>0.48829287048</v>
      </c>
      <c r="J278" s="63" t="n">
        <v>0.281522002778</v>
      </c>
      <c r="K278" s="63" t="n">
        <v>423.45</v>
      </c>
      <c r="L278" s="63" t="n">
        <v>416.4</v>
      </c>
      <c r="M278" s="63" t="n">
        <v>419.91</v>
      </c>
      <c r="N278" s="54">
        <f>(M279-M278)/M278</f>
        <v/>
      </c>
      <c r="O278" s="54">
        <f>(M282-M278)/M278</f>
        <v/>
      </c>
      <c r="P278" s="4">
        <f>B278-D278</f>
        <v/>
      </c>
      <c r="Q278" s="4">
        <f>AVERAGE(P275:P278)</f>
        <v/>
      </c>
      <c r="R278" s="54">
        <f>(M279-M278)/M278</f>
        <v/>
      </c>
      <c r="S278" s="54">
        <f>(M282-M278)/M278</f>
        <v/>
      </c>
      <c r="T278" s="63">
        <f>IF(R278&gt;0,1,"")</f>
        <v/>
      </c>
      <c r="U278" s="63">
        <f>IF(S278&gt;0,1,"")</f>
        <v/>
      </c>
    </row>
    <row r="279">
      <c r="A279" s="35" t="n">
        <v>33837</v>
      </c>
      <c r="B279" s="4" t="n">
        <v>0.22</v>
      </c>
      <c r="C279" s="4" t="n">
        <v>0.34</v>
      </c>
      <c r="D279" s="4" t="n">
        <v>0.44</v>
      </c>
      <c r="E279" s="63" t="n">
        <v>1</v>
      </c>
      <c r="F279" s="63" t="n">
        <v>0.25375</v>
      </c>
      <c r="G279" s="63" t="n">
        <v>-0.22</v>
      </c>
      <c r="H279" s="63" t="n">
        <v>0.384907436629</v>
      </c>
      <c r="I279" s="63" t="n">
        <v>0.48829287048</v>
      </c>
      <c r="J279" s="63" t="n">
        <v>0.281522002778</v>
      </c>
      <c r="K279" s="63" t="n">
        <v>421.89</v>
      </c>
      <c r="L279" s="63" t="n">
        <v>413.58</v>
      </c>
      <c r="M279" s="63" t="n">
        <v>414.85</v>
      </c>
      <c r="N279" s="54">
        <f>(M280-M279)/M279</f>
        <v/>
      </c>
      <c r="O279" s="54">
        <f>(M283-M279)/M279</f>
        <v/>
      </c>
      <c r="P279" s="4">
        <f>B279-D279</f>
        <v/>
      </c>
      <c r="Q279" s="4">
        <f>AVERAGE(P276:P279)</f>
        <v/>
      </c>
      <c r="R279" s="54">
        <f>(M280-M279)/M279</f>
        <v/>
      </c>
      <c r="S279" s="54">
        <f>(M283-M279)/M279</f>
        <v/>
      </c>
      <c r="T279" s="63">
        <f>IF(R279&gt;0,1,"")</f>
        <v/>
      </c>
      <c r="U279" s="63">
        <f>IF(S279&gt;0,1,"")</f>
        <v/>
      </c>
    </row>
    <row r="280">
      <c r="A280" s="35" t="n">
        <v>33844</v>
      </c>
      <c r="B280" s="4" t="n">
        <v>0.3</v>
      </c>
      <c r="C280" s="4" t="n">
        <v>0.37</v>
      </c>
      <c r="D280" s="4" t="n">
        <v>0.33</v>
      </c>
      <c r="E280" s="63" t="n">
        <v>1</v>
      </c>
      <c r="F280" s="63" t="n">
        <v>0.265</v>
      </c>
      <c r="G280" s="63" t="n">
        <v>-0.03</v>
      </c>
      <c r="H280" s="63" t="n">
        <v>0.384907436629</v>
      </c>
      <c r="I280" s="63" t="n">
        <v>0.48829287048</v>
      </c>
      <c r="J280" s="63" t="n">
        <v>0.281522002778</v>
      </c>
      <c r="K280" s="63" t="n">
        <v>414.95</v>
      </c>
      <c r="L280" s="63" t="n">
        <v>408.3</v>
      </c>
      <c r="M280" s="63" t="n">
        <v>414.84</v>
      </c>
      <c r="N280" s="54">
        <f>(M281-M280)/M280</f>
        <v/>
      </c>
      <c r="O280" s="54">
        <f>(M284-M280)/M280</f>
        <v/>
      </c>
      <c r="P280" s="4">
        <f>B280-D280</f>
        <v/>
      </c>
      <c r="Q280" s="4">
        <f>AVERAGE(P277:P280)</f>
        <v/>
      </c>
      <c r="R280" s="54">
        <f>(M281-M280)/M280</f>
        <v/>
      </c>
      <c r="S280" s="54">
        <f>(M284-M280)/M280</f>
        <v/>
      </c>
      <c r="T280" s="63">
        <f>IF(R280&gt;0,1,"")</f>
        <v/>
      </c>
      <c r="U280" s="63">
        <f>IF(S280&gt;0,1,"")</f>
        <v/>
      </c>
    </row>
    <row r="281">
      <c r="A281" s="35" t="n">
        <v>33851</v>
      </c>
      <c r="B281" s="4" t="n">
        <v>0.14</v>
      </c>
      <c r="C281" s="4" t="n">
        <v>0.44</v>
      </c>
      <c r="D281" s="4" t="n">
        <v>0.42</v>
      </c>
      <c r="E281" s="63" t="n">
        <v>1</v>
      </c>
      <c r="F281" s="63" t="n">
        <v>0.25375</v>
      </c>
      <c r="G281" s="63" t="n">
        <v>-0.28</v>
      </c>
      <c r="H281" s="63" t="n">
        <v>0.384907436629</v>
      </c>
      <c r="I281" s="63" t="n">
        <v>0.48829287048</v>
      </c>
      <c r="J281" s="63" t="n">
        <v>0.281522002778</v>
      </c>
      <c r="K281" s="63" t="n">
        <v>420.31</v>
      </c>
      <c r="L281" s="63" t="n">
        <v>413.35</v>
      </c>
      <c r="M281" s="63" t="n">
        <v>417.08</v>
      </c>
      <c r="N281" s="54">
        <f>(M282-M281)/M281</f>
        <v/>
      </c>
      <c r="O281" s="54">
        <f>(M285-M281)/M281</f>
        <v/>
      </c>
      <c r="P281" s="4">
        <f>B281-D281</f>
        <v/>
      </c>
      <c r="Q281" s="4">
        <f>AVERAGE(P278:P281)</f>
        <v/>
      </c>
      <c r="R281" s="54">
        <f>(M282-M281)/M281</f>
        <v/>
      </c>
      <c r="S281" s="54">
        <f>(M285-M281)/M281</f>
        <v/>
      </c>
      <c r="T281" s="63">
        <f>IF(R281&gt;0,1,"")</f>
        <v/>
      </c>
      <c r="U281" s="63">
        <f>IF(S281&gt;0,1,"")</f>
        <v/>
      </c>
    </row>
    <row r="282">
      <c r="A282" s="35" t="n">
        <v>33858</v>
      </c>
      <c r="B282" s="4" t="n">
        <v>0.22</v>
      </c>
      <c r="C282" s="4" t="n">
        <v>0.39</v>
      </c>
      <c r="D282" s="4" t="n">
        <v>0.39</v>
      </c>
      <c r="E282" s="63" t="n">
        <v>1</v>
      </c>
      <c r="F282" s="63" t="n">
        <v>0.245</v>
      </c>
      <c r="G282" s="63" t="n">
        <v>-0.17</v>
      </c>
      <c r="H282" s="63" t="n">
        <v>0.384907436629</v>
      </c>
      <c r="I282" s="63" t="n">
        <v>0.48829287048</v>
      </c>
      <c r="J282" s="63" t="n">
        <v>0.281522002778</v>
      </c>
      <c r="K282" s="63" t="n">
        <v>420.58</v>
      </c>
      <c r="L282" s="63" t="n">
        <v>414.3</v>
      </c>
      <c r="M282" s="63" t="n">
        <v>419.58</v>
      </c>
      <c r="N282" s="54">
        <f>(M283-M282)/M282</f>
        <v/>
      </c>
      <c r="O282" s="54">
        <f>(M286-M282)/M282</f>
        <v/>
      </c>
      <c r="P282" s="4">
        <f>B282-D282</f>
        <v/>
      </c>
      <c r="Q282" s="4">
        <f>AVERAGE(P279:P282)</f>
        <v/>
      </c>
      <c r="R282" s="54">
        <f>(M283-M282)/M282</f>
        <v/>
      </c>
      <c r="S282" s="54">
        <f>(M286-M282)/M282</f>
        <v/>
      </c>
      <c r="T282" s="63">
        <f>IF(R282&gt;0,1,"")</f>
        <v/>
      </c>
      <c r="U282" s="63">
        <f>IF(S282&gt;0,1,"")</f>
        <v/>
      </c>
    </row>
    <row r="283">
      <c r="A283" s="35" t="n">
        <v>33865</v>
      </c>
      <c r="B283" s="4" t="n">
        <v>0.21</v>
      </c>
      <c r="C283" s="4" t="n">
        <v>0.42</v>
      </c>
      <c r="D283" s="4" t="n">
        <v>0.37</v>
      </c>
      <c r="E283" s="63" t="n">
        <v>1</v>
      </c>
      <c r="F283" s="63" t="n">
        <v>0.23125</v>
      </c>
      <c r="G283" s="63" t="n">
        <v>-0.16</v>
      </c>
      <c r="H283" s="63" t="n">
        <v>0.384907436629</v>
      </c>
      <c r="I283" s="63" t="n">
        <v>0.48829287048</v>
      </c>
      <c r="J283" s="63" t="n">
        <v>0.281522002778</v>
      </c>
      <c r="K283" s="63" t="n">
        <v>425.27</v>
      </c>
      <c r="L283" s="63" t="n">
        <v>417.77</v>
      </c>
      <c r="M283" s="63" t="n">
        <v>422.93</v>
      </c>
      <c r="N283" s="54">
        <f>(M284-M283)/M283</f>
        <v/>
      </c>
      <c r="O283" s="54">
        <f>(M287-M283)/M283</f>
        <v/>
      </c>
      <c r="P283" s="4">
        <f>B283-D283</f>
        <v/>
      </c>
      <c r="Q283" s="4">
        <f>AVERAGE(P280:P283)</f>
        <v/>
      </c>
      <c r="R283" s="54">
        <f>(M284-M283)/M283</f>
        <v/>
      </c>
      <c r="S283" s="54">
        <f>(M287-M283)/M283</f>
        <v/>
      </c>
      <c r="T283" s="63">
        <f>IF(R283&gt;0,1,"")</f>
        <v/>
      </c>
      <c r="U283" s="63">
        <f>IF(S283&gt;0,1,"")</f>
        <v/>
      </c>
    </row>
    <row r="284">
      <c r="A284" s="35" t="n">
        <v>33872</v>
      </c>
      <c r="B284" s="4" t="n">
        <v>0.25</v>
      </c>
      <c r="C284" s="4" t="n">
        <v>0.34</v>
      </c>
      <c r="D284" s="4" t="n">
        <v>0.41</v>
      </c>
      <c r="E284" s="63" t="n">
        <v>1</v>
      </c>
      <c r="F284" s="63" t="n">
        <v>0.235</v>
      </c>
      <c r="G284" s="63" t="n">
        <v>-0.16</v>
      </c>
      <c r="H284" s="63" t="n">
        <v>0.384907436629</v>
      </c>
      <c r="I284" s="63" t="n">
        <v>0.48829287048</v>
      </c>
      <c r="J284" s="63" t="n">
        <v>0.281522002778</v>
      </c>
      <c r="K284" s="63" t="n">
        <v>422.93</v>
      </c>
      <c r="L284" s="63" t="n">
        <v>412.71</v>
      </c>
      <c r="M284" s="63" t="n">
        <v>414.35</v>
      </c>
      <c r="N284" s="54">
        <f>(M285-M284)/M284</f>
        <v/>
      </c>
      <c r="O284" s="54">
        <f>(M288-M284)/M284</f>
        <v/>
      </c>
      <c r="P284" s="4">
        <f>B284-D284</f>
        <v/>
      </c>
      <c r="Q284" s="4">
        <f>AVERAGE(P281:P284)</f>
        <v/>
      </c>
      <c r="R284" s="54">
        <f>(M285-M284)/M284</f>
        <v/>
      </c>
      <c r="S284" s="54">
        <f>(M288-M284)/M284</f>
        <v/>
      </c>
      <c r="T284" s="63">
        <f>IF(R284&gt;0,1,"")</f>
        <v/>
      </c>
      <c r="U284" s="63">
        <f>IF(S284&gt;0,1,"")</f>
        <v/>
      </c>
    </row>
    <row r="285">
      <c r="A285" s="35" t="n">
        <v>33879</v>
      </c>
      <c r="B285" s="4" t="n">
        <v>0.3</v>
      </c>
      <c r="C285" s="4" t="n">
        <v>0.35</v>
      </c>
      <c r="D285" s="4" t="n">
        <v>0.35</v>
      </c>
      <c r="E285" s="63" t="n">
        <v>1</v>
      </c>
      <c r="F285" s="63" t="n">
        <v>0.2375</v>
      </c>
      <c r="G285" s="63" t="n">
        <v>-0.05</v>
      </c>
      <c r="H285" s="63" t="n">
        <v>0.384907436629</v>
      </c>
      <c r="I285" s="63" t="n">
        <v>0.48829287048</v>
      </c>
      <c r="J285" s="63" t="n">
        <v>0.281522002778</v>
      </c>
      <c r="K285" s="63" t="n">
        <v>418.67</v>
      </c>
      <c r="L285" s="63" t="n">
        <v>410.45</v>
      </c>
      <c r="M285" s="63" t="n">
        <v>410.47</v>
      </c>
      <c r="N285" s="54">
        <f>(M286-M285)/M285</f>
        <v/>
      </c>
      <c r="O285" s="54">
        <f>(M289-M285)/M285</f>
        <v/>
      </c>
      <c r="P285" s="4">
        <f>B285-D285</f>
        <v/>
      </c>
      <c r="Q285" s="4">
        <f>AVERAGE(P282:P285)</f>
        <v/>
      </c>
      <c r="R285" s="54">
        <f>(M286-M285)/M285</f>
        <v/>
      </c>
      <c r="S285" s="54">
        <f>(M289-M285)/M285</f>
        <v/>
      </c>
      <c r="T285" s="63">
        <f>IF(R285&gt;0,1,"")</f>
        <v/>
      </c>
      <c r="U285" s="63">
        <f>IF(S285&gt;0,1,"")</f>
        <v/>
      </c>
    </row>
    <row r="286">
      <c r="A286" s="35" t="n">
        <v>33886</v>
      </c>
      <c r="B286" s="4" t="n">
        <v>0.21</v>
      </c>
      <c r="C286" s="4" t="n">
        <v>0.35</v>
      </c>
      <c r="D286" s="4" t="n">
        <v>0.44</v>
      </c>
      <c r="E286" s="63" t="n">
        <v>1</v>
      </c>
      <c r="F286" s="63" t="n">
        <v>0.23125</v>
      </c>
      <c r="G286" s="63" t="n">
        <v>-0.23</v>
      </c>
      <c r="H286" s="63" t="n">
        <v>0.384907436629</v>
      </c>
      <c r="I286" s="63" t="n">
        <v>0.48829287048</v>
      </c>
      <c r="J286" s="63" t="n">
        <v>0.281522002778</v>
      </c>
      <c r="K286" s="63" t="n">
        <v>407.75</v>
      </c>
      <c r="L286" s="63" t="n">
        <v>402.42</v>
      </c>
      <c r="M286" s="63" t="n">
        <v>402.66</v>
      </c>
      <c r="N286" s="54">
        <f>(M287-M286)/M286</f>
        <v/>
      </c>
      <c r="O286" s="54">
        <f>(M290-M286)/M286</f>
        <v/>
      </c>
      <c r="P286" s="4">
        <f>B286-D286</f>
        <v/>
      </c>
      <c r="Q286" s="4">
        <f>AVERAGE(P283:P286)</f>
        <v/>
      </c>
      <c r="R286" s="54">
        <f>(M287-M286)/M286</f>
        <v/>
      </c>
      <c r="S286" s="54">
        <f>(M290-M286)/M286</f>
        <v/>
      </c>
      <c r="T286" s="63">
        <f>IF(R286&gt;0,1,"")</f>
        <v/>
      </c>
      <c r="U286" s="63">
        <f>IF(S286&gt;0,1,"")</f>
        <v/>
      </c>
    </row>
    <row r="287">
      <c r="A287" s="35" t="n">
        <v>33893</v>
      </c>
      <c r="B287" s="4" t="n">
        <v>0.2</v>
      </c>
      <c r="C287" s="4" t="n">
        <v>0.24</v>
      </c>
      <c r="D287" s="4" t="n">
        <v>0.5600000000000001</v>
      </c>
      <c r="E287" s="63" t="n">
        <v>1</v>
      </c>
      <c r="F287" s="63" t="n">
        <v>0.22875</v>
      </c>
      <c r="G287" s="63" t="n">
        <v>-0.36</v>
      </c>
      <c r="H287" s="63" t="n">
        <v>0.384907436629</v>
      </c>
      <c r="I287" s="63" t="n">
        <v>0.48829287048</v>
      </c>
      <c r="J287" s="63" t="n">
        <v>0.281522002778</v>
      </c>
      <c r="K287" s="63" t="n">
        <v>411.73</v>
      </c>
      <c r="L287" s="63" t="n">
        <v>407.43</v>
      </c>
      <c r="M287" s="63" t="n">
        <v>411.73</v>
      </c>
      <c r="N287" s="54">
        <f>(M288-M287)/M287</f>
        <v/>
      </c>
      <c r="O287" s="54">
        <f>(M291-M287)/M287</f>
        <v/>
      </c>
      <c r="P287" s="4">
        <f>B287-D287</f>
        <v/>
      </c>
      <c r="Q287" s="4">
        <f>AVERAGE(P284:P287)</f>
        <v/>
      </c>
      <c r="R287" s="54">
        <f>(M288-M287)/M287</f>
        <v/>
      </c>
      <c r="S287" s="54">
        <f>(M291-M287)/M287</f>
        <v/>
      </c>
      <c r="T287" s="63">
        <f>IF(R287&gt;0,1,"")</f>
        <v/>
      </c>
      <c r="U287" s="63">
        <f>IF(S287&gt;0,1,"")</f>
        <v/>
      </c>
    </row>
    <row r="288">
      <c r="A288" s="35" t="n">
        <v>33900</v>
      </c>
      <c r="B288" s="4" t="n">
        <v>0.21</v>
      </c>
      <c r="C288" s="4" t="n">
        <v>0.32</v>
      </c>
      <c r="D288" s="4" t="n">
        <v>0.47</v>
      </c>
      <c r="E288" s="63" t="n">
        <v>1</v>
      </c>
      <c r="F288" s="63" t="n">
        <v>0.2175</v>
      </c>
      <c r="G288" s="63" t="n">
        <v>-0.26</v>
      </c>
      <c r="H288" s="63" t="n">
        <v>0.384907436629</v>
      </c>
      <c r="I288" s="63" t="n">
        <v>0.48829287048</v>
      </c>
      <c r="J288" s="63" t="n">
        <v>0.281522002778</v>
      </c>
      <c r="K288" s="63" t="n">
        <v>417.98</v>
      </c>
      <c r="L288" s="63" t="n">
        <v>407.43</v>
      </c>
      <c r="M288" s="63" t="n">
        <v>414.1</v>
      </c>
      <c r="N288" s="54">
        <f>(M289-M288)/M288</f>
        <v/>
      </c>
      <c r="O288" s="54">
        <f>(M292-M288)/M288</f>
        <v/>
      </c>
      <c r="P288" s="4">
        <f>B288-D288</f>
        <v/>
      </c>
      <c r="Q288" s="4">
        <f>AVERAGE(P285:P288)</f>
        <v/>
      </c>
      <c r="R288" s="54">
        <f>(M289-M288)/M288</f>
        <v/>
      </c>
      <c r="S288" s="54">
        <f>(M292-M288)/M288</f>
        <v/>
      </c>
      <c r="T288" s="63">
        <f>IF(R288&gt;0,1,"")</f>
        <v/>
      </c>
      <c r="U288" s="63">
        <f>IF(S288&gt;0,1,"")</f>
        <v/>
      </c>
    </row>
    <row r="289">
      <c r="A289" s="35" t="n">
        <v>33907</v>
      </c>
      <c r="B289" s="4" t="n">
        <v>0.35</v>
      </c>
      <c r="C289" s="4" t="n">
        <v>0.35</v>
      </c>
      <c r="D289" s="4" t="n">
        <v>0.3</v>
      </c>
      <c r="E289" s="63" t="n">
        <v>1</v>
      </c>
      <c r="F289" s="63" t="n">
        <v>0.24375</v>
      </c>
      <c r="G289" s="63" t="n">
        <v>0.05</v>
      </c>
      <c r="H289" s="63" t="n">
        <v>0.384907436629</v>
      </c>
      <c r="I289" s="63" t="n">
        <v>0.48829287048</v>
      </c>
      <c r="J289" s="63" t="n">
        <v>0.281522002778</v>
      </c>
      <c r="K289" s="63" t="n">
        <v>421.16</v>
      </c>
      <c r="L289" s="63" t="n">
        <v>413.7</v>
      </c>
      <c r="M289" s="63" t="n">
        <v>418.68</v>
      </c>
      <c r="N289" s="54">
        <f>(M290-M289)/M289</f>
        <v/>
      </c>
      <c r="O289" s="54">
        <f>(M293-M289)/M289</f>
        <v/>
      </c>
      <c r="P289" s="4">
        <f>B289-D289</f>
        <v/>
      </c>
      <c r="Q289" s="4">
        <f>AVERAGE(P286:P289)</f>
        <v/>
      </c>
      <c r="R289" s="54">
        <f>(M290-M289)/M289</f>
        <v/>
      </c>
      <c r="S289" s="54">
        <f>(M293-M289)/M289</f>
        <v/>
      </c>
      <c r="T289" s="63">
        <f>IF(R289&gt;0,1,"")</f>
        <v/>
      </c>
      <c r="U289" s="63">
        <f>IF(S289&gt;0,1,"")</f>
        <v/>
      </c>
    </row>
    <row r="290">
      <c r="A290" s="35" t="n">
        <v>33914</v>
      </c>
      <c r="B290" s="4" t="n">
        <v>0.49</v>
      </c>
      <c r="C290" s="4" t="n">
        <v>0.27</v>
      </c>
      <c r="D290" s="4" t="n">
        <v>0.24</v>
      </c>
      <c r="E290" s="63" t="n">
        <v>1</v>
      </c>
      <c r="F290" s="63" t="n">
        <v>0.2775</v>
      </c>
      <c r="G290" s="63" t="n">
        <v>0.25</v>
      </c>
      <c r="H290" s="63" t="n">
        <v>0.384907436629</v>
      </c>
      <c r="I290" s="63" t="n">
        <v>0.48829287048</v>
      </c>
      <c r="J290" s="63" t="n">
        <v>0.281522002778</v>
      </c>
      <c r="K290" s="63" t="n">
        <v>422.81</v>
      </c>
      <c r="L290" s="63" t="n">
        <v>415.58</v>
      </c>
      <c r="M290" s="63" t="n">
        <v>417.58</v>
      </c>
      <c r="N290" s="54">
        <f>(M291-M290)/M290</f>
        <v/>
      </c>
      <c r="O290" s="54">
        <f>(M294-M290)/M290</f>
        <v/>
      </c>
      <c r="P290" s="4">
        <f>B290-D290</f>
        <v/>
      </c>
      <c r="Q290" s="4">
        <f>AVERAGE(P287:P290)</f>
        <v/>
      </c>
      <c r="R290" s="54">
        <f>(M291-M290)/M290</f>
        <v/>
      </c>
      <c r="S290" s="54">
        <f>(M294-M290)/M290</f>
        <v/>
      </c>
      <c r="T290" s="63">
        <f>IF(R290&gt;0,1,"")</f>
        <v/>
      </c>
      <c r="U290" s="63">
        <f>IF(S290&gt;0,1,"")</f>
        <v/>
      </c>
    </row>
    <row r="291">
      <c r="A291" s="35" t="n">
        <v>33921</v>
      </c>
      <c r="B291" s="4" t="n">
        <v>0.37</v>
      </c>
      <c r="C291" s="4" t="n">
        <v>0.44</v>
      </c>
      <c r="D291" s="4" t="n">
        <v>0.19</v>
      </c>
      <c r="E291" s="63" t="n">
        <v>1</v>
      </c>
      <c r="F291" s="63" t="n">
        <v>0.2975</v>
      </c>
      <c r="G291" s="63" t="n">
        <v>0.18</v>
      </c>
      <c r="H291" s="63" t="n">
        <v>0.384907436629</v>
      </c>
      <c r="I291" s="63" t="n">
        <v>0.48829287048</v>
      </c>
      <c r="J291" s="63" t="n">
        <v>0.281522002778</v>
      </c>
      <c r="K291" s="63" t="n">
        <v>423.1</v>
      </c>
      <c r="L291" s="63" t="n">
        <v>416.79</v>
      </c>
      <c r="M291" s="63" t="n">
        <v>422.43</v>
      </c>
      <c r="N291" s="54">
        <f>(M292-M291)/M291</f>
        <v/>
      </c>
      <c r="O291" s="54">
        <f>(M295-M291)/M291</f>
        <v/>
      </c>
      <c r="P291" s="4">
        <f>B291-D291</f>
        <v/>
      </c>
      <c r="Q291" s="4">
        <f>AVERAGE(P288:P291)</f>
        <v/>
      </c>
      <c r="R291" s="54">
        <f>(M292-M291)/M291</f>
        <v/>
      </c>
      <c r="S291" s="54">
        <f>(M295-M291)/M291</f>
        <v/>
      </c>
      <c r="T291" s="63">
        <f>IF(R291&gt;0,1,"")</f>
        <v/>
      </c>
      <c r="U291" s="63">
        <f>IF(S291&gt;0,1,"")</f>
        <v/>
      </c>
    </row>
    <row r="292">
      <c r="A292" s="35" t="n">
        <v>33928</v>
      </c>
      <c r="B292" s="4" t="n">
        <v>0.48</v>
      </c>
      <c r="C292" s="4" t="n">
        <v>0.38</v>
      </c>
      <c r="D292" s="4" t="n">
        <v>0.14</v>
      </c>
      <c r="E292" s="63" t="n">
        <v>1</v>
      </c>
      <c r="F292" s="63" t="n">
        <v>0.32625</v>
      </c>
      <c r="G292" s="63" t="n">
        <v>0.34</v>
      </c>
      <c r="H292" s="63" t="n">
        <v>0.384907436629</v>
      </c>
      <c r="I292" s="63" t="n">
        <v>0.48829287048</v>
      </c>
      <c r="J292" s="63" t="n">
        <v>0.281522002778</v>
      </c>
      <c r="K292" s="63" t="n">
        <v>426.98</v>
      </c>
      <c r="L292" s="63" t="n">
        <v>418.31</v>
      </c>
      <c r="M292" s="63" t="n">
        <v>426.65</v>
      </c>
      <c r="N292" s="54">
        <f>(M293-M292)/M292</f>
        <v/>
      </c>
      <c r="O292" s="54">
        <f>(M296-M292)/M292</f>
        <v/>
      </c>
      <c r="P292" s="4">
        <f>B292-D292</f>
        <v/>
      </c>
      <c r="Q292" s="4">
        <f>AVERAGE(P289:P292)</f>
        <v/>
      </c>
      <c r="R292" s="54">
        <f>(M293-M292)/M292</f>
        <v/>
      </c>
      <c r="S292" s="54">
        <f>(M296-M292)/M292</f>
        <v/>
      </c>
      <c r="T292" s="63">
        <f>IF(R292&gt;0,1,"")</f>
        <v/>
      </c>
      <c r="U292" s="63">
        <f>IF(S292&gt;0,1,"")</f>
        <v/>
      </c>
    </row>
    <row r="293">
      <c r="A293" s="35" t="n">
        <v>33933</v>
      </c>
      <c r="B293" s="4" t="n">
        <v>0.43</v>
      </c>
      <c r="C293" s="4" t="n">
        <v>0.37</v>
      </c>
      <c r="D293" s="4" t="n">
        <v>0.2</v>
      </c>
      <c r="E293" s="63" t="n">
        <v>1</v>
      </c>
      <c r="F293" s="63" t="n">
        <v>0.3425</v>
      </c>
      <c r="G293" s="63" t="n">
        <v>0.23</v>
      </c>
      <c r="H293" s="63" t="n">
        <v>0.384907436629</v>
      </c>
      <c r="I293" s="63" t="n">
        <v>0.48829287048</v>
      </c>
      <c r="J293" s="63" t="n">
        <v>0.281522002778</v>
      </c>
      <c r="K293" s="63" t="n">
        <v>429.41</v>
      </c>
      <c r="L293" s="63" t="n">
        <v>422.5</v>
      </c>
      <c r="M293" s="63" t="n">
        <v>429.19</v>
      </c>
      <c r="N293" s="54">
        <f>(M294-M293)/M293</f>
        <v/>
      </c>
      <c r="O293" s="54">
        <f>(M297-M293)/M293</f>
        <v/>
      </c>
      <c r="P293" s="4">
        <f>B293-D293</f>
        <v/>
      </c>
      <c r="Q293" s="4">
        <f>AVERAGE(P290:P293)</f>
        <v/>
      </c>
      <c r="R293" s="54">
        <f>(M294-M293)/M293</f>
        <v/>
      </c>
      <c r="S293" s="54">
        <f>(M297-M293)/M293</f>
        <v/>
      </c>
      <c r="T293" s="63">
        <f>IF(R293&gt;0,1,"")</f>
        <v/>
      </c>
      <c r="U293" s="63">
        <f>IF(S293&gt;0,1,"")</f>
        <v/>
      </c>
    </row>
    <row r="294">
      <c r="A294" s="35" t="n">
        <v>33942</v>
      </c>
      <c r="B294" s="4" t="n">
        <v>0.37</v>
      </c>
      <c r="C294" s="4" t="n">
        <v>0.39</v>
      </c>
      <c r="D294" s="4" t="n">
        <v>0.24</v>
      </c>
      <c r="E294" s="63" t="n">
        <v>1</v>
      </c>
      <c r="F294" s="63" t="n">
        <v>0.3625</v>
      </c>
      <c r="G294" s="63" t="n">
        <v>0.13</v>
      </c>
      <c r="H294" s="63" t="n">
        <v>0.384907436629</v>
      </c>
      <c r="I294" s="63" t="n">
        <v>0.48829287048</v>
      </c>
      <c r="J294" s="63" t="n">
        <v>0.281522002778</v>
      </c>
      <c r="K294" s="63" t="n">
        <v>432.89</v>
      </c>
      <c r="L294" s="63" t="n">
        <v>428.61</v>
      </c>
      <c r="M294" s="63" t="n">
        <v>432.06</v>
      </c>
      <c r="N294" s="54">
        <f>(M295-M294)/M294</f>
        <v/>
      </c>
      <c r="O294" s="54">
        <f>(M298-M294)/M294</f>
        <v/>
      </c>
      <c r="P294" s="4">
        <f>B294-D294</f>
        <v/>
      </c>
      <c r="Q294" s="4">
        <f>AVERAGE(P291:P294)</f>
        <v/>
      </c>
      <c r="R294" s="54">
        <f>(M295-M294)/M294</f>
        <v/>
      </c>
      <c r="S294" s="54">
        <f>(M298-M294)/M294</f>
        <v/>
      </c>
      <c r="T294" s="63">
        <f>IF(R294&gt;0,1,"")</f>
        <v/>
      </c>
      <c r="U294" s="63">
        <f>IF(S294&gt;0,1,"")</f>
        <v/>
      </c>
    </row>
    <row r="295">
      <c r="A295" s="35" t="n">
        <v>33949</v>
      </c>
      <c r="B295" s="4" t="n">
        <v>0.43</v>
      </c>
      <c r="C295" s="4" t="n">
        <v>0.42</v>
      </c>
      <c r="D295" s="4" t="n">
        <v>0.15</v>
      </c>
      <c r="E295" s="63" t="n">
        <v>1</v>
      </c>
      <c r="F295" s="63" t="n">
        <v>0.39125</v>
      </c>
      <c r="G295" s="63" t="n">
        <v>0.28</v>
      </c>
      <c r="H295" s="63" t="n">
        <v>0.384907436629</v>
      </c>
      <c r="I295" s="63" t="n">
        <v>0.48829287048</v>
      </c>
      <c r="J295" s="63" t="n">
        <v>0.281522002778</v>
      </c>
      <c r="K295" s="63" t="n">
        <v>436.99</v>
      </c>
      <c r="L295" s="63" t="n">
        <v>432.06</v>
      </c>
      <c r="M295" s="63" t="n">
        <v>433.73</v>
      </c>
      <c r="N295" s="54">
        <f>(M296-M295)/M295</f>
        <v/>
      </c>
      <c r="O295" s="54">
        <f>(M299-M295)/M295</f>
        <v/>
      </c>
      <c r="P295" s="4">
        <f>B295-D295</f>
        <v/>
      </c>
      <c r="Q295" s="4">
        <f>AVERAGE(P292:P295)</f>
        <v/>
      </c>
      <c r="R295" s="54">
        <f>(M296-M295)/M295</f>
        <v/>
      </c>
      <c r="S295" s="54">
        <f>(M299-M295)/M295</f>
        <v/>
      </c>
      <c r="T295" s="63">
        <f>IF(R295&gt;0,1,"")</f>
        <v/>
      </c>
      <c r="U295" s="63">
        <f>IF(S295&gt;0,1,"")</f>
        <v/>
      </c>
    </row>
    <row r="296">
      <c r="A296" s="35" t="n">
        <v>33956</v>
      </c>
      <c r="B296" s="4" t="n">
        <v>0.63</v>
      </c>
      <c r="C296" s="4" t="n">
        <v>0.27</v>
      </c>
      <c r="D296" s="4" t="n">
        <v>0.1</v>
      </c>
      <c r="E296" s="63" t="n">
        <v>1</v>
      </c>
      <c r="F296" s="63" t="n">
        <v>0.44375</v>
      </c>
      <c r="G296" s="63" t="n">
        <v>0.53</v>
      </c>
      <c r="H296" s="63" t="n">
        <v>0.384907436629</v>
      </c>
      <c r="I296" s="63" t="n">
        <v>0.48829287048</v>
      </c>
      <c r="J296" s="63" t="n">
        <v>0.281522002778</v>
      </c>
      <c r="K296" s="63" t="n">
        <v>441.29</v>
      </c>
      <c r="L296" s="63" t="n">
        <v>430.88</v>
      </c>
      <c r="M296" s="63" t="n">
        <v>441.28</v>
      </c>
      <c r="N296" s="54">
        <f>(M297-M296)/M296</f>
        <v/>
      </c>
      <c r="O296" s="54">
        <f>(M300-M296)/M296</f>
        <v/>
      </c>
      <c r="P296" s="4">
        <f>B296-D296</f>
        <v/>
      </c>
      <c r="Q296" s="4">
        <f>AVERAGE(P293:P296)</f>
        <v/>
      </c>
      <c r="R296" s="54">
        <f>(M297-M296)/M296</f>
        <v/>
      </c>
      <c r="S296" s="54">
        <f>(M300-M296)/M296</f>
        <v/>
      </c>
      <c r="T296" s="63">
        <f>IF(R296&gt;0,1,"")</f>
        <v/>
      </c>
      <c r="U296" s="63">
        <f>IF(S296&gt;0,1,"")</f>
        <v/>
      </c>
    </row>
    <row r="297">
      <c r="A297" s="35" t="n">
        <v>33962</v>
      </c>
      <c r="B297" s="4" t="n">
        <v>0.55</v>
      </c>
      <c r="C297" s="4" t="n">
        <v>0.3</v>
      </c>
      <c r="D297" s="4" t="n">
        <v>0.15</v>
      </c>
      <c r="E297" s="63" t="n">
        <v>1</v>
      </c>
      <c r="F297" s="63" t="n">
        <v>0.46875</v>
      </c>
      <c r="G297" s="63" t="n">
        <v>0.4</v>
      </c>
      <c r="H297" s="63" t="n">
        <v>0.384907436629</v>
      </c>
      <c r="I297" s="63" t="n">
        <v>0.48829287048</v>
      </c>
      <c r="J297" s="63" t="n">
        <v>0.281522002778</v>
      </c>
      <c r="K297" s="63" t="n">
        <v>441.64</v>
      </c>
      <c r="L297" s="63" t="n">
        <v>438.25</v>
      </c>
      <c r="M297" s="63" t="n">
        <v>439.77</v>
      </c>
      <c r="N297" s="54">
        <f>(M298-M297)/M297</f>
        <v/>
      </c>
      <c r="O297" s="54">
        <f>(M301-M297)/M297</f>
        <v/>
      </c>
      <c r="P297" s="4">
        <f>B297-D297</f>
        <v/>
      </c>
      <c r="Q297" s="4">
        <f>AVERAGE(P294:P297)</f>
        <v/>
      </c>
      <c r="R297" s="54">
        <f>(M298-M297)/M297</f>
        <v/>
      </c>
      <c r="S297" s="54">
        <f>(M301-M297)/M297</f>
        <v/>
      </c>
      <c r="T297" s="63">
        <f>IF(R297&gt;0,1,"")</f>
        <v/>
      </c>
      <c r="U297" s="63">
        <f>IF(S297&gt;0,1,"")</f>
        <v/>
      </c>
    </row>
    <row r="298">
      <c r="A298" s="35" t="n">
        <v>33970</v>
      </c>
      <c r="B298" s="4" t="n">
        <v>0.6</v>
      </c>
      <c r="C298" s="4" t="n">
        <v>0.27</v>
      </c>
      <c r="D298" s="4" t="n">
        <v>0.13</v>
      </c>
      <c r="E298" s="63" t="n">
        <v>1</v>
      </c>
      <c r="F298" s="63" t="n">
        <v>0.4825</v>
      </c>
      <c r="G298" s="63" t="n">
        <v>0.47</v>
      </c>
      <c r="H298" s="63" t="n">
        <v>0.384907436629</v>
      </c>
      <c r="I298" s="63" t="n">
        <v>0.48829287048</v>
      </c>
      <c r="J298" s="63" t="n">
        <v>0.281522002778</v>
      </c>
      <c r="K298" s="63" t="n">
        <v>442.65</v>
      </c>
      <c r="L298" s="63" t="n">
        <v>435.71</v>
      </c>
      <c r="M298" s="63" t="n">
        <v>435.71</v>
      </c>
      <c r="N298" s="54">
        <f>(M299-M298)/M298</f>
        <v/>
      </c>
      <c r="O298" s="54">
        <f>(M302-M298)/M298</f>
        <v/>
      </c>
      <c r="P298" s="4">
        <f>B298-D298</f>
        <v/>
      </c>
      <c r="Q298" s="4">
        <f>AVERAGE(P295:P298)</f>
        <v/>
      </c>
      <c r="R298" s="54">
        <f>(M299-M298)/M298</f>
        <v/>
      </c>
      <c r="S298" s="54">
        <f>(M302-M298)/M298</f>
        <v/>
      </c>
      <c r="T298" s="63">
        <f>IF(R298&gt;0,1,"")</f>
        <v/>
      </c>
      <c r="U298" s="63">
        <f>IF(S298&gt;0,1,"")</f>
        <v/>
      </c>
    </row>
    <row r="299">
      <c r="A299" s="35" t="n">
        <v>33977</v>
      </c>
      <c r="B299" s="4" t="n">
        <v>0.2</v>
      </c>
      <c r="C299" s="4" t="n">
        <v>0.49</v>
      </c>
      <c r="D299" s="4" t="n">
        <v>0.31</v>
      </c>
      <c r="E299" s="63" t="n">
        <v>1</v>
      </c>
      <c r="F299" s="63" t="n">
        <v>0.46125</v>
      </c>
      <c r="G299" s="63" t="n">
        <v>-0.11</v>
      </c>
      <c r="H299" s="63" t="n">
        <v>0.384907436629</v>
      </c>
      <c r="I299" s="63" t="n">
        <v>0.48829287048</v>
      </c>
      <c r="J299" s="63" t="n">
        <v>0.281522002778</v>
      </c>
      <c r="K299" s="63" t="n">
        <v>437.32</v>
      </c>
      <c r="L299" s="63" t="n">
        <v>426.88</v>
      </c>
      <c r="M299" s="63" t="n">
        <v>429.05</v>
      </c>
      <c r="N299" s="54">
        <f>(M300-M299)/M299</f>
        <v/>
      </c>
      <c r="O299" s="54">
        <f>(M303-M299)/M299</f>
        <v/>
      </c>
      <c r="P299" s="4">
        <f>B299-D299</f>
        <v/>
      </c>
      <c r="Q299" s="4">
        <f>AVERAGE(P296:P299)</f>
        <v/>
      </c>
      <c r="R299" s="54">
        <f>(M300-M299)/M299</f>
        <v/>
      </c>
      <c r="S299" s="54">
        <f>(M303-M299)/M299</f>
        <v/>
      </c>
      <c r="T299" s="63">
        <f>IF(R299&gt;0,1,"")</f>
        <v/>
      </c>
      <c r="U299" s="63">
        <f>IF(S299&gt;0,1,"")</f>
        <v/>
      </c>
    </row>
    <row r="300">
      <c r="A300" s="35" t="n">
        <v>33984</v>
      </c>
      <c r="B300" s="4" t="n">
        <v>0.54</v>
      </c>
      <c r="C300" s="4" t="n">
        <v>0.32</v>
      </c>
      <c r="D300" s="4" t="n">
        <v>0.14</v>
      </c>
      <c r="E300" s="63" t="n">
        <v>1</v>
      </c>
      <c r="F300" s="63" t="n">
        <v>0.46875</v>
      </c>
      <c r="G300" s="63" t="n">
        <v>0.4</v>
      </c>
      <c r="H300" s="63" t="n">
        <v>0.384907436629</v>
      </c>
      <c r="I300" s="63" t="n">
        <v>0.48829287048</v>
      </c>
      <c r="J300" s="63" t="n">
        <v>0.281522002778</v>
      </c>
      <c r="K300" s="63" t="n">
        <v>439.49</v>
      </c>
      <c r="L300" s="63" t="n">
        <v>428.19</v>
      </c>
      <c r="M300" s="63" t="n">
        <v>437.15</v>
      </c>
      <c r="N300" s="54">
        <f>(M301-M300)/M300</f>
        <v/>
      </c>
      <c r="O300" s="54">
        <f>(M304-M300)/M300</f>
        <v/>
      </c>
      <c r="P300" s="4">
        <f>B300-D300</f>
        <v/>
      </c>
      <c r="Q300" s="4">
        <f>AVERAGE(P297:P300)</f>
        <v/>
      </c>
      <c r="R300" s="54">
        <f>(M301-M300)/M300</f>
        <v/>
      </c>
      <c r="S300" s="54">
        <f>(M304-M300)/M300</f>
        <v/>
      </c>
      <c r="T300" s="63">
        <f>IF(R300&gt;0,1,"")</f>
        <v/>
      </c>
      <c r="U300" s="63">
        <f>IF(S300&gt;0,1,"")</f>
        <v/>
      </c>
    </row>
    <row r="301">
      <c r="A301" s="35" t="n">
        <v>33991</v>
      </c>
      <c r="B301" s="4" t="n">
        <v>0.41</v>
      </c>
      <c r="C301" s="4" t="n">
        <v>0.38</v>
      </c>
      <c r="D301" s="4" t="n">
        <v>0.21</v>
      </c>
      <c r="E301" s="63" t="n">
        <v>1</v>
      </c>
      <c r="F301" s="63" t="n">
        <v>0.46625</v>
      </c>
      <c r="G301" s="63" t="n">
        <v>0.2</v>
      </c>
      <c r="H301" s="63" t="n">
        <v>0.384907436629</v>
      </c>
      <c r="I301" s="63" t="n">
        <v>0.48829287048</v>
      </c>
      <c r="J301" s="63" t="n">
        <v>0.281522002778</v>
      </c>
      <c r="K301" s="63" t="n">
        <v>437.82</v>
      </c>
      <c r="L301" s="63" t="n">
        <v>432.48</v>
      </c>
      <c r="M301" s="63" t="n">
        <v>436.11</v>
      </c>
      <c r="N301" s="54">
        <f>(M302-M301)/M301</f>
        <v/>
      </c>
      <c r="O301" s="54">
        <f>(M305-M301)/M301</f>
        <v/>
      </c>
      <c r="P301" s="4">
        <f>B301-D301</f>
        <v/>
      </c>
      <c r="Q301" s="4">
        <f>AVERAGE(P298:P301)</f>
        <v/>
      </c>
      <c r="R301" s="54">
        <f>(M302-M301)/M301</f>
        <v/>
      </c>
      <c r="S301" s="54">
        <f>(M305-M301)/M301</f>
        <v/>
      </c>
      <c r="T301" s="63">
        <f>IF(R301&gt;0,1,"")</f>
        <v/>
      </c>
      <c r="U301" s="63">
        <f>IF(S301&gt;0,1,"")</f>
        <v/>
      </c>
    </row>
    <row r="302">
      <c r="A302" s="35" t="n">
        <v>33998</v>
      </c>
      <c r="B302" s="4" t="n">
        <v>0.4</v>
      </c>
      <c r="C302" s="4" t="n">
        <v>0.37</v>
      </c>
      <c r="D302" s="4" t="n">
        <v>0.23</v>
      </c>
      <c r="E302" s="63" t="n">
        <v>1</v>
      </c>
      <c r="F302" s="63" t="n">
        <v>0.47</v>
      </c>
      <c r="G302" s="63" t="n">
        <v>0.17</v>
      </c>
      <c r="H302" s="63" t="n">
        <v>0.384907436629</v>
      </c>
      <c r="I302" s="63" t="n">
        <v>0.48829287048</v>
      </c>
      <c r="J302" s="63" t="n">
        <v>0.281522002778</v>
      </c>
      <c r="K302" s="63" t="n">
        <v>442.66</v>
      </c>
      <c r="L302" s="63" t="n">
        <v>436.11</v>
      </c>
      <c r="M302" s="63" t="n">
        <v>438.78</v>
      </c>
      <c r="N302" s="54">
        <f>(M303-M302)/M302</f>
        <v/>
      </c>
      <c r="O302" s="54">
        <f>(M306-M302)/M302</f>
        <v/>
      </c>
      <c r="P302" s="4">
        <f>B302-D302</f>
        <v/>
      </c>
      <c r="Q302" s="4">
        <f>AVERAGE(P299:P302)</f>
        <v/>
      </c>
      <c r="R302" s="54">
        <f>(M303-M302)/M302</f>
        <v/>
      </c>
      <c r="S302" s="54">
        <f>(M306-M302)/M302</f>
        <v/>
      </c>
      <c r="T302" s="63">
        <f>IF(R302&gt;0,1,"")</f>
        <v/>
      </c>
      <c r="U302" s="63">
        <f>IF(S302&gt;0,1,"")</f>
        <v/>
      </c>
    </row>
    <row r="303">
      <c r="A303" s="35" t="n">
        <v>34005</v>
      </c>
      <c r="B303" s="4" t="n">
        <v>0.44</v>
      </c>
      <c r="C303" s="4" t="n">
        <v>0.34</v>
      </c>
      <c r="D303" s="4" t="n">
        <v>0.22</v>
      </c>
      <c r="E303" s="63" t="n">
        <v>1</v>
      </c>
      <c r="F303" s="63" t="n">
        <v>0.47125</v>
      </c>
      <c r="G303" s="63" t="n">
        <v>0.22</v>
      </c>
      <c r="H303" s="63" t="n">
        <v>0.384907436629</v>
      </c>
      <c r="I303" s="63" t="n">
        <v>0.48829287048</v>
      </c>
      <c r="J303" s="63" t="n">
        <v>0.281522002778</v>
      </c>
      <c r="K303" s="63" t="n">
        <v>449.86</v>
      </c>
      <c r="L303" s="63" t="n">
        <v>438.78</v>
      </c>
      <c r="M303" s="63" t="n">
        <v>448.93</v>
      </c>
      <c r="N303" s="54">
        <f>(M304-M303)/M303</f>
        <v/>
      </c>
      <c r="O303" s="54">
        <f>(M307-M303)/M303</f>
        <v/>
      </c>
      <c r="P303" s="4">
        <f>B303-D303</f>
        <v/>
      </c>
      <c r="Q303" s="4">
        <f>AVERAGE(P300:P303)</f>
        <v/>
      </c>
      <c r="R303" s="54">
        <f>(M304-M303)/M303</f>
        <v/>
      </c>
      <c r="S303" s="54">
        <f>(M307-M303)/M303</f>
        <v/>
      </c>
      <c r="T303" s="63">
        <f>IF(R303&gt;0,1,"")</f>
        <v/>
      </c>
      <c r="U303" s="63">
        <f>IF(S303&gt;0,1,"")</f>
        <v/>
      </c>
    </row>
    <row r="304">
      <c r="A304" s="35" t="n">
        <v>34012</v>
      </c>
      <c r="B304" s="4" t="n">
        <v>0.47</v>
      </c>
      <c r="C304" s="4" t="n">
        <v>0.31</v>
      </c>
      <c r="D304" s="4" t="n">
        <v>0.22</v>
      </c>
      <c r="E304" s="63" t="n">
        <v>1</v>
      </c>
      <c r="F304" s="63" t="n">
        <v>0.45125</v>
      </c>
      <c r="G304" s="63" t="n">
        <v>0.25</v>
      </c>
      <c r="H304" s="63" t="n">
        <v>0.384907436629</v>
      </c>
      <c r="I304" s="63" t="n">
        <v>0.48829287048</v>
      </c>
      <c r="J304" s="63" t="n">
        <v>0.281522002778</v>
      </c>
      <c r="K304" s="63" t="n">
        <v>450.04</v>
      </c>
      <c r="L304" s="63" t="n">
        <v>444.24</v>
      </c>
      <c r="M304" s="63" t="n">
        <v>444.58</v>
      </c>
      <c r="N304" s="54">
        <f>(M305-M304)/M304</f>
        <v/>
      </c>
      <c r="O304" s="54">
        <f>(M308-M304)/M304</f>
        <v/>
      </c>
      <c r="P304" s="4">
        <f>B304-D304</f>
        <v/>
      </c>
      <c r="Q304" s="4">
        <f>AVERAGE(P301:P304)</f>
        <v/>
      </c>
      <c r="R304" s="54">
        <f>(M305-M304)/M304</f>
        <v/>
      </c>
      <c r="S304" s="54">
        <f>(M308-M304)/M304</f>
        <v/>
      </c>
      <c r="T304" s="63">
        <f>IF(R304&gt;0,1,"")</f>
        <v/>
      </c>
      <c r="U304" s="63">
        <f>IF(S304&gt;0,1,"")</f>
        <v/>
      </c>
    </row>
    <row r="305">
      <c r="A305" s="35" t="n">
        <v>34019</v>
      </c>
      <c r="B305" s="4" t="n">
        <v>0.46</v>
      </c>
      <c r="C305" s="4" t="n">
        <v>0.27</v>
      </c>
      <c r="D305" s="4" t="n">
        <v>0.27</v>
      </c>
      <c r="E305" s="63" t="n">
        <v>1</v>
      </c>
      <c r="F305" s="63" t="n">
        <v>0.44</v>
      </c>
      <c r="G305" s="63" t="n">
        <v>0.19</v>
      </c>
      <c r="H305" s="63" t="n">
        <v>0.384907436629</v>
      </c>
      <c r="I305" s="63" t="n">
        <v>0.48829287048</v>
      </c>
      <c r="J305" s="63" t="n">
        <v>0.281522002778</v>
      </c>
      <c r="K305" s="63" t="n">
        <v>444.58</v>
      </c>
      <c r="L305" s="63" t="n">
        <v>428.25</v>
      </c>
      <c r="M305" s="63" t="n">
        <v>434.22</v>
      </c>
      <c r="N305" s="54">
        <f>(M306-M305)/M305</f>
        <v/>
      </c>
      <c r="O305" s="54">
        <f>(M309-M305)/M305</f>
        <v/>
      </c>
      <c r="P305" s="4">
        <f>B305-D305</f>
        <v/>
      </c>
      <c r="Q305" s="4">
        <f>AVERAGE(P302:P305)</f>
        <v/>
      </c>
      <c r="R305" s="54">
        <f>(M306-M305)/M305</f>
        <v/>
      </c>
      <c r="S305" s="54">
        <f>(M309-M305)/M305</f>
        <v/>
      </c>
      <c r="T305" s="63">
        <f>IF(R305&gt;0,1,"")</f>
        <v/>
      </c>
      <c r="U305" s="63">
        <f>IF(S305&gt;0,1,"")</f>
        <v/>
      </c>
    </row>
    <row r="306">
      <c r="A306" s="35" t="n">
        <v>34026</v>
      </c>
      <c r="B306" s="4" t="n">
        <v>0.34</v>
      </c>
      <c r="C306" s="4" t="n">
        <v>0.32</v>
      </c>
      <c r="D306" s="4" t="n">
        <v>0.34</v>
      </c>
      <c r="E306" s="63" t="n">
        <v>1</v>
      </c>
      <c r="F306" s="63" t="n">
        <v>0.4075</v>
      </c>
      <c r="G306" s="63" t="n">
        <v>0</v>
      </c>
      <c r="H306" s="63" t="n">
        <v>0.384907436629</v>
      </c>
      <c r="I306" s="63" t="n">
        <v>0.48829287048</v>
      </c>
      <c r="J306" s="63" t="n">
        <v>0.281522002778</v>
      </c>
      <c r="K306" s="63" t="n">
        <v>443.77</v>
      </c>
      <c r="L306" s="63" t="n">
        <v>432.41</v>
      </c>
      <c r="M306" s="63" t="n">
        <v>443.38</v>
      </c>
      <c r="N306" s="54">
        <f>(M307-M306)/M306</f>
        <v/>
      </c>
      <c r="O306" s="54">
        <f>(M310-M306)/M306</f>
        <v/>
      </c>
      <c r="P306" s="4">
        <f>B306-D306</f>
        <v/>
      </c>
      <c r="Q306" s="4">
        <f>AVERAGE(P303:P306)</f>
        <v/>
      </c>
      <c r="R306" s="54">
        <f>(M307-M306)/M306</f>
        <v/>
      </c>
      <c r="S306" s="54">
        <f>(M310-M306)/M306</f>
        <v/>
      </c>
      <c r="T306" s="63">
        <f>IF(R306&gt;0,1,"")</f>
        <v/>
      </c>
      <c r="U306" s="63">
        <f>IF(S306&gt;0,1,"")</f>
        <v/>
      </c>
    </row>
    <row r="307">
      <c r="A307" s="35" t="n">
        <v>34033</v>
      </c>
      <c r="B307" s="4" t="n">
        <v>0.27</v>
      </c>
      <c r="C307" s="4" t="n">
        <v>0.36</v>
      </c>
      <c r="D307" s="4" t="n">
        <v>0.37</v>
      </c>
      <c r="E307" s="63" t="n">
        <v>1</v>
      </c>
      <c r="F307" s="63" t="n">
        <v>0.41625</v>
      </c>
      <c r="G307" s="63" t="n">
        <v>-0.1</v>
      </c>
      <c r="H307" s="63" t="n">
        <v>0.384907436629</v>
      </c>
      <c r="I307" s="63" t="n">
        <v>0.48829287048</v>
      </c>
      <c r="J307" s="63" t="n">
        <v>0.281522002778</v>
      </c>
      <c r="K307" s="63" t="n">
        <v>450</v>
      </c>
      <c r="L307" s="63" t="n">
        <v>441.07</v>
      </c>
      <c r="M307" s="63" t="n">
        <v>446.11</v>
      </c>
      <c r="N307" s="54">
        <f>(M308-M307)/M307</f>
        <v/>
      </c>
      <c r="O307" s="54">
        <f>(M311-M307)/M307</f>
        <v/>
      </c>
      <c r="P307" s="4">
        <f>B307-D307</f>
        <v/>
      </c>
      <c r="Q307" s="4">
        <f>AVERAGE(P304:P307)</f>
        <v/>
      </c>
      <c r="R307" s="54">
        <f>(M308-M307)/M307</f>
        <v/>
      </c>
      <c r="S307" s="54">
        <f>(M311-M307)/M307</f>
        <v/>
      </c>
      <c r="T307" s="63">
        <f>IF(R307&gt;0,1,"")</f>
        <v/>
      </c>
      <c r="U307" s="63">
        <f>IF(S307&gt;0,1,"")</f>
        <v/>
      </c>
    </row>
    <row r="308">
      <c r="A308" s="35" t="n">
        <v>34040</v>
      </c>
      <c r="B308" s="4" t="n">
        <v>0.45</v>
      </c>
      <c r="C308" s="4" t="n">
        <v>0.33</v>
      </c>
      <c r="D308" s="4" t="n">
        <v>0.22</v>
      </c>
      <c r="E308" s="63" t="n">
        <v>1</v>
      </c>
      <c r="F308" s="63" t="n">
        <v>0.405</v>
      </c>
      <c r="G308" s="63" t="n">
        <v>0.23</v>
      </c>
      <c r="H308" s="63" t="n">
        <v>0.384907436629</v>
      </c>
      <c r="I308" s="63" t="n">
        <v>0.48829287048</v>
      </c>
      <c r="J308" s="63" t="n">
        <v>0.281522002778</v>
      </c>
      <c r="K308" s="63" t="n">
        <v>456.33</v>
      </c>
      <c r="L308" s="63" t="n">
        <v>447.04</v>
      </c>
      <c r="M308" s="63" t="n">
        <v>449.83</v>
      </c>
      <c r="N308" s="54">
        <f>(M309-M308)/M308</f>
        <v/>
      </c>
      <c r="O308" s="54">
        <f>(M312-M308)/M308</f>
        <v/>
      </c>
      <c r="P308" s="4">
        <f>B308-D308</f>
        <v/>
      </c>
      <c r="Q308" s="4">
        <f>AVERAGE(P305:P308)</f>
        <v/>
      </c>
      <c r="R308" s="54">
        <f>(M309-M308)/M308</f>
        <v/>
      </c>
      <c r="S308" s="54">
        <f>(M312-M308)/M308</f>
        <v/>
      </c>
      <c r="T308" s="63">
        <f>IF(R308&gt;0,1,"")</f>
        <v/>
      </c>
      <c r="U308" s="63">
        <f>IF(S308&gt;0,1,"")</f>
        <v/>
      </c>
    </row>
    <row r="309">
      <c r="A309" s="35" t="n">
        <v>34047</v>
      </c>
      <c r="B309" s="4" t="n">
        <v>0.41</v>
      </c>
      <c r="C309" s="4" t="n">
        <v>0.32</v>
      </c>
      <c r="D309" s="4" t="n">
        <v>0.27</v>
      </c>
      <c r="E309" s="63" t="n">
        <v>1</v>
      </c>
      <c r="F309" s="63" t="n">
        <v>0.405</v>
      </c>
      <c r="G309" s="63" t="n">
        <v>0.14</v>
      </c>
      <c r="H309" s="63" t="n">
        <v>0.384907436629</v>
      </c>
      <c r="I309" s="63" t="n">
        <v>0.48829287048</v>
      </c>
      <c r="J309" s="63" t="n">
        <v>0.281522002778</v>
      </c>
      <c r="K309" s="63" t="n">
        <v>453.32</v>
      </c>
      <c r="L309" s="63" t="n">
        <v>447.99</v>
      </c>
      <c r="M309" s="63" t="n">
        <v>450.18</v>
      </c>
      <c r="N309" s="54">
        <f>(M310-M309)/M309</f>
        <v/>
      </c>
      <c r="O309" s="54">
        <f>(M313-M309)/M309</f>
        <v/>
      </c>
      <c r="P309" s="4">
        <f>B309-D309</f>
        <v/>
      </c>
      <c r="Q309" s="4">
        <f>AVERAGE(P306:P309)</f>
        <v/>
      </c>
      <c r="R309" s="54">
        <f>(M310-M309)/M309</f>
        <v/>
      </c>
      <c r="S309" s="54">
        <f>(M313-M309)/M309</f>
        <v/>
      </c>
      <c r="T309" s="63">
        <f>IF(R309&gt;0,1,"")</f>
        <v/>
      </c>
      <c r="U309" s="63">
        <f>IF(S309&gt;0,1,"")</f>
        <v/>
      </c>
    </row>
    <row r="310">
      <c r="A310" s="35" t="n">
        <v>34054</v>
      </c>
      <c r="B310" s="4" t="n">
        <v>0.43</v>
      </c>
      <c r="C310" s="4" t="n">
        <v>0.34</v>
      </c>
      <c r="D310" s="4" t="n">
        <v>0.23</v>
      </c>
      <c r="E310" s="63" t="n">
        <v>1</v>
      </c>
      <c r="F310" s="63" t="n">
        <v>0.40875</v>
      </c>
      <c r="G310" s="63" t="n">
        <v>0.2</v>
      </c>
      <c r="H310" s="63" t="n">
        <v>0.384907436629</v>
      </c>
      <c r="I310" s="63" t="n">
        <v>0.48829287048</v>
      </c>
      <c r="J310" s="63" t="n">
        <v>0.281522002778</v>
      </c>
      <c r="K310" s="63" t="n">
        <v>452.09</v>
      </c>
      <c r="L310" s="63" t="n">
        <v>446.08</v>
      </c>
      <c r="M310" s="63" t="n">
        <v>447.78</v>
      </c>
      <c r="N310" s="54">
        <f>(M311-M310)/M310</f>
        <v/>
      </c>
      <c r="O310" s="54">
        <f>(M314-M310)/M310</f>
        <v/>
      </c>
      <c r="P310" s="4">
        <f>B310-D310</f>
        <v/>
      </c>
      <c r="Q310" s="4">
        <f>AVERAGE(P307:P310)</f>
        <v/>
      </c>
      <c r="R310" s="54">
        <f>(M311-M310)/M310</f>
        <v/>
      </c>
      <c r="S310" s="54">
        <f>(M314-M310)/M310</f>
        <v/>
      </c>
      <c r="T310" s="63">
        <f>IF(R310&gt;0,1,"")</f>
        <v/>
      </c>
      <c r="U310" s="63">
        <f>IF(S310&gt;0,1,"")</f>
        <v/>
      </c>
    </row>
    <row r="311">
      <c r="A311" s="35" t="n">
        <v>34061</v>
      </c>
      <c r="B311" s="4" t="n">
        <v>0.37</v>
      </c>
      <c r="C311" s="4" t="n">
        <v>0.36</v>
      </c>
      <c r="D311" s="4" t="n">
        <v>0.27</v>
      </c>
      <c r="E311" s="63" t="n">
        <v>1</v>
      </c>
      <c r="F311" s="63" t="n">
        <v>0.4</v>
      </c>
      <c r="G311" s="63" t="n">
        <v>0.1</v>
      </c>
      <c r="H311" s="63" t="n">
        <v>0.384907436629</v>
      </c>
      <c r="I311" s="63" t="n">
        <v>0.48829287048</v>
      </c>
      <c r="J311" s="63" t="n">
        <v>0.281522002778</v>
      </c>
      <c r="K311" s="63" t="n">
        <v>454.88</v>
      </c>
      <c r="L311" s="63" t="n">
        <v>440.71</v>
      </c>
      <c r="M311" s="63" t="n">
        <v>441.39</v>
      </c>
      <c r="N311" s="54">
        <f>(M312-M311)/M311</f>
        <v/>
      </c>
      <c r="O311" s="54">
        <f>(M315-M311)/M311</f>
        <v/>
      </c>
      <c r="P311" s="4">
        <f>B311-D311</f>
        <v/>
      </c>
      <c r="Q311" s="4">
        <f>AVERAGE(P308:P311)</f>
        <v/>
      </c>
      <c r="R311" s="54">
        <f>(M312-M311)/M311</f>
        <v/>
      </c>
      <c r="S311" s="54">
        <f>(M315-M311)/M311</f>
        <v/>
      </c>
      <c r="T311" s="63">
        <f>IF(R311&gt;0,1,"")</f>
        <v/>
      </c>
      <c r="U311" s="63">
        <f>IF(S311&gt;0,1,"")</f>
        <v/>
      </c>
    </row>
    <row r="312">
      <c r="A312" s="35" t="n">
        <v>34068</v>
      </c>
      <c r="B312" s="4" t="n">
        <v>0.32</v>
      </c>
      <c r="C312" s="4" t="n">
        <v>0.39</v>
      </c>
      <c r="D312" s="4" t="n">
        <v>0.29</v>
      </c>
      <c r="E312" s="63" t="n">
        <v>1</v>
      </c>
      <c r="F312" s="63" t="n">
        <v>0.38125</v>
      </c>
      <c r="G312" s="63" t="n">
        <v>0.03</v>
      </c>
      <c r="H312" s="63" t="n">
        <v>0.384907436629</v>
      </c>
      <c r="I312" s="63" t="n">
        <v>0.48829287048</v>
      </c>
      <c r="J312" s="63" t="n">
        <v>0.281522002778</v>
      </c>
      <c r="K312" s="63" t="n">
        <v>443.77</v>
      </c>
      <c r="L312" s="63" t="n">
        <v>439.48</v>
      </c>
      <c r="M312" s="63" t="n">
        <v>441.84</v>
      </c>
      <c r="N312" s="54">
        <f>(M313-M312)/M312</f>
        <v/>
      </c>
      <c r="O312" s="54">
        <f>(M316-M312)/M312</f>
        <v/>
      </c>
      <c r="P312" s="4">
        <f>B312-D312</f>
        <v/>
      </c>
      <c r="Q312" s="4">
        <f>AVERAGE(P309:P312)</f>
        <v/>
      </c>
      <c r="R312" s="54">
        <f>(M313-M312)/M312</f>
        <v/>
      </c>
      <c r="S312" s="54">
        <f>(M316-M312)/M312</f>
        <v/>
      </c>
      <c r="T312" s="63">
        <f>IF(R312&gt;0,1,"")</f>
        <v/>
      </c>
      <c r="U312" s="63">
        <f>IF(S312&gt;0,1,"")</f>
        <v/>
      </c>
    </row>
    <row r="313">
      <c r="A313" s="35" t="n">
        <v>34075</v>
      </c>
      <c r="B313" s="4" t="n">
        <v>0.31</v>
      </c>
      <c r="C313" s="4" t="n">
        <v>0.35</v>
      </c>
      <c r="D313" s="4" t="n">
        <v>0.34</v>
      </c>
      <c r="E313" s="63" t="n">
        <v>1</v>
      </c>
      <c r="F313" s="63" t="n">
        <v>0.3625</v>
      </c>
      <c r="G313" s="63" t="n">
        <v>-0.03</v>
      </c>
      <c r="H313" s="63" t="n">
        <v>0.384907436629</v>
      </c>
      <c r="I313" s="63" t="n">
        <v>0.48829287048</v>
      </c>
      <c r="J313" s="63" t="n">
        <v>0.281522002778</v>
      </c>
      <c r="K313" s="63" t="n">
        <v>450.4</v>
      </c>
      <c r="L313" s="63" t="n">
        <v>441.84</v>
      </c>
      <c r="M313" s="63" t="n">
        <v>448.94</v>
      </c>
      <c r="N313" s="54">
        <f>(M314-M313)/M313</f>
        <v/>
      </c>
      <c r="O313" s="54">
        <f>(M317-M313)/M313</f>
        <v/>
      </c>
      <c r="P313" s="4">
        <f>B313-D313</f>
        <v/>
      </c>
      <c r="Q313" s="4">
        <f>AVERAGE(P310:P313)</f>
        <v/>
      </c>
      <c r="R313" s="54">
        <f>(M314-M313)/M313</f>
        <v/>
      </c>
      <c r="S313" s="54">
        <f>(M317-M313)/M313</f>
        <v/>
      </c>
      <c r="T313" s="63">
        <f>IF(R313&gt;0,1,"")</f>
        <v/>
      </c>
      <c r="U313" s="63">
        <f>IF(S313&gt;0,1,"")</f>
        <v/>
      </c>
    </row>
    <row r="314">
      <c r="A314" s="35" t="n">
        <v>34082</v>
      </c>
      <c r="B314" s="4" t="n">
        <v>0.28</v>
      </c>
      <c r="C314" s="4" t="n">
        <v>0.42</v>
      </c>
      <c r="D314" s="4" t="n">
        <v>0.3</v>
      </c>
      <c r="E314" s="63" t="n">
        <v>1</v>
      </c>
      <c r="F314" s="63" t="n">
        <v>0.355</v>
      </c>
      <c r="G314" s="63" t="n">
        <v>-0.02</v>
      </c>
      <c r="H314" s="63" t="n">
        <v>0.384907436629</v>
      </c>
      <c r="I314" s="63" t="n">
        <v>0.48829287048</v>
      </c>
      <c r="J314" s="63" t="n">
        <v>0.281522002778</v>
      </c>
      <c r="K314" s="63" t="n">
        <v>449.39</v>
      </c>
      <c r="L314" s="63" t="n">
        <v>436.82</v>
      </c>
      <c r="M314" s="63" t="n">
        <v>437.17</v>
      </c>
      <c r="N314" s="54">
        <f>(M315-M314)/M314</f>
        <v/>
      </c>
      <c r="O314" s="54">
        <f>(M318-M314)/M314</f>
        <v/>
      </c>
      <c r="P314" s="4">
        <f>B314-D314</f>
        <v/>
      </c>
      <c r="Q314" s="4">
        <f>AVERAGE(P311:P314)</f>
        <v/>
      </c>
      <c r="R314" s="54">
        <f>(M315-M314)/M314</f>
        <v/>
      </c>
      <c r="S314" s="54">
        <f>(M318-M314)/M314</f>
        <v/>
      </c>
      <c r="T314" s="63">
        <f>IF(R314&gt;0,1,"")</f>
        <v/>
      </c>
      <c r="U314" s="63">
        <f>IF(S314&gt;0,1,"")</f>
        <v/>
      </c>
    </row>
    <row r="315">
      <c r="A315" s="35" t="n">
        <v>34089</v>
      </c>
      <c r="B315" s="4" t="n">
        <v>0.22</v>
      </c>
      <c r="C315" s="4" t="n">
        <v>0.37</v>
      </c>
      <c r="D315" s="4" t="n">
        <v>0.41</v>
      </c>
      <c r="E315" s="63" t="n">
        <v>1</v>
      </c>
      <c r="F315" s="63" t="n">
        <v>0.34875</v>
      </c>
      <c r="G315" s="63" t="n">
        <v>-0.19</v>
      </c>
      <c r="H315" s="63" t="n">
        <v>0.384907436629</v>
      </c>
      <c r="I315" s="63" t="n">
        <v>0.48829287048</v>
      </c>
      <c r="J315" s="63" t="n">
        <v>0.281522002778</v>
      </c>
      <c r="K315" s="63" t="n">
        <v>442.29</v>
      </c>
      <c r="L315" s="63" t="n">
        <v>432.3</v>
      </c>
      <c r="M315" s="63" t="n">
        <v>440.19</v>
      </c>
      <c r="N315" s="54">
        <f>(M316-M315)/M315</f>
        <v/>
      </c>
      <c r="O315" s="54">
        <f>(M319-M315)/M315</f>
        <v/>
      </c>
      <c r="P315" s="4">
        <f>B315-D315</f>
        <v/>
      </c>
      <c r="Q315" s="4">
        <f>AVERAGE(P312:P315)</f>
        <v/>
      </c>
      <c r="R315" s="54">
        <f>(M316-M315)/M315</f>
        <v/>
      </c>
      <c r="S315" s="54">
        <f>(M319-M315)/M315</f>
        <v/>
      </c>
      <c r="T315" s="63">
        <f>IF(R315&gt;0,1,"")</f>
        <v/>
      </c>
      <c r="U315" s="63">
        <f>IF(S315&gt;0,1,"")</f>
        <v/>
      </c>
    </row>
    <row r="316">
      <c r="A316" s="35" t="n">
        <v>34096</v>
      </c>
      <c r="B316" s="4" t="n">
        <v>0.21</v>
      </c>
      <c r="C316" s="4" t="n">
        <v>0.45</v>
      </c>
      <c r="D316" s="4" t="n">
        <v>0.34</v>
      </c>
      <c r="E316" s="63" t="n">
        <v>1</v>
      </c>
      <c r="F316" s="63" t="n">
        <v>0.31875</v>
      </c>
      <c r="G316" s="63" t="n">
        <v>-0.13</v>
      </c>
      <c r="H316" s="63" t="n">
        <v>0.384907436629</v>
      </c>
      <c r="I316" s="63" t="n">
        <v>0.48829287048</v>
      </c>
      <c r="J316" s="63" t="n">
        <v>0.281522002778</v>
      </c>
      <c r="K316" s="63" t="n">
        <v>446.09</v>
      </c>
      <c r="L316" s="63" t="n">
        <v>438.25</v>
      </c>
      <c r="M316" s="63" t="n">
        <v>442.31</v>
      </c>
      <c r="N316" s="54">
        <f>(M317-M316)/M316</f>
        <v/>
      </c>
      <c r="O316" s="54">
        <f>(M320-M316)/M316</f>
        <v/>
      </c>
      <c r="P316" s="4">
        <f>B316-D316</f>
        <v/>
      </c>
      <c r="Q316" s="4">
        <f>AVERAGE(P313:P316)</f>
        <v/>
      </c>
      <c r="R316" s="54">
        <f>(M317-M316)/M316</f>
        <v/>
      </c>
      <c r="S316" s="54">
        <f>(M320-M316)/M316</f>
        <v/>
      </c>
      <c r="T316" s="63">
        <f>IF(R316&gt;0,1,"")</f>
        <v/>
      </c>
      <c r="U316" s="63">
        <f>IF(S316&gt;0,1,"")</f>
        <v/>
      </c>
    </row>
    <row r="317">
      <c r="A317" s="35" t="n">
        <v>34103</v>
      </c>
      <c r="B317" s="4" t="n">
        <v>0.2</v>
      </c>
      <c r="C317" s="4" t="n">
        <v>0.41</v>
      </c>
      <c r="D317" s="4" t="n">
        <v>0.39</v>
      </c>
      <c r="E317" s="63" t="n">
        <v>1</v>
      </c>
      <c r="F317" s="63" t="n">
        <v>0.2925</v>
      </c>
      <c r="G317" s="63" t="n">
        <v>-0.19</v>
      </c>
      <c r="H317" s="63" t="n">
        <v>0.384907436629</v>
      </c>
      <c r="I317" s="63" t="n">
        <v>0.48829287048</v>
      </c>
      <c r="J317" s="63" t="n">
        <v>0.281522002778</v>
      </c>
      <c r="K317" s="63" t="n">
        <v>445.42</v>
      </c>
      <c r="L317" s="63" t="n">
        <v>438.1</v>
      </c>
      <c r="M317" s="63" t="n">
        <v>439.56</v>
      </c>
      <c r="N317" s="54">
        <f>(M318-M317)/M317</f>
        <v/>
      </c>
      <c r="O317" s="54">
        <f>(M321-M317)/M317</f>
        <v/>
      </c>
      <c r="P317" s="4">
        <f>B317-D317</f>
        <v/>
      </c>
      <c r="Q317" s="4">
        <f>AVERAGE(P314:P317)</f>
        <v/>
      </c>
      <c r="R317" s="54">
        <f>(M318-M317)/M317</f>
        <v/>
      </c>
      <c r="S317" s="54">
        <f>(M321-M317)/M317</f>
        <v/>
      </c>
      <c r="T317" s="63">
        <f>IF(R317&gt;0,1,"")</f>
        <v/>
      </c>
      <c r="U317" s="63">
        <f>IF(S317&gt;0,1,"")</f>
        <v/>
      </c>
    </row>
    <row r="318">
      <c r="A318" s="35" t="n">
        <v>34110</v>
      </c>
      <c r="B318" s="4" t="n">
        <v>0.21</v>
      </c>
      <c r="C318" s="4" t="n">
        <v>0.34</v>
      </c>
      <c r="D318" s="4" t="n">
        <v>0.45</v>
      </c>
      <c r="E318" s="63" t="n">
        <v>1</v>
      </c>
      <c r="F318" s="63" t="n">
        <v>0.265</v>
      </c>
      <c r="G318" s="63" t="n">
        <v>-0.24</v>
      </c>
      <c r="H318" s="63" t="n">
        <v>0.384907436629</v>
      </c>
      <c r="I318" s="63" t="n">
        <v>0.48829287048</v>
      </c>
      <c r="J318" s="63" t="n">
        <v>0.281522002778</v>
      </c>
      <c r="K318" s="63" t="n">
        <v>450.59</v>
      </c>
      <c r="L318" s="63" t="n">
        <v>436.83</v>
      </c>
      <c r="M318" s="63" t="n">
        <v>445.84</v>
      </c>
      <c r="N318" s="54">
        <f>(M319-M318)/M318</f>
        <v/>
      </c>
      <c r="O318" s="54">
        <f>(M322-M318)/M318</f>
        <v/>
      </c>
      <c r="P318" s="4">
        <f>B318-D318</f>
        <v/>
      </c>
      <c r="Q318" s="4">
        <f>AVERAGE(P315:P318)</f>
        <v/>
      </c>
      <c r="R318" s="54">
        <f>(M319-M318)/M318</f>
        <v/>
      </c>
      <c r="S318" s="54">
        <f>(M322-M318)/M318</f>
        <v/>
      </c>
      <c r="T318" s="63">
        <f>IF(R318&gt;0,1,"")</f>
        <v/>
      </c>
      <c r="U318" s="63">
        <f>IF(S318&gt;0,1,"")</f>
        <v/>
      </c>
    </row>
    <row r="319">
      <c r="A319" s="35" t="n">
        <v>34117</v>
      </c>
      <c r="B319" s="4" t="n">
        <v>0.24</v>
      </c>
      <c r="C319" s="4" t="n">
        <v>0.37</v>
      </c>
      <c r="D319" s="4" t="n">
        <v>0.39</v>
      </c>
      <c r="E319" s="63" t="n">
        <v>1</v>
      </c>
      <c r="F319" s="63" t="n">
        <v>0.24875</v>
      </c>
      <c r="G319" s="63" t="n">
        <v>-0.15</v>
      </c>
      <c r="H319" s="63" t="n">
        <v>0.384907436629</v>
      </c>
      <c r="I319" s="63" t="n">
        <v>0.48829287048</v>
      </c>
      <c r="J319" s="63" t="n">
        <v>0.281522002778</v>
      </c>
      <c r="K319" s="63" t="n">
        <v>454.55</v>
      </c>
      <c r="L319" s="63" t="n">
        <v>444.89</v>
      </c>
      <c r="M319" s="63" t="n">
        <v>450.19</v>
      </c>
      <c r="N319" s="54">
        <f>(M320-M319)/M319</f>
        <v/>
      </c>
      <c r="O319" s="54">
        <f>(M323-M319)/M319</f>
        <v/>
      </c>
      <c r="P319" s="4">
        <f>B319-D319</f>
        <v/>
      </c>
      <c r="Q319" s="4">
        <f>AVERAGE(P316:P319)</f>
        <v/>
      </c>
      <c r="R319" s="54">
        <f>(M320-M319)/M319</f>
        <v/>
      </c>
      <c r="S319" s="54">
        <f>(M323-M319)/M319</f>
        <v/>
      </c>
      <c r="T319" s="63">
        <f>IF(R319&gt;0,1,"")</f>
        <v/>
      </c>
      <c r="U319" s="63">
        <f>IF(S319&gt;0,1,"")</f>
        <v/>
      </c>
    </row>
    <row r="320">
      <c r="A320" s="35" t="n">
        <v>34124</v>
      </c>
      <c r="B320" s="4" t="n">
        <v>0.33</v>
      </c>
      <c r="C320" s="4" t="n">
        <v>0.39</v>
      </c>
      <c r="D320" s="4" t="n">
        <v>0.28</v>
      </c>
      <c r="E320" s="63" t="n">
        <v>1</v>
      </c>
      <c r="F320" s="63" t="n">
        <v>0.25</v>
      </c>
      <c r="G320" s="63" t="n">
        <v>0.05</v>
      </c>
      <c r="H320" s="63" t="n">
        <v>0.384907436629</v>
      </c>
      <c r="I320" s="63" t="n">
        <v>0.48829287048</v>
      </c>
      <c r="J320" s="63" t="n">
        <v>0.281522002778</v>
      </c>
      <c r="K320" s="63" t="n">
        <v>455.63</v>
      </c>
      <c r="L320" s="63" t="n">
        <v>448.92</v>
      </c>
      <c r="M320" s="63" t="n">
        <v>450.06</v>
      </c>
      <c r="N320" s="54">
        <f>(M321-M320)/M320</f>
        <v/>
      </c>
      <c r="O320" s="54">
        <f>(M324-M320)/M320</f>
        <v/>
      </c>
      <c r="P320" s="4">
        <f>B320-D320</f>
        <v/>
      </c>
      <c r="Q320" s="4">
        <f>AVERAGE(P317:P320)</f>
        <v/>
      </c>
      <c r="R320" s="54">
        <f>(M321-M320)/M320</f>
        <v/>
      </c>
      <c r="S320" s="54">
        <f>(M324-M320)/M320</f>
        <v/>
      </c>
      <c r="T320" s="63">
        <f>IF(R320&gt;0,1,"")</f>
        <v/>
      </c>
      <c r="U320" s="63">
        <f>IF(S320&gt;0,1,"")</f>
        <v/>
      </c>
    </row>
    <row r="321">
      <c r="A321" s="35" t="n">
        <v>34131</v>
      </c>
      <c r="B321" s="4" t="n">
        <v>0.23</v>
      </c>
      <c r="C321" s="4" t="n">
        <v>0.36</v>
      </c>
      <c r="D321" s="4" t="n">
        <v>0.41</v>
      </c>
      <c r="E321" s="63" t="n">
        <v>1</v>
      </c>
      <c r="F321" s="63" t="n">
        <v>0.24</v>
      </c>
      <c r="G321" s="63" t="n">
        <v>-0.18</v>
      </c>
      <c r="H321" s="63" t="n">
        <v>0.384907436629</v>
      </c>
      <c r="I321" s="63" t="n">
        <v>0.48829287048</v>
      </c>
      <c r="J321" s="63" t="n">
        <v>0.281522002778</v>
      </c>
      <c r="K321" s="63" t="n">
        <v>452.49</v>
      </c>
      <c r="L321" s="63" t="n">
        <v>444.09</v>
      </c>
      <c r="M321" s="63" t="n">
        <v>447.26</v>
      </c>
      <c r="N321" s="54">
        <f>(M322-M321)/M321</f>
        <v/>
      </c>
      <c r="O321" s="54">
        <f>(M325-M321)/M321</f>
        <v/>
      </c>
      <c r="P321" s="4">
        <f>B321-D321</f>
        <v/>
      </c>
      <c r="Q321" s="4">
        <f>AVERAGE(P318:P321)</f>
        <v/>
      </c>
      <c r="R321" s="54">
        <f>(M322-M321)/M321</f>
        <v/>
      </c>
      <c r="S321" s="54">
        <f>(M325-M321)/M321</f>
        <v/>
      </c>
      <c r="T321" s="63">
        <f>IF(R321&gt;0,1,"")</f>
        <v/>
      </c>
      <c r="U321" s="63">
        <f>IF(S321&gt;0,1,"")</f>
        <v/>
      </c>
    </row>
    <row r="322">
      <c r="A322" s="35" t="n">
        <v>34138</v>
      </c>
      <c r="B322" s="4" t="n">
        <v>0.22</v>
      </c>
      <c r="C322" s="4" t="n">
        <v>0.35</v>
      </c>
      <c r="D322" s="4" t="n">
        <v>0.43</v>
      </c>
      <c r="E322" s="63" t="n">
        <v>1</v>
      </c>
      <c r="F322" s="63" t="n">
        <v>0.2325</v>
      </c>
      <c r="G322" s="63" t="n">
        <v>-0.21</v>
      </c>
      <c r="H322" s="63" t="n">
        <v>0.384907436629</v>
      </c>
      <c r="I322" s="63" t="n">
        <v>0.48829287048</v>
      </c>
      <c r="J322" s="63" t="n">
        <v>0.281522002778</v>
      </c>
      <c r="K322" s="63" t="n">
        <v>448.98</v>
      </c>
      <c r="L322" s="63" t="n">
        <v>443.61</v>
      </c>
      <c r="M322" s="63" t="n">
        <v>443.68</v>
      </c>
      <c r="N322" s="54">
        <f>(M323-M322)/M322</f>
        <v/>
      </c>
      <c r="O322" s="54">
        <f>(M326-M322)/M322</f>
        <v/>
      </c>
      <c r="P322" s="4">
        <f>B322-D322</f>
        <v/>
      </c>
      <c r="Q322" s="4">
        <f>AVERAGE(P319:P322)</f>
        <v/>
      </c>
      <c r="R322" s="54">
        <f>(M323-M322)/M322</f>
        <v/>
      </c>
      <c r="S322" s="54">
        <f>(M326-M322)/M322</f>
        <v/>
      </c>
      <c r="T322" s="63">
        <f>IF(R322&gt;0,1,"")</f>
        <v/>
      </c>
      <c r="U322" s="63">
        <f>IF(S322&gt;0,1,"")</f>
        <v/>
      </c>
    </row>
    <row r="323">
      <c r="A323" s="35" t="n">
        <v>34145</v>
      </c>
      <c r="B323" s="4" t="n">
        <v>0.28</v>
      </c>
      <c r="C323" s="4" t="n">
        <v>0.38</v>
      </c>
      <c r="D323" s="4" t="n">
        <v>0.34</v>
      </c>
      <c r="E323" s="63" t="n">
        <v>1</v>
      </c>
      <c r="F323" s="63" t="n">
        <v>0.24</v>
      </c>
      <c r="G323" s="63" t="n">
        <v>-0.06</v>
      </c>
      <c r="H323" s="63" t="n">
        <v>0.384907436629</v>
      </c>
      <c r="I323" s="63" t="n">
        <v>0.48829287048</v>
      </c>
      <c r="J323" s="63" t="n">
        <v>0.281522002778</v>
      </c>
      <c r="K323" s="63" t="n">
        <v>448.64</v>
      </c>
      <c r="L323" s="63" t="n">
        <v>443.19</v>
      </c>
      <c r="M323" s="63" t="n">
        <v>447.6</v>
      </c>
      <c r="N323" s="54">
        <f>(M324-M323)/M323</f>
        <v/>
      </c>
      <c r="O323" s="54">
        <f>(M327-M323)/M323</f>
        <v/>
      </c>
      <c r="P323" s="4">
        <f>B323-D323</f>
        <v/>
      </c>
      <c r="Q323" s="4">
        <f>AVERAGE(P320:P323)</f>
        <v/>
      </c>
      <c r="R323" s="54">
        <f>(M324-M323)/M323</f>
        <v/>
      </c>
      <c r="S323" s="54">
        <f>(M327-M323)/M323</f>
        <v/>
      </c>
      <c r="T323" s="63">
        <f>IF(R323&gt;0,1,"")</f>
        <v/>
      </c>
      <c r="U323" s="63">
        <f>IF(S323&gt;0,1,"")</f>
        <v/>
      </c>
    </row>
    <row r="324">
      <c r="A324" s="35" t="n">
        <v>34152</v>
      </c>
      <c r="B324" s="4" t="n">
        <v>0.18</v>
      </c>
      <c r="C324" s="4" t="n">
        <v>0.44</v>
      </c>
      <c r="D324" s="4" t="n">
        <v>0.38</v>
      </c>
      <c r="E324" s="63" t="n">
        <v>1</v>
      </c>
      <c r="F324" s="63" t="n">
        <v>0.23625</v>
      </c>
      <c r="G324" s="63" t="n">
        <v>-0.2</v>
      </c>
      <c r="H324" s="63" t="n">
        <v>0.384907436629</v>
      </c>
      <c r="I324" s="63" t="n">
        <v>0.48829287048</v>
      </c>
      <c r="J324" s="63" t="n">
        <v>0.281522002778</v>
      </c>
      <c r="K324" s="63" t="n">
        <v>451.9</v>
      </c>
      <c r="L324" s="63" t="n">
        <v>445.2</v>
      </c>
      <c r="M324" s="63" t="n">
        <v>445.84</v>
      </c>
      <c r="N324" s="54">
        <f>(M325-M324)/M324</f>
        <v/>
      </c>
      <c r="O324" s="54">
        <f>(M328-M324)/M324</f>
        <v/>
      </c>
      <c r="P324" s="4">
        <f>B324-D324</f>
        <v/>
      </c>
      <c r="Q324" s="4">
        <f>AVERAGE(P321:P324)</f>
        <v/>
      </c>
      <c r="R324" s="54">
        <f>(M325-M324)/M324</f>
        <v/>
      </c>
      <c r="S324" s="54">
        <f>(M328-M324)/M324</f>
        <v/>
      </c>
      <c r="T324" s="63">
        <f>IF(R324&gt;0,1,"")</f>
        <v/>
      </c>
      <c r="U324" s="63">
        <f>IF(S324&gt;0,1,"")</f>
        <v/>
      </c>
    </row>
    <row r="325">
      <c r="A325" s="35" t="n">
        <v>34159</v>
      </c>
      <c r="B325" s="4" t="n">
        <v>0.21</v>
      </c>
      <c r="C325" s="4" t="n">
        <v>0.45</v>
      </c>
      <c r="D325" s="4" t="n">
        <v>0.34</v>
      </c>
      <c r="E325" s="63" t="n">
        <v>1</v>
      </c>
      <c r="F325" s="63" t="n">
        <v>0.2375</v>
      </c>
      <c r="G325" s="63" t="n">
        <v>-0.13</v>
      </c>
      <c r="H325" s="63" t="n">
        <v>0.384907436629</v>
      </c>
      <c r="I325" s="63" t="n">
        <v>0.48829287048</v>
      </c>
      <c r="J325" s="63" t="n">
        <v>0.281522002778</v>
      </c>
      <c r="K325" s="63" t="n">
        <v>448.96</v>
      </c>
      <c r="L325" s="63" t="n">
        <v>441.4</v>
      </c>
      <c r="M325" s="63" t="n">
        <v>448.13</v>
      </c>
      <c r="N325" s="54">
        <f>(M326-M325)/M325</f>
        <v/>
      </c>
      <c r="O325" s="54">
        <f>(M329-M325)/M325</f>
        <v/>
      </c>
      <c r="P325" s="4">
        <f>B325-D325</f>
        <v/>
      </c>
      <c r="Q325" s="4">
        <f>AVERAGE(P322:P325)</f>
        <v/>
      </c>
      <c r="R325" s="54">
        <f>(M326-M325)/M325</f>
        <v/>
      </c>
      <c r="S325" s="54">
        <f>(M329-M325)/M325</f>
        <v/>
      </c>
      <c r="T325" s="63">
        <f>IF(R325&gt;0,1,"")</f>
        <v/>
      </c>
      <c r="U325" s="63">
        <f>IF(S325&gt;0,1,"")</f>
        <v/>
      </c>
    </row>
    <row r="326">
      <c r="A326" s="35" t="n">
        <v>34166</v>
      </c>
      <c r="B326" s="4" t="n">
        <v>0.22</v>
      </c>
      <c r="C326" s="4" t="n">
        <v>0.44</v>
      </c>
      <c r="D326" s="4" t="n">
        <v>0.34</v>
      </c>
      <c r="E326" s="63" t="n">
        <v>1</v>
      </c>
      <c r="F326" s="63" t="n">
        <v>0.23875</v>
      </c>
      <c r="G326" s="63" t="n">
        <v>-0.12</v>
      </c>
      <c r="H326" s="63" t="n">
        <v>0.384907436629</v>
      </c>
      <c r="I326" s="63" t="n">
        <v>0.48829287048</v>
      </c>
      <c r="J326" s="63" t="n">
        <v>0.281522002778</v>
      </c>
      <c r="K326" s="63" t="n">
        <v>451.12</v>
      </c>
      <c r="L326" s="63" t="n">
        <v>445.66</v>
      </c>
      <c r="M326" s="63" t="n">
        <v>445.75</v>
      </c>
      <c r="N326" s="54">
        <f>(M327-M326)/M326</f>
        <v/>
      </c>
      <c r="O326" s="54">
        <f>(M330-M326)/M326</f>
        <v/>
      </c>
      <c r="P326" s="4">
        <f>B326-D326</f>
        <v/>
      </c>
      <c r="Q326" s="4">
        <f>AVERAGE(P323:P326)</f>
        <v/>
      </c>
      <c r="R326" s="54">
        <f>(M327-M326)/M326</f>
        <v/>
      </c>
      <c r="S326" s="54">
        <f>(M330-M326)/M326</f>
        <v/>
      </c>
      <c r="T326" s="63">
        <f>IF(R326&gt;0,1,"")</f>
        <v/>
      </c>
      <c r="U326" s="63">
        <f>IF(S326&gt;0,1,"")</f>
        <v/>
      </c>
    </row>
    <row r="327">
      <c r="A327" s="35" t="n">
        <v>34173</v>
      </c>
      <c r="B327" s="4" t="n">
        <v>0.24</v>
      </c>
      <c r="C327" s="4" t="n">
        <v>0.43</v>
      </c>
      <c r="D327" s="4" t="n">
        <v>0.33</v>
      </c>
      <c r="E327" s="63" t="n">
        <v>1</v>
      </c>
      <c r="F327" s="63" t="n">
        <v>0.23875</v>
      </c>
      <c r="G327" s="63" t="n">
        <v>-0.09</v>
      </c>
      <c r="H327" s="63" t="n">
        <v>0.384907436629</v>
      </c>
      <c r="I327" s="63" t="n">
        <v>0.48829287048</v>
      </c>
      <c r="J327" s="63" t="n">
        <v>0.281522002778</v>
      </c>
      <c r="K327" s="63" t="n">
        <v>449.22</v>
      </c>
      <c r="L327" s="63" t="n">
        <v>443.71</v>
      </c>
      <c r="M327" s="63" t="n">
        <v>447.1</v>
      </c>
      <c r="N327" s="54">
        <f>(M328-M327)/M327</f>
        <v/>
      </c>
      <c r="O327" s="54">
        <f>(M331-M327)/M327</f>
        <v/>
      </c>
      <c r="P327" s="4">
        <f>B327-D327</f>
        <v/>
      </c>
      <c r="Q327" s="4">
        <f>AVERAGE(P324:P327)</f>
        <v/>
      </c>
      <c r="R327" s="54">
        <f>(M328-M327)/M327</f>
        <v/>
      </c>
      <c r="S327" s="54">
        <f>(M331-M327)/M327</f>
        <v/>
      </c>
      <c r="T327" s="63">
        <f>IF(R327&gt;0,1,"")</f>
        <v/>
      </c>
      <c r="U327" s="63">
        <f>IF(S327&gt;0,1,"")</f>
        <v/>
      </c>
    </row>
    <row r="328">
      <c r="A328" s="35" t="n">
        <v>34180</v>
      </c>
      <c r="B328" s="4" t="n">
        <v>0.25</v>
      </c>
      <c r="C328" s="4" t="n">
        <v>0.45</v>
      </c>
      <c r="D328" s="4" t="n">
        <v>0.3</v>
      </c>
      <c r="E328" s="63" t="n">
        <v>1</v>
      </c>
      <c r="F328" s="63" t="n">
        <v>0.22875</v>
      </c>
      <c r="G328" s="63" t="n">
        <v>-0.05</v>
      </c>
      <c r="H328" s="63" t="n">
        <v>0.384907436629</v>
      </c>
      <c r="I328" s="63" t="n">
        <v>0.48829287048</v>
      </c>
      <c r="J328" s="63" t="n">
        <v>0.281522002778</v>
      </c>
      <c r="K328" s="63" t="n">
        <v>450.77</v>
      </c>
      <c r="L328" s="63" t="n">
        <v>444.51</v>
      </c>
      <c r="M328" s="63" t="n">
        <v>448.13</v>
      </c>
      <c r="N328" s="54">
        <f>(M329-M328)/M328</f>
        <v/>
      </c>
      <c r="O328" s="54">
        <f>(M332-M328)/M328</f>
        <v/>
      </c>
      <c r="P328" s="4">
        <f>B328-D328</f>
        <v/>
      </c>
      <c r="Q328" s="4">
        <f>AVERAGE(P325:P328)</f>
        <v/>
      </c>
      <c r="R328" s="54">
        <f>(M329-M328)/M328</f>
        <v/>
      </c>
      <c r="S328" s="54">
        <f>(M332-M328)/M328</f>
        <v/>
      </c>
      <c r="T328" s="63">
        <f>IF(R328&gt;0,1,"")</f>
        <v/>
      </c>
      <c r="U328" s="63">
        <f>IF(S328&gt;0,1,"")</f>
        <v/>
      </c>
    </row>
    <row r="329">
      <c r="A329" s="35" t="n">
        <v>34187</v>
      </c>
      <c r="B329" s="4" t="n">
        <v>0.26</v>
      </c>
      <c r="C329" s="4" t="n">
        <v>0.42</v>
      </c>
      <c r="D329" s="4" t="n">
        <v>0.32</v>
      </c>
      <c r="E329" s="63" t="n">
        <v>1</v>
      </c>
      <c r="F329" s="63" t="n">
        <v>0.2325</v>
      </c>
      <c r="G329" s="63" t="n">
        <v>-0.06</v>
      </c>
      <c r="H329" s="63" t="n">
        <v>0.384907436629</v>
      </c>
      <c r="I329" s="63" t="n">
        <v>0.48829287048</v>
      </c>
      <c r="J329" s="63" t="n">
        <v>0.281522002778</v>
      </c>
      <c r="K329" s="63" t="n">
        <v>450.43</v>
      </c>
      <c r="L329" s="63" t="n">
        <v>446.94</v>
      </c>
      <c r="M329" s="63" t="n">
        <v>448.68</v>
      </c>
      <c r="N329" s="54">
        <f>(M330-M329)/M329</f>
        <v/>
      </c>
      <c r="O329" s="54">
        <f>(M333-M329)/M329</f>
        <v/>
      </c>
      <c r="P329" s="4">
        <f>B329-D329</f>
        <v/>
      </c>
      <c r="Q329" s="4">
        <f>AVERAGE(P326:P329)</f>
        <v/>
      </c>
      <c r="R329" s="54">
        <f>(M330-M329)/M329</f>
        <v/>
      </c>
      <c r="S329" s="54">
        <f>(M333-M329)/M329</f>
        <v/>
      </c>
      <c r="T329" s="63">
        <f>IF(R329&gt;0,1,"")</f>
        <v/>
      </c>
      <c r="U329" s="63">
        <f>IF(S329&gt;0,1,"")</f>
        <v/>
      </c>
    </row>
    <row r="330">
      <c r="A330" s="35" t="n">
        <v>34194</v>
      </c>
      <c r="B330" s="4" t="n">
        <v>0.25</v>
      </c>
      <c r="C330" s="4" t="n">
        <v>0.41</v>
      </c>
      <c r="D330" s="4" t="n">
        <v>0.34</v>
      </c>
      <c r="E330" s="63" t="n">
        <v>1</v>
      </c>
      <c r="F330" s="63" t="n">
        <v>0.23625</v>
      </c>
      <c r="G330" s="63" t="n">
        <v>-0.09</v>
      </c>
      <c r="H330" s="63" t="n">
        <v>0.384907436629</v>
      </c>
      <c r="I330" s="63" t="n">
        <v>0.48829287048</v>
      </c>
      <c r="J330" s="63" t="n">
        <v>0.281522002778</v>
      </c>
      <c r="K330" s="63" t="n">
        <v>451.63</v>
      </c>
      <c r="L330" s="63" t="n">
        <v>447.53</v>
      </c>
      <c r="M330" s="63" t="n">
        <v>450.14</v>
      </c>
      <c r="N330" s="54">
        <f>(M331-M330)/M330</f>
        <v/>
      </c>
      <c r="O330" s="54">
        <f>(M334-M330)/M330</f>
        <v/>
      </c>
      <c r="P330" s="4">
        <f>B330-D330</f>
        <v/>
      </c>
      <c r="Q330" s="4">
        <f>AVERAGE(P327:P330)</f>
        <v/>
      </c>
      <c r="R330" s="54">
        <f>(M331-M330)/M330</f>
        <v/>
      </c>
      <c r="S330" s="54">
        <f>(M334-M330)/M330</f>
        <v/>
      </c>
      <c r="T330" s="63">
        <f>IF(R330&gt;0,1,"")</f>
        <v/>
      </c>
      <c r="U330" s="63">
        <f>IF(S330&gt;0,1,"")</f>
        <v/>
      </c>
    </row>
    <row r="331">
      <c r="A331" s="35" t="n">
        <v>34201</v>
      </c>
      <c r="B331" s="4" t="n">
        <v>0.29</v>
      </c>
      <c r="C331" s="4" t="n">
        <v>0.41</v>
      </c>
      <c r="D331" s="4" t="n">
        <v>0.3</v>
      </c>
      <c r="E331" s="63" t="n">
        <v>1</v>
      </c>
      <c r="F331" s="63" t="n">
        <v>0.2375</v>
      </c>
      <c r="G331" s="63" t="n">
        <v>-0.01</v>
      </c>
      <c r="H331" s="63" t="n">
        <v>0.384907436629</v>
      </c>
      <c r="I331" s="63" t="n">
        <v>0.48829287048</v>
      </c>
      <c r="J331" s="63" t="n">
        <v>0.281522002778</v>
      </c>
      <c r="K331" s="63" t="n">
        <v>456.99</v>
      </c>
      <c r="L331" s="63" t="n">
        <v>448.96</v>
      </c>
      <c r="M331" s="63" t="n">
        <v>456.16</v>
      </c>
      <c r="N331" s="54">
        <f>(M332-M331)/M331</f>
        <v/>
      </c>
      <c r="O331" s="54">
        <f>(M335-M331)/M331</f>
        <v/>
      </c>
      <c r="P331" s="4">
        <f>B331-D331</f>
        <v/>
      </c>
      <c r="Q331" s="4">
        <f>AVERAGE(P328:P331)</f>
        <v/>
      </c>
      <c r="R331" s="54">
        <f>(M332-M331)/M331</f>
        <v/>
      </c>
      <c r="S331" s="54">
        <f>(M335-M331)/M331</f>
        <v/>
      </c>
      <c r="T331" s="63">
        <f>IF(R331&gt;0,1,"")</f>
        <v/>
      </c>
      <c r="U331" s="63">
        <f>IF(S331&gt;0,1,"")</f>
        <v/>
      </c>
    </row>
    <row r="332">
      <c r="A332" s="35" t="n">
        <v>34208</v>
      </c>
      <c r="B332" s="4" t="n">
        <v>0.27</v>
      </c>
      <c r="C332" s="4" t="n">
        <v>0.35</v>
      </c>
      <c r="D332" s="4" t="n">
        <v>0.38</v>
      </c>
      <c r="E332" s="63" t="n">
        <v>1</v>
      </c>
      <c r="F332" s="63" t="n">
        <v>0.24875</v>
      </c>
      <c r="G332" s="63" t="n">
        <v>-0.11</v>
      </c>
      <c r="H332" s="63" t="n">
        <v>0.384907436629</v>
      </c>
      <c r="I332" s="63" t="n">
        <v>0.48829287048</v>
      </c>
      <c r="J332" s="63" t="n">
        <v>0.281522002778</v>
      </c>
      <c r="K332" s="63" t="n">
        <v>461.04</v>
      </c>
      <c r="L332" s="63" t="n">
        <v>454.29</v>
      </c>
      <c r="M332" s="63" t="n">
        <v>460.54</v>
      </c>
      <c r="N332" s="54">
        <f>(M333-M332)/M332</f>
        <v/>
      </c>
      <c r="O332" s="54">
        <f>(M336-M332)/M332</f>
        <v/>
      </c>
      <c r="P332" s="4">
        <f>B332-D332</f>
        <v/>
      </c>
      <c r="Q332" s="4">
        <f>AVERAGE(P329:P332)</f>
        <v/>
      </c>
      <c r="R332" s="54">
        <f>(M333-M332)/M332</f>
        <v/>
      </c>
      <c r="S332" s="54">
        <f>(M336-M332)/M332</f>
        <v/>
      </c>
      <c r="T332" s="63">
        <f>IF(R332&gt;0,1,"")</f>
        <v/>
      </c>
      <c r="U332" s="63">
        <f>IF(S332&gt;0,1,"")</f>
        <v/>
      </c>
    </row>
    <row r="333">
      <c r="A333" s="35" t="n">
        <v>34215</v>
      </c>
      <c r="B333" s="4" t="n">
        <v>0.38</v>
      </c>
      <c r="C333" s="4" t="n">
        <v>0.33</v>
      </c>
      <c r="D333" s="4" t="n">
        <v>0.29</v>
      </c>
      <c r="E333" s="63" t="n">
        <v>1</v>
      </c>
      <c r="F333" s="63" t="n">
        <v>0.27</v>
      </c>
      <c r="G333" s="63" t="n">
        <v>0.09</v>
      </c>
      <c r="H333" s="63" t="n">
        <v>0.384907436629</v>
      </c>
      <c r="I333" s="63" t="n">
        <v>0.48829287048</v>
      </c>
      <c r="J333" s="63" t="n">
        <v>0.281522002778</v>
      </c>
      <c r="K333" s="63" t="n">
        <v>463.8</v>
      </c>
      <c r="L333" s="63" t="n">
        <v>459.19</v>
      </c>
      <c r="M333" s="63" t="n">
        <v>461.34</v>
      </c>
      <c r="N333" s="54">
        <f>(M334-M333)/M333</f>
        <v/>
      </c>
      <c r="O333" s="54">
        <f>(M337-M333)/M333</f>
        <v/>
      </c>
      <c r="P333" s="4">
        <f>B333-D333</f>
        <v/>
      </c>
      <c r="Q333" s="4">
        <f>AVERAGE(P330:P333)</f>
        <v/>
      </c>
      <c r="R333" s="54">
        <f>(M334-M333)/M333</f>
        <v/>
      </c>
      <c r="S333" s="54">
        <f>(M337-M333)/M333</f>
        <v/>
      </c>
      <c r="T333" s="63">
        <f>IF(R333&gt;0,1,"")</f>
        <v/>
      </c>
      <c r="U333" s="63">
        <f>IF(S333&gt;0,1,"")</f>
        <v/>
      </c>
    </row>
    <row r="334">
      <c r="A334" s="35" t="n">
        <v>34222</v>
      </c>
      <c r="B334" s="4" t="n">
        <v>0.3</v>
      </c>
      <c r="C334" s="4" t="n">
        <v>0.3</v>
      </c>
      <c r="D334" s="4" t="n">
        <v>0.4</v>
      </c>
      <c r="E334" s="63" t="n">
        <v>1</v>
      </c>
      <c r="F334" s="63" t="n">
        <v>0.28</v>
      </c>
      <c r="G334" s="63" t="n">
        <v>-0.1</v>
      </c>
      <c r="H334" s="63" t="n">
        <v>0.384907436629</v>
      </c>
      <c r="I334" s="63" t="n">
        <v>0.48829287048</v>
      </c>
      <c r="J334" s="63" t="n">
        <v>0.281522002778</v>
      </c>
      <c r="K334" s="63" t="n">
        <v>462.07</v>
      </c>
      <c r="L334" s="63" t="n">
        <v>453.75</v>
      </c>
      <c r="M334" s="63" t="n">
        <v>461.72</v>
      </c>
      <c r="N334" s="54">
        <f>(M335-M334)/M334</f>
        <v/>
      </c>
      <c r="O334" s="54">
        <f>(M338-M334)/M334</f>
        <v/>
      </c>
      <c r="P334" s="4">
        <f>B334-D334</f>
        <v/>
      </c>
      <c r="Q334" s="4">
        <f>AVERAGE(P331:P334)</f>
        <v/>
      </c>
      <c r="R334" s="54">
        <f>(M335-M334)/M334</f>
        <v/>
      </c>
      <c r="S334" s="54">
        <f>(M338-M334)/M334</f>
        <v/>
      </c>
      <c r="T334" s="63">
        <f>IF(R334&gt;0,1,"")</f>
        <v/>
      </c>
      <c r="U334" s="63">
        <f>IF(S334&gt;0,1,"")</f>
        <v/>
      </c>
    </row>
    <row r="335">
      <c r="A335" s="35" t="n">
        <v>34229</v>
      </c>
      <c r="B335" s="4" t="n">
        <v>0.32</v>
      </c>
      <c r="C335" s="4" t="n">
        <v>0.34</v>
      </c>
      <c r="D335" s="4" t="n">
        <v>0.34</v>
      </c>
      <c r="E335" s="63" t="n">
        <v>1</v>
      </c>
      <c r="F335" s="63" t="n">
        <v>0.29</v>
      </c>
      <c r="G335" s="63" t="n">
        <v>-0.02</v>
      </c>
      <c r="H335" s="63" t="n">
        <v>0.384907436629</v>
      </c>
      <c r="I335" s="63" t="n">
        <v>0.48829287048</v>
      </c>
      <c r="J335" s="63" t="n">
        <v>0.281522002778</v>
      </c>
      <c r="K335" s="63" t="n">
        <v>463.38</v>
      </c>
      <c r="L335" s="63" t="n">
        <v>456.31</v>
      </c>
      <c r="M335" s="63" t="n">
        <v>458.83</v>
      </c>
      <c r="N335" s="54">
        <f>(M336-M335)/M335</f>
        <v/>
      </c>
      <c r="O335" s="54">
        <f>(M339-M335)/M335</f>
        <v/>
      </c>
      <c r="P335" s="4">
        <f>B335-D335</f>
        <v/>
      </c>
      <c r="Q335" s="4">
        <f>AVERAGE(P332:P335)</f>
        <v/>
      </c>
      <c r="R335" s="54">
        <f>(M336-M335)/M335</f>
        <v/>
      </c>
      <c r="S335" s="54">
        <f>(M339-M335)/M335</f>
        <v/>
      </c>
      <c r="T335" s="63">
        <f>IF(R335&gt;0,1,"")</f>
        <v/>
      </c>
      <c r="U335" s="63">
        <f>IF(S335&gt;0,1,"")</f>
        <v/>
      </c>
    </row>
    <row r="336">
      <c r="A336" s="35" t="n">
        <v>34236</v>
      </c>
      <c r="B336" s="4" t="n">
        <v>0.28</v>
      </c>
      <c r="C336" s="4" t="n">
        <v>0.4</v>
      </c>
      <c r="D336" s="4" t="n">
        <v>0.32</v>
      </c>
      <c r="E336" s="63" t="n">
        <v>1</v>
      </c>
      <c r="F336" s="63" t="n">
        <v>0.29375</v>
      </c>
      <c r="G336" s="63" t="n">
        <v>-0.04</v>
      </c>
      <c r="H336" s="63" t="n">
        <v>0.384907436629</v>
      </c>
      <c r="I336" s="63" t="n">
        <v>0.48829287048</v>
      </c>
      <c r="J336" s="63" t="n">
        <v>0.281522002778</v>
      </c>
      <c r="K336" s="63" t="n">
        <v>459.91</v>
      </c>
      <c r="L336" s="63" t="n">
        <v>449.64</v>
      </c>
      <c r="M336" s="63" t="n">
        <v>457.63</v>
      </c>
      <c r="N336" s="54">
        <f>(M337-M336)/M336</f>
        <v/>
      </c>
      <c r="O336" s="54">
        <f>(M340-M336)/M336</f>
        <v/>
      </c>
      <c r="P336" s="4">
        <f>B336-D336</f>
        <v/>
      </c>
      <c r="Q336" s="4">
        <f>AVERAGE(P333:P336)</f>
        <v/>
      </c>
      <c r="R336" s="54">
        <f>(M337-M336)/M336</f>
        <v/>
      </c>
      <c r="S336" s="54">
        <f>(M340-M336)/M336</f>
        <v/>
      </c>
      <c r="T336" s="63">
        <f>IF(R336&gt;0,1,"")</f>
        <v/>
      </c>
      <c r="U336" s="63">
        <f>IF(S336&gt;0,1,"")</f>
        <v/>
      </c>
    </row>
    <row r="337">
      <c r="A337" s="35" t="n">
        <v>34243</v>
      </c>
      <c r="B337" s="4" t="n">
        <v>0.26</v>
      </c>
      <c r="C337" s="4" t="n">
        <v>0.34</v>
      </c>
      <c r="D337" s="4" t="n">
        <v>0.4</v>
      </c>
      <c r="E337" s="63" t="n">
        <v>1</v>
      </c>
      <c r="F337" s="63" t="n">
        <v>0.29375</v>
      </c>
      <c r="G337" s="63" t="n">
        <v>-0.14</v>
      </c>
      <c r="H337" s="63" t="n">
        <v>0.384907436629</v>
      </c>
      <c r="I337" s="63" t="n">
        <v>0.48829287048</v>
      </c>
      <c r="J337" s="63" t="n">
        <v>0.281522002778</v>
      </c>
      <c r="K337" s="63" t="n">
        <v>462.17</v>
      </c>
      <c r="L337" s="63" t="n">
        <v>456.92</v>
      </c>
      <c r="M337" s="63" t="n">
        <v>461.29</v>
      </c>
      <c r="N337" s="54">
        <f>(M338-M337)/M337</f>
        <v/>
      </c>
      <c r="O337" s="54">
        <f>(M341-M337)/M337</f>
        <v/>
      </c>
      <c r="P337" s="4">
        <f>B337-D337</f>
        <v/>
      </c>
      <c r="Q337" s="4">
        <f>AVERAGE(P334:P337)</f>
        <v/>
      </c>
      <c r="R337" s="54">
        <f>(M338-M337)/M337</f>
        <v/>
      </c>
      <c r="S337" s="54">
        <f>(M341-M337)/M337</f>
        <v/>
      </c>
      <c r="T337" s="63">
        <f>IF(R337&gt;0,1,"")</f>
        <v/>
      </c>
      <c r="U337" s="63">
        <f>IF(S337&gt;0,1,"")</f>
        <v/>
      </c>
    </row>
    <row r="338">
      <c r="A338" s="35" t="n">
        <v>34250</v>
      </c>
      <c r="B338" s="4" t="n">
        <v>0.29</v>
      </c>
      <c r="C338" s="4" t="n">
        <v>0.37</v>
      </c>
      <c r="D338" s="4" t="n">
        <v>0.34</v>
      </c>
      <c r="E338" s="63" t="n">
        <v>1</v>
      </c>
      <c r="F338" s="63" t="n">
        <v>0.29875</v>
      </c>
      <c r="G338" s="63" t="n">
        <v>-0.05</v>
      </c>
      <c r="H338" s="63" t="n">
        <v>0.384907436629</v>
      </c>
      <c r="I338" s="63" t="n">
        <v>0.48829287048</v>
      </c>
      <c r="J338" s="63" t="n">
        <v>0.281522002778</v>
      </c>
      <c r="K338" s="63" t="n">
        <v>463.15</v>
      </c>
      <c r="L338" s="63" t="n">
        <v>456.4</v>
      </c>
      <c r="M338" s="63" t="n">
        <v>460.31</v>
      </c>
      <c r="N338" s="54">
        <f>(M339-M338)/M338</f>
        <v/>
      </c>
      <c r="O338" s="54">
        <f>(M342-M338)/M338</f>
        <v/>
      </c>
      <c r="P338" s="4">
        <f>B338-D338</f>
        <v/>
      </c>
      <c r="Q338" s="4">
        <f>AVERAGE(P335:P338)</f>
        <v/>
      </c>
      <c r="R338" s="54">
        <f>(M339-M338)/M338</f>
        <v/>
      </c>
      <c r="S338" s="54">
        <f>(M342-M338)/M338</f>
        <v/>
      </c>
      <c r="T338" s="63">
        <f>IF(R338&gt;0,1,"")</f>
        <v/>
      </c>
      <c r="U338" s="63">
        <f>IF(S338&gt;0,1,"")</f>
        <v/>
      </c>
    </row>
    <row r="339">
      <c r="A339" s="35" t="n">
        <v>34257</v>
      </c>
      <c r="B339" s="4" t="n">
        <v>0.31</v>
      </c>
      <c r="C339" s="4" t="n">
        <v>0.38</v>
      </c>
      <c r="D339" s="4" t="n">
        <v>0.31</v>
      </c>
      <c r="E339" s="63" t="n">
        <v>1</v>
      </c>
      <c r="F339" s="63" t="n">
        <v>0.30125</v>
      </c>
      <c r="G339" s="63" t="n">
        <v>0</v>
      </c>
      <c r="H339" s="63" t="n">
        <v>0.384907436629</v>
      </c>
      <c r="I339" s="63" t="n">
        <v>0.48829287048</v>
      </c>
      <c r="J339" s="63" t="n">
        <v>0.281522002778</v>
      </c>
      <c r="K339" s="63" t="n">
        <v>471.1</v>
      </c>
      <c r="L339" s="63" t="n">
        <v>456.4</v>
      </c>
      <c r="M339" s="63" t="n">
        <v>469.5</v>
      </c>
      <c r="N339" s="54">
        <f>(M340-M339)/M339</f>
        <v/>
      </c>
      <c r="O339" s="54">
        <f>(M343-M339)/M339</f>
        <v/>
      </c>
      <c r="P339" s="4">
        <f>B339-D339</f>
        <v/>
      </c>
      <c r="Q339" s="4">
        <f>AVERAGE(P336:P339)</f>
        <v/>
      </c>
      <c r="R339" s="54">
        <f>(M340-M339)/M339</f>
        <v/>
      </c>
      <c r="S339" s="54">
        <f>(M343-M339)/M339</f>
        <v/>
      </c>
      <c r="T339" s="63">
        <f>IF(R339&gt;0,1,"")</f>
        <v/>
      </c>
      <c r="U339" s="63">
        <f>IF(S339&gt;0,1,"")</f>
        <v/>
      </c>
    </row>
    <row r="340">
      <c r="A340" s="35" t="n">
        <v>34264</v>
      </c>
      <c r="B340" s="4" t="n">
        <v>0.42</v>
      </c>
      <c r="C340" s="4" t="n">
        <v>0.3</v>
      </c>
      <c r="D340" s="4" t="n">
        <v>0.28</v>
      </c>
      <c r="E340" s="63" t="n">
        <v>1</v>
      </c>
      <c r="F340" s="63" t="n">
        <v>0.32</v>
      </c>
      <c r="G340" s="63" t="n">
        <v>0.14</v>
      </c>
      <c r="H340" s="63" t="n">
        <v>0.384907436629</v>
      </c>
      <c r="I340" s="63" t="n">
        <v>0.48829287048</v>
      </c>
      <c r="J340" s="63" t="n">
        <v>0.281522002778</v>
      </c>
      <c r="K340" s="63" t="n">
        <v>471.1</v>
      </c>
      <c r="L340" s="63" t="n">
        <v>463.27</v>
      </c>
      <c r="M340" s="63" t="n">
        <v>463.27</v>
      </c>
      <c r="N340" s="54">
        <f>(M341-M340)/M340</f>
        <v/>
      </c>
      <c r="O340" s="54">
        <f>(M344-M340)/M340</f>
        <v/>
      </c>
      <c r="P340" s="4">
        <f>B340-D340</f>
        <v/>
      </c>
      <c r="Q340" s="4">
        <f>AVERAGE(P337:P340)</f>
        <v/>
      </c>
      <c r="R340" s="54">
        <f>(M341-M340)/M340</f>
        <v/>
      </c>
      <c r="S340" s="54">
        <f>(M344-M340)/M340</f>
        <v/>
      </c>
      <c r="T340" s="63">
        <f>IF(R340&gt;0,1,"")</f>
        <v/>
      </c>
      <c r="U340" s="63">
        <f>IF(S340&gt;0,1,"")</f>
        <v/>
      </c>
    </row>
    <row r="341">
      <c r="A341" s="35" t="n">
        <v>34271</v>
      </c>
      <c r="B341" s="4" t="n">
        <v>0.43</v>
      </c>
      <c r="C341" s="4" t="n">
        <v>0.33</v>
      </c>
      <c r="D341" s="4" t="n">
        <v>0.24</v>
      </c>
      <c r="E341" s="63" t="n">
        <v>1</v>
      </c>
      <c r="F341" s="63" t="n">
        <v>0.32625</v>
      </c>
      <c r="G341" s="63" t="n">
        <v>0.19</v>
      </c>
      <c r="H341" s="63" t="n">
        <v>0.384907436629</v>
      </c>
      <c r="I341" s="63" t="n">
        <v>0.48829287048</v>
      </c>
      <c r="J341" s="63" t="n">
        <v>0.281522002778</v>
      </c>
      <c r="K341" s="63" t="n">
        <v>468.76</v>
      </c>
      <c r="L341" s="63" t="n">
        <v>462.05</v>
      </c>
      <c r="M341" s="63" t="n">
        <v>467.83</v>
      </c>
      <c r="N341" s="54">
        <f>(M342-M341)/M341</f>
        <v/>
      </c>
      <c r="O341" s="54">
        <f>(M345-M341)/M341</f>
        <v/>
      </c>
      <c r="P341" s="4">
        <f>B341-D341</f>
        <v/>
      </c>
      <c r="Q341" s="4">
        <f>AVERAGE(P338:P341)</f>
        <v/>
      </c>
      <c r="R341" s="54">
        <f>(M342-M341)/M341</f>
        <v/>
      </c>
      <c r="S341" s="54">
        <f>(M345-M341)/M341</f>
        <v/>
      </c>
      <c r="T341" s="63">
        <f>IF(R341&gt;0,1,"")</f>
        <v/>
      </c>
      <c r="U341" s="63">
        <f>IF(S341&gt;0,1,"")</f>
        <v/>
      </c>
    </row>
    <row r="342">
      <c r="A342" s="35" t="n">
        <v>34277</v>
      </c>
      <c r="B342" s="4" t="n">
        <v>0.32</v>
      </c>
      <c r="C342" s="4" t="n">
        <v>0.36</v>
      </c>
      <c r="D342" s="4" t="n">
        <v>0.32</v>
      </c>
      <c r="E342" s="63" t="n">
        <v>1</v>
      </c>
      <c r="F342" s="63" t="n">
        <v>0.32875</v>
      </c>
      <c r="G342" s="63" t="n">
        <v>0</v>
      </c>
      <c r="H342" s="63" t="n">
        <v>0.384907436629</v>
      </c>
      <c r="I342" s="63" t="n">
        <v>0.48829287048</v>
      </c>
      <c r="J342" s="63" t="n">
        <v>0.281522002778</v>
      </c>
      <c r="K342" s="63" t="n">
        <v>469.11</v>
      </c>
      <c r="L342" s="63" t="n">
        <v>454.36</v>
      </c>
      <c r="M342" s="63" t="n">
        <v>459.57</v>
      </c>
      <c r="N342" s="54">
        <f>(M343-M342)/M342</f>
        <v/>
      </c>
      <c r="O342" s="54">
        <f>(M346-M342)/M342</f>
        <v/>
      </c>
      <c r="P342" s="4">
        <f>B342-D342</f>
        <v/>
      </c>
      <c r="Q342" s="4">
        <f>AVERAGE(P339:P342)</f>
        <v/>
      </c>
      <c r="R342" s="54">
        <f>(M343-M342)/M342</f>
        <v/>
      </c>
      <c r="S342" s="54">
        <f>(M346-M342)/M342</f>
        <v/>
      </c>
      <c r="T342" s="63">
        <f>IF(R342&gt;0,1,"")</f>
        <v/>
      </c>
      <c r="U342" s="63">
        <f>IF(S342&gt;0,1,"")</f>
        <v/>
      </c>
    </row>
    <row r="343">
      <c r="A343" s="35" t="n">
        <v>34284</v>
      </c>
      <c r="B343" s="4" t="n">
        <v>0.35</v>
      </c>
      <c r="C343" s="4" t="n">
        <v>0.3</v>
      </c>
      <c r="D343" s="4" t="n">
        <v>0.35</v>
      </c>
      <c r="E343" s="63" t="n">
        <v>1</v>
      </c>
      <c r="F343" s="63" t="n">
        <v>0.3325</v>
      </c>
      <c r="G343" s="63" t="n">
        <v>0</v>
      </c>
      <c r="H343" s="63" t="n">
        <v>0.384907436629</v>
      </c>
      <c r="I343" s="63" t="n">
        <v>0.48829287048</v>
      </c>
      <c r="J343" s="63" t="n">
        <v>0.281522002778</v>
      </c>
      <c r="K343" s="63" t="n">
        <v>465.84</v>
      </c>
      <c r="L343" s="63" t="n">
        <v>454.36</v>
      </c>
      <c r="M343" s="63" t="n">
        <v>465.39</v>
      </c>
      <c r="N343" s="54">
        <f>(M344-M343)/M343</f>
        <v/>
      </c>
      <c r="O343" s="54">
        <f>(M347-M343)/M343</f>
        <v/>
      </c>
      <c r="P343" s="4">
        <f>B343-D343</f>
        <v/>
      </c>
      <c r="Q343" s="4">
        <f>AVERAGE(P340:P343)</f>
        <v/>
      </c>
      <c r="R343" s="54">
        <f>(M344-M343)/M343</f>
        <v/>
      </c>
      <c r="S343" s="54">
        <f>(M347-M343)/M343</f>
        <v/>
      </c>
      <c r="T343" s="63">
        <f>IF(R343&gt;0,1,"")</f>
        <v/>
      </c>
      <c r="U343" s="63">
        <f>IF(S343&gt;0,1,"")</f>
        <v/>
      </c>
    </row>
    <row r="344">
      <c r="A344" s="35" t="n">
        <v>34291</v>
      </c>
      <c r="B344" s="4" t="n">
        <v>0.34</v>
      </c>
      <c r="C344" s="4" t="n">
        <v>0.31</v>
      </c>
      <c r="D344" s="4" t="n">
        <v>0.35</v>
      </c>
      <c r="E344" s="63" t="n">
        <v>1</v>
      </c>
      <c r="F344" s="63" t="n">
        <v>0.34</v>
      </c>
      <c r="G344" s="63" t="n">
        <v>-0.01</v>
      </c>
      <c r="H344" s="63" t="n">
        <v>0.384907436629</v>
      </c>
      <c r="I344" s="63" t="n">
        <v>0.48829287048</v>
      </c>
      <c r="J344" s="63" t="n">
        <v>0.281522002778</v>
      </c>
      <c r="K344" s="63" t="n">
        <v>467.24</v>
      </c>
      <c r="L344" s="63" t="n">
        <v>460.03</v>
      </c>
      <c r="M344" s="63" t="n">
        <v>462.6</v>
      </c>
      <c r="N344" s="54">
        <f>(M345-M344)/M344</f>
        <v/>
      </c>
      <c r="O344" s="54">
        <f>(M348-M344)/M344</f>
        <v/>
      </c>
      <c r="P344" s="4">
        <f>B344-D344</f>
        <v/>
      </c>
      <c r="Q344" s="4">
        <f>AVERAGE(P341:P344)</f>
        <v/>
      </c>
      <c r="R344" s="54">
        <f>(M345-M344)/M344</f>
        <v/>
      </c>
      <c r="S344" s="54">
        <f>(M348-M344)/M344</f>
        <v/>
      </c>
      <c r="T344" s="63">
        <f>IF(R344&gt;0,1,"")</f>
        <v/>
      </c>
      <c r="U344" s="63">
        <f>IF(S344&gt;0,1,"")</f>
        <v/>
      </c>
    </row>
    <row r="345">
      <c r="A345" s="35" t="n">
        <v>34297</v>
      </c>
      <c r="B345" s="4" t="n">
        <v>0.45</v>
      </c>
      <c r="C345" s="4" t="n">
        <v>0.3</v>
      </c>
      <c r="D345" s="4" t="n">
        <v>0.25</v>
      </c>
      <c r="E345" s="63" t="n">
        <v>1</v>
      </c>
      <c r="F345" s="63" t="n">
        <v>0.36375</v>
      </c>
      <c r="G345" s="63" t="n">
        <v>0.2</v>
      </c>
      <c r="H345" s="63" t="n">
        <v>0.384907436629</v>
      </c>
      <c r="I345" s="63" t="n">
        <v>0.48829287048</v>
      </c>
      <c r="J345" s="63" t="n">
        <v>0.281522002778</v>
      </c>
      <c r="K345" s="63" t="n">
        <v>462.9</v>
      </c>
      <c r="L345" s="63" t="n">
        <v>457.08</v>
      </c>
      <c r="M345" s="63" t="n">
        <v>462.36</v>
      </c>
      <c r="N345" s="54">
        <f>(M346-M345)/M345</f>
        <v/>
      </c>
      <c r="O345" s="54">
        <f>(M349-M345)/M345</f>
        <v/>
      </c>
      <c r="P345" s="4">
        <f>B345-D345</f>
        <v/>
      </c>
      <c r="Q345" s="4">
        <f>AVERAGE(P342:P345)</f>
        <v/>
      </c>
      <c r="R345" s="54">
        <f>(M346-M345)/M345</f>
        <v/>
      </c>
      <c r="S345" s="54">
        <f>(M349-M345)/M345</f>
        <v/>
      </c>
      <c r="T345" s="63">
        <f>IF(R345&gt;0,1,"")</f>
        <v/>
      </c>
      <c r="U345" s="63">
        <f>IF(S345&gt;0,1,"")</f>
        <v/>
      </c>
    </row>
    <row r="346">
      <c r="A346" s="35" t="n">
        <v>34305</v>
      </c>
      <c r="B346" s="4" t="n">
        <v>0.33</v>
      </c>
      <c r="C346" s="4" t="n">
        <v>0.32</v>
      </c>
      <c r="D346" s="4" t="n">
        <v>0.35</v>
      </c>
      <c r="E346" s="63" t="n">
        <v>1</v>
      </c>
      <c r="F346" s="63" t="n">
        <v>0.36875</v>
      </c>
      <c r="G346" s="63" t="n">
        <v>-0.02</v>
      </c>
      <c r="H346" s="63" t="n">
        <v>0.384907436629</v>
      </c>
      <c r="I346" s="63" t="n">
        <v>0.48829287048</v>
      </c>
      <c r="J346" s="63" t="n">
        <v>0.281522002778</v>
      </c>
      <c r="K346" s="63" t="n">
        <v>464.89</v>
      </c>
      <c r="L346" s="63" t="n">
        <v>460.45</v>
      </c>
      <c r="M346" s="63" t="n">
        <v>464.89</v>
      </c>
      <c r="N346" s="54">
        <f>(M347-M346)/M346</f>
        <v/>
      </c>
      <c r="O346" s="54">
        <f>(M350-M346)/M346</f>
        <v/>
      </c>
      <c r="P346" s="4">
        <f>B346-D346</f>
        <v/>
      </c>
      <c r="Q346" s="4">
        <f>AVERAGE(P343:P346)</f>
        <v/>
      </c>
      <c r="R346" s="54">
        <f>(M347-M346)/M346</f>
        <v/>
      </c>
      <c r="S346" s="54">
        <f>(M350-M346)/M346</f>
        <v/>
      </c>
      <c r="T346" s="63">
        <f>IF(R346&gt;0,1,"")</f>
        <v/>
      </c>
      <c r="U346" s="63">
        <f>IF(S346&gt;0,1,"")</f>
        <v/>
      </c>
    </row>
    <row r="347">
      <c r="A347" s="35" t="n">
        <v>34312</v>
      </c>
      <c r="B347" s="4" t="n">
        <v>0.37</v>
      </c>
      <c r="C347" s="4" t="n">
        <v>0.39</v>
      </c>
      <c r="D347" s="4" t="n">
        <v>0.24</v>
      </c>
      <c r="E347" s="63" t="n">
        <v>1</v>
      </c>
      <c r="F347" s="63" t="n">
        <v>0.37625</v>
      </c>
      <c r="G347" s="63" t="n">
        <v>0.13</v>
      </c>
      <c r="H347" s="63" t="n">
        <v>0.384907436629</v>
      </c>
      <c r="I347" s="63" t="n">
        <v>0.48829287048</v>
      </c>
      <c r="J347" s="63" t="n">
        <v>0.281522002778</v>
      </c>
      <c r="K347" s="63" t="n">
        <v>466.89</v>
      </c>
      <c r="L347" s="63" t="n">
        <v>462.66</v>
      </c>
      <c r="M347" s="63" t="n">
        <v>463.93</v>
      </c>
      <c r="N347" s="54">
        <f>(M348-M347)/M347</f>
        <v/>
      </c>
      <c r="O347" s="54">
        <f>(M351-M347)/M347</f>
        <v/>
      </c>
      <c r="P347" s="4">
        <f>B347-D347</f>
        <v/>
      </c>
      <c r="Q347" s="4">
        <f>AVERAGE(P344:P347)</f>
        <v/>
      </c>
      <c r="R347" s="54">
        <f>(M348-M347)/M347</f>
        <v/>
      </c>
      <c r="S347" s="54">
        <f>(M351-M347)/M347</f>
        <v/>
      </c>
      <c r="T347" s="63">
        <f>IF(R347&gt;0,1,"")</f>
        <v/>
      </c>
      <c r="U347" s="63">
        <f>IF(S347&gt;0,1,"")</f>
        <v/>
      </c>
    </row>
    <row r="348">
      <c r="A348" s="35" t="n">
        <v>34319</v>
      </c>
      <c r="B348" s="4" t="n">
        <v>0.33</v>
      </c>
      <c r="C348" s="4" t="n">
        <v>0.38</v>
      </c>
      <c r="D348" s="4" t="n">
        <v>0.29</v>
      </c>
      <c r="E348" s="63" t="n">
        <v>1</v>
      </c>
      <c r="F348" s="63" t="n">
        <v>0.365</v>
      </c>
      <c r="G348" s="63" t="n">
        <v>0.04</v>
      </c>
      <c r="H348" s="63" t="n">
        <v>0.384907436629</v>
      </c>
      <c r="I348" s="63" t="n">
        <v>0.48829287048</v>
      </c>
      <c r="J348" s="63" t="n">
        <v>0.281522002778</v>
      </c>
      <c r="K348" s="63" t="n">
        <v>466.38</v>
      </c>
      <c r="L348" s="63" t="n">
        <v>461.84</v>
      </c>
      <c r="M348" s="63" t="n">
        <v>466.38</v>
      </c>
      <c r="N348" s="54">
        <f>(M349-M348)/M348</f>
        <v/>
      </c>
      <c r="O348" s="54">
        <f>(M352-M348)/M348</f>
        <v/>
      </c>
      <c r="P348" s="4">
        <f>B348-D348</f>
        <v/>
      </c>
      <c r="Q348" s="4">
        <f>AVERAGE(P345:P348)</f>
        <v/>
      </c>
      <c r="R348" s="54">
        <f>(M349-M348)/M348</f>
        <v/>
      </c>
      <c r="S348" s="54">
        <f>(M352-M348)/M348</f>
        <v/>
      </c>
      <c r="T348" s="63">
        <f>IF(R348&gt;0,1,"")</f>
        <v/>
      </c>
      <c r="U348" s="63">
        <f>IF(S348&gt;0,1,"")</f>
        <v/>
      </c>
    </row>
    <row r="349">
      <c r="A349" s="35" t="n">
        <v>34326</v>
      </c>
      <c r="B349" s="4" t="n">
        <v>0.36</v>
      </c>
      <c r="C349" s="4" t="n">
        <v>0.31</v>
      </c>
      <c r="D349" s="4" t="n">
        <v>0.33</v>
      </c>
      <c r="E349" s="63" t="n">
        <v>1</v>
      </c>
      <c r="F349" s="63" t="n">
        <v>0.35625</v>
      </c>
      <c r="G349" s="63" t="n">
        <v>0.03</v>
      </c>
      <c r="H349" s="63" t="n">
        <v>0.384907436629</v>
      </c>
      <c r="I349" s="63" t="n">
        <v>0.48829287048</v>
      </c>
      <c r="J349" s="63" t="n">
        <v>0.281522002778</v>
      </c>
      <c r="K349" s="63" t="n">
        <v>468.97</v>
      </c>
      <c r="L349" s="63" t="n">
        <v>463.34</v>
      </c>
      <c r="M349" s="63" t="n">
        <v>467.38</v>
      </c>
      <c r="N349" s="54">
        <f>(M350-M349)/M349</f>
        <v/>
      </c>
      <c r="O349" s="54">
        <f>(M353-M349)/M349</f>
        <v/>
      </c>
      <c r="P349" s="4">
        <f>B349-D349</f>
        <v/>
      </c>
      <c r="Q349" s="4">
        <f>AVERAGE(P346:P349)</f>
        <v/>
      </c>
      <c r="R349" s="54">
        <f>(M350-M349)/M349</f>
        <v/>
      </c>
      <c r="S349" s="54">
        <f>(M353-M349)/M349</f>
        <v/>
      </c>
      <c r="T349" s="63">
        <f>IF(R349&gt;0,1,"")</f>
        <v/>
      </c>
      <c r="U349" s="63">
        <f>IF(S349&gt;0,1,"")</f>
        <v/>
      </c>
    </row>
    <row r="350">
      <c r="A350" s="35" t="n">
        <v>34333</v>
      </c>
      <c r="B350" s="4" t="n">
        <v>0.44</v>
      </c>
      <c r="C350" s="4" t="n">
        <v>0.28</v>
      </c>
      <c r="D350" s="4" t="n">
        <v>0.28</v>
      </c>
      <c r="E350" s="63" t="n">
        <v>1</v>
      </c>
      <c r="F350" s="63" t="n">
        <v>0.37125</v>
      </c>
      <c r="G350" s="63" t="n">
        <v>0.16</v>
      </c>
      <c r="H350" s="63" t="n">
        <v>0.384907436629</v>
      </c>
      <c r="I350" s="63" t="n">
        <v>0.48829287048</v>
      </c>
      <c r="J350" s="63" t="n">
        <v>0.281522002778</v>
      </c>
      <c r="K350" s="63" t="n">
        <v>471.29</v>
      </c>
      <c r="L350" s="63" t="n">
        <v>466.45</v>
      </c>
      <c r="M350" s="63" t="n">
        <v>466.45</v>
      </c>
      <c r="N350" s="54">
        <f>(M351-M350)/M350</f>
        <v/>
      </c>
      <c r="O350" s="54">
        <f>(M354-M350)/M350</f>
        <v/>
      </c>
      <c r="P350" s="4">
        <f>B350-D350</f>
        <v/>
      </c>
      <c r="Q350" s="4">
        <f>AVERAGE(P347:P350)</f>
        <v/>
      </c>
      <c r="R350" s="54">
        <f>(M351-M350)/M350</f>
        <v/>
      </c>
      <c r="S350" s="54">
        <f>(M354-M350)/M350</f>
        <v/>
      </c>
      <c r="T350" s="63">
        <f>IF(R350&gt;0,1,"")</f>
        <v/>
      </c>
      <c r="U350" s="63">
        <f>IF(S350&gt;0,1,"")</f>
        <v/>
      </c>
    </row>
    <row r="351">
      <c r="A351" s="35" t="n">
        <v>34340</v>
      </c>
      <c r="B351" s="4" t="n">
        <v>0.4</v>
      </c>
      <c r="C351" s="4" t="n">
        <v>0.33</v>
      </c>
      <c r="D351" s="4" t="n">
        <v>0.27</v>
      </c>
      <c r="E351" s="63" t="n">
        <v>1</v>
      </c>
      <c r="F351" s="63" t="n">
        <v>0.3775</v>
      </c>
      <c r="G351" s="63" t="n">
        <v>0.13</v>
      </c>
      <c r="H351" s="63" t="n">
        <v>0.384907436629</v>
      </c>
      <c r="I351" s="63" t="n">
        <v>0.48829287048</v>
      </c>
      <c r="J351" s="63" t="n">
        <v>0.281522002778</v>
      </c>
      <c r="K351" s="63" t="n">
        <v>470.26</v>
      </c>
      <c r="L351" s="63" t="n">
        <v>464.36</v>
      </c>
      <c r="M351" s="63" t="n">
        <v>469.9</v>
      </c>
      <c r="N351" s="54">
        <f>(M352-M351)/M351</f>
        <v/>
      </c>
      <c r="O351" s="54">
        <f>(M355-M351)/M351</f>
        <v/>
      </c>
      <c r="P351" s="4">
        <f>B351-D351</f>
        <v/>
      </c>
      <c r="Q351" s="4">
        <f>AVERAGE(P348:P351)</f>
        <v/>
      </c>
      <c r="R351" s="54">
        <f>(M352-M351)/M351</f>
        <v/>
      </c>
      <c r="S351" s="54">
        <f>(M355-M351)/M351</f>
        <v/>
      </c>
      <c r="T351" s="63">
        <f>IF(R351&gt;0,1,"")</f>
        <v/>
      </c>
      <c r="U351" s="63">
        <f>IF(S351&gt;0,1,"")</f>
        <v/>
      </c>
    </row>
    <row r="352">
      <c r="A352" s="35" t="n">
        <v>34347</v>
      </c>
      <c r="B352" s="4" t="n">
        <v>0.38</v>
      </c>
      <c r="C352" s="4" t="n">
        <v>0.31</v>
      </c>
      <c r="D352" s="4" t="n">
        <v>0.31</v>
      </c>
      <c r="E352" s="63" t="n">
        <v>1</v>
      </c>
      <c r="F352" s="63" t="n">
        <v>0.3825</v>
      </c>
      <c r="G352" s="63" t="n">
        <v>0.07000000000000001</v>
      </c>
      <c r="H352" s="63" t="n">
        <v>0.384907436629</v>
      </c>
      <c r="I352" s="63" t="n">
        <v>0.48829287048</v>
      </c>
      <c r="J352" s="63" t="n">
        <v>0.281522002778</v>
      </c>
      <c r="K352" s="63" t="n">
        <v>475.32</v>
      </c>
      <c r="L352" s="63" t="n">
        <v>467.03</v>
      </c>
      <c r="M352" s="63" t="n">
        <v>474.91</v>
      </c>
      <c r="N352" s="54">
        <f>(M353-M352)/M352</f>
        <v/>
      </c>
      <c r="O352" s="54">
        <f>(M356-M352)/M352</f>
        <v/>
      </c>
      <c r="P352" s="4">
        <f>B352-D352</f>
        <v/>
      </c>
      <c r="Q352" s="4">
        <f>AVERAGE(P349:P352)</f>
        <v/>
      </c>
      <c r="R352" s="54">
        <f>(M353-M352)/M352</f>
        <v/>
      </c>
      <c r="S352" s="54">
        <f>(M356-M352)/M352</f>
        <v/>
      </c>
      <c r="T352" s="63">
        <f>IF(R352&gt;0,1,"")</f>
        <v/>
      </c>
      <c r="U352" s="63">
        <f>IF(S352&gt;0,1,"")</f>
        <v/>
      </c>
    </row>
    <row r="353">
      <c r="A353" s="35" t="n">
        <v>34354</v>
      </c>
      <c r="B353" s="4" t="n">
        <v>0.48</v>
      </c>
      <c r="C353" s="4" t="n">
        <v>0.26</v>
      </c>
      <c r="D353" s="4" t="n">
        <v>0.26</v>
      </c>
      <c r="E353" s="63" t="n">
        <v>1</v>
      </c>
      <c r="F353" s="63" t="n">
        <v>0.38625</v>
      </c>
      <c r="G353" s="63" t="n">
        <v>0.22</v>
      </c>
      <c r="H353" s="63" t="n">
        <v>0.384907436629</v>
      </c>
      <c r="I353" s="63" t="n">
        <v>0.48829287048</v>
      </c>
      <c r="J353" s="63" t="n">
        <v>0.281522002778</v>
      </c>
      <c r="K353" s="63" t="n">
        <v>475.56</v>
      </c>
      <c r="L353" s="63" t="n">
        <v>472.21</v>
      </c>
      <c r="M353" s="63" t="n">
        <v>474.72</v>
      </c>
      <c r="N353" s="54">
        <f>(M354-M353)/M353</f>
        <v/>
      </c>
      <c r="O353" s="54">
        <f>(M357-M353)/M353</f>
        <v/>
      </c>
      <c r="P353" s="4">
        <f>B353-D353</f>
        <v/>
      </c>
      <c r="Q353" s="4">
        <f>AVERAGE(P350:P353)</f>
        <v/>
      </c>
      <c r="R353" s="54">
        <f>(M354-M353)/M353</f>
        <v/>
      </c>
      <c r="S353" s="54">
        <f>(M357-M353)/M353</f>
        <v/>
      </c>
      <c r="T353" s="63">
        <f>IF(R353&gt;0,1,"")</f>
        <v/>
      </c>
      <c r="U353" s="63">
        <f>IF(S353&gt;0,1,"")</f>
        <v/>
      </c>
    </row>
    <row r="354">
      <c r="A354" s="35" t="n">
        <v>34361</v>
      </c>
      <c r="B354" s="4" t="n">
        <v>0.41</v>
      </c>
      <c r="C354" s="4" t="n">
        <v>0.25</v>
      </c>
      <c r="D354" s="4" t="n">
        <v>0.34</v>
      </c>
      <c r="E354" s="63" t="n">
        <v>1</v>
      </c>
      <c r="F354" s="63" t="n">
        <v>0.39625</v>
      </c>
      <c r="G354" s="63" t="n">
        <v>0.07000000000000001</v>
      </c>
      <c r="H354" s="63" t="n">
        <v>0.384907436629</v>
      </c>
      <c r="I354" s="63" t="n">
        <v>0.48829287048</v>
      </c>
      <c r="J354" s="63" t="n">
        <v>0.281522002778</v>
      </c>
      <c r="K354" s="63" t="n">
        <v>479.75</v>
      </c>
      <c r="L354" s="63" t="n">
        <v>470.27</v>
      </c>
      <c r="M354" s="63" t="n">
        <v>478.7</v>
      </c>
      <c r="N354" s="54">
        <f>(M355-M354)/M354</f>
        <v/>
      </c>
      <c r="O354" s="54">
        <f>(M358-M354)/M354</f>
        <v/>
      </c>
      <c r="P354" s="4">
        <f>B354-D354</f>
        <v/>
      </c>
      <c r="Q354" s="4">
        <f>AVERAGE(P351:P354)</f>
        <v/>
      </c>
      <c r="R354" s="54">
        <f>(M355-M354)/M354</f>
        <v/>
      </c>
      <c r="S354" s="54">
        <f>(M358-M354)/M354</f>
        <v/>
      </c>
      <c r="T354" s="63">
        <f>IF(R354&gt;0,1,"")</f>
        <v/>
      </c>
      <c r="U354" s="63">
        <f>IF(S354&gt;0,1,"")</f>
        <v/>
      </c>
    </row>
    <row r="355">
      <c r="A355" s="35" t="n">
        <v>34368</v>
      </c>
      <c r="B355" s="4" t="n">
        <v>0.38</v>
      </c>
      <c r="C355" s="4" t="n">
        <v>0.29</v>
      </c>
      <c r="D355" s="4" t="n">
        <v>0.33</v>
      </c>
      <c r="E355" s="63" t="n">
        <v>1</v>
      </c>
      <c r="F355" s="63" t="n">
        <v>0.3975</v>
      </c>
      <c r="G355" s="63" t="n">
        <v>0.05</v>
      </c>
      <c r="H355" s="63" t="n">
        <v>0.384907436629</v>
      </c>
      <c r="I355" s="63" t="n">
        <v>0.48829287048</v>
      </c>
      <c r="J355" s="63" t="n">
        <v>0.281522002778</v>
      </c>
      <c r="K355" s="63" t="n">
        <v>482.85</v>
      </c>
      <c r="L355" s="63" t="n">
        <v>469.28</v>
      </c>
      <c r="M355" s="63" t="n">
        <v>469.81</v>
      </c>
      <c r="N355" s="54">
        <f>(M356-M355)/M355</f>
        <v/>
      </c>
      <c r="O355" s="54">
        <f>(M359-M355)/M355</f>
        <v/>
      </c>
      <c r="P355" s="4">
        <f>B355-D355</f>
        <v/>
      </c>
      <c r="Q355" s="4">
        <f>AVERAGE(P352:P355)</f>
        <v/>
      </c>
      <c r="R355" s="54">
        <f>(M356-M355)/M355</f>
        <v/>
      </c>
      <c r="S355" s="54">
        <f>(M359-M355)/M355</f>
        <v/>
      </c>
      <c r="T355" s="63">
        <f>IF(R355&gt;0,1,"")</f>
        <v/>
      </c>
      <c r="U355" s="63">
        <f>IF(S355&gt;0,1,"")</f>
        <v/>
      </c>
    </row>
    <row r="356">
      <c r="A356" s="35" t="n">
        <v>34375</v>
      </c>
      <c r="B356" s="4" t="n">
        <v>0.49</v>
      </c>
      <c r="C356" s="4" t="n">
        <v>0.27</v>
      </c>
      <c r="D356" s="4" t="n">
        <v>0.24</v>
      </c>
      <c r="E356" s="63" t="n">
        <v>1</v>
      </c>
      <c r="F356" s="63" t="n">
        <v>0.4175</v>
      </c>
      <c r="G356" s="63" t="n">
        <v>0.25</v>
      </c>
      <c r="H356" s="63" t="n">
        <v>0.384907436629</v>
      </c>
      <c r="I356" s="63" t="n">
        <v>0.48829287048</v>
      </c>
      <c r="J356" s="63" t="n">
        <v>0.281522002778</v>
      </c>
      <c r="K356" s="63" t="n">
        <v>473.13</v>
      </c>
      <c r="L356" s="63" t="n">
        <v>466.89</v>
      </c>
      <c r="M356" s="63" t="n">
        <v>470.18</v>
      </c>
      <c r="N356" s="54">
        <f>(M357-M356)/M356</f>
        <v/>
      </c>
      <c r="O356" s="54">
        <f>(M360-M356)/M356</f>
        <v/>
      </c>
      <c r="P356" s="4">
        <f>B356-D356</f>
        <v/>
      </c>
      <c r="Q356" s="4">
        <f>AVERAGE(P353:P356)</f>
        <v/>
      </c>
      <c r="R356" s="54">
        <f>(M357-M356)/M356</f>
        <v/>
      </c>
      <c r="S356" s="54">
        <f>(M360-M356)/M356</f>
        <v/>
      </c>
      <c r="T356" s="63">
        <f>IF(R356&gt;0,1,"")</f>
        <v/>
      </c>
      <c r="U356" s="63">
        <f>IF(S356&gt;0,1,"")</f>
        <v/>
      </c>
    </row>
    <row r="357">
      <c r="A357" s="35" t="n">
        <v>34382</v>
      </c>
      <c r="B357" s="4" t="n">
        <v>0.4</v>
      </c>
      <c r="C357" s="4" t="n">
        <v>0.36</v>
      </c>
      <c r="D357" s="4" t="n">
        <v>0.24</v>
      </c>
      <c r="E357" s="63" t="n">
        <v>1</v>
      </c>
      <c r="F357" s="63" t="n">
        <v>0.4225</v>
      </c>
      <c r="G357" s="63" t="n">
        <v>0.16</v>
      </c>
      <c r="H357" s="63" t="n">
        <v>0.384907436629</v>
      </c>
      <c r="I357" s="63" t="n">
        <v>0.48829287048</v>
      </c>
      <c r="J357" s="63" t="n">
        <v>0.281522002778</v>
      </c>
      <c r="K357" s="63" t="n">
        <v>475.13</v>
      </c>
      <c r="L357" s="63" t="n">
        <v>466.07</v>
      </c>
      <c r="M357" s="63" t="n">
        <v>467.69</v>
      </c>
      <c r="N357" s="54">
        <f>(M358-M357)/M357</f>
        <v/>
      </c>
      <c r="O357" s="54">
        <f>(M361-M357)/M357</f>
        <v/>
      </c>
      <c r="P357" s="4">
        <f>B357-D357</f>
        <v/>
      </c>
      <c r="Q357" s="4">
        <f>AVERAGE(P354:P357)</f>
        <v/>
      </c>
      <c r="R357" s="54">
        <f>(M358-M357)/M357</f>
        <v/>
      </c>
      <c r="S357" s="54">
        <f>(M361-M357)/M357</f>
        <v/>
      </c>
      <c r="T357" s="63">
        <f>IF(R357&gt;0,1,"")</f>
        <v/>
      </c>
      <c r="U357" s="63">
        <f>IF(S357&gt;0,1,"")</f>
        <v/>
      </c>
    </row>
    <row r="358">
      <c r="A358" s="35" t="n">
        <v>34389</v>
      </c>
      <c r="B358" s="4" t="n">
        <v>0.41</v>
      </c>
      <c r="C358" s="4" t="n">
        <v>0.3</v>
      </c>
      <c r="D358" s="4" t="n">
        <v>0.29</v>
      </c>
      <c r="E358" s="63" t="n">
        <v>1</v>
      </c>
      <c r="F358" s="63" t="n">
        <v>0.41875</v>
      </c>
      <c r="G358" s="63" t="n">
        <v>0.12</v>
      </c>
      <c r="H358" s="63" t="n">
        <v>0.384907436629</v>
      </c>
      <c r="I358" s="63" t="n">
        <v>0.48829287048</v>
      </c>
      <c r="J358" s="63" t="n">
        <v>0.281522002778</v>
      </c>
      <c r="K358" s="63" t="n">
        <v>472.41</v>
      </c>
      <c r="L358" s="63" t="n">
        <v>464.26</v>
      </c>
      <c r="M358" s="63" t="n">
        <v>466.07</v>
      </c>
      <c r="N358" s="54">
        <f>(M359-M358)/M358</f>
        <v/>
      </c>
      <c r="O358" s="54">
        <f>(M362-M358)/M358</f>
        <v/>
      </c>
      <c r="P358" s="4">
        <f>B358-D358</f>
        <v/>
      </c>
      <c r="Q358" s="4">
        <f>AVERAGE(P355:P358)</f>
        <v/>
      </c>
      <c r="R358" s="54">
        <f>(M359-M358)/M358</f>
        <v/>
      </c>
      <c r="S358" s="54">
        <f>(M362-M358)/M358</f>
        <v/>
      </c>
      <c r="T358" s="63">
        <f>IF(R358&gt;0,1,"")</f>
        <v/>
      </c>
      <c r="U358" s="63">
        <f>IF(S358&gt;0,1,"")</f>
        <v/>
      </c>
    </row>
    <row r="359">
      <c r="A359" s="35" t="n">
        <v>34396</v>
      </c>
      <c r="B359" s="4" t="n">
        <v>0.31</v>
      </c>
      <c r="C359" s="4" t="n">
        <v>0.42</v>
      </c>
      <c r="D359" s="4" t="n">
        <v>0.27</v>
      </c>
      <c r="E359" s="63" t="n">
        <v>1</v>
      </c>
      <c r="F359" s="63" t="n">
        <v>0.4075</v>
      </c>
      <c r="G359" s="63" t="n">
        <v>0.04</v>
      </c>
      <c r="H359" s="63" t="n">
        <v>0.384907436629</v>
      </c>
      <c r="I359" s="63" t="n">
        <v>0.48829287048</v>
      </c>
      <c r="J359" s="63" t="n">
        <v>0.281522002778</v>
      </c>
      <c r="K359" s="63" t="n">
        <v>469.16</v>
      </c>
      <c r="L359" s="63" t="n">
        <v>457.67</v>
      </c>
      <c r="M359" s="63" t="n">
        <v>464.74</v>
      </c>
      <c r="N359" s="54">
        <f>(M360-M359)/M359</f>
        <v/>
      </c>
      <c r="O359" s="54">
        <f>(M363-M359)/M359</f>
        <v/>
      </c>
      <c r="P359" s="4">
        <f>B359-D359</f>
        <v/>
      </c>
      <c r="Q359" s="4">
        <f>AVERAGE(P356:P359)</f>
        <v/>
      </c>
      <c r="R359" s="54">
        <f>(M360-M359)/M359</f>
        <v/>
      </c>
      <c r="S359" s="54">
        <f>(M363-M359)/M359</f>
        <v/>
      </c>
      <c r="T359" s="63">
        <f>IF(R359&gt;0,1,"")</f>
        <v/>
      </c>
      <c r="U359" s="63">
        <f>IF(S359&gt;0,1,"")</f>
        <v/>
      </c>
    </row>
    <row r="360">
      <c r="A360" s="35" t="n">
        <v>34403</v>
      </c>
      <c r="B360" s="4" t="n">
        <v>0.29</v>
      </c>
      <c r="C360" s="4" t="n">
        <v>0.34</v>
      </c>
      <c r="D360" s="4" t="n">
        <v>0.37</v>
      </c>
      <c r="E360" s="63" t="n">
        <v>1</v>
      </c>
      <c r="F360" s="63" t="n">
        <v>0.39625</v>
      </c>
      <c r="G360" s="63" t="n">
        <v>-0.08</v>
      </c>
      <c r="H360" s="63" t="n">
        <v>0.384907436629</v>
      </c>
      <c r="I360" s="63" t="n">
        <v>0.48829287048</v>
      </c>
      <c r="J360" s="63" t="n">
        <v>0.281522002778</v>
      </c>
      <c r="K360" s="63" t="n">
        <v>468.07</v>
      </c>
      <c r="L360" s="63" t="n">
        <v>462.46</v>
      </c>
      <c r="M360" s="63" t="n">
        <v>466.44</v>
      </c>
      <c r="N360" s="54">
        <f>(M361-M360)/M360</f>
        <v/>
      </c>
      <c r="O360" s="54">
        <f>(M364-M360)/M360</f>
        <v/>
      </c>
      <c r="P360" s="4">
        <f>B360-D360</f>
        <v/>
      </c>
      <c r="Q360" s="4">
        <f>AVERAGE(P357:P360)</f>
        <v/>
      </c>
      <c r="R360" s="54">
        <f>(M361-M360)/M360</f>
        <v/>
      </c>
      <c r="S360" s="54">
        <f>(M364-M360)/M360</f>
        <v/>
      </c>
      <c r="T360" s="63">
        <f>IF(R360&gt;0,1,"")</f>
        <v/>
      </c>
      <c r="U360" s="63">
        <f>IF(S360&gt;0,1,"")</f>
        <v/>
      </c>
    </row>
    <row r="361">
      <c r="A361" s="35" t="n">
        <v>34410</v>
      </c>
      <c r="B361" s="4" t="n">
        <v>0.24</v>
      </c>
      <c r="C361" s="4" t="n">
        <v>0.41</v>
      </c>
      <c r="D361" s="4" t="n">
        <v>0.35</v>
      </c>
      <c r="E361" s="63" t="n">
        <v>1</v>
      </c>
      <c r="F361" s="63" t="n">
        <v>0.36625</v>
      </c>
      <c r="G361" s="63" t="n">
        <v>-0.11</v>
      </c>
      <c r="H361" s="63" t="n">
        <v>0.384907436629</v>
      </c>
      <c r="I361" s="63" t="n">
        <v>0.48829287048</v>
      </c>
      <c r="J361" s="63" t="n">
        <v>0.281522002778</v>
      </c>
      <c r="K361" s="63" t="n">
        <v>471.09</v>
      </c>
      <c r="L361" s="63" t="n">
        <v>465.48</v>
      </c>
      <c r="M361" s="63" t="n">
        <v>471.06</v>
      </c>
      <c r="N361" s="54">
        <f>(M362-M361)/M361</f>
        <v/>
      </c>
      <c r="O361" s="54">
        <f>(M365-M361)/M361</f>
        <v/>
      </c>
      <c r="P361" s="4">
        <f>B361-D361</f>
        <v/>
      </c>
      <c r="Q361" s="4">
        <f>AVERAGE(P358:P361)</f>
        <v/>
      </c>
      <c r="R361" s="54">
        <f>(M362-M361)/M361</f>
        <v/>
      </c>
      <c r="S361" s="54">
        <f>(M365-M361)/M361</f>
        <v/>
      </c>
      <c r="T361" s="63">
        <f>IF(R361&gt;0,1,"")</f>
        <v/>
      </c>
      <c r="U361" s="63">
        <f>IF(S361&gt;0,1,"")</f>
        <v/>
      </c>
    </row>
    <row r="362">
      <c r="A362" s="35" t="n">
        <v>34417</v>
      </c>
      <c r="B362" s="4" t="n">
        <v>0.29</v>
      </c>
      <c r="C362" s="4" t="n">
        <v>0.37</v>
      </c>
      <c r="D362" s="4" t="n">
        <v>0.34</v>
      </c>
      <c r="E362" s="63" t="n">
        <v>1</v>
      </c>
      <c r="F362" s="63" t="n">
        <v>0.35125</v>
      </c>
      <c r="G362" s="63" t="n">
        <v>-0.05</v>
      </c>
      <c r="H362" s="63" t="n">
        <v>0.384907436629</v>
      </c>
      <c r="I362" s="63" t="n">
        <v>0.48829287048</v>
      </c>
      <c r="J362" s="63" t="n">
        <v>0.281522002778</v>
      </c>
      <c r="K362" s="63" t="n">
        <v>471.06</v>
      </c>
      <c r="L362" s="63" t="n">
        <v>460.58</v>
      </c>
      <c r="M362" s="63" t="n">
        <v>460.58</v>
      </c>
      <c r="N362" s="54">
        <f>(M363-M362)/M362</f>
        <v/>
      </c>
      <c r="O362" s="54">
        <f>(M366-M362)/M362</f>
        <v/>
      </c>
      <c r="P362" s="4">
        <f>B362-D362</f>
        <v/>
      </c>
      <c r="Q362" s="4">
        <f>AVERAGE(P359:P362)</f>
        <v/>
      </c>
      <c r="R362" s="54">
        <f>(M363-M362)/M362</f>
        <v/>
      </c>
      <c r="S362" s="54">
        <f>(M366-M362)/M362</f>
        <v/>
      </c>
      <c r="T362" s="63">
        <f>IF(R362&gt;0,1,"")</f>
        <v/>
      </c>
      <c r="U362" s="63">
        <f>IF(S362&gt;0,1,"")</f>
        <v/>
      </c>
    </row>
    <row r="363">
      <c r="A363" s="35" t="n">
        <v>34424</v>
      </c>
      <c r="B363" s="4" t="n">
        <v>0.23</v>
      </c>
      <c r="C363" s="4" t="n">
        <v>0.33</v>
      </c>
      <c r="D363" s="4" t="n">
        <v>0.44</v>
      </c>
      <c r="E363" s="63" t="n">
        <v>1</v>
      </c>
      <c r="F363" s="63" t="n">
        <v>0.3325</v>
      </c>
      <c r="G363" s="63" t="n">
        <v>-0.21</v>
      </c>
      <c r="H363" s="63" t="n">
        <v>0.384907436629</v>
      </c>
      <c r="I363" s="63" t="n">
        <v>0.48829287048</v>
      </c>
      <c r="J363" s="63" t="n">
        <v>0.281522002778</v>
      </c>
      <c r="K363" s="63" t="n">
        <v>465.29</v>
      </c>
      <c r="L363" s="63" t="n">
        <v>436.16</v>
      </c>
      <c r="M363" s="63" t="n">
        <v>445.77</v>
      </c>
      <c r="N363" s="54">
        <f>(M364-M363)/M363</f>
        <v/>
      </c>
      <c r="O363" s="54">
        <f>(M367-M363)/M363</f>
        <v/>
      </c>
      <c r="P363" s="4">
        <f>B363-D363</f>
        <v/>
      </c>
      <c r="Q363" s="4">
        <f>AVERAGE(P360:P363)</f>
        <v/>
      </c>
      <c r="R363" s="54">
        <f>(M364-M363)/M363</f>
        <v/>
      </c>
      <c r="S363" s="54">
        <f>(M367-M363)/M363</f>
        <v/>
      </c>
      <c r="T363" s="63">
        <f>IF(R363&gt;0,1,"")</f>
        <v/>
      </c>
      <c r="U363" s="63">
        <f>IF(S363&gt;0,1,"")</f>
        <v/>
      </c>
    </row>
    <row r="364">
      <c r="A364" s="35" t="n">
        <v>34431</v>
      </c>
      <c r="B364" s="4" t="n">
        <v>0.28</v>
      </c>
      <c r="C364" s="4" t="n">
        <v>0.31</v>
      </c>
      <c r="D364" s="4" t="n">
        <v>0.41</v>
      </c>
      <c r="E364" s="63" t="n">
        <v>1</v>
      </c>
      <c r="F364" s="63" t="n">
        <v>0.30625</v>
      </c>
      <c r="G364" s="63" t="n">
        <v>-0.13</v>
      </c>
      <c r="H364" s="63" t="n">
        <v>0.384907436629</v>
      </c>
      <c r="I364" s="63" t="n">
        <v>0.48829287048</v>
      </c>
      <c r="J364" s="63" t="n">
        <v>0.281522002778</v>
      </c>
      <c r="K364" s="63" t="n">
        <v>451.1</v>
      </c>
      <c r="L364" s="63" t="n">
        <v>435.86</v>
      </c>
      <c r="M364" s="63" t="n">
        <v>447.1</v>
      </c>
      <c r="N364" s="54">
        <f>(M365-M364)/M364</f>
        <v/>
      </c>
      <c r="O364" s="54">
        <f>(M368-M364)/M364</f>
        <v/>
      </c>
      <c r="P364" s="4">
        <f>B364-D364</f>
        <v/>
      </c>
      <c r="Q364" s="4">
        <f>AVERAGE(P361:P364)</f>
        <v/>
      </c>
      <c r="R364" s="54">
        <f>(M365-M364)/M364</f>
        <v/>
      </c>
      <c r="S364" s="54">
        <f>(M368-M364)/M364</f>
        <v/>
      </c>
      <c r="T364" s="63">
        <f>IF(R364&gt;0,1,"")</f>
        <v/>
      </c>
      <c r="U364" s="63">
        <f>IF(S364&gt;0,1,"")</f>
        <v/>
      </c>
    </row>
    <row r="365">
      <c r="A365" s="35" t="n">
        <v>34438</v>
      </c>
      <c r="B365" s="4" t="n">
        <v>0.29</v>
      </c>
      <c r="C365" s="4" t="n">
        <v>0.23</v>
      </c>
      <c r="D365" s="4" t="n">
        <v>0.48</v>
      </c>
      <c r="E365" s="63" t="n">
        <v>1</v>
      </c>
      <c r="F365" s="63" t="n">
        <v>0.2925</v>
      </c>
      <c r="G365" s="63" t="n">
        <v>-0.19</v>
      </c>
      <c r="H365" s="63" t="n">
        <v>0.384907436629</v>
      </c>
      <c r="I365" s="63" t="n">
        <v>0.48829287048</v>
      </c>
      <c r="J365" s="63" t="n">
        <v>0.281522002778</v>
      </c>
      <c r="K365" s="63" t="n">
        <v>450.89</v>
      </c>
      <c r="L365" s="63" t="n">
        <v>442.62</v>
      </c>
      <c r="M365" s="63" t="n">
        <v>446.18</v>
      </c>
      <c r="N365" s="54">
        <f>(M366-M365)/M365</f>
        <v/>
      </c>
      <c r="O365" s="54">
        <f>(M369-M365)/M365</f>
        <v/>
      </c>
      <c r="P365" s="4">
        <f>B365-D365</f>
        <v/>
      </c>
      <c r="Q365" s="4">
        <f>AVERAGE(P362:P365)</f>
        <v/>
      </c>
      <c r="R365" s="54">
        <f>(M366-M365)/M365</f>
        <v/>
      </c>
      <c r="S365" s="54">
        <f>(M369-M365)/M365</f>
        <v/>
      </c>
      <c r="T365" s="63">
        <f>IF(R365&gt;0,1,"")</f>
        <v/>
      </c>
      <c r="U365" s="63">
        <f>IF(S365&gt;0,1,"")</f>
        <v/>
      </c>
    </row>
    <row r="366">
      <c r="A366" s="35" t="n">
        <v>34445</v>
      </c>
      <c r="B366" s="4" t="n">
        <v>0.26</v>
      </c>
      <c r="C366" s="4" t="n">
        <v>0.41</v>
      </c>
      <c r="D366" s="4" t="n">
        <v>0.33</v>
      </c>
      <c r="E366" s="63" t="n">
        <v>1</v>
      </c>
      <c r="F366" s="63" t="n">
        <v>0.27375</v>
      </c>
      <c r="G366" s="63" t="n">
        <v>-0.07000000000000001</v>
      </c>
      <c r="H366" s="63" t="n">
        <v>0.384907436629</v>
      </c>
      <c r="I366" s="63" t="n">
        <v>0.48829287048</v>
      </c>
      <c r="J366" s="63" t="n">
        <v>0.281522002778</v>
      </c>
      <c r="K366" s="63" t="n">
        <v>449.96</v>
      </c>
      <c r="L366" s="63" t="n">
        <v>438.83</v>
      </c>
      <c r="M366" s="63" t="n">
        <v>447.63</v>
      </c>
      <c r="N366" s="54">
        <f>(M367-M366)/M366</f>
        <v/>
      </c>
      <c r="O366" s="54">
        <f>(M370-M366)/M366</f>
        <v/>
      </c>
      <c r="P366" s="4">
        <f>B366-D366</f>
        <v/>
      </c>
      <c r="Q366" s="4">
        <f>AVERAGE(P363:P366)</f>
        <v/>
      </c>
      <c r="R366" s="54">
        <f>(M367-M366)/M366</f>
        <v/>
      </c>
      <c r="S366" s="54">
        <f>(M370-M366)/M366</f>
        <v/>
      </c>
      <c r="T366" s="63">
        <f>IF(R366&gt;0,1,"")</f>
        <v/>
      </c>
      <c r="U366" s="63">
        <f>IF(S366&gt;0,1,"")</f>
        <v/>
      </c>
    </row>
    <row r="367">
      <c r="A367" s="35" t="n">
        <v>34452</v>
      </c>
      <c r="B367" s="4" t="n">
        <v>0.27</v>
      </c>
      <c r="C367" s="4" t="n">
        <v>0.35</v>
      </c>
      <c r="D367" s="4" t="n">
        <v>0.38</v>
      </c>
      <c r="E367" s="63" t="n">
        <v>1</v>
      </c>
      <c r="F367" s="63" t="n">
        <v>0.26875</v>
      </c>
      <c r="G367" s="63" t="n">
        <v>-0.11</v>
      </c>
      <c r="H367" s="63" t="n">
        <v>0.384907436629</v>
      </c>
      <c r="I367" s="63" t="n">
        <v>0.48829287048</v>
      </c>
      <c r="J367" s="63" t="n">
        <v>0.281522002778</v>
      </c>
      <c r="K367" s="63" t="n">
        <v>452.79</v>
      </c>
      <c r="L367" s="63" t="n">
        <v>447.58</v>
      </c>
      <c r="M367" s="63" t="n">
        <v>450.91</v>
      </c>
      <c r="N367" s="54">
        <f>(M368-M367)/M367</f>
        <v/>
      </c>
      <c r="O367" s="54">
        <f>(M371-M367)/M367</f>
        <v/>
      </c>
      <c r="P367" s="4">
        <f>B367-D367</f>
        <v/>
      </c>
      <c r="Q367" s="4">
        <f>AVERAGE(P364:P367)</f>
        <v/>
      </c>
      <c r="R367" s="54">
        <f>(M368-M367)/M367</f>
        <v/>
      </c>
      <c r="S367" s="54">
        <f>(M371-M367)/M367</f>
        <v/>
      </c>
      <c r="T367" s="63">
        <f>IF(R367&gt;0,1,"")</f>
        <v/>
      </c>
      <c r="U367" s="63">
        <f>IF(S367&gt;0,1,"")</f>
        <v/>
      </c>
    </row>
    <row r="368">
      <c r="A368" s="35" t="n">
        <v>34459</v>
      </c>
      <c r="B368" s="4" t="n">
        <v>0.32</v>
      </c>
      <c r="C368" s="4" t="n">
        <v>0.32</v>
      </c>
      <c r="D368" s="4" t="n">
        <v>0.36</v>
      </c>
      <c r="E368" s="63" t="n">
        <v>1</v>
      </c>
      <c r="F368" s="63" t="n">
        <v>0.2725</v>
      </c>
      <c r="G368" s="63" t="n">
        <v>-0.04</v>
      </c>
      <c r="H368" s="63" t="n">
        <v>0.384907436629</v>
      </c>
      <c r="I368" s="63" t="n">
        <v>0.48829287048</v>
      </c>
      <c r="J368" s="63" t="n">
        <v>0.281522002778</v>
      </c>
      <c r="K368" s="63" t="n">
        <v>453.98</v>
      </c>
      <c r="L368" s="63" t="n">
        <v>445.64</v>
      </c>
      <c r="M368" s="63" t="n">
        <v>447.82</v>
      </c>
      <c r="N368" s="54">
        <f>(M369-M368)/M368</f>
        <v/>
      </c>
      <c r="O368" s="54">
        <f>(M372-M368)/M368</f>
        <v/>
      </c>
      <c r="P368" s="4">
        <f>B368-D368</f>
        <v/>
      </c>
      <c r="Q368" s="4">
        <f>AVERAGE(P365:P368)</f>
        <v/>
      </c>
      <c r="R368" s="54">
        <f>(M369-M368)/M368</f>
        <v/>
      </c>
      <c r="S368" s="54">
        <f>(M372-M368)/M368</f>
        <v/>
      </c>
      <c r="T368" s="63">
        <f>IF(R368&gt;0,1,"")</f>
        <v/>
      </c>
      <c r="U368" s="63">
        <f>IF(S368&gt;0,1,"")</f>
        <v/>
      </c>
    </row>
    <row r="369">
      <c r="A369" s="35" t="n">
        <v>34466</v>
      </c>
      <c r="B369" s="4" t="n">
        <v>0.38</v>
      </c>
      <c r="C369" s="4" t="n">
        <v>0.32</v>
      </c>
      <c r="D369" s="4" t="n">
        <v>0.3</v>
      </c>
      <c r="E369" s="63" t="n">
        <v>1</v>
      </c>
      <c r="F369" s="63" t="n">
        <v>0.29</v>
      </c>
      <c r="G369" s="63" t="n">
        <v>0.08</v>
      </c>
      <c r="H369" s="63" t="n">
        <v>0.384907436629</v>
      </c>
      <c r="I369" s="63" t="n">
        <v>0.48829287048</v>
      </c>
      <c r="J369" s="63" t="n">
        <v>0.281522002778</v>
      </c>
      <c r="K369" s="63" t="n">
        <v>447.82</v>
      </c>
      <c r="L369" s="63" t="n">
        <v>440.78</v>
      </c>
      <c r="M369" s="63" t="n">
        <v>444.14</v>
      </c>
      <c r="N369" s="54">
        <f>(M370-M369)/M369</f>
        <v/>
      </c>
      <c r="O369" s="54">
        <f>(M373-M369)/M369</f>
        <v/>
      </c>
      <c r="P369" s="4">
        <f>B369-D369</f>
        <v/>
      </c>
      <c r="Q369" s="4">
        <f>AVERAGE(P366:P369)</f>
        <v/>
      </c>
      <c r="R369" s="54">
        <f>(M370-M369)/M369</f>
        <v/>
      </c>
      <c r="S369" s="54">
        <f>(M373-M369)/M369</f>
        <v/>
      </c>
      <c r="T369" s="63">
        <f>IF(R369&gt;0,1,"")</f>
        <v/>
      </c>
      <c r="U369" s="63">
        <f>IF(S369&gt;0,1,"")</f>
        <v/>
      </c>
    </row>
    <row r="370">
      <c r="A370" s="35" t="n">
        <v>34473</v>
      </c>
      <c r="B370" s="4" t="n">
        <v>0.22</v>
      </c>
      <c r="C370" s="4" t="n">
        <v>0.36</v>
      </c>
      <c r="D370" s="4" t="n">
        <v>0.42</v>
      </c>
      <c r="E370" s="63" t="n">
        <v>1</v>
      </c>
      <c r="F370" s="63" t="n">
        <v>0.28125</v>
      </c>
      <c r="G370" s="63" t="n">
        <v>-0.2</v>
      </c>
      <c r="H370" s="63" t="n">
        <v>0.384907436629</v>
      </c>
      <c r="I370" s="63" t="n">
        <v>0.48829287048</v>
      </c>
      <c r="J370" s="63" t="n">
        <v>0.281522002778</v>
      </c>
      <c r="K370" s="63" t="n">
        <v>456.88</v>
      </c>
      <c r="L370" s="63" t="n">
        <v>443.62</v>
      </c>
      <c r="M370" s="63" t="n">
        <v>454.92</v>
      </c>
      <c r="N370" s="54">
        <f>(M371-M370)/M370</f>
        <v/>
      </c>
      <c r="O370" s="54">
        <f>(M374-M370)/M370</f>
        <v/>
      </c>
      <c r="P370" s="4">
        <f>B370-D370</f>
        <v/>
      </c>
      <c r="Q370" s="4">
        <f>AVERAGE(P367:P370)</f>
        <v/>
      </c>
      <c r="R370" s="54">
        <f>(M371-M370)/M370</f>
        <v/>
      </c>
      <c r="S370" s="54">
        <f>(M374-M370)/M370</f>
        <v/>
      </c>
      <c r="T370" s="63">
        <f>IF(R370&gt;0,1,"")</f>
        <v/>
      </c>
      <c r="U370" s="63">
        <f>IF(S370&gt;0,1,"")</f>
        <v/>
      </c>
    </row>
    <row r="371">
      <c r="A371" s="35" t="n">
        <v>34480</v>
      </c>
      <c r="B371" s="4" t="n">
        <v>0.29</v>
      </c>
      <c r="C371" s="4" t="n">
        <v>0.33</v>
      </c>
      <c r="D371" s="4" t="n">
        <v>0.38</v>
      </c>
      <c r="E371" s="63" t="n">
        <v>1</v>
      </c>
      <c r="F371" s="63" t="n">
        <v>0.28875</v>
      </c>
      <c r="G371" s="63" t="n">
        <v>-0.09</v>
      </c>
      <c r="H371" s="63" t="n">
        <v>0.384907436629</v>
      </c>
      <c r="I371" s="63" t="n">
        <v>0.48829287048</v>
      </c>
      <c r="J371" s="63" t="n">
        <v>0.281522002778</v>
      </c>
      <c r="K371" s="63" t="n">
        <v>457.77</v>
      </c>
      <c r="L371" s="63" t="n">
        <v>451.79</v>
      </c>
      <c r="M371" s="63" t="n">
        <v>457.33</v>
      </c>
      <c r="N371" s="54">
        <f>(M372-M371)/M371</f>
        <v/>
      </c>
      <c r="O371" s="54">
        <f>(M375-M371)/M371</f>
        <v/>
      </c>
      <c r="P371" s="4">
        <f>B371-D371</f>
        <v/>
      </c>
      <c r="Q371" s="4">
        <f>AVERAGE(P368:P371)</f>
        <v/>
      </c>
      <c r="R371" s="54">
        <f>(M372-M371)/M371</f>
        <v/>
      </c>
      <c r="S371" s="54">
        <f>(M375-M371)/M371</f>
        <v/>
      </c>
      <c r="T371" s="63">
        <f>IF(R371&gt;0,1,"")</f>
        <v/>
      </c>
      <c r="U371" s="63">
        <f>IF(S371&gt;0,1,"")</f>
        <v/>
      </c>
    </row>
    <row r="372">
      <c r="A372" s="35" t="n">
        <v>34487</v>
      </c>
      <c r="B372" s="4" t="n">
        <v>0.39</v>
      </c>
      <c r="C372" s="4" t="n">
        <v>0.36</v>
      </c>
      <c r="D372" s="4" t="n">
        <v>0.25</v>
      </c>
      <c r="E372" s="63" t="n">
        <v>1</v>
      </c>
      <c r="F372" s="63" t="n">
        <v>0.3025</v>
      </c>
      <c r="G372" s="63" t="n">
        <v>0.14</v>
      </c>
      <c r="H372" s="63" t="n">
        <v>0.384907436629</v>
      </c>
      <c r="I372" s="63" t="n">
        <v>0.48829287048</v>
      </c>
      <c r="J372" s="63" t="n">
        <v>0.281522002778</v>
      </c>
      <c r="K372" s="63" t="n">
        <v>460.86</v>
      </c>
      <c r="L372" s="63" t="n">
        <v>453.99</v>
      </c>
      <c r="M372" s="63" t="n">
        <v>460.13</v>
      </c>
      <c r="N372" s="54">
        <f>(M373-M372)/M372</f>
        <v/>
      </c>
      <c r="O372" s="54">
        <f>(M376-M372)/M372</f>
        <v/>
      </c>
      <c r="P372" s="4">
        <f>B372-D372</f>
        <v/>
      </c>
      <c r="Q372" s="4">
        <f>AVERAGE(P369:P372)</f>
        <v/>
      </c>
      <c r="R372" s="54">
        <f>(M373-M372)/M372</f>
        <v/>
      </c>
      <c r="S372" s="54">
        <f>(M376-M372)/M372</f>
        <v/>
      </c>
      <c r="T372" s="63">
        <f>IF(R372&gt;0,1,"")</f>
        <v/>
      </c>
      <c r="U372" s="63">
        <f>IF(S372&gt;0,1,"")</f>
        <v/>
      </c>
    </row>
    <row r="373">
      <c r="A373" s="35" t="n">
        <v>34494</v>
      </c>
      <c r="B373" s="4" t="n">
        <v>0.28</v>
      </c>
      <c r="C373" s="4" t="n">
        <v>0.47</v>
      </c>
      <c r="D373" s="4" t="n">
        <v>0.25</v>
      </c>
      <c r="E373" s="63" t="n">
        <v>1</v>
      </c>
      <c r="F373" s="63" t="n">
        <v>0.30125</v>
      </c>
      <c r="G373" s="63" t="n">
        <v>0.03</v>
      </c>
      <c r="H373" s="63" t="n">
        <v>0.384907436629</v>
      </c>
      <c r="I373" s="63" t="n">
        <v>0.48829287048</v>
      </c>
      <c r="J373" s="63" t="n">
        <v>0.281522002778</v>
      </c>
      <c r="K373" s="63" t="n">
        <v>461.87</v>
      </c>
      <c r="L373" s="63" t="n">
        <v>455.43</v>
      </c>
      <c r="M373" s="63" t="n">
        <v>458.67</v>
      </c>
      <c r="N373" s="54">
        <f>(M374-M373)/M373</f>
        <v/>
      </c>
      <c r="O373" s="54">
        <f>(M377-M373)/M373</f>
        <v/>
      </c>
      <c r="P373" s="4">
        <f>B373-D373</f>
        <v/>
      </c>
      <c r="Q373" s="4">
        <f>AVERAGE(P370:P373)</f>
        <v/>
      </c>
      <c r="R373" s="54">
        <f>(M374-M373)/M373</f>
        <v/>
      </c>
      <c r="S373" s="54">
        <f>(M377-M373)/M373</f>
        <v/>
      </c>
      <c r="T373" s="63">
        <f>IF(R373&gt;0,1,"")</f>
        <v/>
      </c>
      <c r="U373" s="63">
        <f>IF(S373&gt;0,1,"")</f>
        <v/>
      </c>
    </row>
    <row r="374">
      <c r="A374" s="35" t="n">
        <v>34501</v>
      </c>
      <c r="B374" s="4" t="n">
        <v>0.32</v>
      </c>
      <c r="C374" s="4" t="n">
        <v>0.42</v>
      </c>
      <c r="D374" s="4" t="n">
        <v>0.26</v>
      </c>
      <c r="E374" s="63" t="n">
        <v>1</v>
      </c>
      <c r="F374" s="63" t="n">
        <v>0.30875</v>
      </c>
      <c r="G374" s="63" t="n">
        <v>0.06</v>
      </c>
      <c r="H374" s="63" t="n">
        <v>0.384907436629</v>
      </c>
      <c r="I374" s="63" t="n">
        <v>0.48829287048</v>
      </c>
      <c r="J374" s="63" t="n">
        <v>0.281522002778</v>
      </c>
      <c r="K374" s="63" t="n">
        <v>463.23</v>
      </c>
      <c r="L374" s="63" t="n">
        <v>457.18</v>
      </c>
      <c r="M374" s="63" t="n">
        <v>458.45</v>
      </c>
      <c r="N374" s="54">
        <f>(M375-M374)/M374</f>
        <v/>
      </c>
      <c r="O374" s="54">
        <f>(M378-M374)/M374</f>
        <v/>
      </c>
      <c r="P374" s="4">
        <f>B374-D374</f>
        <v/>
      </c>
      <c r="Q374" s="4">
        <f>AVERAGE(P371:P374)</f>
        <v/>
      </c>
      <c r="R374" s="54">
        <f>(M375-M374)/M374</f>
        <v/>
      </c>
      <c r="S374" s="54">
        <f>(M378-M374)/M374</f>
        <v/>
      </c>
      <c r="T374" s="63">
        <f>IF(R374&gt;0,1,"")</f>
        <v/>
      </c>
      <c r="U374" s="63">
        <f>IF(S374&gt;0,1,"")</f>
        <v/>
      </c>
    </row>
    <row r="375">
      <c r="A375" s="35" t="n">
        <v>34508</v>
      </c>
      <c r="B375" s="4" t="n">
        <v>0.29</v>
      </c>
      <c r="C375" s="4" t="n">
        <v>0.45</v>
      </c>
      <c r="D375" s="4" t="n">
        <v>0.26</v>
      </c>
      <c r="E375" s="63" t="n">
        <v>1</v>
      </c>
      <c r="F375" s="63" t="n">
        <v>0.31125</v>
      </c>
      <c r="G375" s="63" t="n">
        <v>0.03</v>
      </c>
      <c r="H375" s="63" t="n">
        <v>0.384907436629</v>
      </c>
      <c r="I375" s="63" t="n">
        <v>0.48829287048</v>
      </c>
      <c r="J375" s="63" t="n">
        <v>0.281522002778</v>
      </c>
      <c r="K375" s="63" t="n">
        <v>458.45</v>
      </c>
      <c r="L375" s="63" t="n">
        <v>442.51</v>
      </c>
      <c r="M375" s="63" t="n">
        <v>442.8</v>
      </c>
      <c r="N375" s="54">
        <f>(M376-M375)/M375</f>
        <v/>
      </c>
      <c r="O375" s="54">
        <f>(M379-M375)/M375</f>
        <v/>
      </c>
      <c r="P375" s="4">
        <f>B375-D375</f>
        <v/>
      </c>
      <c r="Q375" s="4">
        <f>AVERAGE(P372:P375)</f>
        <v/>
      </c>
      <c r="R375" s="54">
        <f>(M376-M375)/M375</f>
        <v/>
      </c>
      <c r="S375" s="54">
        <f>(M379-M375)/M375</f>
        <v/>
      </c>
      <c r="T375" s="63">
        <f>IF(R375&gt;0,1,"")</f>
        <v/>
      </c>
      <c r="U375" s="63">
        <f>IF(S375&gt;0,1,"")</f>
        <v/>
      </c>
    </row>
    <row r="376">
      <c r="A376" s="35" t="n">
        <v>34515</v>
      </c>
      <c r="B376" s="4" t="n">
        <v>0.32</v>
      </c>
      <c r="C376" s="4" t="n">
        <v>0.37</v>
      </c>
      <c r="D376" s="4" t="n">
        <v>0.31</v>
      </c>
      <c r="E376" s="63" t="n">
        <v>1</v>
      </c>
      <c r="F376" s="63" t="n">
        <v>0.31125</v>
      </c>
      <c r="G376" s="63" t="n">
        <v>0.01</v>
      </c>
      <c r="H376" s="63" t="n">
        <v>0.384907436629</v>
      </c>
      <c r="I376" s="63" t="n">
        <v>0.48829287048</v>
      </c>
      <c r="J376" s="63" t="n">
        <v>0.281522002778</v>
      </c>
      <c r="K376" s="63" t="n">
        <v>449.83</v>
      </c>
      <c r="L376" s="63" t="n">
        <v>439.83</v>
      </c>
      <c r="M376" s="63" t="n">
        <v>446.2</v>
      </c>
      <c r="N376" s="54">
        <f>(M377-M376)/M376</f>
        <v/>
      </c>
      <c r="O376" s="54">
        <f>(M380-M376)/M376</f>
        <v/>
      </c>
      <c r="P376" s="4">
        <f>B376-D376</f>
        <v/>
      </c>
      <c r="Q376" s="4">
        <f>AVERAGE(P373:P376)</f>
        <v/>
      </c>
      <c r="R376" s="54">
        <f>(M377-M376)/M376</f>
        <v/>
      </c>
      <c r="S376" s="54">
        <f>(M380-M376)/M376</f>
        <v/>
      </c>
      <c r="T376" s="63">
        <f>IF(R376&gt;0,1,"")</f>
        <v/>
      </c>
      <c r="U376" s="63">
        <f>IF(S376&gt;0,1,"")</f>
        <v/>
      </c>
    </row>
    <row r="377">
      <c r="A377" s="35" t="n">
        <v>34522</v>
      </c>
      <c r="B377" s="4" t="n">
        <v>0.28</v>
      </c>
      <c r="C377" s="4" t="n">
        <v>0.32</v>
      </c>
      <c r="D377" s="4" t="n">
        <v>0.4</v>
      </c>
      <c r="E377" s="63" t="n">
        <v>1</v>
      </c>
      <c r="F377" s="63" t="n">
        <v>0.29875</v>
      </c>
      <c r="G377" s="63" t="n">
        <v>-0.12</v>
      </c>
      <c r="H377" s="63" t="n">
        <v>0.384907436629</v>
      </c>
      <c r="I377" s="63" t="n">
        <v>0.48829287048</v>
      </c>
      <c r="J377" s="63" t="n">
        <v>0.281522002778</v>
      </c>
      <c r="K377" s="63" t="n">
        <v>449.75</v>
      </c>
      <c r="L377" s="63" t="n">
        <v>444.18</v>
      </c>
      <c r="M377" s="63" t="n">
        <v>449.55</v>
      </c>
      <c r="N377" s="54">
        <f>(M378-M377)/M377</f>
        <v/>
      </c>
      <c r="O377" s="54">
        <f>(M381-M377)/M377</f>
        <v/>
      </c>
      <c r="P377" s="4">
        <f>B377-D377</f>
        <v/>
      </c>
      <c r="Q377" s="4">
        <f>AVERAGE(P374:P377)</f>
        <v/>
      </c>
      <c r="R377" s="54">
        <f>(M378-M377)/M377</f>
        <v/>
      </c>
      <c r="S377" s="54">
        <f>(M381-M377)/M377</f>
        <v/>
      </c>
      <c r="T377" s="63">
        <f>IF(R377&gt;0,1,"")</f>
        <v/>
      </c>
      <c r="U377" s="63">
        <f>IF(S377&gt;0,1,"")</f>
        <v/>
      </c>
    </row>
    <row r="378">
      <c r="A378" s="35" t="n">
        <v>34529</v>
      </c>
      <c r="B378" s="4" t="n">
        <v>0.25</v>
      </c>
      <c r="C378" s="4" t="n">
        <v>0.4</v>
      </c>
      <c r="D378" s="4" t="n">
        <v>0.35</v>
      </c>
      <c r="E378" s="63" t="n">
        <v>1</v>
      </c>
      <c r="F378" s="63" t="n">
        <v>0.3025</v>
      </c>
      <c r="G378" s="63" t="n">
        <v>-0.1</v>
      </c>
      <c r="H378" s="63" t="n">
        <v>0.384907436629</v>
      </c>
      <c r="I378" s="63" t="n">
        <v>0.48829287048</v>
      </c>
      <c r="J378" s="63" t="n">
        <v>0.281522002778</v>
      </c>
      <c r="K378" s="63" t="n">
        <v>454.33</v>
      </c>
      <c r="L378" s="63" t="n">
        <v>444.65</v>
      </c>
      <c r="M378" s="63" t="n">
        <v>454.16</v>
      </c>
      <c r="N378" s="54">
        <f>(M379-M378)/M378</f>
        <v/>
      </c>
      <c r="O378" s="54">
        <f>(M382-M378)/M378</f>
        <v/>
      </c>
      <c r="P378" s="4">
        <f>B378-D378</f>
        <v/>
      </c>
      <c r="Q378" s="4">
        <f>AVERAGE(P375:P378)</f>
        <v/>
      </c>
      <c r="R378" s="54">
        <f>(M379-M378)/M378</f>
        <v/>
      </c>
      <c r="S378" s="54">
        <f>(M382-M378)/M378</f>
        <v/>
      </c>
      <c r="T378" s="63">
        <f>IF(R378&gt;0,1,"")</f>
        <v/>
      </c>
      <c r="U378" s="63">
        <f>IF(S378&gt;0,1,"")</f>
        <v/>
      </c>
    </row>
    <row r="379">
      <c r="A379" s="35" t="n">
        <v>34536</v>
      </c>
      <c r="B379" s="4" t="n">
        <v>0.34</v>
      </c>
      <c r="C379" s="4" t="n">
        <v>0.38</v>
      </c>
      <c r="D379" s="4" t="n">
        <v>0.28</v>
      </c>
      <c r="E379" s="63" t="n">
        <v>1</v>
      </c>
      <c r="F379" s="63" t="n">
        <v>0.30875</v>
      </c>
      <c r="G379" s="63" t="n">
        <v>0.06</v>
      </c>
      <c r="H379" s="63" t="n">
        <v>0.384907436629</v>
      </c>
      <c r="I379" s="63" t="n">
        <v>0.48829287048</v>
      </c>
      <c r="J379" s="63" t="n">
        <v>0.281522002778</v>
      </c>
      <c r="K379" s="63" t="n">
        <v>455.71</v>
      </c>
      <c r="L379" s="63" t="n">
        <v>450.69</v>
      </c>
      <c r="M379" s="63" t="n">
        <v>453.11</v>
      </c>
      <c r="N379" s="54">
        <f>(M380-M379)/M379</f>
        <v/>
      </c>
      <c r="O379" s="54">
        <f>(M383-M379)/M379</f>
        <v/>
      </c>
      <c r="P379" s="4">
        <f>B379-D379</f>
        <v/>
      </c>
      <c r="Q379" s="4">
        <f>AVERAGE(P376:P379)</f>
        <v/>
      </c>
      <c r="R379" s="54">
        <f>(M380-M379)/M379</f>
        <v/>
      </c>
      <c r="S379" s="54">
        <f>(M383-M379)/M379</f>
        <v/>
      </c>
      <c r="T379" s="63">
        <f>IF(R379&gt;0,1,"")</f>
        <v/>
      </c>
      <c r="U379" s="63">
        <f>IF(S379&gt;0,1,"")</f>
        <v/>
      </c>
    </row>
    <row r="380">
      <c r="A380" s="35" t="n">
        <v>34543</v>
      </c>
      <c r="B380" s="4" t="n">
        <v>0.27</v>
      </c>
      <c r="C380" s="4" t="n">
        <v>0.42</v>
      </c>
      <c r="D380" s="4" t="n">
        <v>0.31</v>
      </c>
      <c r="E380" s="63" t="n">
        <v>1</v>
      </c>
      <c r="F380" s="63" t="n">
        <v>0.29375</v>
      </c>
      <c r="G380" s="63" t="n">
        <v>-0.04</v>
      </c>
      <c r="H380" s="63" t="n">
        <v>0.384907436629</v>
      </c>
      <c r="I380" s="63" t="n">
        <v>0.48829287048</v>
      </c>
      <c r="J380" s="63" t="n">
        <v>0.281522002778</v>
      </c>
      <c r="K380" s="63" t="n">
        <v>459.33</v>
      </c>
      <c r="L380" s="63" t="n">
        <v>451.36</v>
      </c>
      <c r="M380" s="63" t="n">
        <v>458.26</v>
      </c>
      <c r="N380" s="54">
        <f>(M381-M380)/M380</f>
        <v/>
      </c>
      <c r="O380" s="54">
        <f>(M384-M380)/M380</f>
        <v/>
      </c>
      <c r="P380" s="4">
        <f>B380-D380</f>
        <v/>
      </c>
      <c r="Q380" s="4">
        <f>AVERAGE(P377:P380)</f>
        <v/>
      </c>
      <c r="R380" s="54">
        <f>(M381-M380)/M380</f>
        <v/>
      </c>
      <c r="S380" s="54">
        <f>(M384-M380)/M380</f>
        <v/>
      </c>
      <c r="T380" s="63">
        <f>IF(R380&gt;0,1,"")</f>
        <v/>
      </c>
      <c r="U380" s="63">
        <f>IF(S380&gt;0,1,"")</f>
        <v/>
      </c>
    </row>
    <row r="381">
      <c r="A381" s="35" t="n">
        <v>34550</v>
      </c>
      <c r="B381" s="4" t="n">
        <v>0.22</v>
      </c>
      <c r="C381" s="4" t="n">
        <v>0.52</v>
      </c>
      <c r="D381" s="4" t="n">
        <v>0.26</v>
      </c>
      <c r="E381" s="63" t="n">
        <v>1</v>
      </c>
      <c r="F381" s="63" t="n">
        <v>0.28625</v>
      </c>
      <c r="G381" s="63" t="n">
        <v>-0.04</v>
      </c>
      <c r="H381" s="63" t="n">
        <v>0.384907436629</v>
      </c>
      <c r="I381" s="63" t="n">
        <v>0.48829287048</v>
      </c>
      <c r="J381" s="63" t="n">
        <v>0.281522002778</v>
      </c>
      <c r="K381" s="63" t="n">
        <v>462.77</v>
      </c>
      <c r="L381" s="63" t="n">
        <v>456.08</v>
      </c>
      <c r="M381" s="63" t="n">
        <v>457.09</v>
      </c>
      <c r="N381" s="54">
        <f>(M382-M381)/M381</f>
        <v/>
      </c>
      <c r="O381" s="54">
        <f>(M385-M381)/M381</f>
        <v/>
      </c>
      <c r="P381" s="4">
        <f>B381-D381</f>
        <v/>
      </c>
      <c r="Q381" s="4">
        <f>AVERAGE(P378:P381)</f>
        <v/>
      </c>
      <c r="R381" s="54">
        <f>(M382-M381)/M381</f>
        <v/>
      </c>
      <c r="S381" s="54">
        <f>(M385-M381)/M381</f>
        <v/>
      </c>
      <c r="T381" s="63">
        <f>IF(R381&gt;0,1,"")</f>
        <v/>
      </c>
      <c r="U381" s="63">
        <f>IF(S381&gt;0,1,"")</f>
        <v/>
      </c>
    </row>
    <row r="382">
      <c r="A382" s="35" t="n">
        <v>34557</v>
      </c>
      <c r="B382" s="4" t="n">
        <v>0.34</v>
      </c>
      <c r="C382" s="4" t="n">
        <v>0.37</v>
      </c>
      <c r="D382" s="4" t="n">
        <v>0.29</v>
      </c>
      <c r="E382" s="63" t="n">
        <v>1</v>
      </c>
      <c r="F382" s="63" t="n">
        <v>0.28875</v>
      </c>
      <c r="G382" s="63" t="n">
        <v>0.05</v>
      </c>
      <c r="H382" s="63" t="n">
        <v>0.384907436629</v>
      </c>
      <c r="I382" s="63" t="n">
        <v>0.48829287048</v>
      </c>
      <c r="J382" s="63" t="n">
        <v>0.281522002778</v>
      </c>
      <c r="K382" s="63" t="n">
        <v>462.27</v>
      </c>
      <c r="L382" s="63" t="n">
        <v>456.66</v>
      </c>
      <c r="M382" s="63" t="n">
        <v>461.94</v>
      </c>
      <c r="N382" s="54">
        <f>(M383-M382)/M382</f>
        <v/>
      </c>
      <c r="O382" s="54">
        <f>(M386-M382)/M382</f>
        <v/>
      </c>
      <c r="P382" s="4">
        <f>B382-D382</f>
        <v/>
      </c>
      <c r="Q382" s="4">
        <f>AVERAGE(P379:P382)</f>
        <v/>
      </c>
      <c r="R382" s="54">
        <f>(M383-M382)/M382</f>
        <v/>
      </c>
      <c r="S382" s="54">
        <f>(M386-M382)/M382</f>
        <v/>
      </c>
      <c r="T382" s="63">
        <f>IF(R382&gt;0,1,"")</f>
        <v/>
      </c>
      <c r="U382" s="63">
        <f>IF(S382&gt;0,1,"")</f>
        <v/>
      </c>
    </row>
    <row r="383">
      <c r="A383" s="35" t="n">
        <v>34564</v>
      </c>
      <c r="B383" s="4" t="n">
        <v>0.3</v>
      </c>
      <c r="C383" s="4" t="n">
        <v>0.4</v>
      </c>
      <c r="D383" s="4" t="n">
        <v>0.3</v>
      </c>
      <c r="E383" s="63" t="n">
        <v>1</v>
      </c>
      <c r="F383" s="63" t="n">
        <v>0.29</v>
      </c>
      <c r="G383" s="63" t="n">
        <v>0</v>
      </c>
      <c r="H383" s="63" t="n">
        <v>0.384907436629</v>
      </c>
      <c r="I383" s="63" t="n">
        <v>0.48829287048</v>
      </c>
      <c r="J383" s="63" t="n">
        <v>0.281522002778</v>
      </c>
      <c r="K383" s="63" t="n">
        <v>465.91</v>
      </c>
      <c r="L383" s="63" t="n">
        <v>459.89</v>
      </c>
      <c r="M383" s="63" t="n">
        <v>463.68</v>
      </c>
      <c r="N383" s="54">
        <f>(M384-M383)/M383</f>
        <v/>
      </c>
      <c r="O383" s="54">
        <f>(M387-M383)/M383</f>
        <v/>
      </c>
      <c r="P383" s="4">
        <f>B383-D383</f>
        <v/>
      </c>
      <c r="Q383" s="4">
        <f>AVERAGE(P380:P383)</f>
        <v/>
      </c>
      <c r="R383" s="54">
        <f>(M384-M383)/M383</f>
        <v/>
      </c>
      <c r="S383" s="54">
        <f>(M387-M383)/M383</f>
        <v/>
      </c>
      <c r="T383" s="63">
        <f>IF(R383&gt;0,1,"")</f>
        <v/>
      </c>
      <c r="U383" s="63">
        <f>IF(S383&gt;0,1,"")</f>
        <v/>
      </c>
    </row>
    <row r="384">
      <c r="A384" s="35" t="n">
        <v>34571</v>
      </c>
      <c r="B384" s="4" t="n">
        <v>0.32</v>
      </c>
      <c r="C384" s="4" t="n">
        <v>0.39</v>
      </c>
      <c r="D384" s="4" t="n">
        <v>0.29</v>
      </c>
      <c r="E384" s="63" t="n">
        <v>1</v>
      </c>
      <c r="F384" s="63" t="n">
        <v>0.29</v>
      </c>
      <c r="G384" s="63" t="n">
        <v>0.03</v>
      </c>
      <c r="H384" s="63" t="n">
        <v>0.384907436629</v>
      </c>
      <c r="I384" s="63" t="n">
        <v>0.48829287048</v>
      </c>
      <c r="J384" s="63" t="n">
        <v>0.281522002778</v>
      </c>
      <c r="K384" s="63" t="n">
        <v>474.65</v>
      </c>
      <c r="L384" s="63" t="n">
        <v>461.46</v>
      </c>
      <c r="M384" s="63" t="n">
        <v>473.8</v>
      </c>
      <c r="N384" s="54">
        <f>(M385-M384)/M384</f>
        <v/>
      </c>
      <c r="O384" s="54">
        <f>(M388-M384)/M384</f>
        <v/>
      </c>
      <c r="P384" s="4">
        <f>B384-D384</f>
        <v/>
      </c>
      <c r="Q384" s="4">
        <f>AVERAGE(P381:P384)</f>
        <v/>
      </c>
      <c r="R384" s="54">
        <f>(M385-M384)/M384</f>
        <v/>
      </c>
      <c r="S384" s="54">
        <f>(M388-M384)/M384</f>
        <v/>
      </c>
      <c r="T384" s="63">
        <f>IF(R384&gt;0,1,"")</f>
        <v/>
      </c>
      <c r="U384" s="63">
        <f>IF(S384&gt;0,1,"")</f>
        <v/>
      </c>
    </row>
    <row r="385">
      <c r="A385" s="35" t="n">
        <v>34578</v>
      </c>
      <c r="B385" s="4" t="n">
        <v>0.43</v>
      </c>
      <c r="C385" s="4" t="n">
        <v>0.34</v>
      </c>
      <c r="D385" s="4" t="n">
        <v>0.23</v>
      </c>
      <c r="E385" s="63" t="n">
        <v>1</v>
      </c>
      <c r="F385" s="63" t="n">
        <v>0.30875</v>
      </c>
      <c r="G385" s="63" t="n">
        <v>0.2</v>
      </c>
      <c r="H385" s="63" t="n">
        <v>0.384907436629</v>
      </c>
      <c r="I385" s="63" t="n">
        <v>0.48829287048</v>
      </c>
      <c r="J385" s="63" t="n">
        <v>0.281522002778</v>
      </c>
      <c r="K385" s="63" t="n">
        <v>477.59</v>
      </c>
      <c r="L385" s="63" t="n">
        <v>470.67</v>
      </c>
      <c r="M385" s="63" t="n">
        <v>470.99</v>
      </c>
      <c r="N385" s="54">
        <f>(M386-M385)/M385</f>
        <v/>
      </c>
      <c r="O385" s="54">
        <f>(M389-M385)/M385</f>
        <v/>
      </c>
      <c r="P385" s="4">
        <f>B385-D385</f>
        <v/>
      </c>
      <c r="Q385" s="4">
        <f>AVERAGE(P382:P385)</f>
        <v/>
      </c>
      <c r="R385" s="54">
        <f>(M386-M385)/M385</f>
        <v/>
      </c>
      <c r="S385" s="54">
        <f>(M389-M385)/M385</f>
        <v/>
      </c>
      <c r="T385" s="63">
        <f>IF(R385&gt;0,1,"")</f>
        <v/>
      </c>
      <c r="U385" s="63">
        <f>IF(S385&gt;0,1,"")</f>
        <v/>
      </c>
    </row>
    <row r="386">
      <c r="A386" s="35" t="n">
        <v>34585</v>
      </c>
      <c r="B386" s="4" t="n">
        <v>0.47</v>
      </c>
      <c r="C386" s="4" t="n">
        <v>0.33</v>
      </c>
      <c r="D386" s="4" t="n">
        <v>0.2</v>
      </c>
      <c r="E386" s="63" t="n">
        <v>1</v>
      </c>
      <c r="F386" s="63" t="n">
        <v>0.33625</v>
      </c>
      <c r="G386" s="63" t="n">
        <v>0.27</v>
      </c>
      <c r="H386" s="63" t="n">
        <v>0.384907436629</v>
      </c>
      <c r="I386" s="63" t="n">
        <v>0.48829287048</v>
      </c>
      <c r="J386" s="63" t="n">
        <v>0.281522002778</v>
      </c>
      <c r="K386" s="63" t="n">
        <v>473.4</v>
      </c>
      <c r="L386" s="63" t="n">
        <v>466.55</v>
      </c>
      <c r="M386" s="63" t="n">
        <v>468.18</v>
      </c>
      <c r="N386" s="54">
        <f>(M387-M386)/M386</f>
        <v/>
      </c>
      <c r="O386" s="54">
        <f>(M390-M386)/M386</f>
        <v/>
      </c>
      <c r="P386" s="4">
        <f>B386-D386</f>
        <v/>
      </c>
      <c r="Q386" s="4">
        <f>AVERAGE(P383:P386)</f>
        <v/>
      </c>
      <c r="R386" s="54">
        <f>(M387-M386)/M386</f>
        <v/>
      </c>
      <c r="S386" s="54">
        <f>(M390-M386)/M386</f>
        <v/>
      </c>
      <c r="T386" s="63">
        <f>IF(R386&gt;0,1,"")</f>
        <v/>
      </c>
      <c r="U386" s="63">
        <f>IF(S386&gt;0,1,"")</f>
        <v/>
      </c>
    </row>
    <row r="387">
      <c r="A387" s="35" t="n">
        <v>34592</v>
      </c>
      <c r="B387" s="4" t="n">
        <v>0.45</v>
      </c>
      <c r="C387" s="4" t="n">
        <v>0.25</v>
      </c>
      <c r="D387" s="4" t="n">
        <v>0.3</v>
      </c>
      <c r="E387" s="63" t="n">
        <v>1</v>
      </c>
      <c r="F387" s="63" t="n">
        <v>0.35</v>
      </c>
      <c r="G387" s="63" t="n">
        <v>0.15</v>
      </c>
      <c r="H387" s="63" t="n">
        <v>0.384907436629</v>
      </c>
      <c r="I387" s="63" t="n">
        <v>0.48829287048</v>
      </c>
      <c r="J387" s="63" t="n">
        <v>0.281522002778</v>
      </c>
      <c r="K387" s="63" t="n">
        <v>474.81</v>
      </c>
      <c r="L387" s="63" t="n">
        <v>466.15</v>
      </c>
      <c r="M387" s="63" t="n">
        <v>471.19</v>
      </c>
      <c r="N387" s="54">
        <f>(M388-M387)/M387</f>
        <v/>
      </c>
      <c r="O387" s="54">
        <f>(M391-M387)/M387</f>
        <v/>
      </c>
      <c r="P387" s="4">
        <f>B387-D387</f>
        <v/>
      </c>
      <c r="Q387" s="4">
        <f>AVERAGE(P384:P387)</f>
        <v/>
      </c>
      <c r="R387" s="54">
        <f>(M388-M387)/M387</f>
        <v/>
      </c>
      <c r="S387" s="54">
        <f>(M391-M387)/M387</f>
        <v/>
      </c>
      <c r="T387" s="63">
        <f>IF(R387&gt;0,1,"")</f>
        <v/>
      </c>
      <c r="U387" s="63">
        <f>IF(S387&gt;0,1,"")</f>
        <v/>
      </c>
    </row>
    <row r="388">
      <c r="A388" s="35" t="n">
        <v>34599</v>
      </c>
      <c r="B388" s="4" t="n">
        <v>0.37</v>
      </c>
      <c r="C388" s="4" t="n">
        <v>0.36</v>
      </c>
      <c r="D388" s="4" t="n">
        <v>0.27</v>
      </c>
      <c r="E388" s="63" t="n">
        <v>1</v>
      </c>
      <c r="F388" s="63" t="n">
        <v>0.3625</v>
      </c>
      <c r="G388" s="63" t="n">
        <v>0.1</v>
      </c>
      <c r="H388" s="63" t="n">
        <v>0.384907436629</v>
      </c>
      <c r="I388" s="63" t="n">
        <v>0.48829287048</v>
      </c>
      <c r="J388" s="63" t="n">
        <v>0.281522002778</v>
      </c>
      <c r="K388" s="63" t="n">
        <v>473.15</v>
      </c>
      <c r="L388" s="63" t="n">
        <v>458.47</v>
      </c>
      <c r="M388" s="63" t="n">
        <v>459.67</v>
      </c>
      <c r="N388" s="54">
        <f>(M389-M388)/M388</f>
        <v/>
      </c>
      <c r="O388" s="54">
        <f>(M392-M388)/M388</f>
        <v/>
      </c>
      <c r="P388" s="4">
        <f>B388-D388</f>
        <v/>
      </c>
      <c r="Q388" s="4">
        <f>AVERAGE(P385:P388)</f>
        <v/>
      </c>
      <c r="R388" s="54">
        <f>(M389-M388)/M388</f>
        <v/>
      </c>
      <c r="S388" s="54">
        <f>(M392-M388)/M388</f>
        <v/>
      </c>
      <c r="T388" s="63">
        <f>IF(R388&gt;0,1,"")</f>
        <v/>
      </c>
      <c r="U388" s="63">
        <f>IF(S388&gt;0,1,"")</f>
        <v/>
      </c>
    </row>
    <row r="389">
      <c r="A389" s="35" t="n">
        <v>34606</v>
      </c>
      <c r="B389" s="4" t="n">
        <v>0.38</v>
      </c>
      <c r="C389" s="4" t="n">
        <v>0.32</v>
      </c>
      <c r="D389" s="4" t="n">
        <v>0.3</v>
      </c>
      <c r="E389" s="63" t="n">
        <v>1</v>
      </c>
      <c r="F389" s="63" t="n">
        <v>0.3825</v>
      </c>
      <c r="G389" s="63" t="n">
        <v>0.08</v>
      </c>
      <c r="H389" s="63" t="n">
        <v>0.384907436629</v>
      </c>
      <c r="I389" s="63" t="n">
        <v>0.48829287048</v>
      </c>
      <c r="J389" s="63" t="n">
        <v>0.281522002778</v>
      </c>
      <c r="K389" s="63" t="n">
        <v>464.84</v>
      </c>
      <c r="L389" s="63" t="n">
        <v>459.01</v>
      </c>
      <c r="M389" s="63" t="n">
        <v>462.69</v>
      </c>
      <c r="N389" s="54">
        <f>(M390-M389)/M389</f>
        <v/>
      </c>
      <c r="O389" s="54">
        <f>(M393-M389)/M389</f>
        <v/>
      </c>
      <c r="P389" s="4">
        <f>B389-D389</f>
        <v/>
      </c>
      <c r="Q389" s="4">
        <f>AVERAGE(P386:P389)</f>
        <v/>
      </c>
      <c r="R389" s="54">
        <f>(M390-M389)/M389</f>
        <v/>
      </c>
      <c r="S389" s="54">
        <f>(M393-M389)/M389</f>
        <v/>
      </c>
      <c r="T389" s="63">
        <f>IF(R389&gt;0,1,"")</f>
        <v/>
      </c>
      <c r="U389" s="63">
        <f>IF(S389&gt;0,1,"")</f>
        <v/>
      </c>
    </row>
    <row r="390">
      <c r="A390" s="35" t="n">
        <v>34613</v>
      </c>
      <c r="B390" s="4" t="n">
        <v>0.33</v>
      </c>
      <c r="C390" s="4" t="n">
        <v>0.39</v>
      </c>
      <c r="D390" s="4" t="n">
        <v>0.28</v>
      </c>
      <c r="E390" s="63" t="n">
        <v>1</v>
      </c>
      <c r="F390" s="63" t="n">
        <v>0.38125</v>
      </c>
      <c r="G390" s="63" t="n">
        <v>0.05</v>
      </c>
      <c r="H390" s="63" t="n">
        <v>0.384907436629</v>
      </c>
      <c r="I390" s="63" t="n">
        <v>0.48829287048</v>
      </c>
      <c r="J390" s="63" t="n">
        <v>0.281522002778</v>
      </c>
      <c r="K390" s="63" t="n">
        <v>463.31</v>
      </c>
      <c r="L390" s="63" t="n">
        <v>449.27</v>
      </c>
      <c r="M390" s="63" t="n">
        <v>455.1</v>
      </c>
      <c r="N390" s="54">
        <f>(M391-M390)/M390</f>
        <v/>
      </c>
      <c r="O390" s="54">
        <f>(M394-M390)/M390</f>
        <v/>
      </c>
      <c r="P390" s="4">
        <f>B390-D390</f>
        <v/>
      </c>
      <c r="Q390" s="4">
        <f>AVERAGE(P387:P390)</f>
        <v/>
      </c>
      <c r="R390" s="54">
        <f>(M391-M390)/M390</f>
        <v/>
      </c>
      <c r="S390" s="54">
        <f>(M394-M390)/M390</f>
        <v/>
      </c>
      <c r="T390" s="63">
        <f>IF(R390&gt;0,1,"")</f>
        <v/>
      </c>
      <c r="U390" s="63">
        <f>IF(S390&gt;0,1,"")</f>
        <v/>
      </c>
    </row>
    <row r="391">
      <c r="A391" s="35" t="n">
        <v>34620</v>
      </c>
      <c r="B391" s="4" t="n">
        <v>0.35</v>
      </c>
      <c r="C391" s="4" t="n">
        <v>0.39</v>
      </c>
      <c r="D391" s="4" t="n">
        <v>0.26</v>
      </c>
      <c r="E391" s="63" t="n">
        <v>1</v>
      </c>
      <c r="F391" s="63" t="n">
        <v>0.3875</v>
      </c>
      <c r="G391" s="63" t="n">
        <v>0.09</v>
      </c>
      <c r="H391" s="63" t="n">
        <v>0.384907436629</v>
      </c>
      <c r="I391" s="63" t="n">
        <v>0.48829287048</v>
      </c>
      <c r="J391" s="63" t="n">
        <v>0.281522002778</v>
      </c>
      <c r="K391" s="63" t="n">
        <v>471.3</v>
      </c>
      <c r="L391" s="63" t="n">
        <v>455.1</v>
      </c>
      <c r="M391" s="63" t="n">
        <v>469.1</v>
      </c>
      <c r="N391" s="54">
        <f>(M392-M391)/M391</f>
        <v/>
      </c>
      <c r="O391" s="54">
        <f>(M395-M391)/M391</f>
        <v/>
      </c>
      <c r="P391" s="4">
        <f>B391-D391</f>
        <v/>
      </c>
      <c r="Q391" s="4">
        <f>AVERAGE(P388:P391)</f>
        <v/>
      </c>
      <c r="R391" s="54">
        <f>(M392-M391)/M391</f>
        <v/>
      </c>
      <c r="S391" s="54">
        <f>(M395-M391)/M391</f>
        <v/>
      </c>
      <c r="T391" s="63">
        <f>IF(R391&gt;0,1,"")</f>
        <v/>
      </c>
      <c r="U391" s="63">
        <f>IF(S391&gt;0,1,"")</f>
        <v/>
      </c>
    </row>
    <row r="392">
      <c r="A392" s="35" t="n">
        <v>34627</v>
      </c>
      <c r="B392" s="4" t="n">
        <v>0.39</v>
      </c>
      <c r="C392" s="4" t="n">
        <v>0.33</v>
      </c>
      <c r="D392" s="4" t="n">
        <v>0.28</v>
      </c>
      <c r="E392" s="63" t="n">
        <v>1</v>
      </c>
      <c r="F392" s="63" t="n">
        <v>0.39625</v>
      </c>
      <c r="G392" s="63" t="n">
        <v>0.11</v>
      </c>
      <c r="H392" s="63" t="n">
        <v>0.384907436629</v>
      </c>
      <c r="I392" s="63" t="n">
        <v>0.48829287048</v>
      </c>
      <c r="J392" s="63" t="n">
        <v>0.281522002778</v>
      </c>
      <c r="K392" s="63" t="n">
        <v>471.43</v>
      </c>
      <c r="L392" s="63" t="n">
        <v>463.83</v>
      </c>
      <c r="M392" s="63" t="n">
        <v>464.89</v>
      </c>
      <c r="N392" s="54">
        <f>(M393-M392)/M392</f>
        <v/>
      </c>
      <c r="O392" s="54">
        <f>(M396-M392)/M392</f>
        <v/>
      </c>
      <c r="P392" s="4">
        <f>B392-D392</f>
        <v/>
      </c>
      <c r="Q392" s="4">
        <f>AVERAGE(P389:P392)</f>
        <v/>
      </c>
      <c r="R392" s="54">
        <f>(M393-M392)/M392</f>
        <v/>
      </c>
      <c r="S392" s="54">
        <f>(M396-M392)/M392</f>
        <v/>
      </c>
      <c r="T392" s="63">
        <f>IF(R392&gt;0,1,"")</f>
        <v/>
      </c>
      <c r="U392" s="63">
        <f>IF(S392&gt;0,1,"")</f>
        <v/>
      </c>
    </row>
    <row r="393">
      <c r="A393" s="35" t="n">
        <v>34634</v>
      </c>
      <c r="B393" s="4" t="n">
        <v>0.43</v>
      </c>
      <c r="C393" s="4" t="n">
        <v>0.38</v>
      </c>
      <c r="D393" s="4" t="n">
        <v>0.19</v>
      </c>
      <c r="E393" s="63" t="n">
        <v>1</v>
      </c>
      <c r="F393" s="63" t="n">
        <v>0.39625</v>
      </c>
      <c r="G393" s="63" t="n">
        <v>0.24</v>
      </c>
      <c r="H393" s="63" t="n">
        <v>0.384907436629</v>
      </c>
      <c r="I393" s="63" t="n">
        <v>0.48829287048</v>
      </c>
      <c r="J393" s="63" t="n">
        <v>0.281522002778</v>
      </c>
      <c r="K393" s="63" t="n">
        <v>473.78</v>
      </c>
      <c r="L393" s="63" t="n">
        <v>458.26</v>
      </c>
      <c r="M393" s="63" t="n">
        <v>473.77</v>
      </c>
      <c r="N393" s="54">
        <f>(M394-M393)/M393</f>
        <v/>
      </c>
      <c r="O393" s="54">
        <f>(M397-M393)/M393</f>
        <v/>
      </c>
      <c r="P393" s="4">
        <f>B393-D393</f>
        <v/>
      </c>
      <c r="Q393" s="4">
        <f>AVERAGE(P390:P393)</f>
        <v/>
      </c>
      <c r="R393" s="54">
        <f>(M394-M393)/M393</f>
        <v/>
      </c>
      <c r="S393" s="54">
        <f>(M397-M393)/M393</f>
        <v/>
      </c>
      <c r="T393" s="63">
        <f>IF(R393&gt;0,1,"")</f>
        <v/>
      </c>
      <c r="U393" s="63">
        <f>IF(S393&gt;0,1,"")</f>
        <v/>
      </c>
    </row>
    <row r="394">
      <c r="A394" s="35" t="n">
        <v>34641</v>
      </c>
      <c r="B394" s="4" t="n">
        <v>0.4</v>
      </c>
      <c r="C394" s="4" t="n">
        <v>0.35</v>
      </c>
      <c r="D394" s="4" t="n">
        <v>0.25</v>
      </c>
      <c r="E394" s="63" t="n">
        <v>1</v>
      </c>
      <c r="F394" s="63" t="n">
        <v>0.3875</v>
      </c>
      <c r="G394" s="63" t="n">
        <v>0.15</v>
      </c>
      <c r="H394" s="63" t="n">
        <v>0.384907436629</v>
      </c>
      <c r="I394" s="63" t="n">
        <v>0.48829287048</v>
      </c>
      <c r="J394" s="63" t="n">
        <v>0.281522002778</v>
      </c>
      <c r="K394" s="63" t="n">
        <v>474.74</v>
      </c>
      <c r="L394" s="63" t="n">
        <v>462.28</v>
      </c>
      <c r="M394" s="63" t="n">
        <v>462.28</v>
      </c>
      <c r="N394" s="54">
        <f>(M395-M394)/M394</f>
        <v/>
      </c>
      <c r="O394" s="54">
        <f>(M398-M394)/M394</f>
        <v/>
      </c>
      <c r="P394" s="4">
        <f>B394-D394</f>
        <v/>
      </c>
      <c r="Q394" s="4">
        <f>AVERAGE(P391:P394)</f>
        <v/>
      </c>
      <c r="R394" s="54">
        <f>(M395-M394)/M394</f>
        <v/>
      </c>
      <c r="S394" s="54">
        <f>(M398-M394)/M394</f>
        <v/>
      </c>
      <c r="T394" s="63">
        <f>IF(R394&gt;0,1,"")</f>
        <v/>
      </c>
      <c r="U394" s="63">
        <f>IF(S394&gt;0,1,"")</f>
        <v/>
      </c>
    </row>
    <row r="395">
      <c r="A395" s="35" t="n">
        <v>34648</v>
      </c>
      <c r="B395" s="4" t="n">
        <v>0.37</v>
      </c>
      <c r="C395" s="4" t="n">
        <v>0.31</v>
      </c>
      <c r="D395" s="4" t="n">
        <v>0.32</v>
      </c>
      <c r="E395" s="63" t="n">
        <v>1</v>
      </c>
      <c r="F395" s="63" t="n">
        <v>0.3775</v>
      </c>
      <c r="G395" s="63" t="n">
        <v>0.05</v>
      </c>
      <c r="H395" s="63" t="n">
        <v>0.384907436629</v>
      </c>
      <c r="I395" s="63" t="n">
        <v>0.48829287048</v>
      </c>
      <c r="J395" s="63" t="n">
        <v>0.281522002778</v>
      </c>
      <c r="K395" s="63" t="n">
        <v>469.95</v>
      </c>
      <c r="L395" s="63" t="n">
        <v>461.25</v>
      </c>
      <c r="M395" s="63" t="n">
        <v>462.35</v>
      </c>
      <c r="N395" s="54">
        <f>(M396-M395)/M395</f>
        <v/>
      </c>
      <c r="O395" s="54">
        <f>(M399-M395)/M395</f>
        <v/>
      </c>
      <c r="P395" s="4">
        <f>B395-D395</f>
        <v/>
      </c>
      <c r="Q395" s="4">
        <f>AVERAGE(P392:P395)</f>
        <v/>
      </c>
      <c r="R395" s="54">
        <f>(M396-M395)/M395</f>
        <v/>
      </c>
      <c r="S395" s="54">
        <f>(M399-M395)/M395</f>
        <v/>
      </c>
      <c r="T395" s="63">
        <f>IF(R395&gt;0,1,"")</f>
        <v/>
      </c>
      <c r="U395" s="63">
        <f>IF(S395&gt;0,1,"")</f>
        <v/>
      </c>
    </row>
    <row r="396">
      <c r="A396" s="35" t="n">
        <v>34655</v>
      </c>
      <c r="B396" s="4" t="n">
        <v>0.39</v>
      </c>
      <c r="C396" s="4" t="n">
        <v>0.22</v>
      </c>
      <c r="D396" s="4" t="n">
        <v>0.39</v>
      </c>
      <c r="E396" s="63" t="n">
        <v>1</v>
      </c>
      <c r="F396" s="63" t="n">
        <v>0.38</v>
      </c>
      <c r="G396" s="63" t="n">
        <v>0</v>
      </c>
      <c r="H396" s="63" t="n">
        <v>0.384907436629</v>
      </c>
      <c r="I396" s="63" t="n">
        <v>0.48829287048</v>
      </c>
      <c r="J396" s="63" t="n">
        <v>0.281522002778</v>
      </c>
      <c r="K396" s="63" t="n">
        <v>468.51</v>
      </c>
      <c r="L396" s="63" t="n">
        <v>460.25</v>
      </c>
      <c r="M396" s="63" t="n">
        <v>461.47</v>
      </c>
      <c r="N396" s="54">
        <f>(M397-M396)/M396</f>
        <v/>
      </c>
      <c r="O396" s="54">
        <f>(M400-M396)/M396</f>
        <v/>
      </c>
      <c r="P396" s="4">
        <f>B396-D396</f>
        <v/>
      </c>
      <c r="Q396" s="4">
        <f>AVERAGE(P393:P396)</f>
        <v/>
      </c>
      <c r="R396" s="54">
        <f>(M397-M396)/M396</f>
        <v/>
      </c>
      <c r="S396" s="54">
        <f>(M400-M396)/M396</f>
        <v/>
      </c>
      <c r="T396" s="63">
        <f>IF(R396&gt;0,1,"")</f>
        <v/>
      </c>
      <c r="U396" s="63">
        <f>IF(S396&gt;0,1,"")</f>
        <v/>
      </c>
    </row>
    <row r="397">
      <c r="A397" s="35" t="n">
        <v>34661</v>
      </c>
      <c r="B397" s="4" t="n">
        <v>0.39</v>
      </c>
      <c r="C397" s="4" t="n">
        <v>0.32</v>
      </c>
      <c r="D397" s="4" t="n">
        <v>0.29</v>
      </c>
      <c r="E397" s="63" t="n">
        <v>1</v>
      </c>
      <c r="F397" s="63" t="n">
        <v>0.38125</v>
      </c>
      <c r="G397" s="63" t="n">
        <v>0.1</v>
      </c>
      <c r="H397" s="63" t="n">
        <v>0.384907436629</v>
      </c>
      <c r="I397" s="63" t="n">
        <v>0.48829287048</v>
      </c>
      <c r="J397" s="63" t="n">
        <v>0.281522002778</v>
      </c>
      <c r="K397" s="63" t="n">
        <v>466.25</v>
      </c>
      <c r="L397" s="63" t="n">
        <v>444.18</v>
      </c>
      <c r="M397" s="63" t="n">
        <v>449.93</v>
      </c>
      <c r="N397" s="54">
        <f>(M398-M397)/M397</f>
        <v/>
      </c>
      <c r="O397" s="54">
        <f>(M401-M397)/M397</f>
        <v/>
      </c>
      <c r="P397" s="4">
        <f>B397-D397</f>
        <v/>
      </c>
      <c r="Q397" s="4">
        <f>AVERAGE(P394:P397)</f>
        <v/>
      </c>
      <c r="R397" s="54">
        <f>(M398-M397)/M397</f>
        <v/>
      </c>
      <c r="S397" s="54">
        <f>(M401-M397)/M397</f>
        <v/>
      </c>
      <c r="T397" s="63">
        <f>IF(R397&gt;0,1,"")</f>
        <v/>
      </c>
      <c r="U397" s="63">
        <f>IF(S397&gt;0,1,"")</f>
        <v/>
      </c>
    </row>
    <row r="398">
      <c r="A398" s="35" t="n">
        <v>34668</v>
      </c>
      <c r="B398" s="4" t="n">
        <v>0.44</v>
      </c>
      <c r="C398" s="4" t="n">
        <v>0.3</v>
      </c>
      <c r="D398" s="4" t="n">
        <v>0.26</v>
      </c>
      <c r="E398" s="63" t="n">
        <v>1</v>
      </c>
      <c r="F398" s="63" t="n">
        <v>0.395</v>
      </c>
      <c r="G398" s="63" t="n">
        <v>0.18</v>
      </c>
      <c r="H398" s="63" t="n">
        <v>0.384907436629</v>
      </c>
      <c r="I398" s="63" t="n">
        <v>0.48829287048</v>
      </c>
      <c r="J398" s="63" t="n">
        <v>0.281522002778</v>
      </c>
      <c r="K398" s="63" t="n">
        <v>457.13</v>
      </c>
      <c r="L398" s="63" t="n">
        <v>447.97</v>
      </c>
      <c r="M398" s="63" t="n">
        <v>453.3</v>
      </c>
      <c r="N398" s="54">
        <f>(M399-M398)/M398</f>
        <v/>
      </c>
      <c r="O398" s="54">
        <f>(M402-M398)/M398</f>
        <v/>
      </c>
      <c r="P398" s="4">
        <f>B398-D398</f>
        <v/>
      </c>
      <c r="Q398" s="4">
        <f>AVERAGE(P395:P398)</f>
        <v/>
      </c>
      <c r="R398" s="54">
        <f>(M399-M398)/M398</f>
        <v/>
      </c>
      <c r="S398" s="54">
        <f>(M402-M398)/M398</f>
        <v/>
      </c>
      <c r="T398" s="63">
        <f>IF(R398&gt;0,1,"")</f>
        <v/>
      </c>
      <c r="U398" s="63">
        <f>IF(S398&gt;0,1,"")</f>
        <v/>
      </c>
    </row>
    <row r="399">
      <c r="A399" s="35" t="n">
        <v>34676</v>
      </c>
      <c r="B399" s="4" t="n">
        <v>0.3</v>
      </c>
      <c r="C399" s="4" t="n">
        <v>0.35</v>
      </c>
      <c r="D399" s="4" t="n">
        <v>0.35</v>
      </c>
      <c r="E399" s="63" t="n">
        <v>1</v>
      </c>
      <c r="F399" s="63" t="n">
        <v>0.38875</v>
      </c>
      <c r="G399" s="63" t="n">
        <v>-0.05</v>
      </c>
      <c r="H399" s="63" t="n">
        <v>0.384907436629</v>
      </c>
      <c r="I399" s="63" t="n">
        <v>0.48829287048</v>
      </c>
      <c r="J399" s="63" t="n">
        <v>0.281522002778</v>
      </c>
      <c r="K399" s="63" t="n">
        <v>455.04</v>
      </c>
      <c r="L399" s="63" t="n">
        <v>442.88</v>
      </c>
      <c r="M399" s="63" t="n">
        <v>446.96</v>
      </c>
      <c r="N399" s="54">
        <f>(M400-M399)/M399</f>
        <v/>
      </c>
      <c r="O399" s="54">
        <f>(M403-M399)/M399</f>
        <v/>
      </c>
      <c r="P399" s="4">
        <f>B399-D399</f>
        <v/>
      </c>
      <c r="Q399" s="4">
        <f>AVERAGE(P396:P399)</f>
        <v/>
      </c>
      <c r="R399" s="54">
        <f>(M400-M399)/M399</f>
        <v/>
      </c>
      <c r="S399" s="54">
        <f>(M403-M399)/M399</f>
        <v/>
      </c>
      <c r="T399" s="63">
        <f>IF(R399&gt;0,1,"")</f>
        <v/>
      </c>
      <c r="U399" s="63">
        <f>IF(S399&gt;0,1,"")</f>
        <v/>
      </c>
    </row>
    <row r="400">
      <c r="A400" s="35" t="n">
        <v>34683</v>
      </c>
      <c r="B400" s="4" t="n">
        <v>0.33</v>
      </c>
      <c r="C400" s="4" t="n">
        <v>0.35</v>
      </c>
      <c r="D400" s="4" t="n">
        <v>0.32</v>
      </c>
      <c r="E400" s="63" t="n">
        <v>1</v>
      </c>
      <c r="F400" s="63" t="n">
        <v>0.38125</v>
      </c>
      <c r="G400" s="63" t="n">
        <v>0.01</v>
      </c>
      <c r="H400" s="63" t="n">
        <v>0.384907436629</v>
      </c>
      <c r="I400" s="63" t="n">
        <v>0.48829287048</v>
      </c>
      <c r="J400" s="63" t="n">
        <v>0.281522002778</v>
      </c>
      <c r="K400" s="63" t="n">
        <v>458.8</v>
      </c>
      <c r="L400" s="63" t="n">
        <v>445.62</v>
      </c>
      <c r="M400" s="63" t="n">
        <v>458.8</v>
      </c>
      <c r="N400" s="54">
        <f>(M401-M400)/M400</f>
        <v/>
      </c>
      <c r="O400" s="54">
        <f>(M404-M400)/M400</f>
        <v/>
      </c>
      <c r="P400" s="4">
        <f>B400-D400</f>
        <v/>
      </c>
      <c r="Q400" s="4">
        <f>AVERAGE(P397:P400)</f>
        <v/>
      </c>
      <c r="R400" s="54">
        <f>(M401-M400)/M400</f>
        <v/>
      </c>
      <c r="S400" s="54">
        <f>(M404-M400)/M400</f>
        <v/>
      </c>
      <c r="T400" s="63">
        <f>IF(R400&gt;0,1,"")</f>
        <v/>
      </c>
      <c r="U400" s="63">
        <f>IF(S400&gt;0,1,"")</f>
        <v/>
      </c>
    </row>
    <row r="401">
      <c r="A401" s="35" t="n">
        <v>34690</v>
      </c>
      <c r="B401" s="4" t="n">
        <v>0.42</v>
      </c>
      <c r="C401" s="4" t="n">
        <v>0.25</v>
      </c>
      <c r="D401" s="4" t="n">
        <v>0.33</v>
      </c>
      <c r="E401" s="63" t="n">
        <v>1</v>
      </c>
      <c r="F401" s="63" t="n">
        <v>0.38</v>
      </c>
      <c r="G401" s="63" t="n">
        <v>0.09</v>
      </c>
      <c r="H401" s="63" t="n">
        <v>0.384907436629</v>
      </c>
      <c r="I401" s="63" t="n">
        <v>0.48829287048</v>
      </c>
      <c r="J401" s="63" t="n">
        <v>0.281522002778</v>
      </c>
      <c r="K401" s="63" t="n">
        <v>461.7</v>
      </c>
      <c r="L401" s="63" t="n">
        <v>455.34</v>
      </c>
      <c r="M401" s="63" t="n">
        <v>459.67</v>
      </c>
      <c r="N401" s="54">
        <f>(M402-M401)/M401</f>
        <v/>
      </c>
      <c r="O401" s="54">
        <f>(M405-M401)/M401</f>
        <v/>
      </c>
      <c r="P401" s="4">
        <f>B401-D401</f>
        <v/>
      </c>
      <c r="Q401" s="4">
        <f>AVERAGE(P398:P401)</f>
        <v/>
      </c>
      <c r="R401" s="54">
        <f>(M402-M401)/M401</f>
        <v/>
      </c>
      <c r="S401" s="54">
        <f>(M405-M401)/M401</f>
        <v/>
      </c>
      <c r="T401" s="63">
        <f>IF(R401&gt;0,1,"")</f>
        <v/>
      </c>
      <c r="U401" s="63">
        <f>IF(S401&gt;0,1,"")</f>
        <v/>
      </c>
    </row>
    <row r="402">
      <c r="A402" s="35" t="n">
        <v>34697</v>
      </c>
      <c r="B402" s="4" t="n">
        <v>0.4</v>
      </c>
      <c r="C402" s="4" t="n">
        <v>0.43</v>
      </c>
      <c r="D402" s="4" t="n">
        <v>0.17</v>
      </c>
      <c r="E402" s="63" t="n">
        <v>1</v>
      </c>
      <c r="F402" s="63" t="n">
        <v>0.38</v>
      </c>
      <c r="G402" s="63" t="n">
        <v>0.23</v>
      </c>
      <c r="H402" s="63" t="n">
        <v>0.384907436629</v>
      </c>
      <c r="I402" s="63" t="n">
        <v>0.48829287048</v>
      </c>
      <c r="J402" s="63" t="n">
        <v>0.281522002778</v>
      </c>
      <c r="K402" s="63" t="n">
        <v>462.73</v>
      </c>
      <c r="L402" s="63" t="n">
        <v>459</v>
      </c>
      <c r="M402" s="63" t="n">
        <v>459.27</v>
      </c>
      <c r="N402" s="54">
        <f>(M403-M402)/M402</f>
        <v/>
      </c>
      <c r="O402" s="54">
        <f>(M406-M402)/M402</f>
        <v/>
      </c>
      <c r="P402" s="4">
        <f>B402-D402</f>
        <v/>
      </c>
      <c r="Q402" s="4">
        <f>AVERAGE(P399:P402)</f>
        <v/>
      </c>
      <c r="R402" s="54">
        <f>(M403-M402)/M402</f>
        <v/>
      </c>
      <c r="S402" s="54">
        <f>(M406-M402)/M402</f>
        <v/>
      </c>
      <c r="T402" s="63">
        <f>IF(R402&gt;0,1,"")</f>
        <v/>
      </c>
      <c r="U402" s="63">
        <f>IF(S402&gt;0,1,"")</f>
        <v/>
      </c>
    </row>
    <row r="403">
      <c r="A403" s="35" t="n">
        <v>34704</v>
      </c>
      <c r="B403" s="4" t="n">
        <v>0.44</v>
      </c>
      <c r="C403" s="4" t="n">
        <v>0.31</v>
      </c>
      <c r="D403" s="4" t="n">
        <v>0.25</v>
      </c>
      <c r="E403" s="63" t="n">
        <v>1</v>
      </c>
      <c r="F403" s="63" t="n">
        <v>0.38875</v>
      </c>
      <c r="G403" s="63" t="n">
        <v>0.19</v>
      </c>
      <c r="H403" s="63" t="n">
        <v>0.384907436629</v>
      </c>
      <c r="I403" s="63" t="n">
        <v>0.48829287048</v>
      </c>
      <c r="J403" s="63" t="n">
        <v>0.281522002778</v>
      </c>
      <c r="K403" s="63" t="n">
        <v>462.49</v>
      </c>
      <c r="L403" s="63" t="n">
        <v>457.2</v>
      </c>
      <c r="M403" s="63" t="n">
        <v>460.68</v>
      </c>
      <c r="N403" s="54">
        <f>(M404-M403)/M403</f>
        <v/>
      </c>
      <c r="O403" s="54">
        <f>(M407-M403)/M403</f>
        <v/>
      </c>
      <c r="P403" s="4">
        <f>B403-D403</f>
        <v/>
      </c>
      <c r="Q403" s="4">
        <f>AVERAGE(P400:P403)</f>
        <v/>
      </c>
      <c r="R403" s="54">
        <f>(M404-M403)/M403</f>
        <v/>
      </c>
      <c r="S403" s="54">
        <f>(M407-M403)/M403</f>
        <v/>
      </c>
      <c r="T403" s="63">
        <f>IF(R403&gt;0,1,"")</f>
        <v/>
      </c>
      <c r="U403" s="63">
        <f>IF(S403&gt;0,1,"")</f>
        <v/>
      </c>
    </row>
    <row r="404">
      <c r="A404" s="35" t="n">
        <v>34711</v>
      </c>
      <c r="B404" s="4" t="n">
        <v>0.36</v>
      </c>
      <c r="C404" s="4" t="n">
        <v>0.42</v>
      </c>
      <c r="D404" s="4" t="n">
        <v>0.22</v>
      </c>
      <c r="E404" s="63" t="n">
        <v>1</v>
      </c>
      <c r="F404" s="63" t="n">
        <v>0.385</v>
      </c>
      <c r="G404" s="63" t="n">
        <v>0.14</v>
      </c>
      <c r="H404" s="63" t="n">
        <v>0.384907436629</v>
      </c>
      <c r="I404" s="63" t="n">
        <v>0.48829287048</v>
      </c>
      <c r="J404" s="63" t="n">
        <v>0.281522002778</v>
      </c>
      <c r="K404" s="63" t="n">
        <v>466.43</v>
      </c>
      <c r="L404" s="63" t="n">
        <v>459.74</v>
      </c>
      <c r="M404" s="63" t="n">
        <v>465.97</v>
      </c>
      <c r="N404" s="54">
        <f>(M405-M404)/M404</f>
        <v/>
      </c>
      <c r="O404" s="54">
        <f>(M408-M404)/M404</f>
        <v/>
      </c>
      <c r="P404" s="4">
        <f>B404-D404</f>
        <v/>
      </c>
      <c r="Q404" s="4">
        <f>AVERAGE(P401:P404)</f>
        <v/>
      </c>
      <c r="R404" s="54">
        <f>(M405-M404)/M404</f>
        <v/>
      </c>
      <c r="S404" s="54">
        <f>(M408-M404)/M404</f>
        <v/>
      </c>
      <c r="T404" s="63">
        <f>IF(R404&gt;0,1,"")</f>
        <v/>
      </c>
      <c r="U404" s="63">
        <f>IF(S404&gt;0,1,"")</f>
        <v/>
      </c>
    </row>
    <row r="405">
      <c r="A405" s="35" t="n">
        <v>34718</v>
      </c>
      <c r="B405" s="4" t="n">
        <v>0.37</v>
      </c>
      <c r="C405" s="4" t="n">
        <v>0.39</v>
      </c>
      <c r="D405" s="4" t="n">
        <v>0.24</v>
      </c>
      <c r="E405" s="63" t="n">
        <v>1</v>
      </c>
      <c r="F405" s="63" t="n">
        <v>0.3825</v>
      </c>
      <c r="G405" s="63" t="n">
        <v>0.13</v>
      </c>
      <c r="H405" s="63" t="n">
        <v>0.384907436629</v>
      </c>
      <c r="I405" s="63" t="n">
        <v>0.48829287048</v>
      </c>
      <c r="J405" s="63" t="n">
        <v>0.281522002778</v>
      </c>
      <c r="K405" s="63" t="n">
        <v>470.43</v>
      </c>
      <c r="L405" s="63" t="n">
        <v>463.99</v>
      </c>
      <c r="M405" s="63" t="n">
        <v>464.78</v>
      </c>
      <c r="N405" s="54">
        <f>(M406-M405)/M405</f>
        <v/>
      </c>
      <c r="O405" s="54">
        <f>(M409-M405)/M405</f>
        <v/>
      </c>
      <c r="P405" s="4">
        <f>B405-D405</f>
        <v/>
      </c>
      <c r="Q405" s="4">
        <f>AVERAGE(P402:P405)</f>
        <v/>
      </c>
      <c r="R405" s="54">
        <f>(M406-M405)/M405</f>
        <v/>
      </c>
      <c r="S405" s="54">
        <f>(M409-M405)/M405</f>
        <v/>
      </c>
      <c r="T405" s="63">
        <f>IF(R405&gt;0,1,"")</f>
        <v/>
      </c>
      <c r="U405" s="63">
        <f>IF(S405&gt;0,1,"")</f>
        <v/>
      </c>
    </row>
    <row r="406">
      <c r="A406" s="35" t="n">
        <v>34725</v>
      </c>
      <c r="B406" s="4" t="n">
        <v>0.38</v>
      </c>
      <c r="C406" s="4" t="n">
        <v>0.37</v>
      </c>
      <c r="D406" s="4" t="n">
        <v>0.25</v>
      </c>
      <c r="E406" s="63" t="n">
        <v>1</v>
      </c>
      <c r="F406" s="63" t="n">
        <v>0.375</v>
      </c>
      <c r="G406" s="63" t="n">
        <v>0.13</v>
      </c>
      <c r="H406" s="63" t="n">
        <v>0.384907436629</v>
      </c>
      <c r="I406" s="63" t="n">
        <v>0.48829287048</v>
      </c>
      <c r="J406" s="63" t="n">
        <v>0.281522002778</v>
      </c>
      <c r="K406" s="63" t="n">
        <v>471.36</v>
      </c>
      <c r="L406" s="63" t="n">
        <v>464.4</v>
      </c>
      <c r="M406" s="63" t="n">
        <v>470.39</v>
      </c>
      <c r="N406" s="54">
        <f>(M407-M406)/M406</f>
        <v/>
      </c>
      <c r="O406" s="54">
        <f>(M410-M406)/M406</f>
        <v/>
      </c>
      <c r="P406" s="4">
        <f>B406-D406</f>
        <v/>
      </c>
      <c r="Q406" s="4">
        <f>AVERAGE(P403:P406)</f>
        <v/>
      </c>
      <c r="R406" s="54">
        <f>(M407-M406)/M406</f>
        <v/>
      </c>
      <c r="S406" s="54">
        <f>(M410-M406)/M406</f>
        <v/>
      </c>
      <c r="T406" s="63">
        <f>IF(R406&gt;0,1,"")</f>
        <v/>
      </c>
      <c r="U406" s="63">
        <f>IF(S406&gt;0,1,"")</f>
        <v/>
      </c>
    </row>
    <row r="407">
      <c r="A407" s="35" t="n">
        <v>34732</v>
      </c>
      <c r="B407" s="4" t="n">
        <v>0.38</v>
      </c>
      <c r="C407" s="4" t="n">
        <v>0.37</v>
      </c>
      <c r="D407" s="4" t="n">
        <v>0.25</v>
      </c>
      <c r="E407" s="63" t="n">
        <v>1</v>
      </c>
      <c r="F407" s="63" t="n">
        <v>0.385</v>
      </c>
      <c r="G407" s="63" t="n">
        <v>0.13</v>
      </c>
      <c r="H407" s="63" t="n">
        <v>0.384907436629</v>
      </c>
      <c r="I407" s="63" t="n">
        <v>0.48829287048</v>
      </c>
      <c r="J407" s="63" t="n">
        <v>0.281522002778</v>
      </c>
      <c r="K407" s="63" t="n">
        <v>479.91</v>
      </c>
      <c r="L407" s="63" t="n">
        <v>467.49</v>
      </c>
      <c r="M407" s="63" t="n">
        <v>478.64</v>
      </c>
      <c r="N407" s="54">
        <f>(M408-M407)/M407</f>
        <v/>
      </c>
      <c r="O407" s="54">
        <f>(M411-M407)/M407</f>
        <v/>
      </c>
      <c r="P407" s="4">
        <f>B407-D407</f>
        <v/>
      </c>
      <c r="Q407" s="4">
        <f>AVERAGE(P404:P407)</f>
        <v/>
      </c>
      <c r="R407" s="54">
        <f>(M408-M407)/M407</f>
        <v/>
      </c>
      <c r="S407" s="54">
        <f>(M411-M407)/M407</f>
        <v/>
      </c>
      <c r="T407" s="63">
        <f>IF(R407&gt;0,1,"")</f>
        <v/>
      </c>
      <c r="U407" s="63">
        <f>IF(S407&gt;0,1,"")</f>
        <v/>
      </c>
    </row>
    <row r="408">
      <c r="A408" s="35" t="n">
        <v>34739</v>
      </c>
      <c r="B408" s="4" t="n">
        <v>0.34</v>
      </c>
      <c r="C408" s="4" t="n">
        <v>0.43</v>
      </c>
      <c r="D408" s="4" t="n">
        <v>0.23</v>
      </c>
      <c r="E408" s="63" t="n">
        <v>1</v>
      </c>
      <c r="F408" s="63" t="n">
        <v>0.38625</v>
      </c>
      <c r="G408" s="63" t="n">
        <v>0.11</v>
      </c>
      <c r="H408" s="63" t="n">
        <v>0.384907436629</v>
      </c>
      <c r="I408" s="63" t="n">
        <v>0.48829287048</v>
      </c>
      <c r="J408" s="63" t="n">
        <v>0.281522002778</v>
      </c>
      <c r="K408" s="63" t="n">
        <v>482.6</v>
      </c>
      <c r="L408" s="63" t="n">
        <v>478.36</v>
      </c>
      <c r="M408" s="63" t="n">
        <v>481.46</v>
      </c>
      <c r="N408" s="54">
        <f>(M409-M408)/M408</f>
        <v/>
      </c>
      <c r="O408" s="54">
        <f>(M412-M408)/M408</f>
        <v/>
      </c>
      <c r="P408" s="4">
        <f>B408-D408</f>
        <v/>
      </c>
      <c r="Q408" s="4">
        <f>AVERAGE(P405:P408)</f>
        <v/>
      </c>
      <c r="R408" s="54">
        <f>(M409-M408)/M408</f>
        <v/>
      </c>
      <c r="S408" s="54">
        <f>(M412-M408)/M408</f>
        <v/>
      </c>
      <c r="T408" s="63">
        <f>IF(R408&gt;0,1,"")</f>
        <v/>
      </c>
      <c r="U408" s="63">
        <f>IF(S408&gt;0,1,"")</f>
        <v/>
      </c>
    </row>
    <row r="409">
      <c r="A409" s="35" t="n">
        <v>34746</v>
      </c>
      <c r="B409" s="4" t="n">
        <v>0.43</v>
      </c>
      <c r="C409" s="4" t="n">
        <v>0.37</v>
      </c>
      <c r="D409" s="4" t="n">
        <v>0.2</v>
      </c>
      <c r="E409" s="63" t="n">
        <v>1</v>
      </c>
      <c r="F409" s="63" t="n">
        <v>0.3875</v>
      </c>
      <c r="G409" s="63" t="n">
        <v>0.23</v>
      </c>
      <c r="H409" s="63" t="n">
        <v>0.384907436629</v>
      </c>
      <c r="I409" s="63" t="n">
        <v>0.48829287048</v>
      </c>
      <c r="J409" s="63" t="n">
        <v>0.281522002778</v>
      </c>
      <c r="K409" s="63" t="n">
        <v>485.54</v>
      </c>
      <c r="L409" s="63" t="n">
        <v>480.89</v>
      </c>
      <c r="M409" s="63" t="n">
        <v>481.97</v>
      </c>
      <c r="N409" s="54">
        <f>(M410-M409)/M409</f>
        <v/>
      </c>
      <c r="O409" s="54">
        <f>(M413-M409)/M409</f>
        <v/>
      </c>
      <c r="P409" s="4">
        <f>B409-D409</f>
        <v/>
      </c>
      <c r="Q409" s="4">
        <f>AVERAGE(P406:P409)</f>
        <v/>
      </c>
      <c r="R409" s="54">
        <f>(M410-M409)/M409</f>
        <v/>
      </c>
      <c r="S409" s="54">
        <f>(M413-M409)/M409</f>
        <v/>
      </c>
      <c r="T409" s="63">
        <f>IF(R409&gt;0,1,"")</f>
        <v/>
      </c>
      <c r="U409" s="63">
        <f>IF(S409&gt;0,1,"")</f>
        <v/>
      </c>
    </row>
    <row r="410">
      <c r="A410" s="35" t="n">
        <v>34753</v>
      </c>
      <c r="B410" s="4" t="n">
        <v>0.46</v>
      </c>
      <c r="C410" s="4" t="n">
        <v>0.37</v>
      </c>
      <c r="D410" s="4" t="n">
        <v>0.17</v>
      </c>
      <c r="E410" s="63" t="n">
        <v>1</v>
      </c>
      <c r="F410" s="63" t="n">
        <v>0.395</v>
      </c>
      <c r="G410" s="63" t="n">
        <v>0.29</v>
      </c>
      <c r="H410" s="63" t="n">
        <v>0.384907436629</v>
      </c>
      <c r="I410" s="63" t="n">
        <v>0.48829287048</v>
      </c>
      <c r="J410" s="63" t="n">
        <v>0.281522002778</v>
      </c>
      <c r="K410" s="63" t="n">
        <v>489.19</v>
      </c>
      <c r="L410" s="63" t="n">
        <v>481.97</v>
      </c>
      <c r="M410" s="63" t="n">
        <v>488.11</v>
      </c>
      <c r="N410" s="54">
        <f>(M411-M410)/M410</f>
        <v/>
      </c>
      <c r="O410" s="54">
        <f>(M414-M410)/M410</f>
        <v/>
      </c>
      <c r="P410" s="4">
        <f>B410-D410</f>
        <v/>
      </c>
      <c r="Q410" s="4">
        <f>AVERAGE(P407:P410)</f>
        <v/>
      </c>
      <c r="R410" s="54">
        <f>(M411-M410)/M410</f>
        <v/>
      </c>
      <c r="S410" s="54">
        <f>(M414-M410)/M410</f>
        <v/>
      </c>
      <c r="T410" s="63">
        <f>IF(R410&gt;0,1,"")</f>
        <v/>
      </c>
      <c r="U410" s="63">
        <f>IF(S410&gt;0,1,"")</f>
        <v/>
      </c>
    </row>
    <row r="411">
      <c r="A411" s="35" t="n">
        <v>34760</v>
      </c>
      <c r="B411" s="4" t="n">
        <v>0.53</v>
      </c>
      <c r="C411" s="4" t="n">
        <v>0.26</v>
      </c>
      <c r="D411" s="4" t="n">
        <v>0.21</v>
      </c>
      <c r="E411" s="63" t="n">
        <v>1</v>
      </c>
      <c r="F411" s="63" t="n">
        <v>0.40625</v>
      </c>
      <c r="G411" s="63" t="n">
        <v>0.32</v>
      </c>
      <c r="H411" s="63" t="n">
        <v>0.384907436629</v>
      </c>
      <c r="I411" s="63" t="n">
        <v>0.48829287048</v>
      </c>
      <c r="J411" s="63" t="n">
        <v>0.281522002778</v>
      </c>
      <c r="K411" s="63" t="n">
        <v>488.11</v>
      </c>
      <c r="L411" s="63" t="n">
        <v>483.07</v>
      </c>
      <c r="M411" s="63" t="n">
        <v>485.42</v>
      </c>
      <c r="N411" s="54">
        <f>(M412-M411)/M411</f>
        <v/>
      </c>
      <c r="O411" s="54">
        <f>(M415-M411)/M411</f>
        <v/>
      </c>
      <c r="P411" s="4">
        <f>B411-D411</f>
        <v/>
      </c>
      <c r="Q411" s="4">
        <f>AVERAGE(P408:P411)</f>
        <v/>
      </c>
      <c r="R411" s="54">
        <f>(M412-M411)/M411</f>
        <v/>
      </c>
      <c r="S411" s="54">
        <f>(M415-M411)/M411</f>
        <v/>
      </c>
      <c r="T411" s="63">
        <f>IF(R411&gt;0,1,"")</f>
        <v/>
      </c>
      <c r="U411" s="63">
        <f>IF(S411&gt;0,1,"")</f>
        <v/>
      </c>
    </row>
    <row r="412">
      <c r="A412" s="35" t="n">
        <v>34767</v>
      </c>
      <c r="B412" s="4" t="n">
        <v>0.48</v>
      </c>
      <c r="C412" s="4" t="n">
        <v>0.34</v>
      </c>
      <c r="D412" s="4" t="n">
        <v>0.18</v>
      </c>
      <c r="E412" s="63" t="n">
        <v>1</v>
      </c>
      <c r="F412" s="63" t="n">
        <v>0.42125</v>
      </c>
      <c r="G412" s="63" t="n">
        <v>0.3</v>
      </c>
      <c r="H412" s="63" t="n">
        <v>0.384907436629</v>
      </c>
      <c r="I412" s="63" t="n">
        <v>0.48829287048</v>
      </c>
      <c r="J412" s="63" t="n">
        <v>0.281522002778</v>
      </c>
      <c r="K412" s="63" t="n">
        <v>490.37</v>
      </c>
      <c r="L412" s="63" t="n">
        <v>479.7</v>
      </c>
      <c r="M412" s="63" t="n">
        <v>489.57</v>
      </c>
      <c r="N412" s="54">
        <f>(M413-M412)/M412</f>
        <v/>
      </c>
      <c r="O412" s="54">
        <f>(M416-M412)/M412</f>
        <v/>
      </c>
      <c r="P412" s="4">
        <f>B412-D412</f>
        <v/>
      </c>
      <c r="Q412" s="4">
        <f>AVERAGE(P409:P412)</f>
        <v/>
      </c>
      <c r="R412" s="54">
        <f>(M413-M412)/M412</f>
        <v/>
      </c>
      <c r="S412" s="54">
        <f>(M416-M412)/M412</f>
        <v/>
      </c>
      <c r="T412" s="63">
        <f>IF(R412&gt;0,1,"")</f>
        <v/>
      </c>
      <c r="U412" s="63">
        <f>IF(S412&gt;0,1,"")</f>
        <v/>
      </c>
    </row>
    <row r="413">
      <c r="A413" s="35" t="n">
        <v>34774</v>
      </c>
      <c r="B413" s="4" t="n">
        <v>0.39</v>
      </c>
      <c r="C413" s="4" t="n">
        <v>0.41</v>
      </c>
      <c r="D413" s="4" t="n">
        <v>0.2</v>
      </c>
      <c r="E413" s="63" t="n">
        <v>1</v>
      </c>
      <c r="F413" s="63" t="n">
        <v>0.42375</v>
      </c>
      <c r="G413" s="63" t="n">
        <v>0.19</v>
      </c>
      <c r="H413" s="63" t="n">
        <v>0.384907436629</v>
      </c>
      <c r="I413" s="63" t="n">
        <v>0.48829287048</v>
      </c>
      <c r="J413" s="63" t="n">
        <v>0.281522002778</v>
      </c>
      <c r="K413" s="63" t="n">
        <v>496.67</v>
      </c>
      <c r="L413" s="63" t="n">
        <v>489.35</v>
      </c>
      <c r="M413" s="63" t="n">
        <v>495.52</v>
      </c>
      <c r="N413" s="54">
        <f>(M414-M413)/M413</f>
        <v/>
      </c>
      <c r="O413" s="54">
        <f>(M417-M413)/M413</f>
        <v/>
      </c>
      <c r="P413" s="4">
        <f>B413-D413</f>
        <v/>
      </c>
      <c r="Q413" s="4">
        <f>AVERAGE(P410:P413)</f>
        <v/>
      </c>
      <c r="R413" s="54">
        <f>(M414-M413)/M413</f>
        <v/>
      </c>
      <c r="S413" s="54">
        <f>(M417-M413)/M413</f>
        <v/>
      </c>
      <c r="T413" s="63">
        <f>IF(R413&gt;0,1,"")</f>
        <v/>
      </c>
      <c r="U413" s="63">
        <f>IF(S413&gt;0,1,"")</f>
        <v/>
      </c>
    </row>
    <row r="414">
      <c r="A414" s="35" t="n">
        <v>34781</v>
      </c>
      <c r="B414" s="4" t="n">
        <v>0.47</v>
      </c>
      <c r="C414" s="4" t="n">
        <v>0.3</v>
      </c>
      <c r="D414" s="4" t="n">
        <v>0.23</v>
      </c>
      <c r="E414" s="63" t="n">
        <v>1</v>
      </c>
      <c r="F414" s="63" t="n">
        <v>0.435</v>
      </c>
      <c r="G414" s="63" t="n">
        <v>0.24</v>
      </c>
      <c r="H414" s="63" t="n">
        <v>0.384907436629</v>
      </c>
      <c r="I414" s="63" t="n">
        <v>0.48829287048</v>
      </c>
      <c r="J414" s="63" t="n">
        <v>0.281522002778</v>
      </c>
      <c r="K414" s="63" t="n">
        <v>500.97</v>
      </c>
      <c r="L414" s="63" t="n">
        <v>493.67</v>
      </c>
      <c r="M414" s="63" t="n">
        <v>500.97</v>
      </c>
      <c r="N414" s="54">
        <f>(M415-M414)/M414</f>
        <v/>
      </c>
      <c r="O414" s="54">
        <f>(M418-M414)/M414</f>
        <v/>
      </c>
      <c r="P414" s="4">
        <f>B414-D414</f>
        <v/>
      </c>
      <c r="Q414" s="4">
        <f>AVERAGE(P411:P414)</f>
        <v/>
      </c>
      <c r="R414" s="54">
        <f>(M415-M414)/M414</f>
        <v/>
      </c>
      <c r="S414" s="54">
        <f>(M418-M414)/M414</f>
        <v/>
      </c>
      <c r="T414" s="63">
        <f>IF(R414&gt;0,1,"")</f>
        <v/>
      </c>
      <c r="U414" s="63">
        <f>IF(S414&gt;0,1,"")</f>
        <v/>
      </c>
    </row>
    <row r="415">
      <c r="A415" s="35" t="n">
        <v>34788</v>
      </c>
      <c r="B415" s="4" t="n">
        <v>0.52</v>
      </c>
      <c r="C415" s="4" t="n">
        <v>0.23</v>
      </c>
      <c r="D415" s="4" t="n">
        <v>0.25</v>
      </c>
      <c r="E415" s="63" t="n">
        <v>1</v>
      </c>
      <c r="F415" s="63" t="n">
        <v>0.4525</v>
      </c>
      <c r="G415" s="63" t="n">
        <v>0.27</v>
      </c>
      <c r="H415" s="63" t="n">
        <v>0.384907436629</v>
      </c>
      <c r="I415" s="63" t="n">
        <v>0.48829287048</v>
      </c>
      <c r="J415" s="63" t="n">
        <v>0.281522002778</v>
      </c>
      <c r="K415" s="63" t="n">
        <v>508.15</v>
      </c>
      <c r="L415" s="63" t="n">
        <v>495.7</v>
      </c>
      <c r="M415" s="63" t="n">
        <v>500.71</v>
      </c>
      <c r="N415" s="54">
        <f>(M416-M415)/M415</f>
        <v/>
      </c>
      <c r="O415" s="54">
        <f>(M419-M415)/M415</f>
        <v/>
      </c>
      <c r="P415" s="4">
        <f>B415-D415</f>
        <v/>
      </c>
      <c r="Q415" s="4">
        <f>AVERAGE(P412:P415)</f>
        <v/>
      </c>
      <c r="R415" s="54">
        <f>(M416-M415)/M415</f>
        <v/>
      </c>
      <c r="S415" s="54">
        <f>(M419-M415)/M415</f>
        <v/>
      </c>
      <c r="T415" s="63">
        <f>IF(R415&gt;0,1,"")</f>
        <v/>
      </c>
      <c r="U415" s="63">
        <f>IF(S415&gt;0,1,"")</f>
        <v/>
      </c>
    </row>
    <row r="416">
      <c r="A416" s="35" t="n">
        <v>34795</v>
      </c>
      <c r="B416" s="4" t="n">
        <v>0.42</v>
      </c>
      <c r="C416" s="4" t="n">
        <v>0.25</v>
      </c>
      <c r="D416" s="4" t="n">
        <v>0.33</v>
      </c>
      <c r="E416" s="63" t="n">
        <v>1</v>
      </c>
      <c r="F416" s="63" t="n">
        <v>0.4625</v>
      </c>
      <c r="G416" s="63" t="n">
        <v>0.09</v>
      </c>
      <c r="H416" s="63" t="n">
        <v>0.384907436629</v>
      </c>
      <c r="I416" s="63" t="n">
        <v>0.48829287048</v>
      </c>
      <c r="J416" s="63" t="n">
        <v>0.281522002778</v>
      </c>
      <c r="K416" s="63" t="n">
        <v>507.19</v>
      </c>
      <c r="L416" s="63" t="n">
        <v>500.2</v>
      </c>
      <c r="M416" s="63" t="n">
        <v>506.42</v>
      </c>
      <c r="N416" s="54">
        <f>(M417-M416)/M416</f>
        <v/>
      </c>
      <c r="O416" s="54">
        <f>(M420-M416)/M416</f>
        <v/>
      </c>
      <c r="P416" s="4">
        <f>B416-D416</f>
        <v/>
      </c>
      <c r="Q416" s="4">
        <f>AVERAGE(P413:P416)</f>
        <v/>
      </c>
      <c r="R416" s="54">
        <f>(M417-M416)/M416</f>
        <v/>
      </c>
      <c r="S416" s="54">
        <f>(M420-M416)/M416</f>
        <v/>
      </c>
      <c r="T416" s="63">
        <f>IF(R416&gt;0,1,"")</f>
        <v/>
      </c>
      <c r="U416" s="63">
        <f>IF(S416&gt;0,1,"")</f>
        <v/>
      </c>
    </row>
    <row r="417">
      <c r="A417" s="35" t="n">
        <v>34802</v>
      </c>
      <c r="B417" s="4" t="n">
        <v>0.4</v>
      </c>
      <c r="C417" s="4" t="n">
        <v>0.23</v>
      </c>
      <c r="D417" s="4" t="n">
        <v>0.37</v>
      </c>
      <c r="E417" s="63" t="n">
        <v>1</v>
      </c>
      <c r="F417" s="63" t="n">
        <v>0.45875</v>
      </c>
      <c r="G417" s="63" t="n">
        <v>0.03</v>
      </c>
      <c r="H417" s="63" t="n">
        <v>0.384907436629</v>
      </c>
      <c r="I417" s="63" t="n">
        <v>0.48829287048</v>
      </c>
      <c r="J417" s="63" t="n">
        <v>0.281522002778</v>
      </c>
      <c r="K417" s="63" t="n">
        <v>509.83</v>
      </c>
      <c r="L417" s="63" t="n">
        <v>503.59</v>
      </c>
      <c r="M417" s="63" t="n">
        <v>509.23</v>
      </c>
      <c r="N417" s="54">
        <f>(M418-M417)/M417</f>
        <v/>
      </c>
      <c r="O417" s="54">
        <f>(M421-M417)/M417</f>
        <v/>
      </c>
      <c r="P417" s="4">
        <f>B417-D417</f>
        <v/>
      </c>
      <c r="Q417" s="4">
        <f>AVERAGE(P414:P417)</f>
        <v/>
      </c>
      <c r="R417" s="54">
        <f>(M418-M417)/M417</f>
        <v/>
      </c>
      <c r="S417" s="54">
        <f>(M421-M417)/M417</f>
        <v/>
      </c>
      <c r="T417" s="63">
        <f>IF(R417&gt;0,1,"")</f>
        <v/>
      </c>
      <c r="U417" s="63">
        <f>IF(S417&gt;0,1,"")</f>
        <v/>
      </c>
    </row>
    <row r="418">
      <c r="A418" s="35" t="n">
        <v>34809</v>
      </c>
      <c r="B418" s="4" t="n">
        <v>0.37</v>
      </c>
      <c r="C418" s="4" t="n">
        <v>0.27</v>
      </c>
      <c r="D418" s="4" t="n">
        <v>0.36</v>
      </c>
      <c r="E418" s="63" t="n">
        <v>1</v>
      </c>
      <c r="F418" s="63" t="n">
        <v>0.4475</v>
      </c>
      <c r="G418" s="63" t="n">
        <v>0.01</v>
      </c>
      <c r="H418" s="63" t="n">
        <v>0.384907436629</v>
      </c>
      <c r="I418" s="63" t="n">
        <v>0.48829287048</v>
      </c>
      <c r="J418" s="63" t="n">
        <v>0.281522002778</v>
      </c>
      <c r="K418" s="63" t="n">
        <v>508.49</v>
      </c>
      <c r="L418" s="63" t="n">
        <v>501.19</v>
      </c>
      <c r="M418" s="63" t="n">
        <v>508.49</v>
      </c>
      <c r="N418" s="54">
        <f>(M419-M418)/M418</f>
        <v/>
      </c>
      <c r="O418" s="54">
        <f>(M422-M418)/M418</f>
        <v/>
      </c>
      <c r="P418" s="4">
        <f>B418-D418</f>
        <v/>
      </c>
      <c r="Q418" s="4">
        <f>AVERAGE(P415:P418)</f>
        <v/>
      </c>
      <c r="R418" s="54">
        <f>(M419-M418)/M418</f>
        <v/>
      </c>
      <c r="S418" s="54">
        <f>(M422-M418)/M418</f>
        <v/>
      </c>
      <c r="T418" s="63">
        <f>IF(R418&gt;0,1,"")</f>
        <v/>
      </c>
      <c r="U418" s="63">
        <f>IF(S418&gt;0,1,"")</f>
        <v/>
      </c>
    </row>
    <row r="419">
      <c r="A419" s="35" t="n">
        <v>34816</v>
      </c>
      <c r="B419" s="4" t="n">
        <v>0.52</v>
      </c>
      <c r="C419" s="4" t="n">
        <v>0.29</v>
      </c>
      <c r="D419" s="4" t="n">
        <v>0.19</v>
      </c>
      <c r="E419" s="63" t="n">
        <v>1</v>
      </c>
      <c r="F419" s="63" t="n">
        <v>0.44625</v>
      </c>
      <c r="G419" s="63" t="n">
        <v>0.33</v>
      </c>
      <c r="H419" s="63" t="n">
        <v>0.384907436629</v>
      </c>
      <c r="I419" s="63" t="n">
        <v>0.48829287048</v>
      </c>
      <c r="J419" s="63" t="n">
        <v>0.281522002778</v>
      </c>
      <c r="K419" s="63" t="n">
        <v>515.29</v>
      </c>
      <c r="L419" s="63" t="n">
        <v>507.44</v>
      </c>
      <c r="M419" s="63" t="n">
        <v>514.71</v>
      </c>
      <c r="N419" s="54">
        <f>(M420-M419)/M419</f>
        <v/>
      </c>
      <c r="O419" s="54">
        <f>(M423-M419)/M419</f>
        <v/>
      </c>
      <c r="P419" s="4">
        <f>B419-D419</f>
        <v/>
      </c>
      <c r="Q419" s="4">
        <f>AVERAGE(P416:P419)</f>
        <v/>
      </c>
      <c r="R419" s="54">
        <f>(M420-M419)/M419</f>
        <v/>
      </c>
      <c r="S419" s="54">
        <f>(M423-M419)/M419</f>
        <v/>
      </c>
      <c r="T419" s="63">
        <f>IF(R419&gt;0,1,"")</f>
        <v/>
      </c>
      <c r="U419" s="63">
        <f>IF(S419&gt;0,1,"")</f>
        <v/>
      </c>
    </row>
    <row r="420">
      <c r="A420" s="35" t="n">
        <v>34823</v>
      </c>
      <c r="B420" s="4" t="n">
        <v>0.42</v>
      </c>
      <c r="C420" s="4" t="n">
        <v>0.27</v>
      </c>
      <c r="D420" s="4" t="n">
        <v>0.31</v>
      </c>
      <c r="E420" s="63" t="n">
        <v>1</v>
      </c>
      <c r="F420" s="63" t="n">
        <v>0.43875</v>
      </c>
      <c r="G420" s="63" t="n">
        <v>0.11</v>
      </c>
      <c r="H420" s="63" t="n">
        <v>0.384907436629</v>
      </c>
      <c r="I420" s="63" t="n">
        <v>0.48829287048</v>
      </c>
      <c r="J420" s="63" t="n">
        <v>0.281522002778</v>
      </c>
      <c r="K420" s="63" t="n">
        <v>525.4</v>
      </c>
      <c r="L420" s="63" t="n">
        <v>513.03</v>
      </c>
      <c r="M420" s="63" t="n">
        <v>520.12</v>
      </c>
      <c r="N420" s="54">
        <f>(M421-M420)/M420</f>
        <v/>
      </c>
      <c r="O420" s="54">
        <f>(M424-M420)/M420</f>
        <v/>
      </c>
      <c r="P420" s="4">
        <f>B420-D420</f>
        <v/>
      </c>
      <c r="Q420" s="4">
        <f>AVERAGE(P417:P420)</f>
        <v/>
      </c>
      <c r="R420" s="54">
        <f>(M421-M420)/M420</f>
        <v/>
      </c>
      <c r="S420" s="54">
        <f>(M424-M420)/M420</f>
        <v/>
      </c>
      <c r="T420" s="63">
        <f>IF(R420&gt;0,1,"")</f>
        <v/>
      </c>
      <c r="U420" s="63">
        <f>IF(S420&gt;0,1,"")</f>
        <v/>
      </c>
    </row>
    <row r="421">
      <c r="A421" s="35" t="n">
        <v>34830</v>
      </c>
      <c r="B421" s="4" t="n">
        <v>0.44</v>
      </c>
      <c r="C421" s="4" t="n">
        <v>0.26</v>
      </c>
      <c r="D421" s="4" t="n">
        <v>0.3</v>
      </c>
      <c r="E421" s="63" t="n">
        <v>1</v>
      </c>
      <c r="F421" s="63" t="n">
        <v>0.445</v>
      </c>
      <c r="G421" s="63" t="n">
        <v>0.14</v>
      </c>
      <c r="H421" s="63" t="n">
        <v>0.384907436629</v>
      </c>
      <c r="I421" s="63" t="n">
        <v>0.48829287048</v>
      </c>
      <c r="J421" s="63" t="n">
        <v>0.281522002778</v>
      </c>
      <c r="K421" s="63" t="n">
        <v>527.05</v>
      </c>
      <c r="L421" s="63" t="n">
        <v>519.14</v>
      </c>
      <c r="M421" s="63" t="n">
        <v>525.55</v>
      </c>
      <c r="N421" s="54">
        <f>(M422-M421)/M421</f>
        <v/>
      </c>
      <c r="O421" s="54">
        <f>(M425-M421)/M421</f>
        <v/>
      </c>
      <c r="P421" s="4">
        <f>B421-D421</f>
        <v/>
      </c>
      <c r="Q421" s="4">
        <f>AVERAGE(P418:P421)</f>
        <v/>
      </c>
      <c r="R421" s="54">
        <f>(M422-M421)/M421</f>
        <v/>
      </c>
      <c r="S421" s="54">
        <f>(M425-M421)/M421</f>
        <v/>
      </c>
      <c r="T421" s="63">
        <f>IF(R421&gt;0,1,"")</f>
        <v/>
      </c>
      <c r="U421" s="63">
        <f>IF(S421&gt;0,1,"")</f>
        <v/>
      </c>
    </row>
    <row r="422">
      <c r="A422" s="35" t="n">
        <v>34837</v>
      </c>
      <c r="B422" s="4" t="n">
        <v>0.42</v>
      </c>
      <c r="C422" s="4" t="n">
        <v>0.23</v>
      </c>
      <c r="D422" s="4" t="n">
        <v>0.35</v>
      </c>
      <c r="E422" s="63" t="n">
        <v>1</v>
      </c>
      <c r="F422" s="63" t="n">
        <v>0.43875</v>
      </c>
      <c r="G422" s="63" t="n">
        <v>0.07000000000000001</v>
      </c>
      <c r="H422" s="63" t="n">
        <v>0.384907436629</v>
      </c>
      <c r="I422" s="63" t="n">
        <v>0.48829287048</v>
      </c>
      <c r="J422" s="63" t="n">
        <v>0.281522002778</v>
      </c>
      <c r="K422" s="63" t="n">
        <v>529.08</v>
      </c>
      <c r="L422" s="63" t="n">
        <v>517.0700000000001</v>
      </c>
      <c r="M422" s="63" t="n">
        <v>519.1900000000001</v>
      </c>
      <c r="N422" s="54">
        <f>(M423-M422)/M422</f>
        <v/>
      </c>
      <c r="O422" s="54">
        <f>(M426-M422)/M422</f>
        <v/>
      </c>
      <c r="P422" s="4">
        <f>B422-D422</f>
        <v/>
      </c>
      <c r="Q422" s="4">
        <f>AVERAGE(P419:P422)</f>
        <v/>
      </c>
      <c r="R422" s="54">
        <f>(M423-M422)/M422</f>
        <v/>
      </c>
      <c r="S422" s="54">
        <f>(M426-M422)/M422</f>
        <v/>
      </c>
      <c r="T422" s="63">
        <f>IF(R422&gt;0,1,"")</f>
        <v/>
      </c>
      <c r="U422" s="63">
        <f>IF(S422&gt;0,1,"")</f>
        <v/>
      </c>
    </row>
    <row r="423">
      <c r="A423" s="35" t="n">
        <v>34844</v>
      </c>
      <c r="B423" s="4" t="n">
        <v>0.44</v>
      </c>
      <c r="C423" s="4" t="n">
        <v>0.26</v>
      </c>
      <c r="D423" s="4" t="n">
        <v>0.3</v>
      </c>
      <c r="E423" s="63" t="n">
        <v>1</v>
      </c>
      <c r="F423" s="63" t="n">
        <v>0.42875</v>
      </c>
      <c r="G423" s="63" t="n">
        <v>0.14</v>
      </c>
      <c r="H423" s="63" t="n">
        <v>0.384907436629</v>
      </c>
      <c r="I423" s="63" t="n">
        <v>0.48829287048</v>
      </c>
      <c r="J423" s="63" t="n">
        <v>0.281522002778</v>
      </c>
      <c r="K423" s="63" t="n">
        <v>531.91</v>
      </c>
      <c r="L423" s="63" t="n">
        <v>519.1900000000001</v>
      </c>
      <c r="M423" s="63" t="n">
        <v>523.65</v>
      </c>
      <c r="N423" s="54">
        <f>(M424-M423)/M423</f>
        <v/>
      </c>
      <c r="O423" s="54">
        <f>(M427-M423)/M423</f>
        <v/>
      </c>
      <c r="P423" s="4">
        <f>B423-D423</f>
        <v/>
      </c>
      <c r="Q423" s="4">
        <f>AVERAGE(P420:P423)</f>
        <v/>
      </c>
      <c r="R423" s="54">
        <f>(M424-M423)/M423</f>
        <v/>
      </c>
      <c r="S423" s="54">
        <f>(M427-M423)/M423</f>
        <v/>
      </c>
      <c r="T423" s="63">
        <f>IF(R423&gt;0,1,"")</f>
        <v/>
      </c>
      <c r="U423" s="63">
        <f>IF(S423&gt;0,1,"")</f>
        <v/>
      </c>
    </row>
    <row r="424">
      <c r="A424" s="35" t="n">
        <v>34851</v>
      </c>
      <c r="B424" s="4" t="n">
        <v>0.39</v>
      </c>
      <c r="C424" s="4" t="n">
        <v>0.34</v>
      </c>
      <c r="D424" s="4" t="n">
        <v>0.27</v>
      </c>
      <c r="E424" s="63" t="n">
        <v>1</v>
      </c>
      <c r="F424" s="63" t="n">
        <v>0.425</v>
      </c>
      <c r="G424" s="63" t="n">
        <v>0.12</v>
      </c>
      <c r="H424" s="63" t="n">
        <v>0.384907436629</v>
      </c>
      <c r="I424" s="63" t="n">
        <v>0.48829287048</v>
      </c>
      <c r="J424" s="63" t="n">
        <v>0.281522002778</v>
      </c>
      <c r="K424" s="63" t="n">
        <v>536.91</v>
      </c>
      <c r="L424" s="63" t="n">
        <v>521.38</v>
      </c>
      <c r="M424" s="63" t="n">
        <v>532.51</v>
      </c>
      <c r="N424" s="54">
        <f>(M425-M424)/M424</f>
        <v/>
      </c>
      <c r="O424" s="54">
        <f>(M428-M424)/M424</f>
        <v/>
      </c>
      <c r="P424" s="4">
        <f>B424-D424</f>
        <v/>
      </c>
      <c r="Q424" s="4">
        <f>AVERAGE(P421:P424)</f>
        <v/>
      </c>
      <c r="R424" s="54">
        <f>(M425-M424)/M424</f>
        <v/>
      </c>
      <c r="S424" s="54">
        <f>(M428-M424)/M424</f>
        <v/>
      </c>
      <c r="T424" s="63">
        <f>IF(R424&gt;0,1,"")</f>
        <v/>
      </c>
      <c r="U424" s="63">
        <f>IF(S424&gt;0,1,"")</f>
        <v/>
      </c>
    </row>
    <row r="425">
      <c r="A425" s="35" t="n">
        <v>34858</v>
      </c>
      <c r="B425" s="4" t="n">
        <v>0.44</v>
      </c>
      <c r="C425" s="4" t="n">
        <v>0.25</v>
      </c>
      <c r="D425" s="4" t="n">
        <v>0.31</v>
      </c>
      <c r="E425" s="63" t="n">
        <v>1</v>
      </c>
      <c r="F425" s="63" t="n">
        <v>0.43</v>
      </c>
      <c r="G425" s="63" t="n">
        <v>0.13</v>
      </c>
      <c r="H425" s="63" t="n">
        <v>0.384907436629</v>
      </c>
      <c r="I425" s="63" t="n">
        <v>0.48829287048</v>
      </c>
      <c r="J425" s="63" t="n">
        <v>0.281522002778</v>
      </c>
      <c r="K425" s="63" t="n">
        <v>537.73</v>
      </c>
      <c r="L425" s="63" t="n">
        <v>526</v>
      </c>
      <c r="M425" s="63" t="n">
        <v>527.9400000000001</v>
      </c>
      <c r="N425" s="54">
        <f>(M426-M425)/M425</f>
        <v/>
      </c>
      <c r="O425" s="54">
        <f>(M429-M425)/M425</f>
        <v/>
      </c>
      <c r="P425" s="4">
        <f>B425-D425</f>
        <v/>
      </c>
      <c r="Q425" s="4">
        <f>AVERAGE(P422:P425)</f>
        <v/>
      </c>
      <c r="R425" s="54">
        <f>(M426-M425)/M425</f>
        <v/>
      </c>
      <c r="S425" s="54">
        <f>(M429-M425)/M425</f>
        <v/>
      </c>
      <c r="T425" s="63">
        <f>IF(R425&gt;0,1,"")</f>
        <v/>
      </c>
      <c r="U425" s="63">
        <f>IF(S425&gt;0,1,"")</f>
        <v/>
      </c>
    </row>
    <row r="426">
      <c r="A426" s="35" t="n">
        <v>34865</v>
      </c>
      <c r="B426" s="4" t="n">
        <v>0.36</v>
      </c>
      <c r="C426" s="4" t="n">
        <v>0.31</v>
      </c>
      <c r="D426" s="4" t="n">
        <v>0.33</v>
      </c>
      <c r="E426" s="63" t="n">
        <v>1</v>
      </c>
      <c r="F426" s="63" t="n">
        <v>0.42875</v>
      </c>
      <c r="G426" s="63" t="n">
        <v>0.03</v>
      </c>
      <c r="H426" s="63" t="n">
        <v>0.384907436629</v>
      </c>
      <c r="I426" s="63" t="n">
        <v>0.48829287048</v>
      </c>
      <c r="J426" s="63" t="n">
        <v>0.281522002778</v>
      </c>
      <c r="K426" s="63" t="n">
        <v>539.98</v>
      </c>
      <c r="L426" s="63" t="n">
        <v>527.9400000000001</v>
      </c>
      <c r="M426" s="63" t="n">
        <v>539.83</v>
      </c>
      <c r="N426" s="54">
        <f>(M427-M426)/M426</f>
        <v/>
      </c>
      <c r="O426" s="54">
        <f>(M430-M426)/M426</f>
        <v/>
      </c>
      <c r="P426" s="4">
        <f>B426-D426</f>
        <v/>
      </c>
      <c r="Q426" s="4">
        <f>AVERAGE(P423:P426)</f>
        <v/>
      </c>
      <c r="R426" s="54">
        <f>(M427-M426)/M426</f>
        <v/>
      </c>
      <c r="S426" s="54">
        <f>(M430-M426)/M426</f>
        <v/>
      </c>
      <c r="T426" s="63">
        <f>IF(R426&gt;0,1,"")</f>
        <v/>
      </c>
      <c r="U426" s="63">
        <f>IF(S426&gt;0,1,"")</f>
        <v/>
      </c>
    </row>
    <row r="427">
      <c r="A427" s="35" t="n">
        <v>34872</v>
      </c>
      <c r="B427" s="4" t="n">
        <v>0.48</v>
      </c>
      <c r="C427" s="4" t="n">
        <v>0.21</v>
      </c>
      <c r="D427" s="4" t="n">
        <v>0.31</v>
      </c>
      <c r="E427" s="63" t="n">
        <v>1</v>
      </c>
      <c r="F427" s="63" t="n">
        <v>0.42375</v>
      </c>
      <c r="G427" s="63" t="n">
        <v>0.17</v>
      </c>
      <c r="H427" s="63" t="n">
        <v>0.384907436629</v>
      </c>
      <c r="I427" s="63" t="n">
        <v>0.48829287048</v>
      </c>
      <c r="J427" s="63" t="n">
        <v>0.281522002778</v>
      </c>
      <c r="K427" s="63" t="n">
        <v>551.0700000000001</v>
      </c>
      <c r="L427" s="63" t="n">
        <v>539.83</v>
      </c>
      <c r="M427" s="63" t="n">
        <v>549.71</v>
      </c>
      <c r="N427" s="54">
        <f>(M428-M427)/M427</f>
        <v/>
      </c>
      <c r="O427" s="54">
        <f>(M431-M427)/M427</f>
        <v/>
      </c>
      <c r="P427" s="4">
        <f>B427-D427</f>
        <v/>
      </c>
      <c r="Q427" s="4">
        <f>AVERAGE(P424:P427)</f>
        <v/>
      </c>
      <c r="R427" s="54">
        <f>(M428-M427)/M427</f>
        <v/>
      </c>
      <c r="S427" s="54">
        <f>(M431-M427)/M427</f>
        <v/>
      </c>
      <c r="T427" s="63">
        <f>IF(R427&gt;0,1,"")</f>
        <v/>
      </c>
      <c r="U427" s="63">
        <f>IF(S427&gt;0,1,"")</f>
        <v/>
      </c>
    </row>
    <row r="428">
      <c r="A428" s="35" t="n">
        <v>34879</v>
      </c>
      <c r="B428" s="4" t="n">
        <v>0.35</v>
      </c>
      <c r="C428" s="4" t="n">
        <v>0.28</v>
      </c>
      <c r="D428" s="4" t="n">
        <v>0.37</v>
      </c>
      <c r="E428" s="63" t="n">
        <v>1</v>
      </c>
      <c r="F428" s="63" t="n">
        <v>0.415</v>
      </c>
      <c r="G428" s="63" t="n">
        <v>-0.02</v>
      </c>
      <c r="H428" s="63" t="n">
        <v>0.384907436629</v>
      </c>
      <c r="I428" s="63" t="n">
        <v>0.48829287048</v>
      </c>
      <c r="J428" s="63" t="n">
        <v>0.281522002778</v>
      </c>
      <c r="K428" s="63" t="n">
        <v>549.79</v>
      </c>
      <c r="L428" s="63" t="n">
        <v>540.79</v>
      </c>
      <c r="M428" s="63" t="n">
        <v>544.75</v>
      </c>
      <c r="N428" s="54">
        <f>(M429-M428)/M428</f>
        <v/>
      </c>
      <c r="O428" s="54">
        <f>(M432-M428)/M428</f>
        <v/>
      </c>
      <c r="P428" s="4">
        <f>B428-D428</f>
        <v/>
      </c>
      <c r="Q428" s="4">
        <f>AVERAGE(P425:P428)</f>
        <v/>
      </c>
      <c r="R428" s="54">
        <f>(M429-M428)/M428</f>
        <v/>
      </c>
      <c r="S428" s="54">
        <f>(M432-M428)/M428</f>
        <v/>
      </c>
      <c r="T428" s="63">
        <f>IF(R428&gt;0,1,"")</f>
        <v/>
      </c>
      <c r="U428" s="63">
        <f>IF(S428&gt;0,1,"")</f>
        <v/>
      </c>
    </row>
    <row r="429">
      <c r="A429" s="35" t="n">
        <v>34886</v>
      </c>
      <c r="B429" s="4" t="n">
        <v>0.35</v>
      </c>
      <c r="C429" s="4" t="n">
        <v>0.34</v>
      </c>
      <c r="D429" s="4" t="n">
        <v>0.31</v>
      </c>
      <c r="E429" s="63" t="n">
        <v>1</v>
      </c>
      <c r="F429" s="63" t="n">
        <v>0.40375</v>
      </c>
      <c r="G429" s="63" t="n">
        <v>0.04</v>
      </c>
      <c r="H429" s="63" t="n">
        <v>0.384907436629</v>
      </c>
      <c r="I429" s="63" t="n">
        <v>0.48829287048</v>
      </c>
      <c r="J429" s="63" t="n">
        <v>0.281522002778</v>
      </c>
      <c r="K429" s="63" t="n">
        <v>556.37</v>
      </c>
      <c r="L429" s="63" t="n">
        <v>544.4299999999999</v>
      </c>
      <c r="M429" s="63" t="n">
        <v>556.37</v>
      </c>
      <c r="N429" s="54">
        <f>(M430-M429)/M429</f>
        <v/>
      </c>
      <c r="O429" s="54">
        <f>(M433-M429)/M429</f>
        <v/>
      </c>
      <c r="P429" s="4">
        <f>B429-D429</f>
        <v/>
      </c>
      <c r="Q429" s="4">
        <f>AVERAGE(P426:P429)</f>
        <v/>
      </c>
      <c r="R429" s="54">
        <f>(M430-M429)/M429</f>
        <v/>
      </c>
      <c r="S429" s="54">
        <f>(M433-M429)/M429</f>
        <v/>
      </c>
      <c r="T429" s="63">
        <f>IF(R429&gt;0,1,"")</f>
        <v/>
      </c>
      <c r="U429" s="63">
        <f>IF(S429&gt;0,1,"")</f>
        <v/>
      </c>
    </row>
    <row r="430">
      <c r="A430" s="35" t="n">
        <v>34893</v>
      </c>
      <c r="B430" s="4" t="n">
        <v>0.44</v>
      </c>
      <c r="C430" s="4" t="n">
        <v>0.18</v>
      </c>
      <c r="D430" s="4" t="n">
        <v>0.38</v>
      </c>
      <c r="E430" s="63" t="n">
        <v>1</v>
      </c>
      <c r="F430" s="63" t="n">
        <v>0.40625</v>
      </c>
      <c r="G430" s="63" t="n">
        <v>0.06</v>
      </c>
      <c r="H430" s="63" t="n">
        <v>0.384907436629</v>
      </c>
      <c r="I430" s="63" t="n">
        <v>0.48829287048</v>
      </c>
      <c r="J430" s="63" t="n">
        <v>0.281522002778</v>
      </c>
      <c r="K430" s="63" t="n">
        <v>562</v>
      </c>
      <c r="L430" s="63" t="n">
        <v>553.8</v>
      </c>
      <c r="M430" s="63" t="n">
        <v>559.89</v>
      </c>
      <c r="N430" s="54">
        <f>(M431-M430)/M430</f>
        <v/>
      </c>
      <c r="O430" s="54">
        <f>(M434-M430)/M430</f>
        <v/>
      </c>
      <c r="P430" s="4">
        <f>B430-D430</f>
        <v/>
      </c>
      <c r="Q430" s="4">
        <f>AVERAGE(P427:P430)</f>
        <v/>
      </c>
      <c r="R430" s="54">
        <f>(M431-M430)/M430</f>
        <v/>
      </c>
      <c r="S430" s="54">
        <f>(M434-M430)/M430</f>
        <v/>
      </c>
      <c r="T430" s="63">
        <f>IF(R430&gt;0,1,"")</f>
        <v/>
      </c>
      <c r="U430" s="63">
        <f>IF(S430&gt;0,1,"")</f>
        <v/>
      </c>
    </row>
    <row r="431">
      <c r="A431" s="35" t="n">
        <v>34900</v>
      </c>
      <c r="B431" s="4" t="n">
        <v>0.43</v>
      </c>
      <c r="C431" s="4" t="n">
        <v>0.3</v>
      </c>
      <c r="D431" s="4" t="n">
        <v>0.27</v>
      </c>
      <c r="E431" s="63" t="n">
        <v>1</v>
      </c>
      <c r="F431" s="63" t="n">
        <v>0.405</v>
      </c>
      <c r="G431" s="63" t="n">
        <v>0.16</v>
      </c>
      <c r="H431" s="63" t="n">
        <v>0.384907436629</v>
      </c>
      <c r="I431" s="63" t="n">
        <v>0.48829287048</v>
      </c>
      <c r="J431" s="63" t="n">
        <v>0.281522002778</v>
      </c>
      <c r="K431" s="63" t="n">
        <v>562.72</v>
      </c>
      <c r="L431" s="63" t="n">
        <v>550.98</v>
      </c>
      <c r="M431" s="63" t="n">
        <v>553.62</v>
      </c>
      <c r="N431" s="54">
        <f>(M432-M431)/M431</f>
        <v/>
      </c>
      <c r="O431" s="54">
        <f>(M435-M431)/M431</f>
        <v/>
      </c>
      <c r="P431" s="4">
        <f>B431-D431</f>
        <v/>
      </c>
      <c r="Q431" s="4">
        <f>AVERAGE(P428:P431)</f>
        <v/>
      </c>
      <c r="R431" s="54">
        <f>(M432-M431)/M431</f>
        <v/>
      </c>
      <c r="S431" s="54">
        <f>(M435-M431)/M431</f>
        <v/>
      </c>
      <c r="T431" s="63">
        <f>IF(R431&gt;0,1,"")</f>
        <v/>
      </c>
      <c r="U431" s="63">
        <f>IF(S431&gt;0,1,"")</f>
        <v/>
      </c>
    </row>
    <row r="432">
      <c r="A432" s="35" t="n">
        <v>34907</v>
      </c>
      <c r="B432" s="4" t="n">
        <v>0.41</v>
      </c>
      <c r="C432" s="4" t="n">
        <v>0.26</v>
      </c>
      <c r="D432" s="4" t="n">
        <v>0.33</v>
      </c>
      <c r="E432" s="63" t="n">
        <v>1</v>
      </c>
      <c r="F432" s="63" t="n">
        <v>0.4075</v>
      </c>
      <c r="G432" s="63" t="n">
        <v>0.08</v>
      </c>
      <c r="H432" s="63" t="n">
        <v>0.384907436629</v>
      </c>
      <c r="I432" s="63" t="n">
        <v>0.48829287048</v>
      </c>
      <c r="J432" s="63" t="n">
        <v>0.281522002778</v>
      </c>
      <c r="K432" s="63" t="n">
        <v>565.4</v>
      </c>
      <c r="L432" s="63" t="n">
        <v>553.62</v>
      </c>
      <c r="M432" s="63" t="n">
        <v>562.9299999999999</v>
      </c>
      <c r="N432" s="54">
        <f>(M433-M432)/M432</f>
        <v/>
      </c>
      <c r="O432" s="54">
        <f>(M436-M432)/M432</f>
        <v/>
      </c>
      <c r="P432" s="4">
        <f>B432-D432</f>
        <v/>
      </c>
      <c r="Q432" s="4">
        <f>AVERAGE(P429:P432)</f>
        <v/>
      </c>
      <c r="R432" s="54">
        <f>(M433-M432)/M432</f>
        <v/>
      </c>
      <c r="S432" s="54">
        <f>(M436-M432)/M432</f>
        <v/>
      </c>
      <c r="T432" s="63">
        <f>IF(R432&gt;0,1,"")</f>
        <v/>
      </c>
      <c r="U432" s="63">
        <f>IF(S432&gt;0,1,"")</f>
        <v/>
      </c>
    </row>
    <row r="433">
      <c r="A433" s="35" t="n">
        <v>34914</v>
      </c>
      <c r="B433" s="4" t="n">
        <v>0.38</v>
      </c>
      <c r="C433" s="4" t="n">
        <v>0.34</v>
      </c>
      <c r="D433" s="4" t="n">
        <v>0.28</v>
      </c>
      <c r="E433" s="63" t="n">
        <v>1</v>
      </c>
      <c r="F433" s="63" t="n">
        <v>0.4</v>
      </c>
      <c r="G433" s="63" t="n">
        <v>0.1</v>
      </c>
      <c r="H433" s="63" t="n">
        <v>0.384907436629</v>
      </c>
      <c r="I433" s="63" t="n">
        <v>0.48829287048</v>
      </c>
      <c r="J433" s="63" t="n">
        <v>0.281522002778</v>
      </c>
      <c r="K433" s="63" t="n">
        <v>565.62</v>
      </c>
      <c r="L433" s="63" t="n">
        <v>554.1</v>
      </c>
      <c r="M433" s="63" t="n">
        <v>558.9400000000001</v>
      </c>
      <c r="N433" s="54">
        <f>(M434-M433)/M433</f>
        <v/>
      </c>
      <c r="O433" s="54">
        <f>(M437-M433)/M433</f>
        <v/>
      </c>
      <c r="P433" s="4">
        <f>B433-D433</f>
        <v/>
      </c>
      <c r="Q433" s="4">
        <f>AVERAGE(P430:P433)</f>
        <v/>
      </c>
      <c r="R433" s="54">
        <f>(M434-M433)/M433</f>
        <v/>
      </c>
      <c r="S433" s="54">
        <f>(M437-M433)/M433</f>
        <v/>
      </c>
      <c r="T433" s="63">
        <f>IF(R433&gt;0,1,"")</f>
        <v/>
      </c>
      <c r="U433" s="63">
        <f>IF(S433&gt;0,1,"")</f>
        <v/>
      </c>
    </row>
    <row r="434">
      <c r="A434" s="35" t="n">
        <v>34921</v>
      </c>
      <c r="B434" s="4" t="n">
        <v>0.4</v>
      </c>
      <c r="C434" s="4" t="n">
        <v>0.3</v>
      </c>
      <c r="D434" s="4" t="n">
        <v>0.3</v>
      </c>
      <c r="E434" s="63" t="n">
        <v>1</v>
      </c>
      <c r="F434" s="63" t="n">
        <v>0.405</v>
      </c>
      <c r="G434" s="63" t="n">
        <v>0.1</v>
      </c>
      <c r="H434" s="63" t="n">
        <v>0.384907436629</v>
      </c>
      <c r="I434" s="63" t="n">
        <v>0.48829287048</v>
      </c>
      <c r="J434" s="63" t="n">
        <v>0.281522002778</v>
      </c>
      <c r="K434" s="63" t="n">
        <v>561.59</v>
      </c>
      <c r="L434" s="63" t="n">
        <v>553.04</v>
      </c>
      <c r="M434" s="63" t="n">
        <v>555.11</v>
      </c>
      <c r="N434" s="54">
        <f>(M435-M434)/M434</f>
        <v/>
      </c>
      <c r="O434" s="54">
        <f>(M438-M434)/M434</f>
        <v/>
      </c>
      <c r="P434" s="4">
        <f>B434-D434</f>
        <v/>
      </c>
      <c r="Q434" s="4">
        <f>AVERAGE(P431:P434)</f>
        <v/>
      </c>
      <c r="R434" s="54">
        <f>(M435-M434)/M434</f>
        <v/>
      </c>
      <c r="S434" s="54">
        <f>(M438-M434)/M434</f>
        <v/>
      </c>
      <c r="T434" s="63">
        <f>IF(R434&gt;0,1,"")</f>
        <v/>
      </c>
      <c r="U434" s="63">
        <f>IF(S434&gt;0,1,"")</f>
        <v/>
      </c>
    </row>
    <row r="435">
      <c r="A435" s="35" t="n">
        <v>34928</v>
      </c>
      <c r="B435" s="4" t="n">
        <v>0.36</v>
      </c>
      <c r="C435" s="4" t="n">
        <v>0.43</v>
      </c>
      <c r="D435" s="4" t="n">
        <v>0.21</v>
      </c>
      <c r="E435" s="63" t="n">
        <v>1</v>
      </c>
      <c r="F435" s="63" t="n">
        <v>0.39</v>
      </c>
      <c r="G435" s="63" t="n">
        <v>0.15</v>
      </c>
      <c r="H435" s="63" t="n">
        <v>0.384907436629</v>
      </c>
      <c r="I435" s="63" t="n">
        <v>0.48829287048</v>
      </c>
      <c r="J435" s="63" t="n">
        <v>0.281522002778</v>
      </c>
      <c r="K435" s="63" t="n">
        <v>561.24</v>
      </c>
      <c r="L435" s="63" t="n">
        <v>554.76</v>
      </c>
      <c r="M435" s="63" t="n">
        <v>559.21</v>
      </c>
      <c r="N435" s="54">
        <f>(M436-M435)/M435</f>
        <v/>
      </c>
      <c r="O435" s="54">
        <f>(M439-M435)/M435</f>
        <v/>
      </c>
      <c r="P435" s="4">
        <f>B435-D435</f>
        <v/>
      </c>
      <c r="Q435" s="4">
        <f>AVERAGE(P432:P435)</f>
        <v/>
      </c>
      <c r="R435" s="54">
        <f>(M436-M435)/M435</f>
        <v/>
      </c>
      <c r="S435" s="54">
        <f>(M439-M435)/M435</f>
        <v/>
      </c>
      <c r="T435" s="63">
        <f>IF(R435&gt;0,1,"")</f>
        <v/>
      </c>
      <c r="U435" s="63">
        <f>IF(S435&gt;0,1,"")</f>
        <v/>
      </c>
    </row>
    <row r="436">
      <c r="A436" s="35" t="n">
        <v>34935</v>
      </c>
      <c r="B436" s="4" t="n">
        <v>0.35</v>
      </c>
      <c r="C436" s="4" t="n">
        <v>0.28</v>
      </c>
      <c r="D436" s="4" t="n">
        <v>0.37</v>
      </c>
      <c r="E436" s="63" t="n">
        <v>1</v>
      </c>
      <c r="F436" s="63" t="n">
        <v>0.39</v>
      </c>
      <c r="G436" s="63" t="n">
        <v>-0.02</v>
      </c>
      <c r="H436" s="63" t="n">
        <v>0.384907436629</v>
      </c>
      <c r="I436" s="63" t="n">
        <v>0.48829287048</v>
      </c>
      <c r="J436" s="63" t="n">
        <v>0.281522002778</v>
      </c>
      <c r="K436" s="63" t="n">
        <v>563.34</v>
      </c>
      <c r="L436" s="63" t="n">
        <v>555.2</v>
      </c>
      <c r="M436" s="63" t="n">
        <v>560.1</v>
      </c>
      <c r="N436" s="54">
        <f>(M437-M436)/M436</f>
        <v/>
      </c>
      <c r="O436" s="54">
        <f>(M440-M436)/M436</f>
        <v/>
      </c>
      <c r="P436" s="4">
        <f>B436-D436</f>
        <v/>
      </c>
      <c r="Q436" s="4">
        <f>AVERAGE(P433:P436)</f>
        <v/>
      </c>
      <c r="R436" s="54">
        <f>(M437-M436)/M436</f>
        <v/>
      </c>
      <c r="S436" s="54">
        <f>(M440-M436)/M436</f>
        <v/>
      </c>
      <c r="T436" s="63">
        <f>IF(R436&gt;0,1,"")</f>
        <v/>
      </c>
      <c r="U436" s="63">
        <f>IF(S436&gt;0,1,"")</f>
        <v/>
      </c>
    </row>
    <row r="437">
      <c r="A437" s="35" t="n">
        <v>34942</v>
      </c>
      <c r="B437" s="4" t="n">
        <v>0.38</v>
      </c>
      <c r="C437" s="4" t="n">
        <v>0.42</v>
      </c>
      <c r="D437" s="4" t="n">
        <v>0.2</v>
      </c>
      <c r="E437" s="63" t="n">
        <v>1</v>
      </c>
      <c r="F437" s="63" t="n">
        <v>0.39375</v>
      </c>
      <c r="G437" s="63" t="n">
        <v>0.18</v>
      </c>
      <c r="H437" s="63" t="n">
        <v>0.384907436629</v>
      </c>
      <c r="I437" s="63" t="n">
        <v>0.48829287048</v>
      </c>
      <c r="J437" s="63" t="n">
        <v>0.281522002778</v>
      </c>
      <c r="K437" s="63" t="n">
        <v>564.62</v>
      </c>
      <c r="L437" s="63" t="n">
        <v>555.71</v>
      </c>
      <c r="M437" s="63" t="n">
        <v>563.84</v>
      </c>
      <c r="N437" s="54">
        <f>(M438-M437)/M437</f>
        <v/>
      </c>
      <c r="O437" s="54">
        <f>(M441-M437)/M437</f>
        <v/>
      </c>
      <c r="P437" s="4">
        <f>B437-D437</f>
        <v/>
      </c>
      <c r="Q437" s="4">
        <f>AVERAGE(P434:P437)</f>
        <v/>
      </c>
      <c r="R437" s="54">
        <f>(M438-M437)/M437</f>
        <v/>
      </c>
      <c r="S437" s="54">
        <f>(M441-M437)/M437</f>
        <v/>
      </c>
      <c r="T437" s="63">
        <f>IF(R437&gt;0,1,"")</f>
        <v/>
      </c>
      <c r="U437" s="63">
        <f>IF(S437&gt;0,1,"")</f>
        <v/>
      </c>
    </row>
    <row r="438">
      <c r="A438" s="35" t="n">
        <v>34949</v>
      </c>
      <c r="B438" s="4" t="n">
        <v>0.37</v>
      </c>
      <c r="C438" s="4" t="n">
        <v>0.36</v>
      </c>
      <c r="D438" s="4" t="n">
        <v>0.27</v>
      </c>
      <c r="E438" s="63" t="n">
        <v>1</v>
      </c>
      <c r="F438" s="63" t="n">
        <v>0.385</v>
      </c>
      <c r="G438" s="63" t="n">
        <v>0.1</v>
      </c>
      <c r="H438" s="63" t="n">
        <v>0.384907436629</v>
      </c>
      <c r="I438" s="63" t="n">
        <v>0.48829287048</v>
      </c>
      <c r="J438" s="63" t="n">
        <v>0.281522002778</v>
      </c>
      <c r="K438" s="63" t="n">
        <v>572.6799999999999</v>
      </c>
      <c r="L438" s="63" t="n">
        <v>563.84</v>
      </c>
      <c r="M438" s="63" t="n">
        <v>572.6799999999999</v>
      </c>
      <c r="N438" s="54">
        <f>(M439-M438)/M438</f>
        <v/>
      </c>
      <c r="O438" s="54">
        <f>(M442-M438)/M438</f>
        <v/>
      </c>
      <c r="P438" s="4">
        <f>B438-D438</f>
        <v/>
      </c>
      <c r="Q438" s="4">
        <f>AVERAGE(P435:P438)</f>
        <v/>
      </c>
      <c r="R438" s="54">
        <f>(M439-M438)/M438</f>
        <v/>
      </c>
      <c r="S438" s="54">
        <f>(M442-M438)/M438</f>
        <v/>
      </c>
      <c r="T438" s="63">
        <f>IF(R438&gt;0,1,"")</f>
        <v/>
      </c>
      <c r="U438" s="63">
        <f>IF(S438&gt;0,1,"")</f>
        <v/>
      </c>
    </row>
    <row r="439">
      <c r="A439" s="35" t="n">
        <v>34956</v>
      </c>
      <c r="B439" s="4" t="n">
        <v>0.46</v>
      </c>
      <c r="C439" s="4" t="n">
        <v>0.32</v>
      </c>
      <c r="D439" s="4" t="n">
        <v>0.22</v>
      </c>
      <c r="E439" s="63" t="n">
        <v>1</v>
      </c>
      <c r="F439" s="63" t="n">
        <v>0.38875</v>
      </c>
      <c r="G439" s="63" t="n">
        <v>0.24</v>
      </c>
      <c r="H439" s="63" t="n">
        <v>0.384907436629</v>
      </c>
      <c r="I439" s="63" t="n">
        <v>0.48829287048</v>
      </c>
      <c r="J439" s="63" t="n">
        <v>0.281522002778</v>
      </c>
      <c r="K439" s="63" t="n">
        <v>585.0700000000001</v>
      </c>
      <c r="L439" s="63" t="n">
        <v>572.6799999999999</v>
      </c>
      <c r="M439" s="63" t="n">
        <v>583.35</v>
      </c>
      <c r="N439" s="54">
        <f>(M440-M439)/M439</f>
        <v/>
      </c>
      <c r="O439" s="54">
        <f>(M443-M439)/M439</f>
        <v/>
      </c>
      <c r="P439" s="4">
        <f>B439-D439</f>
        <v/>
      </c>
      <c r="Q439" s="4">
        <f>AVERAGE(P436:P439)</f>
        <v/>
      </c>
      <c r="R439" s="54">
        <f>(M440-M439)/M439</f>
        <v/>
      </c>
      <c r="S439" s="54">
        <f>(M443-M439)/M439</f>
        <v/>
      </c>
      <c r="T439" s="63">
        <f>IF(R439&gt;0,1,"")</f>
        <v/>
      </c>
      <c r="U439" s="63">
        <f>IF(S439&gt;0,1,"")</f>
        <v/>
      </c>
    </row>
    <row r="440">
      <c r="A440" s="35" t="n">
        <v>34963</v>
      </c>
      <c r="B440" s="4" t="n">
        <v>0.46</v>
      </c>
      <c r="C440" s="4" t="n">
        <v>0.25</v>
      </c>
      <c r="D440" s="4" t="n">
        <v>0.29</v>
      </c>
      <c r="E440" s="63" t="n">
        <v>1</v>
      </c>
      <c r="F440" s="63" t="n">
        <v>0.395</v>
      </c>
      <c r="G440" s="63" t="n">
        <v>0.17</v>
      </c>
      <c r="H440" s="63" t="n">
        <v>0.384907436629</v>
      </c>
      <c r="I440" s="63" t="n">
        <v>0.48829287048</v>
      </c>
      <c r="J440" s="63" t="n">
        <v>0.281522002778</v>
      </c>
      <c r="K440" s="63" t="n">
        <v>586.79</v>
      </c>
      <c r="L440" s="63" t="n">
        <v>578.25</v>
      </c>
      <c r="M440" s="63" t="n">
        <v>581.73</v>
      </c>
      <c r="N440" s="54">
        <f>(M441-M440)/M440</f>
        <v/>
      </c>
      <c r="O440" s="54">
        <f>(M444-M440)/M440</f>
        <v/>
      </c>
      <c r="P440" s="4">
        <f>B440-D440</f>
        <v/>
      </c>
      <c r="Q440" s="4">
        <f>AVERAGE(P437:P440)</f>
        <v/>
      </c>
      <c r="R440" s="54">
        <f>(M441-M440)/M440</f>
        <v/>
      </c>
      <c r="S440" s="54">
        <f>(M444-M440)/M440</f>
        <v/>
      </c>
      <c r="T440" s="63">
        <f>IF(R440&gt;0,1,"")</f>
        <v/>
      </c>
      <c r="U440" s="63">
        <f>IF(S440&gt;0,1,"")</f>
        <v/>
      </c>
    </row>
    <row r="441">
      <c r="A441" s="35" t="n">
        <v>34970</v>
      </c>
      <c r="B441" s="4" t="n">
        <v>0.42</v>
      </c>
      <c r="C441" s="4" t="n">
        <v>0.27</v>
      </c>
      <c r="D441" s="4" t="n">
        <v>0.31</v>
      </c>
      <c r="E441" s="63" t="n">
        <v>1</v>
      </c>
      <c r="F441" s="63" t="n">
        <v>0.4</v>
      </c>
      <c r="G441" s="63" t="n">
        <v>0.11</v>
      </c>
      <c r="H441" s="63" t="n">
        <v>0.384907436629</v>
      </c>
      <c r="I441" s="63" t="n">
        <v>0.48829287048</v>
      </c>
      <c r="J441" s="63" t="n">
        <v>0.281522002778</v>
      </c>
      <c r="K441" s="63" t="n">
        <v>587.61</v>
      </c>
      <c r="L441" s="63" t="n">
        <v>574.6799999999999</v>
      </c>
      <c r="M441" s="63" t="n">
        <v>584.41</v>
      </c>
      <c r="N441" s="54">
        <f>(M442-M441)/M441</f>
        <v/>
      </c>
      <c r="O441" s="54">
        <f>(M445-M441)/M441</f>
        <v/>
      </c>
      <c r="P441" s="4">
        <f>B441-D441</f>
        <v/>
      </c>
      <c r="Q441" s="4">
        <f>AVERAGE(P438:P441)</f>
        <v/>
      </c>
      <c r="R441" s="54">
        <f>(M442-M441)/M441</f>
        <v/>
      </c>
      <c r="S441" s="54">
        <f>(M445-M441)/M441</f>
        <v/>
      </c>
      <c r="T441" s="63">
        <f>IF(R441&gt;0,1,"")</f>
        <v/>
      </c>
      <c r="U441" s="63">
        <f>IF(S441&gt;0,1,"")</f>
        <v/>
      </c>
    </row>
    <row r="442">
      <c r="A442" s="35" t="n">
        <v>34977</v>
      </c>
      <c r="B442" s="4" t="n">
        <v>0.39</v>
      </c>
      <c r="C442" s="4" t="n">
        <v>0.37</v>
      </c>
      <c r="D442" s="4" t="n">
        <v>0.24</v>
      </c>
      <c r="E442" s="63" t="n">
        <v>1</v>
      </c>
      <c r="F442" s="63" t="n">
        <v>0.39875</v>
      </c>
      <c r="G442" s="63" t="n">
        <v>0.15</v>
      </c>
      <c r="H442" s="63" t="n">
        <v>0.384907436629</v>
      </c>
      <c r="I442" s="63" t="n">
        <v>0.48829287048</v>
      </c>
      <c r="J442" s="63" t="n">
        <v>0.281522002778</v>
      </c>
      <c r="K442" s="63" t="n">
        <v>585.05</v>
      </c>
      <c r="L442" s="63" t="n">
        <v>578.48</v>
      </c>
      <c r="M442" s="63" t="n">
        <v>582.49</v>
      </c>
      <c r="N442" s="54">
        <f>(M443-M442)/M442</f>
        <v/>
      </c>
      <c r="O442" s="54">
        <f>(M446-M442)/M442</f>
        <v/>
      </c>
      <c r="P442" s="4">
        <f>B442-D442</f>
        <v/>
      </c>
      <c r="Q442" s="4">
        <f>AVERAGE(P439:P442)</f>
        <v/>
      </c>
      <c r="R442" s="54">
        <f>(M443-M442)/M442</f>
        <v/>
      </c>
      <c r="S442" s="54">
        <f>(M446-M442)/M442</f>
        <v/>
      </c>
      <c r="T442" s="63">
        <f>IF(R442&gt;0,1,"")</f>
        <v/>
      </c>
      <c r="U442" s="63">
        <f>IF(S442&gt;0,1,"")</f>
        <v/>
      </c>
    </row>
    <row r="443">
      <c r="A443" s="35" t="n">
        <v>34984</v>
      </c>
      <c r="B443" s="4" t="n">
        <v>0.41</v>
      </c>
      <c r="C443" s="4" t="n">
        <v>0.3</v>
      </c>
      <c r="D443" s="4" t="n">
        <v>0.29</v>
      </c>
      <c r="E443" s="63" t="n">
        <v>1</v>
      </c>
      <c r="F443" s="63" t="n">
        <v>0.405</v>
      </c>
      <c r="G443" s="63" t="n">
        <v>0.12</v>
      </c>
      <c r="H443" s="63" t="n">
        <v>0.384907436629</v>
      </c>
      <c r="I443" s="63" t="n">
        <v>0.48829287048</v>
      </c>
      <c r="J443" s="63" t="n">
        <v>0.281522002778</v>
      </c>
      <c r="K443" s="63" t="n">
        <v>587.39</v>
      </c>
      <c r="L443" s="63" t="n">
        <v>571.55</v>
      </c>
      <c r="M443" s="63" t="n">
        <v>584.5</v>
      </c>
      <c r="N443" s="54">
        <f>(M444-M443)/M443</f>
        <v/>
      </c>
      <c r="O443" s="54">
        <f>(M447-M443)/M443</f>
        <v/>
      </c>
      <c r="P443" s="4">
        <f>B443-D443</f>
        <v/>
      </c>
      <c r="Q443" s="4">
        <f>AVERAGE(P440:P443)</f>
        <v/>
      </c>
      <c r="R443" s="54">
        <f>(M444-M443)/M443</f>
        <v/>
      </c>
      <c r="S443" s="54">
        <f>(M447-M443)/M443</f>
        <v/>
      </c>
      <c r="T443" s="63">
        <f>IF(R443&gt;0,1,"")</f>
        <v/>
      </c>
      <c r="U443" s="63">
        <f>IF(S443&gt;0,1,"")</f>
        <v/>
      </c>
    </row>
    <row r="444">
      <c r="A444" s="35" t="n">
        <v>34991</v>
      </c>
      <c r="B444" s="4" t="n">
        <v>0.47</v>
      </c>
      <c r="C444" s="4" t="n">
        <v>0.32</v>
      </c>
      <c r="D444" s="4" t="n">
        <v>0.21</v>
      </c>
      <c r="E444" s="63" t="n">
        <v>1</v>
      </c>
      <c r="F444" s="63" t="n">
        <v>0.42</v>
      </c>
      <c r="G444" s="63" t="n">
        <v>0.26</v>
      </c>
      <c r="H444" s="63" t="n">
        <v>0.384907436629</v>
      </c>
      <c r="I444" s="63" t="n">
        <v>0.48829287048</v>
      </c>
      <c r="J444" s="63" t="n">
        <v>0.281522002778</v>
      </c>
      <c r="K444" s="63" t="n">
        <v>590.66</v>
      </c>
      <c r="L444" s="63" t="n">
        <v>581.9</v>
      </c>
      <c r="M444" s="63" t="n">
        <v>587.46</v>
      </c>
      <c r="N444" s="54">
        <f>(M445-M444)/M444</f>
        <v/>
      </c>
      <c r="O444" s="54">
        <f>(M448-M444)/M444</f>
        <v/>
      </c>
      <c r="P444" s="4">
        <f>B444-D444</f>
        <v/>
      </c>
      <c r="Q444" s="4">
        <f>AVERAGE(P441:P444)</f>
        <v/>
      </c>
      <c r="R444" s="54">
        <f>(M445-M444)/M444</f>
        <v/>
      </c>
      <c r="S444" s="54">
        <f>(M448-M444)/M444</f>
        <v/>
      </c>
      <c r="T444" s="63">
        <f>IF(R444&gt;0,1,"")</f>
        <v/>
      </c>
      <c r="U444" s="63">
        <f>IF(S444&gt;0,1,"")</f>
        <v/>
      </c>
    </row>
    <row r="445">
      <c r="A445" s="35" t="n">
        <v>34998</v>
      </c>
      <c r="B445" s="4" t="n">
        <v>0.46</v>
      </c>
      <c r="C445" s="4" t="n">
        <v>0.33</v>
      </c>
      <c r="D445" s="4" t="n">
        <v>0.21</v>
      </c>
      <c r="E445" s="63" t="n">
        <v>1</v>
      </c>
      <c r="F445" s="63" t="n">
        <v>0.43</v>
      </c>
      <c r="G445" s="63" t="n">
        <v>0.25</v>
      </c>
      <c r="H445" s="63" t="n">
        <v>0.384907436629</v>
      </c>
      <c r="I445" s="63" t="n">
        <v>0.48829287048</v>
      </c>
      <c r="J445" s="63" t="n">
        <v>0.281522002778</v>
      </c>
      <c r="K445" s="63" t="n">
        <v>587.46</v>
      </c>
      <c r="L445" s="63" t="n">
        <v>572.53</v>
      </c>
      <c r="M445" s="63" t="n">
        <v>579.7</v>
      </c>
      <c r="N445" s="54">
        <f>(M446-M445)/M445</f>
        <v/>
      </c>
      <c r="O445" s="54">
        <f>(M449-M445)/M445</f>
        <v/>
      </c>
      <c r="P445" s="4">
        <f>B445-D445</f>
        <v/>
      </c>
      <c r="Q445" s="4">
        <f>AVERAGE(P442:P445)</f>
        <v/>
      </c>
      <c r="R445" s="54">
        <f>(M446-M445)/M445</f>
        <v/>
      </c>
      <c r="S445" s="54">
        <f>(M449-M445)/M445</f>
        <v/>
      </c>
      <c r="T445" s="63">
        <f>IF(R445&gt;0,1,"")</f>
        <v/>
      </c>
      <c r="U445" s="63">
        <f>IF(S445&gt;0,1,"")</f>
        <v/>
      </c>
    </row>
    <row r="446">
      <c r="A446" s="35" t="n">
        <v>35005</v>
      </c>
      <c r="B446" s="4" t="n">
        <v>0.47</v>
      </c>
      <c r="C446" s="4" t="n">
        <v>0.34</v>
      </c>
      <c r="D446" s="4" t="n">
        <v>0.19</v>
      </c>
      <c r="E446" s="63" t="n">
        <v>1</v>
      </c>
      <c r="F446" s="63" t="n">
        <v>0.4425</v>
      </c>
      <c r="G446" s="63" t="n">
        <v>0.28</v>
      </c>
      <c r="H446" s="63" t="n">
        <v>0.384907436629</v>
      </c>
      <c r="I446" s="63" t="n">
        <v>0.48829287048</v>
      </c>
      <c r="J446" s="63" t="n">
        <v>0.281522002778</v>
      </c>
      <c r="K446" s="63" t="n">
        <v>590.5700000000001</v>
      </c>
      <c r="L446" s="63" t="n">
        <v>579.7</v>
      </c>
      <c r="M446" s="63" t="n">
        <v>590.5700000000001</v>
      </c>
      <c r="N446" s="54">
        <f>(M447-M446)/M446</f>
        <v/>
      </c>
      <c r="O446" s="54">
        <f>(M450-M446)/M446</f>
        <v/>
      </c>
      <c r="P446" s="4">
        <f>B446-D446</f>
        <v/>
      </c>
      <c r="Q446" s="4">
        <f>AVERAGE(P443:P446)</f>
        <v/>
      </c>
      <c r="R446" s="54">
        <f>(M447-M446)/M446</f>
        <v/>
      </c>
      <c r="S446" s="54">
        <f>(M450-M446)/M446</f>
        <v/>
      </c>
      <c r="T446" s="63">
        <f>IF(R446&gt;0,1,"")</f>
        <v/>
      </c>
      <c r="U446" s="63">
        <f>IF(S446&gt;0,1,"")</f>
        <v/>
      </c>
    </row>
    <row r="447">
      <c r="A447" s="35" t="n">
        <v>35012</v>
      </c>
      <c r="B447" s="4" t="n">
        <v>0.49</v>
      </c>
      <c r="C447" s="4" t="n">
        <v>0.35</v>
      </c>
      <c r="D447" s="4" t="n">
        <v>0.16</v>
      </c>
      <c r="E447" s="63" t="n">
        <v>1</v>
      </c>
      <c r="F447" s="63" t="n">
        <v>0.44625</v>
      </c>
      <c r="G447" s="63" t="n">
        <v>0.33</v>
      </c>
      <c r="H447" s="63" t="n">
        <v>0.384907436629</v>
      </c>
      <c r="I447" s="63" t="n">
        <v>0.48829287048</v>
      </c>
      <c r="J447" s="63" t="n">
        <v>0.281522002778</v>
      </c>
      <c r="K447" s="63" t="n">
        <v>593.9</v>
      </c>
      <c r="L447" s="63" t="n">
        <v>584.24</v>
      </c>
      <c r="M447" s="63" t="n">
        <v>592.72</v>
      </c>
      <c r="N447" s="54">
        <f>(M448-M447)/M447</f>
        <v/>
      </c>
      <c r="O447" s="54">
        <f>(M451-M447)/M447</f>
        <v/>
      </c>
      <c r="P447" s="4">
        <f>B447-D447</f>
        <v/>
      </c>
      <c r="Q447" s="4">
        <f>AVERAGE(P444:P447)</f>
        <v/>
      </c>
      <c r="R447" s="54">
        <f>(M448-M447)/M447</f>
        <v/>
      </c>
      <c r="S447" s="54">
        <f>(M451-M447)/M447</f>
        <v/>
      </c>
      <c r="T447" s="63">
        <f>IF(R447&gt;0,1,"")</f>
        <v/>
      </c>
      <c r="U447" s="63">
        <f>IF(S447&gt;0,1,"")</f>
        <v/>
      </c>
    </row>
    <row r="448">
      <c r="A448" s="35" t="n">
        <v>35019</v>
      </c>
      <c r="B448" s="4" t="n">
        <v>0.46</v>
      </c>
      <c r="C448" s="4" t="n">
        <v>0.31</v>
      </c>
      <c r="D448" s="4" t="n">
        <v>0.23</v>
      </c>
      <c r="E448" s="63" t="n">
        <v>1</v>
      </c>
      <c r="F448" s="63" t="n">
        <v>0.44625</v>
      </c>
      <c r="G448" s="63" t="n">
        <v>0.23</v>
      </c>
      <c r="H448" s="63" t="n">
        <v>0.384907436629</v>
      </c>
      <c r="I448" s="63" t="n">
        <v>0.48829287048</v>
      </c>
      <c r="J448" s="63" t="n">
        <v>0.281522002778</v>
      </c>
      <c r="K448" s="63" t="n">
        <v>600.14</v>
      </c>
      <c r="L448" s="63" t="n">
        <v>588.36</v>
      </c>
      <c r="M448" s="63" t="n">
        <v>600.0700000000001</v>
      </c>
      <c r="N448" s="54">
        <f>(M449-M448)/M448</f>
        <v/>
      </c>
      <c r="O448" s="54">
        <f>(M452-M448)/M448</f>
        <v/>
      </c>
      <c r="P448" s="4">
        <f>B448-D448</f>
        <v/>
      </c>
      <c r="Q448" s="4">
        <f>AVERAGE(P445:P448)</f>
        <v/>
      </c>
      <c r="R448" s="54">
        <f>(M449-M448)/M448</f>
        <v/>
      </c>
      <c r="S448" s="54">
        <f>(M452-M448)/M448</f>
        <v/>
      </c>
      <c r="T448" s="63">
        <f>IF(R448&gt;0,1,"")</f>
        <v/>
      </c>
      <c r="U448" s="63">
        <f>IF(S448&gt;0,1,"")</f>
        <v/>
      </c>
    </row>
    <row r="449">
      <c r="A449" s="35" t="n">
        <v>35025</v>
      </c>
      <c r="B449" s="4" t="n">
        <v>0.48</v>
      </c>
      <c r="C449" s="4" t="n">
        <v>0.18</v>
      </c>
      <c r="D449" s="4" t="n">
        <v>0.34</v>
      </c>
      <c r="E449" s="63" t="n">
        <v>1</v>
      </c>
      <c r="F449" s="63" t="n">
        <v>0.45375</v>
      </c>
      <c r="G449" s="63" t="n">
        <v>0.14</v>
      </c>
      <c r="H449" s="63" t="n">
        <v>0.384907436629</v>
      </c>
      <c r="I449" s="63" t="n">
        <v>0.48829287048</v>
      </c>
      <c r="J449" s="63" t="n">
        <v>0.281522002778</v>
      </c>
      <c r="K449" s="63" t="n">
        <v>600.71</v>
      </c>
      <c r="L449" s="63" t="n">
        <v>595.42</v>
      </c>
      <c r="M449" s="63" t="n">
        <v>598.4</v>
      </c>
      <c r="N449" s="54">
        <f>(M450-M449)/M449</f>
        <v/>
      </c>
      <c r="O449" s="54">
        <f>(M453-M449)/M449</f>
        <v/>
      </c>
      <c r="P449" s="4">
        <f>B449-D449</f>
        <v/>
      </c>
      <c r="Q449" s="4">
        <f>AVERAGE(P446:P449)</f>
        <v/>
      </c>
      <c r="R449" s="54">
        <f>(M450-M449)/M449</f>
        <v/>
      </c>
      <c r="S449" s="54">
        <f>(M453-M449)/M449</f>
        <v/>
      </c>
      <c r="T449" s="63">
        <f>IF(R449&gt;0,1,"")</f>
        <v/>
      </c>
      <c r="U449" s="63">
        <f>IF(S449&gt;0,1,"")</f>
        <v/>
      </c>
    </row>
    <row r="450">
      <c r="A450" s="35" t="n">
        <v>35033</v>
      </c>
      <c r="B450" s="4" t="n">
        <v>0.51</v>
      </c>
      <c r="C450" s="4" t="n">
        <v>0.3</v>
      </c>
      <c r="D450" s="4" t="n">
        <v>0.19</v>
      </c>
      <c r="E450" s="63" t="n">
        <v>1</v>
      </c>
      <c r="F450" s="63" t="n">
        <v>0.46875</v>
      </c>
      <c r="G450" s="63" t="n">
        <v>0.32</v>
      </c>
      <c r="H450" s="63" t="n">
        <v>0.384907436629</v>
      </c>
      <c r="I450" s="63" t="n">
        <v>0.48829287048</v>
      </c>
      <c r="J450" s="63" t="n">
        <v>0.281522002778</v>
      </c>
      <c r="K450" s="63" t="n">
        <v>608.6900000000001</v>
      </c>
      <c r="L450" s="63" t="n">
        <v>599.02</v>
      </c>
      <c r="M450" s="63" t="n">
        <v>606.98</v>
      </c>
      <c r="N450" s="54">
        <f>(M451-M450)/M450</f>
        <v/>
      </c>
      <c r="O450" s="54">
        <f>(M454-M450)/M450</f>
        <v/>
      </c>
      <c r="P450" s="4">
        <f>B450-D450</f>
        <v/>
      </c>
      <c r="Q450" s="4">
        <f>AVERAGE(P447:P450)</f>
        <v/>
      </c>
      <c r="R450" s="54">
        <f>(M451-M450)/M450</f>
        <v/>
      </c>
      <c r="S450" s="54">
        <f>(M454-M450)/M450</f>
        <v/>
      </c>
      <c r="T450" s="63">
        <f>IF(R450&gt;0,1,"")</f>
        <v/>
      </c>
      <c r="U450" s="63">
        <f>IF(S450&gt;0,1,"")</f>
        <v/>
      </c>
    </row>
    <row r="451">
      <c r="A451" s="35" t="n">
        <v>35040</v>
      </c>
      <c r="B451" s="4" t="n">
        <v>0.48</v>
      </c>
      <c r="C451" s="4" t="n">
        <v>0.28</v>
      </c>
      <c r="D451" s="4" t="n">
        <v>0.24</v>
      </c>
      <c r="E451" s="63" t="n">
        <v>1</v>
      </c>
      <c r="F451" s="63" t="n">
        <v>0.4775</v>
      </c>
      <c r="G451" s="63" t="n">
        <v>0.24</v>
      </c>
      <c r="H451" s="63" t="n">
        <v>0.384907436629</v>
      </c>
      <c r="I451" s="63" t="n">
        <v>0.48829287048</v>
      </c>
      <c r="J451" s="63" t="n">
        <v>0.281522002778</v>
      </c>
      <c r="K451" s="63" t="n">
        <v>621.11</v>
      </c>
      <c r="L451" s="63" t="n">
        <v>606.85</v>
      </c>
      <c r="M451" s="63" t="n">
        <v>617.48</v>
      </c>
      <c r="N451" s="54">
        <f>(M452-M451)/M451</f>
        <v/>
      </c>
      <c r="O451" s="54">
        <f>(M455-M451)/M451</f>
        <v/>
      </c>
      <c r="P451" s="4">
        <f>B451-D451</f>
        <v/>
      </c>
      <c r="Q451" s="4">
        <f>AVERAGE(P448:P451)</f>
        <v/>
      </c>
      <c r="R451" s="54">
        <f>(M452-M451)/M451</f>
        <v/>
      </c>
      <c r="S451" s="54">
        <f>(M455-M451)/M451</f>
        <v/>
      </c>
      <c r="T451" s="63">
        <f>IF(R451&gt;0,1,"")</f>
        <v/>
      </c>
      <c r="U451" s="63">
        <f>IF(S451&gt;0,1,"")</f>
        <v/>
      </c>
    </row>
    <row r="452">
      <c r="A452" s="35" t="n">
        <v>35047</v>
      </c>
      <c r="B452" s="4" t="n">
        <v>0.51</v>
      </c>
      <c r="C452" s="4" t="n">
        <v>0.23</v>
      </c>
      <c r="D452" s="4" t="n">
        <v>0.26</v>
      </c>
      <c r="E452" s="63" t="n">
        <v>1</v>
      </c>
      <c r="F452" s="63" t="n">
        <v>0.4825</v>
      </c>
      <c r="G452" s="63" t="n">
        <v>0.25</v>
      </c>
      <c r="H452" s="63" t="n">
        <v>0.384907436629</v>
      </c>
      <c r="I452" s="63" t="n">
        <v>0.48829287048</v>
      </c>
      <c r="J452" s="63" t="n">
        <v>0.281522002778</v>
      </c>
      <c r="K452" s="63" t="n">
        <v>621.6900000000001</v>
      </c>
      <c r="L452" s="63" t="n">
        <v>616.34</v>
      </c>
      <c r="M452" s="63" t="n">
        <v>616.34</v>
      </c>
      <c r="N452" s="54">
        <f>(M453-M452)/M452</f>
        <v/>
      </c>
      <c r="O452" s="54">
        <f>(M456-M452)/M452</f>
        <v/>
      </c>
      <c r="P452" s="4">
        <f>B452-D452</f>
        <v/>
      </c>
      <c r="Q452" s="4">
        <f>AVERAGE(P449:P452)</f>
        <v/>
      </c>
      <c r="R452" s="54">
        <f>(M453-M452)/M452</f>
        <v/>
      </c>
      <c r="S452" s="54">
        <f>(M456-M452)/M452</f>
        <v/>
      </c>
      <c r="T452" s="63">
        <f>IF(R452&gt;0,1,"")</f>
        <v/>
      </c>
      <c r="U452" s="63">
        <f>IF(S452&gt;0,1,"")</f>
        <v/>
      </c>
    </row>
    <row r="453">
      <c r="A453" s="35" t="n">
        <v>35054</v>
      </c>
      <c r="B453" s="4" t="n">
        <v>0.48</v>
      </c>
      <c r="C453" s="4" t="n">
        <v>0.28</v>
      </c>
      <c r="D453" s="4" t="n">
        <v>0.24</v>
      </c>
      <c r="E453" s="63" t="n">
        <v>1</v>
      </c>
      <c r="F453" s="63" t="n">
        <v>0.485</v>
      </c>
      <c r="G453" s="63" t="n">
        <v>0.24</v>
      </c>
      <c r="H453" s="63" t="n">
        <v>0.384907436629</v>
      </c>
      <c r="I453" s="63" t="n">
        <v>0.48829287048</v>
      </c>
      <c r="J453" s="63" t="n">
        <v>0.281522002778</v>
      </c>
      <c r="K453" s="63" t="n">
        <v>616.34</v>
      </c>
      <c r="L453" s="63" t="n">
        <v>605.05</v>
      </c>
      <c r="M453" s="63" t="n">
        <v>611.96</v>
      </c>
      <c r="N453" s="54">
        <f>(M454-M453)/M453</f>
        <v/>
      </c>
      <c r="O453" s="54">
        <f>(M457-M453)/M453</f>
        <v/>
      </c>
      <c r="P453" s="4">
        <f>B453-D453</f>
        <v/>
      </c>
      <c r="Q453" s="4">
        <f>AVERAGE(P450:P453)</f>
        <v/>
      </c>
      <c r="R453" s="54">
        <f>(M454-M453)/M453</f>
        <v/>
      </c>
      <c r="S453" s="54">
        <f>(M457-M453)/M453</f>
        <v/>
      </c>
      <c r="T453" s="63">
        <f>IF(R453&gt;0,1,"")</f>
        <v/>
      </c>
      <c r="U453" s="63">
        <f>IF(S453&gt;0,1,"")</f>
        <v/>
      </c>
    </row>
    <row r="454">
      <c r="A454" s="35" t="n">
        <v>35061</v>
      </c>
      <c r="B454" s="4" t="n">
        <v>0.46</v>
      </c>
      <c r="C454" s="4" t="n">
        <v>0.34</v>
      </c>
      <c r="D454" s="4" t="n">
        <v>0.2</v>
      </c>
      <c r="E454" s="63" t="n">
        <v>1</v>
      </c>
      <c r="F454" s="63" t="n">
        <v>0.48375</v>
      </c>
      <c r="G454" s="63" t="n">
        <v>0.26</v>
      </c>
      <c r="H454" s="63" t="n">
        <v>0.384907436629</v>
      </c>
      <c r="I454" s="63" t="n">
        <v>0.48829287048</v>
      </c>
      <c r="J454" s="63" t="n">
        <v>0.281522002778</v>
      </c>
      <c r="K454" s="63" t="n">
        <v>615.9299999999999</v>
      </c>
      <c r="L454" s="63" t="n">
        <v>611.96</v>
      </c>
      <c r="M454" s="63" t="n">
        <v>615.9299999999999</v>
      </c>
      <c r="N454" s="54">
        <f>(M455-M454)/M454</f>
        <v/>
      </c>
      <c r="O454" s="54">
        <f>(M458-M454)/M454</f>
        <v/>
      </c>
      <c r="P454" s="4">
        <f>B454-D454</f>
        <v/>
      </c>
      <c r="Q454" s="4">
        <f>AVERAGE(P451:P454)</f>
        <v/>
      </c>
      <c r="R454" s="54">
        <f>(M455-M454)/M454</f>
        <v/>
      </c>
      <c r="S454" s="54">
        <f>(M458-M454)/M454</f>
        <v/>
      </c>
      <c r="T454" s="63">
        <f>IF(R454&gt;0,1,"")</f>
        <v/>
      </c>
      <c r="U454" s="63">
        <f>IF(S454&gt;0,1,"")</f>
        <v/>
      </c>
    </row>
    <row r="455">
      <c r="A455" s="35" t="n">
        <v>35068</v>
      </c>
      <c r="B455" s="4" t="n">
        <v>0.55</v>
      </c>
      <c r="C455" s="4" t="n">
        <v>0.18</v>
      </c>
      <c r="D455" s="4" t="n">
        <v>0.27</v>
      </c>
      <c r="E455" s="63" t="n">
        <v>1</v>
      </c>
      <c r="F455" s="63" t="n">
        <v>0.49125</v>
      </c>
      <c r="G455" s="63" t="n">
        <v>0.28</v>
      </c>
      <c r="H455" s="63" t="n">
        <v>0.384907436629</v>
      </c>
      <c r="I455" s="63" t="n">
        <v>0.48829287048</v>
      </c>
      <c r="J455" s="63" t="n">
        <v>0.281522002778</v>
      </c>
      <c r="K455" s="63" t="n">
        <v>624.52</v>
      </c>
      <c r="L455" s="63" t="n">
        <v>612.02</v>
      </c>
      <c r="M455" s="63" t="n">
        <v>616.71</v>
      </c>
      <c r="N455" s="54">
        <f>(M456-M455)/M455</f>
        <v/>
      </c>
      <c r="O455" s="54">
        <f>(M459-M455)/M455</f>
        <v/>
      </c>
      <c r="P455" s="4">
        <f>B455-D455</f>
        <v/>
      </c>
      <c r="Q455" s="4">
        <f>AVERAGE(P452:P455)</f>
        <v/>
      </c>
      <c r="R455" s="54">
        <f>(M456-M455)/M455</f>
        <v/>
      </c>
      <c r="S455" s="54">
        <f>(M459-M455)/M455</f>
        <v/>
      </c>
      <c r="T455" s="63">
        <f>IF(R455&gt;0,1,"")</f>
        <v/>
      </c>
      <c r="U455" s="63">
        <f>IF(S455&gt;0,1,"")</f>
        <v/>
      </c>
    </row>
    <row r="456">
      <c r="A456" s="35" t="n">
        <v>35075</v>
      </c>
      <c r="H456" s="63" t="n">
        <v>0.386013987936</v>
      </c>
      <c r="I456" s="63" t="n">
        <v>0.489177823145</v>
      </c>
      <c r="J456" s="63" t="n">
        <v>0.282850152726</v>
      </c>
      <c r="K456" s="63" t="n">
        <v>619.15</v>
      </c>
      <c r="L456" s="63" t="n">
        <v>597.29</v>
      </c>
      <c r="M456" s="63" t="n">
        <v>601.8099999999999</v>
      </c>
      <c r="N456" s="54">
        <f>(M457-M456)/M456</f>
        <v/>
      </c>
      <c r="O456" s="54">
        <f>(M460-M456)/M456</f>
        <v/>
      </c>
      <c r="P456" s="4">
        <f>B456-D456</f>
        <v/>
      </c>
      <c r="Q456" s="4">
        <f>AVERAGE(P453:P456)</f>
        <v/>
      </c>
      <c r="R456" s="54">
        <f>(M457-M456)/M456</f>
        <v/>
      </c>
      <c r="S456" s="54">
        <f>(M460-M456)/M456</f>
        <v/>
      </c>
      <c r="T456" s="63">
        <f>IF(R456&gt;0,1,"")</f>
        <v/>
      </c>
      <c r="U456" s="63">
        <f>IF(S456&gt;0,1,"")</f>
        <v/>
      </c>
    </row>
    <row r="457">
      <c r="A457" s="35" t="n">
        <v>35082</v>
      </c>
      <c r="B457" s="4" t="n">
        <v>0.42</v>
      </c>
      <c r="C457" s="4" t="n">
        <v>0.29</v>
      </c>
      <c r="D457" s="4" t="n">
        <v>0.29</v>
      </c>
      <c r="E457" s="63" t="n">
        <v>1</v>
      </c>
      <c r="G457" s="63" t="n">
        <v>0.13</v>
      </c>
      <c r="H457" s="63" t="n">
        <v>0.386013987936</v>
      </c>
      <c r="I457" s="63" t="n">
        <v>0.489177823145</v>
      </c>
      <c r="J457" s="63" t="n">
        <v>0.282850152726</v>
      </c>
      <c r="K457" s="63" t="n">
        <v>612.92</v>
      </c>
      <c r="L457" s="63" t="n">
        <v>598.47</v>
      </c>
      <c r="M457" s="63" t="n">
        <v>611.83</v>
      </c>
      <c r="N457" s="54">
        <f>(M458-M457)/M457</f>
        <v/>
      </c>
      <c r="O457" s="54">
        <f>(M461-M457)/M457</f>
        <v/>
      </c>
      <c r="P457" s="4">
        <f>B457-D457</f>
        <v/>
      </c>
      <c r="Q457" s="4">
        <f>AVERAGE(P454:P457)</f>
        <v/>
      </c>
      <c r="R457" s="54">
        <f>(M458-M457)/M457</f>
        <v/>
      </c>
      <c r="S457" s="54">
        <f>(M461-M457)/M457</f>
        <v/>
      </c>
      <c r="T457" s="63">
        <f>IF(R457&gt;0,1,"")</f>
        <v/>
      </c>
      <c r="U457" s="63">
        <f>IF(S457&gt;0,1,"")</f>
        <v/>
      </c>
    </row>
    <row r="458">
      <c r="A458" s="35" t="n">
        <v>35089</v>
      </c>
      <c r="B458" s="4" t="n">
        <v>0.36</v>
      </c>
      <c r="C458" s="4" t="n">
        <v>0.4</v>
      </c>
      <c r="D458" s="4" t="n">
        <v>0.24</v>
      </c>
      <c r="E458" s="63" t="n">
        <v>1</v>
      </c>
      <c r="G458" s="63" t="n">
        <v>0.12</v>
      </c>
      <c r="H458" s="63" t="n">
        <v>0.386013987936</v>
      </c>
      <c r="I458" s="63" t="n">
        <v>0.489177823145</v>
      </c>
      <c r="J458" s="63" t="n">
        <v>0.282850152726</v>
      </c>
      <c r="K458" s="63" t="n">
        <v>621.62</v>
      </c>
      <c r="L458" s="63" t="n">
        <v>610.65</v>
      </c>
      <c r="M458" s="63" t="n">
        <v>621.62</v>
      </c>
      <c r="N458" s="54">
        <f>(M459-M458)/M458</f>
        <v/>
      </c>
      <c r="O458" s="54">
        <f>(M462-M458)/M458</f>
        <v/>
      </c>
      <c r="P458" s="4">
        <f>B458-D458</f>
        <v/>
      </c>
      <c r="Q458" s="4">
        <f>AVERAGE(P455:P458)</f>
        <v/>
      </c>
      <c r="R458" s="54">
        <f>(M459-M458)/M458</f>
        <v/>
      </c>
      <c r="S458" s="54">
        <f>(M462-M458)/M458</f>
        <v/>
      </c>
      <c r="T458" s="63">
        <f>IF(R458&gt;0,1,"")</f>
        <v/>
      </c>
      <c r="U458" s="63">
        <f>IF(S458&gt;0,1,"")</f>
        <v/>
      </c>
    </row>
    <row r="459">
      <c r="A459" s="35" t="n">
        <v>35096</v>
      </c>
      <c r="B459" s="4" t="n">
        <v>0.54</v>
      </c>
      <c r="C459" s="4" t="n">
        <v>0.31</v>
      </c>
      <c r="D459" s="4" t="n">
        <v>0.15</v>
      </c>
      <c r="E459" s="63" t="n">
        <v>1</v>
      </c>
      <c r="G459" s="63" t="n">
        <v>0.39</v>
      </c>
      <c r="H459" s="63" t="n">
        <v>0.386013987936</v>
      </c>
      <c r="I459" s="63" t="n">
        <v>0.489177823145</v>
      </c>
      <c r="J459" s="63" t="n">
        <v>0.282850152726</v>
      </c>
      <c r="K459" s="63" t="n">
        <v>639.26</v>
      </c>
      <c r="L459" s="63" t="n">
        <v>621.42</v>
      </c>
      <c r="M459" s="63" t="n">
        <v>635.84</v>
      </c>
      <c r="N459" s="54">
        <f>(M460-M459)/M459</f>
        <v/>
      </c>
      <c r="O459" s="54">
        <f>(M463-M459)/M459</f>
        <v/>
      </c>
      <c r="P459" s="4">
        <f>B459-D459</f>
        <v/>
      </c>
      <c r="Q459" s="4">
        <f>AVERAGE(P456:P459)</f>
        <v/>
      </c>
      <c r="R459" s="54">
        <f>(M460-M459)/M459</f>
        <v/>
      </c>
      <c r="S459" s="54">
        <f>(M463-M459)/M459</f>
        <v/>
      </c>
      <c r="T459" s="63">
        <f>IF(R459&gt;0,1,"")</f>
        <v/>
      </c>
      <c r="U459" s="63">
        <f>IF(S459&gt;0,1,"")</f>
        <v/>
      </c>
    </row>
    <row r="460">
      <c r="A460" s="35" t="n">
        <v>35103</v>
      </c>
      <c r="B460" s="4" t="n">
        <v>0.53</v>
      </c>
      <c r="C460" s="4" t="n">
        <v>0.31</v>
      </c>
      <c r="D460" s="4" t="n">
        <v>0.16</v>
      </c>
      <c r="E460" s="63" t="n">
        <v>1</v>
      </c>
      <c r="G460" s="63" t="n">
        <v>0.37</v>
      </c>
      <c r="H460" s="63" t="n">
        <v>0.386013987936</v>
      </c>
      <c r="I460" s="63" t="n">
        <v>0.489177823145</v>
      </c>
      <c r="J460" s="63" t="n">
        <v>0.282850152726</v>
      </c>
      <c r="K460" s="63" t="n">
        <v>656.37</v>
      </c>
      <c r="L460" s="63" t="n">
        <v>641.4299999999999</v>
      </c>
      <c r="M460" s="63" t="n">
        <v>656.37</v>
      </c>
      <c r="N460" s="54">
        <f>(M461-M460)/M460</f>
        <v/>
      </c>
      <c r="O460" s="54">
        <f>(M464-M460)/M460</f>
        <v/>
      </c>
      <c r="P460" s="4">
        <f>B460-D460</f>
        <v/>
      </c>
      <c r="Q460" s="4">
        <f>AVERAGE(P457:P460)</f>
        <v/>
      </c>
      <c r="R460" s="54">
        <f>(M461-M460)/M460</f>
        <v/>
      </c>
      <c r="S460" s="54">
        <f>(M464-M460)/M460</f>
        <v/>
      </c>
      <c r="T460" s="63">
        <f>IF(R460&gt;0,1,"")</f>
        <v/>
      </c>
      <c r="U460" s="63">
        <f>IF(S460&gt;0,1,"")</f>
        <v/>
      </c>
    </row>
    <row r="461">
      <c r="A461" s="35" t="n">
        <v>35110</v>
      </c>
      <c r="B461" s="4" t="n">
        <v>0.54</v>
      </c>
      <c r="C461" s="4" t="n">
        <v>0.21</v>
      </c>
      <c r="D461" s="4" t="n">
        <v>0.25</v>
      </c>
      <c r="E461" s="63" t="n">
        <v>1</v>
      </c>
      <c r="G461" s="63" t="n">
        <v>0.29</v>
      </c>
      <c r="H461" s="63" t="n">
        <v>0.386013987936</v>
      </c>
      <c r="I461" s="63" t="n">
        <v>0.489177823145</v>
      </c>
      <c r="J461" s="63" t="n">
        <v>0.282850152726</v>
      </c>
      <c r="K461" s="63" t="n">
        <v>664.23</v>
      </c>
      <c r="L461" s="63" t="n">
        <v>646.99</v>
      </c>
      <c r="M461" s="63" t="n">
        <v>647.98</v>
      </c>
      <c r="N461" s="54">
        <f>(M462-M461)/M461</f>
        <v/>
      </c>
      <c r="O461" s="54">
        <f>(M465-M461)/M461</f>
        <v/>
      </c>
      <c r="P461" s="4">
        <f>B461-D461</f>
        <v/>
      </c>
      <c r="Q461" s="4">
        <f>AVERAGE(P458:P461)</f>
        <v/>
      </c>
      <c r="R461" s="54">
        <f>(M462-M461)/M461</f>
        <v/>
      </c>
      <c r="S461" s="54">
        <f>(M465-M461)/M461</f>
        <v/>
      </c>
      <c r="T461" s="63">
        <f>IF(R461&gt;0,1,"")</f>
        <v/>
      </c>
      <c r="U461" s="63">
        <f>IF(S461&gt;0,1,"")</f>
        <v/>
      </c>
    </row>
    <row r="462">
      <c r="A462" s="35" t="n">
        <v>35117</v>
      </c>
      <c r="B462" s="4" t="n">
        <v>0.49</v>
      </c>
      <c r="C462" s="4" t="n">
        <v>0.22</v>
      </c>
      <c r="D462" s="4" t="n">
        <v>0.29</v>
      </c>
      <c r="E462" s="63" t="n">
        <v>1</v>
      </c>
      <c r="G462" s="63" t="n">
        <v>0.2</v>
      </c>
      <c r="H462" s="63" t="n">
        <v>0.386013987936</v>
      </c>
      <c r="I462" s="63" t="n">
        <v>0.489177823145</v>
      </c>
      <c r="J462" s="63" t="n">
        <v>0.282850152726</v>
      </c>
      <c r="K462" s="63" t="n">
        <v>663</v>
      </c>
      <c r="L462" s="63" t="n">
        <v>638.79</v>
      </c>
      <c r="M462" s="63" t="n">
        <v>659.08</v>
      </c>
      <c r="N462" s="54">
        <f>(M463-M462)/M462</f>
        <v/>
      </c>
      <c r="O462" s="54">
        <f>(M466-M462)/M462</f>
        <v/>
      </c>
      <c r="P462" s="4">
        <f>B462-D462</f>
        <v/>
      </c>
      <c r="Q462" s="4">
        <f>AVERAGE(P459:P462)</f>
        <v/>
      </c>
      <c r="R462" s="54">
        <f>(M463-M462)/M462</f>
        <v/>
      </c>
      <c r="S462" s="54">
        <f>(M466-M462)/M462</f>
        <v/>
      </c>
      <c r="T462" s="63">
        <f>IF(R462&gt;0,1,"")</f>
        <v/>
      </c>
      <c r="U462" s="63">
        <f>IF(S462&gt;0,1,"")</f>
        <v/>
      </c>
    </row>
    <row r="463">
      <c r="A463" s="35" t="n">
        <v>35124</v>
      </c>
      <c r="B463" s="4" t="n">
        <v>0.45</v>
      </c>
      <c r="C463" s="4" t="n">
        <v>0.28</v>
      </c>
      <c r="D463" s="4" t="n">
        <v>0.27</v>
      </c>
      <c r="E463" s="63" t="n">
        <v>1</v>
      </c>
      <c r="G463" s="63" t="n">
        <v>0.18</v>
      </c>
      <c r="H463" s="63" t="n">
        <v>0.386013987936</v>
      </c>
      <c r="I463" s="63" t="n">
        <v>0.489177823145</v>
      </c>
      <c r="J463" s="63" t="n">
        <v>0.282850152726</v>
      </c>
      <c r="K463" s="63" t="n">
        <v>659.08</v>
      </c>
      <c r="L463" s="63" t="n">
        <v>635</v>
      </c>
      <c r="M463" s="63" t="n">
        <v>644.37</v>
      </c>
      <c r="N463" s="54">
        <f>(M464-M463)/M463</f>
        <v/>
      </c>
      <c r="O463" s="54">
        <f>(M467-M463)/M463</f>
        <v/>
      </c>
      <c r="P463" s="4">
        <f>B463-D463</f>
        <v/>
      </c>
      <c r="Q463" s="4">
        <f>AVERAGE(P460:P463)</f>
        <v/>
      </c>
      <c r="R463" s="54">
        <f>(M464-M463)/M463</f>
        <v/>
      </c>
      <c r="S463" s="54">
        <f>(M467-M463)/M463</f>
        <v/>
      </c>
      <c r="T463" s="63">
        <f>IF(R463&gt;0,1,"")</f>
        <v/>
      </c>
      <c r="U463" s="63">
        <f>IF(S463&gt;0,1,"")</f>
        <v/>
      </c>
    </row>
    <row r="464">
      <c r="A464" s="35" t="n">
        <v>35131</v>
      </c>
      <c r="B464" s="4" t="n">
        <v>0.44</v>
      </c>
      <c r="C464" s="4" t="n">
        <v>0.28</v>
      </c>
      <c r="D464" s="4" t="n">
        <v>0.28</v>
      </c>
      <c r="E464" s="63" t="n">
        <v>1</v>
      </c>
      <c r="F464" s="63" t="n">
        <v>0.47125</v>
      </c>
      <c r="G464" s="63" t="n">
        <v>0.16</v>
      </c>
      <c r="H464" s="63" t="n">
        <v>0.384907436629</v>
      </c>
      <c r="I464" s="63" t="n">
        <v>0.48829287048</v>
      </c>
      <c r="J464" s="63" t="n">
        <v>0.281522002778</v>
      </c>
      <c r="K464" s="63" t="n">
        <v>656.97</v>
      </c>
      <c r="L464" s="63" t="n">
        <v>627.63</v>
      </c>
      <c r="M464" s="63" t="n">
        <v>633.5</v>
      </c>
      <c r="N464" s="54">
        <f>(M465-M464)/M464</f>
        <v/>
      </c>
      <c r="O464" s="54">
        <f>(M468-M464)/M464</f>
        <v/>
      </c>
      <c r="P464" s="4">
        <f>B464-D464</f>
        <v/>
      </c>
      <c r="Q464" s="4">
        <f>AVERAGE(P461:P464)</f>
        <v/>
      </c>
      <c r="R464" s="54">
        <f>(M465-M464)/M464</f>
        <v/>
      </c>
      <c r="S464" s="54">
        <f>(M468-M464)/M464</f>
        <v/>
      </c>
      <c r="T464" s="63">
        <f>IF(R464&gt;0,1,"")</f>
        <v/>
      </c>
      <c r="U464" s="63">
        <f>IF(S464&gt;0,1,"")</f>
        <v/>
      </c>
    </row>
    <row r="465">
      <c r="A465" s="35" t="n">
        <v>35138</v>
      </c>
      <c r="B465" s="4" t="n">
        <v>0.36</v>
      </c>
      <c r="C465" s="4" t="n">
        <v>0.35</v>
      </c>
      <c r="D465" s="4" t="n">
        <v>0.29</v>
      </c>
      <c r="E465" s="63" t="n">
        <v>1</v>
      </c>
      <c r="F465" s="63" t="n">
        <v>0.46375</v>
      </c>
      <c r="G465" s="63" t="n">
        <v>0.07000000000000001</v>
      </c>
      <c r="H465" s="63" t="n">
        <v>0.384907436629</v>
      </c>
      <c r="I465" s="63" t="n">
        <v>0.48829287048</v>
      </c>
      <c r="J465" s="63" t="n">
        <v>0.281522002778</v>
      </c>
      <c r="K465" s="63" t="n">
        <v>641.4299999999999</v>
      </c>
      <c r="L465" s="63" t="n">
        <v>637.09</v>
      </c>
      <c r="M465" s="63" t="n">
        <v>641.4299999999999</v>
      </c>
      <c r="N465" s="54">
        <f>(M466-M465)/M465</f>
        <v/>
      </c>
      <c r="O465" s="54">
        <f>(M469-M465)/M465</f>
        <v/>
      </c>
      <c r="P465" s="4">
        <f>B465-D465</f>
        <v/>
      </c>
      <c r="Q465" s="4">
        <f>AVERAGE(P462:P465)</f>
        <v/>
      </c>
      <c r="R465" s="54">
        <f>(M466-M465)/M465</f>
        <v/>
      </c>
      <c r="S465" s="54">
        <f>(M469-M465)/M465</f>
        <v/>
      </c>
      <c r="T465" s="63">
        <f>IF(R465&gt;0,1,"")</f>
        <v/>
      </c>
      <c r="U465" s="63">
        <f>IF(S465&gt;0,1,"")</f>
        <v/>
      </c>
    </row>
    <row r="466">
      <c r="A466" s="35" t="n">
        <v>35145</v>
      </c>
      <c r="B466" s="4" t="n">
        <v>0.47</v>
      </c>
      <c r="C466" s="4" t="n">
        <v>0.31</v>
      </c>
      <c r="D466" s="4" t="n">
        <v>0.22</v>
      </c>
      <c r="E466" s="63" t="n">
        <v>1</v>
      </c>
      <c r="F466" s="63" t="n">
        <v>0.4775</v>
      </c>
      <c r="G466" s="63" t="n">
        <v>0.25</v>
      </c>
      <c r="H466" s="63" t="n">
        <v>0.384907436629</v>
      </c>
      <c r="I466" s="63" t="n">
        <v>0.48829287048</v>
      </c>
      <c r="J466" s="63" t="n">
        <v>0.281522002778</v>
      </c>
      <c r="K466" s="63" t="n">
        <v>656.1799999999999</v>
      </c>
      <c r="L466" s="63" t="n">
        <v>641.4299999999999</v>
      </c>
      <c r="M466" s="63" t="n">
        <v>650.62</v>
      </c>
      <c r="N466" s="54">
        <f>(M467-M466)/M466</f>
        <v/>
      </c>
      <c r="O466" s="54">
        <f>(M470-M466)/M466</f>
        <v/>
      </c>
      <c r="P466" s="4">
        <f>B466-D466</f>
        <v/>
      </c>
      <c r="Q466" s="4">
        <f>AVERAGE(P463:P466)</f>
        <v/>
      </c>
      <c r="R466" s="54">
        <f>(M467-M466)/M466</f>
        <v/>
      </c>
      <c r="S466" s="54">
        <f>(M470-M466)/M466</f>
        <v/>
      </c>
      <c r="T466" s="63">
        <f>IF(R466&gt;0,1,"")</f>
        <v/>
      </c>
      <c r="U466" s="63">
        <f>IF(S466&gt;0,1,"")</f>
        <v/>
      </c>
    </row>
    <row r="467">
      <c r="A467" s="35" t="n">
        <v>35152</v>
      </c>
      <c r="B467" s="4" t="n">
        <v>0.45</v>
      </c>
      <c r="C467" s="4" t="n">
        <v>0.31</v>
      </c>
      <c r="D467" s="4" t="n">
        <v>0.24</v>
      </c>
      <c r="E467" s="63" t="n">
        <v>1</v>
      </c>
      <c r="F467" s="63" t="n">
        <v>0.46625</v>
      </c>
      <c r="G467" s="63" t="n">
        <v>0.21</v>
      </c>
      <c r="H467" s="63" t="n">
        <v>0.384907436629</v>
      </c>
      <c r="I467" s="63" t="n">
        <v>0.48829287048</v>
      </c>
      <c r="J467" s="63" t="n">
        <v>0.281522002778</v>
      </c>
      <c r="K467" s="63" t="n">
        <v>652.97</v>
      </c>
      <c r="L467" s="63" t="n">
        <v>645.5</v>
      </c>
      <c r="M467" s="63" t="n">
        <v>645.5</v>
      </c>
      <c r="N467" s="54">
        <f>(M468-M467)/M467</f>
        <v/>
      </c>
      <c r="O467" s="54">
        <f>(M471-M467)/M467</f>
        <v/>
      </c>
      <c r="P467" s="4">
        <f>B467-D467</f>
        <v/>
      </c>
      <c r="Q467" s="4">
        <f>AVERAGE(P464:P467)</f>
        <v/>
      </c>
      <c r="R467" s="54">
        <f>(M468-M467)/M467</f>
        <v/>
      </c>
      <c r="S467" s="54">
        <f>(M471-M467)/M467</f>
        <v/>
      </c>
      <c r="T467" s="63">
        <f>IF(R467&gt;0,1,"")</f>
        <v/>
      </c>
      <c r="U467" s="63">
        <f>IF(S467&gt;0,1,"")</f>
        <v/>
      </c>
    </row>
    <row r="468">
      <c r="A468" s="35" t="n">
        <v>35159</v>
      </c>
      <c r="B468" s="4" t="n">
        <v>0.4</v>
      </c>
      <c r="C468" s="4" t="n">
        <v>0.43</v>
      </c>
      <c r="D468" s="4" t="n">
        <v>0.17</v>
      </c>
      <c r="E468" s="63" t="n">
        <v>1</v>
      </c>
      <c r="F468" s="63" t="n">
        <v>0.45</v>
      </c>
      <c r="G468" s="63" t="n">
        <v>0.23</v>
      </c>
      <c r="H468" s="63" t="n">
        <v>0.384907436629</v>
      </c>
      <c r="I468" s="63" t="n">
        <v>0.48829287048</v>
      </c>
      <c r="J468" s="63" t="n">
        <v>0.281522002778</v>
      </c>
      <c r="K468" s="63" t="n">
        <v>656.6799999999999</v>
      </c>
      <c r="L468" s="63" t="n">
        <v>645.5</v>
      </c>
      <c r="M468" s="63" t="n">
        <v>655.86</v>
      </c>
      <c r="N468" s="54">
        <f>(M469-M468)/M468</f>
        <v/>
      </c>
      <c r="O468" s="54">
        <f>(M472-M468)/M468</f>
        <v/>
      </c>
      <c r="P468" s="4">
        <f>B468-D468</f>
        <v/>
      </c>
      <c r="Q468" s="4">
        <f>AVERAGE(P465:P468)</f>
        <v/>
      </c>
      <c r="R468" s="54">
        <f>(M469-M468)/M468</f>
        <v/>
      </c>
      <c r="S468" s="54">
        <f>(M472-M468)/M468</f>
        <v/>
      </c>
      <c r="T468" s="63">
        <f>IF(R468&gt;0,1,"")</f>
        <v/>
      </c>
      <c r="U468" s="63">
        <f>IF(S468&gt;0,1,"")</f>
        <v/>
      </c>
    </row>
    <row r="469">
      <c r="A469" s="35" t="n">
        <v>35166</v>
      </c>
      <c r="B469" s="4" t="n">
        <v>0.4</v>
      </c>
      <c r="C469" s="4" t="n">
        <v>0.42</v>
      </c>
      <c r="D469" s="4" t="n">
        <v>0.18</v>
      </c>
      <c r="E469" s="63" t="n">
        <v>1</v>
      </c>
      <c r="F469" s="63" t="n">
        <v>0.4325</v>
      </c>
      <c r="G469" s="63" t="n">
        <v>0.22</v>
      </c>
      <c r="H469" s="63" t="n">
        <v>0.384907436629</v>
      </c>
      <c r="I469" s="63" t="n">
        <v>0.48829287048</v>
      </c>
      <c r="J469" s="63" t="n">
        <v>0.281522002778</v>
      </c>
      <c r="K469" s="63" t="n">
        <v>655.86</v>
      </c>
      <c r="L469" s="63" t="n">
        <v>624.14</v>
      </c>
      <c r="M469" s="63" t="n">
        <v>636.71</v>
      </c>
      <c r="N469" s="54">
        <f>(M470-M469)/M469</f>
        <v/>
      </c>
      <c r="O469" s="54">
        <f>(M473-M469)/M469</f>
        <v/>
      </c>
      <c r="P469" s="4">
        <f>B469-D469</f>
        <v/>
      </c>
      <c r="Q469" s="4">
        <f>AVERAGE(P466:P469)</f>
        <v/>
      </c>
      <c r="R469" s="54">
        <f>(M470-M469)/M469</f>
        <v/>
      </c>
      <c r="S469" s="54">
        <f>(M473-M469)/M469</f>
        <v/>
      </c>
      <c r="T469" s="63">
        <f>IF(R469&gt;0,1,"")</f>
        <v/>
      </c>
      <c r="U469" s="63">
        <f>IF(S469&gt;0,1,"")</f>
        <v/>
      </c>
    </row>
    <row r="470">
      <c r="A470" s="35" t="n">
        <v>35173</v>
      </c>
      <c r="B470" s="4" t="n">
        <v>0.36</v>
      </c>
      <c r="C470" s="4" t="n">
        <v>0.38</v>
      </c>
      <c r="D470" s="4" t="n">
        <v>0.26</v>
      </c>
      <c r="E470" s="63" t="n">
        <v>1</v>
      </c>
      <c r="F470" s="63" t="n">
        <v>0.41625</v>
      </c>
      <c r="G470" s="63" t="n">
        <v>0.1</v>
      </c>
      <c r="H470" s="63" t="n">
        <v>0.384907436629</v>
      </c>
      <c r="I470" s="63" t="n">
        <v>0.48829287048</v>
      </c>
      <c r="J470" s="63" t="n">
        <v>0.281522002778</v>
      </c>
      <c r="K470" s="63" t="n">
        <v>647.3200000000001</v>
      </c>
      <c r="L470" s="63" t="n">
        <v>631.1799999999999</v>
      </c>
      <c r="M470" s="63" t="n">
        <v>645.0700000000001</v>
      </c>
      <c r="N470" s="54">
        <f>(M471-M470)/M470</f>
        <v/>
      </c>
      <c r="O470" s="54">
        <f>(M474-M470)/M470</f>
        <v/>
      </c>
      <c r="P470" s="4">
        <f>B470-D470</f>
        <v/>
      </c>
      <c r="Q470" s="4">
        <f>AVERAGE(P467:P470)</f>
        <v/>
      </c>
      <c r="R470" s="54">
        <f>(M471-M470)/M470</f>
        <v/>
      </c>
      <c r="S470" s="54">
        <f>(M474-M470)/M470</f>
        <v/>
      </c>
      <c r="T470" s="63">
        <f>IF(R470&gt;0,1,"")</f>
        <v/>
      </c>
      <c r="U470" s="63">
        <f>IF(S470&gt;0,1,"")</f>
        <v/>
      </c>
    </row>
    <row r="471">
      <c r="A471" s="35" t="n">
        <v>35180</v>
      </c>
      <c r="B471" s="4" t="n">
        <v>0.28</v>
      </c>
      <c r="C471" s="4" t="n">
        <v>0.4</v>
      </c>
      <c r="D471" s="4" t="n">
        <v>0.32</v>
      </c>
      <c r="E471" s="63" t="n">
        <v>1</v>
      </c>
      <c r="F471" s="63" t="n">
        <v>0.395</v>
      </c>
      <c r="G471" s="63" t="n">
        <v>-0.04</v>
      </c>
      <c r="H471" s="63" t="n">
        <v>0.384907436629</v>
      </c>
      <c r="I471" s="63" t="n">
        <v>0.48829287048</v>
      </c>
      <c r="J471" s="63" t="n">
        <v>0.281522002778</v>
      </c>
      <c r="K471" s="63" t="n">
        <v>656.4299999999999</v>
      </c>
      <c r="L471" s="63" t="n">
        <v>643.61</v>
      </c>
      <c r="M471" s="63" t="n">
        <v>653.46</v>
      </c>
      <c r="N471" s="54">
        <f>(M472-M471)/M471</f>
        <v/>
      </c>
      <c r="O471" s="54">
        <f>(M475-M471)/M471</f>
        <v/>
      </c>
      <c r="P471" s="4">
        <f>B471-D471</f>
        <v/>
      </c>
      <c r="Q471" s="4">
        <f>AVERAGE(P468:P471)</f>
        <v/>
      </c>
      <c r="R471" s="54">
        <f>(M472-M471)/M471</f>
        <v/>
      </c>
      <c r="S471" s="54">
        <f>(M475-M471)/M471</f>
        <v/>
      </c>
      <c r="T471" s="63">
        <f>IF(R471&gt;0,1,"")</f>
        <v/>
      </c>
      <c r="U471" s="63">
        <f>IF(S471&gt;0,1,"")</f>
        <v/>
      </c>
    </row>
    <row r="472">
      <c r="A472" s="35" t="n">
        <v>35187</v>
      </c>
      <c r="B472" s="4" t="n">
        <v>0.48</v>
      </c>
      <c r="C472" s="4" t="n">
        <v>0.31</v>
      </c>
      <c r="D472" s="4" t="n">
        <v>0.21</v>
      </c>
      <c r="E472" s="63" t="n">
        <v>1</v>
      </c>
      <c r="F472" s="63" t="n">
        <v>0.4</v>
      </c>
      <c r="G472" s="63" t="n">
        <v>0.27</v>
      </c>
      <c r="H472" s="63" t="n">
        <v>0.384907436629</v>
      </c>
      <c r="I472" s="63" t="n">
        <v>0.48829287048</v>
      </c>
      <c r="J472" s="63" t="n">
        <v>0.281522002778</v>
      </c>
      <c r="K472" s="63" t="n">
        <v>656.4400000000001</v>
      </c>
      <c r="L472" s="63" t="n">
        <v>640.23</v>
      </c>
      <c r="M472" s="63" t="n">
        <v>641.63</v>
      </c>
      <c r="N472" s="54">
        <f>(M473-M472)/M472</f>
        <v/>
      </c>
      <c r="O472" s="54">
        <f>(M476-M472)/M472</f>
        <v/>
      </c>
      <c r="P472" s="4">
        <f>B472-D472</f>
        <v/>
      </c>
      <c r="Q472" s="4">
        <f>AVERAGE(P469:P472)</f>
        <v/>
      </c>
      <c r="R472" s="54">
        <f>(M473-M472)/M472</f>
        <v/>
      </c>
      <c r="S472" s="54">
        <f>(M476-M472)/M472</f>
        <v/>
      </c>
      <c r="T472" s="63">
        <f>IF(R472&gt;0,1,"")</f>
        <v/>
      </c>
      <c r="U472" s="63">
        <f>IF(S472&gt;0,1,"")</f>
        <v/>
      </c>
    </row>
    <row r="473">
      <c r="A473" s="35" t="n">
        <v>35194</v>
      </c>
      <c r="B473" s="4" t="n">
        <v>0.46</v>
      </c>
      <c r="C473" s="4" t="n">
        <v>0.38</v>
      </c>
      <c r="D473" s="4" t="n">
        <v>0.16</v>
      </c>
      <c r="E473" s="63" t="n">
        <v>1</v>
      </c>
      <c r="F473" s="63" t="n">
        <v>0.4125</v>
      </c>
      <c r="G473" s="63" t="n">
        <v>0.3</v>
      </c>
      <c r="H473" s="63" t="n">
        <v>0.384907436629</v>
      </c>
      <c r="I473" s="63" t="n">
        <v>0.48829287048</v>
      </c>
      <c r="J473" s="63" t="n">
        <v>0.281522002778</v>
      </c>
      <c r="K473" s="63" t="n">
        <v>652.09</v>
      </c>
      <c r="L473" s="63" t="n">
        <v>638.26</v>
      </c>
      <c r="M473" s="63" t="n">
        <v>652.09</v>
      </c>
      <c r="N473" s="54">
        <f>(M474-M473)/M473</f>
        <v/>
      </c>
      <c r="O473" s="54">
        <f>(M477-M473)/M473</f>
        <v/>
      </c>
      <c r="P473" s="4">
        <f>B473-D473</f>
        <v/>
      </c>
      <c r="Q473" s="4">
        <f>AVERAGE(P470:P473)</f>
        <v/>
      </c>
      <c r="R473" s="54">
        <f>(M474-M473)/M473</f>
        <v/>
      </c>
      <c r="S473" s="54">
        <f>(M477-M473)/M473</f>
        <v/>
      </c>
      <c r="T473" s="63">
        <f>IF(R473&gt;0,1,"")</f>
        <v/>
      </c>
      <c r="U473" s="63">
        <f>IF(S473&gt;0,1,"")</f>
        <v/>
      </c>
    </row>
    <row r="474">
      <c r="A474" s="35" t="n">
        <v>35201</v>
      </c>
      <c r="B474" s="4" t="n">
        <v>0.37</v>
      </c>
      <c r="C474" s="4" t="n">
        <v>0.4</v>
      </c>
      <c r="D474" s="4" t="n">
        <v>0.23</v>
      </c>
      <c r="E474" s="63" t="n">
        <v>1</v>
      </c>
      <c r="F474" s="63" t="n">
        <v>0.4</v>
      </c>
      <c r="G474" s="63" t="n">
        <v>0.14</v>
      </c>
      <c r="H474" s="63" t="n">
        <v>0.384907436629</v>
      </c>
      <c r="I474" s="63" t="n">
        <v>0.48829287048</v>
      </c>
      <c r="J474" s="63" t="n">
        <v>0.281522002778</v>
      </c>
      <c r="K474" s="63" t="n">
        <v>669.84</v>
      </c>
      <c r="L474" s="63" t="n">
        <v>645.4400000000001</v>
      </c>
      <c r="M474" s="63" t="n">
        <v>668.91</v>
      </c>
      <c r="N474" s="54">
        <f>(M475-M474)/M474</f>
        <v/>
      </c>
      <c r="O474" s="54">
        <f>(M478-M474)/M474</f>
        <v/>
      </c>
      <c r="P474" s="4">
        <f>B474-D474</f>
        <v/>
      </c>
      <c r="Q474" s="4">
        <f>AVERAGE(P471:P474)</f>
        <v/>
      </c>
      <c r="R474" s="54">
        <f>(M475-M474)/M474</f>
        <v/>
      </c>
      <c r="S474" s="54">
        <f>(M478-M474)/M474</f>
        <v/>
      </c>
      <c r="T474" s="63">
        <f>IF(R474&gt;0,1,"")</f>
        <v/>
      </c>
      <c r="U474" s="63">
        <f>IF(S474&gt;0,1,"")</f>
        <v/>
      </c>
    </row>
    <row r="475">
      <c r="A475" s="35" t="n">
        <v>35208</v>
      </c>
      <c r="B475" s="4" t="n">
        <v>0.51</v>
      </c>
      <c r="C475" s="4" t="n">
        <v>0.35</v>
      </c>
      <c r="D475" s="4" t="n">
        <v>0.14</v>
      </c>
      <c r="E475" s="63" t="n">
        <v>1</v>
      </c>
      <c r="F475" s="63" t="n">
        <v>0.4075</v>
      </c>
      <c r="G475" s="63" t="n">
        <v>0.37</v>
      </c>
      <c r="H475" s="63" t="n">
        <v>0.384907436629</v>
      </c>
      <c r="I475" s="63" t="n">
        <v>0.48829287048</v>
      </c>
      <c r="J475" s="63" t="n">
        <v>0.281522002778</v>
      </c>
      <c r="K475" s="63" t="n">
        <v>681.1</v>
      </c>
      <c r="L475" s="63" t="n">
        <v>667.64</v>
      </c>
      <c r="M475" s="63" t="n">
        <v>678.51</v>
      </c>
      <c r="N475" s="54">
        <f>(M476-M475)/M475</f>
        <v/>
      </c>
      <c r="O475" s="54">
        <f>(M479-M475)/M475</f>
        <v/>
      </c>
      <c r="P475" s="4">
        <f>B475-D475</f>
        <v/>
      </c>
      <c r="Q475" s="4">
        <f>AVERAGE(P472:P475)</f>
        <v/>
      </c>
      <c r="R475" s="54">
        <f>(M476-M475)/M475</f>
        <v/>
      </c>
      <c r="S475" s="54">
        <f>(M479-M475)/M475</f>
        <v/>
      </c>
      <c r="T475" s="63">
        <f>IF(R475&gt;0,1,"")</f>
        <v/>
      </c>
      <c r="U475" s="63">
        <f>IF(S475&gt;0,1,"")</f>
        <v/>
      </c>
    </row>
    <row r="476">
      <c r="A476" s="35" t="n">
        <v>35215</v>
      </c>
      <c r="B476" s="4" t="n">
        <v>0.61</v>
      </c>
      <c r="C476" s="4" t="n">
        <v>0.29</v>
      </c>
      <c r="D476" s="4" t="n">
        <v>0.1</v>
      </c>
      <c r="E476" s="63" t="n">
        <v>1</v>
      </c>
      <c r="F476" s="63" t="n">
        <v>0.43375</v>
      </c>
      <c r="G476" s="63" t="n">
        <v>0.51</v>
      </c>
      <c r="H476" s="63" t="n">
        <v>0.384907436629</v>
      </c>
      <c r="I476" s="63" t="n">
        <v>0.48829287048</v>
      </c>
      <c r="J476" s="63" t="n">
        <v>0.281522002778</v>
      </c>
      <c r="K476" s="63" t="n">
        <v>679.98</v>
      </c>
      <c r="L476" s="63" t="n">
        <v>664.5599999999999</v>
      </c>
      <c r="M476" s="63" t="n">
        <v>669.12</v>
      </c>
      <c r="N476" s="54">
        <f>(M477-M476)/M476</f>
        <v/>
      </c>
      <c r="O476" s="54">
        <f>(M480-M476)/M476</f>
        <v/>
      </c>
      <c r="P476" s="4">
        <f>B476-D476</f>
        <v/>
      </c>
      <c r="Q476" s="4">
        <f>AVERAGE(P473:P476)</f>
        <v/>
      </c>
      <c r="R476" s="54">
        <f>(M477-M476)/M476</f>
        <v/>
      </c>
      <c r="S476" s="54">
        <f>(M480-M476)/M476</f>
        <v/>
      </c>
      <c r="T476" s="63">
        <f>IF(R476&gt;0,1,"")</f>
        <v/>
      </c>
      <c r="U476" s="63">
        <f>IF(S476&gt;0,1,"")</f>
        <v/>
      </c>
    </row>
    <row r="477">
      <c r="A477" s="35" t="n">
        <v>35222</v>
      </c>
      <c r="B477" s="4" t="n">
        <v>0.47</v>
      </c>
      <c r="C477" s="4" t="n">
        <v>0.28</v>
      </c>
      <c r="D477" s="4" t="n">
        <v>0.25</v>
      </c>
      <c r="E477" s="63" t="n">
        <v>1</v>
      </c>
      <c r="F477" s="63" t="n">
        <v>0.4425</v>
      </c>
      <c r="G477" s="63" t="n">
        <v>0.22</v>
      </c>
      <c r="H477" s="63" t="n">
        <v>0.384907436629</v>
      </c>
      <c r="I477" s="63" t="n">
        <v>0.48829287048</v>
      </c>
      <c r="J477" s="63" t="n">
        <v>0.281522002778</v>
      </c>
      <c r="K477" s="63" t="n">
        <v>680.3200000000001</v>
      </c>
      <c r="L477" s="63" t="n">
        <v>662.48</v>
      </c>
      <c r="M477" s="63" t="n">
        <v>673.3099999999999</v>
      </c>
      <c r="N477" s="54">
        <f>(M478-M477)/M477</f>
        <v/>
      </c>
      <c r="O477" s="54">
        <f>(M481-M477)/M477</f>
        <v/>
      </c>
      <c r="P477" s="4">
        <f>B477-D477</f>
        <v/>
      </c>
      <c r="Q477" s="4">
        <f>AVERAGE(P474:P477)</f>
        <v/>
      </c>
      <c r="R477" s="54">
        <f>(M478-M477)/M477</f>
        <v/>
      </c>
      <c r="S477" s="54">
        <f>(M481-M477)/M477</f>
        <v/>
      </c>
      <c r="T477" s="63">
        <f>IF(R477&gt;0,1,"")</f>
        <v/>
      </c>
      <c r="U477" s="63">
        <f>IF(S477&gt;0,1,"")</f>
        <v/>
      </c>
    </row>
    <row r="478">
      <c r="A478" s="35" t="n">
        <v>35229</v>
      </c>
      <c r="B478" s="4" t="n">
        <v>0.49</v>
      </c>
      <c r="C478" s="4" t="n">
        <v>0.28</v>
      </c>
      <c r="D478" s="4" t="n">
        <v>0.23</v>
      </c>
      <c r="E478" s="63" t="n">
        <v>1</v>
      </c>
      <c r="F478" s="63" t="n">
        <v>0.45875</v>
      </c>
      <c r="G478" s="63" t="n">
        <v>0.26</v>
      </c>
      <c r="H478" s="63" t="n">
        <v>0.384907436629</v>
      </c>
      <c r="I478" s="63" t="n">
        <v>0.48829287048</v>
      </c>
      <c r="J478" s="63" t="n">
        <v>0.281522002778</v>
      </c>
      <c r="K478" s="63" t="n">
        <v>676.72</v>
      </c>
      <c r="L478" s="63" t="n">
        <v>664.35</v>
      </c>
      <c r="M478" s="63" t="n">
        <v>665.85</v>
      </c>
      <c r="N478" s="54">
        <f>(M479-M478)/M478</f>
        <v/>
      </c>
      <c r="O478" s="54">
        <f>(M482-M478)/M478</f>
        <v/>
      </c>
      <c r="P478" s="4">
        <f>B478-D478</f>
        <v/>
      </c>
      <c r="Q478" s="4">
        <f>AVERAGE(P475:P478)</f>
        <v/>
      </c>
      <c r="R478" s="54">
        <f>(M479-M478)/M478</f>
        <v/>
      </c>
      <c r="S478" s="54">
        <f>(M482-M478)/M478</f>
        <v/>
      </c>
      <c r="T478" s="63">
        <f>IF(R478&gt;0,1,"")</f>
        <v/>
      </c>
      <c r="U478" s="63">
        <f>IF(S478&gt;0,1,"")</f>
        <v/>
      </c>
    </row>
    <row r="479">
      <c r="A479" s="35" t="n">
        <v>35236</v>
      </c>
      <c r="B479" s="4" t="n">
        <v>0.42</v>
      </c>
      <c r="C479" s="4" t="n">
        <v>0.32</v>
      </c>
      <c r="D479" s="4" t="n">
        <v>0.26</v>
      </c>
      <c r="E479" s="63" t="n">
        <v>1</v>
      </c>
      <c r="F479" s="63" t="n">
        <v>0.47625</v>
      </c>
      <c r="G479" s="63" t="n">
        <v>0.16</v>
      </c>
      <c r="H479" s="63" t="n">
        <v>0.384907436629</v>
      </c>
      <c r="I479" s="63" t="n">
        <v>0.48829287048</v>
      </c>
      <c r="J479" s="63" t="n">
        <v>0.281522002778</v>
      </c>
      <c r="K479" s="63" t="n">
        <v>668.27</v>
      </c>
      <c r="L479" s="63" t="n">
        <v>661.34</v>
      </c>
      <c r="M479" s="63" t="n">
        <v>666.84</v>
      </c>
      <c r="N479" s="54">
        <f>(M480-M479)/M479</f>
        <v/>
      </c>
      <c r="O479" s="54">
        <f>(M483-M479)/M479</f>
        <v/>
      </c>
      <c r="P479" s="4">
        <f>B479-D479</f>
        <v/>
      </c>
      <c r="Q479" s="4">
        <f>AVERAGE(P476:P479)</f>
        <v/>
      </c>
      <c r="R479" s="54">
        <f>(M480-M479)/M479</f>
        <v/>
      </c>
      <c r="S479" s="54">
        <f>(M483-M479)/M479</f>
        <v/>
      </c>
      <c r="T479" s="63">
        <f>IF(R479&gt;0,1,"")</f>
        <v/>
      </c>
      <c r="U479" s="63">
        <f>IF(S479&gt;0,1,"")</f>
        <v/>
      </c>
    </row>
    <row r="480">
      <c r="A480" s="35" t="n">
        <v>35243</v>
      </c>
      <c r="B480" s="4" t="n">
        <v>0.42</v>
      </c>
      <c r="C480" s="4" t="n">
        <v>0.41</v>
      </c>
      <c r="D480" s="4" t="n">
        <v>0.17</v>
      </c>
      <c r="E480" s="63" t="n">
        <v>1</v>
      </c>
      <c r="F480" s="63" t="n">
        <v>0.46875</v>
      </c>
      <c r="G480" s="63" t="n">
        <v>0.25</v>
      </c>
      <c r="H480" s="63" t="n">
        <v>0.384907436629</v>
      </c>
      <c r="I480" s="63" t="n">
        <v>0.48829287048</v>
      </c>
      <c r="J480" s="63" t="n">
        <v>0.281522002778</v>
      </c>
      <c r="K480" s="63" t="n">
        <v>672.6799999999999</v>
      </c>
      <c r="L480" s="63" t="n">
        <v>661.5599999999999</v>
      </c>
      <c r="M480" s="63" t="n">
        <v>670.63</v>
      </c>
      <c r="N480" s="54">
        <f>(M481-M480)/M480</f>
        <v/>
      </c>
      <c r="O480" s="54">
        <f>(M484-M480)/M480</f>
        <v/>
      </c>
      <c r="P480" s="4">
        <f>B480-D480</f>
        <v/>
      </c>
      <c r="Q480" s="4">
        <f>AVERAGE(P477:P480)</f>
        <v/>
      </c>
      <c r="R480" s="54">
        <f>(M481-M480)/M480</f>
        <v/>
      </c>
      <c r="S480" s="54">
        <f>(M484-M480)/M480</f>
        <v/>
      </c>
      <c r="T480" s="63">
        <f>IF(R480&gt;0,1,"")</f>
        <v/>
      </c>
      <c r="U480" s="63">
        <f>IF(S480&gt;0,1,"")</f>
        <v/>
      </c>
    </row>
    <row r="481">
      <c r="A481" s="35" t="n">
        <v>35249</v>
      </c>
      <c r="B481" s="4" t="n">
        <v>0.32</v>
      </c>
      <c r="C481" s="4" t="n">
        <v>0.44</v>
      </c>
      <c r="D481" s="4" t="n">
        <v>0.24</v>
      </c>
      <c r="E481" s="63" t="n">
        <v>1</v>
      </c>
      <c r="F481" s="63" t="n">
        <v>0.45125</v>
      </c>
      <c r="G481" s="63" t="n">
        <v>0.08</v>
      </c>
      <c r="H481" s="63" t="n">
        <v>0.384907436629</v>
      </c>
      <c r="I481" s="63" t="n">
        <v>0.48829287048</v>
      </c>
      <c r="J481" s="63" t="n">
        <v>0.281522002778</v>
      </c>
      <c r="K481" s="63" t="n">
        <v>675.88</v>
      </c>
      <c r="L481" s="63" t="n">
        <v>670.21</v>
      </c>
      <c r="M481" s="63" t="n">
        <v>672.4</v>
      </c>
      <c r="N481" s="54">
        <f>(M482-M481)/M481</f>
        <v/>
      </c>
      <c r="O481" s="54">
        <f>(M485-M481)/M481</f>
        <v/>
      </c>
      <c r="P481" s="4">
        <f>B481-D481</f>
        <v/>
      </c>
      <c r="Q481" s="4">
        <f>AVERAGE(P478:P481)</f>
        <v/>
      </c>
      <c r="R481" s="54">
        <f>(M482-M481)/M481</f>
        <v/>
      </c>
      <c r="S481" s="54">
        <f>(M485-M481)/M481</f>
        <v/>
      </c>
      <c r="T481" s="63">
        <f>IF(R481&gt;0,1,"")</f>
        <v/>
      </c>
      <c r="U481" s="63">
        <f>IF(S481&gt;0,1,"")</f>
        <v/>
      </c>
    </row>
    <row r="482">
      <c r="A482" s="35" t="n">
        <v>35257</v>
      </c>
      <c r="B482" s="4" t="n">
        <v>0.4</v>
      </c>
      <c r="C482" s="4" t="n">
        <v>0.35</v>
      </c>
      <c r="D482" s="4" t="n">
        <v>0.25</v>
      </c>
      <c r="E482" s="63" t="n">
        <v>1</v>
      </c>
      <c r="F482" s="63" t="n">
        <v>0.455</v>
      </c>
      <c r="G482" s="63" t="n">
        <v>0.15</v>
      </c>
      <c r="H482" s="63" t="n">
        <v>0.384907436629</v>
      </c>
      <c r="I482" s="63" t="n">
        <v>0.48829287048</v>
      </c>
      <c r="J482" s="63" t="n">
        <v>0.281522002778</v>
      </c>
      <c r="K482" s="63" t="n">
        <v>657.65</v>
      </c>
      <c r="L482" s="63" t="n">
        <v>639.52</v>
      </c>
      <c r="M482" s="63" t="n">
        <v>646.1900000000001</v>
      </c>
      <c r="N482" s="54">
        <f>(M483-M482)/M482</f>
        <v/>
      </c>
      <c r="O482" s="54">
        <f>(M486-M482)/M482</f>
        <v/>
      </c>
      <c r="P482" s="4">
        <f>B482-D482</f>
        <v/>
      </c>
      <c r="Q482" s="4">
        <f>AVERAGE(P479:P482)</f>
        <v/>
      </c>
      <c r="R482" s="54">
        <f>(M483-M482)/M482</f>
        <v/>
      </c>
      <c r="S482" s="54">
        <f>(M486-M482)/M482</f>
        <v/>
      </c>
      <c r="T482" s="63">
        <f>IF(R482&gt;0,1,"")</f>
        <v/>
      </c>
      <c r="U482" s="63">
        <f>IF(S482&gt;0,1,"")</f>
        <v/>
      </c>
    </row>
    <row r="483">
      <c r="A483" s="35" t="n">
        <v>35264</v>
      </c>
      <c r="B483" s="4" t="n">
        <v>0.29</v>
      </c>
      <c r="C483" s="4" t="n">
        <v>0.45</v>
      </c>
      <c r="D483" s="4" t="n">
        <v>0.26</v>
      </c>
      <c r="E483" s="63" t="n">
        <v>1</v>
      </c>
      <c r="F483" s="63" t="n">
        <v>0.4275</v>
      </c>
      <c r="G483" s="63" t="n">
        <v>0.03</v>
      </c>
      <c r="H483" s="63" t="n">
        <v>0.384907436629</v>
      </c>
      <c r="I483" s="63" t="n">
        <v>0.48829287048</v>
      </c>
      <c r="J483" s="63" t="n">
        <v>0.281522002778</v>
      </c>
      <c r="K483" s="63" t="n">
        <v>646.1900000000001</v>
      </c>
      <c r="L483" s="63" t="n">
        <v>605.88</v>
      </c>
      <c r="M483" s="63" t="n">
        <v>638.73</v>
      </c>
      <c r="N483" s="54">
        <f>(M484-M483)/M483</f>
        <v/>
      </c>
      <c r="O483" s="54">
        <f>(M487-M483)/M483</f>
        <v/>
      </c>
      <c r="P483" s="4">
        <f>B483-D483</f>
        <v/>
      </c>
      <c r="Q483" s="4">
        <f>AVERAGE(P480:P483)</f>
        <v/>
      </c>
      <c r="R483" s="54">
        <f>(M484-M483)/M483</f>
        <v/>
      </c>
      <c r="S483" s="54">
        <f>(M487-M483)/M483</f>
        <v/>
      </c>
      <c r="T483" s="63">
        <f>IF(R483&gt;0,1,"")</f>
        <v/>
      </c>
      <c r="U483" s="63">
        <f>IF(S483&gt;0,1,"")</f>
        <v/>
      </c>
    </row>
    <row r="484">
      <c r="A484" s="35" t="n">
        <v>35271</v>
      </c>
      <c r="B484" s="4" t="n">
        <v>0.3</v>
      </c>
      <c r="C484" s="4" t="n">
        <v>0.32</v>
      </c>
      <c r="D484" s="4" t="n">
        <v>0.38</v>
      </c>
      <c r="E484" s="63" t="n">
        <v>1</v>
      </c>
      <c r="F484" s="63" t="n">
        <v>0.38875</v>
      </c>
      <c r="G484" s="63" t="n">
        <v>-0.08</v>
      </c>
      <c r="H484" s="63" t="n">
        <v>0.384907436629</v>
      </c>
      <c r="I484" s="63" t="n">
        <v>0.48829287048</v>
      </c>
      <c r="J484" s="63" t="n">
        <v>0.281522002778</v>
      </c>
      <c r="K484" s="63" t="n">
        <v>638.73</v>
      </c>
      <c r="L484" s="63" t="n">
        <v>616.4299999999999</v>
      </c>
      <c r="M484" s="63" t="n">
        <v>635.9</v>
      </c>
      <c r="N484" s="54">
        <f>(M485-M484)/M484</f>
        <v/>
      </c>
      <c r="O484" s="54">
        <f>(M488-M484)/M484</f>
        <v/>
      </c>
      <c r="P484" s="4">
        <f>B484-D484</f>
        <v/>
      </c>
      <c r="Q484" s="4">
        <f>AVERAGE(P481:P484)</f>
        <v/>
      </c>
      <c r="R484" s="54">
        <f>(M485-M484)/M484</f>
        <v/>
      </c>
      <c r="S484" s="54">
        <f>(M488-M484)/M484</f>
        <v/>
      </c>
      <c r="T484" s="63">
        <f>IF(R484&gt;0,1,"")</f>
        <v/>
      </c>
      <c r="U484" s="63">
        <f>IF(S484&gt;0,1,"")</f>
        <v/>
      </c>
    </row>
    <row r="485">
      <c r="A485" s="35" t="n">
        <v>35278</v>
      </c>
      <c r="B485" s="4" t="n">
        <v>0.29</v>
      </c>
      <c r="C485" s="4" t="n">
        <v>0.38</v>
      </c>
      <c r="D485" s="4" t="n">
        <v>0.33</v>
      </c>
      <c r="E485" s="63" t="n">
        <v>1</v>
      </c>
      <c r="F485" s="63" t="n">
        <v>0.36625</v>
      </c>
      <c r="G485" s="63" t="n">
        <v>-0.04</v>
      </c>
      <c r="H485" s="63" t="n">
        <v>0.384907436629</v>
      </c>
      <c r="I485" s="63" t="n">
        <v>0.48829287048</v>
      </c>
      <c r="J485" s="63" t="n">
        <v>0.281522002778</v>
      </c>
      <c r="K485" s="63" t="n">
        <v>662.49</v>
      </c>
      <c r="L485" s="63" t="n">
        <v>629.22</v>
      </c>
      <c r="M485" s="63" t="n">
        <v>662.49</v>
      </c>
      <c r="N485" s="54">
        <f>(M486-M485)/M485</f>
        <v/>
      </c>
      <c r="O485" s="54">
        <f>(M489-M485)/M485</f>
        <v/>
      </c>
      <c r="P485" s="4">
        <f>B485-D485</f>
        <v/>
      </c>
      <c r="Q485" s="4">
        <f>AVERAGE(P482:P485)</f>
        <v/>
      </c>
      <c r="R485" s="54">
        <f>(M486-M485)/M485</f>
        <v/>
      </c>
      <c r="S485" s="54">
        <f>(M489-M485)/M485</f>
        <v/>
      </c>
      <c r="T485" s="63">
        <f>IF(R485&gt;0,1,"")</f>
        <v/>
      </c>
      <c r="U485" s="63">
        <f>IF(S485&gt;0,1,"")</f>
        <v/>
      </c>
    </row>
    <row r="486">
      <c r="A486" s="35" t="n">
        <v>35285</v>
      </c>
      <c r="B486" s="4" t="n">
        <v>0.27</v>
      </c>
      <c r="C486" s="4" t="n">
        <v>0.42</v>
      </c>
      <c r="D486" s="4" t="n">
        <v>0.31</v>
      </c>
      <c r="E486" s="63" t="n">
        <v>1</v>
      </c>
      <c r="F486" s="63" t="n">
        <v>0.33875</v>
      </c>
      <c r="G486" s="63" t="n">
        <v>-0.04</v>
      </c>
      <c r="H486" s="63" t="n">
        <v>0.384907436629</v>
      </c>
      <c r="I486" s="63" t="n">
        <v>0.48829287048</v>
      </c>
      <c r="J486" s="63" t="n">
        <v>0.281522002778</v>
      </c>
      <c r="K486" s="63" t="n">
        <v>665.37</v>
      </c>
      <c r="L486" s="63" t="n">
        <v>656.83</v>
      </c>
      <c r="M486" s="63" t="n">
        <v>662.1</v>
      </c>
      <c r="N486" s="54">
        <f>(M487-M486)/M486</f>
        <v/>
      </c>
      <c r="O486" s="54">
        <f>(M490-M486)/M486</f>
        <v/>
      </c>
      <c r="P486" s="4">
        <f>B486-D486</f>
        <v/>
      </c>
      <c r="Q486" s="4">
        <f>AVERAGE(P483:P486)</f>
        <v/>
      </c>
      <c r="R486" s="54">
        <f>(M487-M486)/M486</f>
        <v/>
      </c>
      <c r="S486" s="54">
        <f>(M490-M486)/M486</f>
        <v/>
      </c>
      <c r="T486" s="63">
        <f>IF(R486&gt;0,1,"")</f>
        <v/>
      </c>
      <c r="U486" s="63">
        <f>IF(S486&gt;0,1,"")</f>
        <v/>
      </c>
    </row>
    <row r="487">
      <c r="A487" s="35" t="n">
        <v>35292</v>
      </c>
      <c r="B487" s="4" t="n">
        <v>0.43</v>
      </c>
      <c r="C487" s="4" t="n">
        <v>0.37</v>
      </c>
      <c r="D487" s="4" t="n">
        <v>0.2</v>
      </c>
      <c r="E487" s="63" t="n">
        <v>1</v>
      </c>
      <c r="F487" s="63" t="n">
        <v>0.34</v>
      </c>
      <c r="G487" s="63" t="n">
        <v>0.23</v>
      </c>
      <c r="H487" s="63" t="n">
        <v>0.384907436629</v>
      </c>
      <c r="I487" s="63" t="n">
        <v>0.48829287048</v>
      </c>
      <c r="J487" s="63" t="n">
        <v>0.281522002778</v>
      </c>
      <c r="K487" s="63" t="n">
        <v>666.34</v>
      </c>
      <c r="L487" s="63" t="n">
        <v>658.47</v>
      </c>
      <c r="M487" s="63" t="n">
        <v>665.21</v>
      </c>
      <c r="N487" s="54">
        <f>(M488-M487)/M487</f>
        <v/>
      </c>
      <c r="O487" s="54">
        <f>(M491-M487)/M487</f>
        <v/>
      </c>
      <c r="P487" s="4">
        <f>B487-D487</f>
        <v/>
      </c>
      <c r="Q487" s="4">
        <f>AVERAGE(P484:P487)</f>
        <v/>
      </c>
      <c r="R487" s="54">
        <f>(M488-M487)/M487</f>
        <v/>
      </c>
      <c r="S487" s="54">
        <f>(M491-M487)/M487</f>
        <v/>
      </c>
      <c r="T487" s="63">
        <f>IF(R487&gt;0,1,"")</f>
        <v/>
      </c>
      <c r="U487" s="63">
        <f>IF(S487&gt;0,1,"")</f>
        <v/>
      </c>
    </row>
    <row r="488">
      <c r="A488" s="35" t="n">
        <v>35299</v>
      </c>
      <c r="B488" s="4" t="n">
        <v>0.28</v>
      </c>
      <c r="C488" s="4" t="n">
        <v>0.46</v>
      </c>
      <c r="D488" s="4" t="n">
        <v>0.26</v>
      </c>
      <c r="E488" s="63" t="n">
        <v>1</v>
      </c>
      <c r="F488" s="63" t="n">
        <v>0.3225</v>
      </c>
      <c r="G488" s="63" t="n">
        <v>0.02</v>
      </c>
      <c r="H488" s="63" t="n">
        <v>0.384907436629</v>
      </c>
      <c r="I488" s="63" t="n">
        <v>0.48829287048</v>
      </c>
      <c r="J488" s="63" t="n">
        <v>0.281522002778</v>
      </c>
      <c r="K488" s="63" t="n">
        <v>670.6799999999999</v>
      </c>
      <c r="L488" s="63" t="n">
        <v>662.16</v>
      </c>
      <c r="M488" s="63" t="n">
        <v>667.03</v>
      </c>
      <c r="N488" s="54">
        <f>(M489-M488)/M488</f>
        <v/>
      </c>
      <c r="O488" s="54">
        <f>(M492-M488)/M488</f>
        <v/>
      </c>
      <c r="P488" s="4">
        <f>B488-D488</f>
        <v/>
      </c>
      <c r="Q488" s="4">
        <f>AVERAGE(P485:P488)</f>
        <v/>
      </c>
      <c r="R488" s="54">
        <f>(M489-M488)/M488</f>
        <v/>
      </c>
      <c r="S488" s="54">
        <f>(M492-M488)/M488</f>
        <v/>
      </c>
      <c r="T488" s="63">
        <f>IF(R488&gt;0,1,"")</f>
        <v/>
      </c>
      <c r="U488" s="63">
        <f>IF(S488&gt;0,1,"")</f>
        <v/>
      </c>
    </row>
    <row r="489">
      <c r="A489" s="35" t="n">
        <v>35306</v>
      </c>
      <c r="B489" s="4" t="n">
        <v>0.28</v>
      </c>
      <c r="C489" s="4" t="n">
        <v>0.43</v>
      </c>
      <c r="D489" s="4" t="n">
        <v>0.29</v>
      </c>
      <c r="E489" s="63" t="n">
        <v>1</v>
      </c>
      <c r="F489" s="63" t="n">
        <v>0.3175</v>
      </c>
      <c r="G489" s="63" t="n">
        <v>-0.01</v>
      </c>
      <c r="H489" s="63" t="n">
        <v>0.384907436629</v>
      </c>
      <c r="I489" s="63" t="n">
        <v>0.48829287048</v>
      </c>
      <c r="J489" s="63" t="n">
        <v>0.281522002778</v>
      </c>
      <c r="K489" s="63" t="n">
        <v>670.6799999999999</v>
      </c>
      <c r="L489" s="63" t="n">
        <v>650.52</v>
      </c>
      <c r="M489" s="63" t="n">
        <v>651.99</v>
      </c>
      <c r="N489" s="54">
        <f>(M490-M489)/M489</f>
        <v/>
      </c>
      <c r="O489" s="54">
        <f>(M493-M489)/M489</f>
        <v/>
      </c>
      <c r="P489" s="4">
        <f>B489-D489</f>
        <v/>
      </c>
      <c r="Q489" s="4">
        <f>AVERAGE(P486:P489)</f>
        <v/>
      </c>
      <c r="R489" s="54">
        <f>(M490-M489)/M489</f>
        <v/>
      </c>
      <c r="S489" s="54">
        <f>(M493-M489)/M489</f>
        <v/>
      </c>
      <c r="T489" s="63">
        <f>IF(R489&gt;0,1,"")</f>
        <v/>
      </c>
      <c r="U489" s="63">
        <f>IF(S489&gt;0,1,"")</f>
        <v/>
      </c>
    </row>
    <row r="490">
      <c r="A490" s="35" t="n">
        <v>35313</v>
      </c>
      <c r="B490" s="4" t="n">
        <v>0.29</v>
      </c>
      <c r="C490" s="4" t="n">
        <v>0.35</v>
      </c>
      <c r="D490" s="4" t="n">
        <v>0.36</v>
      </c>
      <c r="E490" s="63" t="n">
        <v>1</v>
      </c>
      <c r="F490" s="63" t="n">
        <v>0.30375</v>
      </c>
      <c r="G490" s="63" t="n">
        <v>-0.07000000000000001</v>
      </c>
      <c r="H490" s="63" t="n">
        <v>0.384907436629</v>
      </c>
      <c r="I490" s="63" t="n">
        <v>0.48829287048</v>
      </c>
      <c r="J490" s="63" t="n">
        <v>0.281522002778</v>
      </c>
      <c r="K490" s="63" t="n">
        <v>658.21</v>
      </c>
      <c r="L490" s="63" t="n">
        <v>643.97</v>
      </c>
      <c r="M490" s="63" t="n">
        <v>655.6799999999999</v>
      </c>
      <c r="N490" s="54">
        <f>(M491-M490)/M490</f>
        <v/>
      </c>
      <c r="O490" s="54">
        <f>(M494-M490)/M490</f>
        <v/>
      </c>
      <c r="P490" s="4">
        <f>B490-D490</f>
        <v/>
      </c>
      <c r="Q490" s="4">
        <f>AVERAGE(P487:P490)</f>
        <v/>
      </c>
      <c r="R490" s="54">
        <f>(M491-M490)/M490</f>
        <v/>
      </c>
      <c r="S490" s="54">
        <f>(M494-M490)/M490</f>
        <v/>
      </c>
      <c r="T490" s="63">
        <f>IF(R490&gt;0,1,"")</f>
        <v/>
      </c>
      <c r="U490" s="63">
        <f>IF(S490&gt;0,1,"")</f>
        <v/>
      </c>
    </row>
    <row r="491">
      <c r="A491" s="35" t="n">
        <v>35320</v>
      </c>
      <c r="B491" s="4" t="n">
        <v>0.26</v>
      </c>
      <c r="C491" s="4" t="n">
        <v>0.46</v>
      </c>
      <c r="D491" s="4" t="n">
        <v>0.28</v>
      </c>
      <c r="E491" s="63" t="n">
        <v>1</v>
      </c>
      <c r="F491" s="63" t="n">
        <v>0.3</v>
      </c>
      <c r="G491" s="63" t="n">
        <v>-0.02</v>
      </c>
      <c r="H491" s="63" t="n">
        <v>0.384907436629</v>
      </c>
      <c r="I491" s="63" t="n">
        <v>0.48829287048</v>
      </c>
      <c r="J491" s="63" t="n">
        <v>0.281522002778</v>
      </c>
      <c r="K491" s="63" t="n">
        <v>681.39</v>
      </c>
      <c r="L491" s="63" t="n">
        <v>655.6799999999999</v>
      </c>
      <c r="M491" s="63" t="n">
        <v>680.54</v>
      </c>
      <c r="N491" s="54">
        <f>(M492-M491)/M491</f>
        <v/>
      </c>
      <c r="O491" s="54">
        <f>(M495-M491)/M491</f>
        <v/>
      </c>
      <c r="P491" s="4">
        <f>B491-D491</f>
        <v/>
      </c>
      <c r="Q491" s="4">
        <f>AVERAGE(P488:P491)</f>
        <v/>
      </c>
      <c r="R491" s="54">
        <f>(M492-M491)/M491</f>
        <v/>
      </c>
      <c r="S491" s="54">
        <f>(M495-M491)/M491</f>
        <v/>
      </c>
      <c r="T491" s="63">
        <f>IF(R491&gt;0,1,"")</f>
        <v/>
      </c>
      <c r="U491" s="63">
        <f>IF(S491&gt;0,1,"")</f>
        <v/>
      </c>
    </row>
    <row r="492">
      <c r="A492" s="35" t="n">
        <v>35327</v>
      </c>
      <c r="B492" s="4" t="n">
        <v>0.28</v>
      </c>
      <c r="C492" s="4" t="n">
        <v>0.41</v>
      </c>
      <c r="D492" s="4" t="n">
        <v>0.31</v>
      </c>
      <c r="E492" s="63" t="n">
        <v>1</v>
      </c>
      <c r="F492" s="63" t="n">
        <v>0.2975</v>
      </c>
      <c r="G492" s="63" t="n">
        <v>-0.03</v>
      </c>
      <c r="H492" s="63" t="n">
        <v>0.384907436629</v>
      </c>
      <c r="I492" s="63" t="n">
        <v>0.48829287048</v>
      </c>
      <c r="J492" s="63" t="n">
        <v>0.281522002778</v>
      </c>
      <c r="K492" s="63" t="n">
        <v>687.0700000000001</v>
      </c>
      <c r="L492" s="63" t="n">
        <v>679.0599999999999</v>
      </c>
      <c r="M492" s="63" t="n">
        <v>687.03</v>
      </c>
      <c r="N492" s="54">
        <f>(M493-M492)/M492</f>
        <v/>
      </c>
      <c r="O492" s="54">
        <f>(M496-M492)/M492</f>
        <v/>
      </c>
      <c r="P492" s="4">
        <f>B492-D492</f>
        <v/>
      </c>
      <c r="Q492" s="4">
        <f>AVERAGE(P489:P492)</f>
        <v/>
      </c>
      <c r="R492" s="54">
        <f>(M493-M492)/M492</f>
        <v/>
      </c>
      <c r="S492" s="54">
        <f>(M496-M492)/M492</f>
        <v/>
      </c>
      <c r="T492" s="63">
        <f>IF(R492&gt;0,1,"")</f>
        <v/>
      </c>
      <c r="U492" s="63">
        <f>IF(S492&gt;0,1,"")</f>
        <v/>
      </c>
    </row>
    <row r="493">
      <c r="A493" s="35" t="n">
        <v>35334</v>
      </c>
      <c r="B493" s="4" t="n">
        <v>0.34</v>
      </c>
      <c r="C493" s="4" t="n">
        <v>0.39</v>
      </c>
      <c r="D493" s="4" t="n">
        <v>0.27</v>
      </c>
      <c r="E493" s="63" t="n">
        <v>1</v>
      </c>
      <c r="F493" s="63" t="n">
        <v>0.30375</v>
      </c>
      <c r="G493" s="63" t="n">
        <v>0.07000000000000001</v>
      </c>
      <c r="H493" s="63" t="n">
        <v>0.384907436629</v>
      </c>
      <c r="I493" s="63" t="n">
        <v>0.48829287048</v>
      </c>
      <c r="J493" s="63" t="n">
        <v>0.281522002778</v>
      </c>
      <c r="K493" s="63" t="n">
        <v>690.88</v>
      </c>
      <c r="L493" s="63" t="n">
        <v>681.01</v>
      </c>
      <c r="M493" s="63" t="n">
        <v>686.1900000000001</v>
      </c>
      <c r="N493" s="54">
        <f>(M494-M493)/M493</f>
        <v/>
      </c>
      <c r="O493" s="54">
        <f>(M497-M493)/M493</f>
        <v/>
      </c>
      <c r="P493" s="4">
        <f>B493-D493</f>
        <v/>
      </c>
      <c r="Q493" s="4">
        <f>AVERAGE(P490:P493)</f>
        <v/>
      </c>
      <c r="R493" s="54">
        <f>(M494-M493)/M493</f>
        <v/>
      </c>
      <c r="S493" s="54">
        <f>(M497-M493)/M493</f>
        <v/>
      </c>
      <c r="T493" s="63">
        <f>IF(R493&gt;0,1,"")</f>
        <v/>
      </c>
      <c r="U493" s="63">
        <f>IF(S493&gt;0,1,"")</f>
        <v/>
      </c>
    </row>
    <row r="494">
      <c r="A494" s="35" t="n">
        <v>35341</v>
      </c>
      <c r="B494" s="4" t="n">
        <v>0.4</v>
      </c>
      <c r="C494" s="4" t="n">
        <v>0.31</v>
      </c>
      <c r="D494" s="4" t="n">
        <v>0.29</v>
      </c>
      <c r="E494" s="63" t="n">
        <v>1</v>
      </c>
      <c r="F494" s="63" t="n">
        <v>0.32</v>
      </c>
      <c r="G494" s="63" t="n">
        <v>0.11</v>
      </c>
      <c r="H494" s="63" t="n">
        <v>0.384907436629</v>
      </c>
      <c r="I494" s="63" t="n">
        <v>0.48829287048</v>
      </c>
      <c r="J494" s="63" t="n">
        <v>0.281522002778</v>
      </c>
      <c r="K494" s="63" t="n">
        <v>701.74</v>
      </c>
      <c r="L494" s="63" t="n">
        <v>686.03</v>
      </c>
      <c r="M494" s="63" t="n">
        <v>701.46</v>
      </c>
      <c r="N494" s="54">
        <f>(M495-M494)/M494</f>
        <v/>
      </c>
      <c r="O494" s="54">
        <f>(M498-M494)/M494</f>
        <v/>
      </c>
      <c r="P494" s="4">
        <f>B494-D494</f>
        <v/>
      </c>
      <c r="Q494" s="4">
        <f>AVERAGE(P491:P494)</f>
        <v/>
      </c>
      <c r="R494" s="54">
        <f>(M495-M494)/M494</f>
        <v/>
      </c>
      <c r="S494" s="54">
        <f>(M498-M494)/M494</f>
        <v/>
      </c>
      <c r="T494" s="63">
        <f>IF(R494&gt;0,1,"")</f>
        <v/>
      </c>
      <c r="U494" s="63">
        <f>IF(S494&gt;0,1,"")</f>
        <v/>
      </c>
    </row>
    <row r="495">
      <c r="A495" s="35" t="n">
        <v>35348</v>
      </c>
      <c r="B495" s="4" t="n">
        <v>0.38</v>
      </c>
      <c r="C495" s="4" t="n">
        <v>0.36</v>
      </c>
      <c r="D495" s="4" t="n">
        <v>0.26</v>
      </c>
      <c r="E495" s="63" t="n">
        <v>1</v>
      </c>
      <c r="F495" s="63" t="n">
        <v>0.31375</v>
      </c>
      <c r="G495" s="63" t="n">
        <v>0.12</v>
      </c>
      <c r="H495" s="63" t="n">
        <v>0.384907436629</v>
      </c>
      <c r="I495" s="63" t="n">
        <v>0.48829287048</v>
      </c>
      <c r="J495" s="63" t="n">
        <v>0.281522002778</v>
      </c>
      <c r="K495" s="63" t="n">
        <v>705.76</v>
      </c>
      <c r="L495" s="63" t="n">
        <v>693.34</v>
      </c>
      <c r="M495" s="63" t="n">
        <v>700.66</v>
      </c>
      <c r="N495" s="54">
        <f>(M496-M495)/M495</f>
        <v/>
      </c>
      <c r="O495" s="54">
        <f>(M499-M495)/M495</f>
        <v/>
      </c>
      <c r="P495" s="4">
        <f>B495-D495</f>
        <v/>
      </c>
      <c r="Q495" s="4">
        <f>AVERAGE(P492:P495)</f>
        <v/>
      </c>
      <c r="R495" s="54">
        <f>(M496-M495)/M495</f>
        <v/>
      </c>
      <c r="S495" s="54">
        <f>(M499-M495)/M495</f>
        <v/>
      </c>
      <c r="T495" s="63">
        <f>IF(R495&gt;0,1,"")</f>
        <v/>
      </c>
      <c r="U495" s="63">
        <f>IF(S495&gt;0,1,"")</f>
        <v/>
      </c>
    </row>
    <row r="496">
      <c r="A496" s="35" t="n">
        <v>35355</v>
      </c>
      <c r="B496" s="4" t="n">
        <v>0.39</v>
      </c>
      <c r="C496" s="4" t="n">
        <v>0.36</v>
      </c>
      <c r="D496" s="4" t="n">
        <v>0.25</v>
      </c>
      <c r="E496" s="63" t="n">
        <v>1</v>
      </c>
      <c r="F496" s="63" t="n">
        <v>0.3275</v>
      </c>
      <c r="G496" s="63" t="n">
        <v>0.14</v>
      </c>
      <c r="H496" s="63" t="n">
        <v>0.384907436629</v>
      </c>
      <c r="I496" s="63" t="n">
        <v>0.48829287048</v>
      </c>
      <c r="J496" s="63" t="n">
        <v>0.281522002778</v>
      </c>
      <c r="K496" s="63" t="n">
        <v>711.04</v>
      </c>
      <c r="L496" s="63" t="n">
        <v>699.0700000000001</v>
      </c>
      <c r="M496" s="63" t="n">
        <v>710.8200000000001</v>
      </c>
      <c r="N496" s="54">
        <f>(M497-M496)/M496</f>
        <v/>
      </c>
      <c r="O496" s="54">
        <f>(M500-M496)/M496</f>
        <v/>
      </c>
      <c r="P496" s="4">
        <f>B496-D496</f>
        <v/>
      </c>
      <c r="Q496" s="4">
        <f>AVERAGE(P493:P496)</f>
        <v/>
      </c>
      <c r="R496" s="54">
        <f>(M497-M496)/M496</f>
        <v/>
      </c>
      <c r="S496" s="54">
        <f>(M500-M496)/M496</f>
        <v/>
      </c>
      <c r="T496" s="63">
        <f>IF(R496&gt;0,1,"")</f>
        <v/>
      </c>
      <c r="U496" s="63">
        <f>IF(S496&gt;0,1,"")</f>
        <v/>
      </c>
    </row>
    <row r="497">
      <c r="A497" s="35" t="n">
        <v>35362</v>
      </c>
      <c r="B497" s="4" t="n">
        <v>0.42</v>
      </c>
      <c r="C497" s="4" t="n">
        <v>0.33</v>
      </c>
      <c r="D497" s="4" t="n">
        <v>0.25</v>
      </c>
      <c r="E497" s="63" t="n">
        <v>1</v>
      </c>
      <c r="F497" s="63" t="n">
        <v>0.345</v>
      </c>
      <c r="G497" s="63" t="n">
        <v>0.17</v>
      </c>
      <c r="H497" s="63" t="n">
        <v>0.384907436629</v>
      </c>
      <c r="I497" s="63" t="n">
        <v>0.48829287048</v>
      </c>
      <c r="J497" s="63" t="n">
        <v>0.281522002778</v>
      </c>
      <c r="K497" s="63" t="n">
        <v>714.1</v>
      </c>
      <c r="L497" s="63" t="n">
        <v>700.53</v>
      </c>
      <c r="M497" s="63" t="n">
        <v>700.92</v>
      </c>
      <c r="N497" s="54">
        <f>(M498-M497)/M497</f>
        <v/>
      </c>
      <c r="O497" s="54">
        <f>(M501-M497)/M497</f>
        <v/>
      </c>
      <c r="P497" s="4">
        <f>B497-D497</f>
        <v/>
      </c>
      <c r="Q497" s="4">
        <f>AVERAGE(P494:P497)</f>
        <v/>
      </c>
      <c r="R497" s="54">
        <f>(M498-M497)/M497</f>
        <v/>
      </c>
      <c r="S497" s="54">
        <f>(M501-M497)/M497</f>
        <v/>
      </c>
      <c r="T497" s="63">
        <f>IF(R497&gt;0,1,"")</f>
        <v/>
      </c>
      <c r="U497" s="63">
        <f>IF(S497&gt;0,1,"")</f>
        <v/>
      </c>
    </row>
    <row r="498">
      <c r="A498" s="35" t="n">
        <v>35369</v>
      </c>
      <c r="B498" s="4" t="n">
        <v>0.37</v>
      </c>
      <c r="C498" s="4" t="n">
        <v>0.29</v>
      </c>
      <c r="D498" s="4" t="n">
        <v>0.34</v>
      </c>
      <c r="E498" s="63" t="n">
        <v>1</v>
      </c>
      <c r="F498" s="63" t="n">
        <v>0.355</v>
      </c>
      <c r="G498" s="63" t="n">
        <v>0.03</v>
      </c>
      <c r="H498" s="63" t="n">
        <v>0.384907436629</v>
      </c>
      <c r="I498" s="63" t="n">
        <v>0.48829287048</v>
      </c>
      <c r="J498" s="63" t="n">
        <v>0.281522002778</v>
      </c>
      <c r="K498" s="63" t="n">
        <v>708.6</v>
      </c>
      <c r="L498" s="63" t="n">
        <v>696.22</v>
      </c>
      <c r="M498" s="63" t="n">
        <v>703.77</v>
      </c>
      <c r="N498" s="54">
        <f>(M499-M498)/M498</f>
        <v/>
      </c>
      <c r="O498" s="54">
        <f>(M502-M498)/M498</f>
        <v/>
      </c>
      <c r="P498" s="4">
        <f>B498-D498</f>
        <v/>
      </c>
      <c r="Q498" s="4">
        <f>AVERAGE(P495:P498)</f>
        <v/>
      </c>
      <c r="R498" s="54">
        <f>(M499-M498)/M498</f>
        <v/>
      </c>
      <c r="S498" s="54">
        <f>(M502-M498)/M498</f>
        <v/>
      </c>
      <c r="T498" s="63">
        <f>IF(R498&gt;0,1,"")</f>
        <v/>
      </c>
      <c r="U498" s="63">
        <f>IF(S498&gt;0,1,"")</f>
        <v/>
      </c>
    </row>
    <row r="499">
      <c r="A499" s="35" t="n">
        <v>35376</v>
      </c>
      <c r="B499" s="4" t="n">
        <v>0.26</v>
      </c>
      <c r="C499" s="4" t="n">
        <v>0.45</v>
      </c>
      <c r="D499" s="4" t="n">
        <v>0.29</v>
      </c>
      <c r="E499" s="63" t="n">
        <v>1</v>
      </c>
      <c r="F499" s="63" t="n">
        <v>0.355</v>
      </c>
      <c r="G499" s="63" t="n">
        <v>-0.03</v>
      </c>
      <c r="H499" s="63" t="n">
        <v>0.384907436629</v>
      </c>
      <c r="I499" s="63" t="n">
        <v>0.48829287048</v>
      </c>
      <c r="J499" s="63" t="n">
        <v>0.281522002778</v>
      </c>
      <c r="K499" s="63" t="n">
        <v>730.8200000000001</v>
      </c>
      <c r="L499" s="63" t="n">
        <v>702.84</v>
      </c>
      <c r="M499" s="63" t="n">
        <v>730.8200000000001</v>
      </c>
      <c r="N499" s="54">
        <f>(M500-M499)/M499</f>
        <v/>
      </c>
      <c r="O499" s="54">
        <f>(M503-M499)/M499</f>
        <v/>
      </c>
      <c r="P499" s="4">
        <f>B499-D499</f>
        <v/>
      </c>
      <c r="Q499" s="4">
        <f>AVERAGE(P496:P499)</f>
        <v/>
      </c>
      <c r="R499" s="54">
        <f>(M500-M499)/M499</f>
        <v/>
      </c>
      <c r="S499" s="54">
        <f>(M503-M499)/M499</f>
        <v/>
      </c>
      <c r="T499" s="63">
        <f>IF(R499&gt;0,1,"")</f>
        <v/>
      </c>
      <c r="U499" s="63">
        <f>IF(S499&gt;0,1,"")</f>
        <v/>
      </c>
    </row>
    <row r="500">
      <c r="A500" s="35" t="n">
        <v>35383</v>
      </c>
      <c r="B500" s="4" t="n">
        <v>0.37</v>
      </c>
      <c r="C500" s="4" t="n">
        <v>0.34</v>
      </c>
      <c r="D500" s="4" t="n">
        <v>0.29</v>
      </c>
      <c r="E500" s="63" t="n">
        <v>1</v>
      </c>
      <c r="F500" s="63" t="n">
        <v>0.36625</v>
      </c>
      <c r="G500" s="63" t="n">
        <v>0.08</v>
      </c>
      <c r="H500" s="63" t="n">
        <v>0.384907436629</v>
      </c>
      <c r="I500" s="63" t="n">
        <v>0.48829287048</v>
      </c>
      <c r="J500" s="63" t="n">
        <v>0.281522002778</v>
      </c>
      <c r="K500" s="63" t="n">
        <v>741.92</v>
      </c>
      <c r="L500" s="63" t="n">
        <v>728.03</v>
      </c>
      <c r="M500" s="63" t="n">
        <v>737.62</v>
      </c>
      <c r="N500" s="54">
        <f>(M501-M500)/M500</f>
        <v/>
      </c>
      <c r="O500" s="54">
        <f>(M504-M500)/M500</f>
        <v/>
      </c>
      <c r="P500" s="4">
        <f>B500-D500</f>
        <v/>
      </c>
      <c r="Q500" s="4">
        <f>AVERAGE(P497:P500)</f>
        <v/>
      </c>
      <c r="R500" s="54">
        <f>(M501-M500)/M500</f>
        <v/>
      </c>
      <c r="S500" s="54">
        <f>(M504-M500)/M500</f>
        <v/>
      </c>
      <c r="T500" s="63">
        <f>IF(R500&gt;0,1,"")</f>
        <v/>
      </c>
      <c r="U500" s="63">
        <f>IF(S500&gt;0,1,"")</f>
        <v/>
      </c>
    </row>
    <row r="501">
      <c r="A501" s="35" t="n">
        <v>35390</v>
      </c>
      <c r="B501" s="4" t="n">
        <v>0.43</v>
      </c>
      <c r="C501" s="4" t="n">
        <v>0.3</v>
      </c>
      <c r="D501" s="4" t="n">
        <v>0.27</v>
      </c>
      <c r="E501" s="63" t="n">
        <v>1</v>
      </c>
      <c r="F501" s="63" t="n">
        <v>0.3775</v>
      </c>
      <c r="G501" s="63" t="n">
        <v>0.16</v>
      </c>
      <c r="H501" s="63" t="n">
        <v>0.384907436629</v>
      </c>
      <c r="I501" s="63" t="n">
        <v>0.48829287048</v>
      </c>
      <c r="J501" s="63" t="n">
        <v>0.281522002778</v>
      </c>
      <c r="K501" s="63" t="n">
        <v>748.73</v>
      </c>
      <c r="L501" s="63" t="n">
        <v>737.02</v>
      </c>
      <c r="M501" s="63" t="n">
        <v>748.73</v>
      </c>
      <c r="N501" s="54">
        <f>(M502-M501)/M501</f>
        <v/>
      </c>
      <c r="O501" s="54">
        <f>(M505-M501)/M501</f>
        <v/>
      </c>
      <c r="P501" s="4">
        <f>B501-D501</f>
        <v/>
      </c>
      <c r="Q501" s="4">
        <f>AVERAGE(P498:P501)</f>
        <v/>
      </c>
      <c r="R501" s="54">
        <f>(M502-M501)/M501</f>
        <v/>
      </c>
      <c r="S501" s="54">
        <f>(M505-M501)/M501</f>
        <v/>
      </c>
      <c r="T501" s="63">
        <f>IF(R501&gt;0,1,"")</f>
        <v/>
      </c>
      <c r="U501" s="63">
        <f>IF(S501&gt;0,1,"")</f>
        <v/>
      </c>
    </row>
    <row r="502">
      <c r="A502" s="35" t="n">
        <v>35396</v>
      </c>
      <c r="B502" s="4" t="n">
        <v>0.52</v>
      </c>
      <c r="C502" s="4" t="n">
        <v>0.27</v>
      </c>
      <c r="D502" s="4" t="n">
        <v>0.21</v>
      </c>
      <c r="E502" s="63" t="n">
        <v>1</v>
      </c>
      <c r="F502" s="63" t="n">
        <v>0.3925</v>
      </c>
      <c r="G502" s="63" t="n">
        <v>0.31</v>
      </c>
      <c r="H502" s="63" t="n">
        <v>0.384907436629</v>
      </c>
      <c r="I502" s="63" t="n">
        <v>0.48829287048</v>
      </c>
      <c r="J502" s="63" t="n">
        <v>0.281522002778</v>
      </c>
      <c r="K502" s="63" t="n">
        <v>762.12</v>
      </c>
      <c r="L502" s="63" t="n">
        <v>741.08</v>
      </c>
      <c r="M502" s="63" t="n">
        <v>755</v>
      </c>
      <c r="N502" s="54">
        <f>(M503-M502)/M502</f>
        <v/>
      </c>
      <c r="O502" s="54">
        <f>(M506-M502)/M502</f>
        <v/>
      </c>
      <c r="P502" s="4">
        <f>B502-D502</f>
        <v/>
      </c>
      <c r="Q502" s="4">
        <f>AVERAGE(P499:P502)</f>
        <v/>
      </c>
      <c r="R502" s="54">
        <f>(M503-M502)/M502</f>
        <v/>
      </c>
      <c r="S502" s="54">
        <f>(M506-M502)/M502</f>
        <v/>
      </c>
      <c r="T502" s="63">
        <f>IF(R502&gt;0,1,"")</f>
        <v/>
      </c>
      <c r="U502" s="63">
        <f>IF(S502&gt;0,1,"")</f>
        <v/>
      </c>
    </row>
    <row r="503">
      <c r="A503" s="35" t="n">
        <v>35404</v>
      </c>
      <c r="B503" s="4" t="n">
        <v>0.41</v>
      </c>
      <c r="C503" s="4" t="n">
        <v>0.26</v>
      </c>
      <c r="D503" s="4" t="n">
        <v>0.33</v>
      </c>
      <c r="E503" s="63" t="n">
        <v>1</v>
      </c>
      <c r="F503" s="63" t="n">
        <v>0.39625</v>
      </c>
      <c r="G503" s="63" t="n">
        <v>0.08</v>
      </c>
      <c r="H503" s="63" t="n">
        <v>0.384907436629</v>
      </c>
      <c r="I503" s="63" t="n">
        <v>0.48829287048</v>
      </c>
      <c r="J503" s="63" t="n">
        <v>0.281522002778</v>
      </c>
      <c r="K503" s="63" t="n">
        <v>761.75</v>
      </c>
      <c r="L503" s="63" t="n">
        <v>726.98</v>
      </c>
      <c r="M503" s="63" t="n">
        <v>739.6</v>
      </c>
      <c r="N503" s="54">
        <f>(M504-M503)/M503</f>
        <v/>
      </c>
      <c r="O503" s="54">
        <f>(M507-M503)/M503</f>
        <v/>
      </c>
      <c r="P503" s="4">
        <f>B503-D503</f>
        <v/>
      </c>
      <c r="Q503" s="4">
        <f>AVERAGE(P500:P503)</f>
        <v/>
      </c>
      <c r="R503" s="54">
        <f>(M504-M503)/M503</f>
        <v/>
      </c>
      <c r="S503" s="54">
        <f>(M507-M503)/M503</f>
        <v/>
      </c>
      <c r="T503" s="63">
        <f>IF(R503&gt;0,1,"")</f>
        <v/>
      </c>
      <c r="U503" s="63">
        <f>IF(S503&gt;0,1,"")</f>
        <v/>
      </c>
    </row>
    <row r="504">
      <c r="A504" s="35" t="n">
        <v>35411</v>
      </c>
      <c r="B504" s="4" t="n">
        <v>0.4</v>
      </c>
      <c r="C504" s="4" t="n">
        <v>0.28</v>
      </c>
      <c r="D504" s="4" t="n">
        <v>0.32</v>
      </c>
      <c r="E504" s="63" t="n">
        <v>1</v>
      </c>
      <c r="F504" s="63" t="n">
        <v>0.3975</v>
      </c>
      <c r="G504" s="63" t="n">
        <v>0.08</v>
      </c>
      <c r="H504" s="63" t="n">
        <v>0.384907436629</v>
      </c>
      <c r="I504" s="63" t="n">
        <v>0.48829287048</v>
      </c>
      <c r="J504" s="63" t="n">
        <v>0.281522002778</v>
      </c>
      <c r="K504" s="63" t="n">
        <v>753.4299999999999</v>
      </c>
      <c r="L504" s="63" t="n">
        <v>718.98</v>
      </c>
      <c r="M504" s="63" t="n">
        <v>728.64</v>
      </c>
      <c r="N504" s="54">
        <f>(M505-M504)/M504</f>
        <v/>
      </c>
      <c r="O504" s="54">
        <f>(M508-M504)/M504</f>
        <v/>
      </c>
      <c r="P504" s="4">
        <f>B504-D504</f>
        <v/>
      </c>
      <c r="Q504" s="4">
        <f>AVERAGE(P501:P504)</f>
        <v/>
      </c>
      <c r="R504" s="54">
        <f>(M505-M504)/M504</f>
        <v/>
      </c>
      <c r="S504" s="54">
        <f>(M508-M504)/M504</f>
        <v/>
      </c>
      <c r="T504" s="63">
        <f>IF(R504&gt;0,1,"")</f>
        <v/>
      </c>
      <c r="U504" s="63">
        <f>IF(S504&gt;0,1,"")</f>
        <v/>
      </c>
    </row>
    <row r="505">
      <c r="A505" s="35" t="n">
        <v>35418</v>
      </c>
      <c r="B505" s="4" t="n">
        <v>0.33</v>
      </c>
      <c r="C505" s="4" t="n">
        <v>0.28</v>
      </c>
      <c r="D505" s="4" t="n">
        <v>0.39</v>
      </c>
      <c r="E505" s="63" t="n">
        <v>1</v>
      </c>
      <c r="F505" s="63" t="n">
        <v>0.38625</v>
      </c>
      <c r="G505" s="63" t="n">
        <v>-0.06</v>
      </c>
      <c r="H505" s="63" t="n">
        <v>0.384907436629</v>
      </c>
      <c r="I505" s="63" t="n">
        <v>0.48829287048</v>
      </c>
      <c r="J505" s="63" t="n">
        <v>0.281522002778</v>
      </c>
      <c r="K505" s="63" t="n">
        <v>755.41</v>
      </c>
      <c r="L505" s="63" t="n">
        <v>716.6900000000001</v>
      </c>
      <c r="M505" s="63" t="n">
        <v>748.87</v>
      </c>
      <c r="N505" s="54">
        <f>(M506-M505)/M505</f>
        <v/>
      </c>
      <c r="O505" s="54">
        <f>(M509-M505)/M505</f>
        <v/>
      </c>
      <c r="P505" s="4">
        <f>B505-D505</f>
        <v/>
      </c>
      <c r="Q505" s="4">
        <f>AVERAGE(P502:P505)</f>
        <v/>
      </c>
      <c r="R505" s="54">
        <f>(M506-M505)/M505</f>
        <v/>
      </c>
      <c r="S505" s="54">
        <f>(M509-M505)/M505</f>
        <v/>
      </c>
      <c r="T505" s="63">
        <f>IF(R505&gt;0,1,"")</f>
        <v/>
      </c>
      <c r="U505" s="63">
        <f>IF(S505&gt;0,1,"")</f>
        <v/>
      </c>
    </row>
    <row r="506">
      <c r="A506" s="35" t="n">
        <v>35425</v>
      </c>
      <c r="B506" s="4" t="n">
        <v>0.37</v>
      </c>
      <c r="C506" s="4" t="n">
        <v>0.33</v>
      </c>
      <c r="D506" s="4" t="n">
        <v>0.3</v>
      </c>
      <c r="E506" s="63" t="n">
        <v>1</v>
      </c>
      <c r="F506" s="63" t="n">
        <v>0.38625</v>
      </c>
      <c r="G506" s="63" t="n">
        <v>0.07000000000000001</v>
      </c>
      <c r="H506" s="63" t="n">
        <v>0.384907436629</v>
      </c>
      <c r="I506" s="63" t="n">
        <v>0.48829287048</v>
      </c>
      <c r="J506" s="63" t="n">
        <v>0.281522002778</v>
      </c>
      <c r="K506" s="63" t="n">
        <v>756.79</v>
      </c>
      <c r="L506" s="63" t="n">
        <v>746.92</v>
      </c>
      <c r="M506" s="63" t="n">
        <v>756.79</v>
      </c>
      <c r="N506" s="54">
        <f>(M507-M506)/M506</f>
        <v/>
      </c>
      <c r="O506" s="54">
        <f>(M510-M506)/M506</f>
        <v/>
      </c>
      <c r="P506" s="4">
        <f>B506-D506</f>
        <v/>
      </c>
      <c r="Q506" s="4">
        <f>AVERAGE(P503:P506)</f>
        <v/>
      </c>
      <c r="R506" s="54">
        <f>(M507-M506)/M506</f>
        <v/>
      </c>
      <c r="S506" s="54">
        <f>(M510-M506)/M506</f>
        <v/>
      </c>
      <c r="T506" s="63">
        <f>IF(R506&gt;0,1,"")</f>
        <v/>
      </c>
      <c r="U506" s="63">
        <f>IF(S506&gt;0,1,"")</f>
        <v/>
      </c>
    </row>
    <row r="507">
      <c r="A507" s="35" t="n">
        <v>35432</v>
      </c>
      <c r="B507" s="4" t="n">
        <v>0.43</v>
      </c>
      <c r="C507" s="4" t="n">
        <v>0.33</v>
      </c>
      <c r="D507" s="4" t="n">
        <v>0.24</v>
      </c>
      <c r="E507" s="63" t="n">
        <v>1</v>
      </c>
      <c r="F507" s="63" t="n">
        <v>0.4075</v>
      </c>
      <c r="G507" s="63" t="n">
        <v>0.19</v>
      </c>
      <c r="H507" s="63" t="n">
        <v>0.384907436629</v>
      </c>
      <c r="I507" s="63" t="n">
        <v>0.48829287048</v>
      </c>
      <c r="J507" s="63" t="n">
        <v>0.281522002778</v>
      </c>
      <c r="K507" s="63" t="n">
        <v>753.85</v>
      </c>
      <c r="L507" s="63" t="n">
        <v>737.01</v>
      </c>
      <c r="M507" s="63" t="n">
        <v>748.03</v>
      </c>
      <c r="N507" s="54">
        <f>(M508-M507)/M507</f>
        <v/>
      </c>
      <c r="O507" s="54">
        <f>(M511-M507)/M507</f>
        <v/>
      </c>
      <c r="P507" s="4">
        <f>B507-D507</f>
        <v/>
      </c>
      <c r="Q507" s="4">
        <f>AVERAGE(P504:P507)</f>
        <v/>
      </c>
      <c r="R507" s="54">
        <f>(M508-M507)/M507</f>
        <v/>
      </c>
      <c r="S507" s="54">
        <f>(M511-M507)/M507</f>
        <v/>
      </c>
      <c r="T507" s="63">
        <f>IF(R507&gt;0,1,"")</f>
        <v/>
      </c>
      <c r="U507" s="63">
        <f>IF(S507&gt;0,1,"")</f>
        <v/>
      </c>
    </row>
    <row r="508">
      <c r="A508" s="35" t="n">
        <v>35439</v>
      </c>
      <c r="B508" s="4" t="n">
        <v>0.36</v>
      </c>
      <c r="C508" s="4" t="n">
        <v>0.39</v>
      </c>
      <c r="D508" s="4" t="n">
        <v>0.25</v>
      </c>
      <c r="E508" s="63" t="n">
        <v>1</v>
      </c>
      <c r="F508" s="63" t="n">
        <v>0.40625</v>
      </c>
      <c r="G508" s="63" t="n">
        <v>0.11</v>
      </c>
      <c r="H508" s="63" t="n">
        <v>0.384907436629</v>
      </c>
      <c r="I508" s="63" t="n">
        <v>0.48829287048</v>
      </c>
      <c r="J508" s="63" t="n">
        <v>0.281522002778</v>
      </c>
      <c r="K508" s="63" t="n">
        <v>759.65</v>
      </c>
      <c r="L508" s="63" t="n">
        <v>742.1799999999999</v>
      </c>
      <c r="M508" s="63" t="n">
        <v>759.5</v>
      </c>
      <c r="N508" s="54">
        <f>(M509-M508)/M508</f>
        <v/>
      </c>
      <c r="O508" s="54">
        <f>(M512-M508)/M508</f>
        <v/>
      </c>
      <c r="P508" s="4">
        <f>B508-D508</f>
        <v/>
      </c>
      <c r="Q508" s="4">
        <f>AVERAGE(P505:P508)</f>
        <v/>
      </c>
      <c r="R508" s="54">
        <f>(M509-M508)/M508</f>
        <v/>
      </c>
      <c r="S508" s="54">
        <f>(M512-M508)/M508</f>
        <v/>
      </c>
      <c r="T508" s="63">
        <f>IF(R508&gt;0,1,"")</f>
        <v/>
      </c>
      <c r="U508" s="63">
        <f>IF(S508&gt;0,1,"")</f>
        <v/>
      </c>
    </row>
    <row r="509">
      <c r="A509" s="35" t="n">
        <v>35446</v>
      </c>
      <c r="B509" s="4" t="n">
        <v>0.42</v>
      </c>
      <c r="C509" s="4" t="n">
        <v>0.32</v>
      </c>
      <c r="D509" s="4" t="n">
        <v>0.26</v>
      </c>
      <c r="E509" s="63" t="n">
        <v>1</v>
      </c>
      <c r="F509" s="63" t="n">
        <v>0.405</v>
      </c>
      <c r="G509" s="63" t="n">
        <v>0.16</v>
      </c>
      <c r="H509" s="63" t="n">
        <v>0.384907436629</v>
      </c>
      <c r="I509" s="63" t="n">
        <v>0.48829287048</v>
      </c>
      <c r="J509" s="63" t="n">
        <v>0.281522002778</v>
      </c>
      <c r="K509" s="63" t="n">
        <v>776.17</v>
      </c>
      <c r="L509" s="63" t="n">
        <v>759.51</v>
      </c>
      <c r="M509" s="63" t="n">
        <v>776.17</v>
      </c>
      <c r="N509" s="54">
        <f>(M510-M509)/M509</f>
        <v/>
      </c>
      <c r="O509" s="54">
        <f>(M513-M509)/M509</f>
        <v/>
      </c>
      <c r="P509" s="4">
        <f>B509-D509</f>
        <v/>
      </c>
      <c r="Q509" s="4">
        <f>AVERAGE(P506:P509)</f>
        <v/>
      </c>
      <c r="R509" s="54">
        <f>(M510-M509)/M509</f>
        <v/>
      </c>
      <c r="S509" s="54">
        <f>(M513-M509)/M509</f>
        <v/>
      </c>
      <c r="T509" s="63">
        <f>IF(R509&gt;0,1,"")</f>
        <v/>
      </c>
      <c r="U509" s="63">
        <f>IF(S509&gt;0,1,"")</f>
        <v/>
      </c>
    </row>
    <row r="510">
      <c r="A510" s="35" t="n">
        <v>35453</v>
      </c>
      <c r="B510" s="4" t="n">
        <v>0.37</v>
      </c>
      <c r="C510" s="4" t="n">
        <v>0.41</v>
      </c>
      <c r="D510" s="4" t="n">
        <v>0.22</v>
      </c>
      <c r="E510" s="63" t="n">
        <v>1</v>
      </c>
      <c r="F510" s="63" t="n">
        <v>0.38625</v>
      </c>
      <c r="G510" s="63" t="n">
        <v>0.15</v>
      </c>
      <c r="H510" s="63" t="n">
        <v>0.384907436629</v>
      </c>
      <c r="I510" s="63" t="n">
        <v>0.48829287048</v>
      </c>
      <c r="J510" s="63" t="n">
        <v>0.281522002778</v>
      </c>
      <c r="K510" s="63" t="n">
        <v>794.67</v>
      </c>
      <c r="L510" s="63" t="n">
        <v>768.17</v>
      </c>
      <c r="M510" s="63" t="n">
        <v>770.52</v>
      </c>
      <c r="N510" s="54">
        <f>(M511-M510)/M510</f>
        <v/>
      </c>
      <c r="O510" s="54">
        <f>(M514-M510)/M510</f>
        <v/>
      </c>
      <c r="P510" s="4">
        <f>B510-D510</f>
        <v/>
      </c>
      <c r="Q510" s="4">
        <f>AVERAGE(P507:P510)</f>
        <v/>
      </c>
      <c r="R510" s="54">
        <f>(M511-M510)/M510</f>
        <v/>
      </c>
      <c r="S510" s="54">
        <f>(M514-M510)/M510</f>
        <v/>
      </c>
      <c r="T510" s="63">
        <f>IF(R510&gt;0,1,"")</f>
        <v/>
      </c>
      <c r="U510" s="63">
        <f>IF(S510&gt;0,1,"")</f>
        <v/>
      </c>
    </row>
    <row r="511">
      <c r="A511" s="35" t="n">
        <v>35460</v>
      </c>
      <c r="B511" s="4" t="n">
        <v>0.51</v>
      </c>
      <c r="C511" s="4" t="n">
        <v>0.33</v>
      </c>
      <c r="D511" s="4" t="n">
        <v>0.16</v>
      </c>
      <c r="E511" s="63" t="n">
        <v>1</v>
      </c>
      <c r="F511" s="63" t="n">
        <v>0.39875</v>
      </c>
      <c r="G511" s="63" t="n">
        <v>0.35</v>
      </c>
      <c r="H511" s="63" t="n">
        <v>0.384907436629</v>
      </c>
      <c r="I511" s="63" t="n">
        <v>0.48829287048</v>
      </c>
      <c r="J511" s="63" t="n">
        <v>0.281522002778</v>
      </c>
      <c r="K511" s="63" t="n">
        <v>791.86</v>
      </c>
      <c r="L511" s="63" t="n">
        <v>761.75</v>
      </c>
      <c r="M511" s="63" t="n">
        <v>786.16</v>
      </c>
      <c r="N511" s="54">
        <f>(M512-M511)/M511</f>
        <v/>
      </c>
      <c r="O511" s="54">
        <f>(M515-M511)/M511</f>
        <v/>
      </c>
      <c r="P511" s="4">
        <f>B511-D511</f>
        <v/>
      </c>
      <c r="Q511" s="4">
        <f>AVERAGE(P508:P511)</f>
        <v/>
      </c>
      <c r="R511" s="54">
        <f>(M512-M511)/M511</f>
        <v/>
      </c>
      <c r="S511" s="54">
        <f>(M515-M511)/M511</f>
        <v/>
      </c>
      <c r="T511" s="63">
        <f>IF(R511&gt;0,1,"")</f>
        <v/>
      </c>
      <c r="U511" s="63">
        <f>IF(S511&gt;0,1,"")</f>
        <v/>
      </c>
    </row>
    <row r="512">
      <c r="A512" s="35" t="n">
        <v>35467</v>
      </c>
      <c r="B512" s="4" t="n">
        <v>0.47</v>
      </c>
      <c r="C512" s="4" t="n">
        <v>0.29</v>
      </c>
      <c r="D512" s="4" t="n">
        <v>0.24</v>
      </c>
      <c r="E512" s="63" t="n">
        <v>1</v>
      </c>
      <c r="F512" s="63" t="n">
        <v>0.4075</v>
      </c>
      <c r="G512" s="63" t="n">
        <v>0.23</v>
      </c>
      <c r="H512" s="63" t="n">
        <v>0.384907436629</v>
      </c>
      <c r="I512" s="63" t="n">
        <v>0.48829287048</v>
      </c>
      <c r="J512" s="63" t="n">
        <v>0.281522002778</v>
      </c>
      <c r="K512" s="63" t="n">
        <v>789.72</v>
      </c>
      <c r="L512" s="63" t="n">
        <v>773.4299999999999</v>
      </c>
      <c r="M512" s="63" t="n">
        <v>789.5599999999999</v>
      </c>
      <c r="N512" s="54">
        <f>(M513-M512)/M512</f>
        <v/>
      </c>
      <c r="O512" s="54">
        <f>(M516-M512)/M512</f>
        <v/>
      </c>
      <c r="P512" s="4">
        <f>B512-D512</f>
        <v/>
      </c>
      <c r="Q512" s="4">
        <f>AVERAGE(P509:P512)</f>
        <v/>
      </c>
      <c r="R512" s="54">
        <f>(M513-M512)/M512</f>
        <v/>
      </c>
      <c r="S512" s="54">
        <f>(M516-M512)/M512</f>
        <v/>
      </c>
      <c r="T512" s="63">
        <f>IF(R512&gt;0,1,"")</f>
        <v/>
      </c>
      <c r="U512" s="63">
        <f>IF(S512&gt;0,1,"")</f>
        <v/>
      </c>
    </row>
    <row r="513">
      <c r="A513" s="35" t="n">
        <v>35474</v>
      </c>
      <c r="B513" s="4" t="n">
        <v>0.45</v>
      </c>
      <c r="C513" s="4" t="n">
        <v>0.37</v>
      </c>
      <c r="D513" s="4" t="n">
        <v>0.18</v>
      </c>
      <c r="E513" s="63" t="n">
        <v>1</v>
      </c>
      <c r="F513" s="63" t="n">
        <v>0.4225</v>
      </c>
      <c r="G513" s="63" t="n">
        <v>0.27</v>
      </c>
      <c r="H513" s="63" t="n">
        <v>0.384907436629</v>
      </c>
      <c r="I513" s="63" t="n">
        <v>0.48829287048</v>
      </c>
      <c r="J513" s="63" t="n">
        <v>0.281522002778</v>
      </c>
      <c r="K513" s="63" t="n">
        <v>812.9299999999999</v>
      </c>
      <c r="L513" s="63" t="n">
        <v>780.95</v>
      </c>
      <c r="M513" s="63" t="n">
        <v>808.48</v>
      </c>
      <c r="N513" s="54">
        <f>(M514-M513)/M513</f>
        <v/>
      </c>
      <c r="O513" s="54">
        <f>(M517-M513)/M513</f>
        <v/>
      </c>
      <c r="P513" s="4">
        <f>B513-D513</f>
        <v/>
      </c>
      <c r="Q513" s="4">
        <f>AVERAGE(P510:P513)</f>
        <v/>
      </c>
      <c r="R513" s="54">
        <f>(M514-M513)/M513</f>
        <v/>
      </c>
      <c r="S513" s="54">
        <f>(M517-M513)/M513</f>
        <v/>
      </c>
      <c r="T513" s="63">
        <f>IF(R513&gt;0,1,"")</f>
        <v/>
      </c>
      <c r="U513" s="63">
        <f>IF(S513&gt;0,1,"")</f>
        <v/>
      </c>
    </row>
    <row r="514">
      <c r="A514" s="35" t="n">
        <v>35481</v>
      </c>
      <c r="B514" s="4" t="n">
        <v>0.44</v>
      </c>
      <c r="C514" s="4" t="n">
        <v>0.36</v>
      </c>
      <c r="D514" s="4" t="n">
        <v>0.2</v>
      </c>
      <c r="E514" s="63" t="n">
        <v>1</v>
      </c>
      <c r="F514" s="63" t="n">
        <v>0.43125</v>
      </c>
      <c r="G514" s="63" t="n">
        <v>0.24</v>
      </c>
      <c r="H514" s="63" t="n">
        <v>0.384907436629</v>
      </c>
      <c r="I514" s="63" t="n">
        <v>0.48829287048</v>
      </c>
      <c r="J514" s="63" t="n">
        <v>0.281522002778</v>
      </c>
      <c r="K514" s="63" t="n">
        <v>817.6799999999999</v>
      </c>
      <c r="L514" s="63" t="n">
        <v>799.99</v>
      </c>
      <c r="M514" s="63" t="n">
        <v>801.77</v>
      </c>
      <c r="N514" s="54">
        <f>(M515-M514)/M514</f>
        <v/>
      </c>
      <c r="O514" s="54">
        <f>(M518-M514)/M514</f>
        <v/>
      </c>
      <c r="P514" s="4">
        <f>B514-D514</f>
        <v/>
      </c>
      <c r="Q514" s="4">
        <f>AVERAGE(P511:P514)</f>
        <v/>
      </c>
      <c r="R514" s="54">
        <f>(M515-M514)/M514</f>
        <v/>
      </c>
      <c r="S514" s="54">
        <f>(M518-M514)/M514</f>
        <v/>
      </c>
      <c r="T514" s="63">
        <f>IF(R514&gt;0,1,"")</f>
        <v/>
      </c>
      <c r="U514" s="63">
        <f>IF(S514&gt;0,1,"")</f>
        <v/>
      </c>
    </row>
    <row r="515">
      <c r="A515" s="35" t="n">
        <v>35488</v>
      </c>
      <c r="B515" s="4" t="n">
        <v>0.63</v>
      </c>
      <c r="C515" s="4" t="n">
        <v>0.22</v>
      </c>
      <c r="D515" s="4" t="n">
        <v>0.15</v>
      </c>
      <c r="E515" s="63" t="n">
        <v>1</v>
      </c>
      <c r="F515" s="63" t="n">
        <v>0.45625</v>
      </c>
      <c r="G515" s="63" t="n">
        <v>0.48</v>
      </c>
      <c r="H515" s="63" t="n">
        <v>0.384907436629</v>
      </c>
      <c r="I515" s="63" t="n">
        <v>0.48829287048</v>
      </c>
      <c r="J515" s="63" t="n">
        <v>0.281522002778</v>
      </c>
      <c r="K515" s="63" t="n">
        <v>812.85</v>
      </c>
      <c r="L515" s="63" t="n">
        <v>788.5</v>
      </c>
      <c r="M515" s="63" t="n">
        <v>790.8200000000001</v>
      </c>
      <c r="N515" s="54">
        <f>(M516-M515)/M515</f>
        <v/>
      </c>
      <c r="O515" s="54">
        <f>(M519-M515)/M515</f>
        <v/>
      </c>
      <c r="P515" s="4">
        <f>B515-D515</f>
        <v/>
      </c>
      <c r="Q515" s="4">
        <f>AVERAGE(P512:P515)</f>
        <v/>
      </c>
      <c r="R515" s="54">
        <f>(M516-M515)/M515</f>
        <v/>
      </c>
      <c r="S515" s="54">
        <f>(M519-M515)/M515</f>
        <v/>
      </c>
      <c r="T515" s="63">
        <f>IF(R515&gt;0,1,"")</f>
        <v/>
      </c>
      <c r="U515" s="63">
        <f>IF(S515&gt;0,1,"")</f>
        <v/>
      </c>
    </row>
    <row r="516">
      <c r="A516" s="35" t="n">
        <v>35495</v>
      </c>
      <c r="B516" s="4" t="n">
        <v>0.43</v>
      </c>
      <c r="C516" s="4" t="n">
        <v>0.37</v>
      </c>
      <c r="D516" s="4" t="n">
        <v>0.2</v>
      </c>
      <c r="E516" s="63" t="n">
        <v>1</v>
      </c>
      <c r="F516" s="63" t="n">
        <v>0.465</v>
      </c>
      <c r="G516" s="63" t="n">
        <v>0.23</v>
      </c>
      <c r="H516" s="63" t="n">
        <v>0.384907436629</v>
      </c>
      <c r="I516" s="63" t="n">
        <v>0.48829287048</v>
      </c>
      <c r="J516" s="63" t="n">
        <v>0.281522002778</v>
      </c>
      <c r="K516" s="63" t="n">
        <v>808.1900000000001</v>
      </c>
      <c r="L516" s="63" t="n">
        <v>785.66</v>
      </c>
      <c r="M516" s="63" t="n">
        <v>804.97</v>
      </c>
      <c r="N516" s="54">
        <f>(M517-M516)/M516</f>
        <v/>
      </c>
      <c r="O516" s="54">
        <f>(M520-M516)/M516</f>
        <v/>
      </c>
      <c r="P516" s="4">
        <f>B516-D516</f>
        <v/>
      </c>
      <c r="Q516" s="4">
        <f>AVERAGE(P513:P516)</f>
        <v/>
      </c>
      <c r="R516" s="54">
        <f>(M517-M516)/M516</f>
        <v/>
      </c>
      <c r="S516" s="54">
        <f>(M520-M516)/M516</f>
        <v/>
      </c>
      <c r="T516" s="63">
        <f>IF(R516&gt;0,1,"")</f>
        <v/>
      </c>
      <c r="U516" s="63">
        <f>IF(S516&gt;0,1,"")</f>
        <v/>
      </c>
    </row>
    <row r="517">
      <c r="A517" s="35" t="n">
        <v>35502</v>
      </c>
      <c r="B517" s="4" t="n">
        <v>0.34</v>
      </c>
      <c r="C517" s="4" t="n">
        <v>0.36</v>
      </c>
      <c r="D517" s="4" t="n">
        <v>0.3</v>
      </c>
      <c r="E517" s="63" t="n">
        <v>1</v>
      </c>
      <c r="F517" s="63" t="n">
        <v>0.455</v>
      </c>
      <c r="G517" s="63" t="n">
        <v>0.04</v>
      </c>
      <c r="H517" s="63" t="n">
        <v>0.384907436629</v>
      </c>
      <c r="I517" s="63" t="n">
        <v>0.48829287048</v>
      </c>
      <c r="J517" s="63" t="n">
        <v>0.281522002778</v>
      </c>
      <c r="K517" s="63" t="n">
        <v>814.9</v>
      </c>
      <c r="L517" s="63" t="n">
        <v>789.4400000000001</v>
      </c>
      <c r="M517" s="63" t="n">
        <v>793.17</v>
      </c>
      <c r="N517" s="54">
        <f>(M518-M517)/M517</f>
        <v/>
      </c>
      <c r="O517" s="54">
        <f>(M521-M517)/M517</f>
        <v/>
      </c>
      <c r="P517" s="4">
        <f>B517-D517</f>
        <v/>
      </c>
      <c r="Q517" s="4">
        <f>AVERAGE(P514:P517)</f>
        <v/>
      </c>
      <c r="R517" s="54">
        <f>(M518-M517)/M517</f>
        <v/>
      </c>
      <c r="S517" s="54">
        <f>(M521-M517)/M517</f>
        <v/>
      </c>
      <c r="T517" s="63">
        <f>IF(R517&gt;0,1,"")</f>
        <v/>
      </c>
      <c r="U517" s="63">
        <f>IF(S517&gt;0,1,"")</f>
        <v/>
      </c>
    </row>
    <row r="518">
      <c r="A518" s="35" t="n">
        <v>35509</v>
      </c>
      <c r="B518" s="4" t="n">
        <v>0.36</v>
      </c>
      <c r="C518" s="4" t="n">
        <v>0.42</v>
      </c>
      <c r="D518" s="4" t="n">
        <v>0.22</v>
      </c>
      <c r="E518" s="63" t="n">
        <v>1</v>
      </c>
      <c r="F518" s="63" t="n">
        <v>0.45375</v>
      </c>
      <c r="G518" s="63" t="n">
        <v>0.14</v>
      </c>
      <c r="H518" s="63" t="n">
        <v>0.384907436629</v>
      </c>
      <c r="I518" s="63" t="n">
        <v>0.48829287048</v>
      </c>
      <c r="J518" s="63" t="n">
        <v>0.281522002778</v>
      </c>
      <c r="K518" s="63" t="n">
        <v>797.1799999999999</v>
      </c>
      <c r="L518" s="63" t="n">
        <v>786.29</v>
      </c>
      <c r="M518" s="63" t="n">
        <v>784.1</v>
      </c>
      <c r="N518" s="54">
        <f>(M519-M518)/M518</f>
        <v/>
      </c>
      <c r="O518" s="54">
        <f>(M522-M518)/M518</f>
        <v/>
      </c>
      <c r="P518" s="4">
        <f>B518-D518</f>
        <v/>
      </c>
      <c r="Q518" s="4">
        <f>AVERAGE(P515:P518)</f>
        <v/>
      </c>
      <c r="R518" s="54">
        <f>(M519-M518)/M518</f>
        <v/>
      </c>
      <c r="S518" s="54">
        <f>(M522-M518)/M518</f>
        <v/>
      </c>
      <c r="T518" s="63">
        <f>IF(R518&gt;0,1,"")</f>
        <v/>
      </c>
      <c r="U518" s="63">
        <f>IF(S518&gt;0,1,"")</f>
        <v/>
      </c>
    </row>
    <row r="519">
      <c r="A519" s="35" t="n">
        <v>35516</v>
      </c>
      <c r="B519" s="4" t="n">
        <v>0.27</v>
      </c>
      <c r="C519" s="4" t="n">
        <v>0.4</v>
      </c>
      <c r="D519" s="4" t="n">
        <v>0.33</v>
      </c>
      <c r="E519" s="63" t="n">
        <v>1</v>
      </c>
      <c r="F519" s="63" t="n">
        <v>0.42375</v>
      </c>
      <c r="G519" s="63" t="n">
        <v>-0.06</v>
      </c>
      <c r="H519" s="63" t="n">
        <v>0.384907436629</v>
      </c>
      <c r="I519" s="63" t="n">
        <v>0.48829287048</v>
      </c>
      <c r="J519" s="63" t="n">
        <v>0.281522002778</v>
      </c>
      <c r="K519" s="63" t="n">
        <v>790.89</v>
      </c>
      <c r="L519" s="63" t="n">
        <v>773.88</v>
      </c>
      <c r="M519" s="63" t="n">
        <v>773.88</v>
      </c>
      <c r="N519" s="54">
        <f>(M520-M519)/M519</f>
        <v/>
      </c>
      <c r="O519" s="54">
        <f>(M523-M519)/M519</f>
        <v/>
      </c>
      <c r="P519" s="4">
        <f>B519-D519</f>
        <v/>
      </c>
      <c r="Q519" s="4">
        <f>AVERAGE(P516:P519)</f>
        <v/>
      </c>
      <c r="R519" s="54">
        <f>(M520-M519)/M519</f>
        <v/>
      </c>
      <c r="S519" s="54">
        <f>(M523-M519)/M519</f>
        <v/>
      </c>
      <c r="T519" s="63">
        <f>IF(R519&gt;0,1,"")</f>
        <v/>
      </c>
      <c r="U519" s="63">
        <f>IF(S519&gt;0,1,"")</f>
        <v/>
      </c>
    </row>
    <row r="520">
      <c r="A520" s="35" t="n">
        <v>35523</v>
      </c>
      <c r="B520" s="4" t="n">
        <v>0.29</v>
      </c>
      <c r="C520" s="4" t="n">
        <v>0.4</v>
      </c>
      <c r="D520" s="4" t="n">
        <v>0.31</v>
      </c>
      <c r="E520" s="63" t="n">
        <v>1</v>
      </c>
      <c r="F520" s="63" t="n">
        <v>0.40125</v>
      </c>
      <c r="G520" s="63" t="n">
        <v>-0.02</v>
      </c>
      <c r="H520" s="63" t="n">
        <v>0.384907436629</v>
      </c>
      <c r="I520" s="63" t="n">
        <v>0.48829287048</v>
      </c>
      <c r="J520" s="63" t="n">
        <v>0.281522002778</v>
      </c>
      <c r="K520" s="63" t="n">
        <v>759.64</v>
      </c>
      <c r="L520" s="63" t="n">
        <v>750.3200000000001</v>
      </c>
      <c r="M520" s="63" t="n">
        <v>757.9</v>
      </c>
      <c r="N520" s="54">
        <f>(M521-M520)/M520</f>
        <v/>
      </c>
      <c r="O520" s="54">
        <f>(M524-M520)/M520</f>
        <v/>
      </c>
      <c r="P520" s="4">
        <f>B520-D520</f>
        <v/>
      </c>
      <c r="Q520" s="4">
        <f>AVERAGE(P517:P520)</f>
        <v/>
      </c>
      <c r="R520" s="54">
        <f>(M521-M520)/M520</f>
        <v/>
      </c>
      <c r="S520" s="54">
        <f>(M524-M520)/M520</f>
        <v/>
      </c>
      <c r="T520" s="63">
        <f>IF(R520&gt;0,1,"")</f>
        <v/>
      </c>
      <c r="U520" s="63">
        <f>IF(S520&gt;0,1,"")</f>
        <v/>
      </c>
    </row>
    <row r="521">
      <c r="A521" s="35" t="n">
        <v>35530</v>
      </c>
      <c r="B521" s="4" t="n">
        <v>0.26</v>
      </c>
      <c r="C521" s="4" t="n">
        <v>0.37</v>
      </c>
      <c r="D521" s="4" t="n">
        <v>0.37</v>
      </c>
      <c r="E521" s="63" t="n">
        <v>1</v>
      </c>
      <c r="F521" s="63" t="n">
        <v>0.3775</v>
      </c>
      <c r="G521" s="63" t="n">
        <v>-0.11</v>
      </c>
      <c r="H521" s="63" t="n">
        <v>0.384907436629</v>
      </c>
      <c r="I521" s="63" t="n">
        <v>0.48829287048</v>
      </c>
      <c r="J521" s="63" t="n">
        <v>0.281522002778</v>
      </c>
      <c r="K521" s="63" t="n">
        <v>769.53</v>
      </c>
      <c r="L521" s="63" t="n">
        <v>737.64</v>
      </c>
      <c r="M521" s="63" t="n">
        <v>737.65</v>
      </c>
      <c r="N521" s="54">
        <f>(M522-M521)/M521</f>
        <v/>
      </c>
      <c r="O521" s="54">
        <f>(M525-M521)/M521</f>
        <v/>
      </c>
      <c r="P521" s="4">
        <f>B521-D521</f>
        <v/>
      </c>
      <c r="Q521" s="4">
        <f>AVERAGE(P518:P521)</f>
        <v/>
      </c>
      <c r="R521" s="54">
        <f>(M522-M521)/M521</f>
        <v/>
      </c>
      <c r="S521" s="54">
        <f>(M525-M521)/M521</f>
        <v/>
      </c>
      <c r="T521" s="63">
        <f>IF(R521&gt;0,1,"")</f>
        <v/>
      </c>
      <c r="U521" s="63">
        <f>IF(S521&gt;0,1,"")</f>
        <v/>
      </c>
    </row>
    <row r="522">
      <c r="A522" s="35" t="n">
        <v>35537</v>
      </c>
      <c r="B522" s="4" t="n">
        <v>0.31</v>
      </c>
      <c r="C522" s="4" t="n">
        <v>0.41</v>
      </c>
      <c r="D522" s="4" t="n">
        <v>0.28</v>
      </c>
      <c r="E522" s="63" t="n">
        <v>1</v>
      </c>
      <c r="F522" s="63" t="n">
        <v>0.36125</v>
      </c>
      <c r="G522" s="63" t="n">
        <v>0.03</v>
      </c>
      <c r="H522" s="63" t="n">
        <v>0.384907436629</v>
      </c>
      <c r="I522" s="63" t="n">
        <v>0.48829287048</v>
      </c>
      <c r="J522" s="63" t="n">
        <v>0.281522002778</v>
      </c>
      <c r="K522" s="63" t="n">
        <v>768.55</v>
      </c>
      <c r="L522" s="63" t="n">
        <v>733.54</v>
      </c>
      <c r="M522" s="63" t="n">
        <v>766.34</v>
      </c>
      <c r="N522" s="54">
        <f>(M523-M522)/M522</f>
        <v/>
      </c>
      <c r="O522" s="54">
        <f>(M526-M522)/M522</f>
        <v/>
      </c>
      <c r="P522" s="4">
        <f>B522-D522</f>
        <v/>
      </c>
      <c r="Q522" s="4">
        <f>AVERAGE(P519:P522)</f>
        <v/>
      </c>
      <c r="R522" s="54">
        <f>(M523-M522)/M522</f>
        <v/>
      </c>
      <c r="S522" s="54">
        <f>(M526-M522)/M522</f>
        <v/>
      </c>
      <c r="T522" s="63">
        <f>IF(R522&gt;0,1,"")</f>
        <v/>
      </c>
      <c r="U522" s="63">
        <f>IF(S522&gt;0,1,"")</f>
        <v/>
      </c>
    </row>
    <row r="523">
      <c r="A523" s="35" t="n">
        <v>35544</v>
      </c>
      <c r="B523" s="4" t="n">
        <v>0.28</v>
      </c>
      <c r="C523" s="4" t="n">
        <v>0.4</v>
      </c>
      <c r="D523" s="4" t="n">
        <v>0.32</v>
      </c>
      <c r="E523" s="63" t="n">
        <v>1</v>
      </c>
      <c r="F523" s="63" t="n">
        <v>0.3175</v>
      </c>
      <c r="G523" s="63" t="n">
        <v>-0.04</v>
      </c>
      <c r="H523" s="63" t="n">
        <v>0.384907436629</v>
      </c>
      <c r="I523" s="63" t="n">
        <v>0.48829287048</v>
      </c>
      <c r="J523" s="63" t="n">
        <v>0.281522002778</v>
      </c>
      <c r="K523" s="63" t="n">
        <v>779.89</v>
      </c>
      <c r="L523" s="63" t="n">
        <v>756.38</v>
      </c>
      <c r="M523" s="63" t="n">
        <v>765.37</v>
      </c>
      <c r="N523" s="54">
        <f>(M524-M523)/M523</f>
        <v/>
      </c>
      <c r="O523" s="54">
        <f>(M527-M523)/M523</f>
        <v/>
      </c>
      <c r="P523" s="4">
        <f>B523-D523</f>
        <v/>
      </c>
      <c r="Q523" s="4">
        <f>AVERAGE(P520:P523)</f>
        <v/>
      </c>
      <c r="R523" s="54">
        <f>(M524-M523)/M523</f>
        <v/>
      </c>
      <c r="S523" s="54">
        <f>(M527-M523)/M523</f>
        <v/>
      </c>
      <c r="T523" s="63">
        <f>IF(R523&gt;0,1,"")</f>
        <v/>
      </c>
      <c r="U523" s="63">
        <f>IF(S523&gt;0,1,"")</f>
        <v/>
      </c>
    </row>
    <row r="524">
      <c r="A524" s="35" t="n">
        <v>35551</v>
      </c>
      <c r="B524" s="4" t="n">
        <v>0.27</v>
      </c>
      <c r="C524" s="4" t="n">
        <v>0.44</v>
      </c>
      <c r="D524" s="4" t="n">
        <v>0.29</v>
      </c>
      <c r="E524" s="63" t="n">
        <v>1</v>
      </c>
      <c r="F524" s="63" t="n">
        <v>0.2975</v>
      </c>
      <c r="G524" s="63" t="n">
        <v>-0.02</v>
      </c>
      <c r="H524" s="63" t="n">
        <v>0.384907436629</v>
      </c>
      <c r="I524" s="63" t="n">
        <v>0.48829287048</v>
      </c>
      <c r="J524" s="63" t="n">
        <v>0.281522002778</v>
      </c>
      <c r="K524" s="63" t="n">
        <v>812.99</v>
      </c>
      <c r="L524" s="63" t="n">
        <v>763.3</v>
      </c>
      <c r="M524" s="63" t="n">
        <v>812.97</v>
      </c>
      <c r="N524" s="54">
        <f>(M525-M524)/M524</f>
        <v/>
      </c>
      <c r="O524" s="54">
        <f>(M528-M524)/M524</f>
        <v/>
      </c>
      <c r="P524" s="4">
        <f>B524-D524</f>
        <v/>
      </c>
      <c r="Q524" s="4">
        <f>AVERAGE(P521:P524)</f>
        <v/>
      </c>
      <c r="R524" s="54">
        <f>(M525-M524)/M524</f>
        <v/>
      </c>
      <c r="S524" s="54">
        <f>(M528-M524)/M524</f>
        <v/>
      </c>
      <c r="T524" s="63">
        <f>IF(R524&gt;0,1,"")</f>
        <v/>
      </c>
      <c r="U524" s="63">
        <f>IF(S524&gt;0,1,"")</f>
        <v/>
      </c>
    </row>
    <row r="525">
      <c r="A525" s="35" t="n">
        <v>35558</v>
      </c>
      <c r="B525" s="4" t="n">
        <v>0.3</v>
      </c>
      <c r="C525" s="4" t="n">
        <v>0.44</v>
      </c>
      <c r="D525" s="4" t="n">
        <v>0.26</v>
      </c>
      <c r="E525" s="63" t="n">
        <v>1</v>
      </c>
      <c r="F525" s="63" t="n">
        <v>0.2925</v>
      </c>
      <c r="G525" s="63" t="n">
        <v>0.04</v>
      </c>
      <c r="H525" s="63" t="n">
        <v>0.384907436629</v>
      </c>
      <c r="I525" s="63" t="n">
        <v>0.48829287048</v>
      </c>
      <c r="J525" s="63" t="n">
        <v>0.281522002778</v>
      </c>
      <c r="K525" s="63" t="n">
        <v>832.29</v>
      </c>
      <c r="L525" s="63" t="n">
        <v>811.8</v>
      </c>
      <c r="M525" s="63" t="n">
        <v>824.78</v>
      </c>
      <c r="N525" s="54">
        <f>(M526-M525)/M525</f>
        <v/>
      </c>
      <c r="O525" s="54">
        <f>(M529-M525)/M525</f>
        <v/>
      </c>
      <c r="P525" s="4">
        <f>B525-D525</f>
        <v/>
      </c>
      <c r="Q525" s="4">
        <f>AVERAGE(P522:P525)</f>
        <v/>
      </c>
      <c r="R525" s="54">
        <f>(M526-M525)/M525</f>
        <v/>
      </c>
      <c r="S525" s="54">
        <f>(M529-M525)/M525</f>
        <v/>
      </c>
      <c r="T525" s="63">
        <f>IF(R525&gt;0,1,"")</f>
        <v/>
      </c>
      <c r="U525" s="63">
        <f>IF(S525&gt;0,1,"")</f>
        <v/>
      </c>
    </row>
    <row r="526">
      <c r="A526" s="35" t="n">
        <v>35565</v>
      </c>
      <c r="B526" s="4" t="n">
        <v>0.41</v>
      </c>
      <c r="C526" s="4" t="n">
        <v>0.36</v>
      </c>
      <c r="D526" s="4" t="n">
        <v>0.23</v>
      </c>
      <c r="E526" s="63" t="n">
        <v>1</v>
      </c>
      <c r="F526" s="63" t="n">
        <v>0.29875</v>
      </c>
      <c r="G526" s="63" t="n">
        <v>0.18</v>
      </c>
      <c r="H526" s="63" t="n">
        <v>0.384907436629</v>
      </c>
      <c r="I526" s="63" t="n">
        <v>0.48829287048</v>
      </c>
      <c r="J526" s="63" t="n">
        <v>0.281522002778</v>
      </c>
      <c r="K526" s="63" t="n">
        <v>842.45</v>
      </c>
      <c r="L526" s="63" t="n">
        <v>824.78</v>
      </c>
      <c r="M526" s="63" t="n">
        <v>829.75</v>
      </c>
      <c r="N526" s="54">
        <f>(M527-M526)/M526</f>
        <v/>
      </c>
      <c r="O526" s="54">
        <f>(M530-M526)/M526</f>
        <v/>
      </c>
      <c r="P526" s="4">
        <f>B526-D526</f>
        <v/>
      </c>
      <c r="Q526" s="4">
        <f>AVERAGE(P523:P526)</f>
        <v/>
      </c>
      <c r="R526" s="54">
        <f>(M527-M526)/M526</f>
        <v/>
      </c>
      <c r="S526" s="54">
        <f>(M530-M526)/M526</f>
        <v/>
      </c>
      <c r="T526" s="63">
        <f>IF(R526&gt;0,1,"")</f>
        <v/>
      </c>
      <c r="U526" s="63">
        <f>IF(S526&gt;0,1,"")</f>
        <v/>
      </c>
    </row>
    <row r="527">
      <c r="A527" s="35" t="n">
        <v>35572</v>
      </c>
      <c r="B527" s="4" t="n">
        <v>0.4</v>
      </c>
      <c r="C527" s="4" t="n">
        <v>0.35</v>
      </c>
      <c r="D527" s="4" t="n">
        <v>0.25</v>
      </c>
      <c r="E527" s="63" t="n">
        <v>1</v>
      </c>
      <c r="F527" s="63" t="n">
        <v>0.315</v>
      </c>
      <c r="G527" s="63" t="n">
        <v>0.15</v>
      </c>
      <c r="H527" s="63" t="n">
        <v>0.384907436629</v>
      </c>
      <c r="I527" s="63" t="n">
        <v>0.48829287048</v>
      </c>
      <c r="J527" s="63" t="n">
        <v>0.281522002778</v>
      </c>
      <c r="K527" s="63" t="n">
        <v>848.49</v>
      </c>
      <c r="L527" s="63" t="n">
        <v>826.41</v>
      </c>
      <c r="M527" s="63" t="n">
        <v>847.03</v>
      </c>
      <c r="N527" s="54">
        <f>(M528-M527)/M527</f>
        <v/>
      </c>
      <c r="O527" s="54">
        <f>(M531-M527)/M527</f>
        <v/>
      </c>
      <c r="P527" s="4">
        <f>B527-D527</f>
        <v/>
      </c>
      <c r="Q527" s="4">
        <f>AVERAGE(P524:P527)</f>
        <v/>
      </c>
      <c r="R527" s="54">
        <f>(M528-M527)/M527</f>
        <v/>
      </c>
      <c r="S527" s="54">
        <f>(M531-M527)/M527</f>
        <v/>
      </c>
      <c r="T527" s="63">
        <f>IF(R527&gt;0,1,"")</f>
        <v/>
      </c>
      <c r="U527" s="63">
        <f>IF(S527&gt;0,1,"")</f>
        <v/>
      </c>
    </row>
    <row r="528">
      <c r="A528" s="35" t="n">
        <v>35579</v>
      </c>
      <c r="B528" s="4" t="n">
        <v>0.4</v>
      </c>
      <c r="C528" s="4" t="n">
        <v>0.4</v>
      </c>
      <c r="D528" s="4" t="n">
        <v>0.2</v>
      </c>
      <c r="E528" s="63" t="n">
        <v>1</v>
      </c>
      <c r="F528" s="63" t="n">
        <v>0.32875</v>
      </c>
      <c r="G528" s="63" t="n">
        <v>0.2</v>
      </c>
      <c r="H528" s="63" t="n">
        <v>0.384907436629</v>
      </c>
      <c r="I528" s="63" t="n">
        <v>0.48829287048</v>
      </c>
      <c r="J528" s="63" t="n">
        <v>0.281522002778</v>
      </c>
      <c r="K528" s="63" t="n">
        <v>851.87</v>
      </c>
      <c r="L528" s="63" t="n">
        <v>831.87</v>
      </c>
      <c r="M528" s="63" t="n">
        <v>848.28</v>
      </c>
      <c r="N528" s="54">
        <f>(M529-M528)/M528</f>
        <v/>
      </c>
      <c r="O528" s="54">
        <f>(M532-M528)/M528</f>
        <v/>
      </c>
      <c r="P528" s="4">
        <f>B528-D528</f>
        <v/>
      </c>
      <c r="Q528" s="4">
        <f>AVERAGE(P525:P528)</f>
        <v/>
      </c>
      <c r="R528" s="54">
        <f>(M529-M528)/M528</f>
        <v/>
      </c>
      <c r="S528" s="54">
        <f>(M532-M528)/M528</f>
        <v/>
      </c>
      <c r="T528" s="63">
        <f>IF(R528&gt;0,1,"")</f>
        <v/>
      </c>
      <c r="U528" s="63">
        <f>IF(S528&gt;0,1,"")</f>
        <v/>
      </c>
    </row>
    <row r="529">
      <c r="A529" s="35" t="n">
        <v>35586</v>
      </c>
      <c r="B529" s="4" t="n">
        <v>0.52</v>
      </c>
      <c r="C529" s="4" t="n">
        <v>0.33</v>
      </c>
      <c r="D529" s="4" t="n">
        <v>0.15</v>
      </c>
      <c r="E529" s="63" t="n">
        <v>1</v>
      </c>
      <c r="F529" s="63" t="n">
        <v>0.36125</v>
      </c>
      <c r="G529" s="63" t="n">
        <v>0.37</v>
      </c>
      <c r="H529" s="63" t="n">
        <v>0.384907436629</v>
      </c>
      <c r="I529" s="63" t="n">
        <v>0.48829287048</v>
      </c>
      <c r="J529" s="63" t="n">
        <v>0.281522002778</v>
      </c>
      <c r="K529" s="63" t="n">
        <v>859.24</v>
      </c>
      <c r="L529" s="63" t="n">
        <v>838.8200000000001</v>
      </c>
      <c r="M529" s="63" t="n">
        <v>858.01</v>
      </c>
      <c r="N529" s="54">
        <f>(M530-M529)/M529</f>
        <v/>
      </c>
      <c r="O529" s="54">
        <f>(M533-M529)/M529</f>
        <v/>
      </c>
      <c r="P529" s="4">
        <f>B529-D529</f>
        <v/>
      </c>
      <c r="Q529" s="4">
        <f>AVERAGE(P526:P529)</f>
        <v/>
      </c>
      <c r="R529" s="54">
        <f>(M530-M529)/M529</f>
        <v/>
      </c>
      <c r="S529" s="54">
        <f>(M533-M529)/M529</f>
        <v/>
      </c>
      <c r="T529" s="63">
        <f>IF(R529&gt;0,1,"")</f>
        <v/>
      </c>
      <c r="U529" s="63">
        <f>IF(S529&gt;0,1,"")</f>
        <v/>
      </c>
    </row>
    <row r="530">
      <c r="A530" s="35" t="n">
        <v>35593</v>
      </c>
      <c r="B530" s="4" t="n">
        <v>0.49</v>
      </c>
      <c r="C530" s="4" t="n">
        <v>0.35</v>
      </c>
      <c r="D530" s="4" t="n">
        <v>0.16</v>
      </c>
      <c r="E530" s="63" t="n">
        <v>1</v>
      </c>
      <c r="F530" s="63" t="n">
        <v>0.38375</v>
      </c>
      <c r="G530" s="63" t="n">
        <v>0.33</v>
      </c>
      <c r="H530" s="63" t="n">
        <v>0.384907436629</v>
      </c>
      <c r="I530" s="63" t="n">
        <v>0.48829287048</v>
      </c>
      <c r="J530" s="63" t="n">
        <v>0.281522002778</v>
      </c>
      <c r="K530" s="63" t="n">
        <v>894.6900000000001</v>
      </c>
      <c r="L530" s="63" t="n">
        <v>858.01</v>
      </c>
      <c r="M530" s="63" t="n">
        <v>893.27</v>
      </c>
      <c r="N530" s="54">
        <f>(M531-M530)/M530</f>
        <v/>
      </c>
      <c r="O530" s="54">
        <f>(M534-M530)/M530</f>
        <v/>
      </c>
      <c r="P530" s="4">
        <f>B530-D530</f>
        <v/>
      </c>
      <c r="Q530" s="4">
        <f>AVERAGE(P527:P530)</f>
        <v/>
      </c>
      <c r="R530" s="54">
        <f>(M531-M530)/M530</f>
        <v/>
      </c>
      <c r="S530" s="54">
        <f>(M534-M530)/M530</f>
        <v/>
      </c>
      <c r="T530" s="63">
        <f>IF(R530&gt;0,1,"")</f>
        <v/>
      </c>
      <c r="U530" s="63">
        <f>IF(S530&gt;0,1,"")</f>
        <v/>
      </c>
    </row>
    <row r="531">
      <c r="A531" s="35" t="n">
        <v>35600</v>
      </c>
      <c r="B531" s="4" t="n">
        <v>0.59</v>
      </c>
      <c r="C531" s="4" t="n">
        <v>0.26</v>
      </c>
      <c r="D531" s="4" t="n">
        <v>0.15</v>
      </c>
      <c r="E531" s="63" t="n">
        <v>1</v>
      </c>
      <c r="F531" s="63" t="n">
        <v>0.4225</v>
      </c>
      <c r="G531" s="63" t="n">
        <v>0.44</v>
      </c>
      <c r="H531" s="63" t="n">
        <v>0.384907436629</v>
      </c>
      <c r="I531" s="63" t="n">
        <v>0.48829287048</v>
      </c>
      <c r="J531" s="63" t="n">
        <v>0.281522002778</v>
      </c>
      <c r="K531" s="63" t="n">
        <v>901.77</v>
      </c>
      <c r="L531" s="63" t="n">
        <v>886.1900000000001</v>
      </c>
      <c r="M531" s="63" t="n">
        <v>898.7</v>
      </c>
      <c r="N531" s="54">
        <f>(M532-M531)/M531</f>
        <v/>
      </c>
      <c r="O531" s="54">
        <f>(M535-M531)/M531</f>
        <v/>
      </c>
      <c r="P531" s="4">
        <f>B531-D531</f>
        <v/>
      </c>
      <c r="Q531" s="4">
        <f>AVERAGE(P528:P531)</f>
        <v/>
      </c>
      <c r="R531" s="54">
        <f>(M532-M531)/M531</f>
        <v/>
      </c>
      <c r="S531" s="54">
        <f>(M535-M531)/M531</f>
        <v/>
      </c>
      <c r="T531" s="63">
        <f>IF(R531&gt;0,1,"")</f>
        <v/>
      </c>
      <c r="U531" s="63">
        <f>IF(S531&gt;0,1,"")</f>
        <v/>
      </c>
    </row>
    <row r="532">
      <c r="A532" s="35" t="n">
        <v>35607</v>
      </c>
      <c r="B532" s="4" t="n">
        <v>0.52</v>
      </c>
      <c r="C532" s="4" t="n">
        <v>0.25</v>
      </c>
      <c r="D532" s="4" t="n">
        <v>0.23</v>
      </c>
      <c r="E532" s="63" t="n">
        <v>1</v>
      </c>
      <c r="F532" s="63" t="n">
        <v>0.45375</v>
      </c>
      <c r="G532" s="63" t="n">
        <v>0.29</v>
      </c>
      <c r="H532" s="63" t="n">
        <v>0.384907436629</v>
      </c>
      <c r="I532" s="63" t="n">
        <v>0.48829287048</v>
      </c>
      <c r="J532" s="63" t="n">
        <v>0.281522002778</v>
      </c>
      <c r="K532" s="63" t="n">
        <v>902.09</v>
      </c>
      <c r="L532" s="63" t="n">
        <v>878.4299999999999</v>
      </c>
      <c r="M532" s="63" t="n">
        <v>887.3</v>
      </c>
      <c r="N532" s="54">
        <f>(M533-M532)/M532</f>
        <v/>
      </c>
      <c r="O532" s="54">
        <f>(M536-M532)/M532</f>
        <v/>
      </c>
      <c r="P532" s="4">
        <f>B532-D532</f>
        <v/>
      </c>
      <c r="Q532" s="4">
        <f>AVERAGE(P529:P532)</f>
        <v/>
      </c>
      <c r="R532" s="54">
        <f>(M533-M532)/M532</f>
        <v/>
      </c>
      <c r="S532" s="54">
        <f>(M536-M532)/M532</f>
        <v/>
      </c>
      <c r="T532" s="63">
        <f>IF(R532&gt;0,1,"")</f>
        <v/>
      </c>
      <c r="U532" s="63">
        <f>IF(S532&gt;0,1,"")</f>
        <v/>
      </c>
    </row>
    <row r="533">
      <c r="A533" s="35" t="n">
        <v>35614</v>
      </c>
      <c r="B533" s="4" t="n">
        <v>0.45</v>
      </c>
      <c r="C533" s="4" t="n">
        <v>0.3</v>
      </c>
      <c r="D533" s="4" t="n">
        <v>0.25</v>
      </c>
      <c r="E533" s="63" t="n">
        <v>1</v>
      </c>
      <c r="F533" s="63" t="n">
        <v>0.4725</v>
      </c>
      <c r="G533" s="63" t="n">
        <v>0.2</v>
      </c>
      <c r="H533" s="63" t="n">
        <v>0.384907436629</v>
      </c>
      <c r="I533" s="63" t="n">
        <v>0.48829287048</v>
      </c>
      <c r="J533" s="63" t="n">
        <v>0.281522002778</v>
      </c>
      <c r="K533" s="63" t="n">
        <v>917.8200000000001</v>
      </c>
      <c r="L533" s="63" t="n">
        <v>879.8200000000001</v>
      </c>
      <c r="M533" s="63" t="n">
        <v>916.92</v>
      </c>
      <c r="N533" s="54">
        <f>(M534-M533)/M533</f>
        <v/>
      </c>
      <c r="O533" s="54">
        <f>(M537-M533)/M533</f>
        <v/>
      </c>
      <c r="P533" s="4">
        <f>B533-D533</f>
        <v/>
      </c>
      <c r="Q533" s="4">
        <f>AVERAGE(P530:P533)</f>
        <v/>
      </c>
      <c r="R533" s="54">
        <f>(M534-M533)/M533</f>
        <v/>
      </c>
      <c r="S533" s="54">
        <f>(M537-M533)/M533</f>
        <v/>
      </c>
      <c r="T533" s="63">
        <f>IF(R533&gt;0,1,"")</f>
        <v/>
      </c>
      <c r="U533" s="63">
        <f>IF(S533&gt;0,1,"")</f>
        <v/>
      </c>
    </row>
    <row r="534">
      <c r="A534" s="35" t="n">
        <v>35621</v>
      </c>
      <c r="B534" s="4" t="n">
        <v>0.49</v>
      </c>
      <c r="C534" s="4" t="n">
        <v>0.33</v>
      </c>
      <c r="D534" s="4" t="n">
        <v>0.18</v>
      </c>
      <c r="E534" s="63" t="n">
        <v>1</v>
      </c>
      <c r="F534" s="63" t="n">
        <v>0.4825</v>
      </c>
      <c r="G534" s="63" t="n">
        <v>0.31</v>
      </c>
      <c r="H534" s="63" t="n">
        <v>0.384907436629</v>
      </c>
      <c r="I534" s="63" t="n">
        <v>0.48829287048</v>
      </c>
      <c r="J534" s="63" t="n">
        <v>0.281522002778</v>
      </c>
      <c r="K534" s="63" t="n">
        <v>923.26</v>
      </c>
      <c r="L534" s="63" t="n">
        <v>902.48</v>
      </c>
      <c r="M534" s="63" t="n">
        <v>916.6799999999999</v>
      </c>
      <c r="N534" s="54">
        <f>(M535-M534)/M534</f>
        <v/>
      </c>
      <c r="O534" s="54">
        <f>(M538-M534)/M534</f>
        <v/>
      </c>
      <c r="P534" s="4">
        <f>B534-D534</f>
        <v/>
      </c>
      <c r="Q534" s="4">
        <f>AVERAGE(P531:P534)</f>
        <v/>
      </c>
      <c r="R534" s="54">
        <f>(M535-M534)/M534</f>
        <v/>
      </c>
      <c r="S534" s="54">
        <f>(M538-M534)/M534</f>
        <v/>
      </c>
      <c r="T534" s="63">
        <f>IF(R534&gt;0,1,"")</f>
        <v/>
      </c>
      <c r="U534" s="63">
        <f>IF(S534&gt;0,1,"")</f>
        <v/>
      </c>
    </row>
    <row r="535">
      <c r="A535" s="35" t="n">
        <v>35628</v>
      </c>
      <c r="B535" s="4" t="n">
        <v>0.54</v>
      </c>
      <c r="C535" s="4" t="n">
        <v>0.3</v>
      </c>
      <c r="D535" s="4" t="n">
        <v>0.16</v>
      </c>
      <c r="E535" s="63" t="n">
        <v>1</v>
      </c>
      <c r="F535" s="63" t="n">
        <v>0.5</v>
      </c>
      <c r="G535" s="63" t="n">
        <v>0.38</v>
      </c>
      <c r="H535" s="63" t="n">
        <v>0.384907436629</v>
      </c>
      <c r="I535" s="63" t="n">
        <v>0.48829287048</v>
      </c>
      <c r="J535" s="63" t="n">
        <v>0.281522002778</v>
      </c>
      <c r="K535" s="63" t="n">
        <v>939.3200000000001</v>
      </c>
      <c r="L535" s="63" t="n">
        <v>912.02</v>
      </c>
      <c r="M535" s="63" t="n">
        <v>915.3</v>
      </c>
      <c r="N535" s="54">
        <f>(M536-M535)/M535</f>
        <v/>
      </c>
      <c r="O535" s="54">
        <f>(M539-M535)/M535</f>
        <v/>
      </c>
      <c r="P535" s="4">
        <f>B535-D535</f>
        <v/>
      </c>
      <c r="Q535" s="4">
        <f>AVERAGE(P532:P535)</f>
        <v/>
      </c>
      <c r="R535" s="54">
        <f>(M536-M535)/M535</f>
        <v/>
      </c>
      <c r="S535" s="54">
        <f>(M539-M535)/M535</f>
        <v/>
      </c>
      <c r="T535" s="63">
        <f>IF(R535&gt;0,1,"")</f>
        <v/>
      </c>
      <c r="U535" s="63">
        <f>IF(S535&gt;0,1,"")</f>
        <v/>
      </c>
    </row>
    <row r="536">
      <c r="A536" s="35" t="n">
        <v>35635</v>
      </c>
      <c r="B536" s="4" t="n">
        <v>0.53</v>
      </c>
      <c r="C536" s="4" t="n">
        <v>0.25</v>
      </c>
      <c r="D536" s="4" t="n">
        <v>0.22</v>
      </c>
      <c r="E536" s="63" t="n">
        <v>1</v>
      </c>
      <c r="F536" s="63" t="n">
        <v>0.51625</v>
      </c>
      <c r="G536" s="63" t="n">
        <v>0.31</v>
      </c>
      <c r="H536" s="63" t="n">
        <v>0.384907436629</v>
      </c>
      <c r="I536" s="63" t="n">
        <v>0.48829287048</v>
      </c>
      <c r="J536" s="63" t="n">
        <v>0.281522002778</v>
      </c>
      <c r="K536" s="63" t="n">
        <v>945.65</v>
      </c>
      <c r="L536" s="63" t="n">
        <v>907.12</v>
      </c>
      <c r="M536" s="63" t="n">
        <v>938.79</v>
      </c>
      <c r="N536" s="54">
        <f>(M537-M536)/M536</f>
        <v/>
      </c>
      <c r="O536" s="54">
        <f>(M540-M536)/M536</f>
        <v/>
      </c>
      <c r="P536" s="4">
        <f>B536-D536</f>
        <v/>
      </c>
      <c r="Q536" s="4">
        <f>AVERAGE(P533:P536)</f>
        <v/>
      </c>
      <c r="R536" s="54">
        <f>(M537-M536)/M536</f>
        <v/>
      </c>
      <c r="S536" s="54">
        <f>(M540-M536)/M536</f>
        <v/>
      </c>
      <c r="T536" s="63">
        <f>IF(R536&gt;0,1,"")</f>
        <v/>
      </c>
      <c r="U536" s="63">
        <f>IF(S536&gt;0,1,"")</f>
        <v/>
      </c>
    </row>
    <row r="537">
      <c r="A537" s="35" t="n">
        <v>35642</v>
      </c>
      <c r="B537" s="4" t="n">
        <v>0.48</v>
      </c>
      <c r="C537" s="4" t="n">
        <v>0.26</v>
      </c>
      <c r="D537" s="4" t="n">
        <v>0.26</v>
      </c>
      <c r="E537" s="63" t="n">
        <v>1</v>
      </c>
      <c r="F537" s="63" t="n">
        <v>0.51125</v>
      </c>
      <c r="G537" s="63" t="n">
        <v>0.22</v>
      </c>
      <c r="H537" s="63" t="n">
        <v>0.384907436629</v>
      </c>
      <c r="I537" s="63" t="n">
        <v>0.48829287048</v>
      </c>
      <c r="J537" s="63" t="n">
        <v>0.281522002778</v>
      </c>
      <c r="K537" s="63" t="n">
        <v>955.35</v>
      </c>
      <c r="L537" s="63" t="n">
        <v>932.5599999999999</v>
      </c>
      <c r="M537" s="63" t="n">
        <v>947.14</v>
      </c>
      <c r="N537" s="54">
        <f>(M538-M537)/M537</f>
        <v/>
      </c>
      <c r="O537" s="54">
        <f>(M541-M537)/M537</f>
        <v/>
      </c>
      <c r="P537" s="4">
        <f>B537-D537</f>
        <v/>
      </c>
      <c r="Q537" s="4">
        <f>AVERAGE(P534:P537)</f>
        <v/>
      </c>
      <c r="R537" s="54">
        <f>(M538-M537)/M537</f>
        <v/>
      </c>
      <c r="S537" s="54">
        <f>(M541-M537)/M537</f>
        <v/>
      </c>
      <c r="T537" s="63">
        <f>IF(R537&gt;0,1,"")</f>
        <v/>
      </c>
      <c r="U537" s="63">
        <f>IF(S537&gt;0,1,"")</f>
        <v/>
      </c>
    </row>
    <row r="538">
      <c r="A538" s="35" t="n">
        <v>35649</v>
      </c>
      <c r="B538" s="4" t="n">
        <v>0.49</v>
      </c>
      <c r="C538" s="4" t="n">
        <v>0.28</v>
      </c>
      <c r="D538" s="4" t="n">
        <v>0.23</v>
      </c>
      <c r="E538" s="63" t="n">
        <v>1</v>
      </c>
      <c r="F538" s="63" t="n">
        <v>0.51125</v>
      </c>
      <c r="G538" s="63" t="n">
        <v>0.26</v>
      </c>
      <c r="H538" s="63" t="n">
        <v>0.384907436629</v>
      </c>
      <c r="I538" s="63" t="n">
        <v>0.48829287048</v>
      </c>
      <c r="J538" s="63" t="n">
        <v>0.281522002778</v>
      </c>
      <c r="K538" s="63" t="n">
        <v>964.17</v>
      </c>
      <c r="L538" s="63" t="n">
        <v>925.74</v>
      </c>
      <c r="M538" s="63" t="n">
        <v>933.54</v>
      </c>
      <c r="N538" s="54">
        <f>(M539-M538)/M538</f>
        <v/>
      </c>
      <c r="O538" s="54">
        <f>(M542-M538)/M538</f>
        <v/>
      </c>
      <c r="P538" s="4">
        <f>B538-D538</f>
        <v/>
      </c>
      <c r="Q538" s="4">
        <f>AVERAGE(P535:P538)</f>
        <v/>
      </c>
      <c r="R538" s="54">
        <f>(M539-M538)/M538</f>
        <v/>
      </c>
      <c r="S538" s="54">
        <f>(M542-M538)/M538</f>
        <v/>
      </c>
      <c r="T538" s="63">
        <f>IF(R538&gt;0,1,"")</f>
        <v/>
      </c>
      <c r="U538" s="63">
        <f>IF(S538&gt;0,1,"")</f>
        <v/>
      </c>
    </row>
    <row r="539">
      <c r="A539" s="35" t="n">
        <v>35656</v>
      </c>
      <c r="B539" s="4" t="n">
        <v>0.49</v>
      </c>
      <c r="C539" s="4" t="n">
        <v>0.3</v>
      </c>
      <c r="D539" s="4" t="n">
        <v>0.21</v>
      </c>
      <c r="E539" s="63" t="n">
        <v>1</v>
      </c>
      <c r="F539" s="63" t="n">
        <v>0.49875</v>
      </c>
      <c r="G539" s="63" t="n">
        <v>0.28</v>
      </c>
      <c r="H539" s="63" t="n">
        <v>0.384907436629</v>
      </c>
      <c r="I539" s="63" t="n">
        <v>0.48829287048</v>
      </c>
      <c r="J539" s="63" t="n">
        <v>0.281522002778</v>
      </c>
      <c r="K539" s="63" t="n">
        <v>942.99</v>
      </c>
      <c r="L539" s="63" t="n">
        <v>900.8099999999999</v>
      </c>
      <c r="M539" s="63" t="n">
        <v>900.8099999999999</v>
      </c>
      <c r="N539" s="54">
        <f>(M540-M539)/M539</f>
        <v/>
      </c>
      <c r="O539" s="54">
        <f>(M543-M539)/M539</f>
        <v/>
      </c>
      <c r="P539" s="4">
        <f>B539-D539</f>
        <v/>
      </c>
      <c r="Q539" s="4">
        <f>AVERAGE(P536:P539)</f>
        <v/>
      </c>
      <c r="R539" s="54">
        <f>(M540-M539)/M539</f>
        <v/>
      </c>
      <c r="S539" s="54">
        <f>(M543-M539)/M539</f>
        <v/>
      </c>
      <c r="T539" s="63">
        <f>IF(R539&gt;0,1,"")</f>
        <v/>
      </c>
      <c r="U539" s="63">
        <f>IF(S539&gt;0,1,"")</f>
        <v/>
      </c>
    </row>
    <row r="540">
      <c r="A540" s="35" t="n">
        <v>35663</v>
      </c>
      <c r="B540" s="4" t="n">
        <v>0.47</v>
      </c>
      <c r="C540" s="4" t="n">
        <v>0.33</v>
      </c>
      <c r="D540" s="4" t="n">
        <v>0.2</v>
      </c>
      <c r="E540" s="63" t="n">
        <v>1</v>
      </c>
      <c r="F540" s="63" t="n">
        <v>0.4925</v>
      </c>
      <c r="G540" s="63" t="n">
        <v>0.27</v>
      </c>
      <c r="H540" s="63" t="n">
        <v>0.384907436629</v>
      </c>
      <c r="I540" s="63" t="n">
        <v>0.48829287048</v>
      </c>
      <c r="J540" s="63" t="n">
        <v>0.281522002778</v>
      </c>
      <c r="K540" s="63" t="n">
        <v>939.47</v>
      </c>
      <c r="L540" s="63" t="n">
        <v>905.52</v>
      </c>
      <c r="M540" s="63" t="n">
        <v>923.55</v>
      </c>
      <c r="N540" s="54">
        <f>(M541-M540)/M540</f>
        <v/>
      </c>
      <c r="O540" s="54">
        <f>(M544-M540)/M540</f>
        <v/>
      </c>
      <c r="P540" s="4">
        <f>B540-D540</f>
        <v/>
      </c>
      <c r="Q540" s="4">
        <f>AVERAGE(P537:P540)</f>
        <v/>
      </c>
      <c r="R540" s="54">
        <f>(M541-M540)/M540</f>
        <v/>
      </c>
      <c r="S540" s="54">
        <f>(M544-M540)/M540</f>
        <v/>
      </c>
      <c r="T540" s="63">
        <f>IF(R540&gt;0,1,"")</f>
        <v/>
      </c>
      <c r="U540" s="63">
        <f>IF(S540&gt;0,1,"")</f>
        <v/>
      </c>
    </row>
    <row r="541">
      <c r="A541" s="35" t="n">
        <v>35670</v>
      </c>
      <c r="B541" s="4" t="n">
        <v>0.5</v>
      </c>
      <c r="C541" s="4" t="n">
        <v>0.28</v>
      </c>
      <c r="D541" s="4" t="n">
        <v>0.22</v>
      </c>
      <c r="E541" s="63" t="n">
        <v>1</v>
      </c>
      <c r="F541" s="63" t="n">
        <v>0.49875</v>
      </c>
      <c r="G541" s="63" t="n">
        <v>0.28</v>
      </c>
      <c r="H541" s="63" t="n">
        <v>0.384907436629</v>
      </c>
      <c r="I541" s="63" t="n">
        <v>0.48829287048</v>
      </c>
      <c r="J541" s="63" t="n">
        <v>0.281522002778</v>
      </c>
      <c r="K541" s="63" t="n">
        <v>920.16</v>
      </c>
      <c r="L541" s="63" t="n">
        <v>899.47</v>
      </c>
      <c r="M541" s="63" t="n">
        <v>899.47</v>
      </c>
      <c r="N541" s="54">
        <f>(M542-M541)/M541</f>
        <v/>
      </c>
      <c r="O541" s="54">
        <f>(M545-M541)/M541</f>
        <v/>
      </c>
      <c r="P541" s="4">
        <f>B541-D541</f>
        <v/>
      </c>
      <c r="Q541" s="4">
        <f>AVERAGE(P538:P541)</f>
        <v/>
      </c>
      <c r="R541" s="54">
        <f>(M542-M541)/M541</f>
        <v/>
      </c>
      <c r="S541" s="54">
        <f>(M545-M541)/M541</f>
        <v/>
      </c>
      <c r="T541" s="63">
        <f>IF(R541&gt;0,1,"")</f>
        <v/>
      </c>
      <c r="U541" s="63">
        <f>IF(S541&gt;0,1,"")</f>
        <v/>
      </c>
    </row>
    <row r="542">
      <c r="A542" s="35" t="n">
        <v>35677</v>
      </c>
      <c r="B542" s="4" t="n">
        <v>0.37</v>
      </c>
      <c r="C542" s="4" t="n">
        <v>0.38</v>
      </c>
      <c r="D542" s="4" t="n">
        <v>0.25</v>
      </c>
      <c r="E542" s="63" t="n">
        <v>1</v>
      </c>
      <c r="F542" s="63" t="n">
        <v>0.48375</v>
      </c>
      <c r="G542" s="63" t="n">
        <v>0.12</v>
      </c>
      <c r="H542" s="63" t="n">
        <v>0.384907436629</v>
      </c>
      <c r="I542" s="63" t="n">
        <v>0.48829287048</v>
      </c>
      <c r="J542" s="63" t="n">
        <v>0.281522002778</v>
      </c>
      <c r="K542" s="63" t="n">
        <v>940.37</v>
      </c>
      <c r="L542" s="63" t="n">
        <v>899.47</v>
      </c>
      <c r="M542" s="63" t="n">
        <v>929.05</v>
      </c>
      <c r="N542" s="54">
        <f>(M543-M542)/M542</f>
        <v/>
      </c>
      <c r="O542" s="54">
        <f>(M546-M542)/M542</f>
        <v/>
      </c>
      <c r="P542" s="4">
        <f>B542-D542</f>
        <v/>
      </c>
      <c r="Q542" s="4">
        <f>AVERAGE(P539:P542)</f>
        <v/>
      </c>
      <c r="R542" s="54">
        <f>(M543-M542)/M542</f>
        <v/>
      </c>
      <c r="S542" s="54">
        <f>(M546-M542)/M542</f>
        <v/>
      </c>
      <c r="T542" s="63">
        <f>IF(R542&gt;0,1,"")</f>
        <v/>
      </c>
      <c r="U542" s="63">
        <f>IF(S542&gt;0,1,"")</f>
        <v/>
      </c>
    </row>
    <row r="543">
      <c r="A543" s="35" t="n">
        <v>35684</v>
      </c>
      <c r="B543" s="4" t="n">
        <v>0.42</v>
      </c>
      <c r="C543" s="4" t="n">
        <v>0.36</v>
      </c>
      <c r="D543" s="4" t="n">
        <v>0.22</v>
      </c>
      <c r="E543" s="63" t="n">
        <v>1</v>
      </c>
      <c r="F543" s="63" t="n">
        <v>0.46875</v>
      </c>
      <c r="G543" s="63" t="n">
        <v>0.2</v>
      </c>
      <c r="H543" s="63" t="n">
        <v>0.384907436629</v>
      </c>
      <c r="I543" s="63" t="n">
        <v>0.48829287048</v>
      </c>
      <c r="J543" s="63" t="n">
        <v>0.281522002778</v>
      </c>
      <c r="K543" s="63" t="n">
        <v>938.9</v>
      </c>
      <c r="L543" s="63" t="n">
        <v>902.5599999999999</v>
      </c>
      <c r="M543" s="63" t="n">
        <v>923.91</v>
      </c>
      <c r="N543" s="54">
        <f>(M544-M543)/M543</f>
        <v/>
      </c>
      <c r="O543" s="54">
        <f>(M547-M543)/M543</f>
        <v/>
      </c>
      <c r="P543" s="4">
        <f>B543-D543</f>
        <v/>
      </c>
      <c r="Q543" s="4">
        <f>AVERAGE(P540:P543)</f>
        <v/>
      </c>
      <c r="R543" s="54">
        <f>(M544-M543)/M543</f>
        <v/>
      </c>
      <c r="S543" s="54">
        <f>(M547-M543)/M543</f>
        <v/>
      </c>
      <c r="T543" s="63">
        <f>IF(R543&gt;0,1,"")</f>
        <v/>
      </c>
      <c r="U543" s="63">
        <f>IF(S543&gt;0,1,"")</f>
        <v/>
      </c>
    </row>
    <row r="544">
      <c r="A544" s="35" t="n">
        <v>35691</v>
      </c>
      <c r="B544" s="4" t="n">
        <v>0.4</v>
      </c>
      <c r="C544" s="4" t="n">
        <v>0.44</v>
      </c>
      <c r="D544" s="4" t="n">
        <v>0.16</v>
      </c>
      <c r="E544" s="63" t="n">
        <v>1</v>
      </c>
      <c r="F544" s="63" t="n">
        <v>0.4525</v>
      </c>
      <c r="G544" s="63" t="n">
        <v>0.24</v>
      </c>
      <c r="H544" s="63" t="n">
        <v>0.384907436629</v>
      </c>
      <c r="I544" s="63" t="n">
        <v>0.48829287048</v>
      </c>
      <c r="J544" s="63" t="n">
        <v>0.281522002778</v>
      </c>
      <c r="K544" s="63" t="n">
        <v>952.35</v>
      </c>
      <c r="L544" s="63" t="n">
        <v>919.41</v>
      </c>
      <c r="M544" s="63" t="n">
        <v>950.51</v>
      </c>
      <c r="N544" s="54">
        <f>(M545-M544)/M544</f>
        <v/>
      </c>
      <c r="O544" s="54">
        <f>(M548-M544)/M544</f>
        <v/>
      </c>
      <c r="P544" s="4">
        <f>B544-D544</f>
        <v/>
      </c>
      <c r="Q544" s="4">
        <f>AVERAGE(P541:P544)</f>
        <v/>
      </c>
      <c r="R544" s="54">
        <f>(M545-M544)/M544</f>
        <v/>
      </c>
      <c r="S544" s="54">
        <f>(M548-M544)/M544</f>
        <v/>
      </c>
      <c r="T544" s="63">
        <f>IF(R544&gt;0,1,"")</f>
        <v/>
      </c>
      <c r="U544" s="63">
        <f>IF(S544&gt;0,1,"")</f>
        <v/>
      </c>
    </row>
    <row r="545">
      <c r="A545" s="35" t="n">
        <v>35698</v>
      </c>
      <c r="B545" s="4" t="n">
        <v>0.39</v>
      </c>
      <c r="C545" s="4" t="n">
        <v>0.42</v>
      </c>
      <c r="D545" s="4" t="n">
        <v>0.19</v>
      </c>
      <c r="E545" s="63" t="n">
        <v>1</v>
      </c>
      <c r="F545" s="63" t="n">
        <v>0.44125</v>
      </c>
      <c r="G545" s="63" t="n">
        <v>0.2</v>
      </c>
      <c r="H545" s="63" t="n">
        <v>0.384907436629</v>
      </c>
      <c r="I545" s="63" t="n">
        <v>0.48829287048</v>
      </c>
      <c r="J545" s="63" t="n">
        <v>0.281522002778</v>
      </c>
      <c r="K545" s="63" t="n">
        <v>960.59</v>
      </c>
      <c r="L545" s="63" t="n">
        <v>937.38</v>
      </c>
      <c r="M545" s="63" t="n">
        <v>945.22</v>
      </c>
      <c r="N545" s="54">
        <f>(M546-M545)/M545</f>
        <v/>
      </c>
      <c r="O545" s="54">
        <f>(M549-M545)/M545</f>
        <v/>
      </c>
      <c r="P545" s="4">
        <f>B545-D545</f>
        <v/>
      </c>
      <c r="Q545" s="4">
        <f>AVERAGE(P542:P545)</f>
        <v/>
      </c>
      <c r="R545" s="54">
        <f>(M546-M545)/M545</f>
        <v/>
      </c>
      <c r="S545" s="54">
        <f>(M549-M545)/M545</f>
        <v/>
      </c>
      <c r="T545" s="63">
        <f>IF(R545&gt;0,1,"")</f>
        <v/>
      </c>
      <c r="U545" s="63">
        <f>IF(S545&gt;0,1,"")</f>
        <v/>
      </c>
    </row>
    <row r="546">
      <c r="A546" s="35" t="n">
        <v>35705</v>
      </c>
      <c r="B546" s="4" t="n">
        <v>0.38</v>
      </c>
      <c r="C546" s="4" t="n">
        <v>0.43</v>
      </c>
      <c r="D546" s="4" t="n">
        <v>0.19</v>
      </c>
      <c r="E546" s="63" t="n">
        <v>1</v>
      </c>
      <c r="F546" s="63" t="n">
        <v>0.4275</v>
      </c>
      <c r="G546" s="63" t="n">
        <v>0.19</v>
      </c>
      <c r="H546" s="63" t="n">
        <v>0.384907436629</v>
      </c>
      <c r="I546" s="63" t="n">
        <v>0.48829287048</v>
      </c>
      <c r="J546" s="63" t="n">
        <v>0.281522002778</v>
      </c>
      <c r="K546" s="63" t="n">
        <v>975.47</v>
      </c>
      <c r="L546" s="63" t="n">
        <v>941.9400000000001</v>
      </c>
      <c r="M546" s="63" t="n">
        <v>965.03</v>
      </c>
      <c r="N546" s="54">
        <f>(M547-M546)/M546</f>
        <v/>
      </c>
      <c r="O546" s="54">
        <f>(M550-M546)/M546</f>
        <v/>
      </c>
      <c r="P546" s="4">
        <f>B546-D546</f>
        <v/>
      </c>
      <c r="Q546" s="4">
        <f>AVERAGE(P543:P546)</f>
        <v/>
      </c>
      <c r="R546" s="54">
        <f>(M547-M546)/M546</f>
        <v/>
      </c>
      <c r="S546" s="54">
        <f>(M550-M546)/M546</f>
        <v/>
      </c>
      <c r="T546" s="63">
        <f>IF(R546&gt;0,1,"")</f>
        <v/>
      </c>
      <c r="U546" s="63">
        <f>IF(S546&gt;0,1,"")</f>
        <v/>
      </c>
    </row>
    <row r="547">
      <c r="A547" s="35" t="n">
        <v>35712</v>
      </c>
      <c r="B547" s="4" t="n">
        <v>0.43</v>
      </c>
      <c r="C547" s="4" t="n">
        <v>0.43</v>
      </c>
      <c r="D547" s="4" t="n">
        <v>0.14</v>
      </c>
      <c r="E547" s="63" t="n">
        <v>1</v>
      </c>
      <c r="F547" s="63" t="n">
        <v>0.42</v>
      </c>
      <c r="G547" s="63" t="n">
        <v>0.29</v>
      </c>
      <c r="H547" s="63" t="n">
        <v>0.384907436629</v>
      </c>
      <c r="I547" s="63" t="n">
        <v>0.48829287048</v>
      </c>
      <c r="J547" s="63" t="n">
        <v>0.281522002778</v>
      </c>
      <c r="K547" s="63" t="n">
        <v>983.12</v>
      </c>
      <c r="L547" s="63" t="n">
        <v>963.34</v>
      </c>
      <c r="M547" s="63" t="n">
        <v>966.98</v>
      </c>
      <c r="N547" s="54">
        <f>(M548-M547)/M547</f>
        <v/>
      </c>
      <c r="O547" s="54">
        <f>(M551-M547)/M547</f>
        <v/>
      </c>
      <c r="P547" s="4">
        <f>B547-D547</f>
        <v/>
      </c>
      <c r="Q547" s="4">
        <f>AVERAGE(P544:P547)</f>
        <v/>
      </c>
      <c r="R547" s="54">
        <f>(M548-M547)/M547</f>
        <v/>
      </c>
      <c r="S547" s="54">
        <f>(M551-M547)/M547</f>
        <v/>
      </c>
      <c r="T547" s="63">
        <f>IF(R547&gt;0,1,"")</f>
        <v/>
      </c>
      <c r="U547" s="63">
        <f>IF(S547&gt;0,1,"")</f>
        <v/>
      </c>
    </row>
    <row r="548">
      <c r="A548" s="35" t="n">
        <v>35719</v>
      </c>
      <c r="B548" s="4" t="n">
        <v>0.43</v>
      </c>
      <c r="C548" s="4" t="n">
        <v>0.36</v>
      </c>
      <c r="D548" s="4" t="n">
        <v>0.21</v>
      </c>
      <c r="E548" s="63" t="n">
        <v>1</v>
      </c>
      <c r="F548" s="63" t="n">
        <v>0.415</v>
      </c>
      <c r="G548" s="63" t="n">
        <v>0.22</v>
      </c>
      <c r="H548" s="63" t="n">
        <v>0.384907436629</v>
      </c>
      <c r="I548" s="63" t="n">
        <v>0.48829287048</v>
      </c>
      <c r="J548" s="63" t="n">
        <v>0.281522002778</v>
      </c>
      <c r="K548" s="63" t="n">
        <v>973.46</v>
      </c>
      <c r="L548" s="63" t="n">
        <v>931.58</v>
      </c>
      <c r="M548" s="63" t="n">
        <v>944.16</v>
      </c>
      <c r="N548" s="54">
        <f>(M549-M548)/M548</f>
        <v/>
      </c>
      <c r="O548" s="54">
        <f>(M552-M548)/M548</f>
        <v/>
      </c>
      <c r="P548" s="4">
        <f>B548-D548</f>
        <v/>
      </c>
      <c r="Q548" s="4">
        <f>AVERAGE(P545:P548)</f>
        <v/>
      </c>
      <c r="R548" s="54">
        <f>(M549-M548)/M548</f>
        <v/>
      </c>
      <c r="S548" s="54">
        <f>(M552-M548)/M548</f>
        <v/>
      </c>
      <c r="T548" s="63">
        <f>IF(R548&gt;0,1,"")</f>
        <v/>
      </c>
      <c r="U548" s="63">
        <f>IF(S548&gt;0,1,"")</f>
        <v/>
      </c>
    </row>
    <row r="549">
      <c r="A549" s="35" t="n">
        <v>35726</v>
      </c>
      <c r="B549" s="4" t="n">
        <v>0.4</v>
      </c>
      <c r="C549" s="4" t="n">
        <v>0.46</v>
      </c>
      <c r="D549" s="4" t="n">
        <v>0.14</v>
      </c>
      <c r="E549" s="63" t="n">
        <v>1</v>
      </c>
      <c r="F549" s="63" t="n">
        <v>0.4025</v>
      </c>
      <c r="G549" s="63" t="n">
        <v>0.26</v>
      </c>
      <c r="H549" s="63" t="n">
        <v>0.384907436629</v>
      </c>
      <c r="I549" s="63" t="n">
        <v>0.48829287048</v>
      </c>
      <c r="J549" s="63" t="n">
        <v>0.281522002778</v>
      </c>
      <c r="K549" s="63" t="n">
        <v>972.61</v>
      </c>
      <c r="L549" s="63" t="n">
        <v>937.55</v>
      </c>
      <c r="M549" s="63" t="n">
        <v>941.64</v>
      </c>
      <c r="N549" s="54">
        <f>(M550-M549)/M549</f>
        <v/>
      </c>
      <c r="O549" s="54">
        <f>(M553-M549)/M549</f>
        <v/>
      </c>
      <c r="P549" s="4">
        <f>B549-D549</f>
        <v/>
      </c>
      <c r="Q549" s="4">
        <f>AVERAGE(P546:P549)</f>
        <v/>
      </c>
      <c r="R549" s="54">
        <f>(M550-M549)/M549</f>
        <v/>
      </c>
      <c r="S549" s="54">
        <f>(M553-M549)/M549</f>
        <v/>
      </c>
      <c r="T549" s="63">
        <f>IF(R549&gt;0,1,"")</f>
        <v/>
      </c>
      <c r="U549" s="63">
        <f>IF(S549&gt;0,1,"")</f>
        <v/>
      </c>
    </row>
    <row r="550">
      <c r="A550" s="35" t="n">
        <v>35733</v>
      </c>
      <c r="B550" s="4" t="n">
        <v>0.41</v>
      </c>
      <c r="C550" s="4" t="n">
        <v>0.36</v>
      </c>
      <c r="D550" s="4" t="n">
        <v>0.23</v>
      </c>
      <c r="E550" s="63" t="n">
        <v>1</v>
      </c>
      <c r="F550" s="63" t="n">
        <v>0.4075</v>
      </c>
      <c r="G550" s="63" t="n">
        <v>0.18</v>
      </c>
      <c r="H550" s="63" t="n">
        <v>0.384907436629</v>
      </c>
      <c r="I550" s="63" t="n">
        <v>0.48829287048</v>
      </c>
      <c r="J550" s="63" t="n">
        <v>0.281522002778</v>
      </c>
      <c r="K550" s="63" t="n">
        <v>941.64</v>
      </c>
      <c r="L550" s="63" t="n">
        <v>855.27</v>
      </c>
      <c r="M550" s="63" t="n">
        <v>914.62</v>
      </c>
      <c r="N550" s="54">
        <f>(M551-M550)/M550</f>
        <v/>
      </c>
      <c r="O550" s="54">
        <f>(M554-M550)/M550</f>
        <v/>
      </c>
      <c r="P550" s="4">
        <f>B550-D550</f>
        <v/>
      </c>
      <c r="Q550" s="4">
        <f>AVERAGE(P547:P550)</f>
        <v/>
      </c>
      <c r="R550" s="54">
        <f>(M551-M550)/M550</f>
        <v/>
      </c>
      <c r="S550" s="54">
        <f>(M554-M550)/M550</f>
        <v/>
      </c>
      <c r="T550" s="63">
        <f>IF(R550&gt;0,1,"")</f>
        <v/>
      </c>
      <c r="U550" s="63">
        <f>IF(S550&gt;0,1,"")</f>
        <v/>
      </c>
    </row>
    <row r="551">
      <c r="A551" s="35" t="n">
        <v>35740</v>
      </c>
      <c r="B551" s="4" t="n">
        <v>0.38</v>
      </c>
      <c r="C551" s="4" t="n">
        <v>0.37</v>
      </c>
      <c r="D551" s="4" t="n">
        <v>0.25</v>
      </c>
      <c r="E551" s="63" t="n">
        <v>1</v>
      </c>
      <c r="F551" s="63" t="n">
        <v>0.4025</v>
      </c>
      <c r="G551" s="63" t="n">
        <v>0.13</v>
      </c>
      <c r="H551" s="63" t="n">
        <v>0.384907436629</v>
      </c>
      <c r="I551" s="63" t="n">
        <v>0.48829287048</v>
      </c>
      <c r="J551" s="63" t="n">
        <v>0.281522002778</v>
      </c>
      <c r="K551" s="63" t="n">
        <v>949.62</v>
      </c>
      <c r="L551" s="63" t="n">
        <v>914.62</v>
      </c>
      <c r="M551" s="63" t="n">
        <v>927.51</v>
      </c>
      <c r="N551" s="54">
        <f>(M552-M551)/M551</f>
        <v/>
      </c>
      <c r="O551" s="54">
        <f>(M555-M551)/M551</f>
        <v/>
      </c>
      <c r="P551" s="4">
        <f>B551-D551</f>
        <v/>
      </c>
      <c r="Q551" s="4">
        <f>AVERAGE(P548:P551)</f>
        <v/>
      </c>
      <c r="R551" s="54">
        <f>(M552-M551)/M551</f>
        <v/>
      </c>
      <c r="S551" s="54">
        <f>(M555-M551)/M551</f>
        <v/>
      </c>
      <c r="T551" s="63">
        <f>IF(R551&gt;0,1,"")</f>
        <v/>
      </c>
      <c r="U551" s="63">
        <f>IF(S551&gt;0,1,"")</f>
        <v/>
      </c>
    </row>
    <row r="552">
      <c r="A552" s="35" t="n">
        <v>35747</v>
      </c>
      <c r="B552" s="4" t="n">
        <v>0.45</v>
      </c>
      <c r="C552" s="4" t="n">
        <v>0.38</v>
      </c>
      <c r="D552" s="4" t="n">
        <v>0.17</v>
      </c>
      <c r="E552" s="63" t="n">
        <v>1</v>
      </c>
      <c r="F552" s="63" t="n">
        <v>0.40875</v>
      </c>
      <c r="G552" s="63" t="n">
        <v>0.28</v>
      </c>
      <c r="H552" s="63" t="n">
        <v>0.384907436629</v>
      </c>
      <c r="I552" s="63" t="n">
        <v>0.48829287048</v>
      </c>
      <c r="J552" s="63" t="n">
        <v>0.281522002778</v>
      </c>
      <c r="K552" s="63" t="n">
        <v>935.9</v>
      </c>
      <c r="L552" s="63" t="n">
        <v>900.16</v>
      </c>
      <c r="M552" s="63" t="n">
        <v>928.35</v>
      </c>
      <c r="N552" s="54">
        <f>(M553-M552)/M552</f>
        <v/>
      </c>
      <c r="O552" s="54">
        <f>(M556-M552)/M552</f>
        <v/>
      </c>
      <c r="P552" s="4">
        <f>B552-D552</f>
        <v/>
      </c>
      <c r="Q552" s="4">
        <f>AVERAGE(P549:P552)</f>
        <v/>
      </c>
      <c r="R552" s="54">
        <f>(M553-M552)/M552</f>
        <v/>
      </c>
      <c r="S552" s="54">
        <f>(M556-M552)/M552</f>
        <v/>
      </c>
      <c r="T552" s="63">
        <f>IF(R552&gt;0,1,"")</f>
        <v/>
      </c>
      <c r="U552" s="63">
        <f>IF(S552&gt;0,1,"")</f>
        <v/>
      </c>
    </row>
    <row r="553">
      <c r="A553" s="35" t="n">
        <v>35754</v>
      </c>
      <c r="B553" s="4" t="n">
        <v>0.4</v>
      </c>
      <c r="C553" s="4" t="n">
        <v>0.38</v>
      </c>
      <c r="D553" s="4" t="n">
        <v>0.22</v>
      </c>
      <c r="E553" s="63" t="n">
        <v>1</v>
      </c>
      <c r="F553" s="63" t="n">
        <v>0.41</v>
      </c>
      <c r="G553" s="63" t="n">
        <v>0.18</v>
      </c>
      <c r="H553" s="63" t="n">
        <v>0.384907436629</v>
      </c>
      <c r="I553" s="63" t="n">
        <v>0.48829287048</v>
      </c>
      <c r="J553" s="63" t="n">
        <v>0.281522002778</v>
      </c>
      <c r="K553" s="63" t="n">
        <v>963.09</v>
      </c>
      <c r="L553" s="63" t="n">
        <v>938.23</v>
      </c>
      <c r="M553" s="63" t="n">
        <v>963.09</v>
      </c>
      <c r="N553" s="54">
        <f>(M554-M553)/M553</f>
        <v/>
      </c>
      <c r="O553" s="54">
        <f>(M557-M553)/M553</f>
        <v/>
      </c>
      <c r="P553" s="4">
        <f>B553-D553</f>
        <v/>
      </c>
      <c r="Q553" s="4">
        <f>AVERAGE(P550:P553)</f>
        <v/>
      </c>
      <c r="R553" s="54">
        <f>(M554-M553)/M553</f>
        <v/>
      </c>
      <c r="S553" s="54">
        <f>(M557-M553)/M553</f>
        <v/>
      </c>
      <c r="T553" s="63">
        <f>IF(R553&gt;0,1,"")</f>
        <v/>
      </c>
      <c r="U553" s="63">
        <f>IF(S553&gt;0,1,"")</f>
        <v/>
      </c>
    </row>
    <row r="554">
      <c r="A554" s="35" t="n">
        <v>35760</v>
      </c>
      <c r="B554" s="4" t="n">
        <v>0.4</v>
      </c>
      <c r="C554" s="4" t="n">
        <v>0.4</v>
      </c>
      <c r="D554" s="4" t="n">
        <v>0.2</v>
      </c>
      <c r="E554" s="63" t="n">
        <v>1</v>
      </c>
      <c r="F554" s="63" t="n">
        <v>0.4125</v>
      </c>
      <c r="G554" s="63" t="n">
        <v>0.2</v>
      </c>
      <c r="H554" s="63" t="n">
        <v>0.384907436629</v>
      </c>
      <c r="I554" s="63" t="n">
        <v>0.48829287048</v>
      </c>
      <c r="J554" s="63" t="n">
        <v>0.281522002778</v>
      </c>
      <c r="K554" s="63" t="n">
        <v>963.09</v>
      </c>
      <c r="L554" s="63" t="n">
        <v>944.71</v>
      </c>
      <c r="M554" s="63" t="n">
        <v>955.4</v>
      </c>
      <c r="N554" s="54">
        <f>(M555-M554)/M554</f>
        <v/>
      </c>
      <c r="O554" s="54">
        <f>(M558-M554)/M554</f>
        <v/>
      </c>
      <c r="P554" s="4">
        <f>B554-D554</f>
        <v/>
      </c>
      <c r="Q554" s="4">
        <f>AVERAGE(P551:P554)</f>
        <v/>
      </c>
      <c r="R554" s="54">
        <f>(M555-M554)/M554</f>
        <v/>
      </c>
      <c r="S554" s="54">
        <f>(M558-M554)/M554</f>
        <v/>
      </c>
      <c r="T554" s="63">
        <f>IF(R554&gt;0,1,"")</f>
        <v/>
      </c>
      <c r="U554" s="63">
        <f>IF(S554&gt;0,1,"")</f>
        <v/>
      </c>
    </row>
    <row r="555">
      <c r="A555" s="35" t="n">
        <v>35768</v>
      </c>
      <c r="B555" s="4" t="n">
        <v>0.49</v>
      </c>
      <c r="C555" s="4" t="n">
        <v>0.33</v>
      </c>
      <c r="D555" s="4" t="n">
        <v>0.18</v>
      </c>
      <c r="E555" s="63" t="n">
        <v>1</v>
      </c>
      <c r="F555" s="63" t="n">
        <v>0.42</v>
      </c>
      <c r="G555" s="63" t="n">
        <v>0.31</v>
      </c>
      <c r="H555" s="63" t="n">
        <v>0.384907436629</v>
      </c>
      <c r="I555" s="63" t="n">
        <v>0.48829287048</v>
      </c>
      <c r="J555" s="63" t="n">
        <v>0.281522002778</v>
      </c>
      <c r="K555" s="63" t="n">
        <v>986.25</v>
      </c>
      <c r="L555" s="63" t="n">
        <v>966.16</v>
      </c>
      <c r="M555" s="63" t="n">
        <v>983.79</v>
      </c>
      <c r="N555" s="54">
        <f>(M556-M555)/M555</f>
        <v/>
      </c>
      <c r="O555" s="54">
        <f>(M559-M555)/M555</f>
        <v/>
      </c>
      <c r="P555" s="4">
        <f>B555-D555</f>
        <v/>
      </c>
      <c r="Q555" s="4">
        <f>AVERAGE(P552:P555)</f>
        <v/>
      </c>
      <c r="R555" s="54">
        <f>(M556-M555)/M555</f>
        <v/>
      </c>
      <c r="S555" s="54">
        <f>(M559-M555)/M555</f>
        <v/>
      </c>
      <c r="T555" s="63">
        <f>IF(R555&gt;0,1,"")</f>
        <v/>
      </c>
      <c r="U555" s="63">
        <f>IF(S555&gt;0,1,"")</f>
        <v/>
      </c>
    </row>
    <row r="556">
      <c r="A556" s="35" t="n">
        <v>35775</v>
      </c>
      <c r="B556" s="4" t="n">
        <v>0.46</v>
      </c>
      <c r="C556" s="4" t="n">
        <v>0.37</v>
      </c>
      <c r="D556" s="4" t="n">
        <v>0.17</v>
      </c>
      <c r="E556" s="63" t="n">
        <v>1</v>
      </c>
      <c r="F556" s="63" t="n">
        <v>0.42375</v>
      </c>
      <c r="G556" s="63" t="n">
        <v>0.29</v>
      </c>
      <c r="H556" s="63" t="n">
        <v>0.384907436629</v>
      </c>
      <c r="I556" s="63" t="n">
        <v>0.48829287048</v>
      </c>
      <c r="J556" s="63" t="n">
        <v>0.281522002778</v>
      </c>
      <c r="K556" s="63" t="n">
        <v>985.67</v>
      </c>
      <c r="L556" s="63" t="n">
        <v>947</v>
      </c>
      <c r="M556" s="63" t="n">
        <v>953.39</v>
      </c>
      <c r="N556" s="54">
        <f>(M557-M556)/M556</f>
        <v/>
      </c>
      <c r="O556" s="54">
        <f>(M560-M556)/M556</f>
        <v/>
      </c>
      <c r="P556" s="4">
        <f>B556-D556</f>
        <v/>
      </c>
      <c r="Q556" s="4">
        <f>AVERAGE(P553:P556)</f>
        <v/>
      </c>
      <c r="R556" s="54">
        <f>(M557-M556)/M556</f>
        <v/>
      </c>
      <c r="S556" s="54">
        <f>(M560-M556)/M556</f>
        <v/>
      </c>
      <c r="T556" s="63">
        <f>IF(R556&gt;0,1,"")</f>
        <v/>
      </c>
      <c r="U556" s="63">
        <f>IF(S556&gt;0,1,"")</f>
        <v/>
      </c>
    </row>
    <row r="557">
      <c r="A557" s="35" t="n">
        <v>35782</v>
      </c>
      <c r="B557" s="4" t="n">
        <v>0.4</v>
      </c>
      <c r="C557" s="4" t="n">
        <v>0.41</v>
      </c>
      <c r="D557" s="4" t="n">
        <v>0.19</v>
      </c>
      <c r="E557" s="63" t="n">
        <v>1</v>
      </c>
      <c r="F557" s="63" t="n">
        <v>0.42375</v>
      </c>
      <c r="G557" s="63" t="n">
        <v>0.21</v>
      </c>
      <c r="H557" s="63" t="n">
        <v>0.384907436629</v>
      </c>
      <c r="I557" s="63" t="n">
        <v>0.48829287048</v>
      </c>
      <c r="J557" s="63" t="n">
        <v>0.281522002778</v>
      </c>
      <c r="K557" s="63" t="n">
        <v>974.3</v>
      </c>
      <c r="L557" s="63" t="n">
        <v>924.92</v>
      </c>
      <c r="M557" s="63" t="n">
        <v>946.78</v>
      </c>
      <c r="N557" s="54">
        <f>(M558-M557)/M557</f>
        <v/>
      </c>
      <c r="O557" s="54">
        <f>(M561-M557)/M557</f>
        <v/>
      </c>
      <c r="P557" s="4">
        <f>B557-D557</f>
        <v/>
      </c>
      <c r="Q557" s="4">
        <f>AVERAGE(P554:P557)</f>
        <v/>
      </c>
      <c r="R557" s="54">
        <f>(M558-M557)/M557</f>
        <v/>
      </c>
      <c r="S557" s="54">
        <f>(M561-M557)/M557</f>
        <v/>
      </c>
      <c r="T557" s="63">
        <f>IF(R557&gt;0,1,"")</f>
        <v/>
      </c>
      <c r="U557" s="63">
        <f>IF(S557&gt;0,1,"")</f>
        <v/>
      </c>
    </row>
    <row r="558">
      <c r="A558" s="35" t="n">
        <v>35788</v>
      </c>
      <c r="B558" s="4" t="n">
        <v>0.41</v>
      </c>
      <c r="C558" s="4" t="n">
        <v>0.36</v>
      </c>
      <c r="D558" s="4" t="n">
        <v>0.23</v>
      </c>
      <c r="E558" s="63" t="n">
        <v>1</v>
      </c>
      <c r="F558" s="63" t="n">
        <v>0.42375</v>
      </c>
      <c r="G558" s="63" t="n">
        <v>0.18</v>
      </c>
      <c r="H558" s="63" t="n">
        <v>0.384907436629</v>
      </c>
      <c r="I558" s="63" t="n">
        <v>0.48829287048</v>
      </c>
      <c r="J558" s="63" t="n">
        <v>0.281522002778</v>
      </c>
      <c r="K558" s="63" t="n">
        <v>956.73</v>
      </c>
      <c r="L558" s="63" t="n">
        <v>932.7</v>
      </c>
      <c r="M558" s="63" t="n">
        <v>936.46</v>
      </c>
      <c r="N558" s="54">
        <f>(M559-M558)/M558</f>
        <v/>
      </c>
      <c r="O558" s="54">
        <f>(M562-M558)/M558</f>
        <v/>
      </c>
      <c r="P558" s="4">
        <f>B558-D558</f>
        <v/>
      </c>
      <c r="Q558" s="4">
        <f>AVERAGE(P555:P558)</f>
        <v/>
      </c>
      <c r="R558" s="54">
        <f>(M559-M558)/M558</f>
        <v/>
      </c>
      <c r="S558" s="54">
        <f>(M562-M558)/M558</f>
        <v/>
      </c>
      <c r="T558" s="63">
        <f>IF(R558&gt;0,1,"")</f>
        <v/>
      </c>
      <c r="U558" s="63">
        <f>IF(S558&gt;0,1,"")</f>
        <v/>
      </c>
    </row>
    <row r="559">
      <c r="A559" s="35" t="n">
        <v>35795</v>
      </c>
      <c r="B559" s="4" t="n">
        <v>0.34</v>
      </c>
      <c r="C559" s="4" t="n">
        <v>0.35</v>
      </c>
      <c r="D559" s="4" t="n">
        <v>0.31</v>
      </c>
      <c r="E559" s="63" t="n">
        <v>1</v>
      </c>
      <c r="F559" s="63" t="n">
        <v>0.41875</v>
      </c>
      <c r="G559" s="63" t="n">
        <v>0.03</v>
      </c>
      <c r="H559" s="63" t="n">
        <v>0.384907436629</v>
      </c>
      <c r="I559" s="63" t="n">
        <v>0.48829287048</v>
      </c>
      <c r="J559" s="63" t="n">
        <v>0.281522002778</v>
      </c>
      <c r="K559" s="63" t="n">
        <v>975.02</v>
      </c>
      <c r="L559" s="63" t="n">
        <v>936.46</v>
      </c>
      <c r="M559" s="63" t="n">
        <v>975.04</v>
      </c>
      <c r="N559" s="54">
        <f>(M560-M559)/M559</f>
        <v/>
      </c>
      <c r="O559" s="54">
        <f>(M563-M559)/M559</f>
        <v/>
      </c>
      <c r="P559" s="4">
        <f>B559-D559</f>
        <v/>
      </c>
      <c r="Q559" s="4">
        <f>AVERAGE(P556:P559)</f>
        <v/>
      </c>
      <c r="R559" s="54">
        <f>(M560-M559)/M559</f>
        <v/>
      </c>
      <c r="S559" s="54">
        <f>(M563-M559)/M559</f>
        <v/>
      </c>
      <c r="T559" s="63">
        <f>IF(R559&gt;0,1,"")</f>
        <v/>
      </c>
      <c r="U559" s="63">
        <f>IF(S559&gt;0,1,"")</f>
        <v/>
      </c>
    </row>
    <row r="560">
      <c r="A560" s="35" t="n">
        <v>35803</v>
      </c>
      <c r="B560" s="4" t="n">
        <v>0.42</v>
      </c>
      <c r="C560" s="4" t="n">
        <v>0.4</v>
      </c>
      <c r="D560" s="4" t="n">
        <v>0.18</v>
      </c>
      <c r="E560" s="63" t="n">
        <v>1</v>
      </c>
      <c r="F560" s="63" t="n">
        <v>0.415</v>
      </c>
      <c r="G560" s="63" t="n">
        <v>0.24</v>
      </c>
      <c r="H560" s="63" t="n">
        <v>0.384907436629</v>
      </c>
      <c r="I560" s="63" t="n">
        <v>0.48829287048</v>
      </c>
      <c r="J560" s="63" t="n">
        <v>0.281522002778</v>
      </c>
      <c r="K560" s="63" t="n">
        <v>982.63</v>
      </c>
      <c r="L560" s="63" t="n">
        <v>921.72</v>
      </c>
      <c r="M560" s="63" t="n">
        <v>927.6900000000001</v>
      </c>
      <c r="N560" s="54">
        <f>(M561-M560)/M560</f>
        <v/>
      </c>
      <c r="O560" s="54">
        <f>(M564-M560)/M560</f>
        <v/>
      </c>
      <c r="P560" s="4">
        <f>B560-D560</f>
        <v/>
      </c>
      <c r="Q560" s="4">
        <f>AVERAGE(P557:P560)</f>
        <v/>
      </c>
      <c r="R560" s="54">
        <f>(M561-M560)/M560</f>
        <v/>
      </c>
      <c r="S560" s="54">
        <f>(M564-M560)/M560</f>
        <v/>
      </c>
      <c r="T560" s="63">
        <f>IF(R560&gt;0,1,"")</f>
        <v/>
      </c>
      <c r="U560" s="63">
        <f>IF(S560&gt;0,1,"")</f>
        <v/>
      </c>
    </row>
    <row r="561">
      <c r="A561" s="35" t="n">
        <v>35811</v>
      </c>
      <c r="B561" s="4" t="n">
        <v>0.38</v>
      </c>
      <c r="C561" s="4" t="n">
        <v>0.45</v>
      </c>
      <c r="D561" s="4" t="n">
        <v>0.17</v>
      </c>
      <c r="E561" s="63" t="n">
        <v>1</v>
      </c>
      <c r="F561" s="63" t="n">
        <v>0.4125</v>
      </c>
      <c r="G561" s="63" t="n">
        <v>0.21</v>
      </c>
      <c r="H561" s="63" t="n">
        <v>0.384907436629</v>
      </c>
      <c r="I561" s="63" t="n">
        <v>0.48829287048</v>
      </c>
      <c r="J561" s="63" t="n">
        <v>0.281522002778</v>
      </c>
      <c r="K561" s="63" t="n">
        <v>965.12</v>
      </c>
      <c r="L561" s="63" t="n">
        <v>912.83</v>
      </c>
      <c r="M561" s="63" t="n">
        <v>961.51</v>
      </c>
      <c r="N561" s="54">
        <f>(M562-M561)/M561</f>
        <v/>
      </c>
      <c r="O561" s="54">
        <f>(M565-M561)/M561</f>
        <v/>
      </c>
      <c r="P561" s="4">
        <f>B561-D561</f>
        <v/>
      </c>
      <c r="Q561" s="4">
        <f>AVERAGE(P558:P561)</f>
        <v/>
      </c>
      <c r="R561" s="54">
        <f>(M562-M561)/M561</f>
        <v/>
      </c>
      <c r="S561" s="54">
        <f>(M565-M561)/M561</f>
        <v/>
      </c>
      <c r="T561" s="63">
        <f>IF(R561&gt;0,1,"")</f>
        <v/>
      </c>
      <c r="U561" s="63">
        <f>IF(S561&gt;0,1,"")</f>
        <v/>
      </c>
    </row>
    <row r="562">
      <c r="A562" s="35" t="n">
        <v>35818</v>
      </c>
      <c r="B562" s="4" t="n">
        <v>0.31</v>
      </c>
      <c r="C562" s="4" t="n">
        <v>0.39</v>
      </c>
      <c r="D562" s="4" t="n">
        <v>0.3</v>
      </c>
      <c r="E562" s="63" t="n">
        <v>1</v>
      </c>
      <c r="F562" s="63" t="n">
        <v>0.40125</v>
      </c>
      <c r="G562" s="63" t="n">
        <v>0.01</v>
      </c>
      <c r="H562" s="63" t="n">
        <v>0.384907436629</v>
      </c>
      <c r="I562" s="63" t="n">
        <v>0.48829287048</v>
      </c>
      <c r="J562" s="63" t="n">
        <v>0.281522002778</v>
      </c>
      <c r="K562" s="63" t="n">
        <v>978.6</v>
      </c>
      <c r="L562" s="63" t="n">
        <v>950.86</v>
      </c>
      <c r="M562" s="63" t="n">
        <v>957.59</v>
      </c>
      <c r="N562" s="54">
        <f>(M563-M562)/M562</f>
        <v/>
      </c>
      <c r="O562" s="54">
        <f>(M566-M562)/M562</f>
        <v/>
      </c>
      <c r="P562" s="4">
        <f>B562-D562</f>
        <v/>
      </c>
      <c r="Q562" s="4">
        <f>AVERAGE(P559:P562)</f>
        <v/>
      </c>
      <c r="R562" s="54">
        <f>(M563-M562)/M562</f>
        <v/>
      </c>
      <c r="S562" s="54">
        <f>(M566-M562)/M562</f>
        <v/>
      </c>
      <c r="T562" s="63">
        <f>IF(R562&gt;0,1,"")</f>
        <v/>
      </c>
      <c r="U562" s="63">
        <f>IF(S562&gt;0,1,"")</f>
        <v/>
      </c>
    </row>
    <row r="563">
      <c r="A563" s="35" t="n">
        <v>35825</v>
      </c>
      <c r="B563" s="4" t="n">
        <v>0.38</v>
      </c>
      <c r="C563" s="4" t="n">
        <v>0.42</v>
      </c>
      <c r="D563" s="4" t="n">
        <v>0.2</v>
      </c>
      <c r="E563" s="63" t="n">
        <v>1</v>
      </c>
      <c r="F563" s="63" t="n">
        <v>0.3875</v>
      </c>
      <c r="G563" s="63" t="n">
        <v>0.18</v>
      </c>
      <c r="H563" s="63" t="n">
        <v>0.384907436629</v>
      </c>
      <c r="I563" s="63" t="n">
        <v>0.48829287048</v>
      </c>
      <c r="J563" s="63" t="n">
        <v>0.281522002778</v>
      </c>
      <c r="K563" s="63" t="n">
        <v>992.65</v>
      </c>
      <c r="L563" s="63" t="n">
        <v>954.24</v>
      </c>
      <c r="M563" s="63" t="n">
        <v>980.28</v>
      </c>
      <c r="N563" s="54">
        <f>(M564-M563)/M563</f>
        <v/>
      </c>
      <c r="O563" s="54">
        <f>(M567-M563)/M563</f>
        <v/>
      </c>
      <c r="P563" s="4">
        <f>B563-D563</f>
        <v/>
      </c>
      <c r="Q563" s="4">
        <f>AVERAGE(P560:P563)</f>
        <v/>
      </c>
      <c r="R563" s="54">
        <f>(M564-M563)/M563</f>
        <v/>
      </c>
      <c r="S563" s="54">
        <f>(M567-M563)/M563</f>
        <v/>
      </c>
      <c r="T563" s="63">
        <f>IF(R563&gt;0,1,"")</f>
        <v/>
      </c>
      <c r="U563" s="63">
        <f>IF(S563&gt;0,1,"")</f>
        <v/>
      </c>
    </row>
    <row r="564">
      <c r="A564" s="35" t="n">
        <v>35831</v>
      </c>
      <c r="B564" s="4" t="n">
        <v>0.3</v>
      </c>
      <c r="C564" s="4" t="n">
        <v>0.45</v>
      </c>
      <c r="D564" s="4" t="n">
        <v>0.25</v>
      </c>
      <c r="E564" s="63" t="n">
        <v>1</v>
      </c>
      <c r="F564" s="63" t="n">
        <v>0.3675</v>
      </c>
      <c r="G564" s="63" t="n">
        <v>0.05</v>
      </c>
      <c r="H564" s="63" t="n">
        <v>0.384907436629</v>
      </c>
      <c r="I564" s="63" t="n">
        <v>0.48829287048</v>
      </c>
      <c r="J564" s="63" t="n">
        <v>0.281522002778</v>
      </c>
      <c r="K564" s="63" t="n">
        <v>1013.51</v>
      </c>
      <c r="L564" s="63" t="n">
        <v>980.28</v>
      </c>
      <c r="M564" s="63" t="n">
        <v>1012.46</v>
      </c>
      <c r="N564" s="54">
        <f>(M565-M564)/M564</f>
        <v/>
      </c>
      <c r="O564" s="54">
        <f>(M568-M564)/M564</f>
        <v/>
      </c>
      <c r="P564" s="4">
        <f>B564-D564</f>
        <v/>
      </c>
      <c r="Q564" s="4">
        <f>AVERAGE(P561:P564)</f>
        <v/>
      </c>
      <c r="R564" s="54">
        <f>(M565-M564)/M564</f>
        <v/>
      </c>
      <c r="S564" s="54">
        <f>(M568-M564)/M564</f>
        <v/>
      </c>
      <c r="T564" s="63">
        <f>IF(R564&gt;0,1,"")</f>
        <v/>
      </c>
      <c r="U564" s="63">
        <f>IF(S564&gt;0,1,"")</f>
        <v/>
      </c>
    </row>
    <row r="565">
      <c r="A565" s="35" t="n">
        <v>35838</v>
      </c>
      <c r="B565" s="4" t="n">
        <v>0.45</v>
      </c>
      <c r="C565" s="4" t="n">
        <v>0.36</v>
      </c>
      <c r="D565" s="4" t="n">
        <v>0.19</v>
      </c>
      <c r="E565" s="63" t="n">
        <v>1</v>
      </c>
      <c r="F565" s="63" t="n">
        <v>0.37375</v>
      </c>
      <c r="G565" s="63" t="n">
        <v>0.26</v>
      </c>
      <c r="H565" s="63" t="n">
        <v>0.384907436629</v>
      </c>
      <c r="I565" s="63" t="n">
        <v>0.48829287048</v>
      </c>
      <c r="J565" s="63" t="n">
        <v>0.281522002778</v>
      </c>
      <c r="K565" s="63" t="n">
        <v>1026.3</v>
      </c>
      <c r="L565" s="63" t="n">
        <v>1006.28</v>
      </c>
      <c r="M565" s="63" t="n">
        <v>1020.09</v>
      </c>
      <c r="N565" s="54">
        <f>(M566-M565)/M565</f>
        <v/>
      </c>
      <c r="O565" s="54">
        <f>(M569-M565)/M565</f>
        <v/>
      </c>
      <c r="P565" s="4">
        <f>B565-D565</f>
        <v/>
      </c>
      <c r="Q565" s="4">
        <f>AVERAGE(P562:P565)</f>
        <v/>
      </c>
      <c r="R565" s="54">
        <f>(M566-M565)/M565</f>
        <v/>
      </c>
      <c r="S565" s="54">
        <f>(M569-M565)/M565</f>
        <v/>
      </c>
      <c r="T565" s="63">
        <f>IF(R565&gt;0,1,"")</f>
        <v/>
      </c>
      <c r="U565" s="63">
        <f>IF(S565&gt;0,1,"")</f>
        <v/>
      </c>
    </row>
    <row r="566">
      <c r="A566" s="35" t="n">
        <v>35845</v>
      </c>
      <c r="B566" s="4" t="n">
        <v>0.42</v>
      </c>
      <c r="C566" s="4" t="n">
        <v>0.43</v>
      </c>
      <c r="D566" s="4" t="n">
        <v>0.15</v>
      </c>
      <c r="E566" s="63" t="n">
        <v>1</v>
      </c>
      <c r="F566" s="63" t="n">
        <v>0.375</v>
      </c>
      <c r="G566" s="63" t="n">
        <v>0.27</v>
      </c>
      <c r="H566" s="63" t="n">
        <v>0.384907436629</v>
      </c>
      <c r="I566" s="63" t="n">
        <v>0.48829287048</v>
      </c>
      <c r="J566" s="63" t="n">
        <v>0.281522002778</v>
      </c>
      <c r="K566" s="63" t="n">
        <v>1034.21</v>
      </c>
      <c r="L566" s="63" t="n">
        <v>1020.09</v>
      </c>
      <c r="M566" s="63" t="n">
        <v>1034.21</v>
      </c>
      <c r="N566" s="54">
        <f>(M567-M566)/M566</f>
        <v/>
      </c>
      <c r="O566" s="54">
        <f>(M570-M566)/M566</f>
        <v/>
      </c>
      <c r="P566" s="4">
        <f>B566-D566</f>
        <v/>
      </c>
      <c r="Q566" s="4">
        <f>AVERAGE(P563:P566)</f>
        <v/>
      </c>
      <c r="R566" s="54">
        <f>(M567-M566)/M566</f>
        <v/>
      </c>
      <c r="S566" s="54">
        <f>(M570-M566)/M566</f>
        <v/>
      </c>
      <c r="T566" s="63">
        <f>IF(R566&gt;0,1,"")</f>
        <v/>
      </c>
      <c r="U566" s="63">
        <f>IF(S566&gt;0,1,"")</f>
        <v/>
      </c>
    </row>
    <row r="567">
      <c r="A567" s="35" t="n">
        <v>35852</v>
      </c>
      <c r="B567" s="4" t="n">
        <v>0.53</v>
      </c>
      <c r="C567" s="4" t="n">
        <v>0.33</v>
      </c>
      <c r="D567" s="4" t="n">
        <v>0.14</v>
      </c>
      <c r="E567" s="63" t="n">
        <v>1</v>
      </c>
      <c r="F567" s="63" t="n">
        <v>0.39875</v>
      </c>
      <c r="G567" s="63" t="n">
        <v>0.39</v>
      </c>
      <c r="H567" s="63" t="n">
        <v>0.384907436629</v>
      </c>
      <c r="I567" s="63" t="n">
        <v>0.48829287048</v>
      </c>
      <c r="J567" s="63" t="n">
        <v>0.281522002778</v>
      </c>
      <c r="K567" s="63" t="n">
        <v>1051.66</v>
      </c>
      <c r="L567" s="63" t="n">
        <v>1028.89</v>
      </c>
      <c r="M567" s="63" t="n">
        <v>1049.34</v>
      </c>
      <c r="N567" s="54">
        <f>(M568-M567)/M567</f>
        <v/>
      </c>
      <c r="O567" s="54">
        <f>(M571-M567)/M567</f>
        <v/>
      </c>
      <c r="P567" s="4">
        <f>B567-D567</f>
        <v/>
      </c>
      <c r="Q567" s="4">
        <f>AVERAGE(P564:P567)</f>
        <v/>
      </c>
      <c r="R567" s="54">
        <f>(M568-M567)/M567</f>
        <v/>
      </c>
      <c r="S567" s="54">
        <f>(M571-M567)/M567</f>
        <v/>
      </c>
      <c r="T567" s="63">
        <f>IF(R567&gt;0,1,"")</f>
        <v/>
      </c>
      <c r="U567" s="63">
        <f>IF(S567&gt;0,1,"")</f>
        <v/>
      </c>
    </row>
    <row r="568">
      <c r="A568" s="35" t="n">
        <v>35859</v>
      </c>
      <c r="B568" s="4" t="n">
        <v>0.53</v>
      </c>
      <c r="C568" s="4" t="n">
        <v>0.34</v>
      </c>
      <c r="D568" s="4" t="n">
        <v>0.13</v>
      </c>
      <c r="E568" s="63" t="n">
        <v>1</v>
      </c>
      <c r="F568" s="63" t="n">
        <v>0.4125</v>
      </c>
      <c r="G568" s="63" t="n">
        <v>0.4</v>
      </c>
      <c r="H568" s="63" t="n">
        <v>0.384907436629</v>
      </c>
      <c r="I568" s="63" t="n">
        <v>0.48829287048</v>
      </c>
      <c r="J568" s="63" t="n">
        <v>0.281522002778</v>
      </c>
      <c r="K568" s="63" t="n">
        <v>1055.69</v>
      </c>
      <c r="L568" s="63" t="n">
        <v>1044.7</v>
      </c>
      <c r="M568" s="63" t="n">
        <v>1055.69</v>
      </c>
      <c r="N568" s="54">
        <f>(M569-M568)/M568</f>
        <v/>
      </c>
      <c r="O568" s="54">
        <f>(M572-M568)/M568</f>
        <v/>
      </c>
      <c r="P568" s="4">
        <f>B568-D568</f>
        <v/>
      </c>
      <c r="Q568" s="4">
        <f>AVERAGE(P565:P568)</f>
        <v/>
      </c>
      <c r="R568" s="54">
        <f>(M569-M568)/M568</f>
        <v/>
      </c>
      <c r="S568" s="54">
        <f>(M572-M568)/M568</f>
        <v/>
      </c>
      <c r="T568" s="63">
        <f>IF(R568&gt;0,1,"")</f>
        <v/>
      </c>
      <c r="U568" s="63">
        <f>IF(S568&gt;0,1,"")</f>
        <v/>
      </c>
    </row>
    <row r="569">
      <c r="A569" s="35" t="n">
        <v>35866</v>
      </c>
      <c r="B569" s="4" t="n">
        <v>0.44</v>
      </c>
      <c r="C569" s="4" t="n">
        <v>0.36</v>
      </c>
      <c r="D569" s="4" t="n">
        <v>0.2</v>
      </c>
      <c r="E569" s="63" t="n">
        <v>1</v>
      </c>
      <c r="F569" s="63" t="n">
        <v>0.42</v>
      </c>
      <c r="G569" s="63" t="n">
        <v>0.24</v>
      </c>
      <c r="H569" s="63" t="n">
        <v>0.384907436629</v>
      </c>
      <c r="I569" s="63" t="n">
        <v>0.48829287048</v>
      </c>
      <c r="J569" s="63" t="n">
        <v>0.281522002778</v>
      </c>
      <c r="K569" s="63" t="n">
        <v>1075.86</v>
      </c>
      <c r="L569" s="63" t="n">
        <v>1050.02</v>
      </c>
      <c r="M569" s="63" t="n">
        <v>1068.61</v>
      </c>
      <c r="N569" s="54">
        <f>(M570-M569)/M569</f>
        <v/>
      </c>
      <c r="O569" s="54">
        <f>(M573-M569)/M569</f>
        <v/>
      </c>
      <c r="P569" s="4">
        <f>B569-D569</f>
        <v/>
      </c>
      <c r="Q569" s="4">
        <f>AVERAGE(P566:P569)</f>
        <v/>
      </c>
      <c r="R569" s="54">
        <f>(M570-M569)/M569</f>
        <v/>
      </c>
      <c r="S569" s="54">
        <f>(M573-M569)/M569</f>
        <v/>
      </c>
      <c r="T569" s="63">
        <f>IF(R569&gt;0,1,"")</f>
        <v/>
      </c>
      <c r="U569" s="63">
        <f>IF(S569&gt;0,1,"")</f>
        <v/>
      </c>
    </row>
    <row r="570">
      <c r="A570" s="35" t="n">
        <v>35873</v>
      </c>
      <c r="B570" s="4" t="n">
        <v>0.4</v>
      </c>
      <c r="C570" s="4" t="n">
        <v>0.38</v>
      </c>
      <c r="D570" s="4" t="n">
        <v>0.22</v>
      </c>
      <c r="E570" s="63" t="n">
        <v>1</v>
      </c>
      <c r="F570" s="63" t="n">
        <v>0.43125</v>
      </c>
      <c r="G570" s="63" t="n">
        <v>0.18</v>
      </c>
      <c r="H570" s="63" t="n">
        <v>0.384907436629</v>
      </c>
      <c r="I570" s="63" t="n">
        <v>0.48829287048</v>
      </c>
      <c r="J570" s="63" t="n">
        <v>0.281522002778</v>
      </c>
      <c r="K570" s="63" t="n">
        <v>1101.04</v>
      </c>
      <c r="L570" s="63" t="n">
        <v>1068.61</v>
      </c>
      <c r="M570" s="63" t="n">
        <v>1099.16</v>
      </c>
      <c r="N570" s="54">
        <f>(M571-M570)/M570</f>
        <v/>
      </c>
      <c r="O570" s="54">
        <f>(M574-M570)/M570</f>
        <v/>
      </c>
      <c r="P570" s="4">
        <f>B570-D570</f>
        <v/>
      </c>
      <c r="Q570" s="4">
        <f>AVERAGE(P567:P570)</f>
        <v/>
      </c>
      <c r="R570" s="54">
        <f>(M571-M570)/M570</f>
        <v/>
      </c>
      <c r="S570" s="54">
        <f>(M574-M570)/M570</f>
        <v/>
      </c>
      <c r="T570" s="63">
        <f>IF(R570&gt;0,1,"")</f>
        <v/>
      </c>
      <c r="U570" s="63">
        <f>IF(S570&gt;0,1,"")</f>
        <v/>
      </c>
    </row>
    <row r="571">
      <c r="A571" s="35" t="n">
        <v>35880</v>
      </c>
      <c r="B571" s="4" t="n">
        <v>0.45</v>
      </c>
      <c r="C571" s="4" t="n">
        <v>0.35</v>
      </c>
      <c r="D571" s="4" t="n">
        <v>0.2</v>
      </c>
      <c r="E571" s="63" t="n">
        <v>1</v>
      </c>
      <c r="F571" s="63" t="n">
        <v>0.44</v>
      </c>
      <c r="G571" s="63" t="n">
        <v>0.25</v>
      </c>
      <c r="H571" s="63" t="n">
        <v>0.384907436629</v>
      </c>
      <c r="I571" s="63" t="n">
        <v>0.48829287048</v>
      </c>
      <c r="J571" s="63" t="n">
        <v>0.281522002778</v>
      </c>
      <c r="K571" s="63" t="n">
        <v>1113.07</v>
      </c>
      <c r="L571" s="63" t="n">
        <v>1090.02</v>
      </c>
      <c r="M571" s="63" t="n">
        <v>1093.55</v>
      </c>
      <c r="N571" s="54">
        <f>(M572-M571)/M571</f>
        <v/>
      </c>
      <c r="O571" s="54">
        <f>(M575-M571)/M571</f>
        <v/>
      </c>
      <c r="P571" s="4">
        <f>B571-D571</f>
        <v/>
      </c>
      <c r="Q571" s="4">
        <f>AVERAGE(P568:P571)</f>
        <v/>
      </c>
      <c r="R571" s="54">
        <f>(M572-M571)/M571</f>
        <v/>
      </c>
      <c r="S571" s="54">
        <f>(M575-M571)/M571</f>
        <v/>
      </c>
      <c r="T571" s="63">
        <f>IF(R571&gt;0,1,"")</f>
        <v/>
      </c>
      <c r="U571" s="63">
        <f>IF(S571&gt;0,1,"")</f>
        <v/>
      </c>
    </row>
    <row r="572">
      <c r="A572" s="35" t="n">
        <v>35887</v>
      </c>
      <c r="B572" s="4" t="n">
        <v>0.46</v>
      </c>
      <c r="C572" s="4" t="n">
        <v>0.32</v>
      </c>
      <c r="D572" s="4" t="n">
        <v>0.22</v>
      </c>
      <c r="E572" s="63" t="n">
        <v>1</v>
      </c>
      <c r="F572" s="63" t="n">
        <v>0.46</v>
      </c>
      <c r="G572" s="63" t="n">
        <v>0.24</v>
      </c>
      <c r="H572" s="63" t="n">
        <v>0.384907436629</v>
      </c>
      <c r="I572" s="63" t="n">
        <v>0.48829287048</v>
      </c>
      <c r="J572" s="63" t="n">
        <v>0.281522002778</v>
      </c>
      <c r="K572" s="63" t="n">
        <v>1090.02</v>
      </c>
      <c r="L572" s="63" t="n">
        <v>1110.13</v>
      </c>
      <c r="M572" s="63" t="n">
        <v>1108.15</v>
      </c>
      <c r="N572" s="54">
        <f>(M573-M572)/M572</f>
        <v/>
      </c>
      <c r="O572" s="54">
        <f>(M576-M572)/M572</f>
        <v/>
      </c>
      <c r="P572" s="4">
        <f>B572-D572</f>
        <v/>
      </c>
      <c r="Q572" s="4">
        <f>AVERAGE(P569:P572)</f>
        <v/>
      </c>
      <c r="R572" s="54">
        <f>(M573-M572)/M572</f>
        <v/>
      </c>
      <c r="S572" s="54">
        <f>(M576-M572)/M572</f>
        <v/>
      </c>
      <c r="T572" s="63">
        <f>IF(R572&gt;0,1,"")</f>
        <v/>
      </c>
      <c r="U572" s="63">
        <f>IF(S572&gt;0,1,"")</f>
        <v/>
      </c>
    </row>
    <row r="573">
      <c r="A573" s="35" t="n">
        <v>35894</v>
      </c>
      <c r="B573" s="4" t="n">
        <v>0.41</v>
      </c>
      <c r="C573" s="4" t="n">
        <v>0.36</v>
      </c>
      <c r="D573" s="4" t="n">
        <v>0.23</v>
      </c>
      <c r="E573" s="63" t="n">
        <v>1</v>
      </c>
      <c r="F573" s="63" t="n">
        <v>0.455</v>
      </c>
      <c r="G573" s="63" t="n">
        <v>0.18</v>
      </c>
      <c r="H573" s="63" t="n">
        <v>0.384907436629</v>
      </c>
      <c r="I573" s="63" t="n">
        <v>0.48829287048</v>
      </c>
      <c r="J573" s="63" t="n">
        <v>0.281522002778</v>
      </c>
      <c r="K573" s="63" t="n">
        <v>1131.99</v>
      </c>
      <c r="L573" s="63" t="n">
        <v>1098.21</v>
      </c>
      <c r="M573" s="63" t="n">
        <v>1110.67</v>
      </c>
      <c r="N573" s="54">
        <f>(M574-M573)/M573</f>
        <v/>
      </c>
      <c r="O573" s="54">
        <f>(M577-M573)/M573</f>
        <v/>
      </c>
      <c r="P573" s="4">
        <f>B573-D573</f>
        <v/>
      </c>
      <c r="Q573" s="4">
        <f>AVERAGE(P570:P573)</f>
        <v/>
      </c>
      <c r="R573" s="54">
        <f>(M574-M573)/M573</f>
        <v/>
      </c>
      <c r="S573" s="54">
        <f>(M577-M573)/M573</f>
        <v/>
      </c>
      <c r="T573" s="63">
        <f>IF(R573&gt;0,1,"")</f>
        <v/>
      </c>
      <c r="U573" s="63">
        <f>IF(S573&gt;0,1,"")</f>
        <v/>
      </c>
    </row>
    <row r="574">
      <c r="A574" s="35" t="n">
        <v>35901</v>
      </c>
      <c r="B574" s="4" t="n">
        <v>0.53</v>
      </c>
      <c r="C574" s="4" t="n">
        <v>0.32</v>
      </c>
      <c r="D574" s="4" t="n">
        <v>0.15</v>
      </c>
      <c r="E574" s="63" t="n">
        <v>1</v>
      </c>
      <c r="F574" s="63" t="n">
        <v>0.46875</v>
      </c>
      <c r="G574" s="63" t="n">
        <v>0.38</v>
      </c>
      <c r="H574" s="63" t="n">
        <v>0.384907436629</v>
      </c>
      <c r="I574" s="63" t="n">
        <v>0.48829287048</v>
      </c>
      <c r="J574" s="63" t="n">
        <v>0.281522002778</v>
      </c>
      <c r="K574" s="63" t="n">
        <v>1122.72</v>
      </c>
      <c r="L574" s="63" t="n">
        <v>1100.6</v>
      </c>
      <c r="M574" s="63" t="n">
        <v>1122.72</v>
      </c>
      <c r="N574" s="54">
        <f>(M575-M574)/M574</f>
        <v/>
      </c>
      <c r="O574" s="54">
        <f>(M578-M574)/M574</f>
        <v/>
      </c>
      <c r="P574" s="4">
        <f>B574-D574</f>
        <v/>
      </c>
      <c r="Q574" s="4">
        <f>AVERAGE(P571:P574)</f>
        <v/>
      </c>
      <c r="R574" s="54">
        <f>(M575-M574)/M574</f>
        <v/>
      </c>
      <c r="S574" s="54">
        <f>(M578-M574)/M574</f>
        <v/>
      </c>
      <c r="T574" s="63">
        <f>IF(R574&gt;0,1,"")</f>
        <v/>
      </c>
      <c r="U574" s="63">
        <f>IF(S574&gt;0,1,"")</f>
        <v/>
      </c>
    </row>
    <row r="575">
      <c r="A575" s="35" t="n">
        <v>35908</v>
      </c>
      <c r="B575" s="4" t="n">
        <v>0.4</v>
      </c>
      <c r="C575" s="4" t="n">
        <v>0.38</v>
      </c>
      <c r="D575" s="4" t="n">
        <v>0.22</v>
      </c>
      <c r="E575" s="63" t="n">
        <v>1</v>
      </c>
      <c r="F575" s="63" t="n">
        <v>0.4525</v>
      </c>
      <c r="G575" s="63" t="n">
        <v>0.18</v>
      </c>
      <c r="H575" s="63" t="n">
        <v>0.384907436629</v>
      </c>
      <c r="I575" s="63" t="n">
        <v>0.48829287048</v>
      </c>
      <c r="J575" s="63" t="n">
        <v>0.281522002778</v>
      </c>
      <c r="K575" s="63" t="n">
        <v>1132.98</v>
      </c>
      <c r="L575" s="63" t="n">
        <v>1104.77</v>
      </c>
      <c r="M575" s="63" t="n">
        <v>1107.9</v>
      </c>
      <c r="N575" s="54">
        <f>(M576-M575)/M575</f>
        <v/>
      </c>
      <c r="O575" s="54">
        <f>(M579-M575)/M575</f>
        <v/>
      </c>
      <c r="P575" s="4">
        <f>B575-D575</f>
        <v/>
      </c>
      <c r="Q575" s="4">
        <f>AVERAGE(P572:P575)</f>
        <v/>
      </c>
      <c r="R575" s="54">
        <f>(M576-M575)/M575</f>
        <v/>
      </c>
      <c r="S575" s="54">
        <f>(M579-M575)/M575</f>
        <v/>
      </c>
      <c r="T575" s="63">
        <f>IF(R575&gt;0,1,"")</f>
        <v/>
      </c>
      <c r="U575" s="63">
        <f>IF(S575&gt;0,1,"")</f>
        <v/>
      </c>
    </row>
    <row r="576">
      <c r="A576" s="35" t="n">
        <v>35915</v>
      </c>
      <c r="B576" s="4" t="n">
        <v>0.44</v>
      </c>
      <c r="C576" s="4" t="n">
        <v>0.31</v>
      </c>
      <c r="D576" s="4" t="n">
        <v>0.25</v>
      </c>
      <c r="E576" s="63" t="n">
        <v>1</v>
      </c>
      <c r="F576" s="63" t="n">
        <v>0.44125</v>
      </c>
      <c r="G576" s="63" t="n">
        <v>0.19</v>
      </c>
      <c r="H576" s="63" t="n">
        <v>0.384907436629</v>
      </c>
      <c r="I576" s="63" t="n">
        <v>0.48829287048</v>
      </c>
      <c r="J576" s="63" t="n">
        <v>0.281522002778</v>
      </c>
      <c r="K576" s="63" t="n">
        <v>1121.02</v>
      </c>
      <c r="L576" s="63" t="n">
        <v>1076.7</v>
      </c>
      <c r="M576" s="63" t="n">
        <v>1121</v>
      </c>
      <c r="N576" s="54">
        <f>(M577-M576)/M576</f>
        <v/>
      </c>
      <c r="O576" s="54">
        <f>(M580-M576)/M576</f>
        <v/>
      </c>
      <c r="P576" s="4">
        <f>B576-D576</f>
        <v/>
      </c>
      <c r="Q576" s="4">
        <f>AVERAGE(P573:P576)</f>
        <v/>
      </c>
      <c r="R576" s="54">
        <f>(M577-M576)/M576</f>
        <v/>
      </c>
      <c r="S576" s="54">
        <f>(M580-M576)/M576</f>
        <v/>
      </c>
      <c r="T576" s="63">
        <f>IF(R576&gt;0,1,"")</f>
        <v/>
      </c>
      <c r="U576" s="63">
        <f>IF(S576&gt;0,1,"")</f>
        <v/>
      </c>
    </row>
    <row r="577">
      <c r="A577" s="35" t="n">
        <v>35922</v>
      </c>
      <c r="B577" s="4" t="n">
        <v>0.43</v>
      </c>
      <c r="C577" s="4" t="n">
        <v>0.34</v>
      </c>
      <c r="D577" s="4" t="n">
        <v>0.23</v>
      </c>
      <c r="E577" s="63" t="n">
        <v>1</v>
      </c>
      <c r="F577" s="63" t="n">
        <v>0.44</v>
      </c>
      <c r="G577" s="63" t="n">
        <v>0.2</v>
      </c>
      <c r="H577" s="63" t="n">
        <v>0.384907436629</v>
      </c>
      <c r="I577" s="63" t="n">
        <v>0.48829287048</v>
      </c>
      <c r="J577" s="63" t="n">
        <v>0.281522002778</v>
      </c>
      <c r="K577" s="63" t="n">
        <v>1130.52</v>
      </c>
      <c r="L577" s="63" t="n">
        <v>1094.53</v>
      </c>
      <c r="M577" s="63" t="n">
        <v>1108.14</v>
      </c>
      <c r="N577" s="54">
        <f>(M578-M577)/M577</f>
        <v/>
      </c>
      <c r="O577" s="54">
        <f>(M581-M577)/M577</f>
        <v/>
      </c>
      <c r="P577" s="4">
        <f>B577-D577</f>
        <v/>
      </c>
      <c r="Q577" s="4">
        <f>AVERAGE(P574:P577)</f>
        <v/>
      </c>
      <c r="R577" s="54">
        <f>(M578-M577)/M577</f>
        <v/>
      </c>
      <c r="S577" s="54">
        <f>(M581-M577)/M577</f>
        <v/>
      </c>
      <c r="T577" s="63">
        <f>IF(R577&gt;0,1,"")</f>
        <v/>
      </c>
      <c r="U577" s="63">
        <f>IF(S577&gt;0,1,"")</f>
        <v/>
      </c>
    </row>
    <row r="578">
      <c r="A578" s="35" t="n">
        <v>35929</v>
      </c>
      <c r="B578" s="4" t="n">
        <v>0.33</v>
      </c>
      <c r="C578" s="4" t="n">
        <v>0.41</v>
      </c>
      <c r="D578" s="4" t="n">
        <v>0.26</v>
      </c>
      <c r="E578" s="63" t="n">
        <v>1</v>
      </c>
      <c r="F578" s="63" t="n">
        <v>0.43125</v>
      </c>
      <c r="G578" s="63" t="n">
        <v>0.07000000000000001</v>
      </c>
      <c r="H578" s="63" t="n">
        <v>0.384907436629</v>
      </c>
      <c r="I578" s="63" t="n">
        <v>0.48829287048</v>
      </c>
      <c r="J578" s="63" t="n">
        <v>0.281522002778</v>
      </c>
      <c r="K578" s="63" t="n">
        <v>1124.03</v>
      </c>
      <c r="L578" s="63" t="n">
        <v>1102.78</v>
      </c>
      <c r="M578" s="63" t="n">
        <v>1108.73</v>
      </c>
      <c r="N578" s="54">
        <f>(M579-M578)/M578</f>
        <v/>
      </c>
      <c r="O578" s="54">
        <f>(M582-M578)/M578</f>
        <v/>
      </c>
      <c r="P578" s="4">
        <f>B578-D578</f>
        <v/>
      </c>
      <c r="Q578" s="4">
        <f>AVERAGE(P575:P578)</f>
        <v/>
      </c>
      <c r="R578" s="54">
        <f>(M579-M578)/M578</f>
        <v/>
      </c>
      <c r="S578" s="54">
        <f>(M582-M578)/M578</f>
        <v/>
      </c>
      <c r="T578" s="63">
        <f>IF(R578&gt;0,1,"")</f>
        <v/>
      </c>
      <c r="U578" s="63">
        <f>IF(S578&gt;0,1,"")</f>
        <v/>
      </c>
    </row>
    <row r="579">
      <c r="A579" s="35" t="n">
        <v>35936</v>
      </c>
      <c r="B579" s="4" t="n">
        <v>0.38</v>
      </c>
      <c r="C579" s="4" t="n">
        <v>0.39</v>
      </c>
      <c r="D579" s="4" t="n">
        <v>0.23</v>
      </c>
      <c r="E579" s="63" t="n">
        <v>1</v>
      </c>
      <c r="F579" s="63" t="n">
        <v>0.4225</v>
      </c>
      <c r="G579" s="63" t="n">
        <v>0.15</v>
      </c>
      <c r="H579" s="63" t="n">
        <v>0.384907436629</v>
      </c>
      <c r="I579" s="63" t="n">
        <v>0.48829287048</v>
      </c>
      <c r="J579" s="63" t="n">
        <v>0.281522002778</v>
      </c>
      <c r="K579" s="63" t="n">
        <v>1124.45</v>
      </c>
      <c r="L579" s="63" t="n">
        <v>1097.99</v>
      </c>
      <c r="M579" s="63" t="n">
        <v>1110.47</v>
      </c>
      <c r="N579" s="54">
        <f>(M580-M579)/M579</f>
        <v/>
      </c>
      <c r="O579" s="54">
        <f>(M583-M579)/M579</f>
        <v/>
      </c>
      <c r="P579" s="4">
        <f>B579-D579</f>
        <v/>
      </c>
      <c r="Q579" s="4">
        <f>AVERAGE(P576:P579)</f>
        <v/>
      </c>
      <c r="R579" s="54">
        <f>(M580-M579)/M579</f>
        <v/>
      </c>
      <c r="S579" s="54">
        <f>(M583-M579)/M579</f>
        <v/>
      </c>
      <c r="T579" s="63">
        <f>IF(R579&gt;0,1,"")</f>
        <v/>
      </c>
      <c r="U579" s="63">
        <f>IF(S579&gt;0,1,"")</f>
        <v/>
      </c>
    </row>
    <row r="580">
      <c r="A580" s="35" t="n">
        <v>35943</v>
      </c>
      <c r="B580" s="4" t="n">
        <v>0.34</v>
      </c>
      <c r="C580" s="4" t="n">
        <v>0.4</v>
      </c>
      <c r="D580" s="4" t="n">
        <v>0.26</v>
      </c>
      <c r="E580" s="63" t="n">
        <v>1</v>
      </c>
      <c r="F580" s="63" t="n">
        <v>0.4075</v>
      </c>
      <c r="G580" s="63" t="n">
        <v>0.08</v>
      </c>
      <c r="H580" s="63" t="n">
        <v>0.384907436629</v>
      </c>
      <c r="I580" s="63" t="n">
        <v>0.48829287048</v>
      </c>
      <c r="J580" s="63" t="n">
        <v>0.281522002778</v>
      </c>
      <c r="K580" s="63" t="n">
        <v>1116.79</v>
      </c>
      <c r="L580" s="63" t="n">
        <v>1074.39</v>
      </c>
      <c r="M580" s="63" t="n">
        <v>1090.82</v>
      </c>
      <c r="N580" s="54">
        <f>(M581-M580)/M580</f>
        <v/>
      </c>
      <c r="O580" s="54">
        <f>(M584-M580)/M580</f>
        <v/>
      </c>
      <c r="P580" s="4">
        <f>B580-D580</f>
        <v/>
      </c>
      <c r="Q580" s="4">
        <f>AVERAGE(P577:P580)</f>
        <v/>
      </c>
      <c r="R580" s="54">
        <f>(M581-M580)/M580</f>
        <v/>
      </c>
      <c r="S580" s="54">
        <f>(M584-M580)/M580</f>
        <v/>
      </c>
      <c r="T580" s="63">
        <f>IF(R580&gt;0,1,"")</f>
        <v/>
      </c>
      <c r="U580" s="63">
        <f>IF(S580&gt;0,1,"")</f>
        <v/>
      </c>
    </row>
    <row r="581">
      <c r="A581" s="35" t="n">
        <v>35950</v>
      </c>
      <c r="B581" s="4" t="n">
        <v>0.25</v>
      </c>
      <c r="C581" s="4" t="n">
        <v>0.44</v>
      </c>
      <c r="D581" s="4" t="n">
        <v>0.31</v>
      </c>
      <c r="E581" s="63" t="n">
        <v>1</v>
      </c>
      <c r="F581" s="63" t="n">
        <v>0.3875</v>
      </c>
      <c r="G581" s="63" t="n">
        <v>-0.06</v>
      </c>
      <c r="H581" s="63" t="n">
        <v>0.384907436629</v>
      </c>
      <c r="I581" s="63" t="n">
        <v>0.48829287048</v>
      </c>
      <c r="J581" s="63" t="n">
        <v>0.281522002778</v>
      </c>
      <c r="K581" s="63" t="n">
        <v>1113.88</v>
      </c>
      <c r="L581" s="63" t="n">
        <v>1078.1</v>
      </c>
      <c r="M581" s="63" t="n">
        <v>1113.86</v>
      </c>
      <c r="N581" s="54">
        <f>(M582-M581)/M581</f>
        <v/>
      </c>
      <c r="O581" s="54">
        <f>(M585-M581)/M581</f>
        <v/>
      </c>
      <c r="P581" s="4">
        <f>B581-D581</f>
        <v/>
      </c>
      <c r="Q581" s="4">
        <f>AVERAGE(P578:P581)</f>
        <v/>
      </c>
      <c r="R581" s="54">
        <f>(M582-M581)/M581</f>
        <v/>
      </c>
      <c r="S581" s="54">
        <f>(M585-M581)/M581</f>
        <v/>
      </c>
      <c r="T581" s="63">
        <f>IF(R581&gt;0,1,"")</f>
        <v/>
      </c>
      <c r="U581" s="63">
        <f>IF(S581&gt;0,1,"")</f>
        <v/>
      </c>
    </row>
    <row r="582">
      <c r="A582" s="35" t="n">
        <v>35957</v>
      </c>
      <c r="B582" s="4" t="n">
        <v>0.27</v>
      </c>
      <c r="C582" s="4" t="n">
        <v>0.49</v>
      </c>
      <c r="D582" s="4" t="n">
        <v>0.24</v>
      </c>
      <c r="E582" s="63" t="n">
        <v>1</v>
      </c>
      <c r="F582" s="63" t="n">
        <v>0.355</v>
      </c>
      <c r="G582" s="63" t="n">
        <v>0.03</v>
      </c>
      <c r="H582" s="63" t="n">
        <v>0.384907436629</v>
      </c>
      <c r="I582" s="63" t="n">
        <v>0.48829287048</v>
      </c>
      <c r="J582" s="63" t="n">
        <v>0.281522002778</v>
      </c>
      <c r="K582" s="63" t="n">
        <v>1126</v>
      </c>
      <c r="L582" s="63" t="n">
        <v>1080.83</v>
      </c>
      <c r="M582" s="63" t="n">
        <v>1098.84</v>
      </c>
      <c r="N582" s="54">
        <f>(M583-M582)/M582</f>
        <v/>
      </c>
      <c r="O582" s="54">
        <f>(M586-M582)/M582</f>
        <v/>
      </c>
      <c r="P582" s="4">
        <f>B582-D582</f>
        <v/>
      </c>
      <c r="Q582" s="4">
        <f>AVERAGE(P579:P582)</f>
        <v/>
      </c>
      <c r="R582" s="54">
        <f>(M583-M582)/M582</f>
        <v/>
      </c>
      <c r="S582" s="54">
        <f>(M586-M582)/M582</f>
        <v/>
      </c>
      <c r="T582" s="63">
        <f>IF(R582&gt;0,1,"")</f>
        <v/>
      </c>
      <c r="U582" s="63">
        <f>IF(S582&gt;0,1,"")</f>
        <v/>
      </c>
    </row>
    <row r="583">
      <c r="A583" s="35" t="n">
        <v>35964</v>
      </c>
      <c r="B583" s="4" t="n">
        <v>0.29</v>
      </c>
      <c r="C583" s="4" t="n">
        <v>0.38</v>
      </c>
      <c r="D583" s="4" t="n">
        <v>0.33</v>
      </c>
      <c r="E583" s="63" t="n">
        <v>1</v>
      </c>
      <c r="F583" s="63" t="n">
        <v>0.34125</v>
      </c>
      <c r="G583" s="63" t="n">
        <v>-0.04</v>
      </c>
      <c r="H583" s="63" t="n">
        <v>0.384907436629</v>
      </c>
      <c r="I583" s="63" t="n">
        <v>0.48829287048</v>
      </c>
      <c r="J583" s="63" t="n">
        <v>0.281522002778</v>
      </c>
      <c r="K583" s="63" t="n">
        <v>1112.87</v>
      </c>
      <c r="L583" s="63" t="n">
        <v>1074.67</v>
      </c>
      <c r="M583" s="63" t="n">
        <v>1100.65</v>
      </c>
      <c r="N583" s="54">
        <f>(M584-M583)/M583</f>
        <v/>
      </c>
      <c r="O583" s="54">
        <f>(M587-M583)/M583</f>
        <v/>
      </c>
      <c r="P583" s="4">
        <f>B583-D583</f>
        <v/>
      </c>
      <c r="Q583" s="4">
        <f>AVERAGE(P580:P583)</f>
        <v/>
      </c>
      <c r="R583" s="54">
        <f>(M584-M583)/M583</f>
        <v/>
      </c>
      <c r="S583" s="54">
        <f>(M587-M583)/M583</f>
        <v/>
      </c>
      <c r="T583" s="63">
        <f>IF(R583&gt;0,1,"")</f>
        <v/>
      </c>
      <c r="U583" s="63">
        <f>IF(S583&gt;0,1,"")</f>
        <v/>
      </c>
    </row>
    <row r="584">
      <c r="A584" s="35" t="n">
        <v>35971</v>
      </c>
      <c r="B584" s="4" t="n">
        <v>0.28</v>
      </c>
      <c r="C584" s="4" t="n">
        <v>0.44</v>
      </c>
      <c r="D584" s="4" t="n">
        <v>0.28</v>
      </c>
      <c r="E584" s="63" t="n">
        <v>1</v>
      </c>
      <c r="F584" s="63" t="n">
        <v>0.32125</v>
      </c>
      <c r="G584" s="63" t="n">
        <v>0</v>
      </c>
      <c r="H584" s="63" t="n">
        <v>0.384907436629</v>
      </c>
      <c r="I584" s="63" t="n">
        <v>0.48829287048</v>
      </c>
      <c r="J584" s="63" t="n">
        <v>0.281522002778</v>
      </c>
      <c r="K584" s="63" t="n">
        <v>1142.04</v>
      </c>
      <c r="L584" s="63" t="n">
        <v>1099.42</v>
      </c>
      <c r="M584" s="63" t="n">
        <v>1133.2</v>
      </c>
      <c r="N584" s="54">
        <f>(M585-M584)/M584</f>
        <v/>
      </c>
      <c r="O584" s="54">
        <f>(M588-M584)/M584</f>
        <v/>
      </c>
      <c r="P584" s="4">
        <f>B584-D584</f>
        <v/>
      </c>
      <c r="Q584" s="4">
        <f>AVERAGE(P581:P584)</f>
        <v/>
      </c>
      <c r="R584" s="54">
        <f>(M585-M584)/M584</f>
        <v/>
      </c>
      <c r="S584" s="54">
        <f>(M588-M584)/M584</f>
        <v/>
      </c>
      <c r="T584" s="63">
        <f>IF(R584&gt;0,1,"")</f>
        <v/>
      </c>
      <c r="U584" s="63">
        <f>IF(S584&gt;0,1,"")</f>
        <v/>
      </c>
    </row>
    <row r="585">
      <c r="A585" s="35" t="n">
        <v>35978</v>
      </c>
      <c r="B585" s="4" t="n">
        <v>0.33</v>
      </c>
      <c r="C585" s="4" t="n">
        <v>0.48</v>
      </c>
      <c r="D585" s="4" t="n">
        <v>0.19</v>
      </c>
      <c r="E585" s="63" t="n">
        <v>1</v>
      </c>
      <c r="F585" s="63" t="n">
        <v>0.30875</v>
      </c>
      <c r="G585" s="63" t="n">
        <v>0.14</v>
      </c>
      <c r="H585" s="63" t="n">
        <v>0.384907436629</v>
      </c>
      <c r="I585" s="63" t="n">
        <v>0.48829287048</v>
      </c>
      <c r="J585" s="63" t="n">
        <v>0.281522002778</v>
      </c>
      <c r="K585" s="63" t="n">
        <v>1148.56</v>
      </c>
      <c r="L585" s="63" t="n">
        <v>1131.91</v>
      </c>
      <c r="M585" s="63" t="n">
        <v>1146.42</v>
      </c>
      <c r="N585" s="54">
        <f>(M586-M585)/M585</f>
        <v/>
      </c>
      <c r="O585" s="54">
        <f>(M589-M585)/M585</f>
        <v/>
      </c>
      <c r="P585" s="4">
        <f>B585-D585</f>
        <v/>
      </c>
      <c r="Q585" s="4">
        <f>AVERAGE(P582:P585)</f>
        <v/>
      </c>
      <c r="R585" s="54">
        <f>(M586-M585)/M585</f>
        <v/>
      </c>
      <c r="S585" s="54">
        <f>(M589-M585)/M585</f>
        <v/>
      </c>
      <c r="T585" s="63">
        <f>IF(R585&gt;0,1,"")</f>
        <v/>
      </c>
      <c r="U585" s="63">
        <f>IF(S585&gt;0,1,"")</f>
        <v/>
      </c>
    </row>
    <row r="586">
      <c r="A586" s="35" t="n">
        <v>35985</v>
      </c>
      <c r="B586" s="4" t="n">
        <v>0.36</v>
      </c>
      <c r="C586" s="4" t="n">
        <v>0.44</v>
      </c>
      <c r="D586" s="4" t="n">
        <v>0.2</v>
      </c>
      <c r="E586" s="63" t="n">
        <v>1</v>
      </c>
      <c r="F586" s="63" t="n">
        <v>0.3125</v>
      </c>
      <c r="G586" s="63" t="n">
        <v>0.16</v>
      </c>
      <c r="H586" s="63" t="n">
        <v>0.384907436629</v>
      </c>
      <c r="I586" s="63" t="n">
        <v>0.48829287048</v>
      </c>
      <c r="J586" s="63" t="n">
        <v>0.281522002778</v>
      </c>
      <c r="K586" s="63" t="n">
        <v>1166.93</v>
      </c>
      <c r="L586" s="63" t="n">
        <v>1145.03</v>
      </c>
      <c r="M586" s="63" t="n">
        <v>1164.33</v>
      </c>
      <c r="N586" s="54">
        <f>(M587-M586)/M586</f>
        <v/>
      </c>
      <c r="O586" s="54">
        <f>(M590-M586)/M586</f>
        <v/>
      </c>
      <c r="P586" s="4">
        <f>B586-D586</f>
        <v/>
      </c>
      <c r="Q586" s="4">
        <f>AVERAGE(P583:P586)</f>
        <v/>
      </c>
      <c r="R586" s="54">
        <f>(M587-M586)/M586</f>
        <v/>
      </c>
      <c r="S586" s="54">
        <f>(M590-M586)/M586</f>
        <v/>
      </c>
      <c r="T586" s="63">
        <f>IF(R586&gt;0,1,"")</f>
        <v/>
      </c>
      <c r="U586" s="63">
        <f>IF(S586&gt;0,1,"")</f>
        <v/>
      </c>
    </row>
    <row r="587">
      <c r="A587" s="35" t="n">
        <v>35992</v>
      </c>
      <c r="B587" s="4" t="n">
        <v>0.35</v>
      </c>
      <c r="C587" s="4" t="n">
        <v>0.44</v>
      </c>
      <c r="D587" s="4" t="n">
        <v>0.21</v>
      </c>
      <c r="E587" s="63" t="n">
        <v>1</v>
      </c>
      <c r="F587" s="63" t="n">
        <v>0.30875</v>
      </c>
      <c r="G587" s="63" t="n">
        <v>0.14</v>
      </c>
      <c r="H587" s="63" t="n">
        <v>0.384907436629</v>
      </c>
      <c r="I587" s="63" t="n">
        <v>0.48829287048</v>
      </c>
      <c r="J587" s="63" t="n">
        <v>0.281522002778</v>
      </c>
      <c r="K587" s="63" t="n">
        <v>1188.1</v>
      </c>
      <c r="L587" s="63" t="n">
        <v>1160.21</v>
      </c>
      <c r="M587" s="63" t="n">
        <v>1186.75</v>
      </c>
      <c r="N587" s="54">
        <f>(M588-M587)/M587</f>
        <v/>
      </c>
      <c r="O587" s="54">
        <f>(M591-M587)/M587</f>
        <v/>
      </c>
      <c r="P587" s="4">
        <f>B587-D587</f>
        <v/>
      </c>
      <c r="Q587" s="4">
        <f>AVERAGE(P584:P587)</f>
        <v/>
      </c>
      <c r="R587" s="54">
        <f>(M588-M587)/M587</f>
        <v/>
      </c>
      <c r="S587" s="54">
        <f>(M591-M587)/M587</f>
        <v/>
      </c>
      <c r="T587" s="63">
        <f>IF(R587&gt;0,1,"")</f>
        <v/>
      </c>
      <c r="U587" s="63">
        <f>IF(S587&gt;0,1,"")</f>
        <v/>
      </c>
    </row>
    <row r="588">
      <c r="A588" s="35" t="n">
        <v>35999</v>
      </c>
      <c r="B588" s="4" t="n">
        <v>0.37</v>
      </c>
      <c r="C588" s="4" t="n">
        <v>0.39</v>
      </c>
      <c r="D588" s="4" t="n">
        <v>0.24</v>
      </c>
      <c r="E588" s="63" t="n">
        <v>1</v>
      </c>
      <c r="F588" s="63" t="n">
        <v>0.3125</v>
      </c>
      <c r="G588" s="63" t="n">
        <v>0.13</v>
      </c>
      <c r="H588" s="63" t="n">
        <v>0.384907436629</v>
      </c>
      <c r="I588" s="63" t="n">
        <v>0.48829287048</v>
      </c>
      <c r="J588" s="63" t="n">
        <v>0.281522002778</v>
      </c>
      <c r="K588" s="63" t="n">
        <v>1190.58</v>
      </c>
      <c r="L588" s="63" t="n">
        <v>1129.11</v>
      </c>
      <c r="M588" s="63" t="n">
        <v>1140.8</v>
      </c>
      <c r="N588" s="54">
        <f>(M589-M588)/M588</f>
        <v/>
      </c>
      <c r="O588" s="54">
        <f>(M592-M588)/M588</f>
        <v/>
      </c>
      <c r="P588" s="4">
        <f>B588-D588</f>
        <v/>
      </c>
      <c r="Q588" s="4">
        <f>AVERAGE(P585:P588)</f>
        <v/>
      </c>
      <c r="R588" s="54">
        <f>(M589-M588)/M588</f>
        <v/>
      </c>
      <c r="S588" s="54">
        <f>(M592-M588)/M588</f>
        <v/>
      </c>
      <c r="T588" s="63">
        <f>IF(R588&gt;0,1,"")</f>
        <v/>
      </c>
      <c r="U588" s="63">
        <f>IF(S588&gt;0,1,"")</f>
        <v/>
      </c>
    </row>
    <row r="589">
      <c r="A589" s="35" t="n">
        <v>36006</v>
      </c>
      <c r="B589" s="4" t="n">
        <v>0.44</v>
      </c>
      <c r="C589" s="4" t="n">
        <v>0.36</v>
      </c>
      <c r="D589" s="4" t="n">
        <v>0.2</v>
      </c>
      <c r="E589" s="63" t="n">
        <v>1</v>
      </c>
      <c r="F589" s="63" t="n">
        <v>0.33625</v>
      </c>
      <c r="G589" s="63" t="n">
        <v>0.24</v>
      </c>
      <c r="H589" s="63" t="n">
        <v>0.384907436629</v>
      </c>
      <c r="I589" s="63" t="n">
        <v>0.48829287048</v>
      </c>
      <c r="J589" s="63" t="n">
        <v>0.281522002778</v>
      </c>
      <c r="K589" s="63" t="n">
        <v>1147.27</v>
      </c>
      <c r="L589" s="63" t="n">
        <v>1114.3</v>
      </c>
      <c r="M589" s="63" t="n">
        <v>1120.67</v>
      </c>
      <c r="N589" s="54">
        <f>(M590-M589)/M589</f>
        <v/>
      </c>
      <c r="O589" s="54">
        <f>(M593-M589)/M589</f>
        <v/>
      </c>
      <c r="P589" s="4">
        <f>B589-D589</f>
        <v/>
      </c>
      <c r="Q589" s="4">
        <f>AVERAGE(P586:P589)</f>
        <v/>
      </c>
      <c r="R589" s="54">
        <f>(M590-M589)/M589</f>
        <v/>
      </c>
      <c r="S589" s="54">
        <f>(M593-M589)/M589</f>
        <v/>
      </c>
      <c r="T589" s="63">
        <f>IF(R589&gt;0,1,"")</f>
        <v/>
      </c>
      <c r="U589" s="63">
        <f>IF(S589&gt;0,1,"")</f>
        <v/>
      </c>
    </row>
    <row r="590">
      <c r="A590" s="35" t="n">
        <v>36013</v>
      </c>
      <c r="B590" s="4" t="n">
        <v>0.3</v>
      </c>
      <c r="C590" s="4" t="n">
        <v>0.44</v>
      </c>
      <c r="D590" s="4" t="n">
        <v>0.26</v>
      </c>
      <c r="E590" s="63" t="n">
        <v>1</v>
      </c>
      <c r="F590" s="63" t="n">
        <v>0.34</v>
      </c>
      <c r="G590" s="63" t="n">
        <v>0.04</v>
      </c>
      <c r="H590" s="63" t="n">
        <v>0.384907436629</v>
      </c>
      <c r="I590" s="63" t="n">
        <v>0.48829287048</v>
      </c>
      <c r="J590" s="63" t="n">
        <v>0.281522002778</v>
      </c>
      <c r="K590" s="63" t="n">
        <v>1121.79</v>
      </c>
      <c r="L590" s="63" t="n">
        <v>1057.35</v>
      </c>
      <c r="M590" s="63" t="n">
        <v>1089.45</v>
      </c>
      <c r="N590" s="54">
        <f>(M591-M590)/M590</f>
        <v/>
      </c>
      <c r="O590" s="54">
        <f>(M594-M590)/M590</f>
        <v/>
      </c>
      <c r="P590" s="4">
        <f>B590-D590</f>
        <v/>
      </c>
      <c r="Q590" s="4">
        <f>AVERAGE(P587:P590)</f>
        <v/>
      </c>
      <c r="R590" s="54">
        <f>(M591-M590)/M590</f>
        <v/>
      </c>
      <c r="S590" s="54">
        <f>(M594-M590)/M590</f>
        <v/>
      </c>
      <c r="T590" s="63">
        <f>IF(R590&gt;0,1,"")</f>
        <v/>
      </c>
      <c r="U590" s="63">
        <f>IF(S590&gt;0,1,"")</f>
        <v/>
      </c>
    </row>
    <row r="591">
      <c r="A591" s="35" t="n">
        <v>36020</v>
      </c>
      <c r="B591" s="4" t="n">
        <v>0.27</v>
      </c>
      <c r="C591" s="4" t="n">
        <v>0.38</v>
      </c>
      <c r="D591" s="4" t="n">
        <v>0.35</v>
      </c>
      <c r="E591" s="63" t="n">
        <v>1</v>
      </c>
      <c r="F591" s="63" t="n">
        <v>0.3375</v>
      </c>
      <c r="G591" s="63" t="n">
        <v>-0.08</v>
      </c>
      <c r="H591" s="63" t="n">
        <v>0.384907436629</v>
      </c>
      <c r="I591" s="63" t="n">
        <v>0.48829287048</v>
      </c>
      <c r="J591" s="63" t="n">
        <v>0.281522002778</v>
      </c>
      <c r="K591" s="63" t="n">
        <v>1092.82</v>
      </c>
      <c r="L591" s="63" t="n">
        <v>1054</v>
      </c>
      <c r="M591" s="63" t="n">
        <v>1062.75</v>
      </c>
      <c r="N591" s="54">
        <f>(M592-M591)/M591</f>
        <v/>
      </c>
      <c r="O591" s="54">
        <f>(M595-M591)/M591</f>
        <v/>
      </c>
      <c r="P591" s="4">
        <f>B591-D591</f>
        <v/>
      </c>
      <c r="Q591" s="4">
        <f>AVERAGE(P588:P591)</f>
        <v/>
      </c>
      <c r="R591" s="54">
        <f>(M592-M591)/M591</f>
        <v/>
      </c>
      <c r="S591" s="54">
        <f>(M595-M591)/M591</f>
        <v/>
      </c>
      <c r="T591" s="63">
        <f>IF(R591&gt;0,1,"")</f>
        <v/>
      </c>
      <c r="U591" s="63">
        <f>IF(S591&gt;0,1,"")</f>
        <v/>
      </c>
    </row>
    <row r="592">
      <c r="A592" s="35" t="n">
        <v>36027</v>
      </c>
      <c r="B592" s="4" t="n">
        <v>0.25</v>
      </c>
      <c r="C592" s="4" t="n">
        <v>0.42</v>
      </c>
      <c r="D592" s="4" t="n">
        <v>0.33</v>
      </c>
      <c r="E592" s="63" t="n">
        <v>1</v>
      </c>
      <c r="F592" s="63" t="n">
        <v>0.33375</v>
      </c>
      <c r="G592" s="63" t="n">
        <v>-0.08</v>
      </c>
      <c r="H592" s="63" t="n">
        <v>0.384907436629</v>
      </c>
      <c r="I592" s="63" t="n">
        <v>0.48829287048</v>
      </c>
      <c r="J592" s="63" t="n">
        <v>0.281522002778</v>
      </c>
      <c r="K592" s="63" t="n">
        <v>1106.32</v>
      </c>
      <c r="L592" s="63" t="n">
        <v>1054.92</v>
      </c>
      <c r="M592" s="63" t="n">
        <v>1081.24</v>
      </c>
      <c r="N592" s="54">
        <f>(M593-M592)/M592</f>
        <v/>
      </c>
      <c r="O592" s="54">
        <f>(M596-M592)/M592</f>
        <v/>
      </c>
      <c r="P592" s="4">
        <f>B592-D592</f>
        <v/>
      </c>
      <c r="Q592" s="4">
        <f>AVERAGE(P589:P592)</f>
        <v/>
      </c>
      <c r="R592" s="54">
        <f>(M593-M592)/M592</f>
        <v/>
      </c>
      <c r="S592" s="54">
        <f>(M596-M592)/M592</f>
        <v/>
      </c>
      <c r="T592" s="63">
        <f>IF(R592&gt;0,1,"")</f>
        <v/>
      </c>
      <c r="U592" s="63">
        <f>IF(S592&gt;0,1,"")</f>
        <v/>
      </c>
    </row>
    <row r="593">
      <c r="A593" s="35" t="n">
        <v>36034</v>
      </c>
      <c r="B593" s="4" t="n">
        <v>0.23</v>
      </c>
      <c r="C593" s="4" t="n">
        <v>0.32</v>
      </c>
      <c r="D593" s="4" t="n">
        <v>0.45</v>
      </c>
      <c r="E593" s="63" t="n">
        <v>1</v>
      </c>
      <c r="F593" s="63" t="n">
        <v>0.32125</v>
      </c>
      <c r="G593" s="63" t="n">
        <v>-0.22</v>
      </c>
      <c r="H593" s="63" t="n">
        <v>0.384907436629</v>
      </c>
      <c r="I593" s="63" t="n">
        <v>0.48829287048</v>
      </c>
      <c r="J593" s="63" t="n">
        <v>0.281522002778</v>
      </c>
      <c r="K593" s="63" t="n">
        <v>1106.64</v>
      </c>
      <c r="L593" s="63" t="n">
        <v>1021.04</v>
      </c>
      <c r="M593" s="63" t="n">
        <v>1027.04</v>
      </c>
      <c r="N593" s="54">
        <f>(M594-M593)/M593</f>
        <v/>
      </c>
      <c r="O593" s="54">
        <f>(M597-M593)/M593</f>
        <v/>
      </c>
      <c r="P593" s="4">
        <f>B593-D593</f>
        <v/>
      </c>
      <c r="Q593" s="4">
        <f>AVERAGE(P590:P593)</f>
        <v/>
      </c>
      <c r="R593" s="54">
        <f>(M594-M593)/M593</f>
        <v/>
      </c>
      <c r="S593" s="54">
        <f>(M597-M593)/M593</f>
        <v/>
      </c>
      <c r="T593" s="63">
        <f>IF(R593&gt;0,1,"")</f>
        <v/>
      </c>
      <c r="U593" s="63">
        <f>IF(S593&gt;0,1,"")</f>
        <v/>
      </c>
    </row>
    <row r="594">
      <c r="A594" s="35" t="n">
        <v>36041</v>
      </c>
      <c r="B594" s="4" t="n">
        <v>0.23</v>
      </c>
      <c r="C594" s="4" t="n">
        <v>0.37</v>
      </c>
      <c r="D594" s="4" t="n">
        <v>0.4</v>
      </c>
      <c r="E594" s="63" t="n">
        <v>1</v>
      </c>
      <c r="F594" s="63" t="n">
        <v>0.305</v>
      </c>
      <c r="G594" s="63" t="n">
        <v>-0.17</v>
      </c>
      <c r="H594" s="63" t="n">
        <v>0.384907436629</v>
      </c>
      <c r="I594" s="63" t="n">
        <v>0.48829287048</v>
      </c>
      <c r="J594" s="63" t="n">
        <v>0.281522002778</v>
      </c>
      <c r="K594" s="63" t="n">
        <v>1033.47</v>
      </c>
      <c r="L594" s="63" t="n">
        <v>939.98</v>
      </c>
      <c r="M594" s="63" t="n">
        <v>973.89</v>
      </c>
      <c r="N594" s="54">
        <f>(M595-M594)/M594</f>
        <v/>
      </c>
      <c r="O594" s="54">
        <f>(M598-M594)/M594</f>
        <v/>
      </c>
      <c r="P594" s="4">
        <f>B594-D594</f>
        <v/>
      </c>
      <c r="Q594" s="4">
        <f>AVERAGE(P591:P594)</f>
        <v/>
      </c>
      <c r="R594" s="54">
        <f>(M595-M594)/M594</f>
        <v/>
      </c>
      <c r="S594" s="54">
        <f>(M598-M594)/M594</f>
        <v/>
      </c>
      <c r="T594" s="63">
        <f>IF(R594&gt;0,1,"")</f>
        <v/>
      </c>
      <c r="U594" s="63">
        <f>IF(S594&gt;0,1,"")</f>
        <v/>
      </c>
    </row>
    <row r="595">
      <c r="A595" s="35" t="n">
        <v>36048</v>
      </c>
      <c r="B595" s="4" t="n">
        <v>0.29</v>
      </c>
      <c r="C595" s="4" t="n">
        <v>0.31</v>
      </c>
      <c r="D595" s="4" t="n">
        <v>0.4</v>
      </c>
      <c r="E595" s="63" t="n">
        <v>1</v>
      </c>
      <c r="F595" s="63" t="n">
        <v>0.2975</v>
      </c>
      <c r="G595" s="63" t="n">
        <v>-0.11</v>
      </c>
      <c r="H595" s="63" t="n">
        <v>0.384907436629</v>
      </c>
      <c r="I595" s="63" t="n">
        <v>0.48829287048</v>
      </c>
      <c r="J595" s="63" t="n">
        <v>0.281522002778</v>
      </c>
      <c r="K595" s="63" t="n">
        <v>1027.72</v>
      </c>
      <c r="L595" s="63" t="n">
        <v>968.64</v>
      </c>
      <c r="M595" s="63" t="n">
        <v>1009.06</v>
      </c>
      <c r="N595" s="54">
        <f>(M596-M595)/M595</f>
        <v/>
      </c>
      <c r="O595" s="54">
        <f>(M599-M595)/M595</f>
        <v/>
      </c>
      <c r="P595" s="4">
        <f>B595-D595</f>
        <v/>
      </c>
      <c r="Q595" s="4">
        <f>AVERAGE(P592:P595)</f>
        <v/>
      </c>
      <c r="R595" s="54">
        <f>(M596-M595)/M595</f>
        <v/>
      </c>
      <c r="S595" s="54">
        <f>(M599-M595)/M595</f>
        <v/>
      </c>
      <c r="T595" s="63">
        <f>IF(R595&gt;0,1,"")</f>
        <v/>
      </c>
      <c r="U595" s="63">
        <f>IF(S595&gt;0,1,"")</f>
        <v/>
      </c>
    </row>
    <row r="596">
      <c r="A596" s="35" t="n">
        <v>36055</v>
      </c>
      <c r="B596" s="4" t="n">
        <v>0.34</v>
      </c>
      <c r="C596" s="4" t="n">
        <v>0.35</v>
      </c>
      <c r="D596" s="4" t="n">
        <v>0.31</v>
      </c>
      <c r="E596" s="63" t="n">
        <v>1</v>
      </c>
      <c r="F596" s="63" t="n">
        <v>0.29375</v>
      </c>
      <c r="G596" s="63" t="n">
        <v>0.03</v>
      </c>
      <c r="H596" s="63" t="n">
        <v>0.384907436629</v>
      </c>
      <c r="I596" s="63" t="n">
        <v>0.48829287048</v>
      </c>
      <c r="J596" s="63" t="n">
        <v>0.281522002778</v>
      </c>
      <c r="K596" s="63" t="n">
        <v>1046.07</v>
      </c>
      <c r="L596" s="63" t="n">
        <v>1009.06</v>
      </c>
      <c r="M596" s="63" t="n">
        <v>1020.09</v>
      </c>
      <c r="N596" s="54">
        <f>(M597-M596)/M596</f>
        <v/>
      </c>
      <c r="O596" s="54">
        <f>(M600-M596)/M596</f>
        <v/>
      </c>
      <c r="P596" s="4">
        <f>B596-D596</f>
        <v/>
      </c>
      <c r="Q596" s="4">
        <f>AVERAGE(P593:P596)</f>
        <v/>
      </c>
      <c r="R596" s="54">
        <f>(M597-M596)/M596</f>
        <v/>
      </c>
      <c r="S596" s="54">
        <f>(M600-M596)/M596</f>
        <v/>
      </c>
      <c r="T596" s="63">
        <f>IF(R596&gt;0,1,"")</f>
        <v/>
      </c>
      <c r="U596" s="63">
        <f>IF(S596&gt;0,1,"")</f>
        <v/>
      </c>
    </row>
    <row r="597">
      <c r="A597" s="35" t="n">
        <v>36062</v>
      </c>
      <c r="B597" s="4" t="n">
        <v>0.34</v>
      </c>
      <c r="C597" s="4" t="n">
        <v>0.38</v>
      </c>
      <c r="D597" s="4" t="n">
        <v>0.28</v>
      </c>
      <c r="E597" s="63" t="n">
        <v>1</v>
      </c>
      <c r="F597" s="63" t="n">
        <v>0.28125</v>
      </c>
      <c r="G597" s="63" t="n">
        <v>0.06</v>
      </c>
      <c r="H597" s="63" t="n">
        <v>0.384907436629</v>
      </c>
      <c r="I597" s="63" t="n">
        <v>0.48829287048</v>
      </c>
      <c r="J597" s="63" t="n">
        <v>0.281522002778</v>
      </c>
      <c r="K597" s="63" t="n">
        <v>1066.11</v>
      </c>
      <c r="L597" s="63" t="n">
        <v>993.8200000000001</v>
      </c>
      <c r="M597" s="63" t="n">
        <v>1044.75</v>
      </c>
      <c r="N597" s="54">
        <f>(M598-M597)/M597</f>
        <v/>
      </c>
      <c r="O597" s="54">
        <f>(M601-M597)/M597</f>
        <v/>
      </c>
      <c r="P597" s="4">
        <f>B597-D597</f>
        <v/>
      </c>
      <c r="Q597" s="4">
        <f>AVERAGE(P594:P597)</f>
        <v/>
      </c>
      <c r="R597" s="54">
        <f>(M598-M597)/M597</f>
        <v/>
      </c>
      <c r="S597" s="54">
        <f>(M601-M597)/M597</f>
        <v/>
      </c>
      <c r="T597" s="63">
        <f>IF(R597&gt;0,1,"")</f>
        <v/>
      </c>
      <c r="U597" s="63">
        <f>IF(S597&gt;0,1,"")</f>
        <v/>
      </c>
    </row>
    <row r="598">
      <c r="A598" s="35" t="n">
        <v>36069</v>
      </c>
      <c r="B598" s="4" t="n">
        <v>0.32</v>
      </c>
      <c r="C598" s="4" t="n">
        <v>0.35</v>
      </c>
      <c r="D598" s="4" t="n">
        <v>0.33</v>
      </c>
      <c r="E598" s="63" t="n">
        <v>1</v>
      </c>
      <c r="F598" s="63" t="n">
        <v>0.28375</v>
      </c>
      <c r="G598" s="63" t="n">
        <v>-0.01</v>
      </c>
      <c r="H598" s="63" t="n">
        <v>0.384907436629</v>
      </c>
      <c r="I598" s="63" t="n">
        <v>0.48829287048</v>
      </c>
      <c r="J598" s="63" t="n">
        <v>0.281522002778</v>
      </c>
      <c r="K598" s="63" t="n">
        <v>1061.46</v>
      </c>
      <c r="L598" s="63" t="n">
        <v>971.65</v>
      </c>
      <c r="M598" s="63" t="n">
        <v>1002.6</v>
      </c>
      <c r="N598" s="54">
        <f>(M599-M598)/M598</f>
        <v/>
      </c>
      <c r="O598" s="54">
        <f>(M602-M598)/M598</f>
        <v/>
      </c>
      <c r="P598" s="4">
        <f>B598-D598</f>
        <v/>
      </c>
      <c r="Q598" s="4">
        <f>AVERAGE(P595:P598)</f>
        <v/>
      </c>
      <c r="R598" s="54">
        <f>(M599-M598)/M598</f>
        <v/>
      </c>
      <c r="S598" s="54">
        <f>(M602-M598)/M598</f>
        <v/>
      </c>
      <c r="T598" s="63">
        <f>IF(R598&gt;0,1,"")</f>
        <v/>
      </c>
      <c r="U598" s="63">
        <f>IF(S598&gt;0,1,"")</f>
        <v/>
      </c>
    </row>
    <row r="599">
      <c r="A599" s="35" t="n">
        <v>36076</v>
      </c>
      <c r="B599" s="4" t="n">
        <v>0.25</v>
      </c>
      <c r="C599" s="4" t="n">
        <v>0.43</v>
      </c>
      <c r="D599" s="4" t="n">
        <v>0.32</v>
      </c>
      <c r="E599" s="63" t="n">
        <v>1</v>
      </c>
      <c r="F599" s="63" t="n">
        <v>0.28125</v>
      </c>
      <c r="G599" s="63" t="n">
        <v>-0.07000000000000001</v>
      </c>
      <c r="H599" s="63" t="n">
        <v>0.384907436629</v>
      </c>
      <c r="I599" s="63" t="n">
        <v>0.48829287048</v>
      </c>
      <c r="J599" s="63" t="n">
        <v>0.281522002778</v>
      </c>
      <c r="K599" s="63" t="n">
        <v>1008.77</v>
      </c>
      <c r="L599" s="63" t="n">
        <v>923.3200000000001</v>
      </c>
      <c r="M599" s="63" t="n">
        <v>984.39</v>
      </c>
      <c r="N599" s="54">
        <f>(M600-M599)/M599</f>
        <v/>
      </c>
      <c r="O599" s="54">
        <f>(M603-M599)/M599</f>
        <v/>
      </c>
      <c r="P599" s="4">
        <f>B599-D599</f>
        <v/>
      </c>
      <c r="Q599" s="4">
        <f>AVERAGE(P596:P599)</f>
        <v/>
      </c>
      <c r="R599" s="54">
        <f>(M600-M599)/M599</f>
        <v/>
      </c>
      <c r="S599" s="54">
        <f>(M603-M599)/M599</f>
        <v/>
      </c>
      <c r="T599" s="63">
        <f>IF(R599&gt;0,1,"")</f>
        <v/>
      </c>
      <c r="U599" s="63">
        <f>IF(S599&gt;0,1,"")</f>
        <v/>
      </c>
    </row>
    <row r="600">
      <c r="A600" s="35" t="n">
        <v>36083</v>
      </c>
      <c r="B600" s="4" t="n">
        <v>0.25</v>
      </c>
      <c r="C600" s="4" t="n">
        <v>0.34</v>
      </c>
      <c r="D600" s="4" t="n">
        <v>0.41</v>
      </c>
      <c r="E600" s="63" t="n">
        <v>1</v>
      </c>
      <c r="F600" s="63" t="n">
        <v>0.28125</v>
      </c>
      <c r="G600" s="63" t="n">
        <v>-0.16</v>
      </c>
      <c r="H600" s="63" t="n">
        <v>0.384907436629</v>
      </c>
      <c r="I600" s="63" t="n">
        <v>0.48829287048</v>
      </c>
      <c r="J600" s="63" t="n">
        <v>0.281522002778</v>
      </c>
      <c r="K600" s="63" t="n">
        <v>1062.65</v>
      </c>
      <c r="L600" s="63" t="n">
        <v>984.39</v>
      </c>
      <c r="M600" s="63" t="n">
        <v>1056.42</v>
      </c>
      <c r="N600" s="54">
        <f>(M601-M600)/M600</f>
        <v/>
      </c>
      <c r="O600" s="54">
        <f>(M604-M600)/M600</f>
        <v/>
      </c>
      <c r="P600" s="4">
        <f>B600-D600</f>
        <v/>
      </c>
      <c r="Q600" s="4">
        <f>AVERAGE(P597:P600)</f>
        <v/>
      </c>
      <c r="R600" s="54">
        <f>(M601-M600)/M600</f>
        <v/>
      </c>
      <c r="S600" s="54">
        <f>(M604-M600)/M600</f>
        <v/>
      </c>
      <c r="T600" s="63">
        <f>IF(R600&gt;0,1,"")</f>
        <v/>
      </c>
      <c r="U600" s="63">
        <f>IF(S600&gt;0,1,"")</f>
        <v/>
      </c>
    </row>
    <row r="601">
      <c r="A601" s="35" t="n">
        <v>36090</v>
      </c>
      <c r="B601" s="4" t="n">
        <v>0.32</v>
      </c>
      <c r="C601" s="4" t="n">
        <v>0.35</v>
      </c>
      <c r="D601" s="4" t="n">
        <v>0.33</v>
      </c>
      <c r="E601" s="63" t="n">
        <v>1</v>
      </c>
      <c r="F601" s="63" t="n">
        <v>0.2925</v>
      </c>
      <c r="G601" s="63" t="n">
        <v>-0.01</v>
      </c>
      <c r="H601" s="63" t="n">
        <v>0.384907436629</v>
      </c>
      <c r="I601" s="63" t="n">
        <v>0.48829287048</v>
      </c>
      <c r="J601" s="63" t="n">
        <v>0.281522002778</v>
      </c>
      <c r="K601" s="63" t="n">
        <v>1084.06</v>
      </c>
      <c r="L601" s="63" t="n">
        <v>1054.23</v>
      </c>
      <c r="M601" s="63" t="n">
        <v>1070.67</v>
      </c>
      <c r="N601" s="54">
        <f>(M602-M601)/M601</f>
        <v/>
      </c>
      <c r="O601" s="54">
        <f>(M605-M601)/M601</f>
        <v/>
      </c>
      <c r="P601" s="4">
        <f>B601-D601</f>
        <v/>
      </c>
      <c r="Q601" s="4">
        <f>AVERAGE(P598:P601)</f>
        <v/>
      </c>
      <c r="R601" s="54">
        <f>(M602-M601)/M601</f>
        <v/>
      </c>
      <c r="S601" s="54">
        <f>(M605-M601)/M601</f>
        <v/>
      </c>
      <c r="T601" s="63">
        <f>IF(R601&gt;0,1,"")</f>
        <v/>
      </c>
      <c r="U601" s="63">
        <f>IF(S601&gt;0,1,"")</f>
        <v/>
      </c>
    </row>
    <row r="602">
      <c r="A602" s="35" t="n">
        <v>36097</v>
      </c>
      <c r="B602" s="4" t="n">
        <v>0.43</v>
      </c>
      <c r="C602" s="4" t="n">
        <v>0.36</v>
      </c>
      <c r="D602" s="4" t="n">
        <v>0.21</v>
      </c>
      <c r="E602" s="63" t="n">
        <v>1</v>
      </c>
      <c r="F602" s="63" t="n">
        <v>0.3175</v>
      </c>
      <c r="G602" s="63" t="n">
        <v>0.22</v>
      </c>
      <c r="H602" s="63" t="n">
        <v>0.384907436629</v>
      </c>
      <c r="I602" s="63" t="n">
        <v>0.48829287048</v>
      </c>
      <c r="J602" s="63" t="n">
        <v>0.281522002778</v>
      </c>
      <c r="K602" s="63" t="n">
        <v>1103.78</v>
      </c>
      <c r="L602" s="63" t="n">
        <v>1059.66</v>
      </c>
      <c r="M602" s="63" t="n">
        <v>1098.67</v>
      </c>
      <c r="N602" s="54">
        <f>(M603-M602)/M602</f>
        <v/>
      </c>
      <c r="O602" s="54">
        <f>(M606-M602)/M602</f>
        <v/>
      </c>
      <c r="P602" s="4">
        <f>B602-D602</f>
        <v/>
      </c>
      <c r="Q602" s="4">
        <f>AVERAGE(P599:P602)</f>
        <v/>
      </c>
      <c r="R602" s="54">
        <f>(M603-M602)/M602</f>
        <v/>
      </c>
      <c r="S602" s="54">
        <f>(M606-M602)/M602</f>
        <v/>
      </c>
      <c r="T602" s="63">
        <f>IF(R602&gt;0,1,"")</f>
        <v/>
      </c>
      <c r="U602" s="63">
        <f>IF(S602&gt;0,1,"")</f>
        <v/>
      </c>
    </row>
    <row r="603">
      <c r="A603" s="35" t="n">
        <v>36104</v>
      </c>
      <c r="B603" s="4" t="n">
        <v>0.38</v>
      </c>
      <c r="C603" s="4" t="n">
        <v>0.42</v>
      </c>
      <c r="D603" s="4" t="n">
        <v>0.2</v>
      </c>
      <c r="E603" s="63" t="n">
        <v>1</v>
      </c>
      <c r="F603" s="63" t="n">
        <v>0.32875</v>
      </c>
      <c r="G603" s="63" t="n">
        <v>0.18</v>
      </c>
      <c r="H603" s="63" t="n">
        <v>0.384907436629</v>
      </c>
      <c r="I603" s="63" t="n">
        <v>0.48829287048</v>
      </c>
      <c r="J603" s="63" t="n">
        <v>0.281522002778</v>
      </c>
      <c r="K603" s="63" t="n">
        <v>1141.3</v>
      </c>
      <c r="L603" s="63" t="n">
        <v>1098.67</v>
      </c>
      <c r="M603" s="63" t="n">
        <v>1141.01</v>
      </c>
      <c r="N603" s="54">
        <f>(M604-M603)/M603</f>
        <v/>
      </c>
      <c r="O603" s="54">
        <f>(M607-M603)/M603</f>
        <v/>
      </c>
      <c r="P603" s="4">
        <f>B603-D603</f>
        <v/>
      </c>
      <c r="Q603" s="4">
        <f>AVERAGE(P600:P603)</f>
        <v/>
      </c>
      <c r="R603" s="54">
        <f>(M604-M603)/M603</f>
        <v/>
      </c>
      <c r="S603" s="54">
        <f>(M607-M603)/M603</f>
        <v/>
      </c>
      <c r="T603" s="63">
        <f>IF(R603&gt;0,1,"")</f>
        <v/>
      </c>
      <c r="U603" s="63">
        <f>IF(S603&gt;0,1,"")</f>
        <v/>
      </c>
    </row>
    <row r="604">
      <c r="A604" s="35" t="n">
        <v>36111</v>
      </c>
      <c r="B604" s="4" t="n">
        <v>0.5</v>
      </c>
      <c r="C604" s="4" t="n">
        <v>0.36</v>
      </c>
      <c r="D604" s="4" t="n">
        <v>0.14</v>
      </c>
      <c r="E604" s="63" t="n">
        <v>1</v>
      </c>
      <c r="F604" s="63" t="n">
        <v>0.34875</v>
      </c>
      <c r="G604" s="63" t="n">
        <v>0.36</v>
      </c>
      <c r="H604" s="63" t="n">
        <v>0.384907436629</v>
      </c>
      <c r="I604" s="63" t="n">
        <v>0.48829287048</v>
      </c>
      <c r="J604" s="63" t="n">
        <v>0.281522002778</v>
      </c>
      <c r="K604" s="63" t="n">
        <v>1141.01</v>
      </c>
      <c r="L604" s="63" t="n">
        <v>1115.55</v>
      </c>
      <c r="M604" s="63" t="n">
        <v>1125.72</v>
      </c>
      <c r="N604" s="54">
        <f>(M605-M604)/M604</f>
        <v/>
      </c>
      <c r="O604" s="54">
        <f>(M608-M604)/M604</f>
        <v/>
      </c>
      <c r="P604" s="4">
        <f>B604-D604</f>
        <v/>
      </c>
      <c r="Q604" s="4">
        <f>AVERAGE(P601:P604)</f>
        <v/>
      </c>
      <c r="R604" s="54">
        <f>(M605-M604)/M604</f>
        <v/>
      </c>
      <c r="S604" s="54">
        <f>(M608-M604)/M604</f>
        <v/>
      </c>
      <c r="T604" s="63">
        <f>IF(R604&gt;0,1,"")</f>
        <v/>
      </c>
      <c r="U604" s="63">
        <f>IF(S604&gt;0,1,"")</f>
        <v/>
      </c>
    </row>
    <row r="605">
      <c r="A605" s="35" t="n">
        <v>36118</v>
      </c>
      <c r="B605" s="4" t="n">
        <v>0.4</v>
      </c>
      <c r="C605" s="4" t="n">
        <v>0.42</v>
      </c>
      <c r="D605" s="4" t="n">
        <v>0.18</v>
      </c>
      <c r="E605" s="63" t="n">
        <v>1</v>
      </c>
      <c r="F605" s="63" t="n">
        <v>0.35625</v>
      </c>
      <c r="G605" s="63" t="n">
        <v>0.22</v>
      </c>
      <c r="H605" s="63" t="n">
        <v>0.384907436629</v>
      </c>
      <c r="I605" s="63" t="n">
        <v>0.48829287048</v>
      </c>
      <c r="J605" s="63" t="n">
        <v>0.281522002778</v>
      </c>
      <c r="K605" s="63" t="n">
        <v>1163.55</v>
      </c>
      <c r="L605" s="63" t="n">
        <v>1125.72</v>
      </c>
      <c r="M605" s="63" t="n">
        <v>1163.55</v>
      </c>
      <c r="N605" s="54">
        <f>(M606-M605)/M605</f>
        <v/>
      </c>
      <c r="O605" s="54">
        <f>(M609-M605)/M605</f>
        <v/>
      </c>
      <c r="P605" s="4">
        <f>B605-D605</f>
        <v/>
      </c>
      <c r="Q605" s="4">
        <f>AVERAGE(P602:P605)</f>
        <v/>
      </c>
      <c r="R605" s="54">
        <f>(M606-M605)/M605</f>
        <v/>
      </c>
      <c r="S605" s="54">
        <f>(M609-M605)/M605</f>
        <v/>
      </c>
      <c r="T605" s="63">
        <f>IF(R605&gt;0,1,"")</f>
        <v/>
      </c>
      <c r="U605" s="63">
        <f>IF(S605&gt;0,1,"")</f>
        <v/>
      </c>
    </row>
    <row r="606">
      <c r="A606" s="35" t="n">
        <v>36124</v>
      </c>
      <c r="B606" s="4" t="n">
        <v>0.48</v>
      </c>
      <c r="C606" s="4" t="n">
        <v>0.35</v>
      </c>
      <c r="D606" s="4" t="n">
        <v>0.17</v>
      </c>
      <c r="E606" s="63" t="n">
        <v>1</v>
      </c>
      <c r="F606" s="63" t="n">
        <v>0.37625</v>
      </c>
      <c r="G606" s="63" t="n">
        <v>0.31</v>
      </c>
      <c r="H606" s="63" t="n">
        <v>0.384907436629</v>
      </c>
      <c r="I606" s="63" t="n">
        <v>0.48829287048</v>
      </c>
      <c r="J606" s="63" t="n">
        <v>0.281522002778</v>
      </c>
      <c r="K606" s="63" t="n">
        <v>1192.97</v>
      </c>
      <c r="L606" s="63" t="n">
        <v>1163.55</v>
      </c>
      <c r="M606" s="63" t="n">
        <v>1192.33</v>
      </c>
      <c r="N606" s="54">
        <f>(M607-M606)/M606</f>
        <v/>
      </c>
      <c r="O606" s="54">
        <f>(M610-M606)/M606</f>
        <v/>
      </c>
      <c r="P606" s="4">
        <f>B606-D606</f>
        <v/>
      </c>
      <c r="Q606" s="4">
        <f>AVERAGE(P603:P606)</f>
        <v/>
      </c>
      <c r="R606" s="54">
        <f>(M607-M606)/M606</f>
        <v/>
      </c>
      <c r="S606" s="54">
        <f>(M610-M606)/M606</f>
        <v/>
      </c>
      <c r="T606" s="63">
        <f>IF(R606&gt;0,1,"")</f>
        <v/>
      </c>
      <c r="U606" s="63">
        <f>IF(S606&gt;0,1,"")</f>
        <v/>
      </c>
    </row>
    <row r="607">
      <c r="A607" s="35" t="n">
        <v>36132</v>
      </c>
      <c r="B607" s="4" t="n">
        <v>0.49</v>
      </c>
      <c r="C607" s="4" t="n">
        <v>0.3</v>
      </c>
      <c r="D607" s="4" t="n">
        <v>0.21</v>
      </c>
      <c r="E607" s="63" t="n">
        <v>1</v>
      </c>
      <c r="F607" s="63" t="n">
        <v>0.40625</v>
      </c>
      <c r="G607" s="63" t="n">
        <v>0.28</v>
      </c>
      <c r="H607" s="63" t="n">
        <v>0.384907436629</v>
      </c>
      <c r="I607" s="63" t="n">
        <v>0.48829287048</v>
      </c>
      <c r="J607" s="63" t="n">
        <v>0.281522002778</v>
      </c>
      <c r="K607" s="63" t="n">
        <v>1192.72</v>
      </c>
      <c r="L607" s="63" t="n">
        <v>1150.14</v>
      </c>
      <c r="M607" s="63" t="n">
        <v>1176.74</v>
      </c>
      <c r="N607" s="54">
        <f>(M608-M607)/M607</f>
        <v/>
      </c>
      <c r="O607" s="54">
        <f>(M611-M607)/M607</f>
        <v/>
      </c>
      <c r="P607" s="4">
        <f>B607-D607</f>
        <v/>
      </c>
      <c r="Q607" s="4">
        <f>AVERAGE(P604:P607)</f>
        <v/>
      </c>
      <c r="R607" s="54">
        <f>(M608-M607)/M607</f>
        <v/>
      </c>
      <c r="S607" s="54">
        <f>(M611-M607)/M607</f>
        <v/>
      </c>
      <c r="T607" s="63">
        <f>IF(R607&gt;0,1,"")</f>
        <v/>
      </c>
      <c r="U607" s="63">
        <f>IF(S607&gt;0,1,"")</f>
        <v/>
      </c>
    </row>
    <row r="608">
      <c r="A608" s="35" t="n">
        <v>36139</v>
      </c>
      <c r="B608" s="4" t="n">
        <v>0.44</v>
      </c>
      <c r="C608" s="4" t="n">
        <v>0.3</v>
      </c>
      <c r="D608" s="4" t="n">
        <v>0.26</v>
      </c>
      <c r="E608" s="63" t="n">
        <v>1</v>
      </c>
      <c r="F608" s="63" t="n">
        <v>0.43</v>
      </c>
      <c r="G608" s="63" t="n">
        <v>0.18</v>
      </c>
      <c r="H608" s="63" t="n">
        <v>0.384907436629</v>
      </c>
      <c r="I608" s="63" t="n">
        <v>0.48829287048</v>
      </c>
      <c r="J608" s="63" t="n">
        <v>0.281522002778</v>
      </c>
      <c r="K608" s="63" t="n">
        <v>1193.53</v>
      </c>
      <c r="L608" s="63" t="n">
        <v>1153.19</v>
      </c>
      <c r="M608" s="63" t="n">
        <v>1166.46</v>
      </c>
      <c r="N608" s="54">
        <f>(M609-M608)/M608</f>
        <v/>
      </c>
      <c r="O608" s="54">
        <f>(M612-M608)/M608</f>
        <v/>
      </c>
      <c r="P608" s="4">
        <f>B608-D608</f>
        <v/>
      </c>
      <c r="Q608" s="4">
        <f>AVERAGE(P605:P608)</f>
        <v/>
      </c>
      <c r="R608" s="54">
        <f>(M609-M608)/M608</f>
        <v/>
      </c>
      <c r="S608" s="54">
        <f>(M612-M608)/M608</f>
        <v/>
      </c>
      <c r="T608" s="63">
        <f>IF(R608&gt;0,1,"")</f>
        <v/>
      </c>
      <c r="U608" s="63">
        <f>IF(S608&gt;0,1,"")</f>
        <v/>
      </c>
    </row>
    <row r="609">
      <c r="A609" s="35" t="n">
        <v>36146</v>
      </c>
      <c r="B609" s="4" t="n">
        <v>0.41</v>
      </c>
      <c r="C609" s="4" t="n">
        <v>0.34</v>
      </c>
      <c r="D609" s="4" t="n">
        <v>0.25</v>
      </c>
      <c r="E609" s="63" t="n">
        <v>1</v>
      </c>
      <c r="F609" s="63" t="n">
        <v>0.44125</v>
      </c>
      <c r="G609" s="63" t="n">
        <v>0.16</v>
      </c>
      <c r="H609" s="63" t="n">
        <v>0.384907436629</v>
      </c>
      <c r="I609" s="63" t="n">
        <v>0.48829287048</v>
      </c>
      <c r="J609" s="63" t="n">
        <v>0.281522002778</v>
      </c>
      <c r="K609" s="63" t="n">
        <v>1188.89</v>
      </c>
      <c r="L609" s="63" t="n">
        <v>1136.89</v>
      </c>
      <c r="M609" s="63" t="n">
        <v>1188.03</v>
      </c>
      <c r="N609" s="54">
        <f>(M610-M609)/M609</f>
        <v/>
      </c>
      <c r="O609" s="54">
        <f>(M613-M609)/M609</f>
        <v/>
      </c>
      <c r="P609" s="4">
        <f>B609-D609</f>
        <v/>
      </c>
      <c r="Q609" s="4">
        <f>AVERAGE(P606:P609)</f>
        <v/>
      </c>
      <c r="R609" s="54">
        <f>(M610-M609)/M609</f>
        <v/>
      </c>
      <c r="S609" s="54">
        <f>(M613-M609)/M609</f>
        <v/>
      </c>
      <c r="T609" s="63">
        <f>IF(R609&gt;0,1,"")</f>
        <v/>
      </c>
      <c r="U609" s="63">
        <f>IF(S609&gt;0,1,"")</f>
        <v/>
      </c>
    </row>
    <row r="610">
      <c r="A610" s="35" t="n">
        <v>36152</v>
      </c>
      <c r="B610" s="4" t="n">
        <v>0.34</v>
      </c>
      <c r="C610" s="4" t="n">
        <v>0.34</v>
      </c>
      <c r="D610" s="4" t="n">
        <v>0.32</v>
      </c>
      <c r="E610" s="63" t="n">
        <v>1</v>
      </c>
      <c r="F610" s="63" t="n">
        <v>0.43</v>
      </c>
      <c r="G610" s="63" t="n">
        <v>0.02</v>
      </c>
      <c r="H610" s="63" t="n">
        <v>0.384907436629</v>
      </c>
      <c r="I610" s="63" t="n">
        <v>0.48829287048</v>
      </c>
      <c r="J610" s="63" t="n">
        <v>0.281522002778</v>
      </c>
      <c r="K610" s="63" t="n">
        <v>1229.89</v>
      </c>
      <c r="L610" s="63" t="n">
        <v>1188.03</v>
      </c>
      <c r="M610" s="63" t="n">
        <v>1226.27</v>
      </c>
      <c r="N610" s="54">
        <f>(M611-M610)/M610</f>
        <v/>
      </c>
      <c r="O610" s="54">
        <f>(M614-M610)/M610</f>
        <v/>
      </c>
      <c r="P610" s="4">
        <f>B610-D610</f>
        <v/>
      </c>
      <c r="Q610" s="4">
        <f>AVERAGE(P607:P610)</f>
        <v/>
      </c>
      <c r="R610" s="54">
        <f>(M611-M610)/M610</f>
        <v/>
      </c>
      <c r="S610" s="54">
        <f>(M614-M610)/M610</f>
        <v/>
      </c>
      <c r="T610" s="63">
        <f>IF(R610&gt;0,1,"")</f>
        <v/>
      </c>
      <c r="U610" s="63">
        <f>IF(S610&gt;0,1,"")</f>
        <v/>
      </c>
    </row>
    <row r="611">
      <c r="A611" s="35" t="n">
        <v>36160</v>
      </c>
      <c r="B611" s="4" t="n">
        <v>0.41</v>
      </c>
      <c r="C611" s="4" t="n">
        <v>0.37</v>
      </c>
      <c r="D611" s="4" t="n">
        <v>0.22</v>
      </c>
      <c r="E611" s="63" t="n">
        <v>1</v>
      </c>
      <c r="F611" s="63" t="n">
        <v>0.43375</v>
      </c>
      <c r="G611" s="63" t="n">
        <v>0.19</v>
      </c>
      <c r="H611" s="63" t="n">
        <v>0.384907436629</v>
      </c>
      <c r="I611" s="63" t="n">
        <v>0.48829287048</v>
      </c>
      <c r="J611" s="63" t="n">
        <v>0.281522002778</v>
      </c>
      <c r="K611" s="63" t="n">
        <v>1244.93</v>
      </c>
      <c r="L611" s="63" t="n">
        <v>1200.78</v>
      </c>
      <c r="M611" s="63" t="n">
        <v>1229.23</v>
      </c>
      <c r="N611" s="54">
        <f>(M612-M611)/M611</f>
        <v/>
      </c>
      <c r="O611" s="54">
        <f>(M615-M611)/M611</f>
        <v/>
      </c>
      <c r="P611" s="4">
        <f>B611-D611</f>
        <v/>
      </c>
      <c r="Q611" s="4">
        <f>AVERAGE(P608:P611)</f>
        <v/>
      </c>
      <c r="R611" s="54">
        <f>(M612-M611)/M611</f>
        <v/>
      </c>
      <c r="S611" s="54">
        <f>(M615-M611)/M611</f>
        <v/>
      </c>
      <c r="T611" s="63">
        <f>IF(R611&gt;0,1,"")</f>
        <v/>
      </c>
      <c r="U611" s="63">
        <f>IF(S611&gt;0,1,"")</f>
        <v/>
      </c>
    </row>
    <row r="612">
      <c r="A612" s="35" t="n">
        <v>36167</v>
      </c>
      <c r="B612" s="4" t="n">
        <v>0.38</v>
      </c>
      <c r="C612" s="4" t="n">
        <v>0.39</v>
      </c>
      <c r="D612" s="4" t="n">
        <v>0.23</v>
      </c>
      <c r="E612" s="63" t="n">
        <v>1</v>
      </c>
      <c r="F612" s="63" t="n">
        <v>0.41875</v>
      </c>
      <c r="G612" s="63" t="n">
        <v>0.15</v>
      </c>
      <c r="H612" s="63" t="n">
        <v>0.384907436629</v>
      </c>
      <c r="I612" s="63" t="n">
        <v>0.48829287048</v>
      </c>
      <c r="J612" s="63" t="n">
        <v>0.281522002778</v>
      </c>
      <c r="K612" s="63" t="n">
        <v>1278.24</v>
      </c>
      <c r="L612" s="63" t="n">
        <v>1219.1</v>
      </c>
      <c r="M612" s="63" t="n">
        <v>1275.09</v>
      </c>
      <c r="N612" s="54">
        <f>(M613-M612)/M612</f>
        <v/>
      </c>
      <c r="O612" s="54">
        <f>(M616-M612)/M612</f>
        <v/>
      </c>
      <c r="P612" s="4">
        <f>B612-D612</f>
        <v/>
      </c>
      <c r="Q612" s="4">
        <f>AVERAGE(P609:P612)</f>
        <v/>
      </c>
      <c r="R612" s="54">
        <f>(M613-M612)/M612</f>
        <v/>
      </c>
      <c r="S612" s="54">
        <f>(M616-M612)/M612</f>
        <v/>
      </c>
      <c r="T612" s="63">
        <f>IF(R612&gt;0,1,"")</f>
        <v/>
      </c>
      <c r="U612" s="63">
        <f>IF(S612&gt;0,1,"")</f>
        <v/>
      </c>
    </row>
    <row r="613">
      <c r="A613" s="35" t="n">
        <v>36174</v>
      </c>
      <c r="B613" s="4" t="n">
        <v>0.51</v>
      </c>
      <c r="C613" s="4" t="n">
        <v>0.28</v>
      </c>
      <c r="D613" s="4" t="n">
        <v>0.21</v>
      </c>
      <c r="E613" s="63" t="n">
        <v>1</v>
      </c>
      <c r="F613" s="63" t="n">
        <v>0.4325</v>
      </c>
      <c r="G613" s="63" t="n">
        <v>0.3</v>
      </c>
      <c r="H613" s="63" t="n">
        <v>0.384907436629</v>
      </c>
      <c r="I613" s="63" t="n">
        <v>0.48829287048</v>
      </c>
      <c r="J613" s="63" t="n">
        <v>0.281522002778</v>
      </c>
      <c r="K613" s="63" t="n">
        <v>1276.22</v>
      </c>
      <c r="L613" s="63" t="n">
        <v>1205.46</v>
      </c>
      <c r="M613" s="63" t="n">
        <v>1243.26</v>
      </c>
      <c r="N613" s="54">
        <f>(M614-M613)/M613</f>
        <v/>
      </c>
      <c r="O613" s="54">
        <f>(M617-M613)/M613</f>
        <v/>
      </c>
      <c r="P613" s="4">
        <f>B613-D613</f>
        <v/>
      </c>
      <c r="Q613" s="4">
        <f>AVERAGE(P610:P613)</f>
        <v/>
      </c>
      <c r="R613" s="54">
        <f>(M614-M613)/M613</f>
        <v/>
      </c>
      <c r="S613" s="54">
        <f>(M617-M613)/M613</f>
        <v/>
      </c>
      <c r="T613" s="63">
        <f>IF(R613&gt;0,1,"")</f>
        <v/>
      </c>
      <c r="U613" s="63">
        <f>IF(S613&gt;0,1,"")</f>
        <v/>
      </c>
    </row>
    <row r="614">
      <c r="A614" s="35" t="n">
        <v>36181</v>
      </c>
      <c r="B614" s="4" t="n">
        <v>0.5600000000000001</v>
      </c>
      <c r="C614" s="4" t="n">
        <v>0.24</v>
      </c>
      <c r="D614" s="4" t="n">
        <v>0.2</v>
      </c>
      <c r="E614" s="63" t="n">
        <v>1</v>
      </c>
      <c r="F614" s="63" t="n">
        <v>0.4425</v>
      </c>
      <c r="G614" s="63" t="n">
        <v>0.36</v>
      </c>
      <c r="H614" s="63" t="n">
        <v>0.384907436629</v>
      </c>
      <c r="I614" s="63" t="n">
        <v>0.48829287048</v>
      </c>
      <c r="J614" s="63" t="n">
        <v>0.281522002778</v>
      </c>
      <c r="K614" s="63" t="n">
        <v>1274.07</v>
      </c>
      <c r="L614" s="63" t="n">
        <v>1217.97</v>
      </c>
      <c r="M614" s="63" t="n">
        <v>1225.19</v>
      </c>
      <c r="N614" s="54">
        <f>(M615-M614)/M614</f>
        <v/>
      </c>
      <c r="O614" s="54">
        <f>(M618-M614)/M614</f>
        <v/>
      </c>
      <c r="P614" s="4">
        <f>B614-D614</f>
        <v/>
      </c>
      <c r="Q614" s="4">
        <f>AVERAGE(P611:P614)</f>
        <v/>
      </c>
      <c r="R614" s="54">
        <f>(M615-M614)/M614</f>
        <v/>
      </c>
      <c r="S614" s="54">
        <f>(M618-M614)/M614</f>
        <v/>
      </c>
      <c r="T614" s="63">
        <f>IF(R614&gt;0,1,"")</f>
        <v/>
      </c>
      <c r="U614" s="63">
        <f>IF(S614&gt;0,1,"")</f>
        <v/>
      </c>
    </row>
    <row r="615">
      <c r="A615" s="35" t="n">
        <v>36188</v>
      </c>
      <c r="B615" s="4" t="n">
        <v>0.47</v>
      </c>
      <c r="C615" s="4" t="n">
        <v>0.33</v>
      </c>
      <c r="D615" s="4" t="n">
        <v>0.2</v>
      </c>
      <c r="E615" s="63" t="n">
        <v>1</v>
      </c>
      <c r="F615" s="63" t="n">
        <v>0.44</v>
      </c>
      <c r="G615" s="63" t="n">
        <v>0.27</v>
      </c>
      <c r="H615" s="63" t="n">
        <v>0.384907436629</v>
      </c>
      <c r="I615" s="63" t="n">
        <v>0.48829287048</v>
      </c>
      <c r="J615" s="63" t="n">
        <v>0.281522002778</v>
      </c>
      <c r="K615" s="63" t="n">
        <v>1280.37</v>
      </c>
      <c r="L615" s="63" t="n">
        <v>1219.4</v>
      </c>
      <c r="M615" s="63" t="n">
        <v>1279.64</v>
      </c>
      <c r="N615" s="54">
        <f>(M616-M615)/M615</f>
        <v/>
      </c>
      <c r="O615" s="54">
        <f>(M619-M615)/M615</f>
        <v/>
      </c>
      <c r="P615" s="4">
        <f>B615-D615</f>
        <v/>
      </c>
      <c r="Q615" s="4">
        <f>AVERAGE(P612:P615)</f>
        <v/>
      </c>
      <c r="R615" s="54">
        <f>(M616-M615)/M615</f>
        <v/>
      </c>
      <c r="S615" s="54">
        <f>(M619-M615)/M615</f>
        <v/>
      </c>
      <c r="T615" s="63">
        <f>IF(R615&gt;0,1,"")</f>
        <v/>
      </c>
      <c r="U615" s="63">
        <f>IF(S615&gt;0,1,"")</f>
        <v/>
      </c>
    </row>
    <row r="616">
      <c r="A616" s="35" t="n">
        <v>36195</v>
      </c>
      <c r="B616" s="4" t="n">
        <v>0.48</v>
      </c>
      <c r="C616" s="4" t="n">
        <v>0.38</v>
      </c>
      <c r="D616" s="4" t="n">
        <v>0.14</v>
      </c>
      <c r="E616" s="63" t="n">
        <v>1</v>
      </c>
      <c r="F616" s="63" t="n">
        <v>0.445</v>
      </c>
      <c r="G616" s="63" t="n">
        <v>0.34</v>
      </c>
      <c r="H616" s="63" t="n">
        <v>0.384907436629</v>
      </c>
      <c r="I616" s="63" t="n">
        <v>0.48829287048</v>
      </c>
      <c r="J616" s="63" t="n">
        <v>0.281522002778</v>
      </c>
      <c r="K616" s="63" t="n">
        <v>1283.75</v>
      </c>
      <c r="L616" s="63" t="n">
        <v>1232.28</v>
      </c>
      <c r="M616" s="63" t="n">
        <v>1239.4</v>
      </c>
      <c r="N616" s="54">
        <f>(M617-M616)/M616</f>
        <v/>
      </c>
      <c r="O616" s="54">
        <f>(M620-M616)/M616</f>
        <v/>
      </c>
      <c r="P616" s="4">
        <f>B616-D616</f>
        <v/>
      </c>
      <c r="Q616" s="4">
        <f>AVERAGE(P613:P616)</f>
        <v/>
      </c>
      <c r="R616" s="54">
        <f>(M617-M616)/M616</f>
        <v/>
      </c>
      <c r="S616" s="54">
        <f>(M620-M616)/M616</f>
        <v/>
      </c>
      <c r="T616" s="63">
        <f>IF(R616&gt;0,1,"")</f>
        <v/>
      </c>
      <c r="U616" s="63">
        <f>IF(S616&gt;0,1,"")</f>
        <v/>
      </c>
    </row>
    <row r="617">
      <c r="A617" s="35" t="n">
        <v>36202</v>
      </c>
      <c r="B617" s="4" t="n">
        <v>0.48</v>
      </c>
      <c r="C617" s="4" t="n">
        <v>0.35</v>
      </c>
      <c r="D617" s="4" t="n">
        <v>0.17</v>
      </c>
      <c r="E617" s="63" t="n">
        <v>1</v>
      </c>
      <c r="F617" s="63" t="n">
        <v>0.45375</v>
      </c>
      <c r="G617" s="63" t="n">
        <v>0.31</v>
      </c>
      <c r="H617" s="63" t="n">
        <v>0.384907436629</v>
      </c>
      <c r="I617" s="63" t="n">
        <v>0.48829287048</v>
      </c>
      <c r="J617" s="63" t="n">
        <v>0.281522002778</v>
      </c>
      <c r="K617" s="63" t="n">
        <v>1254.05</v>
      </c>
      <c r="L617" s="63" t="n">
        <v>1211.89</v>
      </c>
      <c r="M617" s="63" t="n">
        <v>1230.13</v>
      </c>
      <c r="N617" s="54">
        <f>(M618-M617)/M617</f>
        <v/>
      </c>
      <c r="O617" s="54">
        <f>(M621-M617)/M617</f>
        <v/>
      </c>
      <c r="P617" s="4">
        <f>B617-D617</f>
        <v/>
      </c>
      <c r="Q617" s="4">
        <f>AVERAGE(P614:P617)</f>
        <v/>
      </c>
      <c r="R617" s="54">
        <f>(M618-M617)/M617</f>
        <v/>
      </c>
      <c r="S617" s="54">
        <f>(M621-M617)/M617</f>
        <v/>
      </c>
      <c r="T617" s="63">
        <f>IF(R617&gt;0,1,"")</f>
        <v/>
      </c>
      <c r="U617" s="63">
        <f>IF(S617&gt;0,1,"")</f>
        <v/>
      </c>
    </row>
    <row r="618">
      <c r="A618" s="35" t="n">
        <v>36209</v>
      </c>
      <c r="B618" s="4" t="n">
        <v>0.37</v>
      </c>
      <c r="C618" s="4" t="n">
        <v>0.39</v>
      </c>
      <c r="D618" s="4" t="n">
        <v>0.24</v>
      </c>
      <c r="E618" s="63" t="n">
        <v>1</v>
      </c>
      <c r="F618" s="63" t="n">
        <v>0.4575</v>
      </c>
      <c r="G618" s="63" t="n">
        <v>0.13</v>
      </c>
      <c r="H618" s="63" t="n">
        <v>0.384907436629</v>
      </c>
      <c r="I618" s="63" t="n">
        <v>0.48829287048</v>
      </c>
      <c r="J618" s="63" t="n">
        <v>0.281522002778</v>
      </c>
      <c r="K618" s="63" t="n">
        <v>1252.17</v>
      </c>
      <c r="L618" s="63" t="n">
        <v>1220.7</v>
      </c>
      <c r="M618" s="63" t="n">
        <v>1239.22</v>
      </c>
      <c r="N618" s="54">
        <f>(M619-M618)/M618</f>
        <v/>
      </c>
      <c r="O618" s="54">
        <f>(M622-M618)/M618</f>
        <v/>
      </c>
      <c r="P618" s="4">
        <f>B618-D618</f>
        <v/>
      </c>
      <c r="Q618" s="4">
        <f>AVERAGE(P615:P618)</f>
        <v/>
      </c>
      <c r="R618" s="54">
        <f>(M619-M618)/M618</f>
        <v/>
      </c>
      <c r="S618" s="54">
        <f>(M622-M618)/M618</f>
        <v/>
      </c>
      <c r="T618" s="63">
        <f>IF(R618&gt;0,1,"")</f>
        <v/>
      </c>
      <c r="U618" s="63">
        <f>IF(S618&gt;0,1,"")</f>
        <v/>
      </c>
    </row>
    <row r="619">
      <c r="A619" s="35" t="n">
        <v>36216</v>
      </c>
      <c r="B619" s="4" t="n">
        <v>0.37</v>
      </c>
      <c r="C619" s="4" t="n">
        <v>0.39</v>
      </c>
      <c r="D619" s="4" t="n">
        <v>0.24</v>
      </c>
      <c r="E619" s="63" t="n">
        <v>1</v>
      </c>
      <c r="F619" s="63" t="n">
        <v>0.4525</v>
      </c>
      <c r="G619" s="63" t="n">
        <v>0.13</v>
      </c>
      <c r="H619" s="63" t="n">
        <v>0.384907436629</v>
      </c>
      <c r="I619" s="63" t="n">
        <v>0.48829287048</v>
      </c>
      <c r="J619" s="63" t="n">
        <v>0.281522002778</v>
      </c>
      <c r="K619" s="63" t="n">
        <v>1283.84</v>
      </c>
      <c r="L619" s="63" t="n">
        <v>1225.01</v>
      </c>
      <c r="M619" s="63" t="n">
        <v>1238.33</v>
      </c>
      <c r="N619" s="54">
        <f>(M620-M619)/M619</f>
        <v/>
      </c>
      <c r="O619" s="54">
        <f>(M623-M619)/M619</f>
        <v/>
      </c>
      <c r="P619" s="4">
        <f>B619-D619</f>
        <v/>
      </c>
      <c r="Q619" s="4">
        <f>AVERAGE(P616:P619)</f>
        <v/>
      </c>
      <c r="R619" s="54">
        <f>(M620-M619)/M619</f>
        <v/>
      </c>
      <c r="S619" s="54">
        <f>(M623-M619)/M619</f>
        <v/>
      </c>
      <c r="T619" s="63">
        <f>IF(R619&gt;0,1,"")</f>
        <v/>
      </c>
      <c r="U619" s="63">
        <f>IF(S619&gt;0,1,"")</f>
        <v/>
      </c>
    </row>
    <row r="620">
      <c r="A620" s="35" t="n">
        <v>36223</v>
      </c>
      <c r="B620" s="4" t="n">
        <v>0.36</v>
      </c>
      <c r="C620" s="4" t="n">
        <v>0.45</v>
      </c>
      <c r="D620" s="4" t="n">
        <v>0.19</v>
      </c>
      <c r="E620" s="63" t="n">
        <v>1</v>
      </c>
      <c r="F620" s="63" t="n">
        <v>0.45</v>
      </c>
      <c r="G620" s="63" t="n">
        <v>0.17</v>
      </c>
      <c r="H620" s="63" t="n">
        <v>0.384907436629</v>
      </c>
      <c r="I620" s="63" t="n">
        <v>0.48829287048</v>
      </c>
      <c r="J620" s="63" t="n">
        <v>0.281522002778</v>
      </c>
      <c r="K620" s="63" t="n">
        <v>1275.73</v>
      </c>
      <c r="L620" s="63" t="n">
        <v>1216.03</v>
      </c>
      <c r="M620" s="63" t="n">
        <v>1275.47</v>
      </c>
      <c r="N620" s="54">
        <f>(M621-M620)/M620</f>
        <v/>
      </c>
      <c r="O620" s="54">
        <f>(M624-M620)/M620</f>
        <v/>
      </c>
      <c r="P620" s="4">
        <f>B620-D620</f>
        <v/>
      </c>
      <c r="Q620" s="4">
        <f>AVERAGE(P617:P620)</f>
        <v/>
      </c>
      <c r="R620" s="54">
        <f>(M621-M620)/M620</f>
        <v/>
      </c>
      <c r="S620" s="54">
        <f>(M624-M620)/M620</f>
        <v/>
      </c>
      <c r="T620" s="63">
        <f>IF(R620&gt;0,1,"")</f>
        <v/>
      </c>
      <c r="U620" s="63">
        <f>IF(S620&gt;0,1,"")</f>
        <v/>
      </c>
    </row>
    <row r="621">
      <c r="A621" s="35" t="n">
        <v>36230</v>
      </c>
      <c r="B621" s="4" t="n">
        <v>0.37</v>
      </c>
      <c r="C621" s="4" t="n">
        <v>0.42</v>
      </c>
      <c r="D621" s="4" t="n">
        <v>0.21</v>
      </c>
      <c r="E621" s="63" t="n">
        <v>1</v>
      </c>
      <c r="F621" s="63" t="n">
        <v>0.4325</v>
      </c>
      <c r="G621" s="63" t="n">
        <v>0.16</v>
      </c>
      <c r="H621" s="63" t="n">
        <v>0.384907436629</v>
      </c>
      <c r="I621" s="63" t="n">
        <v>0.48829287048</v>
      </c>
      <c r="J621" s="63" t="n">
        <v>0.281522002778</v>
      </c>
      <c r="K621" s="63" t="n">
        <v>1306.43</v>
      </c>
      <c r="L621" s="63" t="n">
        <v>1271.58</v>
      </c>
      <c r="M621" s="63" t="n">
        <v>1294.59</v>
      </c>
      <c r="N621" s="54">
        <f>(M622-M621)/M621</f>
        <v/>
      </c>
      <c r="O621" s="54">
        <f>(M625-M621)/M621</f>
        <v/>
      </c>
      <c r="P621" s="4">
        <f>B621-D621</f>
        <v/>
      </c>
      <c r="Q621" s="4">
        <f>AVERAGE(P618:P621)</f>
        <v/>
      </c>
      <c r="R621" s="54">
        <f>(M622-M621)/M621</f>
        <v/>
      </c>
      <c r="S621" s="54">
        <f>(M625-M621)/M621</f>
        <v/>
      </c>
      <c r="T621" s="63">
        <f>IF(R621&gt;0,1,"")</f>
        <v/>
      </c>
      <c r="U621" s="63">
        <f>IF(S621&gt;0,1,"")</f>
        <v/>
      </c>
    </row>
    <row r="622">
      <c r="A622" s="35" t="n">
        <v>36237</v>
      </c>
      <c r="B622" s="4" t="n">
        <v>0.48</v>
      </c>
      <c r="C622" s="4" t="n">
        <v>0.31</v>
      </c>
      <c r="D622" s="4" t="n">
        <v>0.21</v>
      </c>
      <c r="E622" s="63" t="n">
        <v>1</v>
      </c>
      <c r="F622" s="63" t="n">
        <v>0.4225</v>
      </c>
      <c r="G622" s="63" t="n">
        <v>0.27</v>
      </c>
      <c r="H622" s="63" t="n">
        <v>0.384907436629</v>
      </c>
      <c r="I622" s="63" t="n">
        <v>0.48829287048</v>
      </c>
      <c r="J622" s="63" t="n">
        <v>0.281522002778</v>
      </c>
      <c r="K622" s="63" t="n">
        <v>1323.82</v>
      </c>
      <c r="L622" s="63" t="n">
        <v>1291.03</v>
      </c>
      <c r="M622" s="63" t="n">
        <v>1299.29</v>
      </c>
      <c r="N622" s="54">
        <f>(M623-M622)/M622</f>
        <v/>
      </c>
      <c r="O622" s="54">
        <f>(M626-M622)/M622</f>
        <v/>
      </c>
      <c r="P622" s="4">
        <f>B622-D622</f>
        <v/>
      </c>
      <c r="Q622" s="4">
        <f>AVERAGE(P619:P622)</f>
        <v/>
      </c>
      <c r="R622" s="54">
        <f>(M623-M622)/M622</f>
        <v/>
      </c>
      <c r="S622" s="54">
        <f>(M626-M622)/M622</f>
        <v/>
      </c>
      <c r="T622" s="63">
        <f>IF(R622&gt;0,1,"")</f>
        <v/>
      </c>
      <c r="U622" s="63">
        <f>IF(S622&gt;0,1,"")</f>
        <v/>
      </c>
    </row>
    <row r="623">
      <c r="A623" s="35" t="n">
        <v>36244</v>
      </c>
      <c r="B623" s="4" t="n">
        <v>0.38</v>
      </c>
      <c r="C623" s="4" t="n">
        <v>0.33</v>
      </c>
      <c r="D623" s="4" t="n">
        <v>0.29</v>
      </c>
      <c r="E623" s="63" t="n">
        <v>1</v>
      </c>
      <c r="F623" s="63" t="n">
        <v>0.41125</v>
      </c>
      <c r="G623" s="63" t="n">
        <v>0.09</v>
      </c>
      <c r="H623" s="63" t="n">
        <v>0.384907436629</v>
      </c>
      <c r="I623" s="63" t="n">
        <v>0.48829287048</v>
      </c>
      <c r="J623" s="63" t="n">
        <v>0.281522002778</v>
      </c>
      <c r="K623" s="63" t="n">
        <v>1303.84</v>
      </c>
      <c r="L623" s="63" t="n">
        <v>1256.43</v>
      </c>
      <c r="M623" s="63" t="n">
        <v>1282.8</v>
      </c>
      <c r="N623" s="54">
        <f>(M624-M623)/M623</f>
        <v/>
      </c>
      <c r="O623" s="54">
        <f>(M627-M623)/M623</f>
        <v/>
      </c>
      <c r="P623" s="4">
        <f>B623-D623</f>
        <v/>
      </c>
      <c r="Q623" s="4">
        <f>AVERAGE(P620:P623)</f>
        <v/>
      </c>
      <c r="R623" s="54">
        <f>(M624-M623)/M623</f>
        <v/>
      </c>
      <c r="S623" s="54">
        <f>(M627-M623)/M623</f>
        <v/>
      </c>
      <c r="T623" s="63">
        <f>IF(R623&gt;0,1,"")</f>
        <v/>
      </c>
      <c r="U623" s="63">
        <f>IF(S623&gt;0,1,"")</f>
        <v/>
      </c>
    </row>
    <row r="624">
      <c r="A624" s="35" t="n">
        <v>36251</v>
      </c>
      <c r="B624" s="4" t="n">
        <v>0.4</v>
      </c>
      <c r="C624" s="4" t="n">
        <v>0.35</v>
      </c>
      <c r="D624" s="4" t="n">
        <v>0.25</v>
      </c>
      <c r="E624" s="63" t="n">
        <v>1</v>
      </c>
      <c r="F624" s="63" t="n">
        <v>0.40125</v>
      </c>
      <c r="G624" s="63" t="n">
        <v>0.15</v>
      </c>
      <c r="H624" s="63" t="n">
        <v>0.384907436629</v>
      </c>
      <c r="I624" s="63" t="n">
        <v>0.48829287048</v>
      </c>
      <c r="J624" s="63" t="n">
        <v>0.281522002778</v>
      </c>
      <c r="K624" s="63" t="n">
        <v>1313.6</v>
      </c>
      <c r="L624" s="63" t="n">
        <v>1282.56</v>
      </c>
      <c r="M624" s="63" t="n">
        <v>1293.72</v>
      </c>
      <c r="N624" s="54">
        <f>(M625-M624)/M624</f>
        <v/>
      </c>
      <c r="O624" s="54">
        <f>(M628-M624)/M624</f>
        <v/>
      </c>
      <c r="P624" s="4">
        <f>B624-D624</f>
        <v/>
      </c>
      <c r="Q624" s="4">
        <f>AVERAGE(P621:P624)</f>
        <v/>
      </c>
      <c r="R624" s="54">
        <f>(M625-M624)/M624</f>
        <v/>
      </c>
      <c r="S624" s="54">
        <f>(M628-M624)/M624</f>
        <v/>
      </c>
      <c r="T624" s="63">
        <f>IF(R624&gt;0,1,"")</f>
        <v/>
      </c>
      <c r="U624" s="63">
        <f>IF(S624&gt;0,1,"")</f>
        <v/>
      </c>
    </row>
    <row r="625">
      <c r="A625" s="35" t="n">
        <v>36258</v>
      </c>
      <c r="B625" s="4" t="n">
        <v>0.36</v>
      </c>
      <c r="C625" s="4" t="n">
        <v>0.38</v>
      </c>
      <c r="D625" s="4" t="n">
        <v>0.26</v>
      </c>
      <c r="E625" s="63" t="n">
        <v>1</v>
      </c>
      <c r="F625" s="63" t="n">
        <v>0.38625</v>
      </c>
      <c r="G625" s="63" t="n">
        <v>0.1</v>
      </c>
      <c r="H625" s="63" t="n">
        <v>0.384907436629</v>
      </c>
      <c r="I625" s="63" t="n">
        <v>0.48829287048</v>
      </c>
      <c r="J625" s="63" t="n">
        <v>0.281522002778</v>
      </c>
      <c r="K625" s="63" t="n">
        <v>1351.22</v>
      </c>
      <c r="L625" s="63" t="n">
        <v>1293.72</v>
      </c>
      <c r="M625" s="63" t="n">
        <v>1348.35</v>
      </c>
      <c r="N625" s="54">
        <f>(M626-M625)/M625</f>
        <v/>
      </c>
      <c r="O625" s="54">
        <f>(M629-M625)/M625</f>
        <v/>
      </c>
      <c r="P625" s="4">
        <f>B625-D625</f>
        <v/>
      </c>
      <c r="Q625" s="4">
        <f>AVERAGE(P622:P625)</f>
        <v/>
      </c>
      <c r="R625" s="54">
        <f>(M626-M625)/M625</f>
        <v/>
      </c>
      <c r="S625" s="54">
        <f>(M629-M625)/M625</f>
        <v/>
      </c>
      <c r="T625" s="63">
        <f>IF(R625&gt;0,1,"")</f>
        <v/>
      </c>
      <c r="U625" s="63">
        <f>IF(S625&gt;0,1,"")</f>
        <v/>
      </c>
    </row>
    <row r="626">
      <c r="A626" s="35" t="n">
        <v>36265</v>
      </c>
      <c r="B626" s="4" t="n">
        <v>0.41</v>
      </c>
      <c r="C626" s="4" t="n">
        <v>0.31</v>
      </c>
      <c r="D626" s="4" t="n">
        <v>0.28</v>
      </c>
      <c r="E626" s="63" t="n">
        <v>1</v>
      </c>
      <c r="F626" s="63" t="n">
        <v>0.39125</v>
      </c>
      <c r="G626" s="63" t="n">
        <v>0.13</v>
      </c>
      <c r="H626" s="63" t="n">
        <v>0.384907436629</v>
      </c>
      <c r="I626" s="63" t="n">
        <v>0.48829287048</v>
      </c>
      <c r="J626" s="63" t="n">
        <v>0.281522002778</v>
      </c>
      <c r="K626" s="63" t="n">
        <v>1362.1</v>
      </c>
      <c r="L626" s="63" t="n">
        <v>1308.38</v>
      </c>
      <c r="M626" s="63" t="n">
        <v>1319</v>
      </c>
      <c r="N626" s="54">
        <f>(M627-M626)/M626</f>
        <v/>
      </c>
      <c r="O626" s="54">
        <f>(M630-M626)/M626</f>
        <v/>
      </c>
      <c r="P626" s="4">
        <f>B626-D626</f>
        <v/>
      </c>
      <c r="Q626" s="4">
        <f>AVERAGE(P623:P626)</f>
        <v/>
      </c>
      <c r="R626" s="54">
        <f>(M627-M626)/M626</f>
        <v/>
      </c>
      <c r="S626" s="54">
        <f>(M630-M626)/M626</f>
        <v/>
      </c>
      <c r="T626" s="63">
        <f>IF(R626&gt;0,1,"")</f>
        <v/>
      </c>
      <c r="U626" s="63">
        <f>IF(S626&gt;0,1,"")</f>
        <v/>
      </c>
    </row>
    <row r="627">
      <c r="A627" s="35" t="n">
        <v>36272</v>
      </c>
      <c r="B627" s="4" t="n">
        <v>0.38</v>
      </c>
      <c r="C627" s="4" t="n">
        <v>0.32</v>
      </c>
      <c r="D627" s="4" t="n">
        <v>0.3</v>
      </c>
      <c r="E627" s="63" t="n">
        <v>1</v>
      </c>
      <c r="F627" s="63" t="n">
        <v>0.3925</v>
      </c>
      <c r="G627" s="63" t="n">
        <v>0.08</v>
      </c>
      <c r="H627" s="63" t="n">
        <v>0.384907436629</v>
      </c>
      <c r="I627" s="63" t="n">
        <v>0.48829287048</v>
      </c>
      <c r="J627" s="63" t="n">
        <v>0.281522002778</v>
      </c>
      <c r="K627" s="63" t="n">
        <v>1363.65</v>
      </c>
      <c r="L627" s="63" t="n">
        <v>1284.21</v>
      </c>
      <c r="M627" s="63" t="n">
        <v>1356.85</v>
      </c>
      <c r="N627" s="54">
        <f>(M628-M627)/M627</f>
        <v/>
      </c>
      <c r="O627" s="54">
        <f>(M631-M627)/M627</f>
        <v/>
      </c>
      <c r="P627" s="4">
        <f>B627-D627</f>
        <v/>
      </c>
      <c r="Q627" s="4">
        <f>AVERAGE(P624:P627)</f>
        <v/>
      </c>
      <c r="R627" s="54">
        <f>(M628-M627)/M627</f>
        <v/>
      </c>
      <c r="S627" s="54">
        <f>(M631-M627)/M627</f>
        <v/>
      </c>
      <c r="T627" s="63">
        <f>IF(R627&gt;0,1,"")</f>
        <v/>
      </c>
      <c r="U627" s="63">
        <f>IF(S627&gt;0,1,"")</f>
        <v/>
      </c>
    </row>
    <row r="628">
      <c r="A628" s="35" t="n">
        <v>36279</v>
      </c>
      <c r="B628" s="4" t="n">
        <v>0.41</v>
      </c>
      <c r="C628" s="4" t="n">
        <v>0.32</v>
      </c>
      <c r="D628" s="4" t="n">
        <v>0.27</v>
      </c>
      <c r="E628" s="63" t="n">
        <v>1</v>
      </c>
      <c r="F628" s="63" t="n">
        <v>0.39875</v>
      </c>
      <c r="G628" s="63" t="n">
        <v>0.14</v>
      </c>
      <c r="H628" s="63" t="n">
        <v>0.384907436629</v>
      </c>
      <c r="I628" s="63" t="n">
        <v>0.48829287048</v>
      </c>
      <c r="J628" s="63" t="n">
        <v>0.281522002778</v>
      </c>
      <c r="K628" s="63" t="n">
        <v>1371.56</v>
      </c>
      <c r="L628" s="63" t="n">
        <v>1314.58</v>
      </c>
      <c r="M628" s="63" t="n">
        <v>1335.18</v>
      </c>
      <c r="N628" s="54">
        <f>(M629-M628)/M628</f>
        <v/>
      </c>
      <c r="O628" s="54">
        <f>(M632-M628)/M628</f>
        <v/>
      </c>
      <c r="P628" s="4">
        <f>B628-D628</f>
        <v/>
      </c>
      <c r="Q628" s="4">
        <f>AVERAGE(P625:P628)</f>
        <v/>
      </c>
      <c r="R628" s="54">
        <f>(M629-M628)/M628</f>
        <v/>
      </c>
      <c r="S628" s="54">
        <f>(M632-M628)/M628</f>
        <v/>
      </c>
      <c r="T628" s="63">
        <f>IF(R628&gt;0,1,"")</f>
        <v/>
      </c>
      <c r="U628" s="63">
        <f>IF(S628&gt;0,1,"")</f>
        <v/>
      </c>
    </row>
    <row r="629">
      <c r="A629" s="35" t="n">
        <v>36286</v>
      </c>
      <c r="B629" s="4" t="n">
        <v>0.54</v>
      </c>
      <c r="C629" s="4" t="n">
        <v>0.32</v>
      </c>
      <c r="D629" s="4" t="n">
        <v>0.14</v>
      </c>
      <c r="E629" s="63" t="n">
        <v>1</v>
      </c>
      <c r="F629" s="63" t="n">
        <v>0.42</v>
      </c>
      <c r="G629" s="63" t="n">
        <v>0.4</v>
      </c>
      <c r="H629" s="63" t="n">
        <v>0.384907436629</v>
      </c>
      <c r="I629" s="63" t="n">
        <v>0.48829287048</v>
      </c>
      <c r="J629" s="63" t="n">
        <v>0.281522002778</v>
      </c>
      <c r="K629" s="63" t="n">
        <v>1354.64</v>
      </c>
      <c r="L629" s="63" t="n">
        <v>1317.44</v>
      </c>
      <c r="M629" s="63" t="n">
        <v>1345</v>
      </c>
      <c r="N629" s="54">
        <f>(M630-M629)/M629</f>
        <v/>
      </c>
      <c r="O629" s="54">
        <f>(M633-M629)/M629</f>
        <v/>
      </c>
      <c r="P629" s="4">
        <f>B629-D629</f>
        <v/>
      </c>
      <c r="Q629" s="4">
        <f>AVERAGE(P626:P629)</f>
        <v/>
      </c>
      <c r="R629" s="54">
        <f>(M630-M629)/M629</f>
        <v/>
      </c>
      <c r="S629" s="54">
        <f>(M633-M629)/M629</f>
        <v/>
      </c>
      <c r="T629" s="63">
        <f>IF(R629&gt;0,1,"")</f>
        <v/>
      </c>
      <c r="U629" s="63">
        <f>IF(S629&gt;0,1,"")</f>
        <v/>
      </c>
    </row>
    <row r="630">
      <c r="A630" s="35" t="n">
        <v>36293</v>
      </c>
      <c r="B630" s="4" t="n">
        <v>0.43</v>
      </c>
      <c r="C630" s="4" t="n">
        <v>0.31</v>
      </c>
      <c r="D630" s="4" t="n">
        <v>0.26</v>
      </c>
      <c r="E630" s="63" t="n">
        <v>1</v>
      </c>
      <c r="F630" s="63" t="n">
        <v>0.41375</v>
      </c>
      <c r="G630" s="63" t="n">
        <v>0.17</v>
      </c>
      <c r="H630" s="63" t="n">
        <v>0.384907436629</v>
      </c>
      <c r="I630" s="63" t="n">
        <v>0.48829287048</v>
      </c>
      <c r="J630" s="63" t="n">
        <v>0.281522002778</v>
      </c>
      <c r="K630" s="63" t="n">
        <v>1375.98</v>
      </c>
      <c r="L630" s="63" t="n">
        <v>1332.63</v>
      </c>
      <c r="M630" s="63" t="n">
        <v>1337.8</v>
      </c>
      <c r="N630" s="54">
        <f>(M631-M630)/M630</f>
        <v/>
      </c>
      <c r="O630" s="54">
        <f>(M634-M630)/M630</f>
        <v/>
      </c>
      <c r="P630" s="4">
        <f>B630-D630</f>
        <v/>
      </c>
      <c r="Q630" s="4">
        <f>AVERAGE(P627:P630)</f>
        <v/>
      </c>
      <c r="R630" s="54">
        <f>(M631-M630)/M630</f>
        <v/>
      </c>
      <c r="S630" s="54">
        <f>(M634-M630)/M630</f>
        <v/>
      </c>
      <c r="T630" s="63">
        <f>IF(R630&gt;0,1,"")</f>
        <v/>
      </c>
      <c r="U630" s="63">
        <f>IF(S630&gt;0,1,"")</f>
        <v/>
      </c>
    </row>
    <row r="631">
      <c r="A631" s="35" t="n">
        <v>36300</v>
      </c>
      <c r="B631" s="4" t="n">
        <v>0.43</v>
      </c>
      <c r="C631" s="4" t="n">
        <v>0.31</v>
      </c>
      <c r="D631" s="4" t="n">
        <v>0.26</v>
      </c>
      <c r="E631" s="63" t="n">
        <v>1</v>
      </c>
      <c r="F631" s="63" t="n">
        <v>0.42</v>
      </c>
      <c r="G631" s="63" t="n">
        <v>0.17</v>
      </c>
      <c r="H631" s="63" t="n">
        <v>0.384907436629</v>
      </c>
      <c r="I631" s="63" t="n">
        <v>0.48829287048</v>
      </c>
      <c r="J631" s="63" t="n">
        <v>0.281522002778</v>
      </c>
      <c r="K631" s="63" t="n">
        <v>1350.49</v>
      </c>
      <c r="L631" s="63" t="n">
        <v>1321.19</v>
      </c>
      <c r="M631" s="63" t="n">
        <v>1330.29</v>
      </c>
      <c r="N631" s="54">
        <f>(M632-M631)/M631</f>
        <v/>
      </c>
      <c r="O631" s="54">
        <f>(M635-M631)/M631</f>
        <v/>
      </c>
      <c r="P631" s="4">
        <f>B631-D631</f>
        <v/>
      </c>
      <c r="Q631" s="4">
        <f>AVERAGE(P628:P631)</f>
        <v/>
      </c>
      <c r="R631" s="54">
        <f>(M632-M631)/M631</f>
        <v/>
      </c>
      <c r="S631" s="54">
        <f>(M635-M631)/M631</f>
        <v/>
      </c>
      <c r="T631" s="63">
        <f>IF(R631&gt;0,1,"")</f>
        <v/>
      </c>
      <c r="U631" s="63">
        <f>IF(S631&gt;0,1,"")</f>
        <v/>
      </c>
    </row>
    <row r="632">
      <c r="A632" s="35" t="n">
        <v>36307</v>
      </c>
      <c r="B632" s="4" t="n">
        <v>0.38</v>
      </c>
      <c r="C632" s="4" t="n">
        <v>0.42</v>
      </c>
      <c r="D632" s="4" t="n">
        <v>0.2</v>
      </c>
      <c r="E632" s="63" t="n">
        <v>1</v>
      </c>
      <c r="F632" s="63" t="n">
        <v>0.4175</v>
      </c>
      <c r="G632" s="63" t="n">
        <v>0.18</v>
      </c>
      <c r="H632" s="63" t="n">
        <v>0.384907436629</v>
      </c>
      <c r="I632" s="63" t="n">
        <v>0.48829287048</v>
      </c>
      <c r="J632" s="63" t="n">
        <v>0.281522002778</v>
      </c>
      <c r="K632" s="63" t="n">
        <v>1333.02</v>
      </c>
      <c r="L632" s="63" t="n">
        <v>1277.31</v>
      </c>
      <c r="M632" s="63" t="n">
        <v>1301.84</v>
      </c>
      <c r="N632" s="54">
        <f>(M633-M632)/M632</f>
        <v/>
      </c>
      <c r="O632" s="54">
        <f>(M636-M632)/M632</f>
        <v/>
      </c>
      <c r="P632" s="4">
        <f>B632-D632</f>
        <v/>
      </c>
      <c r="Q632" s="4">
        <f>AVERAGE(P629:P632)</f>
        <v/>
      </c>
      <c r="R632" s="54">
        <f>(M633-M632)/M632</f>
        <v/>
      </c>
      <c r="S632" s="54">
        <f>(M636-M632)/M632</f>
        <v/>
      </c>
      <c r="T632" s="63">
        <f>IF(R632&gt;0,1,"")</f>
        <v/>
      </c>
      <c r="U632" s="63">
        <f>IF(S632&gt;0,1,"")</f>
        <v/>
      </c>
    </row>
    <row r="633">
      <c r="A633" s="35" t="n">
        <v>36314</v>
      </c>
      <c r="B633" s="4" t="n">
        <v>0.32</v>
      </c>
      <c r="C633" s="4" t="n">
        <v>0.36</v>
      </c>
      <c r="D633" s="4" t="n">
        <v>0.32</v>
      </c>
      <c r="E633" s="63" t="n">
        <v>1</v>
      </c>
      <c r="F633" s="63" t="n">
        <v>0.4125</v>
      </c>
      <c r="G633" s="63" t="n">
        <v>0</v>
      </c>
      <c r="H633" s="63" t="n">
        <v>0.384907436629</v>
      </c>
      <c r="I633" s="63" t="n">
        <v>0.48829287048</v>
      </c>
      <c r="J633" s="63" t="n">
        <v>0.281522002778</v>
      </c>
      <c r="K633" s="63" t="n">
        <v>1327.75</v>
      </c>
      <c r="L633" s="63" t="n">
        <v>1277.47</v>
      </c>
      <c r="M633" s="63" t="n">
        <v>1327.75</v>
      </c>
      <c r="N633" s="54">
        <f>(M634-M633)/M633</f>
        <v/>
      </c>
      <c r="O633" s="54">
        <f>(M637-M633)/M633</f>
        <v/>
      </c>
      <c r="P633" s="4">
        <f>B633-D633</f>
        <v/>
      </c>
      <c r="Q633" s="4">
        <f>AVERAGE(P630:P633)</f>
        <v/>
      </c>
      <c r="R633" s="54">
        <f>(M634-M633)/M633</f>
        <v/>
      </c>
      <c r="S633" s="54">
        <f>(M637-M633)/M633</f>
        <v/>
      </c>
      <c r="T633" s="63">
        <f>IF(R633&gt;0,1,"")</f>
        <v/>
      </c>
      <c r="U633" s="63">
        <f>IF(S633&gt;0,1,"")</f>
        <v/>
      </c>
    </row>
    <row r="634">
      <c r="A634" s="35" t="n">
        <v>36321</v>
      </c>
      <c r="B634" s="4" t="n">
        <v>0.32</v>
      </c>
      <c r="C634" s="4" t="n">
        <v>0.4</v>
      </c>
      <c r="D634" s="4" t="n">
        <v>0.28</v>
      </c>
      <c r="E634" s="63" t="n">
        <v>1</v>
      </c>
      <c r="F634" s="63" t="n">
        <v>0.40125</v>
      </c>
      <c r="G634" s="63" t="n">
        <v>0.04</v>
      </c>
      <c r="H634" s="63" t="n">
        <v>0.384907436629</v>
      </c>
      <c r="I634" s="63" t="n">
        <v>0.48829287048</v>
      </c>
      <c r="J634" s="63" t="n">
        <v>0.281522002778</v>
      </c>
      <c r="K634" s="63" t="n">
        <v>1336.42</v>
      </c>
      <c r="L634" s="63" t="n">
        <v>1287.88</v>
      </c>
      <c r="M634" s="63" t="n">
        <v>1293.64</v>
      </c>
      <c r="N634" s="54">
        <f>(M635-M634)/M634</f>
        <v/>
      </c>
      <c r="O634" s="54">
        <f>(M638-M634)/M634</f>
        <v/>
      </c>
      <c r="P634" s="4">
        <f>B634-D634</f>
        <v/>
      </c>
      <c r="Q634" s="4">
        <f>AVERAGE(P631:P634)</f>
        <v/>
      </c>
      <c r="R634" s="54">
        <f>(M635-M634)/M634</f>
        <v/>
      </c>
      <c r="S634" s="54">
        <f>(M638-M634)/M634</f>
        <v/>
      </c>
      <c r="T634" s="63">
        <f>IF(R634&gt;0,1,"")</f>
        <v/>
      </c>
      <c r="U634" s="63">
        <f>IF(S634&gt;0,1,"")</f>
        <v/>
      </c>
    </row>
    <row r="635">
      <c r="A635" s="35" t="n">
        <v>36328</v>
      </c>
      <c r="B635" s="4" t="n">
        <v>0.38</v>
      </c>
      <c r="C635" s="4" t="n">
        <v>0.35</v>
      </c>
      <c r="D635" s="4" t="n">
        <v>0.27</v>
      </c>
      <c r="E635" s="63" t="n">
        <v>1</v>
      </c>
      <c r="F635" s="63" t="n">
        <v>0.40125</v>
      </c>
      <c r="G635" s="63" t="n">
        <v>0.11</v>
      </c>
      <c r="H635" s="63" t="n">
        <v>0.384907436629</v>
      </c>
      <c r="I635" s="63" t="n">
        <v>0.48829287048</v>
      </c>
      <c r="J635" s="63" t="n">
        <v>0.281522002778</v>
      </c>
      <c r="K635" s="63" t="n">
        <v>1344.48</v>
      </c>
      <c r="L635" s="63" t="n">
        <v>1292.2</v>
      </c>
      <c r="M635" s="63" t="n">
        <v>1342.84</v>
      </c>
      <c r="N635" s="54">
        <f>(M636-M635)/M635</f>
        <v/>
      </c>
      <c r="O635" s="54">
        <f>(M639-M635)/M635</f>
        <v/>
      </c>
      <c r="P635" s="4">
        <f>B635-D635</f>
        <v/>
      </c>
      <c r="Q635" s="4">
        <f>AVERAGE(P632:P635)</f>
        <v/>
      </c>
      <c r="R635" s="54">
        <f>(M636-M635)/M635</f>
        <v/>
      </c>
      <c r="S635" s="54">
        <f>(M639-M635)/M635</f>
        <v/>
      </c>
      <c r="T635" s="63">
        <f>IF(R635&gt;0,1,"")</f>
        <v/>
      </c>
      <c r="U635" s="63">
        <f>IF(S635&gt;0,1,"")</f>
        <v/>
      </c>
    </row>
    <row r="636">
      <c r="A636" s="35" t="n">
        <v>36335</v>
      </c>
      <c r="B636" s="4" t="n">
        <v>0.3</v>
      </c>
      <c r="C636" s="4" t="n">
        <v>0.39</v>
      </c>
      <c r="D636" s="4" t="n">
        <v>0.31</v>
      </c>
      <c r="E636" s="63" t="n">
        <v>1</v>
      </c>
      <c r="F636" s="63" t="n">
        <v>0.3875</v>
      </c>
      <c r="G636" s="63" t="n">
        <v>-0.01</v>
      </c>
      <c r="H636" s="63" t="n">
        <v>0.384907436629</v>
      </c>
      <c r="I636" s="63" t="n">
        <v>0.48829287048</v>
      </c>
      <c r="J636" s="63" t="n">
        <v>0.281522002778</v>
      </c>
      <c r="K636" s="63" t="n">
        <v>1351.12</v>
      </c>
      <c r="L636" s="63" t="n">
        <v>1308.47</v>
      </c>
      <c r="M636" s="63" t="n">
        <v>1315.31</v>
      </c>
      <c r="N636" s="54">
        <f>(M637-M636)/M636</f>
        <v/>
      </c>
      <c r="O636" s="54">
        <f>(M640-M636)/M636</f>
        <v/>
      </c>
      <c r="P636" s="4">
        <f>B636-D636</f>
        <v/>
      </c>
      <c r="Q636" s="4">
        <f>AVERAGE(P633:P636)</f>
        <v/>
      </c>
      <c r="R636" s="54">
        <f>(M637-M636)/M636</f>
        <v/>
      </c>
      <c r="S636" s="54">
        <f>(M640-M636)/M636</f>
        <v/>
      </c>
      <c r="T636" s="63">
        <f>IF(R636&gt;0,1,"")</f>
        <v/>
      </c>
      <c r="U636" s="63">
        <f>IF(S636&gt;0,1,"")</f>
        <v/>
      </c>
    </row>
    <row r="637">
      <c r="A637" s="35" t="n">
        <v>36342</v>
      </c>
      <c r="B637" s="4" t="n">
        <v>0.35</v>
      </c>
      <c r="C637" s="4" t="n">
        <v>0.38</v>
      </c>
      <c r="D637" s="4" t="n">
        <v>0.27</v>
      </c>
      <c r="E637" s="63" t="n">
        <v>1</v>
      </c>
      <c r="F637" s="63" t="n">
        <v>0.36375</v>
      </c>
      <c r="G637" s="63" t="n">
        <v>0.08</v>
      </c>
      <c r="H637" s="63" t="n">
        <v>0.384907436629</v>
      </c>
      <c r="I637" s="63" t="n">
        <v>0.48829287048</v>
      </c>
      <c r="J637" s="63" t="n">
        <v>0.281522002778</v>
      </c>
      <c r="K637" s="63" t="n">
        <v>1391.22</v>
      </c>
      <c r="L637" s="63" t="n">
        <v>1315.31</v>
      </c>
      <c r="M637" s="63" t="n">
        <v>1391.22</v>
      </c>
      <c r="N637" s="54">
        <f>(M638-M637)/M637</f>
        <v/>
      </c>
      <c r="O637" s="54">
        <f>(M641-M637)/M637</f>
        <v/>
      </c>
      <c r="P637" s="4">
        <f>B637-D637</f>
        <v/>
      </c>
      <c r="Q637" s="4">
        <f>AVERAGE(P634:P637)</f>
        <v/>
      </c>
      <c r="R637" s="54">
        <f>(M638-M637)/M637</f>
        <v/>
      </c>
      <c r="S637" s="54">
        <f>(M641-M637)/M637</f>
        <v/>
      </c>
      <c r="T637" s="63">
        <f>IF(R637&gt;0,1,"")</f>
        <v/>
      </c>
      <c r="U637" s="63">
        <f>IF(S637&gt;0,1,"")</f>
        <v/>
      </c>
    </row>
    <row r="638">
      <c r="A638" s="35" t="n">
        <v>36349</v>
      </c>
      <c r="B638" s="4" t="n">
        <v>0.43</v>
      </c>
      <c r="C638" s="4" t="n">
        <v>0.36</v>
      </c>
      <c r="D638" s="4" t="n">
        <v>0.21</v>
      </c>
      <c r="E638" s="63" t="n">
        <v>1</v>
      </c>
      <c r="F638" s="63" t="n">
        <v>0.36375</v>
      </c>
      <c r="G638" s="63" t="n">
        <v>0.22</v>
      </c>
      <c r="H638" s="63" t="n">
        <v>0.384907436629</v>
      </c>
      <c r="I638" s="63" t="n">
        <v>0.48829287048</v>
      </c>
      <c r="J638" s="63" t="n">
        <v>0.281522002778</v>
      </c>
      <c r="K638" s="63" t="n">
        <v>1405.29</v>
      </c>
      <c r="L638" s="63" t="n">
        <v>1384.95</v>
      </c>
      <c r="M638" s="63" t="n">
        <v>1403.28</v>
      </c>
      <c r="N638" s="54">
        <f>(M639-M638)/M638</f>
        <v/>
      </c>
      <c r="O638" s="54">
        <f>(M642-M638)/M638</f>
        <v/>
      </c>
      <c r="P638" s="4">
        <f>B638-D638</f>
        <v/>
      </c>
      <c r="Q638" s="4">
        <f>AVERAGE(P635:P638)</f>
        <v/>
      </c>
      <c r="R638" s="54">
        <f>(M639-M638)/M638</f>
        <v/>
      </c>
      <c r="S638" s="54">
        <f>(M642-M638)/M638</f>
        <v/>
      </c>
      <c r="T638" s="63">
        <f>IF(R638&gt;0,1,"")</f>
        <v/>
      </c>
      <c r="U638" s="63">
        <f>IF(S638&gt;0,1,"")</f>
        <v/>
      </c>
    </row>
    <row r="639">
      <c r="A639" s="35" t="n">
        <v>36356</v>
      </c>
      <c r="B639" s="4" t="n">
        <v>0.54</v>
      </c>
      <c r="C639" s="4" t="n">
        <v>0.28</v>
      </c>
      <c r="D639" s="4" t="n">
        <v>0.18</v>
      </c>
      <c r="E639" s="63" t="n">
        <v>1</v>
      </c>
      <c r="F639" s="63" t="n">
        <v>0.3775</v>
      </c>
      <c r="G639" s="63" t="n">
        <v>0.36</v>
      </c>
      <c r="H639" s="63" t="n">
        <v>0.384907436629</v>
      </c>
      <c r="I639" s="63" t="n">
        <v>0.48829287048</v>
      </c>
      <c r="J639" s="63" t="n">
        <v>0.281522002778</v>
      </c>
      <c r="K639" s="63" t="n">
        <v>1418.78</v>
      </c>
      <c r="L639" s="63" t="n">
        <v>1386.51</v>
      </c>
      <c r="M639" s="63" t="n">
        <v>1418.78</v>
      </c>
      <c r="N639" s="54">
        <f>(M640-M639)/M639</f>
        <v/>
      </c>
      <c r="O639" s="54">
        <f>(M643-M639)/M639</f>
        <v/>
      </c>
      <c r="P639" s="4">
        <f>B639-D639</f>
        <v/>
      </c>
      <c r="Q639" s="4">
        <f>AVERAGE(P636:P639)</f>
        <v/>
      </c>
      <c r="R639" s="54">
        <f>(M640-M639)/M639</f>
        <v/>
      </c>
      <c r="S639" s="54">
        <f>(M643-M639)/M639</f>
        <v/>
      </c>
      <c r="T639" s="63">
        <f>IF(R639&gt;0,1,"")</f>
        <v/>
      </c>
      <c r="U639" s="63">
        <f>IF(S639&gt;0,1,"")</f>
        <v/>
      </c>
    </row>
    <row r="640">
      <c r="A640" s="35" t="n">
        <v>36363</v>
      </c>
      <c r="B640" s="4" t="n">
        <v>0.55</v>
      </c>
      <c r="C640" s="4" t="n">
        <v>0.23</v>
      </c>
      <c r="D640" s="4" t="n">
        <v>0.22</v>
      </c>
      <c r="E640" s="63" t="n">
        <v>1</v>
      </c>
      <c r="F640" s="63" t="n">
        <v>0.39875</v>
      </c>
      <c r="G640" s="63" t="n">
        <v>0.33</v>
      </c>
      <c r="H640" s="63" t="n">
        <v>0.384907436629</v>
      </c>
      <c r="I640" s="63" t="n">
        <v>0.48829287048</v>
      </c>
      <c r="J640" s="63" t="n">
        <v>0.281522002778</v>
      </c>
      <c r="K640" s="63" t="n">
        <v>1420.33</v>
      </c>
      <c r="L640" s="63" t="n">
        <v>1349.91</v>
      </c>
      <c r="M640" s="63" t="n">
        <v>1356.94</v>
      </c>
      <c r="N640" s="54">
        <f>(M641-M640)/M640</f>
        <v/>
      </c>
      <c r="O640" s="54">
        <f>(M644-M640)/M640</f>
        <v/>
      </c>
      <c r="P640" s="4">
        <f>B640-D640</f>
        <v/>
      </c>
      <c r="Q640" s="4">
        <f>AVERAGE(P637:P640)</f>
        <v/>
      </c>
      <c r="R640" s="54">
        <f>(M641-M640)/M640</f>
        <v/>
      </c>
      <c r="S640" s="54">
        <f>(M644-M640)/M640</f>
        <v/>
      </c>
      <c r="T640" s="63">
        <f>IF(R640&gt;0,1,"")</f>
        <v/>
      </c>
      <c r="U640" s="63">
        <f>IF(S640&gt;0,1,"")</f>
        <v/>
      </c>
    </row>
    <row r="641">
      <c r="A641" s="35" t="n">
        <v>36370</v>
      </c>
      <c r="B641" s="4" t="n">
        <v>0.42</v>
      </c>
      <c r="C641" s="4" t="n">
        <v>0.38</v>
      </c>
      <c r="D641" s="4" t="n">
        <v>0.2</v>
      </c>
      <c r="E641" s="63" t="n">
        <v>1</v>
      </c>
      <c r="F641" s="63" t="n">
        <v>0.41125</v>
      </c>
      <c r="G641" s="63" t="n">
        <v>0.22</v>
      </c>
      <c r="H641" s="63" t="n">
        <v>0.384907436629</v>
      </c>
      <c r="I641" s="63" t="n">
        <v>0.48829287048</v>
      </c>
      <c r="J641" s="63" t="n">
        <v>0.281522002778</v>
      </c>
      <c r="K641" s="63" t="n">
        <v>1370.39</v>
      </c>
      <c r="L641" s="63" t="n">
        <v>1328.49</v>
      </c>
      <c r="M641" s="63" t="n">
        <v>1328.72</v>
      </c>
      <c r="N641" s="54">
        <f>(M642-M641)/M641</f>
        <v/>
      </c>
      <c r="O641" s="54">
        <f>(M645-M641)/M641</f>
        <v/>
      </c>
      <c r="P641" s="4">
        <f>B641-D641</f>
        <v/>
      </c>
      <c r="Q641" s="4">
        <f>AVERAGE(P638:P641)</f>
        <v/>
      </c>
      <c r="R641" s="54">
        <f>(M642-M641)/M641</f>
        <v/>
      </c>
      <c r="S641" s="54">
        <f>(M645-M641)/M641</f>
        <v/>
      </c>
      <c r="T641" s="63">
        <f>IF(R641&gt;0,1,"")</f>
        <v/>
      </c>
      <c r="U641" s="63">
        <f>IF(S641&gt;0,1,"")</f>
        <v/>
      </c>
    </row>
    <row r="642">
      <c r="A642" s="35" t="n">
        <v>36377</v>
      </c>
      <c r="B642" s="4" t="n">
        <v>0.3</v>
      </c>
      <c r="C642" s="4" t="n">
        <v>0.46</v>
      </c>
      <c r="D642" s="4" t="n">
        <v>0.24</v>
      </c>
      <c r="E642" s="63" t="n">
        <v>1</v>
      </c>
      <c r="F642" s="63" t="n">
        <v>0.40875</v>
      </c>
      <c r="G642" s="63" t="n">
        <v>0.06</v>
      </c>
      <c r="H642" s="63" t="n">
        <v>0.384907436629</v>
      </c>
      <c r="I642" s="63" t="n">
        <v>0.48829287048</v>
      </c>
      <c r="J642" s="63" t="n">
        <v>0.281522002778</v>
      </c>
      <c r="K642" s="63" t="n">
        <v>1344.69</v>
      </c>
      <c r="L642" s="63" t="n">
        <v>1287.23</v>
      </c>
      <c r="M642" s="63" t="n">
        <v>1300.29</v>
      </c>
      <c r="N642" s="54">
        <f>(M643-M642)/M642</f>
        <v/>
      </c>
      <c r="O642" s="54">
        <f>(M646-M642)/M642</f>
        <v/>
      </c>
      <c r="P642" s="4">
        <f>B642-D642</f>
        <v/>
      </c>
      <c r="Q642" s="4">
        <f>AVERAGE(P639:P642)</f>
        <v/>
      </c>
      <c r="R642" s="54">
        <f>(M643-M642)/M642</f>
        <v/>
      </c>
      <c r="S642" s="54">
        <f>(M646-M642)/M642</f>
        <v/>
      </c>
      <c r="T642" s="63">
        <f>IF(R642&gt;0,1,"")</f>
        <v/>
      </c>
      <c r="U642" s="63">
        <f>IF(S642&gt;0,1,"")</f>
        <v/>
      </c>
    </row>
    <row r="643">
      <c r="A643" s="35" t="n">
        <v>36384</v>
      </c>
      <c r="B643" s="4" t="n">
        <v>0.3</v>
      </c>
      <c r="C643" s="4" t="n">
        <v>0.4</v>
      </c>
      <c r="D643" s="4" t="n">
        <v>0.3</v>
      </c>
      <c r="E643" s="63" t="n">
        <v>1</v>
      </c>
      <c r="F643" s="63" t="n">
        <v>0.39875</v>
      </c>
      <c r="G643" s="63" t="n">
        <v>0</v>
      </c>
      <c r="H643" s="63" t="n">
        <v>0.384907436629</v>
      </c>
      <c r="I643" s="63" t="n">
        <v>0.48829287048</v>
      </c>
      <c r="J643" s="63" t="n">
        <v>0.281522002778</v>
      </c>
      <c r="K643" s="63" t="n">
        <v>1327.72</v>
      </c>
      <c r="L643" s="63" t="n">
        <v>1267.73</v>
      </c>
      <c r="M643" s="63" t="n">
        <v>1327.68</v>
      </c>
      <c r="N643" s="54">
        <f>(M644-M643)/M643</f>
        <v/>
      </c>
      <c r="O643" s="54">
        <f>(M647-M643)/M643</f>
        <v/>
      </c>
      <c r="P643" s="4">
        <f>B643-D643</f>
        <v/>
      </c>
      <c r="Q643" s="4">
        <f>AVERAGE(P640:P643)</f>
        <v/>
      </c>
      <c r="R643" s="54">
        <f>(M644-M643)/M643</f>
        <v/>
      </c>
      <c r="S643" s="54">
        <f>(M647-M643)/M643</f>
        <v/>
      </c>
      <c r="T643" s="63">
        <f>IF(R643&gt;0,1,"")</f>
        <v/>
      </c>
      <c r="U643" s="63">
        <f>IF(S643&gt;0,1,"")</f>
        <v/>
      </c>
    </row>
    <row r="644">
      <c r="A644" s="35" t="n">
        <v>36391</v>
      </c>
      <c r="B644" s="4" t="n">
        <v>0.31</v>
      </c>
      <c r="C644" s="4" t="n">
        <v>0.46</v>
      </c>
      <c r="D644" s="4" t="n">
        <v>0.23</v>
      </c>
      <c r="E644" s="63" t="n">
        <v>1</v>
      </c>
      <c r="F644" s="63" t="n">
        <v>0.4</v>
      </c>
      <c r="G644" s="63" t="n">
        <v>0.08</v>
      </c>
      <c r="H644" s="63" t="n">
        <v>0.384907436629</v>
      </c>
      <c r="I644" s="63" t="n">
        <v>0.48829287048</v>
      </c>
      <c r="J644" s="63" t="n">
        <v>0.281522002778</v>
      </c>
      <c r="K644" s="63" t="n">
        <v>1344.16</v>
      </c>
      <c r="L644" s="63" t="n">
        <v>1315.35</v>
      </c>
      <c r="M644" s="63" t="n">
        <v>1336.61</v>
      </c>
      <c r="N644" s="54">
        <f>(M645-M644)/M644</f>
        <v/>
      </c>
      <c r="O644" s="54">
        <f>(M648-M644)/M644</f>
        <v/>
      </c>
      <c r="P644" s="4">
        <f>B644-D644</f>
        <v/>
      </c>
      <c r="Q644" s="4">
        <f>AVERAGE(P641:P644)</f>
        <v/>
      </c>
      <c r="R644" s="54">
        <f>(M645-M644)/M644</f>
        <v/>
      </c>
      <c r="S644" s="54">
        <f>(M648-M644)/M644</f>
        <v/>
      </c>
      <c r="T644" s="63">
        <f>IF(R644&gt;0,1,"")</f>
        <v/>
      </c>
      <c r="U644" s="63">
        <f>IF(S644&gt;0,1,"")</f>
        <v/>
      </c>
    </row>
    <row r="645">
      <c r="A645" s="35" t="n">
        <v>36398</v>
      </c>
      <c r="B645" s="4" t="n">
        <v>0.35</v>
      </c>
      <c r="C645" s="4" t="n">
        <v>0.4</v>
      </c>
      <c r="D645" s="4" t="n">
        <v>0.25</v>
      </c>
      <c r="E645" s="63" t="n">
        <v>1</v>
      </c>
      <c r="F645" s="63" t="n">
        <v>0.4</v>
      </c>
      <c r="G645" s="63" t="n">
        <v>0.1</v>
      </c>
      <c r="H645" s="63" t="n">
        <v>0.384907436629</v>
      </c>
      <c r="I645" s="63" t="n">
        <v>0.48829287048</v>
      </c>
      <c r="J645" s="63" t="n">
        <v>0.281522002778</v>
      </c>
      <c r="K645" s="63" t="n">
        <v>1382.84</v>
      </c>
      <c r="L645" s="63" t="n">
        <v>1336.61</v>
      </c>
      <c r="M645" s="63" t="n">
        <v>1348.27</v>
      </c>
      <c r="N645" s="54">
        <f>(M646-M645)/M645</f>
        <v/>
      </c>
      <c r="O645" s="54">
        <f>(M649-M645)/M645</f>
        <v/>
      </c>
      <c r="P645" s="4">
        <f>B645-D645</f>
        <v/>
      </c>
      <c r="Q645" s="4">
        <f>AVERAGE(P642:P645)</f>
        <v/>
      </c>
      <c r="R645" s="54">
        <f>(M646-M645)/M645</f>
        <v/>
      </c>
      <c r="S645" s="54">
        <f>(M649-M645)/M645</f>
        <v/>
      </c>
      <c r="T645" s="63">
        <f>IF(R645&gt;0,1,"")</f>
        <v/>
      </c>
      <c r="U645" s="63">
        <f>IF(S645&gt;0,1,"")</f>
        <v/>
      </c>
    </row>
    <row r="646">
      <c r="A646" s="35" t="n">
        <v>36405</v>
      </c>
      <c r="B646" s="4" t="n">
        <v>0.44</v>
      </c>
      <c r="C646" s="4" t="n">
        <v>0.38</v>
      </c>
      <c r="D646" s="4" t="n">
        <v>0.18</v>
      </c>
      <c r="E646" s="63" t="n">
        <v>1</v>
      </c>
      <c r="F646" s="63" t="n">
        <v>0.40125</v>
      </c>
      <c r="G646" s="63" t="n">
        <v>0.26</v>
      </c>
      <c r="H646" s="63" t="n">
        <v>0.384907436629</v>
      </c>
      <c r="I646" s="63" t="n">
        <v>0.48829287048</v>
      </c>
      <c r="J646" s="63" t="n">
        <v>0.281522002778</v>
      </c>
      <c r="K646" s="63" t="n">
        <v>1357.74</v>
      </c>
      <c r="L646" s="63" t="n">
        <v>1304.88</v>
      </c>
      <c r="M646" s="63" t="n">
        <v>1357.24</v>
      </c>
      <c r="N646" s="54">
        <f>(M647-M646)/M646</f>
        <v/>
      </c>
      <c r="O646" s="54">
        <f>(M650-M646)/M646</f>
        <v/>
      </c>
      <c r="P646" s="4">
        <f>B646-D646</f>
        <v/>
      </c>
      <c r="Q646" s="4">
        <f>AVERAGE(P643:P646)</f>
        <v/>
      </c>
      <c r="R646" s="54">
        <f>(M647-M646)/M646</f>
        <v/>
      </c>
      <c r="S646" s="54">
        <f>(M650-M646)/M646</f>
        <v/>
      </c>
      <c r="T646" s="63">
        <f>IF(R646&gt;0,1,"")</f>
        <v/>
      </c>
      <c r="U646" s="63">
        <f>IF(S646&gt;0,1,"")</f>
        <v/>
      </c>
    </row>
    <row r="647">
      <c r="A647" s="35" t="n">
        <v>36412</v>
      </c>
      <c r="B647" s="4" t="n">
        <v>0.37</v>
      </c>
      <c r="C647" s="4" t="n">
        <v>0.38</v>
      </c>
      <c r="D647" s="4" t="n">
        <v>0.25</v>
      </c>
      <c r="E647" s="63" t="n">
        <v>1</v>
      </c>
      <c r="F647" s="63" t="n">
        <v>0.38</v>
      </c>
      <c r="G647" s="63" t="n">
        <v>0.12</v>
      </c>
      <c r="H647" s="63" t="n">
        <v>0.384907436629</v>
      </c>
      <c r="I647" s="63" t="n">
        <v>0.48829287048</v>
      </c>
      <c r="J647" s="63" t="n">
        <v>0.281522002778</v>
      </c>
      <c r="K647" s="63" t="n">
        <v>1361.35</v>
      </c>
      <c r="L647" s="63" t="n">
        <v>1333.94</v>
      </c>
      <c r="M647" s="63" t="n">
        <v>1351.66</v>
      </c>
      <c r="N647" s="54">
        <f>(M648-M647)/M647</f>
        <v/>
      </c>
      <c r="O647" s="54">
        <f>(M651-M647)/M647</f>
        <v/>
      </c>
      <c r="P647" s="4">
        <f>B647-D647</f>
        <v/>
      </c>
      <c r="Q647" s="4">
        <f>AVERAGE(P644:P647)</f>
        <v/>
      </c>
      <c r="R647" s="54">
        <f>(M648-M647)/M647</f>
        <v/>
      </c>
      <c r="S647" s="54">
        <f>(M651-M647)/M647</f>
        <v/>
      </c>
      <c r="T647" s="63">
        <f>IF(R647&gt;0,1,"")</f>
        <v/>
      </c>
      <c r="U647" s="63">
        <f>IF(S647&gt;0,1,"")</f>
        <v/>
      </c>
    </row>
    <row r="648">
      <c r="A648" s="35" t="n">
        <v>36419</v>
      </c>
      <c r="B648" s="4" t="n">
        <v>0.36</v>
      </c>
      <c r="C648" s="4" t="n">
        <v>0.43</v>
      </c>
      <c r="D648" s="4" t="n">
        <v>0.21</v>
      </c>
      <c r="E648" s="63" t="n">
        <v>1</v>
      </c>
      <c r="F648" s="63" t="n">
        <v>0.35625</v>
      </c>
      <c r="G648" s="63" t="n">
        <v>0.15</v>
      </c>
      <c r="H648" s="63" t="n">
        <v>0.384907436629</v>
      </c>
      <c r="I648" s="63" t="n">
        <v>0.48829287048</v>
      </c>
      <c r="J648" s="63" t="n">
        <v>0.281522002778</v>
      </c>
      <c r="K648" s="63" t="n">
        <v>1351.66</v>
      </c>
      <c r="L648" s="63" t="n">
        <v>1317.97</v>
      </c>
      <c r="M648" s="63" t="n">
        <v>1335.42</v>
      </c>
      <c r="N648" s="54">
        <f>(M649-M648)/M648</f>
        <v/>
      </c>
      <c r="O648" s="54">
        <f>(M652-M648)/M648</f>
        <v/>
      </c>
      <c r="P648" s="4">
        <f>B648-D648</f>
        <v/>
      </c>
      <c r="Q648" s="4">
        <f>AVERAGE(P645:P648)</f>
        <v/>
      </c>
      <c r="R648" s="54">
        <f>(M649-M648)/M648</f>
        <v/>
      </c>
      <c r="S648" s="54">
        <f>(M652-M648)/M648</f>
        <v/>
      </c>
      <c r="T648" s="63">
        <f>IF(R648&gt;0,1,"")</f>
        <v/>
      </c>
      <c r="U648" s="63">
        <f>IF(S648&gt;0,1,"")</f>
        <v/>
      </c>
    </row>
    <row r="649">
      <c r="A649" s="35" t="n">
        <v>36426</v>
      </c>
      <c r="B649" s="4" t="n">
        <v>0.36</v>
      </c>
      <c r="C649" s="4" t="n">
        <v>0.36</v>
      </c>
      <c r="D649" s="4" t="n">
        <v>0.28</v>
      </c>
      <c r="E649" s="63" t="n">
        <v>1</v>
      </c>
      <c r="F649" s="63" t="n">
        <v>0.34875</v>
      </c>
      <c r="G649" s="63" t="n">
        <v>0.08</v>
      </c>
      <c r="H649" s="63" t="n">
        <v>0.384907436629</v>
      </c>
      <c r="I649" s="63" t="n">
        <v>0.48829287048</v>
      </c>
      <c r="J649" s="63" t="n">
        <v>0.281522002778</v>
      </c>
      <c r="K649" s="63" t="n">
        <v>1338.38</v>
      </c>
      <c r="L649" s="63" t="n">
        <v>1263.84</v>
      </c>
      <c r="M649" s="63" t="n">
        <v>1277.36</v>
      </c>
      <c r="N649" s="54">
        <f>(M650-M649)/M649</f>
        <v/>
      </c>
      <c r="O649" s="54">
        <f>(M653-M649)/M649</f>
        <v/>
      </c>
      <c r="P649" s="4">
        <f>B649-D649</f>
        <v/>
      </c>
      <c r="Q649" s="4">
        <f>AVERAGE(P646:P649)</f>
        <v/>
      </c>
      <c r="R649" s="54">
        <f>(M650-M649)/M649</f>
        <v/>
      </c>
      <c r="S649" s="54">
        <f>(M653-M649)/M649</f>
        <v/>
      </c>
      <c r="T649" s="63">
        <f>IF(R649&gt;0,1,"")</f>
        <v/>
      </c>
      <c r="U649" s="63">
        <f>IF(S649&gt;0,1,"")</f>
        <v/>
      </c>
    </row>
    <row r="650">
      <c r="A650" s="35" t="n">
        <v>36433</v>
      </c>
      <c r="B650" s="4" t="n">
        <v>0.35</v>
      </c>
      <c r="C650" s="4" t="n">
        <v>0.42</v>
      </c>
      <c r="D650" s="4" t="n">
        <v>0.23</v>
      </c>
      <c r="E650" s="63" t="n">
        <v>1</v>
      </c>
      <c r="F650" s="63" t="n">
        <v>0.355</v>
      </c>
      <c r="G650" s="63" t="n">
        <v>0.12</v>
      </c>
      <c r="H650" s="63" t="n">
        <v>0.384907436629</v>
      </c>
      <c r="I650" s="63" t="n">
        <v>0.48829287048</v>
      </c>
      <c r="J650" s="63" t="n">
        <v>0.281522002778</v>
      </c>
      <c r="K650" s="63" t="n">
        <v>1295.03</v>
      </c>
      <c r="L650" s="63" t="n">
        <v>1256.26</v>
      </c>
      <c r="M650" s="63" t="n">
        <v>1282.81</v>
      </c>
      <c r="N650" s="54">
        <f>(M651-M650)/M650</f>
        <v/>
      </c>
      <c r="O650" s="54">
        <f>(M654-M650)/M650</f>
        <v/>
      </c>
      <c r="P650" s="4">
        <f>B650-D650</f>
        <v/>
      </c>
      <c r="Q650" s="4">
        <f>AVERAGE(P647:P650)</f>
        <v/>
      </c>
      <c r="R650" s="54">
        <f>(M651-M650)/M650</f>
        <v/>
      </c>
      <c r="S650" s="54">
        <f>(M654-M650)/M650</f>
        <v/>
      </c>
      <c r="T650" s="63">
        <f>IF(R650&gt;0,1,"")</f>
        <v/>
      </c>
      <c r="U650" s="63">
        <f>IF(S650&gt;0,1,"")</f>
        <v/>
      </c>
    </row>
    <row r="651">
      <c r="A651" s="35" t="n">
        <v>36440</v>
      </c>
      <c r="B651" s="4" t="n">
        <v>0.34</v>
      </c>
      <c r="C651" s="4" t="n">
        <v>0.38</v>
      </c>
      <c r="D651" s="4" t="n">
        <v>0.28</v>
      </c>
      <c r="E651" s="63" t="n">
        <v>1</v>
      </c>
      <c r="F651" s="63" t="n">
        <v>0.36</v>
      </c>
      <c r="G651" s="63" t="n">
        <v>0.06</v>
      </c>
      <c r="H651" s="63" t="n">
        <v>0.384907436629</v>
      </c>
      <c r="I651" s="63" t="n">
        <v>0.48829287048</v>
      </c>
      <c r="J651" s="63" t="n">
        <v>0.281522002778</v>
      </c>
      <c r="K651" s="63" t="n">
        <v>1336.61</v>
      </c>
      <c r="L651" s="63" t="n">
        <v>1282.81</v>
      </c>
      <c r="M651" s="63" t="n">
        <v>1336.02</v>
      </c>
      <c r="N651" s="54">
        <f>(M652-M651)/M651</f>
        <v/>
      </c>
      <c r="O651" s="54">
        <f>(M655-M651)/M651</f>
        <v/>
      </c>
      <c r="P651" s="4">
        <f>B651-D651</f>
        <v/>
      </c>
      <c r="Q651" s="4">
        <f>AVERAGE(P648:P651)</f>
        <v/>
      </c>
      <c r="R651" s="54">
        <f>(M652-M651)/M651</f>
        <v/>
      </c>
      <c r="S651" s="54">
        <f>(M655-M651)/M651</f>
        <v/>
      </c>
      <c r="T651" s="63">
        <f>IF(R651&gt;0,1,"")</f>
        <v/>
      </c>
      <c r="U651" s="63">
        <f>IF(S651&gt;0,1,"")</f>
        <v/>
      </c>
    </row>
    <row r="652">
      <c r="A652" s="35" t="n">
        <v>36447</v>
      </c>
      <c r="B652" s="4" t="n">
        <v>0.42</v>
      </c>
      <c r="C652" s="4" t="n">
        <v>0.39</v>
      </c>
      <c r="D652" s="4" t="n">
        <v>0.19</v>
      </c>
      <c r="E652" s="63" t="n">
        <v>1</v>
      </c>
      <c r="F652" s="63" t="n">
        <v>0.37375</v>
      </c>
      <c r="G652" s="63" t="n">
        <v>0.23</v>
      </c>
      <c r="H652" s="63" t="n">
        <v>0.384907436629</v>
      </c>
      <c r="I652" s="63" t="n">
        <v>0.48829287048</v>
      </c>
      <c r="J652" s="63" t="n">
        <v>0.281522002778</v>
      </c>
      <c r="K652" s="63" t="n">
        <v>1344.26</v>
      </c>
      <c r="L652" s="63" t="n">
        <v>1245.44</v>
      </c>
      <c r="M652" s="63" t="n">
        <v>1247.41</v>
      </c>
      <c r="N652" s="54">
        <f>(M653-M652)/M652</f>
        <v/>
      </c>
      <c r="O652" s="54">
        <f>(M656-M652)/M652</f>
        <v/>
      </c>
      <c r="P652" s="4">
        <f>B652-D652</f>
        <v/>
      </c>
      <c r="Q652" s="4">
        <f>AVERAGE(P649:P652)</f>
        <v/>
      </c>
      <c r="R652" s="54">
        <f>(M653-M652)/M652</f>
        <v/>
      </c>
      <c r="S652" s="54">
        <f>(M656-M652)/M652</f>
        <v/>
      </c>
      <c r="T652" s="63">
        <f>IF(R652&gt;0,1,"")</f>
        <v/>
      </c>
      <c r="U652" s="63">
        <f>IF(S652&gt;0,1,"")</f>
        <v/>
      </c>
    </row>
    <row r="653">
      <c r="A653" s="35" t="n">
        <v>36454</v>
      </c>
      <c r="B653" s="4" t="n">
        <v>0.38</v>
      </c>
      <c r="C653" s="4" t="n">
        <v>0.37</v>
      </c>
      <c r="D653" s="4" t="n">
        <v>0.25</v>
      </c>
      <c r="E653" s="63" t="n">
        <v>1</v>
      </c>
      <c r="F653" s="63" t="n">
        <v>0.3775</v>
      </c>
      <c r="G653" s="63" t="n">
        <v>0.13</v>
      </c>
      <c r="H653" s="63" t="n">
        <v>0.384907436629</v>
      </c>
      <c r="I653" s="63" t="n">
        <v>0.48829287048</v>
      </c>
      <c r="J653" s="63" t="n">
        <v>0.281522002778</v>
      </c>
      <c r="K653" s="63" t="n">
        <v>1303.81</v>
      </c>
      <c r="L653" s="63" t="n">
        <v>1233.7</v>
      </c>
      <c r="M653" s="63" t="n">
        <v>1301.65</v>
      </c>
      <c r="N653" s="54">
        <f>(M654-M653)/M653</f>
        <v/>
      </c>
      <c r="O653" s="54">
        <f>(M657-M653)/M653</f>
        <v/>
      </c>
      <c r="P653" s="4">
        <f>B653-D653</f>
        <v/>
      </c>
      <c r="Q653" s="4">
        <f>AVERAGE(P650:P653)</f>
        <v/>
      </c>
      <c r="R653" s="54">
        <f>(M654-M653)/M653</f>
        <v/>
      </c>
      <c r="S653" s="54">
        <f>(M657-M653)/M653</f>
        <v/>
      </c>
      <c r="T653" s="63">
        <f>IF(R653&gt;0,1,"")</f>
        <v/>
      </c>
      <c r="U653" s="63">
        <f>IF(S653&gt;0,1,"")</f>
        <v/>
      </c>
    </row>
    <row r="654">
      <c r="A654" s="35" t="n">
        <v>36461</v>
      </c>
      <c r="B654" s="4" t="n">
        <v>0.38</v>
      </c>
      <c r="C654" s="4" t="n">
        <v>0.38</v>
      </c>
      <c r="D654" s="4" t="n">
        <v>0.24</v>
      </c>
      <c r="E654" s="63" t="n">
        <v>1</v>
      </c>
      <c r="F654" s="63" t="n">
        <v>0.37</v>
      </c>
      <c r="G654" s="63" t="n">
        <v>0.14</v>
      </c>
      <c r="H654" s="63" t="n">
        <v>0.384907436629</v>
      </c>
      <c r="I654" s="63" t="n">
        <v>0.48829287048</v>
      </c>
      <c r="J654" s="63" t="n">
        <v>0.281522002778</v>
      </c>
      <c r="K654" s="63" t="n">
        <v>1373.17</v>
      </c>
      <c r="L654" s="63" t="n">
        <v>1280.48</v>
      </c>
      <c r="M654" s="63" t="n">
        <v>1362.93</v>
      </c>
      <c r="N654" s="54">
        <f>(M655-M654)/M654</f>
        <v/>
      </c>
      <c r="O654" s="54">
        <f>(M658-M654)/M654</f>
        <v/>
      </c>
      <c r="P654" s="4">
        <f>B654-D654</f>
        <v/>
      </c>
      <c r="Q654" s="4">
        <f>AVERAGE(P651:P654)</f>
        <v/>
      </c>
      <c r="R654" s="54">
        <f>(M655-M654)/M654</f>
        <v/>
      </c>
      <c r="S654" s="54">
        <f>(M658-M654)/M654</f>
        <v/>
      </c>
      <c r="T654" s="63">
        <f>IF(R654&gt;0,1,"")</f>
        <v/>
      </c>
      <c r="U654" s="63">
        <f>IF(S654&gt;0,1,"")</f>
        <v/>
      </c>
    </row>
    <row r="655">
      <c r="A655" s="35" t="n">
        <v>36468</v>
      </c>
      <c r="B655" s="4" t="n">
        <v>0.43</v>
      </c>
      <c r="C655" s="4" t="n">
        <v>0.35</v>
      </c>
      <c r="D655" s="4" t="n">
        <v>0.22</v>
      </c>
      <c r="E655" s="63" t="n">
        <v>1</v>
      </c>
      <c r="F655" s="63" t="n">
        <v>0.3775</v>
      </c>
      <c r="G655" s="63" t="n">
        <v>0.21</v>
      </c>
      <c r="H655" s="63" t="n">
        <v>0.384907436629</v>
      </c>
      <c r="I655" s="63" t="n">
        <v>0.48829287048</v>
      </c>
      <c r="J655" s="63" t="n">
        <v>0.281522002778</v>
      </c>
      <c r="K655" s="63" t="n">
        <v>1387.48</v>
      </c>
      <c r="L655" s="63" t="n">
        <v>1346.41</v>
      </c>
      <c r="M655" s="63" t="n">
        <v>1370.23</v>
      </c>
      <c r="N655" s="54">
        <f>(M656-M655)/M655</f>
        <v/>
      </c>
      <c r="O655" s="54">
        <f>(M659-M655)/M655</f>
        <v/>
      </c>
      <c r="P655" s="4">
        <f>B655-D655</f>
        <v/>
      </c>
      <c r="Q655" s="4">
        <f>AVERAGE(P652:P655)</f>
        <v/>
      </c>
      <c r="R655" s="54">
        <f>(M656-M655)/M655</f>
        <v/>
      </c>
      <c r="S655" s="54">
        <f>(M659-M655)/M655</f>
        <v/>
      </c>
      <c r="T655" s="63">
        <f>IF(R655&gt;0,1,"")</f>
        <v/>
      </c>
      <c r="U655" s="63">
        <f>IF(S655&gt;0,1,"")</f>
        <v/>
      </c>
    </row>
    <row r="656">
      <c r="A656" s="35" t="n">
        <v>36475</v>
      </c>
      <c r="B656" s="4" t="n">
        <v>0.48</v>
      </c>
      <c r="C656" s="4" t="n">
        <v>0.26</v>
      </c>
      <c r="D656" s="4" t="n">
        <v>0.26</v>
      </c>
      <c r="E656" s="63" t="n">
        <v>1</v>
      </c>
      <c r="F656" s="63" t="n">
        <v>0.3925</v>
      </c>
      <c r="G656" s="63" t="n">
        <v>0.22</v>
      </c>
      <c r="H656" s="63" t="n">
        <v>0.384907436629</v>
      </c>
      <c r="I656" s="63" t="n">
        <v>0.48829287048</v>
      </c>
      <c r="J656" s="63" t="n">
        <v>0.281522002778</v>
      </c>
      <c r="K656" s="63" t="n">
        <v>1396.12</v>
      </c>
      <c r="L656" s="63" t="n">
        <v>1359.98</v>
      </c>
      <c r="M656" s="63" t="n">
        <v>1396.06</v>
      </c>
      <c r="N656" s="54">
        <f>(M657-M656)/M656</f>
        <v/>
      </c>
      <c r="O656" s="54">
        <f>(M660-M656)/M656</f>
        <v/>
      </c>
      <c r="P656" s="4">
        <f>B656-D656</f>
        <v/>
      </c>
      <c r="Q656" s="4">
        <f>AVERAGE(P653:P656)</f>
        <v/>
      </c>
      <c r="R656" s="54">
        <f>(M657-M656)/M656</f>
        <v/>
      </c>
      <c r="S656" s="54">
        <f>(M660-M656)/M656</f>
        <v/>
      </c>
      <c r="T656" s="63">
        <f>IF(R656&gt;0,1,"")</f>
        <v/>
      </c>
      <c r="U656" s="63">
        <f>IF(S656&gt;0,1,"")</f>
        <v/>
      </c>
    </row>
    <row r="657">
      <c r="A657" s="35" t="n">
        <v>36482</v>
      </c>
      <c r="B657" s="4" t="n">
        <v>0.46</v>
      </c>
      <c r="C657" s="4" t="n">
        <v>0.32</v>
      </c>
      <c r="D657" s="4" t="n">
        <v>0.22</v>
      </c>
      <c r="E657" s="63" t="n">
        <v>1</v>
      </c>
      <c r="F657" s="63" t="n">
        <v>0.405</v>
      </c>
      <c r="G657" s="63" t="n">
        <v>0.24</v>
      </c>
      <c r="H657" s="63" t="n">
        <v>0.384907436629</v>
      </c>
      <c r="I657" s="63" t="n">
        <v>0.48829287048</v>
      </c>
      <c r="J657" s="63" t="n">
        <v>0.281522002778</v>
      </c>
      <c r="K657" s="63" t="n">
        <v>1425.31</v>
      </c>
      <c r="L657" s="63" t="n">
        <v>1392.28</v>
      </c>
      <c r="M657" s="63" t="n">
        <v>1422</v>
      </c>
      <c r="N657" s="54">
        <f>(M658-M657)/M657</f>
        <v/>
      </c>
      <c r="O657" s="54">
        <f>(M661-M657)/M657</f>
        <v/>
      </c>
      <c r="P657" s="4">
        <f>B657-D657</f>
        <v/>
      </c>
      <c r="Q657" s="4">
        <f>AVERAGE(P654:P657)</f>
        <v/>
      </c>
      <c r="R657" s="54">
        <f>(M658-M657)/M657</f>
        <v/>
      </c>
      <c r="S657" s="54">
        <f>(M661-M657)/M657</f>
        <v/>
      </c>
      <c r="T657" s="63">
        <f>IF(R657&gt;0,1,"")</f>
        <v/>
      </c>
      <c r="U657" s="63">
        <f>IF(S657&gt;0,1,"")</f>
        <v/>
      </c>
    </row>
    <row r="658">
      <c r="A658" s="35" t="n">
        <v>36488</v>
      </c>
      <c r="B658" s="4" t="n">
        <v>0.55</v>
      </c>
      <c r="C658" s="4" t="n">
        <v>0.28</v>
      </c>
      <c r="D658" s="4" t="n">
        <v>0.17</v>
      </c>
      <c r="E658" s="63" t="n">
        <v>1</v>
      </c>
      <c r="F658" s="63" t="n">
        <v>0.43</v>
      </c>
      <c r="G658" s="63" t="n">
        <v>0.38</v>
      </c>
      <c r="H658" s="63" t="n">
        <v>0.384907436629</v>
      </c>
      <c r="I658" s="63" t="n">
        <v>0.48829287048</v>
      </c>
      <c r="J658" s="63" t="n">
        <v>0.281522002778</v>
      </c>
      <c r="K658" s="63" t="n">
        <v>1425.25</v>
      </c>
      <c r="L658" s="63" t="n">
        <v>1399.18</v>
      </c>
      <c r="M658" s="63" t="n">
        <v>1416.62</v>
      </c>
      <c r="N658" s="54">
        <f>(M659-M658)/M658</f>
        <v/>
      </c>
      <c r="O658" s="54">
        <f>(M662-M658)/M658</f>
        <v/>
      </c>
      <c r="P658" s="4">
        <f>B658-D658</f>
        <v/>
      </c>
      <c r="Q658" s="4">
        <f>AVERAGE(P655:P658)</f>
        <v/>
      </c>
      <c r="R658" s="54">
        <f>(M659-M658)/M658</f>
        <v/>
      </c>
      <c r="S658" s="54">
        <f>(M662-M658)/M658</f>
        <v/>
      </c>
      <c r="T658" s="63">
        <f>IF(R658&gt;0,1,"")</f>
        <v/>
      </c>
      <c r="U658" s="63">
        <f>IF(S658&gt;0,1,"")</f>
        <v/>
      </c>
    </row>
    <row r="659">
      <c r="A659" s="35" t="n">
        <v>36496</v>
      </c>
      <c r="B659" s="4" t="n">
        <v>0.62</v>
      </c>
      <c r="C659" s="4" t="n">
        <v>0.25</v>
      </c>
      <c r="D659" s="4" t="n">
        <v>0.13</v>
      </c>
      <c r="E659" s="63" t="n">
        <v>1</v>
      </c>
      <c r="F659" s="63" t="n">
        <v>0.465</v>
      </c>
      <c r="G659" s="63" t="n">
        <v>0.49</v>
      </c>
      <c r="H659" s="63" t="n">
        <v>0.384907436629</v>
      </c>
      <c r="I659" s="63" t="n">
        <v>0.48829287048</v>
      </c>
      <c r="J659" s="63" t="n">
        <v>0.281522002778</v>
      </c>
      <c r="K659" s="63" t="n">
        <v>1447.54</v>
      </c>
      <c r="L659" s="63" t="n">
        <v>1386.95</v>
      </c>
      <c r="M659" s="63" t="n">
        <v>1433.3</v>
      </c>
      <c r="N659" s="54">
        <f>(M660-M659)/M659</f>
        <v/>
      </c>
      <c r="O659" s="54">
        <f>(M663-M659)/M659</f>
        <v/>
      </c>
      <c r="P659" s="4">
        <f>B659-D659</f>
        <v/>
      </c>
      <c r="Q659" s="4">
        <f>AVERAGE(P656:P659)</f>
        <v/>
      </c>
      <c r="R659" s="54">
        <f>(M660-M659)/M659</f>
        <v/>
      </c>
      <c r="S659" s="54">
        <f>(M663-M659)/M659</f>
        <v/>
      </c>
      <c r="T659" s="63">
        <f>IF(R659&gt;0,1,"")</f>
        <v/>
      </c>
      <c r="U659" s="63">
        <f>IF(S659&gt;0,1,"")</f>
        <v/>
      </c>
    </row>
    <row r="660">
      <c r="A660" s="35" t="n">
        <v>36503</v>
      </c>
      <c r="B660" s="4" t="n">
        <v>0.62</v>
      </c>
      <c r="C660" s="4" t="n">
        <v>0.27</v>
      </c>
      <c r="D660" s="4" t="n">
        <v>0.11</v>
      </c>
      <c r="E660" s="63" t="n">
        <v>1</v>
      </c>
      <c r="F660" s="63" t="n">
        <v>0.49</v>
      </c>
      <c r="G660" s="63" t="n">
        <v>0.51</v>
      </c>
      <c r="H660" s="63" t="n">
        <v>0.384907436629</v>
      </c>
      <c r="I660" s="63" t="n">
        <v>0.48829287048</v>
      </c>
      <c r="J660" s="63" t="n">
        <v>0.281522002778</v>
      </c>
      <c r="K660" s="63" t="n">
        <v>1434.19</v>
      </c>
      <c r="L660" s="63" t="n">
        <v>1391.47</v>
      </c>
      <c r="M660" s="63" t="n">
        <v>1417.04</v>
      </c>
      <c r="N660" s="54">
        <f>(M661-M660)/M660</f>
        <v/>
      </c>
      <c r="O660" s="54">
        <f>(M664-M660)/M660</f>
        <v/>
      </c>
      <c r="P660" s="4">
        <f>B660-D660</f>
        <v/>
      </c>
      <c r="Q660" s="4">
        <f>AVERAGE(P657:P660)</f>
        <v/>
      </c>
      <c r="R660" s="54">
        <f>(M661-M660)/M660</f>
        <v/>
      </c>
      <c r="S660" s="54">
        <f>(M664-M660)/M660</f>
        <v/>
      </c>
      <c r="T660" s="63">
        <f>IF(R660&gt;0,1,"")</f>
        <v/>
      </c>
      <c r="U660" s="63">
        <f>IF(S660&gt;0,1,"")</f>
        <v/>
      </c>
    </row>
    <row r="661">
      <c r="A661" s="35" t="n">
        <v>36510</v>
      </c>
      <c r="B661" s="4" t="n">
        <v>0.54</v>
      </c>
      <c r="C661" s="4" t="n">
        <v>0.26</v>
      </c>
      <c r="D661" s="4" t="n">
        <v>0.2</v>
      </c>
      <c r="E661" s="63" t="n">
        <v>1</v>
      </c>
      <c r="F661" s="63" t="n">
        <v>0.51</v>
      </c>
      <c r="G661" s="63" t="n">
        <v>0.34</v>
      </c>
      <c r="H661" s="63" t="n">
        <v>0.384907436629</v>
      </c>
      <c r="I661" s="63" t="n">
        <v>0.48829287048</v>
      </c>
      <c r="J661" s="63" t="n">
        <v>0.281522002778</v>
      </c>
      <c r="K661" s="63" t="n">
        <v>1431.13</v>
      </c>
      <c r="L661" s="63" t="n">
        <v>1396.2</v>
      </c>
      <c r="M661" s="63" t="n">
        <v>1421.03</v>
      </c>
      <c r="N661" s="54">
        <f>(M662-M661)/M661</f>
        <v/>
      </c>
      <c r="O661" s="54">
        <f>(M665-M661)/M661</f>
        <v/>
      </c>
      <c r="P661" s="4">
        <f>B661-D661</f>
        <v/>
      </c>
      <c r="Q661" s="4">
        <f>AVERAGE(P658:P661)</f>
        <v/>
      </c>
      <c r="R661" s="54">
        <f>(M662-M661)/M661</f>
        <v/>
      </c>
      <c r="S661" s="54">
        <f>(M665-M661)/M661</f>
        <v/>
      </c>
      <c r="T661" s="63">
        <f>IF(R661&gt;0,1,"")</f>
        <v/>
      </c>
      <c r="U661" s="63">
        <f>IF(S661&gt;0,1,"")</f>
        <v/>
      </c>
    </row>
    <row r="662">
      <c r="A662" s="35" t="n">
        <v>36517</v>
      </c>
      <c r="B662" s="4" t="n">
        <v>0.52</v>
      </c>
      <c r="C662" s="4" t="n">
        <v>0.31</v>
      </c>
      <c r="D662" s="4" t="n">
        <v>0.17</v>
      </c>
      <c r="E662" s="63" t="n">
        <v>1</v>
      </c>
      <c r="F662" s="63" t="n">
        <v>0.5275</v>
      </c>
      <c r="G662" s="63" t="n">
        <v>0.35</v>
      </c>
      <c r="H662" s="63" t="n">
        <v>0.384907436629</v>
      </c>
      <c r="I662" s="63" t="n">
        <v>0.48829287048</v>
      </c>
      <c r="J662" s="63" t="n">
        <v>0.281522002778</v>
      </c>
      <c r="K662" s="63" t="n">
        <v>1461.44</v>
      </c>
      <c r="L662" s="63" t="n">
        <v>1410.97</v>
      </c>
      <c r="M662" s="63" t="n">
        <v>1458.34</v>
      </c>
      <c r="N662" s="54">
        <f>(M663-M662)/M662</f>
        <v/>
      </c>
      <c r="O662" s="54">
        <f>(M666-M662)/M662</f>
        <v/>
      </c>
      <c r="P662" s="4">
        <f>B662-D662</f>
        <v/>
      </c>
      <c r="Q662" s="4">
        <f>AVERAGE(P659:P662)</f>
        <v/>
      </c>
      <c r="R662" s="54">
        <f>(M663-M662)/M662</f>
        <v/>
      </c>
      <c r="S662" s="54">
        <f>(M666-M662)/M662</f>
        <v/>
      </c>
      <c r="T662" s="63">
        <f>IF(R662&gt;0,1,"")</f>
        <v/>
      </c>
      <c r="U662" s="63">
        <f>IF(S662&gt;0,1,"")</f>
        <v/>
      </c>
    </row>
    <row r="663">
      <c r="A663" s="35" t="n">
        <v>36524</v>
      </c>
      <c r="B663" s="4" t="n">
        <v>0.6</v>
      </c>
      <c r="C663" s="4" t="n">
        <v>0.25</v>
      </c>
      <c r="D663" s="4" t="n">
        <v>0.15</v>
      </c>
      <c r="E663" s="63" t="n">
        <v>1</v>
      </c>
      <c r="F663" s="63" t="n">
        <v>0.54875</v>
      </c>
      <c r="G663" s="63" t="n">
        <v>0.45</v>
      </c>
      <c r="H663" s="63" t="n">
        <v>0.384907436629</v>
      </c>
      <c r="I663" s="63" t="n">
        <v>0.48829287048</v>
      </c>
      <c r="J663" s="63" t="n">
        <v>0.281522002778</v>
      </c>
      <c r="K663" s="63" t="n">
        <v>1473.1</v>
      </c>
      <c r="L663" s="63" t="n">
        <v>1450.83</v>
      </c>
      <c r="M663" s="63" t="n">
        <v>1469.25</v>
      </c>
      <c r="N663" s="54">
        <f>(M664-M663)/M663</f>
        <v/>
      </c>
      <c r="O663" s="54">
        <f>(M667-M663)/M663</f>
        <v/>
      </c>
      <c r="P663" s="4">
        <f>B663-D663</f>
        <v/>
      </c>
      <c r="Q663" s="4">
        <f>AVERAGE(P660:P663)</f>
        <v/>
      </c>
      <c r="R663" s="54">
        <f>(M664-M663)/M663</f>
        <v/>
      </c>
      <c r="S663" s="54">
        <f>(M667-M663)/M663</f>
        <v/>
      </c>
      <c r="T663" s="63">
        <f>IF(R663&gt;0,1,"")</f>
        <v/>
      </c>
      <c r="U663" s="63">
        <f>IF(S663&gt;0,1,"")</f>
        <v/>
      </c>
    </row>
    <row r="664">
      <c r="A664" s="35" t="n">
        <v>36531</v>
      </c>
      <c r="B664" s="4" t="n">
        <v>0.75</v>
      </c>
      <c r="C664" s="4" t="n">
        <v>0.1166</v>
      </c>
      <c r="D664" s="4" t="n">
        <v>0.1333</v>
      </c>
      <c r="E664" s="63" t="n">
        <v>0.9999</v>
      </c>
      <c r="F664" s="63" t="n">
        <v>0.5825</v>
      </c>
      <c r="G664" s="63" t="n">
        <v>0.6167</v>
      </c>
      <c r="H664" s="63" t="n">
        <v>0.384907436629</v>
      </c>
      <c r="I664" s="63" t="n">
        <v>0.48829287048</v>
      </c>
      <c r="J664" s="63" t="n">
        <v>0.281522002778</v>
      </c>
      <c r="K664" s="63" t="n">
        <v>1478</v>
      </c>
      <c r="L664" s="63" t="n">
        <v>1377.68</v>
      </c>
      <c r="M664" s="63" t="n">
        <v>1441.47</v>
      </c>
      <c r="N664" s="54">
        <f>(M665-M664)/M664</f>
        <v/>
      </c>
      <c r="O664" s="54">
        <f>(M668-M664)/M664</f>
        <v/>
      </c>
      <c r="P664" s="4">
        <f>B664-D664</f>
        <v/>
      </c>
      <c r="Q664" s="4">
        <f>AVERAGE(P661:P664)</f>
        <v/>
      </c>
      <c r="R664" s="54">
        <f>(M665-M664)/M664</f>
        <v/>
      </c>
      <c r="S664" s="54">
        <f>(M668-M664)/M664</f>
        <v/>
      </c>
      <c r="T664" s="63">
        <f>IF(R664&gt;0,1,"")</f>
        <v/>
      </c>
      <c r="U664" s="63">
        <f>IF(S664&gt;0,1,"")</f>
        <v/>
      </c>
    </row>
    <row r="665">
      <c r="A665" s="35" t="n">
        <v>36538</v>
      </c>
      <c r="B665" s="4" t="n">
        <v>0.5926</v>
      </c>
      <c r="C665" s="4" t="n">
        <v>0.2222</v>
      </c>
      <c r="D665" s="4" t="n">
        <v>0.1852</v>
      </c>
      <c r="E665" s="63" t="n">
        <v>1</v>
      </c>
      <c r="F665" s="63" t="n">
        <v>0.599075</v>
      </c>
      <c r="G665" s="63" t="n">
        <v>0.4074</v>
      </c>
      <c r="H665" s="63" t="n">
        <v>0.384907436629</v>
      </c>
      <c r="I665" s="63" t="n">
        <v>0.48829287048</v>
      </c>
      <c r="J665" s="63" t="n">
        <v>0.281522002778</v>
      </c>
      <c r="K665" s="63" t="n">
        <v>1473</v>
      </c>
      <c r="L665" s="63" t="n">
        <v>1427.08</v>
      </c>
      <c r="M665" s="63" t="n">
        <v>1465.15</v>
      </c>
      <c r="N665" s="54">
        <f>(M666-M665)/M665</f>
        <v/>
      </c>
      <c r="O665" s="54">
        <f>(M669-M665)/M665</f>
        <v/>
      </c>
      <c r="P665" s="4">
        <f>B665-D665</f>
        <v/>
      </c>
      <c r="Q665" s="4">
        <f>AVERAGE(P662:P665)</f>
        <v/>
      </c>
      <c r="R665" s="54">
        <f>(M666-M665)/M665</f>
        <v/>
      </c>
      <c r="S665" s="54">
        <f>(M669-M665)/M665</f>
        <v/>
      </c>
      <c r="T665" s="63">
        <f>IF(R665&gt;0,1,"")</f>
        <v/>
      </c>
      <c r="U665" s="63">
        <f>IF(S665&gt;0,1,"")</f>
        <v/>
      </c>
    </row>
    <row r="666">
      <c r="A666" s="35" t="n">
        <v>36545</v>
      </c>
      <c r="B666" s="4" t="n">
        <v>0.5714</v>
      </c>
      <c r="C666" s="4" t="n">
        <v>0.25</v>
      </c>
      <c r="D666" s="4" t="n">
        <v>0.1786</v>
      </c>
      <c r="E666" s="63" t="n">
        <v>1</v>
      </c>
      <c r="F666" s="63" t="n">
        <v>0.60175</v>
      </c>
      <c r="G666" s="63" t="n">
        <v>0.3928</v>
      </c>
      <c r="H666" s="63" t="n">
        <v>0.384907436629</v>
      </c>
      <c r="I666" s="63" t="n">
        <v>0.48829287048</v>
      </c>
      <c r="J666" s="63" t="n">
        <v>0.281522002778</v>
      </c>
      <c r="K666" s="63" t="n">
        <v>1465.71</v>
      </c>
      <c r="L666" s="63" t="n">
        <v>1438.54</v>
      </c>
      <c r="M666" s="63" t="n">
        <v>1441.36</v>
      </c>
      <c r="N666" s="54">
        <f>(M667-M666)/M666</f>
        <v/>
      </c>
      <c r="O666" s="54">
        <f>(M670-M666)/M666</f>
        <v/>
      </c>
      <c r="P666" s="4">
        <f>B666-D666</f>
        <v/>
      </c>
      <c r="Q666" s="4">
        <f>AVERAGE(P663:P666)</f>
        <v/>
      </c>
      <c r="R666" s="54">
        <f>(M667-M666)/M666</f>
        <v/>
      </c>
      <c r="S666" s="54">
        <f>(M670-M666)/M666</f>
        <v/>
      </c>
      <c r="T666" s="63">
        <f>IF(R666&gt;0,1,"")</f>
        <v/>
      </c>
      <c r="U666" s="63">
        <f>IF(S666&gt;0,1,"")</f>
        <v/>
      </c>
    </row>
    <row r="667">
      <c r="A667" s="35" t="n">
        <v>36552</v>
      </c>
      <c r="B667" s="4" t="n">
        <v>0.537</v>
      </c>
      <c r="C667" s="4" t="n">
        <v>0.2593</v>
      </c>
      <c r="D667" s="4" t="n">
        <v>0.2037</v>
      </c>
      <c r="E667" s="63" t="n">
        <v>1</v>
      </c>
      <c r="F667" s="63" t="n">
        <v>0.591375</v>
      </c>
      <c r="G667" s="63" t="n">
        <v>0.3333</v>
      </c>
      <c r="H667" s="63" t="n">
        <v>0.384907436629</v>
      </c>
      <c r="I667" s="63" t="n">
        <v>0.48829287048</v>
      </c>
      <c r="J667" s="63" t="n">
        <v>0.281522002778</v>
      </c>
      <c r="K667" s="63" t="n">
        <v>1454.09</v>
      </c>
      <c r="L667" s="63" t="n">
        <v>1356.2</v>
      </c>
      <c r="M667" s="63" t="n">
        <v>1360.16</v>
      </c>
      <c r="N667" s="54">
        <f>(M668-M667)/M667</f>
        <v/>
      </c>
      <c r="O667" s="54">
        <f>(M671-M667)/M667</f>
        <v/>
      </c>
      <c r="P667" s="4">
        <f>B667-D667</f>
        <v/>
      </c>
      <c r="Q667" s="4">
        <f>AVERAGE(P664:P667)</f>
        <v/>
      </c>
      <c r="R667" s="54">
        <f>(M668-M667)/M667</f>
        <v/>
      </c>
      <c r="S667" s="54">
        <f>(M671-M667)/M667</f>
        <v/>
      </c>
      <c r="T667" s="63">
        <f>IF(R667&gt;0,1,"")</f>
        <v/>
      </c>
      <c r="U667" s="63">
        <f>IF(S667&gt;0,1,"")</f>
        <v/>
      </c>
    </row>
    <row r="668">
      <c r="A668" s="35" t="n">
        <v>36559</v>
      </c>
      <c r="B668" s="4" t="n">
        <v>0.5111</v>
      </c>
      <c r="C668" s="4" t="n">
        <v>0.2444</v>
      </c>
      <c r="D668" s="4" t="n">
        <v>0.2444</v>
      </c>
      <c r="E668" s="63" t="n">
        <v>0.9999</v>
      </c>
      <c r="F668" s="63" t="n">
        <v>0.5777625</v>
      </c>
      <c r="G668" s="63" t="n">
        <v>0.2667</v>
      </c>
      <c r="H668" s="63" t="n">
        <v>0.384907436629</v>
      </c>
      <c r="I668" s="63" t="n">
        <v>0.48829287048</v>
      </c>
      <c r="J668" s="63" t="n">
        <v>0.281522002778</v>
      </c>
      <c r="K668" s="63" t="n">
        <v>1435.91</v>
      </c>
      <c r="L668" s="63" t="n">
        <v>1350.14</v>
      </c>
      <c r="M668" s="63" t="n">
        <v>1424.37</v>
      </c>
      <c r="N668" s="54">
        <f>(M669-M668)/M668</f>
        <v/>
      </c>
      <c r="O668" s="54">
        <f>(M672-M668)/M668</f>
        <v/>
      </c>
      <c r="P668" s="4">
        <f>B668-D668</f>
        <v/>
      </c>
      <c r="Q668" s="4">
        <f>AVERAGE(P665:P668)</f>
        <v/>
      </c>
      <c r="R668" s="54">
        <f>(M669-M668)/M668</f>
        <v/>
      </c>
      <c r="S668" s="54">
        <f>(M672-M668)/M668</f>
        <v/>
      </c>
      <c r="T668" s="63">
        <f>IF(R668&gt;0,1,"")</f>
        <v/>
      </c>
      <c r="U668" s="63">
        <f>IF(S668&gt;0,1,"")</f>
        <v/>
      </c>
    </row>
    <row r="669">
      <c r="A669" s="35" t="n">
        <v>36566</v>
      </c>
      <c r="B669" s="4" t="n">
        <v>0.4186</v>
      </c>
      <c r="C669" s="4" t="n">
        <v>0.3023</v>
      </c>
      <c r="D669" s="4" t="n">
        <v>0.2791</v>
      </c>
      <c r="E669" s="63" t="n">
        <v>1</v>
      </c>
      <c r="F669" s="63" t="n">
        <v>0.5625875</v>
      </c>
      <c r="G669" s="63" t="n">
        <v>0.1395</v>
      </c>
      <c r="H669" s="63" t="n">
        <v>0.384907436629</v>
      </c>
      <c r="I669" s="63" t="n">
        <v>0.48829287048</v>
      </c>
      <c r="J669" s="63" t="n">
        <v>0.281522002778</v>
      </c>
      <c r="K669" s="63" t="n">
        <v>1444.55</v>
      </c>
      <c r="L669" s="63" t="n">
        <v>1378.89</v>
      </c>
      <c r="M669" s="63" t="n">
        <v>1387.12</v>
      </c>
      <c r="N669" s="54">
        <f>(M670-M669)/M669</f>
        <v/>
      </c>
      <c r="O669" s="54">
        <f>(M673-M669)/M669</f>
        <v/>
      </c>
      <c r="P669" s="4">
        <f>B669-D669</f>
        <v/>
      </c>
      <c r="Q669" s="4">
        <f>AVERAGE(P666:P669)</f>
        <v/>
      </c>
      <c r="R669" s="54">
        <f>(M670-M669)/M669</f>
        <v/>
      </c>
      <c r="S669" s="54">
        <f>(M673-M669)/M669</f>
        <v/>
      </c>
      <c r="T669" s="63">
        <f>IF(R669&gt;0,1,"")</f>
        <v/>
      </c>
      <c r="U669" s="63">
        <f>IF(S669&gt;0,1,"")</f>
        <v/>
      </c>
    </row>
    <row r="670">
      <c r="A670" s="35" t="n">
        <v>36573</v>
      </c>
      <c r="B670" s="4" t="n">
        <v>0.2727</v>
      </c>
      <c r="C670" s="4" t="n">
        <v>0.4848</v>
      </c>
      <c r="D670" s="4" t="n">
        <v>0.2424</v>
      </c>
      <c r="E670" s="63" t="n">
        <v>0.9999</v>
      </c>
      <c r="F670" s="63" t="n">
        <v>0.531675</v>
      </c>
      <c r="G670" s="63" t="n">
        <v>0.0303</v>
      </c>
      <c r="H670" s="63" t="n">
        <v>0.384907436629</v>
      </c>
      <c r="I670" s="63" t="n">
        <v>0.48829287048</v>
      </c>
      <c r="J670" s="63" t="n">
        <v>0.281522002778</v>
      </c>
      <c r="K670" s="63" t="n">
        <v>1407.72</v>
      </c>
      <c r="L670" s="63" t="n">
        <v>1345.32</v>
      </c>
      <c r="M670" s="63" t="n">
        <v>1346.09</v>
      </c>
      <c r="N670" s="54">
        <f>(M671-M670)/M670</f>
        <v/>
      </c>
      <c r="O670" s="54">
        <f>(M674-M670)/M670</f>
        <v/>
      </c>
      <c r="P670" s="4">
        <f>B670-D670</f>
        <v/>
      </c>
      <c r="Q670" s="4">
        <f>AVERAGE(P667:P670)</f>
        <v/>
      </c>
      <c r="R670" s="54">
        <f>(M671-M670)/M670</f>
        <v/>
      </c>
      <c r="S670" s="54">
        <f>(M674-M670)/M670</f>
        <v/>
      </c>
      <c r="T670" s="63">
        <f>IF(R670&gt;0,1,"")</f>
        <v/>
      </c>
      <c r="U670" s="63">
        <f>IF(S670&gt;0,1,"")</f>
        <v/>
      </c>
    </row>
    <row r="671">
      <c r="A671" s="35" t="n">
        <v>36580</v>
      </c>
      <c r="B671" s="4" t="n">
        <v>0.4138</v>
      </c>
      <c r="C671" s="4" t="n">
        <v>0.2759</v>
      </c>
      <c r="D671" s="4" t="n">
        <v>0.3103</v>
      </c>
      <c r="E671" s="63" t="n">
        <v>1</v>
      </c>
      <c r="F671" s="63" t="n">
        <v>0.5084</v>
      </c>
      <c r="G671" s="63" t="n">
        <v>0.1035</v>
      </c>
      <c r="H671" s="63" t="n">
        <v>0.384907436629</v>
      </c>
      <c r="I671" s="63" t="n">
        <v>0.48829287048</v>
      </c>
      <c r="J671" s="63" t="n">
        <v>0.281522002778</v>
      </c>
      <c r="K671" s="63" t="n">
        <v>1370.11</v>
      </c>
      <c r="L671" s="63" t="n">
        <v>1329.15</v>
      </c>
      <c r="M671" s="63" t="n">
        <v>1333.36</v>
      </c>
      <c r="N671" s="54">
        <f>(M672-M671)/M671</f>
        <v/>
      </c>
      <c r="O671" s="54">
        <f>(M675-M671)/M671</f>
        <v/>
      </c>
      <c r="P671" s="4">
        <f>B671-D671</f>
        <v/>
      </c>
      <c r="Q671" s="4">
        <f>AVERAGE(P668:P671)</f>
        <v/>
      </c>
      <c r="R671" s="54">
        <f>(M672-M671)/M671</f>
        <v/>
      </c>
      <c r="S671" s="54">
        <f>(M675-M671)/M671</f>
        <v/>
      </c>
      <c r="T671" s="63">
        <f>IF(R671&gt;0,1,"")</f>
        <v/>
      </c>
      <c r="U671" s="63">
        <f>IF(S671&gt;0,1,"")</f>
        <v/>
      </c>
    </row>
    <row r="672">
      <c r="A672" s="35" t="n">
        <v>36587</v>
      </c>
      <c r="B672" s="4" t="n">
        <v>0.3667</v>
      </c>
      <c r="C672" s="4" t="n">
        <v>0.4</v>
      </c>
      <c r="D672" s="4" t="n">
        <v>0.2333</v>
      </c>
      <c r="E672" s="63" t="n">
        <v>1</v>
      </c>
      <c r="F672" s="63" t="n">
        <v>0.4604875</v>
      </c>
      <c r="G672" s="63" t="n">
        <v>0.1334</v>
      </c>
      <c r="H672" s="63" t="n">
        <v>0.384907436629</v>
      </c>
      <c r="I672" s="63" t="n">
        <v>0.48829287048</v>
      </c>
      <c r="J672" s="63" t="n">
        <v>0.281522002778</v>
      </c>
      <c r="K672" s="63" t="n">
        <v>1410.88</v>
      </c>
      <c r="L672" s="63" t="n">
        <v>1325.07</v>
      </c>
      <c r="M672" s="63" t="n">
        <v>1409.17</v>
      </c>
      <c r="N672" s="54">
        <f>(M673-M672)/M672</f>
        <v/>
      </c>
      <c r="O672" s="54">
        <f>(M676-M672)/M672</f>
        <v/>
      </c>
      <c r="P672" s="4">
        <f>B672-D672</f>
        <v/>
      </c>
      <c r="Q672" s="4">
        <f>AVERAGE(P669:P672)</f>
        <v/>
      </c>
      <c r="R672" s="54">
        <f>(M673-M672)/M672</f>
        <v/>
      </c>
      <c r="S672" s="54">
        <f>(M676-M672)/M672</f>
        <v/>
      </c>
      <c r="T672" s="63">
        <f>IF(R672&gt;0,1,"")</f>
        <v/>
      </c>
      <c r="U672" s="63">
        <f>IF(S672&gt;0,1,"")</f>
        <v/>
      </c>
    </row>
    <row r="673">
      <c r="A673" s="35" t="n">
        <v>36593</v>
      </c>
      <c r="B673" s="4" t="n">
        <v>0.5833</v>
      </c>
      <c r="C673" s="4" t="n">
        <v>0.25</v>
      </c>
      <c r="D673" s="4" t="n">
        <v>0.1667</v>
      </c>
      <c r="E673" s="63" t="n">
        <v>1</v>
      </c>
      <c r="F673" s="63" t="n">
        <v>0.459325</v>
      </c>
      <c r="G673" s="63" t="n">
        <v>0.4166</v>
      </c>
      <c r="H673" s="63" t="n">
        <v>0.384907436629</v>
      </c>
      <c r="I673" s="63" t="n">
        <v>0.48829287048</v>
      </c>
      <c r="J673" s="63" t="n">
        <v>0.281522002778</v>
      </c>
      <c r="K673" s="63" t="n">
        <v>1413.46</v>
      </c>
      <c r="L673" s="63" t="n">
        <v>1346.62</v>
      </c>
      <c r="M673" s="63" t="n">
        <v>1395.07</v>
      </c>
      <c r="N673" s="54">
        <f>(M674-M673)/M673</f>
        <v/>
      </c>
      <c r="O673" s="54">
        <f>(M677-M673)/M673</f>
        <v/>
      </c>
      <c r="P673" s="4">
        <f>B673-D673</f>
        <v/>
      </c>
      <c r="Q673" s="4">
        <f>AVERAGE(P670:P673)</f>
        <v/>
      </c>
      <c r="R673" s="54">
        <f>(M674-M673)/M673</f>
        <v/>
      </c>
      <c r="S673" s="54">
        <f>(M677-M673)/M673</f>
        <v/>
      </c>
      <c r="T673" s="63">
        <f>IF(R673&gt;0,1,"")</f>
        <v/>
      </c>
      <c r="U673" s="63">
        <f>IF(S673&gt;0,1,"")</f>
        <v/>
      </c>
    </row>
    <row r="674">
      <c r="A674" s="35" t="n">
        <v>36601</v>
      </c>
      <c r="B674" s="4" t="n">
        <v>0.5</v>
      </c>
      <c r="C674" s="4" t="n">
        <v>0.2333</v>
      </c>
      <c r="D674" s="4" t="n">
        <v>0.2667</v>
      </c>
      <c r="E674" s="63" t="n">
        <v>1</v>
      </c>
      <c r="F674" s="63" t="n">
        <v>0.4504</v>
      </c>
      <c r="G674" s="63" t="n">
        <v>0.2333</v>
      </c>
      <c r="H674" s="63" t="n">
        <v>0.384907436629</v>
      </c>
      <c r="I674" s="63" t="n">
        <v>0.48829287048</v>
      </c>
      <c r="J674" s="63" t="n">
        <v>0.281522002778</v>
      </c>
      <c r="K674" s="63" t="n">
        <v>1477.33</v>
      </c>
      <c r="L674" s="63" t="n">
        <v>1356.99</v>
      </c>
      <c r="M674" s="63" t="n">
        <v>1464.47</v>
      </c>
      <c r="N674" s="54">
        <f>(M675-M674)/M674</f>
        <v/>
      </c>
      <c r="O674" s="54">
        <f>(M678-M674)/M674</f>
        <v/>
      </c>
      <c r="P674" s="4">
        <f>B674-D674</f>
        <v/>
      </c>
      <c r="Q674" s="4">
        <f>AVERAGE(P671:P674)</f>
        <v/>
      </c>
      <c r="R674" s="54">
        <f>(M675-M674)/M674</f>
        <v/>
      </c>
      <c r="S674" s="54">
        <f>(M678-M674)/M674</f>
        <v/>
      </c>
      <c r="T674" s="63">
        <f>IF(R674&gt;0,1,"")</f>
        <v/>
      </c>
      <c r="U674" s="63">
        <f>IF(S674&gt;0,1,"")</f>
        <v/>
      </c>
    </row>
    <row r="675">
      <c r="A675" s="35" t="n">
        <v>36608</v>
      </c>
      <c r="B675" s="4" t="n">
        <v>0.6571</v>
      </c>
      <c r="C675" s="4" t="n">
        <v>0.1429</v>
      </c>
      <c r="D675" s="4" t="n">
        <v>0.2</v>
      </c>
      <c r="E675" s="63" t="n">
        <v>1</v>
      </c>
      <c r="F675" s="63" t="n">
        <v>0.4654125</v>
      </c>
      <c r="G675" s="63" t="n">
        <v>0.4571</v>
      </c>
      <c r="H675" s="63" t="n">
        <v>0.384907436629</v>
      </c>
      <c r="I675" s="63" t="n">
        <v>0.48829287048</v>
      </c>
      <c r="J675" s="63" t="n">
        <v>0.281522002778</v>
      </c>
      <c r="K675" s="63" t="n">
        <v>1552.87</v>
      </c>
      <c r="L675" s="63" t="n">
        <v>1446.06</v>
      </c>
      <c r="M675" s="63" t="n">
        <v>1527.46</v>
      </c>
      <c r="N675" s="54">
        <f>(M676-M675)/M675</f>
        <v/>
      </c>
      <c r="O675" s="54">
        <f>(M679-M675)/M675</f>
        <v/>
      </c>
      <c r="P675" s="4">
        <f>B675-D675</f>
        <v/>
      </c>
      <c r="Q675" s="4">
        <f>AVERAGE(P672:P675)</f>
        <v/>
      </c>
      <c r="R675" s="54">
        <f>(M676-M675)/M675</f>
        <v/>
      </c>
      <c r="S675" s="54">
        <f>(M679-M675)/M675</f>
        <v/>
      </c>
      <c r="T675" s="63">
        <f>IF(R675&gt;0,1,"")</f>
        <v/>
      </c>
      <c r="U675" s="63">
        <f>IF(S675&gt;0,1,"")</f>
        <v/>
      </c>
    </row>
    <row r="676">
      <c r="A676" s="35" t="n">
        <v>36615</v>
      </c>
      <c r="B676" s="4" t="n">
        <v>0.3889</v>
      </c>
      <c r="C676" s="4" t="n">
        <v>0.1111</v>
      </c>
      <c r="D676" s="4" t="n">
        <v>0.5</v>
      </c>
      <c r="E676" s="63" t="n">
        <v>1</v>
      </c>
      <c r="F676" s="63" t="n">
        <v>0.4501375</v>
      </c>
      <c r="G676" s="63" t="n">
        <v>-0.1111</v>
      </c>
      <c r="H676" s="63" t="n">
        <v>0.384907436629</v>
      </c>
      <c r="I676" s="63" t="n">
        <v>0.48829287048</v>
      </c>
      <c r="J676" s="63" t="n">
        <v>0.281522002778</v>
      </c>
      <c r="K676" s="63" t="n">
        <v>1534.63</v>
      </c>
      <c r="L676" s="63" t="n">
        <v>1474.63</v>
      </c>
      <c r="M676" s="63" t="n">
        <v>1498.58</v>
      </c>
      <c r="N676" s="54">
        <f>(M677-M676)/M676</f>
        <v/>
      </c>
      <c r="O676" s="54">
        <f>(M680-M676)/M676</f>
        <v/>
      </c>
      <c r="P676" s="4">
        <f>B676-D676</f>
        <v/>
      </c>
      <c r="Q676" s="4">
        <f>AVERAGE(P673:P676)</f>
        <v/>
      </c>
      <c r="R676" s="54">
        <f>(M677-M676)/M676</f>
        <v/>
      </c>
      <c r="S676" s="54">
        <f>(M680-M676)/M676</f>
        <v/>
      </c>
      <c r="T676" s="63">
        <f>IF(R676&gt;0,1,"")</f>
        <v/>
      </c>
      <c r="U676" s="63">
        <f>IF(S676&gt;0,1,"")</f>
        <v/>
      </c>
    </row>
    <row r="677">
      <c r="A677" s="35" t="n">
        <v>36622</v>
      </c>
      <c r="B677" s="4" t="n">
        <v>0.4583</v>
      </c>
      <c r="C677" s="4" t="n">
        <v>0.3333</v>
      </c>
      <c r="D677" s="4" t="n">
        <v>0.2083</v>
      </c>
      <c r="E677" s="63" t="n">
        <v>0.9999</v>
      </c>
      <c r="F677" s="63" t="n">
        <v>0.4551</v>
      </c>
      <c r="G677" s="63" t="n">
        <v>0.25</v>
      </c>
      <c r="H677" s="63" t="n">
        <v>0.384907436629</v>
      </c>
      <c r="I677" s="63" t="n">
        <v>0.48829287048</v>
      </c>
      <c r="J677" s="63" t="n">
        <v>0.281522002778</v>
      </c>
      <c r="K677" s="63" t="n">
        <v>1526.45</v>
      </c>
      <c r="L677" s="63" t="n">
        <v>1416.41</v>
      </c>
      <c r="M677" s="63" t="n">
        <v>1516.35</v>
      </c>
      <c r="N677" s="54">
        <f>(M678-M677)/M677</f>
        <v/>
      </c>
      <c r="O677" s="54">
        <f>(M681-M677)/M677</f>
        <v/>
      </c>
      <c r="P677" s="4">
        <f>B677-D677</f>
        <v/>
      </c>
      <c r="Q677" s="4">
        <f>AVERAGE(P674:P677)</f>
        <v/>
      </c>
      <c r="R677" s="54">
        <f>(M678-M677)/M677</f>
        <v/>
      </c>
      <c r="S677" s="54">
        <f>(M681-M677)/M677</f>
        <v/>
      </c>
      <c r="T677" s="63">
        <f>IF(R677&gt;0,1,"")</f>
        <v/>
      </c>
      <c r="U677" s="63">
        <f>IF(S677&gt;0,1,"")</f>
        <v/>
      </c>
    </row>
    <row r="678">
      <c r="A678" s="35" t="n">
        <v>36629</v>
      </c>
      <c r="B678" s="4" t="n">
        <v>0.5185</v>
      </c>
      <c r="C678" s="4" t="n">
        <v>0.1852</v>
      </c>
      <c r="D678" s="4" t="n">
        <v>0.2963</v>
      </c>
      <c r="E678" s="63" t="n">
        <v>1</v>
      </c>
      <c r="F678" s="63" t="n">
        <v>0.485825</v>
      </c>
      <c r="G678" s="63" t="n">
        <v>0.2222</v>
      </c>
      <c r="H678" s="63" t="n">
        <v>0.384907436629</v>
      </c>
      <c r="I678" s="63" t="n">
        <v>0.48829287048</v>
      </c>
      <c r="J678" s="63" t="n">
        <v>0.281522002778</v>
      </c>
      <c r="K678" s="63" t="n">
        <v>1527.19</v>
      </c>
      <c r="L678" s="63" t="n">
        <v>1339.4</v>
      </c>
      <c r="M678" s="63" t="n">
        <v>1356.56</v>
      </c>
      <c r="N678" s="54">
        <f>(M679-M678)/M678</f>
        <v/>
      </c>
      <c r="O678" s="54">
        <f>(M682-M678)/M678</f>
        <v/>
      </c>
      <c r="P678" s="4">
        <f>B678-D678</f>
        <v/>
      </c>
      <c r="Q678" s="4">
        <f>AVERAGE(P675:P678)</f>
        <v/>
      </c>
      <c r="R678" s="54">
        <f>(M679-M678)/M678</f>
        <v/>
      </c>
      <c r="S678" s="54">
        <f>(M682-M678)/M678</f>
        <v/>
      </c>
      <c r="T678" s="63">
        <f>IF(R678&gt;0,1,"")</f>
        <v/>
      </c>
      <c r="U678" s="63">
        <f>IF(S678&gt;0,1,"")</f>
        <v/>
      </c>
    </row>
    <row r="679">
      <c r="A679" s="35" t="n">
        <v>36636</v>
      </c>
      <c r="B679" s="4" t="n">
        <v>0.6373</v>
      </c>
      <c r="C679" s="4" t="n">
        <v>0.1373</v>
      </c>
      <c r="D679" s="4" t="n">
        <v>0.2255</v>
      </c>
      <c r="E679" s="63" t="n">
        <v>1.0001</v>
      </c>
      <c r="F679" s="63" t="n">
        <v>0.5137625</v>
      </c>
      <c r="G679" s="63" t="n">
        <v>0.4118</v>
      </c>
      <c r="H679" s="63" t="n">
        <v>0.384907436629</v>
      </c>
      <c r="I679" s="63" t="n">
        <v>0.48829287048</v>
      </c>
      <c r="J679" s="63" t="n">
        <v>0.281522002778</v>
      </c>
      <c r="K679" s="63" t="n">
        <v>1447.69</v>
      </c>
      <c r="L679" s="63" t="n">
        <v>1346.5</v>
      </c>
      <c r="M679" s="63" t="n">
        <v>1434.54</v>
      </c>
      <c r="N679" s="54">
        <f>(M680-M679)/M679</f>
        <v/>
      </c>
      <c r="O679" s="54">
        <f>(M683-M679)/M679</f>
        <v/>
      </c>
      <c r="P679" s="4">
        <f>B679-D679</f>
        <v/>
      </c>
      <c r="Q679" s="4">
        <f>AVERAGE(P676:P679)</f>
        <v/>
      </c>
      <c r="R679" s="54">
        <f>(M680-M679)/M679</f>
        <v/>
      </c>
      <c r="S679" s="54">
        <f>(M683-M679)/M679</f>
        <v/>
      </c>
      <c r="T679" s="63">
        <f>IF(R679&gt;0,1,"")</f>
        <v/>
      </c>
      <c r="U679" s="63">
        <f>IF(S679&gt;0,1,"")</f>
        <v/>
      </c>
    </row>
    <row r="680">
      <c r="A680" s="35" t="n">
        <v>36643</v>
      </c>
      <c r="B680" s="4" t="n">
        <v>0.6129</v>
      </c>
      <c r="C680" s="4" t="n">
        <v>0.2419</v>
      </c>
      <c r="D680" s="4" t="n">
        <v>0.1452</v>
      </c>
      <c r="E680" s="63" t="n">
        <v>1</v>
      </c>
      <c r="F680" s="63" t="n">
        <v>0.5445375</v>
      </c>
      <c r="G680" s="63" t="n">
        <v>0.4677</v>
      </c>
      <c r="H680" s="63" t="n">
        <v>0.384907436629</v>
      </c>
      <c r="I680" s="63" t="n">
        <v>0.48829287048</v>
      </c>
      <c r="J680" s="63" t="n">
        <v>0.281522002778</v>
      </c>
      <c r="K680" s="63" t="n">
        <v>1482.94</v>
      </c>
      <c r="L680" s="63" t="n">
        <v>1407.13</v>
      </c>
      <c r="M680" s="63" t="n">
        <v>1452.43</v>
      </c>
      <c r="N680" s="54">
        <f>(M681-M680)/M680</f>
        <v/>
      </c>
      <c r="O680" s="54">
        <f>(M684-M680)/M680</f>
        <v/>
      </c>
      <c r="P680" s="4">
        <f>B680-D680</f>
        <v/>
      </c>
      <c r="Q680" s="4">
        <f>AVERAGE(P677:P680)</f>
        <v/>
      </c>
      <c r="R680" s="54">
        <f>(M681-M680)/M680</f>
        <v/>
      </c>
      <c r="S680" s="54">
        <f>(M684-M680)/M680</f>
        <v/>
      </c>
      <c r="T680" s="63">
        <f>IF(R680&gt;0,1,"")</f>
        <v/>
      </c>
      <c r="U680" s="63">
        <f>IF(S680&gt;0,1,"")</f>
        <v/>
      </c>
    </row>
    <row r="681">
      <c r="A681" s="35" t="n">
        <v>36650</v>
      </c>
      <c r="B681" s="4" t="n">
        <v>0.3478</v>
      </c>
      <c r="C681" s="4" t="n">
        <v>0.3043</v>
      </c>
      <c r="D681" s="4" t="n">
        <v>0.3478</v>
      </c>
      <c r="E681" s="63" t="n">
        <v>0.9999</v>
      </c>
      <c r="F681" s="63" t="n">
        <v>0.5151</v>
      </c>
      <c r="G681" s="63" t="n">
        <v>0</v>
      </c>
      <c r="H681" s="63" t="n">
        <v>0.384907436629</v>
      </c>
      <c r="I681" s="63" t="n">
        <v>0.48829287048</v>
      </c>
      <c r="J681" s="63" t="n">
        <v>0.281522002778</v>
      </c>
      <c r="K681" s="63" t="n">
        <v>1481.51</v>
      </c>
      <c r="L681" s="63" t="n">
        <v>1398.36</v>
      </c>
      <c r="M681" s="63" t="n">
        <v>1432.63</v>
      </c>
      <c r="N681" s="54">
        <f>(M682-M681)/M681</f>
        <v/>
      </c>
      <c r="O681" s="54">
        <f>(M685-M681)/M681</f>
        <v/>
      </c>
      <c r="P681" s="4">
        <f>B681-D681</f>
        <v/>
      </c>
      <c r="Q681" s="4">
        <f>AVERAGE(P678:P681)</f>
        <v/>
      </c>
      <c r="R681" s="54">
        <f>(M682-M681)/M681</f>
        <v/>
      </c>
      <c r="S681" s="54">
        <f>(M685-M681)/M681</f>
        <v/>
      </c>
      <c r="T681" s="63">
        <f>IF(R681&gt;0,1,"")</f>
        <v/>
      </c>
      <c r="U681" s="63">
        <f>IF(S681&gt;0,1,"")</f>
        <v/>
      </c>
    </row>
    <row r="682">
      <c r="A682" s="35" t="n">
        <v>36657</v>
      </c>
      <c r="B682" s="4" t="n">
        <v>0.3023</v>
      </c>
      <c r="C682" s="4" t="n">
        <v>0.4419</v>
      </c>
      <c r="D682" s="4" t="n">
        <v>0.2558</v>
      </c>
      <c r="E682" s="63" t="n">
        <v>1</v>
      </c>
      <c r="F682" s="63" t="n">
        <v>0.4903875</v>
      </c>
      <c r="G682" s="63" t="n">
        <v>0.0465</v>
      </c>
      <c r="H682" s="63" t="n">
        <v>0.384907436629</v>
      </c>
      <c r="I682" s="63" t="n">
        <v>0.48829287048</v>
      </c>
      <c r="J682" s="63" t="n">
        <v>0.281522002778</v>
      </c>
      <c r="K682" s="63" t="n">
        <v>1432.63</v>
      </c>
      <c r="L682" s="63" t="n">
        <v>1375.14</v>
      </c>
      <c r="M682" s="63" t="n">
        <v>1420.96</v>
      </c>
      <c r="N682" s="54">
        <f>(M683-M682)/M682</f>
        <v/>
      </c>
      <c r="O682" s="54">
        <f>(M686-M682)/M682</f>
        <v/>
      </c>
      <c r="P682" s="4">
        <f>B682-D682</f>
        <v/>
      </c>
      <c r="Q682" s="4">
        <f>AVERAGE(P679:P682)</f>
        <v/>
      </c>
      <c r="R682" s="54">
        <f>(M683-M682)/M682</f>
        <v/>
      </c>
      <c r="S682" s="54">
        <f>(M686-M682)/M682</f>
        <v/>
      </c>
      <c r="T682" s="63">
        <f>IF(R682&gt;0,1,"")</f>
        <v/>
      </c>
      <c r="U682" s="63">
        <f>IF(S682&gt;0,1,"")</f>
        <v/>
      </c>
    </row>
    <row r="683">
      <c r="A683" s="35" t="n">
        <v>36664</v>
      </c>
      <c r="B683" s="4" t="n">
        <v>0.3529</v>
      </c>
      <c r="C683" s="4" t="n">
        <v>0.2353</v>
      </c>
      <c r="D683" s="4" t="n">
        <v>0.4118</v>
      </c>
      <c r="E683" s="63" t="n">
        <v>1</v>
      </c>
      <c r="F683" s="63" t="n">
        <v>0.4523625</v>
      </c>
      <c r="G683" s="63" t="n">
        <v>-0.0589</v>
      </c>
      <c r="H683" s="63" t="n">
        <v>0.384907436629</v>
      </c>
      <c r="I683" s="63" t="n">
        <v>0.48829287048</v>
      </c>
      <c r="J683" s="63" t="n">
        <v>0.281522002778</v>
      </c>
      <c r="K683" s="63" t="n">
        <v>1470.4</v>
      </c>
      <c r="L683" s="63" t="n">
        <v>1401.74</v>
      </c>
      <c r="M683" s="63" t="n">
        <v>1406.95</v>
      </c>
      <c r="N683" s="54">
        <f>(M684-M683)/M683</f>
        <v/>
      </c>
      <c r="O683" s="54">
        <f>(M687-M683)/M683</f>
        <v/>
      </c>
      <c r="P683" s="4">
        <f>B683-D683</f>
        <v/>
      </c>
      <c r="Q683" s="4">
        <f>AVERAGE(P680:P683)</f>
        <v/>
      </c>
      <c r="R683" s="54">
        <f>(M684-M683)/M683</f>
        <v/>
      </c>
      <c r="S683" s="54">
        <f>(M687-M683)/M683</f>
        <v/>
      </c>
      <c r="T683" s="63">
        <f>IF(R683&gt;0,1,"")</f>
        <v/>
      </c>
      <c r="U683" s="63">
        <f>IF(S683&gt;0,1,"")</f>
        <v/>
      </c>
    </row>
    <row r="684">
      <c r="A684" s="35" t="n">
        <v>36671</v>
      </c>
      <c r="B684" s="4" t="n">
        <v>0.3492</v>
      </c>
      <c r="C684" s="4" t="n">
        <v>0.2857</v>
      </c>
      <c r="D684" s="4" t="n">
        <v>0.3651</v>
      </c>
      <c r="E684" s="63" t="n">
        <v>1</v>
      </c>
      <c r="F684" s="63" t="n">
        <v>0.4474</v>
      </c>
      <c r="G684" s="63" t="n">
        <v>-0.0159</v>
      </c>
      <c r="H684" s="63" t="n">
        <v>0.384907436629</v>
      </c>
      <c r="I684" s="63" t="n">
        <v>0.48829287048</v>
      </c>
      <c r="J684" s="63" t="n">
        <v>0.281522002778</v>
      </c>
      <c r="K684" s="63" t="n">
        <v>1411.65</v>
      </c>
      <c r="L684" s="63" t="n">
        <v>1361.09</v>
      </c>
      <c r="M684" s="63" t="n">
        <v>1378.02</v>
      </c>
      <c r="N684" s="54">
        <f>(M685-M684)/M684</f>
        <v/>
      </c>
      <c r="O684" s="54">
        <f>(M688-M684)/M684</f>
        <v/>
      </c>
      <c r="P684" s="4">
        <f>B684-D684</f>
        <v/>
      </c>
      <c r="Q684" s="4">
        <f>AVERAGE(P681:P684)</f>
        <v/>
      </c>
      <c r="R684" s="54">
        <f>(M685-M684)/M684</f>
        <v/>
      </c>
      <c r="S684" s="54">
        <f>(M688-M684)/M684</f>
        <v/>
      </c>
      <c r="T684" s="63">
        <f>IF(R684&gt;0,1,"")</f>
        <v/>
      </c>
      <c r="U684" s="63">
        <f>IF(S684&gt;0,1,"")</f>
        <v/>
      </c>
    </row>
    <row r="685">
      <c r="A685" s="35" t="n">
        <v>36678</v>
      </c>
      <c r="B685" s="4" t="n">
        <v>0.4167</v>
      </c>
      <c r="C685" s="4" t="n">
        <v>0.2083</v>
      </c>
      <c r="D685" s="4" t="n">
        <v>0.375</v>
      </c>
      <c r="E685" s="63" t="n">
        <v>1</v>
      </c>
      <c r="F685" s="63" t="n">
        <v>0.4422</v>
      </c>
      <c r="G685" s="63" t="n">
        <v>0.0417</v>
      </c>
      <c r="H685" s="63" t="n">
        <v>0.384907436629</v>
      </c>
      <c r="I685" s="63" t="n">
        <v>0.48829287048</v>
      </c>
      <c r="J685" s="63" t="n">
        <v>0.281522002778</v>
      </c>
      <c r="K685" s="63" t="n">
        <v>1483.23</v>
      </c>
      <c r="L685" s="63" t="n">
        <v>1378.02</v>
      </c>
      <c r="M685" s="63" t="n">
        <v>1477.26</v>
      </c>
      <c r="N685" s="54">
        <f>(M686-M685)/M685</f>
        <v/>
      </c>
      <c r="O685" s="54">
        <f>(M689-M685)/M685</f>
        <v/>
      </c>
      <c r="P685" s="4">
        <f>B685-D685</f>
        <v/>
      </c>
      <c r="Q685" s="4">
        <f>AVERAGE(P682:P685)</f>
        <v/>
      </c>
      <c r="R685" s="54">
        <f>(M686-M685)/M685</f>
        <v/>
      </c>
      <c r="S685" s="54">
        <f>(M689-M685)/M685</f>
        <v/>
      </c>
      <c r="T685" s="63">
        <f>IF(R685&gt;0,1,"")</f>
        <v/>
      </c>
      <c r="U685" s="63">
        <f>IF(S685&gt;0,1,"")</f>
        <v/>
      </c>
    </row>
    <row r="686">
      <c r="A686" s="35" t="n">
        <v>36685</v>
      </c>
      <c r="B686" s="4" t="n">
        <v>0.6153999999999999</v>
      </c>
      <c r="C686" s="4" t="n">
        <v>0.1538</v>
      </c>
      <c r="D686" s="4" t="n">
        <v>0.2308</v>
      </c>
      <c r="E686" s="63" t="n">
        <v>1</v>
      </c>
      <c r="F686" s="63" t="n">
        <v>0.4543125</v>
      </c>
      <c r="G686" s="63" t="n">
        <v>0.3846</v>
      </c>
      <c r="H686" s="63" t="n">
        <v>0.384907436629</v>
      </c>
      <c r="I686" s="63" t="n">
        <v>0.48829287048</v>
      </c>
      <c r="J686" s="63" t="n">
        <v>0.281522002778</v>
      </c>
      <c r="K686" s="63" t="n">
        <v>1477.28</v>
      </c>
      <c r="L686" s="63" t="n">
        <v>1454.74</v>
      </c>
      <c r="M686" s="63" t="n">
        <v>1456.95</v>
      </c>
      <c r="N686" s="54">
        <f>(M687-M686)/M686</f>
        <v/>
      </c>
      <c r="O686" s="54">
        <f>(M690-M686)/M686</f>
        <v/>
      </c>
      <c r="P686" s="4">
        <f>B686-D686</f>
        <v/>
      </c>
      <c r="Q686" s="4">
        <f>AVERAGE(P683:P686)</f>
        <v/>
      </c>
      <c r="R686" s="54">
        <f>(M687-M686)/M686</f>
        <v/>
      </c>
      <c r="S686" s="54">
        <f>(M690-M686)/M686</f>
        <v/>
      </c>
      <c r="T686" s="63">
        <f>IF(R686&gt;0,1,"")</f>
        <v/>
      </c>
      <c r="U686" s="63">
        <f>IF(S686&gt;0,1,"")</f>
        <v/>
      </c>
    </row>
    <row r="687">
      <c r="A687" s="35" t="n">
        <v>36692</v>
      </c>
      <c r="B687" s="4" t="n">
        <v>0.4375</v>
      </c>
      <c r="C687" s="4" t="n">
        <v>0.375</v>
      </c>
      <c r="D687" s="4" t="n">
        <v>0.1875</v>
      </c>
      <c r="E687" s="63" t="n">
        <v>1</v>
      </c>
      <c r="F687" s="63" t="n">
        <v>0.4293375</v>
      </c>
      <c r="G687" s="63" t="n">
        <v>0.25</v>
      </c>
      <c r="H687" s="63" t="n">
        <v>0.384907436629</v>
      </c>
      <c r="I687" s="63" t="n">
        <v>0.48829287048</v>
      </c>
      <c r="J687" s="63" t="n">
        <v>0.281522002778</v>
      </c>
      <c r="K687" s="63" t="n">
        <v>1483.62</v>
      </c>
      <c r="L687" s="63" t="n">
        <v>1442.38</v>
      </c>
      <c r="M687" s="63" t="n">
        <v>1464.46</v>
      </c>
      <c r="N687" s="54">
        <f>(M688-M687)/M687</f>
        <v/>
      </c>
      <c r="O687" s="54">
        <f>(M691-M687)/M687</f>
        <v/>
      </c>
      <c r="P687" s="4">
        <f>B687-D687</f>
        <v/>
      </c>
      <c r="Q687" s="4">
        <f>AVERAGE(P684:P687)</f>
        <v/>
      </c>
      <c r="R687" s="54">
        <f>(M688-M687)/M687</f>
        <v/>
      </c>
      <c r="S687" s="54">
        <f>(M691-M687)/M687</f>
        <v/>
      </c>
      <c r="T687" s="63">
        <f>IF(R687&gt;0,1,"")</f>
        <v/>
      </c>
      <c r="U687" s="63">
        <f>IF(S687&gt;0,1,"")</f>
        <v/>
      </c>
    </row>
    <row r="688">
      <c r="A688" s="35" t="n">
        <v>36699</v>
      </c>
      <c r="B688" s="4" t="n">
        <v>0.2667</v>
      </c>
      <c r="C688" s="4" t="n">
        <v>0.3333</v>
      </c>
      <c r="D688" s="4" t="n">
        <v>0.4</v>
      </c>
      <c r="E688" s="63" t="n">
        <v>1</v>
      </c>
      <c r="F688" s="63" t="n">
        <v>0.3860625</v>
      </c>
      <c r="G688" s="63" t="n">
        <v>-0.1333</v>
      </c>
      <c r="H688" s="63" t="n">
        <v>0.384907436629</v>
      </c>
      <c r="I688" s="63" t="n">
        <v>0.48829287048</v>
      </c>
      <c r="J688" s="63" t="n">
        <v>0.281522002778</v>
      </c>
      <c r="K688" s="63" t="n">
        <v>1488.93</v>
      </c>
      <c r="L688" s="63" t="n">
        <v>1438.31</v>
      </c>
      <c r="M688" s="63" t="n">
        <v>1441.48</v>
      </c>
      <c r="N688" s="54">
        <f>(M689-M688)/M688</f>
        <v/>
      </c>
      <c r="O688" s="54">
        <f>(M692-M688)/M688</f>
        <v/>
      </c>
      <c r="P688" s="4">
        <f>B688-D688</f>
        <v/>
      </c>
      <c r="Q688" s="4">
        <f>AVERAGE(P685:P688)</f>
        <v/>
      </c>
      <c r="R688" s="54">
        <f>(M689-M688)/M688</f>
        <v/>
      </c>
      <c r="S688" s="54">
        <f>(M692-M688)/M688</f>
        <v/>
      </c>
      <c r="T688" s="63">
        <f>IF(R688&gt;0,1,"")</f>
        <v/>
      </c>
      <c r="U688" s="63">
        <f>IF(S688&gt;0,1,"")</f>
        <v/>
      </c>
    </row>
    <row r="689">
      <c r="A689" s="35" t="n">
        <v>36713</v>
      </c>
      <c r="B689" s="4" t="n">
        <v>0.5610000000000001</v>
      </c>
      <c r="C689" s="4" t="n">
        <v>0.2805</v>
      </c>
      <c r="D689" s="4" t="n">
        <v>0.1585</v>
      </c>
      <c r="E689" s="63" t="n">
        <v>1</v>
      </c>
      <c r="F689" s="63" t="n">
        <v>0.4127125</v>
      </c>
      <c r="G689" s="63" t="n">
        <v>0.4025</v>
      </c>
      <c r="H689" s="63" t="n">
        <v>0.384907436629</v>
      </c>
      <c r="I689" s="63" t="n">
        <v>0.48829287048</v>
      </c>
      <c r="J689" s="63" t="n">
        <v>0.281522002778</v>
      </c>
      <c r="K689" s="63" t="n">
        <v>1467.63</v>
      </c>
      <c r="L689" s="63" t="n">
        <v>1434.63</v>
      </c>
      <c r="M689" s="63" t="n">
        <v>1454.6</v>
      </c>
      <c r="N689" s="54">
        <f>(M690-M689)/M689</f>
        <v/>
      </c>
      <c r="O689" s="54">
        <f>(M693-M689)/M689</f>
        <v/>
      </c>
      <c r="P689" s="4">
        <f>B689-D689</f>
        <v/>
      </c>
      <c r="Q689" s="4">
        <f>AVERAGE(P686:P689)</f>
        <v/>
      </c>
      <c r="R689" s="54">
        <f>(M690-M689)/M689</f>
        <v/>
      </c>
      <c r="S689" s="54">
        <f>(M693-M689)/M689</f>
        <v/>
      </c>
      <c r="T689" s="63">
        <f>IF(R689&gt;0,1,"")</f>
        <v/>
      </c>
      <c r="U689" s="63">
        <f>IF(S689&gt;0,1,"")</f>
        <v/>
      </c>
    </row>
    <row r="690">
      <c r="A690" s="35" t="n">
        <v>36720</v>
      </c>
      <c r="B690" s="4" t="n">
        <v>0.65</v>
      </c>
      <c r="C690" s="4" t="n">
        <v>0.15</v>
      </c>
      <c r="D690" s="4" t="n">
        <v>0.2</v>
      </c>
      <c r="E690" s="63" t="n">
        <v>1</v>
      </c>
      <c r="F690" s="63" t="n">
        <v>0.456175</v>
      </c>
      <c r="G690" s="63" t="n">
        <v>0.45</v>
      </c>
      <c r="H690" s="63" t="n">
        <v>0.384907436629</v>
      </c>
      <c r="I690" s="63" t="n">
        <v>0.48829287048</v>
      </c>
      <c r="J690" s="63" t="n">
        <v>0.281522002778</v>
      </c>
      <c r="K690" s="63" t="n">
        <v>1484.12</v>
      </c>
      <c r="L690" s="63" t="n">
        <v>1439.56</v>
      </c>
      <c r="M690" s="63" t="n">
        <v>1478.9</v>
      </c>
      <c r="N690" s="54">
        <f>(M691-M690)/M690</f>
        <v/>
      </c>
      <c r="O690" s="54">
        <f>(M694-M690)/M690</f>
        <v/>
      </c>
      <c r="P690" s="4">
        <f>B690-D690</f>
        <v/>
      </c>
      <c r="Q690" s="4">
        <f>AVERAGE(P687:P690)</f>
        <v/>
      </c>
      <c r="R690" s="54">
        <f>(M691-M690)/M690</f>
        <v/>
      </c>
      <c r="S690" s="54">
        <f>(M694-M690)/M690</f>
        <v/>
      </c>
      <c r="T690" s="63">
        <f>IF(R690&gt;0,1,"")</f>
        <v/>
      </c>
      <c r="U690" s="63">
        <f>IF(S690&gt;0,1,"")</f>
        <v/>
      </c>
    </row>
    <row r="691">
      <c r="A691" s="35" t="n">
        <v>36727</v>
      </c>
      <c r="B691" s="4" t="n">
        <v>0.6667</v>
      </c>
      <c r="C691" s="4" t="n">
        <v>0.2133</v>
      </c>
      <c r="D691" s="4" t="n">
        <v>0.12</v>
      </c>
      <c r="E691" s="63" t="n">
        <v>1</v>
      </c>
      <c r="F691" s="63" t="n">
        <v>0.4954</v>
      </c>
      <c r="G691" s="63" t="n">
        <v>0.5467</v>
      </c>
      <c r="H691" s="63" t="n">
        <v>0.384907436629</v>
      </c>
      <c r="I691" s="63" t="n">
        <v>0.48829287048</v>
      </c>
      <c r="J691" s="63" t="n">
        <v>0.281522002778</v>
      </c>
      <c r="K691" s="63" t="n">
        <v>1509.99</v>
      </c>
      <c r="L691" s="63" t="n">
        <v>1470.48</v>
      </c>
      <c r="M691" s="63" t="n">
        <v>1509.98</v>
      </c>
      <c r="N691" s="54">
        <f>(M692-M691)/M691</f>
        <v/>
      </c>
      <c r="O691" s="54">
        <f>(M695-M691)/M691</f>
        <v/>
      </c>
      <c r="P691" s="4">
        <f>B691-D691</f>
        <v/>
      </c>
      <c r="Q691" s="4">
        <f>AVERAGE(P688:P691)</f>
        <v/>
      </c>
      <c r="R691" s="54">
        <f>(M692-M691)/M691</f>
        <v/>
      </c>
      <c r="S691" s="54">
        <f>(M695-M691)/M691</f>
        <v/>
      </c>
      <c r="T691" s="63">
        <f>IF(R691&gt;0,1,"")</f>
        <v/>
      </c>
      <c r="U691" s="63">
        <f>IF(S691&gt;0,1,"")</f>
        <v/>
      </c>
    </row>
    <row r="692">
      <c r="A692" s="35" t="n">
        <v>36734</v>
      </c>
      <c r="B692" s="4" t="n">
        <v>0.4286</v>
      </c>
      <c r="C692" s="4" t="n">
        <v>0.3714</v>
      </c>
      <c r="D692" s="4" t="n">
        <v>0.2</v>
      </c>
      <c r="E692" s="63" t="n">
        <v>1</v>
      </c>
      <c r="F692" s="63" t="n">
        <v>0.505325</v>
      </c>
      <c r="G692" s="63" t="n">
        <v>0.2286</v>
      </c>
      <c r="H692" s="63" t="n">
        <v>0.384907436629</v>
      </c>
      <c r="I692" s="63" t="n">
        <v>0.48829287048</v>
      </c>
      <c r="J692" s="63" t="n">
        <v>0.281522002778</v>
      </c>
      <c r="K692" s="63" t="n">
        <v>1517.32</v>
      </c>
      <c r="L692" s="63" t="n">
        <v>1477.91</v>
      </c>
      <c r="M692" s="63" t="n">
        <v>1480.19</v>
      </c>
      <c r="N692" s="54">
        <f>(M693-M692)/M692</f>
        <v/>
      </c>
      <c r="O692" s="54">
        <f>(M696-M692)/M692</f>
        <v/>
      </c>
      <c r="P692" s="4">
        <f>B692-D692</f>
        <v/>
      </c>
      <c r="Q692" s="4">
        <f>AVERAGE(P689:P692)</f>
        <v/>
      </c>
      <c r="R692" s="54">
        <f>(M693-M692)/M692</f>
        <v/>
      </c>
      <c r="S692" s="54">
        <f>(M696-M692)/M692</f>
        <v/>
      </c>
      <c r="T692" s="63">
        <f>IF(R692&gt;0,1,"")</f>
        <v/>
      </c>
      <c r="U692" s="63">
        <f>IF(S692&gt;0,1,"")</f>
        <v/>
      </c>
    </row>
    <row r="693">
      <c r="A693" s="35" t="n">
        <v>36741</v>
      </c>
      <c r="B693" s="4" t="n">
        <v>0.413</v>
      </c>
      <c r="C693" s="4" t="n">
        <v>0.3478</v>
      </c>
      <c r="D693" s="4" t="n">
        <v>0.2391</v>
      </c>
      <c r="E693" s="63" t="n">
        <v>0.9999</v>
      </c>
      <c r="F693" s="63" t="n">
        <v>0.5048625</v>
      </c>
      <c r="G693" s="63" t="n">
        <v>0.1739</v>
      </c>
      <c r="H693" s="63" t="n">
        <v>0.384907436629</v>
      </c>
      <c r="I693" s="63" t="n">
        <v>0.48829287048</v>
      </c>
      <c r="J693" s="63" t="n">
        <v>0.281522002778</v>
      </c>
      <c r="K693" s="63" t="n">
        <v>1485.88</v>
      </c>
      <c r="L693" s="63" t="n">
        <v>1413.89</v>
      </c>
      <c r="M693" s="63" t="n">
        <v>1419.89</v>
      </c>
      <c r="N693" s="54">
        <f>(M694-M693)/M693</f>
        <v/>
      </c>
      <c r="O693" s="54">
        <f>(M697-M693)/M693</f>
        <v/>
      </c>
      <c r="P693" s="4">
        <f>B693-D693</f>
        <v/>
      </c>
      <c r="Q693" s="4">
        <f>AVERAGE(P690:P693)</f>
        <v/>
      </c>
      <c r="R693" s="54">
        <f>(M694-M693)/M693</f>
        <v/>
      </c>
      <c r="S693" s="54">
        <f>(M697-M693)/M693</f>
        <v/>
      </c>
      <c r="T693" s="63">
        <f>IF(R693&gt;0,1,"")</f>
        <v/>
      </c>
      <c r="U693" s="63">
        <f>IF(S693&gt;0,1,"")</f>
        <v/>
      </c>
    </row>
    <row r="694">
      <c r="A694" s="35" t="n">
        <v>36748</v>
      </c>
      <c r="B694" s="4" t="n">
        <v>0.541</v>
      </c>
      <c r="C694" s="4" t="n">
        <v>0.3443</v>
      </c>
      <c r="D694" s="4" t="n">
        <v>0.1148</v>
      </c>
      <c r="E694" s="63" t="n">
        <v>1.0001</v>
      </c>
      <c r="F694" s="63" t="n">
        <v>0.4955625</v>
      </c>
      <c r="G694" s="63" t="n">
        <v>0.4262</v>
      </c>
      <c r="H694" s="63" t="n">
        <v>0.384907436629</v>
      </c>
      <c r="I694" s="63" t="n">
        <v>0.48829287048</v>
      </c>
      <c r="J694" s="63" t="n">
        <v>0.281522002778</v>
      </c>
      <c r="K694" s="63" t="n">
        <v>1462.93</v>
      </c>
      <c r="L694" s="63" t="n">
        <v>1418.71</v>
      </c>
      <c r="M694" s="63" t="n">
        <v>1462.93</v>
      </c>
      <c r="N694" s="54">
        <f>(M695-M694)/M694</f>
        <v/>
      </c>
      <c r="O694" s="54">
        <f>(M698-M694)/M694</f>
        <v/>
      </c>
      <c r="P694" s="4">
        <f>B694-D694</f>
        <v/>
      </c>
      <c r="Q694" s="4">
        <f>AVERAGE(P691:P694)</f>
        <v/>
      </c>
      <c r="R694" s="54">
        <f>(M695-M694)/M694</f>
        <v/>
      </c>
      <c r="S694" s="54">
        <f>(M698-M694)/M694</f>
        <v/>
      </c>
      <c r="T694" s="63">
        <f>IF(R694&gt;0,1,"")</f>
        <v/>
      </c>
      <c r="U694" s="63">
        <f>IF(S694&gt;0,1,"")</f>
        <v/>
      </c>
    </row>
    <row r="695">
      <c r="A695" s="35" t="n">
        <v>36755</v>
      </c>
      <c r="B695" s="4" t="n">
        <v>0.5938</v>
      </c>
      <c r="C695" s="4" t="n">
        <v>0.2188</v>
      </c>
      <c r="D695" s="4" t="n">
        <v>0.1875</v>
      </c>
      <c r="E695" s="63" t="n">
        <v>1.0001</v>
      </c>
      <c r="F695" s="63" t="n">
        <v>0.5151</v>
      </c>
      <c r="G695" s="63" t="n">
        <v>0.4063</v>
      </c>
      <c r="H695" s="63" t="n">
        <v>0.384907436629</v>
      </c>
      <c r="I695" s="63" t="n">
        <v>0.48829287048</v>
      </c>
      <c r="J695" s="63" t="n">
        <v>0.281522002778</v>
      </c>
      <c r="K695" s="63" t="n">
        <v>1490.33</v>
      </c>
      <c r="L695" s="63" t="n">
        <v>1453.06</v>
      </c>
      <c r="M695" s="63" t="n">
        <v>1471.84</v>
      </c>
      <c r="N695" s="54">
        <f>(M696-M695)/M695</f>
        <v/>
      </c>
      <c r="O695" s="54">
        <f>(M699-M695)/M695</f>
        <v/>
      </c>
      <c r="P695" s="4">
        <f>B695-D695</f>
        <v/>
      </c>
      <c r="Q695" s="4">
        <f>AVERAGE(P692:P695)</f>
        <v/>
      </c>
      <c r="R695" s="54">
        <f>(M696-M695)/M695</f>
        <v/>
      </c>
      <c r="S695" s="54">
        <f>(M699-M695)/M695</f>
        <v/>
      </c>
      <c r="T695" s="63">
        <f>IF(R695&gt;0,1,"")</f>
        <v/>
      </c>
      <c r="U695" s="63">
        <f>IF(S695&gt;0,1,"")</f>
        <v/>
      </c>
    </row>
    <row r="696">
      <c r="A696" s="35" t="n">
        <v>36761</v>
      </c>
      <c r="B696" s="4" t="n">
        <v>0.5769</v>
      </c>
      <c r="C696" s="4" t="n">
        <v>0.1923</v>
      </c>
      <c r="D696" s="4" t="n">
        <v>0.2308</v>
      </c>
      <c r="E696" s="63" t="n">
        <v>1</v>
      </c>
      <c r="F696" s="63" t="n">
        <v>0.553875</v>
      </c>
      <c r="G696" s="63" t="n">
        <v>0.3461</v>
      </c>
      <c r="H696" s="63" t="n">
        <v>0.384907436629</v>
      </c>
      <c r="I696" s="63" t="n">
        <v>0.48829287048</v>
      </c>
      <c r="J696" s="63" t="n">
        <v>0.281522002778</v>
      </c>
      <c r="K696" s="63" t="n">
        <v>1499.47</v>
      </c>
      <c r="L696" s="63" t="n">
        <v>1468.56</v>
      </c>
      <c r="M696" s="63" t="n">
        <v>1491.72</v>
      </c>
      <c r="N696" s="54">
        <f>(M697-M696)/M696</f>
        <v/>
      </c>
      <c r="O696" s="54">
        <f>(M700-M696)/M696</f>
        <v/>
      </c>
      <c r="P696" s="4">
        <f>B696-D696</f>
        <v/>
      </c>
      <c r="Q696" s="4">
        <f>AVERAGE(P693:P696)</f>
        <v/>
      </c>
      <c r="R696" s="54">
        <f>(M697-M696)/M696</f>
        <v/>
      </c>
      <c r="S696" s="54">
        <f>(M700-M696)/M696</f>
        <v/>
      </c>
      <c r="T696" s="63">
        <f>IF(R696&gt;0,1,"")</f>
        <v/>
      </c>
      <c r="U696" s="63">
        <f>IF(S696&gt;0,1,"")</f>
        <v/>
      </c>
    </row>
    <row r="697">
      <c r="A697" s="35" t="n">
        <v>36769</v>
      </c>
      <c r="B697" s="4" t="n">
        <v>0.5588</v>
      </c>
      <c r="C697" s="4" t="n">
        <v>0.2647</v>
      </c>
      <c r="D697" s="4" t="n">
        <v>0.1765</v>
      </c>
      <c r="E697" s="63" t="n">
        <v>1</v>
      </c>
      <c r="F697" s="63" t="n">
        <v>0.5536</v>
      </c>
      <c r="G697" s="63" t="n">
        <v>0.3823</v>
      </c>
      <c r="H697" s="63" t="n">
        <v>0.384907436629</v>
      </c>
      <c r="I697" s="63" t="n">
        <v>0.48829287048</v>
      </c>
      <c r="J697" s="63" t="n">
        <v>0.281522002778</v>
      </c>
      <c r="K697" s="63" t="n">
        <v>1513.47</v>
      </c>
      <c r="L697" s="63" t="n">
        <v>1489.52</v>
      </c>
      <c r="M697" s="63" t="n">
        <v>1506.45</v>
      </c>
      <c r="N697" s="54">
        <f>(M698-M697)/M697</f>
        <v/>
      </c>
      <c r="O697" s="54">
        <f>(M701-M697)/M697</f>
        <v/>
      </c>
      <c r="P697" s="4">
        <f>B697-D697</f>
        <v/>
      </c>
      <c r="Q697" s="4">
        <f>AVERAGE(P694:P697)</f>
        <v/>
      </c>
      <c r="R697" s="54">
        <f>(M698-M697)/M697</f>
        <v/>
      </c>
      <c r="S697" s="54">
        <f>(M701-M697)/M697</f>
        <v/>
      </c>
      <c r="T697" s="63">
        <f>IF(R697&gt;0,1,"")</f>
        <v/>
      </c>
      <c r="U697" s="63">
        <f>IF(S697&gt;0,1,"")</f>
        <v/>
      </c>
    </row>
    <row r="698">
      <c r="A698" s="35" t="n">
        <v>36776</v>
      </c>
      <c r="B698" s="4" t="n">
        <v>0.625</v>
      </c>
      <c r="C698" s="4" t="n">
        <v>0.2917</v>
      </c>
      <c r="D698" s="4" t="n">
        <v>0.0833</v>
      </c>
      <c r="E698" s="63" t="n">
        <v>1</v>
      </c>
      <c r="F698" s="63" t="n">
        <v>0.550475</v>
      </c>
      <c r="G698" s="63" t="n">
        <v>0.5417</v>
      </c>
      <c r="H698" s="63" t="n">
        <v>0.384907436629</v>
      </c>
      <c r="I698" s="63" t="n">
        <v>0.48829287048</v>
      </c>
      <c r="J698" s="63" t="n">
        <v>0.281522002778</v>
      </c>
      <c r="K698" s="63" t="n">
        <v>1530.09</v>
      </c>
      <c r="L698" s="63" t="n">
        <v>1500.09</v>
      </c>
      <c r="M698" s="63" t="n">
        <v>1520.77</v>
      </c>
      <c r="N698" s="54">
        <f>(M699-M698)/M698</f>
        <v/>
      </c>
      <c r="O698" s="54">
        <f>(M702-M698)/M698</f>
        <v/>
      </c>
      <c r="P698" s="4">
        <f>B698-D698</f>
        <v/>
      </c>
      <c r="Q698" s="4">
        <f>AVERAGE(P695:P698)</f>
        <v/>
      </c>
      <c r="R698" s="54">
        <f>(M699-M698)/M698</f>
        <v/>
      </c>
      <c r="S698" s="54">
        <f>(M702-M698)/M698</f>
        <v/>
      </c>
      <c r="T698" s="63">
        <f>IF(R698&gt;0,1,"")</f>
        <v/>
      </c>
      <c r="U698" s="63">
        <f>IF(S698&gt;0,1,"")</f>
        <v/>
      </c>
    </row>
    <row r="699">
      <c r="A699" s="35" t="n">
        <v>36783</v>
      </c>
      <c r="B699" s="4" t="n">
        <v>0.4118</v>
      </c>
      <c r="C699" s="4" t="n">
        <v>0.3529</v>
      </c>
      <c r="D699" s="4" t="n">
        <v>0.2353</v>
      </c>
      <c r="E699" s="63" t="n">
        <v>1</v>
      </c>
      <c r="F699" s="63" t="n">
        <v>0.5186125</v>
      </c>
      <c r="G699" s="63" t="n">
        <v>0.1765</v>
      </c>
      <c r="H699" s="63" t="n">
        <v>0.384907436629</v>
      </c>
      <c r="I699" s="63" t="n">
        <v>0.48829287048</v>
      </c>
      <c r="J699" s="63" t="n">
        <v>0.281522002778</v>
      </c>
      <c r="K699" s="63" t="n">
        <v>1520.77</v>
      </c>
      <c r="L699" s="63" t="n">
        <v>1489.88</v>
      </c>
      <c r="M699" s="63" t="n">
        <v>1494.5</v>
      </c>
      <c r="N699" s="54">
        <f>(M700-M699)/M699</f>
        <v/>
      </c>
      <c r="O699" s="54">
        <f>(M703-M699)/M699</f>
        <v/>
      </c>
      <c r="P699" s="4">
        <f>B699-D699</f>
        <v/>
      </c>
      <c r="Q699" s="4">
        <f>AVERAGE(P696:P699)</f>
        <v/>
      </c>
      <c r="R699" s="54">
        <f>(M700-M699)/M699</f>
        <v/>
      </c>
      <c r="S699" s="54">
        <f>(M703-M699)/M699</f>
        <v/>
      </c>
      <c r="T699" s="63">
        <f>IF(R699&gt;0,1,"")</f>
        <v/>
      </c>
      <c r="U699" s="63">
        <f>IF(S699&gt;0,1,"")</f>
        <v/>
      </c>
    </row>
    <row r="700">
      <c r="A700" s="35" t="n">
        <v>36790</v>
      </c>
      <c r="B700" s="4" t="n">
        <v>0.4375</v>
      </c>
      <c r="C700" s="4" t="n">
        <v>0.375</v>
      </c>
      <c r="D700" s="4" t="n">
        <v>0.1875</v>
      </c>
      <c r="E700" s="63" t="n">
        <v>1</v>
      </c>
      <c r="F700" s="63" t="n">
        <v>0.519725</v>
      </c>
      <c r="G700" s="63" t="n">
        <v>0.25</v>
      </c>
      <c r="H700" s="63" t="n">
        <v>0.384907436629</v>
      </c>
      <c r="I700" s="63" t="n">
        <v>0.48829287048</v>
      </c>
      <c r="J700" s="63" t="n">
        <v>0.281522002778</v>
      </c>
      <c r="K700" s="63" t="n">
        <v>1506.76</v>
      </c>
      <c r="L700" s="63" t="n">
        <v>1460.22</v>
      </c>
      <c r="M700" s="63" t="n">
        <v>1465.81</v>
      </c>
      <c r="N700" s="54">
        <f>(M701-M700)/M700</f>
        <v/>
      </c>
      <c r="O700" s="54">
        <f>(M704-M700)/M700</f>
        <v/>
      </c>
      <c r="P700" s="4">
        <f>B700-D700</f>
        <v/>
      </c>
      <c r="Q700" s="4">
        <f>AVERAGE(P697:P700)</f>
        <v/>
      </c>
      <c r="R700" s="54">
        <f>(M701-M700)/M700</f>
        <v/>
      </c>
      <c r="S700" s="54">
        <f>(M704-M700)/M700</f>
        <v/>
      </c>
      <c r="T700" s="63">
        <f>IF(R700&gt;0,1,"")</f>
        <v/>
      </c>
      <c r="U700" s="63">
        <f>IF(S700&gt;0,1,"")</f>
        <v/>
      </c>
    </row>
    <row r="701">
      <c r="A701" s="35" t="n">
        <v>36797</v>
      </c>
      <c r="B701" s="4" t="n">
        <v>0.5333</v>
      </c>
      <c r="C701" s="4" t="n">
        <v>0.4</v>
      </c>
      <c r="D701" s="4" t="n">
        <v>0.0667</v>
      </c>
      <c r="E701" s="63" t="n">
        <v>1</v>
      </c>
      <c r="F701" s="63" t="n">
        <v>0.5347625</v>
      </c>
      <c r="G701" s="63" t="n">
        <v>0.4666</v>
      </c>
      <c r="H701" s="63" t="n">
        <v>0.384907436629</v>
      </c>
      <c r="I701" s="63" t="n">
        <v>0.48829287048</v>
      </c>
      <c r="J701" s="63" t="n">
        <v>0.281522002778</v>
      </c>
      <c r="K701" s="63" t="n">
        <v>1467.77</v>
      </c>
      <c r="L701" s="63" t="n">
        <v>1421.88</v>
      </c>
      <c r="M701" s="63" t="n">
        <v>1448.72</v>
      </c>
      <c r="N701" s="54">
        <f>(M702-M701)/M701</f>
        <v/>
      </c>
      <c r="O701" s="54">
        <f>(M705-M701)/M701</f>
        <v/>
      </c>
      <c r="P701" s="4">
        <f>B701-D701</f>
        <v/>
      </c>
      <c r="Q701" s="4">
        <f>AVERAGE(P698:P701)</f>
        <v/>
      </c>
      <c r="R701" s="54">
        <f>(M702-M701)/M701</f>
        <v/>
      </c>
      <c r="S701" s="54">
        <f>(M705-M701)/M701</f>
        <v/>
      </c>
      <c r="T701" s="63">
        <f>IF(R701&gt;0,1,"")</f>
        <v/>
      </c>
      <c r="U701" s="63">
        <f>IF(S701&gt;0,1,"")</f>
        <v/>
      </c>
    </row>
    <row r="702">
      <c r="A702" s="35" t="n">
        <v>36804</v>
      </c>
      <c r="B702" s="4" t="n">
        <v>0.4194</v>
      </c>
      <c r="C702" s="4" t="n">
        <v>0.3226</v>
      </c>
      <c r="D702" s="4" t="n">
        <v>0.2581</v>
      </c>
      <c r="E702" s="63" t="n">
        <v>1.0001</v>
      </c>
      <c r="F702" s="63" t="n">
        <v>0.5195625</v>
      </c>
      <c r="G702" s="63" t="n">
        <v>0.1613</v>
      </c>
      <c r="H702" s="63" t="n">
        <v>0.384907436629</v>
      </c>
      <c r="I702" s="63" t="n">
        <v>0.48829287048</v>
      </c>
      <c r="J702" s="63" t="n">
        <v>0.281522002778</v>
      </c>
      <c r="K702" s="63" t="n">
        <v>1461.69</v>
      </c>
      <c r="L702" s="63" t="n">
        <v>1419.44</v>
      </c>
      <c r="M702" s="63" t="n">
        <v>1436.51</v>
      </c>
      <c r="N702" s="54">
        <f>(M703-M702)/M702</f>
        <v/>
      </c>
      <c r="O702" s="54">
        <f>(M706-M702)/M702</f>
        <v/>
      </c>
      <c r="P702" s="4">
        <f>B702-D702</f>
        <v/>
      </c>
      <c r="Q702" s="4">
        <f>AVERAGE(P699:P702)</f>
        <v/>
      </c>
      <c r="R702" s="54">
        <f>(M703-M702)/M702</f>
        <v/>
      </c>
      <c r="S702" s="54">
        <f>(M706-M702)/M702</f>
        <v/>
      </c>
      <c r="T702" s="63">
        <f>IF(R702&gt;0,1,"")</f>
        <v/>
      </c>
      <c r="U702" s="63">
        <f>IF(S702&gt;0,1,"")</f>
        <v/>
      </c>
    </row>
    <row r="703">
      <c r="A703" s="35" t="n">
        <v>36811</v>
      </c>
      <c r="B703" s="4" t="n">
        <v>0.4146</v>
      </c>
      <c r="C703" s="4" t="n">
        <v>0.2683</v>
      </c>
      <c r="D703" s="4" t="n">
        <v>0.3171</v>
      </c>
      <c r="E703" s="63" t="n">
        <v>1</v>
      </c>
      <c r="F703" s="63" t="n">
        <v>0.4971625</v>
      </c>
      <c r="G703" s="63" t="n">
        <v>0.0975</v>
      </c>
      <c r="H703" s="63" t="n">
        <v>0.384907436629</v>
      </c>
      <c r="I703" s="63" t="n">
        <v>0.48829287048</v>
      </c>
      <c r="J703" s="63" t="n">
        <v>0.281522002778</v>
      </c>
      <c r="K703" s="63" t="n">
        <v>1454.82</v>
      </c>
      <c r="L703" s="63" t="n">
        <v>1397.06</v>
      </c>
      <c r="M703" s="63" t="n">
        <v>1408.99</v>
      </c>
      <c r="N703" s="54">
        <f>(M704-M703)/M703</f>
        <v/>
      </c>
      <c r="O703" s="54">
        <f>(M707-M703)/M703</f>
        <v/>
      </c>
      <c r="P703" s="4">
        <f>B703-D703</f>
        <v/>
      </c>
      <c r="Q703" s="4">
        <f>AVERAGE(P700:P703)</f>
        <v/>
      </c>
      <c r="R703" s="54">
        <f>(M704-M703)/M703</f>
        <v/>
      </c>
      <c r="S703" s="54">
        <f>(M707-M703)/M703</f>
        <v/>
      </c>
      <c r="T703" s="63">
        <f>IF(R703&gt;0,1,"")</f>
        <v/>
      </c>
      <c r="U703" s="63">
        <f>IF(S703&gt;0,1,"")</f>
        <v/>
      </c>
    </row>
    <row r="704">
      <c r="A704" s="35" t="n">
        <v>36818</v>
      </c>
      <c r="B704" s="4" t="n">
        <v>0.4889</v>
      </c>
      <c r="C704" s="4" t="n">
        <v>0.2667</v>
      </c>
      <c r="D704" s="4" t="n">
        <v>0.2444</v>
      </c>
      <c r="E704" s="63" t="n">
        <v>1</v>
      </c>
      <c r="F704" s="63" t="n">
        <v>0.4861625</v>
      </c>
      <c r="G704" s="63" t="n">
        <v>0.2445</v>
      </c>
      <c r="H704" s="63" t="n">
        <v>0.384907436629</v>
      </c>
      <c r="I704" s="63" t="n">
        <v>0.48829287048</v>
      </c>
      <c r="J704" s="63" t="n">
        <v>0.281522002778</v>
      </c>
      <c r="K704" s="63" t="n">
        <v>1409.69</v>
      </c>
      <c r="L704" s="63" t="n">
        <v>1327.08</v>
      </c>
      <c r="M704" s="63" t="n">
        <v>1374.17</v>
      </c>
      <c r="N704" s="54">
        <f>(M705-M704)/M704</f>
        <v/>
      </c>
      <c r="O704" s="54">
        <f>(M708-M704)/M704</f>
        <v/>
      </c>
      <c r="P704" s="4">
        <f>B704-D704</f>
        <v/>
      </c>
      <c r="Q704" s="4">
        <f>AVERAGE(P701:P704)</f>
        <v/>
      </c>
      <c r="R704" s="54">
        <f>(M705-M704)/M704</f>
        <v/>
      </c>
      <c r="S704" s="54">
        <f>(M708-M704)/M704</f>
        <v/>
      </c>
      <c r="T704" s="63">
        <f>IF(R704&gt;0,1,"")</f>
        <v/>
      </c>
      <c r="U704" s="63">
        <f>IF(S704&gt;0,1,"")</f>
        <v/>
      </c>
    </row>
    <row r="705">
      <c r="A705" s="35" t="n">
        <v>36825</v>
      </c>
      <c r="B705" s="4" t="n">
        <v>0.641</v>
      </c>
      <c r="C705" s="4" t="n">
        <v>0.1795</v>
      </c>
      <c r="D705" s="4" t="n">
        <v>0.1795</v>
      </c>
      <c r="E705" s="63" t="n">
        <v>1</v>
      </c>
      <c r="F705" s="63" t="n">
        <v>0.4964375</v>
      </c>
      <c r="G705" s="63" t="n">
        <v>0.4615</v>
      </c>
      <c r="H705" s="63" t="n">
        <v>0.384907436629</v>
      </c>
      <c r="I705" s="63" t="n">
        <v>0.48829287048</v>
      </c>
      <c r="J705" s="63" t="n">
        <v>0.281522002778</v>
      </c>
      <c r="K705" s="63" t="n">
        <v>1408.47</v>
      </c>
      <c r="L705" s="63" t="n">
        <v>1305.79</v>
      </c>
      <c r="M705" s="63" t="n">
        <v>1396.93</v>
      </c>
      <c r="N705" s="54">
        <f>(M706-M705)/M705</f>
        <v/>
      </c>
      <c r="O705" s="54">
        <f>(M709-M705)/M705</f>
        <v/>
      </c>
      <c r="P705" s="4">
        <f>B705-D705</f>
        <v/>
      </c>
      <c r="Q705" s="4">
        <f>AVERAGE(P702:P705)</f>
        <v/>
      </c>
      <c r="R705" s="54">
        <f>(M706-M705)/M705</f>
        <v/>
      </c>
      <c r="S705" s="54">
        <f>(M709-M705)/M705</f>
        <v/>
      </c>
      <c r="T705" s="63">
        <f>IF(R705&gt;0,1,"")</f>
        <v/>
      </c>
      <c r="U705" s="63">
        <f>IF(S705&gt;0,1,"")</f>
        <v/>
      </c>
    </row>
    <row r="706">
      <c r="A706" s="35" t="n">
        <v>36832</v>
      </c>
      <c r="B706" s="4" t="n">
        <v>0.5161</v>
      </c>
      <c r="C706" s="4" t="n">
        <v>0.2581</v>
      </c>
      <c r="D706" s="4" t="n">
        <v>0.2258</v>
      </c>
      <c r="E706" s="63" t="n">
        <v>1</v>
      </c>
      <c r="F706" s="63" t="n">
        <v>0.482825</v>
      </c>
      <c r="G706" s="63" t="n">
        <v>0.2903</v>
      </c>
      <c r="H706" s="63" t="n">
        <v>0.384907436629</v>
      </c>
      <c r="I706" s="63" t="n">
        <v>0.48829287048</v>
      </c>
      <c r="J706" s="63" t="n">
        <v>0.281522002778</v>
      </c>
      <c r="K706" s="63" t="n">
        <v>1415.64</v>
      </c>
      <c r="L706" s="63" t="n">
        <v>1337.81</v>
      </c>
      <c r="M706" s="63" t="n">
        <v>1379.58</v>
      </c>
      <c r="N706" s="54">
        <f>(M707-M706)/M706</f>
        <v/>
      </c>
      <c r="O706" s="54">
        <f>(M710-M706)/M706</f>
        <v/>
      </c>
      <c r="P706" s="4">
        <f>B706-D706</f>
        <v/>
      </c>
      <c r="Q706" s="4">
        <f>AVERAGE(P703:P706)</f>
        <v/>
      </c>
      <c r="R706" s="54">
        <f>(M707-M706)/M706</f>
        <v/>
      </c>
      <c r="S706" s="54">
        <f>(M710-M706)/M706</f>
        <v/>
      </c>
      <c r="T706" s="63">
        <f>IF(R706&gt;0,1,"")</f>
        <v/>
      </c>
      <c r="U706" s="63">
        <f>IF(S706&gt;0,1,"")</f>
        <v/>
      </c>
    </row>
    <row r="707">
      <c r="A707" s="35" t="n">
        <v>36839</v>
      </c>
      <c r="B707" s="4" t="n">
        <v>0.6286</v>
      </c>
      <c r="C707" s="4" t="n">
        <v>0.2857</v>
      </c>
      <c r="D707" s="4" t="n">
        <v>0.0857</v>
      </c>
      <c r="E707" s="63" t="n">
        <v>1</v>
      </c>
      <c r="F707" s="63" t="n">
        <v>0.509925</v>
      </c>
      <c r="G707" s="63" t="n">
        <v>0.5429</v>
      </c>
      <c r="H707" s="63" t="n">
        <v>0.384907436629</v>
      </c>
      <c r="I707" s="63" t="n">
        <v>0.48829287048</v>
      </c>
      <c r="J707" s="63" t="n">
        <v>0.281522002778</v>
      </c>
      <c r="K707" s="63" t="n">
        <v>1433.4</v>
      </c>
      <c r="L707" s="63" t="n">
        <v>1376.86</v>
      </c>
      <c r="M707" s="63" t="n">
        <v>1426.69</v>
      </c>
      <c r="N707" s="54">
        <f>(M708-M707)/M707</f>
        <v/>
      </c>
      <c r="O707" s="54">
        <f>(M711-M707)/M707</f>
        <v/>
      </c>
      <c r="P707" s="4">
        <f>B707-D707</f>
        <v/>
      </c>
      <c r="Q707" s="4">
        <f>AVERAGE(P704:P707)</f>
        <v/>
      </c>
      <c r="R707" s="54">
        <f>(M708-M707)/M707</f>
        <v/>
      </c>
      <c r="S707" s="54">
        <f>(M711-M707)/M707</f>
        <v/>
      </c>
      <c r="T707" s="63">
        <f>IF(R707&gt;0,1,"")</f>
        <v/>
      </c>
      <c r="U707" s="63">
        <f>IF(S707&gt;0,1,"")</f>
        <v/>
      </c>
    </row>
    <row r="708">
      <c r="A708" s="35" t="n">
        <v>36846</v>
      </c>
      <c r="B708" s="4" t="n">
        <v>0.4583</v>
      </c>
      <c r="C708" s="4" t="n">
        <v>0.375</v>
      </c>
      <c r="D708" s="4" t="n">
        <v>0.1667</v>
      </c>
      <c r="E708" s="63" t="n">
        <v>1</v>
      </c>
      <c r="F708" s="63" t="n">
        <v>0.512525</v>
      </c>
      <c r="G708" s="63" t="n">
        <v>0.2916</v>
      </c>
      <c r="H708" s="63" t="n">
        <v>0.384907436629</v>
      </c>
      <c r="I708" s="63" t="n">
        <v>0.48829287048</v>
      </c>
      <c r="J708" s="63" t="n">
        <v>0.281522002778</v>
      </c>
      <c r="K708" s="63" t="n">
        <v>1438.46</v>
      </c>
      <c r="L708" s="63" t="n">
        <v>1365.97</v>
      </c>
      <c r="M708" s="63" t="n">
        <v>1365.98</v>
      </c>
      <c r="N708" s="54">
        <f>(M709-M708)/M708</f>
        <v/>
      </c>
      <c r="O708" s="54">
        <f>(M712-M708)/M708</f>
        <v/>
      </c>
      <c r="P708" s="4">
        <f>B708-D708</f>
        <v/>
      </c>
      <c r="Q708" s="4">
        <f>AVERAGE(P705:P708)</f>
        <v/>
      </c>
      <c r="R708" s="54">
        <f>(M709-M708)/M708</f>
        <v/>
      </c>
      <c r="S708" s="54">
        <f>(M712-M708)/M708</f>
        <v/>
      </c>
      <c r="T708" s="63">
        <f>IF(R708&gt;0,1,"")</f>
        <v/>
      </c>
      <c r="U708" s="63">
        <f>IF(S708&gt;0,1,"")</f>
        <v/>
      </c>
    </row>
    <row r="709">
      <c r="A709" s="35" t="n">
        <v>36853</v>
      </c>
      <c r="B709" s="4" t="n">
        <v>0.3651</v>
      </c>
      <c r="C709" s="4" t="n">
        <v>0.2698</v>
      </c>
      <c r="D709" s="4" t="n">
        <v>0.3651</v>
      </c>
      <c r="E709" s="63" t="n">
        <v>1</v>
      </c>
      <c r="F709" s="63" t="n">
        <v>0.4915</v>
      </c>
      <c r="G709" s="63" t="n">
        <v>0</v>
      </c>
      <c r="H709" s="63" t="n">
        <v>0.384907436629</v>
      </c>
      <c r="I709" s="63" t="n">
        <v>0.48829287048</v>
      </c>
      <c r="J709" s="63" t="n">
        <v>0.281522002778</v>
      </c>
      <c r="K709" s="63" t="n">
        <v>1395.96</v>
      </c>
      <c r="L709" s="63" t="n">
        <v>1328.62</v>
      </c>
      <c r="M709" s="63" t="n">
        <v>1367.72</v>
      </c>
      <c r="N709" s="54">
        <f>(M710-M709)/M709</f>
        <v/>
      </c>
      <c r="O709" s="54">
        <f>(M713-M709)/M709</f>
        <v/>
      </c>
      <c r="P709" s="4">
        <f>B709-D709</f>
        <v/>
      </c>
      <c r="Q709" s="4">
        <f>AVERAGE(P706:P709)</f>
        <v/>
      </c>
      <c r="R709" s="54">
        <f>(M710-M709)/M709</f>
        <v/>
      </c>
      <c r="S709" s="54">
        <f>(M713-M709)/M709</f>
        <v/>
      </c>
      <c r="T709" s="63">
        <f>IF(R709&gt;0,1,"")</f>
        <v/>
      </c>
      <c r="U709" s="63">
        <f>IF(S709&gt;0,1,"")</f>
        <v/>
      </c>
    </row>
    <row r="710">
      <c r="A710" s="35" t="n">
        <v>36860</v>
      </c>
      <c r="B710" s="4" t="n">
        <v>0.6042</v>
      </c>
      <c r="C710" s="4" t="n">
        <v>0.2292</v>
      </c>
      <c r="D710" s="4" t="n">
        <v>0.1667</v>
      </c>
      <c r="E710" s="63" t="n">
        <v>1.0001</v>
      </c>
      <c r="F710" s="63" t="n">
        <v>0.5145999999999999</v>
      </c>
      <c r="G710" s="63" t="n">
        <v>0.4375</v>
      </c>
      <c r="H710" s="63" t="n">
        <v>0.384907436629</v>
      </c>
      <c r="I710" s="63" t="n">
        <v>0.48829287048</v>
      </c>
      <c r="J710" s="63" t="n">
        <v>0.281522002778</v>
      </c>
      <c r="K710" s="63" t="n">
        <v>1367.72</v>
      </c>
      <c r="L710" s="63" t="n">
        <v>1321.89</v>
      </c>
      <c r="M710" s="63" t="n">
        <v>1341.77</v>
      </c>
      <c r="N710" s="54">
        <f>(M711-M710)/M710</f>
        <v/>
      </c>
      <c r="O710" s="54">
        <f>(M714-M710)/M710</f>
        <v/>
      </c>
      <c r="P710" s="4">
        <f>B710-D710</f>
        <v/>
      </c>
      <c r="Q710" s="4">
        <f>AVERAGE(P707:P710)</f>
        <v/>
      </c>
      <c r="R710" s="54">
        <f>(M711-M710)/M710</f>
        <v/>
      </c>
      <c r="S710" s="54">
        <f>(M714-M710)/M710</f>
        <v/>
      </c>
      <c r="T710" s="63">
        <f>IF(R710&gt;0,1,"")</f>
        <v/>
      </c>
      <c r="U710" s="63">
        <f>IF(S710&gt;0,1,"")</f>
        <v/>
      </c>
    </row>
    <row r="711">
      <c r="A711" s="35" t="n">
        <v>36867</v>
      </c>
      <c r="B711" s="4" t="n">
        <v>0.4706</v>
      </c>
      <c r="C711" s="4" t="n">
        <v>0.1569</v>
      </c>
      <c r="D711" s="4" t="n">
        <v>0.3725</v>
      </c>
      <c r="E711" s="63" t="n">
        <v>1</v>
      </c>
      <c r="F711" s="63" t="n">
        <v>0.5216</v>
      </c>
      <c r="G711" s="63" t="n">
        <v>0.09810000000000001</v>
      </c>
      <c r="H711" s="63" t="n">
        <v>0.384907436629</v>
      </c>
      <c r="I711" s="63" t="n">
        <v>0.48829287048</v>
      </c>
      <c r="J711" s="63" t="n">
        <v>0.281522002778</v>
      </c>
      <c r="K711" s="63" t="n">
        <v>1362.5</v>
      </c>
      <c r="L711" s="63" t="n">
        <v>1294.9</v>
      </c>
      <c r="M711" s="63" t="n">
        <v>1315.23</v>
      </c>
      <c r="N711" s="54">
        <f>(M712-M711)/M711</f>
        <v/>
      </c>
      <c r="O711" s="54">
        <f>(M715-M711)/M711</f>
        <v/>
      </c>
      <c r="P711" s="4">
        <f>B711-D711</f>
        <v/>
      </c>
      <c r="Q711" s="4">
        <f>AVERAGE(P708:P711)</f>
        <v/>
      </c>
      <c r="R711" s="54">
        <f>(M712-M711)/M711</f>
        <v/>
      </c>
      <c r="S711" s="54">
        <f>(M715-M711)/M711</f>
        <v/>
      </c>
      <c r="T711" s="63">
        <f>IF(R711&gt;0,1,"")</f>
        <v/>
      </c>
      <c r="U711" s="63">
        <f>IF(S711&gt;0,1,"")</f>
        <v/>
      </c>
    </row>
    <row r="712">
      <c r="A712" s="35" t="n">
        <v>36874</v>
      </c>
      <c r="B712" s="4" t="n">
        <v>0.5962</v>
      </c>
      <c r="C712" s="4" t="n">
        <v>0.0769</v>
      </c>
      <c r="D712" s="4" t="n">
        <v>0.3269</v>
      </c>
      <c r="E712" s="63" t="n">
        <v>1</v>
      </c>
      <c r="F712" s="63" t="n">
        <v>0.5350125</v>
      </c>
      <c r="G712" s="63" t="n">
        <v>0.2693</v>
      </c>
      <c r="H712" s="63" t="n">
        <v>0.384907436629</v>
      </c>
      <c r="I712" s="63" t="n">
        <v>0.48829287048</v>
      </c>
      <c r="J712" s="63" t="n">
        <v>0.281522002778</v>
      </c>
      <c r="K712" s="63" t="n">
        <v>1380.33</v>
      </c>
      <c r="L712" s="63" t="n">
        <v>1310.23</v>
      </c>
      <c r="M712" s="63" t="n">
        <v>1369.89</v>
      </c>
      <c r="N712" s="54">
        <f>(M713-M712)/M712</f>
        <v/>
      </c>
      <c r="O712" s="54">
        <f>(M716-M712)/M712</f>
        <v/>
      </c>
      <c r="P712" s="4">
        <f>B712-D712</f>
        <v/>
      </c>
      <c r="Q712" s="4">
        <f>AVERAGE(P709:P712)</f>
        <v/>
      </c>
      <c r="R712" s="54">
        <f>(M713-M712)/M712</f>
        <v/>
      </c>
      <c r="S712" s="54">
        <f>(M716-M712)/M712</f>
        <v/>
      </c>
      <c r="T712" s="63">
        <f>IF(R712&gt;0,1,"")</f>
        <v/>
      </c>
      <c r="U712" s="63">
        <f>IF(S712&gt;0,1,"")</f>
        <v/>
      </c>
    </row>
    <row r="713">
      <c r="A713" s="35" t="n">
        <v>36881</v>
      </c>
      <c r="B713" s="4" t="n">
        <v>0.3111</v>
      </c>
      <c r="C713" s="4" t="n">
        <v>0.1778</v>
      </c>
      <c r="D713" s="4" t="n">
        <v>0.5111</v>
      </c>
      <c r="E713" s="63" t="n">
        <v>1</v>
      </c>
      <c r="F713" s="63" t="n">
        <v>0.493775</v>
      </c>
      <c r="G713" s="63" t="n">
        <v>-0.2</v>
      </c>
      <c r="H713" s="63" t="n">
        <v>0.384907436629</v>
      </c>
      <c r="I713" s="63" t="n">
        <v>0.48829287048</v>
      </c>
      <c r="J713" s="63" t="n">
        <v>0.281522002778</v>
      </c>
      <c r="K713" s="63" t="n">
        <v>1389.05</v>
      </c>
      <c r="L713" s="63" t="n">
        <v>1305.38</v>
      </c>
      <c r="M713" s="63" t="n">
        <v>1312.15</v>
      </c>
      <c r="N713" s="54">
        <f>(M714-M713)/M713</f>
        <v/>
      </c>
      <c r="O713" s="54">
        <f>(M717-M713)/M713</f>
        <v/>
      </c>
      <c r="P713" s="4">
        <f>B713-D713</f>
        <v/>
      </c>
      <c r="Q713" s="4">
        <f>AVERAGE(P710:P713)</f>
        <v/>
      </c>
      <c r="R713" s="54">
        <f>(M714-M713)/M713</f>
        <v/>
      </c>
      <c r="S713" s="54">
        <f>(M717-M713)/M713</f>
        <v/>
      </c>
      <c r="T713" s="63">
        <f>IF(R713&gt;0,1,"")</f>
        <v/>
      </c>
      <c r="U713" s="63">
        <f>IF(S713&gt;0,1,"")</f>
        <v/>
      </c>
    </row>
    <row r="714">
      <c r="A714" s="35" t="n">
        <v>36888</v>
      </c>
      <c r="B714" s="4" t="n">
        <v>0.4</v>
      </c>
      <c r="C714" s="4" t="n">
        <v>0.28</v>
      </c>
      <c r="D714" s="4" t="n">
        <v>0.32</v>
      </c>
      <c r="E714" s="63" t="n">
        <v>1</v>
      </c>
      <c r="F714" s="63" t="n">
        <v>0.4792625</v>
      </c>
      <c r="G714" s="63" t="n">
        <v>0.08</v>
      </c>
      <c r="H714" s="63" t="n">
        <v>0.384907436629</v>
      </c>
      <c r="I714" s="63" t="n">
        <v>0.48829287048</v>
      </c>
      <c r="J714" s="63" t="n">
        <v>0.281522002778</v>
      </c>
      <c r="K714" s="63" t="n">
        <v>1346.44</v>
      </c>
      <c r="L714" s="63" t="n">
        <v>1254.07</v>
      </c>
      <c r="M714" s="63" t="n">
        <v>1305.95</v>
      </c>
      <c r="N714" s="54">
        <f>(M715-M714)/M714</f>
        <v/>
      </c>
      <c r="O714" s="54">
        <f>(M718-M714)/M714</f>
        <v/>
      </c>
      <c r="P714" s="4">
        <f>B714-D714</f>
        <v/>
      </c>
      <c r="Q714" s="4">
        <f>AVERAGE(P711:P714)</f>
        <v/>
      </c>
      <c r="R714" s="54">
        <f>(M715-M714)/M714</f>
        <v/>
      </c>
      <c r="S714" s="54">
        <f>(M718-M714)/M714</f>
        <v/>
      </c>
      <c r="T714" s="63">
        <f>IF(R714&gt;0,1,"")</f>
        <v/>
      </c>
      <c r="U714" s="63">
        <f>IF(S714&gt;0,1,"")</f>
        <v/>
      </c>
    </row>
    <row r="715">
      <c r="A715" s="35" t="n">
        <v>36895</v>
      </c>
      <c r="B715" s="4" t="n">
        <v>0.4259</v>
      </c>
      <c r="C715" s="4" t="n">
        <v>0.3333</v>
      </c>
      <c r="D715" s="4" t="n">
        <v>0.2407</v>
      </c>
      <c r="E715" s="63" t="n">
        <v>0.9999</v>
      </c>
      <c r="F715" s="63" t="n">
        <v>0.453925</v>
      </c>
      <c r="G715" s="63" t="n">
        <v>0.1852</v>
      </c>
      <c r="H715" s="63" t="n">
        <v>0.384907436629</v>
      </c>
      <c r="I715" s="63" t="n">
        <v>0.48829287048</v>
      </c>
      <c r="J715" s="63" t="n">
        <v>0.281522002778</v>
      </c>
      <c r="K715" s="63" t="n">
        <v>1340.1</v>
      </c>
      <c r="L715" s="63" t="n">
        <v>1301.64</v>
      </c>
      <c r="M715" s="63" t="n">
        <v>1320.28</v>
      </c>
      <c r="N715" s="54">
        <f>(M716-M715)/M715</f>
        <v/>
      </c>
      <c r="O715" s="54">
        <f>(M719-M715)/M715</f>
        <v/>
      </c>
      <c r="P715" s="4">
        <f>B715-D715</f>
        <v/>
      </c>
      <c r="Q715" s="4">
        <f>AVERAGE(P712:P715)</f>
        <v/>
      </c>
      <c r="R715" s="54">
        <f>(M716-M715)/M715</f>
        <v/>
      </c>
      <c r="S715" s="54">
        <f>(M719-M715)/M715</f>
        <v/>
      </c>
      <c r="T715" s="63">
        <f>IF(R715&gt;0,1,"")</f>
        <v/>
      </c>
      <c r="U715" s="63">
        <f>IF(S715&gt;0,1,"")</f>
        <v/>
      </c>
    </row>
    <row r="716">
      <c r="A716" s="35" t="n">
        <v>36902</v>
      </c>
      <c r="B716" s="4" t="n">
        <v>0.3571</v>
      </c>
      <c r="C716" s="4" t="n">
        <v>0.2143</v>
      </c>
      <c r="D716" s="4" t="n">
        <v>0.4286</v>
      </c>
      <c r="E716" s="63" t="n">
        <v>1</v>
      </c>
      <c r="F716" s="63" t="n">
        <v>0.441275</v>
      </c>
      <c r="G716" s="63" t="n">
        <v>-0.07149999999999999</v>
      </c>
      <c r="H716" s="63" t="n">
        <v>0.384907436629</v>
      </c>
      <c r="I716" s="63" t="n">
        <v>0.48829287048</v>
      </c>
      <c r="J716" s="63" t="n">
        <v>0.281522002778</v>
      </c>
      <c r="K716" s="63" t="n">
        <v>1350.24</v>
      </c>
      <c r="L716" s="63" t="n">
        <v>1274.62</v>
      </c>
      <c r="M716" s="63" t="n">
        <v>1298.35</v>
      </c>
      <c r="N716" s="54">
        <f>(M717-M716)/M716</f>
        <v/>
      </c>
      <c r="O716" s="54">
        <f>(M720-M716)/M716</f>
        <v/>
      </c>
      <c r="P716" s="4">
        <f>B716-D716</f>
        <v/>
      </c>
      <c r="Q716" s="4">
        <f>AVERAGE(P713:P716)</f>
        <v/>
      </c>
      <c r="R716" s="54">
        <f>(M717-M716)/M716</f>
        <v/>
      </c>
      <c r="S716" s="54">
        <f>(M720-M716)/M716</f>
        <v/>
      </c>
      <c r="T716" s="63">
        <f>IF(R716&gt;0,1,"")</f>
        <v/>
      </c>
      <c r="U716" s="63">
        <f>IF(S716&gt;0,1,"")</f>
        <v/>
      </c>
    </row>
    <row r="717">
      <c r="A717" s="35" t="n">
        <v>36909</v>
      </c>
      <c r="B717" s="4" t="n">
        <v>0.3659</v>
      </c>
      <c r="C717" s="4" t="n">
        <v>0.3902</v>
      </c>
      <c r="D717" s="4" t="n">
        <v>0.2439</v>
      </c>
      <c r="E717" s="63" t="n">
        <v>1</v>
      </c>
      <c r="F717" s="63" t="n">
        <v>0.441375</v>
      </c>
      <c r="G717" s="63" t="n">
        <v>0.122</v>
      </c>
      <c r="H717" s="63" t="n">
        <v>0.384907436629</v>
      </c>
      <c r="I717" s="63" t="n">
        <v>0.48829287048</v>
      </c>
      <c r="J717" s="63" t="n">
        <v>0.281522002778</v>
      </c>
      <c r="K717" s="63" t="n">
        <v>1333.21</v>
      </c>
      <c r="L717" s="63" t="n">
        <v>1276.29</v>
      </c>
      <c r="M717" s="63" t="n">
        <v>1318.55</v>
      </c>
      <c r="N717" s="54">
        <f>(M718-M717)/M717</f>
        <v/>
      </c>
      <c r="O717" s="54">
        <f>(M721-M717)/M717</f>
        <v/>
      </c>
      <c r="P717" s="4">
        <f>B717-D717</f>
        <v/>
      </c>
      <c r="Q717" s="4">
        <f>AVERAGE(P714:P717)</f>
        <v/>
      </c>
      <c r="R717" s="54">
        <f>(M718-M717)/M717</f>
        <v/>
      </c>
      <c r="S717" s="54">
        <f>(M721-M717)/M717</f>
        <v/>
      </c>
      <c r="T717" s="63">
        <f>IF(R717&gt;0,1,"")</f>
        <v/>
      </c>
      <c r="U717" s="63">
        <f>IF(S717&gt;0,1,"")</f>
        <v/>
      </c>
    </row>
    <row r="718">
      <c r="A718" s="35" t="n">
        <v>36916</v>
      </c>
      <c r="B718" s="4" t="n">
        <v>0.4923</v>
      </c>
      <c r="C718" s="4" t="n">
        <v>0.2462</v>
      </c>
      <c r="D718" s="4" t="n">
        <v>0.2615</v>
      </c>
      <c r="E718" s="63" t="n">
        <v>1</v>
      </c>
      <c r="F718" s="63" t="n">
        <v>0.4273875</v>
      </c>
      <c r="G718" s="63" t="n">
        <v>0.2308</v>
      </c>
      <c r="H718" s="63" t="n">
        <v>0.384907436629</v>
      </c>
      <c r="I718" s="63" t="n">
        <v>0.48829287048</v>
      </c>
      <c r="J718" s="63" t="n">
        <v>0.281522002778</v>
      </c>
      <c r="K718" s="63" t="n">
        <v>1354.55</v>
      </c>
      <c r="L718" s="63" t="n">
        <v>1313.33</v>
      </c>
      <c r="M718" s="63" t="n">
        <v>1342.54</v>
      </c>
      <c r="N718" s="54">
        <f>(M719-M718)/M718</f>
        <v/>
      </c>
      <c r="O718" s="54">
        <f>(M722-M718)/M718</f>
        <v/>
      </c>
      <c r="P718" s="4">
        <f>B718-D718</f>
        <v/>
      </c>
      <c r="Q718" s="4">
        <f>AVERAGE(P715:P718)</f>
        <v/>
      </c>
      <c r="R718" s="54">
        <f>(M719-M718)/M718</f>
        <v/>
      </c>
      <c r="S718" s="54">
        <f>(M722-M718)/M718</f>
        <v/>
      </c>
      <c r="T718" s="63">
        <f>IF(R718&gt;0,1,"")</f>
        <v/>
      </c>
      <c r="U718" s="63">
        <f>IF(S718&gt;0,1,"")</f>
        <v/>
      </c>
    </row>
    <row r="719">
      <c r="A719" s="35" t="n">
        <v>36923</v>
      </c>
      <c r="B719" s="4" t="n">
        <v>0.5</v>
      </c>
      <c r="C719" s="4" t="n">
        <v>0.3077</v>
      </c>
      <c r="D719" s="4" t="n">
        <v>0.1923</v>
      </c>
      <c r="E719" s="63" t="n">
        <v>1</v>
      </c>
      <c r="F719" s="63" t="n">
        <v>0.4310625</v>
      </c>
      <c r="G719" s="63" t="n">
        <v>0.3077</v>
      </c>
      <c r="H719" s="63" t="n">
        <v>0.384907436629</v>
      </c>
      <c r="I719" s="63" t="n">
        <v>0.48829287048</v>
      </c>
      <c r="J719" s="63" t="n">
        <v>0.281522002778</v>
      </c>
      <c r="K719" s="63" t="n">
        <v>1369.75</v>
      </c>
      <c r="L719" s="63" t="n">
        <v>1333.84</v>
      </c>
      <c r="M719" s="63" t="n">
        <v>1354.95</v>
      </c>
      <c r="N719" s="54">
        <f>(M720-M719)/M719</f>
        <v/>
      </c>
      <c r="O719" s="54">
        <f>(M723-M719)/M719</f>
        <v/>
      </c>
      <c r="P719" s="4">
        <f>B719-D719</f>
        <v/>
      </c>
      <c r="Q719" s="4">
        <f>AVERAGE(P716:P719)</f>
        <v/>
      </c>
      <c r="R719" s="54">
        <f>(M720-M719)/M719</f>
        <v/>
      </c>
      <c r="S719" s="54">
        <f>(M723-M719)/M719</f>
        <v/>
      </c>
      <c r="T719" s="63">
        <f>IF(R719&gt;0,1,"")</f>
        <v/>
      </c>
      <c r="U719" s="63">
        <f>IF(S719&gt;0,1,"")</f>
        <v/>
      </c>
    </row>
    <row r="720">
      <c r="A720" s="35" t="n">
        <v>36930</v>
      </c>
      <c r="B720" s="4" t="n">
        <v>0.5556</v>
      </c>
      <c r="C720" s="4" t="n">
        <v>0.3</v>
      </c>
      <c r="D720" s="4" t="n">
        <v>0.1444</v>
      </c>
      <c r="E720" s="63" t="n">
        <v>1</v>
      </c>
      <c r="F720" s="63" t="n">
        <v>0.4259875</v>
      </c>
      <c r="G720" s="63" t="n">
        <v>0.4112</v>
      </c>
      <c r="H720" s="63" t="n">
        <v>0.384907436629</v>
      </c>
      <c r="I720" s="63" t="n">
        <v>0.48829287048</v>
      </c>
      <c r="J720" s="63" t="n">
        <v>0.281522002778</v>
      </c>
      <c r="K720" s="63" t="n">
        <v>1383.37</v>
      </c>
      <c r="L720" s="63" t="n">
        <v>1348.72</v>
      </c>
      <c r="M720" s="63" t="n">
        <v>1349.47</v>
      </c>
      <c r="N720" s="54">
        <f>(M721-M720)/M720</f>
        <v/>
      </c>
      <c r="O720" s="54">
        <f>(M724-M720)/M720</f>
        <v/>
      </c>
      <c r="P720" s="4">
        <f>B720-D720</f>
        <v/>
      </c>
      <c r="Q720" s="4">
        <f>AVERAGE(P717:P720)</f>
        <v/>
      </c>
      <c r="R720" s="54">
        <f>(M721-M720)/M720</f>
        <v/>
      </c>
      <c r="S720" s="54">
        <f>(M724-M720)/M720</f>
        <v/>
      </c>
      <c r="T720" s="63">
        <f>IF(R720&gt;0,1,"")</f>
        <v/>
      </c>
      <c r="U720" s="63">
        <f>IF(S720&gt;0,1,"")</f>
        <v/>
      </c>
    </row>
    <row r="721">
      <c r="A721" s="35" t="n">
        <v>36937</v>
      </c>
      <c r="B721" s="4" t="n">
        <v>0.3043</v>
      </c>
      <c r="C721" s="4" t="n">
        <v>0.4783</v>
      </c>
      <c r="D721" s="4" t="n">
        <v>0.2174</v>
      </c>
      <c r="E721" s="63" t="n">
        <v>1</v>
      </c>
      <c r="F721" s="63" t="n">
        <v>0.4251375</v>
      </c>
      <c r="G721" s="63" t="n">
        <v>0.08690000000000001</v>
      </c>
      <c r="H721" s="63" t="n">
        <v>0.384907436629</v>
      </c>
      <c r="I721" s="63" t="n">
        <v>0.48829287048</v>
      </c>
      <c r="J721" s="63" t="n">
        <v>0.281522002778</v>
      </c>
      <c r="K721" s="63" t="n">
        <v>1363.55</v>
      </c>
      <c r="L721" s="63" t="n">
        <v>1309.98</v>
      </c>
      <c r="M721" s="63" t="n">
        <v>1314.76</v>
      </c>
      <c r="N721" s="54">
        <f>(M722-M721)/M721</f>
        <v/>
      </c>
      <c r="O721" s="54">
        <f>(M725-M721)/M721</f>
        <v/>
      </c>
      <c r="P721" s="4">
        <f>B721-D721</f>
        <v/>
      </c>
      <c r="Q721" s="4">
        <f>AVERAGE(P718:P721)</f>
        <v/>
      </c>
      <c r="R721" s="54">
        <f>(M722-M721)/M721</f>
        <v/>
      </c>
      <c r="S721" s="54">
        <f>(M725-M721)/M721</f>
        <v/>
      </c>
      <c r="T721" s="63">
        <f>IF(R721&gt;0,1,"")</f>
        <v/>
      </c>
      <c r="U721" s="63">
        <f>IF(S721&gt;0,1,"")</f>
        <v/>
      </c>
    </row>
    <row r="722">
      <c r="A722" s="35" t="n">
        <v>36944</v>
      </c>
      <c r="B722" s="4" t="n">
        <v>0.2632</v>
      </c>
      <c r="C722" s="4" t="n">
        <v>0.3509</v>
      </c>
      <c r="D722" s="4" t="n">
        <v>0.386</v>
      </c>
      <c r="E722" s="63" t="n">
        <v>1.0001</v>
      </c>
      <c r="F722" s="63" t="n">
        <v>0.4080375</v>
      </c>
      <c r="G722" s="63" t="n">
        <v>-0.1228</v>
      </c>
      <c r="H722" s="63" t="n">
        <v>0.384907436629</v>
      </c>
      <c r="I722" s="63" t="n">
        <v>0.48829287048</v>
      </c>
      <c r="J722" s="63" t="n">
        <v>0.281522002778</v>
      </c>
      <c r="K722" s="63" t="n">
        <v>1336.62</v>
      </c>
      <c r="L722" s="63" t="n">
        <v>1293.18</v>
      </c>
      <c r="M722" s="63" t="n">
        <v>1301.53</v>
      </c>
      <c r="N722" s="54">
        <f>(M723-M722)/M722</f>
        <v/>
      </c>
      <c r="O722" s="54">
        <f>(M726-M722)/M722</f>
        <v/>
      </c>
      <c r="P722" s="4">
        <f>B722-D722</f>
        <v/>
      </c>
      <c r="Q722" s="4">
        <f>AVERAGE(P719:P722)</f>
        <v/>
      </c>
      <c r="R722" s="54">
        <f>(M723-M722)/M722</f>
        <v/>
      </c>
      <c r="S722" s="54">
        <f>(M726-M722)/M722</f>
        <v/>
      </c>
      <c r="T722" s="63">
        <f>IF(R722&gt;0,1,"")</f>
        <v/>
      </c>
      <c r="U722" s="63">
        <f>IF(S722&gt;0,1,"")</f>
        <v/>
      </c>
    </row>
    <row r="723">
      <c r="A723" s="35" t="n">
        <v>36951</v>
      </c>
      <c r="B723" s="4" t="n">
        <v>0.4595</v>
      </c>
      <c r="C723" s="4" t="n">
        <v>0.2027</v>
      </c>
      <c r="D723" s="4" t="n">
        <v>0.3378</v>
      </c>
      <c r="E723" s="63" t="n">
        <v>1</v>
      </c>
      <c r="F723" s="63" t="n">
        <v>0.4122375</v>
      </c>
      <c r="G723" s="63" t="n">
        <v>0.1217</v>
      </c>
      <c r="H723" s="63" t="n">
        <v>0.384907436629</v>
      </c>
      <c r="I723" s="63" t="n">
        <v>0.48829287048</v>
      </c>
      <c r="J723" s="63" t="n">
        <v>0.281522002778</v>
      </c>
      <c r="K723" s="63" t="n">
        <v>1272.76</v>
      </c>
      <c r="L723" s="63" t="n">
        <v>1214.5</v>
      </c>
      <c r="M723" s="63" t="n">
        <v>1234.18</v>
      </c>
      <c r="N723" s="54">
        <f>(M724-M723)/M723</f>
        <v/>
      </c>
      <c r="O723" s="54">
        <f>(M727-M723)/M723</f>
        <v/>
      </c>
      <c r="P723" s="4">
        <f>B723-D723</f>
        <v/>
      </c>
      <c r="Q723" s="4">
        <f>AVERAGE(P720:P723)</f>
        <v/>
      </c>
      <c r="R723" s="54">
        <f>(M724-M723)/M723</f>
        <v/>
      </c>
      <c r="S723" s="54">
        <f>(M727-M723)/M723</f>
        <v/>
      </c>
      <c r="T723" s="63">
        <f>IF(R723&gt;0,1,"")</f>
        <v/>
      </c>
      <c r="U723" s="63">
        <f>IF(S723&gt;0,1,"")</f>
        <v/>
      </c>
    </row>
    <row r="724">
      <c r="A724" s="35" t="n">
        <v>36958</v>
      </c>
      <c r="B724" s="4" t="n">
        <v>0.3163</v>
      </c>
      <c r="C724" s="4" t="n">
        <v>0.3673</v>
      </c>
      <c r="D724" s="4" t="n">
        <v>0.3163</v>
      </c>
      <c r="E724" s="63" t="n">
        <v>0.9999</v>
      </c>
      <c r="F724" s="63" t="n">
        <v>0.4071375</v>
      </c>
      <c r="G724" s="63" t="n">
        <v>0</v>
      </c>
      <c r="H724" s="63" t="n">
        <v>0.384907436629</v>
      </c>
      <c r="I724" s="63" t="n">
        <v>0.48829287048</v>
      </c>
      <c r="J724" s="63" t="n">
        <v>0.281522002778</v>
      </c>
      <c r="K724" s="63" t="n">
        <v>1267.42</v>
      </c>
      <c r="L724" s="63" t="n">
        <v>1228.42</v>
      </c>
      <c r="M724" s="63" t="n">
        <v>1233.42</v>
      </c>
      <c r="N724" s="54">
        <f>(M725-M724)/M724</f>
        <v/>
      </c>
      <c r="O724" s="54">
        <f>(M728-M724)/M724</f>
        <v/>
      </c>
      <c r="P724" s="4">
        <f>B724-D724</f>
        <v/>
      </c>
      <c r="Q724" s="4">
        <f>AVERAGE(P721:P724)</f>
        <v/>
      </c>
      <c r="R724" s="54">
        <f>(M725-M724)/M724</f>
        <v/>
      </c>
      <c r="S724" s="54">
        <f>(M728-M724)/M724</f>
        <v/>
      </c>
      <c r="T724" s="63">
        <f>IF(R724&gt;0,1,"")</f>
        <v/>
      </c>
      <c r="U724" s="63">
        <f>IF(S724&gt;0,1,"")</f>
        <v/>
      </c>
    </row>
    <row r="725">
      <c r="A725" s="35" t="n">
        <v>36965</v>
      </c>
      <c r="B725" s="4" t="n">
        <v>0.3091</v>
      </c>
      <c r="C725" s="4" t="n">
        <v>0.3273</v>
      </c>
      <c r="D725" s="4" t="n">
        <v>0.3636</v>
      </c>
      <c r="E725" s="63" t="n">
        <v>1</v>
      </c>
      <c r="F725" s="63" t="n">
        <v>0.4000375</v>
      </c>
      <c r="G725" s="63" t="n">
        <v>-0.0545</v>
      </c>
      <c r="H725" s="63" t="n">
        <v>0.384907436629</v>
      </c>
      <c r="I725" s="63" t="n">
        <v>0.48829287048</v>
      </c>
      <c r="J725" s="63" t="n">
        <v>0.281522002778</v>
      </c>
      <c r="K725" s="63" t="n">
        <v>1233.42</v>
      </c>
      <c r="L725" s="63" t="n">
        <v>1148.64</v>
      </c>
      <c r="M725" s="63" t="n">
        <v>1150.53</v>
      </c>
      <c r="N725" s="54">
        <f>(M726-M725)/M725</f>
        <v/>
      </c>
      <c r="O725" s="54">
        <f>(M729-M725)/M725</f>
        <v/>
      </c>
      <c r="P725" s="4">
        <f>B725-D725</f>
        <v/>
      </c>
      <c r="Q725" s="4">
        <f>AVERAGE(P722:P725)</f>
        <v/>
      </c>
      <c r="R725" s="54">
        <f>(M726-M725)/M725</f>
        <v/>
      </c>
      <c r="S725" s="54">
        <f>(M729-M725)/M725</f>
        <v/>
      </c>
      <c r="T725" s="63">
        <f>IF(R725&gt;0,1,"")</f>
        <v/>
      </c>
      <c r="U725" s="63">
        <f>IF(S725&gt;0,1,"")</f>
        <v/>
      </c>
    </row>
    <row r="726">
      <c r="A726" s="35" t="n">
        <v>36972</v>
      </c>
      <c r="B726" s="4" t="n">
        <v>0.2778</v>
      </c>
      <c r="C726" s="4" t="n">
        <v>0.25</v>
      </c>
      <c r="D726" s="4" t="n">
        <v>0.4722</v>
      </c>
      <c r="E726" s="63" t="n">
        <v>1</v>
      </c>
      <c r="F726" s="63" t="n">
        <v>0.373225</v>
      </c>
      <c r="G726" s="63" t="n">
        <v>-0.1944</v>
      </c>
      <c r="H726" s="63" t="n">
        <v>0.384907436629</v>
      </c>
      <c r="I726" s="63" t="n">
        <v>0.48829287048</v>
      </c>
      <c r="J726" s="63" t="n">
        <v>0.281522002778</v>
      </c>
      <c r="K726" s="63" t="n">
        <v>1180.56</v>
      </c>
      <c r="L726" s="63" t="n">
        <v>1081.19</v>
      </c>
      <c r="M726" s="63" t="n">
        <v>1139.83</v>
      </c>
      <c r="N726" s="54">
        <f>(M727-M726)/M726</f>
        <v/>
      </c>
      <c r="O726" s="54">
        <f>(M730-M726)/M726</f>
        <v/>
      </c>
      <c r="P726" s="4">
        <f>B726-D726</f>
        <v/>
      </c>
      <c r="Q726" s="4">
        <f>AVERAGE(P723:P726)</f>
        <v/>
      </c>
      <c r="R726" s="54">
        <f>(M727-M726)/M726</f>
        <v/>
      </c>
      <c r="S726" s="54">
        <f>(M730-M726)/M726</f>
        <v/>
      </c>
      <c r="T726" s="63">
        <f>IF(R726&gt;0,1,"")</f>
        <v/>
      </c>
      <c r="U726" s="63">
        <f>IF(S726&gt;0,1,"")</f>
        <v/>
      </c>
    </row>
    <row r="727">
      <c r="A727" s="35" t="n">
        <v>36979</v>
      </c>
      <c r="B727" s="4" t="n">
        <v>0.3725</v>
      </c>
      <c r="C727" s="4" t="n">
        <v>0.3529</v>
      </c>
      <c r="D727" s="4" t="n">
        <v>0.2745</v>
      </c>
      <c r="E727" s="63" t="n">
        <v>0.9999</v>
      </c>
      <c r="F727" s="63" t="n">
        <v>0.3572875</v>
      </c>
      <c r="G727" s="63" t="n">
        <v>0.098</v>
      </c>
      <c r="H727" s="63" t="n">
        <v>0.384907436629</v>
      </c>
      <c r="I727" s="63" t="n">
        <v>0.48829287048</v>
      </c>
      <c r="J727" s="63" t="n">
        <v>0.281522002778</v>
      </c>
      <c r="K727" s="63" t="n">
        <v>1183.35</v>
      </c>
      <c r="L727" s="63" t="n">
        <v>1136.26</v>
      </c>
      <c r="M727" s="63" t="n">
        <v>1160.33</v>
      </c>
      <c r="N727" s="54">
        <f>(M728-M727)/M727</f>
        <v/>
      </c>
      <c r="O727" s="54">
        <f>(M731-M727)/M727</f>
        <v/>
      </c>
      <c r="P727" s="4">
        <f>B727-D727</f>
        <v/>
      </c>
      <c r="Q727" s="4">
        <f>AVERAGE(P724:P727)</f>
        <v/>
      </c>
      <c r="R727" s="54">
        <f>(M728-M727)/M727</f>
        <v/>
      </c>
      <c r="S727" s="54">
        <f>(M731-M727)/M727</f>
        <v/>
      </c>
      <c r="T727" s="63">
        <f>IF(R727&gt;0,1,"")</f>
        <v/>
      </c>
      <c r="U727" s="63">
        <f>IF(S727&gt;0,1,"")</f>
        <v/>
      </c>
    </row>
    <row r="728">
      <c r="A728" s="35" t="n">
        <v>36986</v>
      </c>
      <c r="B728" s="4" t="n">
        <v>0.3514</v>
      </c>
      <c r="C728" s="4" t="n">
        <v>0.2613</v>
      </c>
      <c r="D728" s="4" t="n">
        <v>0.3874</v>
      </c>
      <c r="E728" s="63" t="n">
        <v>1.0001</v>
      </c>
      <c r="F728" s="63" t="n">
        <v>0.3317625</v>
      </c>
      <c r="G728" s="63" t="n">
        <v>-0.036</v>
      </c>
      <c r="H728" s="63" t="n">
        <v>0.384907436629</v>
      </c>
      <c r="I728" s="63" t="n">
        <v>0.48829287048</v>
      </c>
      <c r="J728" s="63" t="n">
        <v>0.281522002778</v>
      </c>
      <c r="K728" s="63" t="n">
        <v>1169.51</v>
      </c>
      <c r="L728" s="63" t="n">
        <v>1091.99</v>
      </c>
      <c r="M728" s="63" t="n">
        <v>1128.43</v>
      </c>
      <c r="N728" s="54">
        <f>(M729-M728)/M728</f>
        <v/>
      </c>
      <c r="O728" s="54">
        <f>(M732-M728)/M728</f>
        <v/>
      </c>
      <c r="P728" s="4">
        <f>B728-D728</f>
        <v/>
      </c>
      <c r="Q728" s="4">
        <f>AVERAGE(P725:P728)</f>
        <v/>
      </c>
      <c r="R728" s="54">
        <f>(M729-M728)/M728</f>
        <v/>
      </c>
      <c r="S728" s="54">
        <f>(M732-M728)/M728</f>
        <v/>
      </c>
      <c r="T728" s="63">
        <f>IF(R728&gt;0,1,"")</f>
        <v/>
      </c>
      <c r="U728" s="63">
        <f>IF(S728&gt;0,1,"")</f>
        <v/>
      </c>
    </row>
    <row r="729">
      <c r="A729" s="35" t="n">
        <v>36993</v>
      </c>
      <c r="B729" s="4" t="n">
        <v>0.303</v>
      </c>
      <c r="C729" s="4" t="n">
        <v>0.2879</v>
      </c>
      <c r="D729" s="4" t="n">
        <v>0.4091</v>
      </c>
      <c r="E729" s="63" t="n">
        <v>1</v>
      </c>
      <c r="F729" s="63" t="n">
        <v>0.3316</v>
      </c>
      <c r="G729" s="63" t="n">
        <v>-0.1061</v>
      </c>
      <c r="H729" s="63" t="n">
        <v>0.384907436629</v>
      </c>
      <c r="I729" s="63" t="n">
        <v>0.48829287048</v>
      </c>
      <c r="J729" s="63" t="n">
        <v>0.281522002778</v>
      </c>
      <c r="K729" s="63" t="n">
        <v>1183.51</v>
      </c>
      <c r="L729" s="63" t="n">
        <v>1126.38</v>
      </c>
      <c r="M729" s="63" t="n">
        <v>1183.5</v>
      </c>
      <c r="N729" s="54">
        <f>(M730-M729)/M729</f>
        <v/>
      </c>
      <c r="O729" s="54">
        <f>(M733-M729)/M729</f>
        <v/>
      </c>
      <c r="P729" s="4">
        <f>B729-D729</f>
        <v/>
      </c>
      <c r="Q729" s="4">
        <f>AVERAGE(P726:P729)</f>
        <v/>
      </c>
      <c r="R729" s="54">
        <f>(M730-M729)/M729</f>
        <v/>
      </c>
      <c r="S729" s="54">
        <f>(M733-M729)/M729</f>
        <v/>
      </c>
      <c r="T729" s="63">
        <f>IF(R729&gt;0,1,"")</f>
        <v/>
      </c>
      <c r="U729" s="63">
        <f>IF(S729&gt;0,1,"")</f>
        <v/>
      </c>
    </row>
    <row r="730">
      <c r="A730" s="35" t="n">
        <v>37000</v>
      </c>
      <c r="B730" s="4" t="n">
        <v>0.4375</v>
      </c>
      <c r="C730" s="4" t="n">
        <v>0.25</v>
      </c>
      <c r="D730" s="4" t="n">
        <v>0.3125</v>
      </c>
      <c r="E730" s="63" t="n">
        <v>1</v>
      </c>
      <c r="F730" s="63" t="n">
        <v>0.3533875</v>
      </c>
      <c r="G730" s="63" t="n">
        <v>0.125</v>
      </c>
      <c r="H730" s="63" t="n">
        <v>0.384907436629</v>
      </c>
      <c r="I730" s="63" t="n">
        <v>0.48829287048</v>
      </c>
      <c r="J730" s="63" t="n">
        <v>0.281522002778</v>
      </c>
      <c r="K730" s="63" t="n">
        <v>1253.71</v>
      </c>
      <c r="L730" s="63" t="n">
        <v>1167.38</v>
      </c>
      <c r="M730" s="63" t="n">
        <v>1242.98</v>
      </c>
      <c r="N730" s="54">
        <f>(M731-M730)/M730</f>
        <v/>
      </c>
      <c r="O730" s="54">
        <f>(M734-M730)/M730</f>
        <v/>
      </c>
      <c r="P730" s="4">
        <f>B730-D730</f>
        <v/>
      </c>
      <c r="Q730" s="4">
        <f>AVERAGE(P727:P730)</f>
        <v/>
      </c>
      <c r="R730" s="54">
        <f>(M731-M730)/M730</f>
        <v/>
      </c>
      <c r="S730" s="54">
        <f>(M734-M730)/M730</f>
        <v/>
      </c>
      <c r="T730" s="63">
        <f>IF(R730&gt;0,1,"")</f>
        <v/>
      </c>
      <c r="U730" s="63">
        <f>IF(S730&gt;0,1,"")</f>
        <v/>
      </c>
    </row>
    <row r="731">
      <c r="A731" s="35" t="n">
        <v>37007</v>
      </c>
      <c r="B731" s="4" t="n">
        <v>0.4655</v>
      </c>
      <c r="C731" s="4" t="n">
        <v>0.2241</v>
      </c>
      <c r="D731" s="4" t="n">
        <v>0.3103</v>
      </c>
      <c r="E731" s="63" t="n">
        <v>0.9999</v>
      </c>
      <c r="F731" s="63" t="n">
        <v>0.3541375</v>
      </c>
      <c r="G731" s="63" t="n">
        <v>0.1552</v>
      </c>
      <c r="H731" s="63" t="n">
        <v>0.384907436629</v>
      </c>
      <c r="I731" s="63" t="n">
        <v>0.48829287048</v>
      </c>
      <c r="J731" s="63" t="n">
        <v>0.281522002778</v>
      </c>
      <c r="K731" s="63" t="n">
        <v>1253.07</v>
      </c>
      <c r="L731" s="63" t="n">
        <v>1207.38</v>
      </c>
      <c r="M731" s="63" t="n">
        <v>1253.05</v>
      </c>
      <c r="N731" s="54">
        <f>(M732-M731)/M731</f>
        <v/>
      </c>
      <c r="O731" s="54">
        <f>(M735-M731)/M731</f>
        <v/>
      </c>
      <c r="P731" s="4">
        <f>B731-D731</f>
        <v/>
      </c>
      <c r="Q731" s="4">
        <f>AVERAGE(P728:P731)</f>
        <v/>
      </c>
      <c r="R731" s="54">
        <f>(M732-M731)/M731</f>
        <v/>
      </c>
      <c r="S731" s="54">
        <f>(M735-M731)/M731</f>
        <v/>
      </c>
      <c r="T731" s="63">
        <f>IF(R731&gt;0,1,"")</f>
        <v/>
      </c>
      <c r="U731" s="63">
        <f>IF(S731&gt;0,1,"")</f>
        <v/>
      </c>
    </row>
    <row r="732">
      <c r="A732" s="35" t="n">
        <v>37014</v>
      </c>
      <c r="B732" s="4" t="n">
        <v>0.6351</v>
      </c>
      <c r="C732" s="4" t="n">
        <v>0.1487</v>
      </c>
      <c r="D732" s="4" t="n">
        <v>0.2162</v>
      </c>
      <c r="E732" s="63" t="n">
        <v>1</v>
      </c>
      <c r="F732" s="63" t="n">
        <v>0.3939875</v>
      </c>
      <c r="G732" s="63" t="n">
        <v>0.4189</v>
      </c>
      <c r="H732" s="63" t="n">
        <v>0.384907436629</v>
      </c>
      <c r="I732" s="63" t="n">
        <v>0.48829287048</v>
      </c>
      <c r="J732" s="63" t="n">
        <v>0.281522002778</v>
      </c>
      <c r="K732" s="63" t="n">
        <v>1272.93</v>
      </c>
      <c r="L732" s="63" t="n">
        <v>1232</v>
      </c>
      <c r="M732" s="63" t="n">
        <v>1266.61</v>
      </c>
      <c r="N732" s="54">
        <f>(M733-M732)/M732</f>
        <v/>
      </c>
      <c r="O732" s="54">
        <f>(M736-M732)/M732</f>
        <v/>
      </c>
      <c r="P732" s="4">
        <f>B732-D732</f>
        <v/>
      </c>
      <c r="Q732" s="4">
        <f>AVERAGE(P729:P732)</f>
        <v/>
      </c>
      <c r="R732" s="54">
        <f>(M733-M732)/M732</f>
        <v/>
      </c>
      <c r="S732" s="54">
        <f>(M736-M732)/M732</f>
        <v/>
      </c>
      <c r="T732" s="63">
        <f>IF(R732&gt;0,1,"")</f>
        <v/>
      </c>
      <c r="U732" s="63">
        <f>IF(S732&gt;0,1,"")</f>
        <v/>
      </c>
    </row>
    <row r="733">
      <c r="A733" s="35" t="n">
        <v>37021</v>
      </c>
      <c r="B733" s="4" t="n">
        <v>0.5333</v>
      </c>
      <c r="C733" s="4" t="n">
        <v>0.2889</v>
      </c>
      <c r="D733" s="4" t="n">
        <v>0.1778</v>
      </c>
      <c r="E733" s="63" t="n">
        <v>1</v>
      </c>
      <c r="F733" s="63" t="n">
        <v>0.4220125</v>
      </c>
      <c r="G733" s="63" t="n">
        <v>0.3555</v>
      </c>
      <c r="H733" s="63" t="n">
        <v>0.384907436629</v>
      </c>
      <c r="I733" s="63" t="n">
        <v>0.48829287048</v>
      </c>
      <c r="J733" s="63" t="n">
        <v>0.281522002778</v>
      </c>
      <c r="K733" s="63" t="n">
        <v>1270</v>
      </c>
      <c r="L733" s="63" t="n">
        <v>1240.79</v>
      </c>
      <c r="M733" s="63" t="n">
        <v>1245.67</v>
      </c>
      <c r="N733" s="54">
        <f>(M734-M733)/M733</f>
        <v/>
      </c>
      <c r="O733" s="54">
        <f>(M737-M733)/M733</f>
        <v/>
      </c>
      <c r="P733" s="4">
        <f>B733-D733</f>
        <v/>
      </c>
      <c r="Q733" s="4">
        <f>AVERAGE(P730:P733)</f>
        <v/>
      </c>
      <c r="R733" s="54">
        <f>(M734-M733)/M733</f>
        <v/>
      </c>
      <c r="S733" s="54">
        <f>(M737-M733)/M733</f>
        <v/>
      </c>
      <c r="T733" s="63">
        <f>IF(R733&gt;0,1,"")</f>
        <v/>
      </c>
      <c r="U733" s="63">
        <f>IF(S733&gt;0,1,"")</f>
        <v/>
      </c>
    </row>
    <row r="734">
      <c r="A734" s="35" t="n">
        <v>37028</v>
      </c>
      <c r="B734" s="4" t="n">
        <v>0.5175999999999999</v>
      </c>
      <c r="C734" s="4" t="n">
        <v>0.2941</v>
      </c>
      <c r="D734" s="4" t="n">
        <v>0.1882</v>
      </c>
      <c r="E734" s="63" t="n">
        <v>0.9999</v>
      </c>
      <c r="F734" s="63" t="n">
        <v>0.4519875</v>
      </c>
      <c r="G734" s="63" t="n">
        <v>0.3294</v>
      </c>
      <c r="H734" s="63" t="n">
        <v>0.384907436629</v>
      </c>
      <c r="I734" s="63" t="n">
        <v>0.48829287048</v>
      </c>
      <c r="J734" s="63" t="n">
        <v>0.281522002778</v>
      </c>
      <c r="K734" s="63" t="n">
        <v>1296.48</v>
      </c>
      <c r="L734" s="63" t="n">
        <v>1241.02</v>
      </c>
      <c r="M734" s="63" t="n">
        <v>1291.96</v>
      </c>
      <c r="N734" s="54">
        <f>(M735-M734)/M734</f>
        <v/>
      </c>
      <c r="O734" s="54">
        <f>(M738-M734)/M734</f>
        <v/>
      </c>
      <c r="P734" s="4">
        <f>B734-D734</f>
        <v/>
      </c>
      <c r="Q734" s="4">
        <f>AVERAGE(P731:P734)</f>
        <v/>
      </c>
      <c r="R734" s="54">
        <f>(M735-M734)/M734</f>
        <v/>
      </c>
      <c r="S734" s="54">
        <f>(M738-M734)/M734</f>
        <v/>
      </c>
      <c r="T734" s="63">
        <f>IF(R734&gt;0,1,"")</f>
        <v/>
      </c>
      <c r="U734" s="63">
        <f>IF(S734&gt;0,1,"")</f>
        <v/>
      </c>
    </row>
    <row r="735">
      <c r="A735" s="35" t="n">
        <v>37035</v>
      </c>
      <c r="B735" s="4" t="n">
        <v>0.619</v>
      </c>
      <c r="C735" s="4" t="n">
        <v>0.2143</v>
      </c>
      <c r="D735" s="4" t="n">
        <v>0.1667</v>
      </c>
      <c r="E735" s="63" t="n">
        <v>1</v>
      </c>
      <c r="F735" s="63" t="n">
        <v>0.4828</v>
      </c>
      <c r="G735" s="63" t="n">
        <v>0.4523</v>
      </c>
      <c r="H735" s="63" t="n">
        <v>0.384907436629</v>
      </c>
      <c r="I735" s="63" t="n">
        <v>0.48829287048</v>
      </c>
      <c r="J735" s="63" t="n">
        <v>0.281522002778</v>
      </c>
      <c r="K735" s="63" t="n">
        <v>1315.93</v>
      </c>
      <c r="L735" s="63" t="n">
        <v>1276.42</v>
      </c>
      <c r="M735" s="63" t="n">
        <v>1277.89</v>
      </c>
      <c r="N735" s="54">
        <f>(M736-M735)/M735</f>
        <v/>
      </c>
      <c r="O735" s="54">
        <f>(M739-M735)/M735</f>
        <v/>
      </c>
      <c r="P735" s="4">
        <f>B735-D735</f>
        <v/>
      </c>
      <c r="Q735" s="4">
        <f>AVERAGE(P732:P735)</f>
        <v/>
      </c>
      <c r="R735" s="54">
        <f>(M736-M735)/M735</f>
        <v/>
      </c>
      <c r="S735" s="54">
        <f>(M739-M735)/M735</f>
        <v/>
      </c>
      <c r="T735" s="63">
        <f>IF(R735&gt;0,1,"")</f>
        <v/>
      </c>
      <c r="U735" s="63">
        <f>IF(S735&gt;0,1,"")</f>
        <v/>
      </c>
    </row>
    <row r="736">
      <c r="A736" s="35" t="n">
        <v>37042</v>
      </c>
      <c r="B736" s="4" t="n">
        <v>0.4935</v>
      </c>
      <c r="C736" s="4" t="n">
        <v>0.2208</v>
      </c>
      <c r="D736" s="4" t="n">
        <v>0.2857</v>
      </c>
      <c r="E736" s="63" t="n">
        <v>1</v>
      </c>
      <c r="F736" s="63" t="n">
        <v>0.5005625</v>
      </c>
      <c r="G736" s="63" t="n">
        <v>0.2078</v>
      </c>
      <c r="H736" s="63" t="n">
        <v>0.384907436629</v>
      </c>
      <c r="I736" s="63" t="n">
        <v>0.48829287048</v>
      </c>
      <c r="J736" s="63" t="n">
        <v>0.281522002778</v>
      </c>
      <c r="K736" s="63" t="n">
        <v>1278.42</v>
      </c>
      <c r="L736" s="63" t="n">
        <v>1245.96</v>
      </c>
      <c r="M736" s="63" t="n">
        <v>1260.67</v>
      </c>
      <c r="N736" s="54">
        <f>(M737-M736)/M736</f>
        <v/>
      </c>
      <c r="O736" s="54">
        <f>(M740-M736)/M736</f>
        <v/>
      </c>
      <c r="P736" s="4">
        <f>B736-D736</f>
        <v/>
      </c>
      <c r="Q736" s="4">
        <f>AVERAGE(P733:P736)</f>
        <v/>
      </c>
      <c r="R736" s="54">
        <f>(M737-M736)/M736</f>
        <v/>
      </c>
      <c r="S736" s="54">
        <f>(M740-M736)/M736</f>
        <v/>
      </c>
      <c r="T736" s="63">
        <f>IF(R736&gt;0,1,"")</f>
        <v/>
      </c>
      <c r="U736" s="63">
        <f>IF(S736&gt;0,1,"")</f>
        <v/>
      </c>
    </row>
    <row r="737">
      <c r="A737" s="35" t="n">
        <v>37049</v>
      </c>
      <c r="B737" s="4" t="n">
        <v>0.4255</v>
      </c>
      <c r="C737" s="4" t="n">
        <v>0.3191</v>
      </c>
      <c r="D737" s="4" t="n">
        <v>0.2553</v>
      </c>
      <c r="E737" s="63" t="n">
        <v>0.9999</v>
      </c>
      <c r="F737" s="63" t="n">
        <v>0.515875</v>
      </c>
      <c r="G737" s="63" t="n">
        <v>0.1702</v>
      </c>
      <c r="H737" s="63" t="n">
        <v>0.384907436629</v>
      </c>
      <c r="I737" s="63" t="n">
        <v>0.48829287048</v>
      </c>
      <c r="J737" s="63" t="n">
        <v>0.281522002778</v>
      </c>
      <c r="K737" s="63" t="n">
        <v>1286.62</v>
      </c>
      <c r="L737" s="63" t="n">
        <v>1256.36</v>
      </c>
      <c r="M737" s="63" t="n">
        <v>1264.96</v>
      </c>
      <c r="N737" s="54">
        <f>(M738-M737)/M737</f>
        <v/>
      </c>
      <c r="O737" s="54">
        <f>(M741-M737)/M737</f>
        <v/>
      </c>
      <c r="P737" s="4">
        <f>B737-D737</f>
        <v/>
      </c>
      <c r="Q737" s="4">
        <f>AVERAGE(P734:P737)</f>
        <v/>
      </c>
      <c r="R737" s="54">
        <f>(M738-M737)/M737</f>
        <v/>
      </c>
      <c r="S737" s="54">
        <f>(M741-M737)/M737</f>
        <v/>
      </c>
      <c r="T737" s="63">
        <f>IF(R737&gt;0,1,"")</f>
        <v/>
      </c>
      <c r="U737" s="63">
        <f>IF(S737&gt;0,1,"")</f>
        <v/>
      </c>
    </row>
    <row r="738">
      <c r="A738" s="35" t="n">
        <v>37056</v>
      </c>
      <c r="B738" s="4" t="n">
        <v>0.3051</v>
      </c>
      <c r="C738" s="4" t="n">
        <v>0.4746</v>
      </c>
      <c r="D738" s="4" t="n">
        <v>0.2203</v>
      </c>
      <c r="E738" s="63" t="n">
        <v>1</v>
      </c>
      <c r="F738" s="63" t="n">
        <v>0.499325</v>
      </c>
      <c r="G738" s="63" t="n">
        <v>0.0848</v>
      </c>
      <c r="H738" s="63" t="n">
        <v>0.384907436629</v>
      </c>
      <c r="I738" s="63" t="n">
        <v>0.48829287048</v>
      </c>
      <c r="J738" s="63" t="n">
        <v>0.281522002778</v>
      </c>
      <c r="K738" s="63" t="n">
        <v>1264.96</v>
      </c>
      <c r="L738" s="63" t="n">
        <v>1203.03</v>
      </c>
      <c r="M738" s="63" t="n">
        <v>1214.36</v>
      </c>
      <c r="N738" s="54">
        <f>(M739-M738)/M738</f>
        <v/>
      </c>
      <c r="O738" s="54">
        <f>(M742-M738)/M738</f>
        <v/>
      </c>
      <c r="P738" s="4">
        <f>B738-D738</f>
        <v/>
      </c>
      <c r="Q738" s="4">
        <f>AVERAGE(P735:P738)</f>
        <v/>
      </c>
      <c r="R738" s="54">
        <f>(M739-M738)/M738</f>
        <v/>
      </c>
      <c r="S738" s="54">
        <f>(M742-M738)/M738</f>
        <v/>
      </c>
      <c r="T738" s="63">
        <f>IF(R738&gt;0,1,"")</f>
        <v/>
      </c>
      <c r="U738" s="63">
        <f>IF(S738&gt;0,1,"")</f>
        <v/>
      </c>
    </row>
    <row r="739">
      <c r="A739" s="35" t="n">
        <v>37063</v>
      </c>
      <c r="B739" s="4" t="n">
        <v>0.3333</v>
      </c>
      <c r="C739" s="4" t="n">
        <v>0.4333</v>
      </c>
      <c r="D739" s="4" t="n">
        <v>0.2333</v>
      </c>
      <c r="E739" s="63" t="n">
        <v>0.9999</v>
      </c>
      <c r="F739" s="63" t="n">
        <v>0.4828</v>
      </c>
      <c r="G739" s="63" t="n">
        <v>0.1</v>
      </c>
      <c r="H739" s="63" t="n">
        <v>0.384907436629</v>
      </c>
      <c r="I739" s="63" t="n">
        <v>0.48829287048</v>
      </c>
      <c r="J739" s="63" t="n">
        <v>0.281522002778</v>
      </c>
      <c r="K739" s="63" t="n">
        <v>1240.24</v>
      </c>
      <c r="L739" s="63" t="n">
        <v>1207.71</v>
      </c>
      <c r="M739" s="63" t="n">
        <v>1225.35</v>
      </c>
      <c r="N739" s="54">
        <f>(M740-M739)/M739</f>
        <v/>
      </c>
      <c r="O739" s="54">
        <f>(M743-M739)/M739</f>
        <v/>
      </c>
      <c r="P739" s="4">
        <f>B739-D739</f>
        <v/>
      </c>
      <c r="Q739" s="4">
        <f>AVERAGE(P736:P739)</f>
        <v/>
      </c>
      <c r="R739" s="54">
        <f>(M740-M739)/M739</f>
        <v/>
      </c>
      <c r="S739" s="54">
        <f>(M743-M739)/M739</f>
        <v/>
      </c>
      <c r="T739" s="63">
        <f>IF(R739&gt;0,1,"")</f>
        <v/>
      </c>
      <c r="U739" s="63">
        <f>IF(S739&gt;0,1,"")</f>
        <v/>
      </c>
    </row>
    <row r="740">
      <c r="A740" s="35" t="n">
        <v>37070</v>
      </c>
      <c r="B740" s="4" t="n">
        <v>0.3038</v>
      </c>
      <c r="C740" s="4" t="n">
        <v>0.3671</v>
      </c>
      <c r="D740" s="4" t="n">
        <v>0.3291</v>
      </c>
      <c r="E740" s="63" t="n">
        <v>1</v>
      </c>
      <c r="F740" s="63" t="n">
        <v>0.4413875</v>
      </c>
      <c r="G740" s="63" t="n">
        <v>-0.0253</v>
      </c>
      <c r="H740" s="63" t="n">
        <v>0.384907436629</v>
      </c>
      <c r="I740" s="63" t="n">
        <v>0.48829287048</v>
      </c>
      <c r="J740" s="63" t="n">
        <v>0.281522002778</v>
      </c>
      <c r="K740" s="63" t="n">
        <v>1237.29</v>
      </c>
      <c r="L740" s="63" t="n">
        <v>1204.64</v>
      </c>
      <c r="M740" s="63" t="n">
        <v>1224.38</v>
      </c>
      <c r="N740" s="54">
        <f>(M741-M740)/M740</f>
        <v/>
      </c>
      <c r="O740" s="54">
        <f>(M744-M740)/M740</f>
        <v/>
      </c>
      <c r="P740" s="4">
        <f>B740-D740</f>
        <v/>
      </c>
      <c r="Q740" s="4">
        <f>AVERAGE(P737:P740)</f>
        <v/>
      </c>
      <c r="R740" s="54">
        <f>(M741-M740)/M740</f>
        <v/>
      </c>
      <c r="S740" s="54">
        <f>(M744-M740)/M740</f>
        <v/>
      </c>
      <c r="T740" s="63">
        <f>IF(R740&gt;0,1,"")</f>
        <v/>
      </c>
      <c r="U740" s="63">
        <f>IF(S740&gt;0,1,"")</f>
        <v/>
      </c>
    </row>
    <row r="741">
      <c r="A741" s="35" t="n">
        <v>37077</v>
      </c>
      <c r="B741" s="4" t="n">
        <v>0.4074</v>
      </c>
      <c r="C741" s="4" t="n">
        <v>0.4074</v>
      </c>
      <c r="D741" s="4" t="n">
        <v>0.1852</v>
      </c>
      <c r="E741" s="63" t="n">
        <v>1</v>
      </c>
      <c r="F741" s="63" t="n">
        <v>0.42565</v>
      </c>
      <c r="G741" s="63" t="n">
        <v>0.2222</v>
      </c>
      <c r="H741" s="63" t="n">
        <v>0.384907436629</v>
      </c>
      <c r="I741" s="63" t="n">
        <v>0.48829287048</v>
      </c>
      <c r="J741" s="63" t="n">
        <v>0.281522002778</v>
      </c>
      <c r="K741" s="63" t="n">
        <v>1239.78</v>
      </c>
      <c r="L741" s="63" t="n">
        <v>1188.74</v>
      </c>
      <c r="M741" s="63" t="n">
        <v>1190.59</v>
      </c>
      <c r="N741" s="54">
        <f>(M742-M741)/M741</f>
        <v/>
      </c>
      <c r="O741" s="54">
        <f>(M745-M741)/M741</f>
        <v/>
      </c>
      <c r="P741" s="4">
        <f>B741-D741</f>
        <v/>
      </c>
      <c r="Q741" s="4">
        <f>AVERAGE(P738:P741)</f>
        <v/>
      </c>
      <c r="R741" s="54">
        <f>(M742-M741)/M741</f>
        <v/>
      </c>
      <c r="S741" s="54">
        <f>(M745-M741)/M741</f>
        <v/>
      </c>
      <c r="T741" s="63">
        <f>IF(R741&gt;0,1,"")</f>
        <v/>
      </c>
      <c r="U741" s="63">
        <f>IF(S741&gt;0,1,"")</f>
        <v/>
      </c>
    </row>
    <row r="742">
      <c r="A742" s="35" t="n">
        <v>37084</v>
      </c>
      <c r="B742" s="4" t="n">
        <v>0.2527</v>
      </c>
      <c r="C742" s="4" t="n">
        <v>0.3846</v>
      </c>
      <c r="D742" s="4" t="n">
        <v>0.3626</v>
      </c>
      <c r="E742" s="63" t="n">
        <v>0.9999</v>
      </c>
      <c r="F742" s="63" t="n">
        <v>0.3925375</v>
      </c>
      <c r="G742" s="63" t="n">
        <v>-0.1099</v>
      </c>
      <c r="H742" s="63" t="n">
        <v>0.384907436629</v>
      </c>
      <c r="I742" s="63" t="n">
        <v>0.48829287048</v>
      </c>
      <c r="J742" s="63" t="n">
        <v>0.281522002778</v>
      </c>
      <c r="K742" s="63" t="n">
        <v>1218.54</v>
      </c>
      <c r="L742" s="63" t="n">
        <v>1168.46</v>
      </c>
      <c r="M742" s="63" t="n">
        <v>1215.68</v>
      </c>
      <c r="N742" s="54">
        <f>(M743-M742)/M742</f>
        <v/>
      </c>
      <c r="O742" s="54">
        <f>(M746-M742)/M742</f>
        <v/>
      </c>
      <c r="P742" s="4">
        <f>B742-D742</f>
        <v/>
      </c>
      <c r="Q742" s="4">
        <f>AVERAGE(P739:P742)</f>
        <v/>
      </c>
      <c r="R742" s="54">
        <f>(M743-M742)/M742</f>
        <v/>
      </c>
      <c r="S742" s="54">
        <f>(M746-M742)/M742</f>
        <v/>
      </c>
      <c r="T742" s="63">
        <f>IF(R742&gt;0,1,"")</f>
        <v/>
      </c>
      <c r="U742" s="63">
        <f>IF(S742&gt;0,1,"")</f>
        <v/>
      </c>
    </row>
    <row r="743">
      <c r="A743" s="35" t="n">
        <v>37091</v>
      </c>
      <c r="B743" s="4" t="n">
        <v>0.5</v>
      </c>
      <c r="C743" s="4" t="n">
        <v>0.3478</v>
      </c>
      <c r="D743" s="4" t="n">
        <v>0.1522</v>
      </c>
      <c r="E743" s="63" t="n">
        <v>1</v>
      </c>
      <c r="F743" s="63" t="n">
        <v>0.3776625</v>
      </c>
      <c r="G743" s="63" t="n">
        <v>0.3478</v>
      </c>
      <c r="H743" s="63" t="n">
        <v>0.384907436629</v>
      </c>
      <c r="I743" s="63" t="n">
        <v>0.48829287048</v>
      </c>
      <c r="J743" s="63" t="n">
        <v>0.281522002778</v>
      </c>
      <c r="K743" s="63" t="n">
        <v>1225.04</v>
      </c>
      <c r="L743" s="63" t="n">
        <v>1196.14</v>
      </c>
      <c r="M743" s="63" t="n">
        <v>1210.85</v>
      </c>
      <c r="N743" s="54">
        <f>(M744-M743)/M743</f>
        <v/>
      </c>
      <c r="O743" s="54">
        <f>(M747-M743)/M743</f>
        <v/>
      </c>
      <c r="P743" s="4">
        <f>B743-D743</f>
        <v/>
      </c>
      <c r="Q743" s="4">
        <f>AVERAGE(P740:P743)</f>
        <v/>
      </c>
      <c r="R743" s="54">
        <f>(M744-M743)/M743</f>
        <v/>
      </c>
      <c r="S743" s="54">
        <f>(M747-M743)/M743</f>
        <v/>
      </c>
      <c r="T743" s="63">
        <f>IF(R743&gt;0,1,"")</f>
        <v/>
      </c>
      <c r="U743" s="63">
        <f>IF(S743&gt;0,1,"")</f>
        <v/>
      </c>
    </row>
    <row r="744">
      <c r="A744" s="35" t="n">
        <v>37098</v>
      </c>
      <c r="B744" s="4" t="n">
        <v>0.2952</v>
      </c>
      <c r="C744" s="4" t="n">
        <v>0.3238</v>
      </c>
      <c r="D744" s="4" t="n">
        <v>0.381</v>
      </c>
      <c r="E744" s="63" t="n">
        <v>1</v>
      </c>
      <c r="F744" s="63" t="n">
        <v>0.352875</v>
      </c>
      <c r="G744" s="63" t="n">
        <v>-0.0858</v>
      </c>
      <c r="H744" s="63" t="n">
        <v>0.384907436629</v>
      </c>
      <c r="I744" s="63" t="n">
        <v>0.48829287048</v>
      </c>
      <c r="J744" s="63" t="n">
        <v>0.281522002778</v>
      </c>
      <c r="K744" s="63" t="n">
        <v>1215.22</v>
      </c>
      <c r="L744" s="63" t="n">
        <v>1165.54</v>
      </c>
      <c r="M744" s="63" t="n">
        <v>1205.82</v>
      </c>
      <c r="N744" s="54">
        <f>(M745-M744)/M744</f>
        <v/>
      </c>
      <c r="O744" s="54">
        <f>(M748-M744)/M744</f>
        <v/>
      </c>
      <c r="P744" s="4">
        <f>B744-D744</f>
        <v/>
      </c>
      <c r="Q744" s="4">
        <f>AVERAGE(P741:P744)</f>
        <v/>
      </c>
      <c r="R744" s="54">
        <f>(M745-M744)/M744</f>
        <v/>
      </c>
      <c r="S744" s="54">
        <f>(M748-M744)/M744</f>
        <v/>
      </c>
      <c r="T744" s="63">
        <f>IF(R744&gt;0,1,"")</f>
        <v/>
      </c>
      <c r="U744" s="63">
        <f>IF(S744&gt;0,1,"")</f>
        <v/>
      </c>
    </row>
    <row r="745">
      <c r="A745" s="35" t="n">
        <v>37105</v>
      </c>
      <c r="B745" s="4" t="n">
        <v>0.3636</v>
      </c>
      <c r="C745" s="4" t="n">
        <v>0.2727</v>
      </c>
      <c r="D745" s="4" t="n">
        <v>0.3636</v>
      </c>
      <c r="E745" s="63" t="n">
        <v>0.9999</v>
      </c>
      <c r="F745" s="63" t="n">
        <v>0.3451375</v>
      </c>
      <c r="G745" s="63" t="n">
        <v>0</v>
      </c>
      <c r="H745" s="63" t="n">
        <v>0.384907436629</v>
      </c>
      <c r="I745" s="63" t="n">
        <v>0.48829287048</v>
      </c>
      <c r="J745" s="63" t="n">
        <v>0.281522002778</v>
      </c>
      <c r="K745" s="63" t="n">
        <v>1226.27</v>
      </c>
      <c r="L745" s="63" t="n">
        <v>1200.41</v>
      </c>
      <c r="M745" s="63" t="n">
        <v>1214.35</v>
      </c>
      <c r="N745" s="54">
        <f>(M746-M745)/M745</f>
        <v/>
      </c>
      <c r="O745" s="54">
        <f>(M749-M745)/M745</f>
        <v/>
      </c>
      <c r="P745" s="4">
        <f>B745-D745</f>
        <v/>
      </c>
      <c r="Q745" s="4">
        <f>AVERAGE(P742:P745)</f>
        <v/>
      </c>
      <c r="R745" s="54">
        <f>(M746-M745)/M745</f>
        <v/>
      </c>
      <c r="S745" s="54">
        <f>(M749-M745)/M745</f>
        <v/>
      </c>
      <c r="T745" s="63">
        <f>IF(R745&gt;0,1,"")</f>
        <v/>
      </c>
      <c r="U745" s="63">
        <f>IF(S745&gt;0,1,"")</f>
        <v/>
      </c>
    </row>
    <row r="746">
      <c r="A746" s="35" t="n">
        <v>37112</v>
      </c>
      <c r="B746" s="4" t="n">
        <v>0.3494</v>
      </c>
      <c r="C746" s="4" t="n">
        <v>0.3735</v>
      </c>
      <c r="D746" s="4" t="n">
        <v>0.2771</v>
      </c>
      <c r="E746" s="63" t="n">
        <v>1</v>
      </c>
      <c r="F746" s="63" t="n">
        <v>0.350675</v>
      </c>
      <c r="G746" s="63" t="n">
        <v>0.0723</v>
      </c>
      <c r="H746" s="63" t="n">
        <v>0.384907436629</v>
      </c>
      <c r="I746" s="63" t="n">
        <v>0.48829287048</v>
      </c>
      <c r="J746" s="63" t="n">
        <v>0.281522002778</v>
      </c>
      <c r="K746" s="63" t="n">
        <v>1214.35</v>
      </c>
      <c r="L746" s="63" t="n">
        <v>1169.55</v>
      </c>
      <c r="M746" s="63" t="n">
        <v>1190.16</v>
      </c>
      <c r="N746" s="54">
        <f>(M747-M746)/M746</f>
        <v/>
      </c>
      <c r="O746" s="54">
        <f>(M750-M746)/M746</f>
        <v/>
      </c>
      <c r="P746" s="4">
        <f>B746-D746</f>
        <v/>
      </c>
      <c r="Q746" s="4">
        <f>AVERAGE(P743:P746)</f>
        <v/>
      </c>
      <c r="R746" s="54">
        <f>(M747-M746)/M746</f>
        <v/>
      </c>
      <c r="S746" s="54">
        <f>(M750-M746)/M746</f>
        <v/>
      </c>
      <c r="T746" s="63">
        <f>IF(R746&gt;0,1,"")</f>
        <v/>
      </c>
      <c r="U746" s="63">
        <f>IF(S746&gt;0,1,"")</f>
        <v/>
      </c>
    </row>
    <row r="747">
      <c r="A747" s="35" t="n">
        <v>37119</v>
      </c>
      <c r="B747" s="4" t="n">
        <v>0.3542</v>
      </c>
      <c r="C747" s="4" t="n">
        <v>0.2708</v>
      </c>
      <c r="D747" s="4" t="n">
        <v>0.375</v>
      </c>
      <c r="E747" s="63" t="n">
        <v>1</v>
      </c>
      <c r="F747" s="63" t="n">
        <v>0.3532875</v>
      </c>
      <c r="G747" s="63" t="n">
        <v>-0.0208</v>
      </c>
      <c r="H747" s="63" t="n">
        <v>0.384907436629</v>
      </c>
      <c r="I747" s="63" t="n">
        <v>0.48829287048</v>
      </c>
      <c r="J747" s="63" t="n">
        <v>0.281522002778</v>
      </c>
      <c r="K747" s="63" t="n">
        <v>1198.79</v>
      </c>
      <c r="L747" s="63" t="n">
        <v>1156.07</v>
      </c>
      <c r="M747" s="63" t="n">
        <v>1161.97</v>
      </c>
      <c r="N747" s="54">
        <f>(M748-M747)/M747</f>
        <v/>
      </c>
      <c r="O747" s="54">
        <f>(M751-M747)/M747</f>
        <v/>
      </c>
      <c r="P747" s="4">
        <f>B747-D747</f>
        <v/>
      </c>
      <c r="Q747" s="4">
        <f>AVERAGE(P744:P747)</f>
        <v/>
      </c>
      <c r="R747" s="54">
        <f>(M748-M747)/M747</f>
        <v/>
      </c>
      <c r="S747" s="54">
        <f>(M751-M747)/M747</f>
        <v/>
      </c>
      <c r="T747" s="63">
        <f>IF(R747&gt;0,1,"")</f>
        <v/>
      </c>
      <c r="U747" s="63">
        <f>IF(S747&gt;0,1,"")</f>
        <v/>
      </c>
    </row>
    <row r="748">
      <c r="A748" s="35" t="n">
        <v>37126</v>
      </c>
      <c r="B748" s="4" t="n">
        <v>0.3448</v>
      </c>
      <c r="C748" s="4" t="n">
        <v>0.3448</v>
      </c>
      <c r="D748" s="4" t="n">
        <v>0.3103</v>
      </c>
      <c r="E748" s="63" t="n">
        <v>0.9999</v>
      </c>
      <c r="F748" s="63" t="n">
        <v>0.3584125</v>
      </c>
      <c r="G748" s="63" t="n">
        <v>0.0345</v>
      </c>
      <c r="H748" s="63" t="n">
        <v>0.384907436629</v>
      </c>
      <c r="I748" s="63" t="n">
        <v>0.48829287048</v>
      </c>
      <c r="J748" s="63" t="n">
        <v>0.281522002778</v>
      </c>
      <c r="K748" s="63" t="n">
        <v>1185.15</v>
      </c>
      <c r="L748" s="63" t="n">
        <v>1153.34</v>
      </c>
      <c r="M748" s="63" t="n">
        <v>1184.93</v>
      </c>
      <c r="N748" s="54">
        <f>(M749-M748)/M748</f>
        <v/>
      </c>
      <c r="O748" s="54">
        <f>(M752-M748)/M748</f>
        <v/>
      </c>
      <c r="P748" s="4">
        <f>B748-D748</f>
        <v/>
      </c>
      <c r="Q748" s="4">
        <f>AVERAGE(P745:P748)</f>
        <v/>
      </c>
      <c r="R748" s="54">
        <f>(M749-M748)/M748</f>
        <v/>
      </c>
      <c r="S748" s="54">
        <f>(M752-M748)/M748</f>
        <v/>
      </c>
      <c r="T748" s="63">
        <f>IF(R748&gt;0,1,"")</f>
        <v/>
      </c>
      <c r="U748" s="63">
        <f>IF(S748&gt;0,1,"")</f>
        <v/>
      </c>
    </row>
    <row r="749">
      <c r="A749" s="35" t="n">
        <v>37133</v>
      </c>
      <c r="B749" s="4" t="n">
        <v>0.3143</v>
      </c>
      <c r="C749" s="4" t="n">
        <v>0.4571</v>
      </c>
      <c r="D749" s="4" t="n">
        <v>0.2286</v>
      </c>
      <c r="E749" s="63" t="n">
        <v>1</v>
      </c>
      <c r="F749" s="63" t="n">
        <v>0.346775</v>
      </c>
      <c r="G749" s="63" t="n">
        <v>0.0857</v>
      </c>
      <c r="H749" s="63" t="n">
        <v>0.384907436629</v>
      </c>
      <c r="I749" s="63" t="n">
        <v>0.48829287048</v>
      </c>
      <c r="J749" s="63" t="n">
        <v>0.281522002778</v>
      </c>
      <c r="K749" s="63" t="n">
        <v>1186.85</v>
      </c>
      <c r="L749" s="63" t="n">
        <v>1124.87</v>
      </c>
      <c r="M749" s="63" t="n">
        <v>1133.58</v>
      </c>
      <c r="N749" s="54">
        <f>(M750-M749)/M749</f>
        <v/>
      </c>
      <c r="O749" s="54">
        <f>(M753-M749)/M749</f>
        <v/>
      </c>
      <c r="P749" s="4">
        <f>B749-D749</f>
        <v/>
      </c>
      <c r="Q749" s="4">
        <f>AVERAGE(P746:P749)</f>
        <v/>
      </c>
      <c r="R749" s="54">
        <f>(M750-M749)/M749</f>
        <v/>
      </c>
      <c r="S749" s="54">
        <f>(M753-M749)/M749</f>
        <v/>
      </c>
      <c r="T749" s="63">
        <f>IF(R749&gt;0,1,"")</f>
        <v/>
      </c>
      <c r="U749" s="63">
        <f>IF(S749&gt;0,1,"")</f>
        <v/>
      </c>
    </row>
    <row r="750">
      <c r="A750" s="35" t="n">
        <v>37140</v>
      </c>
      <c r="B750" s="4" t="n">
        <v>0.3034</v>
      </c>
      <c r="C750" s="4" t="n">
        <v>0.3596</v>
      </c>
      <c r="D750" s="4" t="n">
        <v>0.3371</v>
      </c>
      <c r="E750" s="63" t="n">
        <v>1.0001</v>
      </c>
      <c r="F750" s="63" t="n">
        <v>0.3531125</v>
      </c>
      <c r="G750" s="63" t="n">
        <v>-0.0337</v>
      </c>
      <c r="H750" s="63" t="n">
        <v>0.384907436629</v>
      </c>
      <c r="I750" s="63" t="n">
        <v>0.48829287048</v>
      </c>
      <c r="J750" s="63" t="n">
        <v>0.281522002778</v>
      </c>
      <c r="K750" s="63" t="n">
        <v>1155.4</v>
      </c>
      <c r="L750" s="63" t="n">
        <v>1082.12</v>
      </c>
      <c r="M750" s="63" t="n">
        <v>1085.78</v>
      </c>
      <c r="N750" s="54">
        <f>(M751-M750)/M750</f>
        <v/>
      </c>
      <c r="O750" s="54">
        <f>(M754-M750)/M750</f>
        <v/>
      </c>
      <c r="P750" s="4">
        <f>B750-D750</f>
        <v/>
      </c>
      <c r="Q750" s="4">
        <f>AVERAGE(P747:P750)</f>
        <v/>
      </c>
      <c r="R750" s="54">
        <f>(M751-M750)/M750</f>
        <v/>
      </c>
      <c r="S750" s="54">
        <f>(M754-M750)/M750</f>
        <v/>
      </c>
      <c r="T750" s="63">
        <f>IF(R750&gt;0,1,"")</f>
        <v/>
      </c>
      <c r="U750" s="63">
        <f>IF(S750&gt;0,1,"")</f>
        <v/>
      </c>
    </row>
    <row r="751">
      <c r="A751" s="35" t="n">
        <v>37147</v>
      </c>
      <c r="B751" s="4" t="n">
        <v>0.2667</v>
      </c>
      <c r="C751" s="4" t="n">
        <v>0.3667</v>
      </c>
      <c r="D751" s="4" t="n">
        <v>0.3667</v>
      </c>
      <c r="E751" s="63" t="n">
        <v>1.0001</v>
      </c>
      <c r="F751" s="63" t="n">
        <v>0.32395</v>
      </c>
      <c r="G751" s="63" t="n">
        <v>-0.1</v>
      </c>
      <c r="H751" s="63" t="n">
        <v>0.384907436629</v>
      </c>
      <c r="I751" s="63" t="n">
        <v>0.48829287048</v>
      </c>
      <c r="J751" s="63" t="n">
        <v>0.281522002778</v>
      </c>
      <c r="K751" s="63" t="n">
        <v>1092.54</v>
      </c>
      <c r="L751" s="63" t="n">
        <v>1073.15</v>
      </c>
      <c r="M751" s="63" t="n">
        <v>1092.54</v>
      </c>
      <c r="N751" s="54">
        <f>(M752-M751)/M751</f>
        <v/>
      </c>
      <c r="O751" s="54">
        <f>(M755-M751)/M751</f>
        <v/>
      </c>
      <c r="P751" s="4">
        <f>B751-D751</f>
        <v/>
      </c>
      <c r="Q751" s="4">
        <f>AVERAGE(P748:P751)</f>
        <v/>
      </c>
      <c r="R751" s="54">
        <f>(M752-M751)/M751</f>
        <v/>
      </c>
      <c r="S751" s="54">
        <f>(M755-M751)/M751</f>
        <v/>
      </c>
      <c r="T751" s="63">
        <f>IF(R751&gt;0,1,"")</f>
        <v/>
      </c>
      <c r="U751" s="63">
        <f>IF(S751&gt;0,1,"")</f>
        <v/>
      </c>
    </row>
    <row r="752">
      <c r="A752" s="35" t="n">
        <v>37154</v>
      </c>
      <c r="B752" s="4" t="n">
        <v>0.3108</v>
      </c>
      <c r="C752" s="4" t="n">
        <v>0.2432</v>
      </c>
      <c r="D752" s="4" t="n">
        <v>0.4459</v>
      </c>
      <c r="E752" s="63" t="n">
        <v>0.9999</v>
      </c>
      <c r="F752" s="63" t="n">
        <v>0.3259</v>
      </c>
      <c r="G752" s="63" t="n">
        <v>-0.1351</v>
      </c>
      <c r="H752" s="63" t="n">
        <v>0.384907436629</v>
      </c>
      <c r="I752" s="63" t="n">
        <v>0.48829287048</v>
      </c>
      <c r="J752" s="63" t="n">
        <v>0.281522002778</v>
      </c>
      <c r="K752" s="63" t="n">
        <v>1092.54</v>
      </c>
      <c r="L752" s="63" t="n">
        <v>944.75</v>
      </c>
      <c r="M752" s="63" t="n">
        <v>965.8</v>
      </c>
      <c r="N752" s="54">
        <f>(M753-M752)/M752</f>
        <v/>
      </c>
      <c r="O752" s="54">
        <f>(M756-M752)/M752</f>
        <v/>
      </c>
      <c r="P752" s="4">
        <f>B752-D752</f>
        <v/>
      </c>
      <c r="Q752" s="4">
        <f>AVERAGE(P749:P752)</f>
        <v/>
      </c>
      <c r="R752" s="54">
        <f>(M753-M752)/M752</f>
        <v/>
      </c>
      <c r="S752" s="54">
        <f>(M756-M752)/M752</f>
        <v/>
      </c>
      <c r="T752" s="63">
        <f>IF(R752&gt;0,1,"")</f>
        <v/>
      </c>
      <c r="U752" s="63">
        <f>IF(S752&gt;0,1,"")</f>
        <v/>
      </c>
    </row>
    <row r="753">
      <c r="A753" s="35" t="n">
        <v>37161</v>
      </c>
      <c r="B753" s="4" t="n">
        <v>0.5111</v>
      </c>
      <c r="C753" s="4" t="n">
        <v>0.2667</v>
      </c>
      <c r="D753" s="4" t="n">
        <v>0.2222</v>
      </c>
      <c r="E753" s="63" t="n">
        <v>1</v>
      </c>
      <c r="F753" s="63" t="n">
        <v>0.3443375</v>
      </c>
      <c r="G753" s="63" t="n">
        <v>0.2889</v>
      </c>
      <c r="H753" s="63" t="n">
        <v>0.384907436629</v>
      </c>
      <c r="I753" s="63" t="n">
        <v>0.48829287048</v>
      </c>
      <c r="J753" s="63" t="n">
        <v>0.281522002778</v>
      </c>
      <c r="K753" s="63" t="n">
        <v>1040.94</v>
      </c>
      <c r="L753" s="63" t="n">
        <v>965.8</v>
      </c>
      <c r="M753" s="63" t="n">
        <v>1040.94</v>
      </c>
      <c r="N753" s="54">
        <f>(M754-M753)/M753</f>
        <v/>
      </c>
      <c r="O753" s="54">
        <f>(M757-M753)/M753</f>
        <v/>
      </c>
      <c r="P753" s="4">
        <f>B753-D753</f>
        <v/>
      </c>
      <c r="Q753" s="4">
        <f>AVERAGE(P750:P753)</f>
        <v/>
      </c>
      <c r="R753" s="54">
        <f>(M754-M753)/M753</f>
        <v/>
      </c>
      <c r="S753" s="54">
        <f>(M757-M753)/M753</f>
        <v/>
      </c>
      <c r="T753" s="63">
        <f>IF(R753&gt;0,1,"")</f>
        <v/>
      </c>
      <c r="U753" s="63">
        <f>IF(S753&gt;0,1,"")</f>
        <v/>
      </c>
    </row>
    <row r="754">
      <c r="A754" s="35" t="n">
        <v>37168</v>
      </c>
      <c r="B754" s="4" t="n">
        <v>0.5122</v>
      </c>
      <c r="C754" s="4" t="n">
        <v>0.1951</v>
      </c>
      <c r="D754" s="4" t="n">
        <v>0.2927</v>
      </c>
      <c r="E754" s="63" t="n">
        <v>1</v>
      </c>
      <c r="F754" s="63" t="n">
        <v>0.3646875</v>
      </c>
      <c r="G754" s="63" t="n">
        <v>0.2195</v>
      </c>
      <c r="H754" s="63" t="n">
        <v>0.384907436629</v>
      </c>
      <c r="I754" s="63" t="n">
        <v>0.48829287048</v>
      </c>
      <c r="J754" s="63" t="n">
        <v>0.281522002778</v>
      </c>
      <c r="K754" s="63" t="n">
        <v>1084.12</v>
      </c>
      <c r="L754" s="63" t="n">
        <v>1026.76</v>
      </c>
      <c r="M754" s="63" t="n">
        <v>1071.38</v>
      </c>
      <c r="N754" s="54">
        <f>(M755-M754)/M754</f>
        <v/>
      </c>
      <c r="O754" s="54">
        <f>(M758-M754)/M754</f>
        <v/>
      </c>
      <c r="P754" s="4">
        <f>B754-D754</f>
        <v/>
      </c>
      <c r="Q754" s="4">
        <f>AVERAGE(P751:P754)</f>
        <v/>
      </c>
      <c r="R754" s="54">
        <f>(M755-M754)/M754</f>
        <v/>
      </c>
      <c r="S754" s="54">
        <f>(M758-M754)/M754</f>
        <v/>
      </c>
      <c r="T754" s="63">
        <f>IF(R754&gt;0,1,"")</f>
        <v/>
      </c>
      <c r="U754" s="63">
        <f>IF(S754&gt;0,1,"")</f>
        <v/>
      </c>
    </row>
    <row r="755">
      <c r="A755" s="35" t="n">
        <v>37175</v>
      </c>
      <c r="B755" s="4" t="n">
        <v>0.4737</v>
      </c>
      <c r="C755" s="4" t="n">
        <v>0.2456</v>
      </c>
      <c r="D755" s="4" t="n">
        <v>0.2807</v>
      </c>
      <c r="E755" s="63" t="n">
        <v>1</v>
      </c>
      <c r="F755" s="63" t="n">
        <v>0.379625</v>
      </c>
      <c r="G755" s="63" t="n">
        <v>0.193</v>
      </c>
      <c r="H755" s="63" t="n">
        <v>0.384907436629</v>
      </c>
      <c r="I755" s="63" t="n">
        <v>0.48829287048</v>
      </c>
      <c r="J755" s="63" t="n">
        <v>0.281522002778</v>
      </c>
      <c r="K755" s="63" t="n">
        <v>1099.16</v>
      </c>
      <c r="L755" s="63" t="n">
        <v>1052.76</v>
      </c>
      <c r="M755" s="63" t="n">
        <v>1091.65</v>
      </c>
      <c r="N755" s="54">
        <f>(M756-M755)/M755</f>
        <v/>
      </c>
      <c r="O755" s="54">
        <f>(M759-M755)/M755</f>
        <v/>
      </c>
      <c r="P755" s="4">
        <f>B755-D755</f>
        <v/>
      </c>
      <c r="Q755" s="4">
        <f>AVERAGE(P752:P755)</f>
        <v/>
      </c>
      <c r="R755" s="54">
        <f>(M756-M755)/M755</f>
        <v/>
      </c>
      <c r="S755" s="54">
        <f>(M759-M755)/M755</f>
        <v/>
      </c>
      <c r="T755" s="63">
        <f>IF(R755&gt;0,1,"")</f>
        <v/>
      </c>
      <c r="U755" s="63">
        <f>IF(S755&gt;0,1,"")</f>
        <v/>
      </c>
    </row>
    <row r="756">
      <c r="A756" s="35" t="n">
        <v>37182</v>
      </c>
      <c r="B756" s="4" t="n">
        <v>0.6056</v>
      </c>
      <c r="C756" s="4" t="n">
        <v>0.1831</v>
      </c>
      <c r="D756" s="4" t="n">
        <v>0.2113</v>
      </c>
      <c r="E756" s="63" t="n">
        <v>1</v>
      </c>
      <c r="F756" s="63" t="n">
        <v>0.412225</v>
      </c>
      <c r="G756" s="63" t="n">
        <v>0.3943</v>
      </c>
      <c r="H756" s="63" t="n">
        <v>0.384907436629</v>
      </c>
      <c r="I756" s="63" t="n">
        <v>0.48829287048</v>
      </c>
      <c r="J756" s="63" t="n">
        <v>0.281522002778</v>
      </c>
      <c r="K756" s="63" t="n">
        <v>1107.12</v>
      </c>
      <c r="L756" s="63" t="n">
        <v>1057.24</v>
      </c>
      <c r="M756" s="63" t="n">
        <v>1073.48</v>
      </c>
      <c r="N756" s="54">
        <f>(M757-M756)/M756</f>
        <v/>
      </c>
      <c r="O756" s="54">
        <f>(M760-M756)/M756</f>
        <v/>
      </c>
      <c r="P756" s="4">
        <f>B756-D756</f>
        <v/>
      </c>
      <c r="Q756" s="4">
        <f>AVERAGE(P753:P756)</f>
        <v/>
      </c>
      <c r="R756" s="54">
        <f>(M757-M756)/M756</f>
        <v/>
      </c>
      <c r="S756" s="54">
        <f>(M760-M756)/M756</f>
        <v/>
      </c>
      <c r="T756" s="63">
        <f>IF(R756&gt;0,1,"")</f>
        <v/>
      </c>
      <c r="U756" s="63">
        <f>IF(S756&gt;0,1,"")</f>
        <v/>
      </c>
    </row>
    <row r="757">
      <c r="A757" s="35" t="n">
        <v>37189</v>
      </c>
      <c r="B757" s="4" t="n">
        <v>0.5588</v>
      </c>
      <c r="C757" s="4" t="n">
        <v>0.2647</v>
      </c>
      <c r="D757" s="4" t="n">
        <v>0.1765</v>
      </c>
      <c r="E757" s="63" t="n">
        <v>1</v>
      </c>
      <c r="F757" s="63" t="n">
        <v>0.4427875</v>
      </c>
      <c r="G757" s="63" t="n">
        <v>0.3823</v>
      </c>
      <c r="H757" s="63" t="n">
        <v>0.384907436629</v>
      </c>
      <c r="I757" s="63" t="n">
        <v>0.48829287048</v>
      </c>
      <c r="J757" s="63" t="n">
        <v>0.281522002778</v>
      </c>
      <c r="K757" s="63" t="n">
        <v>1110.61</v>
      </c>
      <c r="L757" s="63" t="n">
        <v>1065.64</v>
      </c>
      <c r="M757" s="63" t="n">
        <v>1104.61</v>
      </c>
      <c r="N757" s="54">
        <f>(M758-M757)/M757</f>
        <v/>
      </c>
      <c r="O757" s="54">
        <f>(M761-M757)/M757</f>
        <v/>
      </c>
      <c r="P757" s="4">
        <f>B757-D757</f>
        <v/>
      </c>
      <c r="Q757" s="4">
        <f>AVERAGE(P754:P757)</f>
        <v/>
      </c>
      <c r="R757" s="54">
        <f>(M758-M757)/M757</f>
        <v/>
      </c>
      <c r="S757" s="54">
        <f>(M761-M757)/M757</f>
        <v/>
      </c>
      <c r="T757" s="63">
        <f>IF(R757&gt;0,1,"")</f>
        <v/>
      </c>
      <c r="U757" s="63">
        <f>IF(S757&gt;0,1,"")</f>
        <v/>
      </c>
    </row>
    <row r="758">
      <c r="A758" s="35" t="n">
        <v>37196</v>
      </c>
      <c r="B758" s="4" t="n">
        <v>0.35</v>
      </c>
      <c r="C758" s="4" t="n">
        <v>0.3167</v>
      </c>
      <c r="D758" s="4" t="n">
        <v>0.3333</v>
      </c>
      <c r="E758" s="63" t="n">
        <v>1</v>
      </c>
      <c r="F758" s="63" t="n">
        <v>0.4486125</v>
      </c>
      <c r="G758" s="63" t="n">
        <v>0.0167</v>
      </c>
      <c r="H758" s="63" t="n">
        <v>0.384907436629</v>
      </c>
      <c r="I758" s="63" t="n">
        <v>0.48829287048</v>
      </c>
      <c r="J758" s="63" t="n">
        <v>0.281522002778</v>
      </c>
      <c r="K758" s="63" t="n">
        <v>1104.61</v>
      </c>
      <c r="L758" s="63" t="n">
        <v>1053.61</v>
      </c>
      <c r="M758" s="63" t="n">
        <v>1087.2</v>
      </c>
      <c r="N758" s="54">
        <f>(M759-M758)/M758</f>
        <v/>
      </c>
      <c r="O758" s="54">
        <f>(M762-M758)/M758</f>
        <v/>
      </c>
      <c r="P758" s="4">
        <f>B758-D758</f>
        <v/>
      </c>
      <c r="Q758" s="4">
        <f>AVERAGE(P755:P758)</f>
        <v/>
      </c>
      <c r="R758" s="54">
        <f>(M759-M758)/M758</f>
        <v/>
      </c>
      <c r="S758" s="54">
        <f>(M762-M758)/M758</f>
        <v/>
      </c>
      <c r="T758" s="63">
        <f>IF(R758&gt;0,1,"")</f>
        <v/>
      </c>
      <c r="U758" s="63">
        <f>IF(S758&gt;0,1,"")</f>
        <v/>
      </c>
    </row>
    <row r="759">
      <c r="A759" s="35" t="n">
        <v>37203</v>
      </c>
      <c r="B759" s="4" t="n">
        <v>0.3462</v>
      </c>
      <c r="C759" s="4" t="n">
        <v>0.2308</v>
      </c>
      <c r="D759" s="4" t="n">
        <v>0.4231</v>
      </c>
      <c r="E759" s="63" t="n">
        <v>1.0001</v>
      </c>
      <c r="F759" s="63" t="n">
        <v>0.45855</v>
      </c>
      <c r="G759" s="63" t="n">
        <v>-0.0769</v>
      </c>
      <c r="H759" s="63" t="n">
        <v>0.384907436629</v>
      </c>
      <c r="I759" s="63" t="n">
        <v>0.48829287048</v>
      </c>
      <c r="J759" s="63" t="n">
        <v>0.281522002778</v>
      </c>
      <c r="K759" s="63" t="n">
        <v>1135.75</v>
      </c>
      <c r="L759" s="63" t="n">
        <v>1087.2</v>
      </c>
      <c r="M759" s="63" t="n">
        <v>1120.31</v>
      </c>
      <c r="N759" s="54">
        <f>(M760-M759)/M759</f>
        <v/>
      </c>
      <c r="O759" s="54">
        <f>(M763-M759)/M759</f>
        <v/>
      </c>
      <c r="P759" s="4">
        <f>B759-D759</f>
        <v/>
      </c>
      <c r="Q759" s="4">
        <f>AVERAGE(P756:P759)</f>
        <v/>
      </c>
      <c r="R759" s="54">
        <f>(M760-M759)/M759</f>
        <v/>
      </c>
      <c r="S759" s="54">
        <f>(M763-M759)/M759</f>
        <v/>
      </c>
      <c r="T759" s="63">
        <f>IF(R759&gt;0,1,"")</f>
        <v/>
      </c>
      <c r="U759" s="63">
        <f>IF(S759&gt;0,1,"")</f>
        <v/>
      </c>
    </row>
    <row r="760">
      <c r="A760" s="35" t="n">
        <v>37210</v>
      </c>
      <c r="B760" s="4" t="n">
        <v>0.4545</v>
      </c>
      <c r="C760" s="4" t="n">
        <v>0.2121</v>
      </c>
      <c r="D760" s="4" t="n">
        <v>0.3333</v>
      </c>
      <c r="E760" s="63" t="n">
        <v>0.9999</v>
      </c>
      <c r="F760" s="63" t="n">
        <v>0.4765125</v>
      </c>
      <c r="G760" s="63" t="n">
        <v>0.1212</v>
      </c>
      <c r="H760" s="63" t="n">
        <v>0.384907436629</v>
      </c>
      <c r="I760" s="63" t="n">
        <v>0.48829287048</v>
      </c>
      <c r="J760" s="63" t="n">
        <v>0.281522002778</v>
      </c>
      <c r="K760" s="63" t="n">
        <v>1148.28</v>
      </c>
      <c r="L760" s="63" t="n">
        <v>1098.32</v>
      </c>
      <c r="M760" s="63" t="n">
        <v>1138.65</v>
      </c>
      <c r="N760" s="54">
        <f>(M761-M760)/M760</f>
        <v/>
      </c>
      <c r="O760" s="54">
        <f>(M764-M760)/M760</f>
        <v/>
      </c>
      <c r="P760" s="4">
        <f>B760-D760</f>
        <v/>
      </c>
      <c r="Q760" s="4">
        <f>AVERAGE(P757:P760)</f>
        <v/>
      </c>
      <c r="R760" s="54">
        <f>(M761-M760)/M760</f>
        <v/>
      </c>
      <c r="S760" s="54">
        <f>(M764-M760)/M760</f>
        <v/>
      </c>
      <c r="T760" s="63">
        <f>IF(R760&gt;0,1,"")</f>
        <v/>
      </c>
      <c r="U760" s="63">
        <f>IF(S760&gt;0,1,"")</f>
        <v/>
      </c>
    </row>
    <row r="761">
      <c r="A761" s="35" t="n">
        <v>37217</v>
      </c>
      <c r="B761" s="4" t="n">
        <v>0.5833</v>
      </c>
      <c r="C761" s="4" t="n">
        <v>0.1667</v>
      </c>
      <c r="D761" s="4" t="n">
        <v>0.25</v>
      </c>
      <c r="E761" s="63" t="n">
        <v>1</v>
      </c>
      <c r="F761" s="63" t="n">
        <v>0.4855375</v>
      </c>
      <c r="G761" s="63" t="n">
        <v>0.3333</v>
      </c>
      <c r="H761" s="63" t="n">
        <v>0.384907436629</v>
      </c>
      <c r="I761" s="63" t="n">
        <v>0.48829287048</v>
      </c>
      <c r="J761" s="63" t="n">
        <v>0.281522002778</v>
      </c>
      <c r="K761" s="63" t="n">
        <v>1152.45</v>
      </c>
      <c r="L761" s="63" t="n">
        <v>1129.78</v>
      </c>
      <c r="M761" s="63" t="n">
        <v>1150.34</v>
      </c>
      <c r="N761" s="54">
        <f>(M762-M761)/M761</f>
        <v/>
      </c>
      <c r="O761" s="54">
        <f>(M765-M761)/M761</f>
        <v/>
      </c>
      <c r="P761" s="4">
        <f>B761-D761</f>
        <v/>
      </c>
      <c r="Q761" s="4">
        <f>AVERAGE(P758:P761)</f>
        <v/>
      </c>
      <c r="R761" s="54">
        <f>(M762-M761)/M761</f>
        <v/>
      </c>
      <c r="S761" s="54">
        <f>(M765-M761)/M761</f>
        <v/>
      </c>
      <c r="T761" s="63">
        <f>IF(R761&gt;0,1,"")</f>
        <v/>
      </c>
      <c r="U761" s="63">
        <f>IF(S761&gt;0,1,"")</f>
        <v/>
      </c>
    </row>
    <row r="762">
      <c r="A762" s="35" t="n">
        <v>37224</v>
      </c>
      <c r="B762" s="4" t="n">
        <v>0.6933</v>
      </c>
      <c r="C762" s="4" t="n">
        <v>0.1067</v>
      </c>
      <c r="D762" s="4" t="n">
        <v>0.2</v>
      </c>
      <c r="E762" s="63" t="n">
        <v>1</v>
      </c>
      <c r="F762" s="63" t="n">
        <v>0.508175</v>
      </c>
      <c r="G762" s="63" t="n">
        <v>0.4933</v>
      </c>
      <c r="H762" s="63" t="n">
        <v>0.384907436629</v>
      </c>
      <c r="I762" s="63" t="n">
        <v>0.48829287048</v>
      </c>
      <c r="J762" s="63" t="n">
        <v>0.281522002778</v>
      </c>
      <c r="K762" s="63" t="n">
        <v>1163.38</v>
      </c>
      <c r="L762" s="63" t="n">
        <v>1125.51</v>
      </c>
      <c r="M762" s="63" t="n">
        <v>1139.45</v>
      </c>
      <c r="N762" s="54">
        <f>(M763-M762)/M762</f>
        <v/>
      </c>
      <c r="O762" s="54">
        <f>(M766-M762)/M762</f>
        <v/>
      </c>
      <c r="P762" s="4">
        <f>B762-D762</f>
        <v/>
      </c>
      <c r="Q762" s="4">
        <f>AVERAGE(P759:P762)</f>
        <v/>
      </c>
      <c r="R762" s="54">
        <f>(M763-M762)/M762</f>
        <v/>
      </c>
      <c r="S762" s="54">
        <f>(M766-M762)/M762</f>
        <v/>
      </c>
      <c r="T762" s="63">
        <f>IF(R762&gt;0,1,"")</f>
        <v/>
      </c>
      <c r="U762" s="63">
        <f>IF(S762&gt;0,1,"")</f>
        <v/>
      </c>
    </row>
    <row r="763">
      <c r="A763" s="35" t="n">
        <v>37231</v>
      </c>
      <c r="B763" s="4" t="n">
        <v>0.5918</v>
      </c>
      <c r="C763" s="4" t="n">
        <v>0.1633</v>
      </c>
      <c r="D763" s="4" t="n">
        <v>0.2449</v>
      </c>
      <c r="E763" s="63" t="n">
        <v>1</v>
      </c>
      <c r="F763" s="63" t="n">
        <v>0.5229375000000001</v>
      </c>
      <c r="G763" s="63" t="n">
        <v>0.3469</v>
      </c>
      <c r="H763" s="63" t="n">
        <v>0.384907436629</v>
      </c>
      <c r="I763" s="63" t="n">
        <v>0.48829287048</v>
      </c>
      <c r="J763" s="63" t="n">
        <v>0.281522002778</v>
      </c>
      <c r="K763" s="63" t="n">
        <v>1173.62</v>
      </c>
      <c r="L763" s="63" t="n">
        <v>1125.78</v>
      </c>
      <c r="M763" s="63" t="n">
        <v>1158.31</v>
      </c>
      <c r="N763" s="54">
        <f>(M764-M763)/M763</f>
        <v/>
      </c>
      <c r="O763" s="54">
        <f>(M767-M763)/M763</f>
        <v/>
      </c>
      <c r="P763" s="4">
        <f>B763-D763</f>
        <v/>
      </c>
      <c r="Q763" s="4">
        <f>AVERAGE(P760:P763)</f>
        <v/>
      </c>
      <c r="R763" s="54">
        <f>(M764-M763)/M763</f>
        <v/>
      </c>
      <c r="S763" s="54">
        <f>(M767-M763)/M763</f>
        <v/>
      </c>
      <c r="T763" s="63">
        <f>IF(R763&gt;0,1,"")</f>
        <v/>
      </c>
      <c r="U763" s="63">
        <f>IF(S763&gt;0,1,"")</f>
        <v/>
      </c>
    </row>
    <row r="764">
      <c r="A764" s="35" t="n">
        <v>37238</v>
      </c>
      <c r="B764" s="4" t="n">
        <v>0.614</v>
      </c>
      <c r="C764" s="4" t="n">
        <v>0.2456</v>
      </c>
      <c r="D764" s="4" t="n">
        <v>0.1404</v>
      </c>
      <c r="E764" s="63" t="n">
        <v>1</v>
      </c>
      <c r="F764" s="63" t="n">
        <v>0.5239875000000001</v>
      </c>
      <c r="G764" s="63" t="n">
        <v>0.4736</v>
      </c>
      <c r="H764" s="63" t="n">
        <v>0.384907436629</v>
      </c>
      <c r="I764" s="63" t="n">
        <v>0.48829287048</v>
      </c>
      <c r="J764" s="63" t="n">
        <v>0.281522002778</v>
      </c>
      <c r="K764" s="63" t="n">
        <v>1158.31</v>
      </c>
      <c r="L764" s="63" t="n">
        <v>1114.53</v>
      </c>
      <c r="M764" s="63" t="n">
        <v>1123.09</v>
      </c>
      <c r="N764" s="54">
        <f>(M765-M764)/M764</f>
        <v/>
      </c>
      <c r="O764" s="54">
        <f>(M768-M764)/M764</f>
        <v/>
      </c>
      <c r="P764" s="4">
        <f>B764-D764</f>
        <v/>
      </c>
      <c r="Q764" s="4">
        <f>AVERAGE(P761:P764)</f>
        <v/>
      </c>
      <c r="R764" s="54">
        <f>(M765-M764)/M764</f>
        <v/>
      </c>
      <c r="S764" s="54">
        <f>(M768-M764)/M764</f>
        <v/>
      </c>
      <c r="T764" s="63">
        <f>IF(R764&gt;0,1,"")</f>
        <v/>
      </c>
      <c r="U764" s="63">
        <f>IF(S764&gt;0,1,"")</f>
        <v/>
      </c>
    </row>
    <row r="765">
      <c r="A765" s="35" t="n">
        <v>37245</v>
      </c>
      <c r="B765" s="4" t="n">
        <v>0.5246</v>
      </c>
      <c r="C765" s="4" t="n">
        <v>0.2131</v>
      </c>
      <c r="D765" s="4" t="n">
        <v>0.2623</v>
      </c>
      <c r="E765" s="63" t="n">
        <v>1</v>
      </c>
      <c r="F765" s="63" t="n">
        <v>0.5197125</v>
      </c>
      <c r="G765" s="63" t="n">
        <v>0.2623</v>
      </c>
      <c r="H765" s="63" t="n">
        <v>0.384907436629</v>
      </c>
      <c r="I765" s="63" t="n">
        <v>0.48829287048</v>
      </c>
      <c r="J765" s="63" t="n">
        <v>0.281522002778</v>
      </c>
      <c r="K765" s="63" t="n">
        <v>1152.44</v>
      </c>
      <c r="L765" s="63" t="n">
        <v>1122.66</v>
      </c>
      <c r="M765" s="63" t="n">
        <v>1144.89</v>
      </c>
      <c r="N765" s="54">
        <f>(M766-M765)/M765</f>
        <v/>
      </c>
      <c r="O765" s="54">
        <f>(M769-M765)/M765</f>
        <v/>
      </c>
      <c r="P765" s="4">
        <f>B765-D765</f>
        <v/>
      </c>
      <c r="Q765" s="4">
        <f>AVERAGE(P762:P765)</f>
        <v/>
      </c>
      <c r="R765" s="54">
        <f>(M766-M765)/M765</f>
        <v/>
      </c>
      <c r="S765" s="54">
        <f>(M769-M765)/M765</f>
        <v/>
      </c>
      <c r="T765" s="63">
        <f>IF(R765&gt;0,1,"")</f>
        <v/>
      </c>
      <c r="U765" s="63">
        <f>IF(S765&gt;0,1,"")</f>
        <v/>
      </c>
    </row>
    <row r="766">
      <c r="A766" s="35" t="n">
        <v>37252</v>
      </c>
      <c r="B766" s="4" t="n">
        <v>0.5769</v>
      </c>
      <c r="C766" s="4" t="n">
        <v>0.1538</v>
      </c>
      <c r="D766" s="4" t="n">
        <v>0.2692</v>
      </c>
      <c r="E766" s="63" t="n">
        <v>0.9999</v>
      </c>
      <c r="F766" s="63" t="n">
        <v>0.548075</v>
      </c>
      <c r="G766" s="63" t="n">
        <v>0.3077</v>
      </c>
      <c r="H766" s="63" t="n">
        <v>0.384907436629</v>
      </c>
      <c r="I766" s="63" t="n">
        <v>0.48829287048</v>
      </c>
      <c r="J766" s="63" t="n">
        <v>0.281522002778</v>
      </c>
      <c r="K766" s="63" t="n">
        <v>1164.64</v>
      </c>
      <c r="L766" s="63" t="n">
        <v>1144.62</v>
      </c>
      <c r="M766" s="63" t="n">
        <v>1161.02</v>
      </c>
      <c r="N766" s="54">
        <f>(M767-M766)/M766</f>
        <v/>
      </c>
      <c r="O766" s="54">
        <f>(M770-M766)/M766</f>
        <v/>
      </c>
      <c r="P766" s="4">
        <f>B766-D766</f>
        <v/>
      </c>
      <c r="Q766" s="4">
        <f>AVERAGE(P763:P766)</f>
        <v/>
      </c>
      <c r="R766" s="54">
        <f>(M767-M766)/M766</f>
        <v/>
      </c>
      <c r="S766" s="54">
        <f>(M770-M766)/M766</f>
        <v/>
      </c>
      <c r="T766" s="63">
        <f>IF(R766&gt;0,1,"")</f>
        <v/>
      </c>
      <c r="U766" s="63">
        <f>IF(S766&gt;0,1,"")</f>
        <v/>
      </c>
    </row>
    <row r="767">
      <c r="A767" s="35" t="n">
        <v>37259</v>
      </c>
      <c r="B767" s="4" t="n">
        <v>0.5111</v>
      </c>
      <c r="C767" s="4" t="n">
        <v>0.2444</v>
      </c>
      <c r="D767" s="4" t="n">
        <v>0.2444</v>
      </c>
      <c r="E767" s="63" t="n">
        <v>0.9999</v>
      </c>
      <c r="F767" s="63" t="n">
        <v>0.5686875</v>
      </c>
      <c r="G767" s="63" t="n">
        <v>0.2667</v>
      </c>
      <c r="H767" s="63" t="n">
        <v>0.384907436629</v>
      </c>
      <c r="I767" s="63" t="n">
        <v>0.48829287048</v>
      </c>
      <c r="J767" s="63" t="n">
        <v>0.281522002778</v>
      </c>
      <c r="K767" s="63" t="n">
        <v>1176.55</v>
      </c>
      <c r="L767" s="63" t="n">
        <v>1136.23</v>
      </c>
      <c r="M767" s="63" t="n">
        <v>1172.51</v>
      </c>
      <c r="N767" s="54">
        <f>(M768-M767)/M767</f>
        <v/>
      </c>
      <c r="O767" s="54">
        <f>(M771-M767)/M767</f>
        <v/>
      </c>
      <c r="P767" s="4">
        <f>B767-D767</f>
        <v/>
      </c>
      <c r="Q767" s="4">
        <f>AVERAGE(P764:P767)</f>
        <v/>
      </c>
      <c r="R767" s="54">
        <f>(M768-M767)/M767</f>
        <v/>
      </c>
      <c r="S767" s="54">
        <f>(M771-M767)/M767</f>
        <v/>
      </c>
      <c r="T767" s="63">
        <f>IF(R767&gt;0,1,"")</f>
        <v/>
      </c>
      <c r="U767" s="63">
        <f>IF(S767&gt;0,1,"")</f>
        <v/>
      </c>
    </row>
    <row r="768">
      <c r="A768" s="35" t="n">
        <v>37266</v>
      </c>
      <c r="B768" s="4" t="n">
        <v>0.5479000000000001</v>
      </c>
      <c r="C768" s="4" t="n">
        <v>0.2329</v>
      </c>
      <c r="D768" s="4" t="n">
        <v>0.2192</v>
      </c>
      <c r="E768" s="63" t="n">
        <v>1</v>
      </c>
      <c r="F768" s="63" t="n">
        <v>0.5803625</v>
      </c>
      <c r="G768" s="63" t="n">
        <v>0.3287</v>
      </c>
      <c r="H768" s="63" t="n">
        <v>0.384907436629</v>
      </c>
      <c r="I768" s="63" t="n">
        <v>0.48829287048</v>
      </c>
      <c r="J768" s="63" t="n">
        <v>0.281522002778</v>
      </c>
      <c r="K768" s="63" t="n">
        <v>1176.97</v>
      </c>
      <c r="L768" s="63" t="n">
        <v>1145.45</v>
      </c>
      <c r="M768" s="63" t="n">
        <v>1145.6</v>
      </c>
      <c r="N768" s="54">
        <f>(M769-M768)/M768</f>
        <v/>
      </c>
      <c r="O768" s="54">
        <f>(M772-M768)/M768</f>
        <v/>
      </c>
      <c r="P768" s="4">
        <f>B768-D768</f>
        <v/>
      </c>
      <c r="Q768" s="4">
        <f>AVERAGE(P765:P768)</f>
        <v/>
      </c>
      <c r="R768" s="54">
        <f>(M769-M768)/M768</f>
        <v/>
      </c>
      <c r="S768" s="54">
        <f>(M772-M768)/M768</f>
        <v/>
      </c>
      <c r="T768" s="63">
        <f>IF(R768&gt;0,1,"")</f>
        <v/>
      </c>
      <c r="U768" s="63">
        <f>IF(S768&gt;0,1,"")</f>
        <v/>
      </c>
    </row>
    <row r="769">
      <c r="A769" s="35" t="n">
        <v>37273</v>
      </c>
      <c r="B769" s="4" t="n">
        <v>0.2955</v>
      </c>
      <c r="C769" s="4" t="n">
        <v>0.4091</v>
      </c>
      <c r="D769" s="4" t="n">
        <v>0.2955</v>
      </c>
      <c r="E769" s="63" t="n">
        <v>1.0001</v>
      </c>
      <c r="F769" s="63" t="n">
        <v>0.5443875</v>
      </c>
      <c r="G769" s="63" t="n">
        <v>0</v>
      </c>
      <c r="H769" s="63" t="n">
        <v>0.384907436629</v>
      </c>
      <c r="I769" s="63" t="n">
        <v>0.48829287048</v>
      </c>
      <c r="J769" s="63" t="n">
        <v>0.281522002778</v>
      </c>
      <c r="K769" s="63" t="n">
        <v>1148.81</v>
      </c>
      <c r="L769" s="63" t="n">
        <v>1124.45</v>
      </c>
      <c r="M769" s="63" t="n">
        <v>1127.58</v>
      </c>
      <c r="N769" s="54">
        <f>(M770-M769)/M769</f>
        <v/>
      </c>
      <c r="O769" s="54">
        <f>(M773-M769)/M769</f>
        <v/>
      </c>
      <c r="P769" s="4">
        <f>B769-D769</f>
        <v/>
      </c>
      <c r="Q769" s="4">
        <f>AVERAGE(P766:P769)</f>
        <v/>
      </c>
      <c r="R769" s="54">
        <f>(M770-M769)/M769</f>
        <v/>
      </c>
      <c r="S769" s="54">
        <f>(M773-M769)/M769</f>
        <v/>
      </c>
      <c r="T769" s="63">
        <f>IF(R769&gt;0,1,"")</f>
        <v/>
      </c>
      <c r="U769" s="63">
        <f>IF(S769&gt;0,1,"")</f>
        <v/>
      </c>
    </row>
    <row r="770">
      <c r="A770" s="35" t="n">
        <v>37280</v>
      </c>
      <c r="B770" s="4" t="n">
        <v>0.3469</v>
      </c>
      <c r="C770" s="4" t="n">
        <v>0.3469</v>
      </c>
      <c r="D770" s="4" t="n">
        <v>0.3061</v>
      </c>
      <c r="E770" s="63" t="n">
        <v>0.9999</v>
      </c>
      <c r="F770" s="63" t="n">
        <v>0.5010875</v>
      </c>
      <c r="G770" s="63" t="n">
        <v>0.0408</v>
      </c>
      <c r="H770" s="63" t="n">
        <v>0.384907436629</v>
      </c>
      <c r="I770" s="63" t="n">
        <v>0.48829287048</v>
      </c>
      <c r="J770" s="63" t="n">
        <v>0.281522002778</v>
      </c>
      <c r="K770" s="63" t="n">
        <v>1139.5</v>
      </c>
      <c r="L770" s="63" t="n">
        <v>1117.43</v>
      </c>
      <c r="M770" s="63" t="n">
        <v>1133.28</v>
      </c>
      <c r="N770" s="54">
        <f>(M771-M770)/M770</f>
        <v/>
      </c>
      <c r="O770" s="54">
        <f>(M774-M770)/M770</f>
        <v/>
      </c>
      <c r="P770" s="4">
        <f>B770-D770</f>
        <v/>
      </c>
      <c r="Q770" s="4">
        <f>AVERAGE(P767:P770)</f>
        <v/>
      </c>
      <c r="R770" s="54">
        <f>(M771-M770)/M770</f>
        <v/>
      </c>
      <c r="S770" s="54">
        <f>(M774-M770)/M770</f>
        <v/>
      </c>
      <c r="T770" s="63">
        <f>IF(R770&gt;0,1,"")</f>
        <v/>
      </c>
      <c r="U770" s="63">
        <f>IF(S770&gt;0,1,"")</f>
        <v/>
      </c>
    </row>
    <row r="771">
      <c r="A771" s="35" t="n">
        <v>37287</v>
      </c>
      <c r="B771" s="4" t="n">
        <v>0.4545</v>
      </c>
      <c r="C771" s="4" t="n">
        <v>0.3182</v>
      </c>
      <c r="D771" s="4" t="n">
        <v>0.2273</v>
      </c>
      <c r="E771" s="63" t="n">
        <v>1</v>
      </c>
      <c r="F771" s="63" t="n">
        <v>0.483925</v>
      </c>
      <c r="G771" s="63" t="n">
        <v>0.2272</v>
      </c>
      <c r="H771" s="63" t="n">
        <v>0.384907436629</v>
      </c>
      <c r="I771" s="63" t="n">
        <v>0.48829287048</v>
      </c>
      <c r="J771" s="63" t="n">
        <v>0.281522002778</v>
      </c>
      <c r="K771" s="63" t="n">
        <v>1138.63</v>
      </c>
      <c r="L771" s="63" t="n">
        <v>1081.66</v>
      </c>
      <c r="M771" s="63" t="n">
        <v>1122.2</v>
      </c>
      <c r="N771" s="54">
        <f>(M772-M771)/M771</f>
        <v/>
      </c>
      <c r="O771" s="54">
        <f>(M775-M771)/M771</f>
        <v/>
      </c>
      <c r="P771" s="4">
        <f>B771-D771</f>
        <v/>
      </c>
      <c r="Q771" s="4">
        <f>AVERAGE(P768:P771)</f>
        <v/>
      </c>
      <c r="R771" s="54">
        <f>(M772-M771)/M771</f>
        <v/>
      </c>
      <c r="S771" s="54">
        <f>(M775-M771)/M771</f>
        <v/>
      </c>
      <c r="T771" s="63">
        <f>IF(R771&gt;0,1,"")</f>
        <v/>
      </c>
      <c r="U771" s="63">
        <f>IF(S771&gt;0,1,"")</f>
        <v/>
      </c>
    </row>
    <row r="772">
      <c r="A772" s="35" t="n">
        <v>37294</v>
      </c>
      <c r="B772" s="4" t="n">
        <v>0.375</v>
      </c>
      <c r="C772" s="4" t="n">
        <v>0.3958</v>
      </c>
      <c r="D772" s="4" t="n">
        <v>0.2293</v>
      </c>
      <c r="E772" s="63" t="n">
        <v>1.0001</v>
      </c>
      <c r="F772" s="63" t="n">
        <v>0.45405</v>
      </c>
      <c r="G772" s="63" t="n">
        <v>0.1457</v>
      </c>
      <c r="H772" s="63" t="n">
        <v>0.384907436629</v>
      </c>
      <c r="I772" s="63" t="n">
        <v>0.48829287048</v>
      </c>
      <c r="J772" s="63" t="n">
        <v>0.281522002778</v>
      </c>
      <c r="K772" s="63" t="n">
        <v>1122.2</v>
      </c>
      <c r="L772" s="63" t="n">
        <v>1077.78</v>
      </c>
      <c r="M772" s="63" t="n">
        <v>1096.22</v>
      </c>
      <c r="N772" s="54">
        <f>(M773-M772)/M772</f>
        <v/>
      </c>
      <c r="O772" s="54">
        <f>(M776-M772)/M772</f>
        <v/>
      </c>
      <c r="P772" s="4">
        <f>B772-D772</f>
        <v/>
      </c>
      <c r="Q772" s="4">
        <f>AVERAGE(P769:P772)</f>
        <v/>
      </c>
      <c r="R772" s="54">
        <f>(M773-M772)/M772</f>
        <v/>
      </c>
      <c r="S772" s="54">
        <f>(M776-M772)/M772</f>
        <v/>
      </c>
      <c r="T772" s="63">
        <f>IF(R772&gt;0,1,"")</f>
        <v/>
      </c>
      <c r="U772" s="63">
        <f>IF(S772&gt;0,1,"")</f>
        <v/>
      </c>
    </row>
    <row r="773">
      <c r="A773" s="35" t="n">
        <v>37301</v>
      </c>
      <c r="B773" s="4" t="n">
        <v>0.4516</v>
      </c>
      <c r="C773" s="4" t="n">
        <v>0.3871</v>
      </c>
      <c r="D773" s="4" t="n">
        <v>0.1613</v>
      </c>
      <c r="E773" s="63" t="n">
        <v>1</v>
      </c>
      <c r="F773" s="63" t="n">
        <v>0.444925</v>
      </c>
      <c r="G773" s="63" t="n">
        <v>0.2903</v>
      </c>
      <c r="H773" s="63" t="n">
        <v>0.384907436629</v>
      </c>
      <c r="I773" s="63" t="n">
        <v>0.48829287048</v>
      </c>
      <c r="J773" s="63" t="n">
        <v>0.281522002778</v>
      </c>
      <c r="K773" s="63" t="n">
        <v>1124.72</v>
      </c>
      <c r="L773" s="63" t="n">
        <v>1094.68</v>
      </c>
      <c r="M773" s="63" t="n">
        <v>1104.18</v>
      </c>
      <c r="N773" s="54">
        <f>(M774-M773)/M773</f>
        <v/>
      </c>
      <c r="O773" s="54">
        <f>(M777-M773)/M773</f>
        <v/>
      </c>
      <c r="P773" s="4">
        <f>B773-D773</f>
        <v/>
      </c>
      <c r="Q773" s="4">
        <f>AVERAGE(P770:P773)</f>
        <v/>
      </c>
      <c r="R773" s="54">
        <f>(M774-M773)/M773</f>
        <v/>
      </c>
      <c r="S773" s="54">
        <f>(M777-M773)/M773</f>
        <v/>
      </c>
      <c r="T773" s="63">
        <f>IF(R773&gt;0,1,"")</f>
        <v/>
      </c>
      <c r="U773" s="63">
        <f>IF(S773&gt;0,1,"")</f>
        <v/>
      </c>
    </row>
    <row r="774">
      <c r="A774" s="35" t="n">
        <v>37308</v>
      </c>
      <c r="B774" s="4" t="n">
        <v>0.3636</v>
      </c>
      <c r="C774" s="4" t="n">
        <v>0.3818</v>
      </c>
      <c r="D774" s="4" t="n">
        <v>0.2545</v>
      </c>
      <c r="E774" s="63" t="n">
        <v>0.9999</v>
      </c>
      <c r="F774" s="63" t="n">
        <v>0.4182625</v>
      </c>
      <c r="G774" s="63" t="n">
        <v>0.1091</v>
      </c>
      <c r="H774" s="63" t="n">
        <v>0.384907436629</v>
      </c>
      <c r="I774" s="63" t="n">
        <v>0.48829287048</v>
      </c>
      <c r="J774" s="63" t="n">
        <v>0.281522002778</v>
      </c>
      <c r="K774" s="63" t="n">
        <v>1104.18</v>
      </c>
      <c r="L774" s="63" t="n">
        <v>1074.36</v>
      </c>
      <c r="M774" s="63" t="n">
        <v>1089.84</v>
      </c>
      <c r="N774" s="54">
        <f>(M775-M774)/M774</f>
        <v/>
      </c>
      <c r="O774" s="54">
        <f>(M778-M774)/M774</f>
        <v/>
      </c>
      <c r="P774" s="4">
        <f>B774-D774</f>
        <v/>
      </c>
      <c r="Q774" s="4">
        <f>AVERAGE(P771:P774)</f>
        <v/>
      </c>
      <c r="R774" s="54">
        <f>(M775-M774)/M774</f>
        <v/>
      </c>
      <c r="S774" s="54">
        <f>(M778-M774)/M774</f>
        <v/>
      </c>
      <c r="T774" s="63">
        <f>IF(R774&gt;0,1,"")</f>
        <v/>
      </c>
      <c r="U774" s="63">
        <f>IF(S774&gt;0,1,"")</f>
        <v/>
      </c>
    </row>
    <row r="775">
      <c r="A775" s="35" t="n">
        <v>37315</v>
      </c>
      <c r="B775" s="4" t="n">
        <v>0.4444</v>
      </c>
      <c r="C775" s="4" t="n">
        <v>0.3519</v>
      </c>
      <c r="D775" s="4" t="n">
        <v>0.2037</v>
      </c>
      <c r="E775" s="63" t="n">
        <v>1</v>
      </c>
      <c r="F775" s="63" t="n">
        <v>0.409925</v>
      </c>
      <c r="G775" s="63" t="n">
        <v>0.2407</v>
      </c>
      <c r="H775" s="63" t="n">
        <v>0.384907436629</v>
      </c>
      <c r="I775" s="63" t="n">
        <v>0.48829287048</v>
      </c>
      <c r="J775" s="63" t="n">
        <v>0.281522002778</v>
      </c>
      <c r="K775" s="63" t="n">
        <v>1131.79</v>
      </c>
      <c r="L775" s="63" t="n">
        <v>1089.84</v>
      </c>
      <c r="M775" s="63" t="n">
        <v>1131.78</v>
      </c>
      <c r="N775" s="54">
        <f>(M776-M775)/M775</f>
        <v/>
      </c>
      <c r="O775" s="54">
        <f>(M779-M775)/M775</f>
        <v/>
      </c>
      <c r="P775" s="4">
        <f>B775-D775</f>
        <v/>
      </c>
      <c r="Q775" s="4">
        <f>AVERAGE(P772:P775)</f>
        <v/>
      </c>
      <c r="R775" s="54">
        <f>(M776-M775)/M775</f>
        <v/>
      </c>
      <c r="S775" s="54">
        <f>(M779-M775)/M775</f>
        <v/>
      </c>
      <c r="T775" s="63">
        <f>IF(R775&gt;0,1,"")</f>
        <v/>
      </c>
      <c r="U775" s="63">
        <f>IF(S775&gt;0,1,"")</f>
        <v/>
      </c>
    </row>
    <row r="776">
      <c r="A776" s="35" t="n">
        <v>37322</v>
      </c>
      <c r="B776" s="4" t="n">
        <v>0.5333</v>
      </c>
      <c r="C776" s="4" t="n">
        <v>0.3111</v>
      </c>
      <c r="D776" s="4" t="n">
        <v>0.1555</v>
      </c>
      <c r="E776" s="63" t="n">
        <v>0.9999</v>
      </c>
      <c r="F776" s="63" t="n">
        <v>0.4081</v>
      </c>
      <c r="G776" s="63" t="n">
        <v>0.3778</v>
      </c>
      <c r="H776" s="63" t="n">
        <v>0.384907436629</v>
      </c>
      <c r="I776" s="63" t="n">
        <v>0.48829287048</v>
      </c>
      <c r="J776" s="63" t="n">
        <v>0.281522002778</v>
      </c>
      <c r="K776" s="63" t="n">
        <v>1172.76</v>
      </c>
      <c r="L776" s="63" t="n">
        <v>1130.93</v>
      </c>
      <c r="M776" s="63" t="n">
        <v>1164.31</v>
      </c>
      <c r="N776" s="54">
        <f>(M777-M776)/M776</f>
        <v/>
      </c>
      <c r="O776" s="54">
        <f>(M780-M776)/M776</f>
        <v/>
      </c>
      <c r="P776" s="4">
        <f>B776-D776</f>
        <v/>
      </c>
      <c r="Q776" s="4">
        <f>AVERAGE(P773:P776)</f>
        <v/>
      </c>
      <c r="R776" s="54">
        <f>(M777-M776)/M776</f>
        <v/>
      </c>
      <c r="S776" s="54">
        <f>(M780-M776)/M776</f>
        <v/>
      </c>
      <c r="T776" s="63">
        <f>IF(R776&gt;0,1,"")</f>
        <v/>
      </c>
      <c r="U776" s="63">
        <f>IF(S776&gt;0,1,"")</f>
        <v/>
      </c>
    </row>
    <row r="777">
      <c r="A777" s="35" t="n">
        <v>37329</v>
      </c>
      <c r="B777" s="4" t="n">
        <v>0.5645</v>
      </c>
      <c r="C777" s="4" t="n">
        <v>0.2903</v>
      </c>
      <c r="D777" s="4" t="n">
        <v>0.1452</v>
      </c>
      <c r="E777" s="63" t="n">
        <v>1</v>
      </c>
      <c r="F777" s="63" t="n">
        <v>0.441725</v>
      </c>
      <c r="G777" s="63" t="n">
        <v>0.4193</v>
      </c>
      <c r="H777" s="63" t="n">
        <v>0.384907436629</v>
      </c>
      <c r="I777" s="63" t="n">
        <v>0.48829287048</v>
      </c>
      <c r="J777" s="63" t="n">
        <v>0.281522002778</v>
      </c>
      <c r="K777" s="63" t="n">
        <v>1173.03</v>
      </c>
      <c r="L777" s="63" t="n">
        <v>1151.01</v>
      </c>
      <c r="M777" s="63" t="n">
        <v>1154.09</v>
      </c>
      <c r="N777" s="54">
        <f>(M778-M777)/M777</f>
        <v/>
      </c>
      <c r="O777" s="54">
        <f>(M781-M777)/M777</f>
        <v/>
      </c>
      <c r="P777" s="4">
        <f>B777-D777</f>
        <v/>
      </c>
      <c r="Q777" s="4">
        <f>AVERAGE(P774:P777)</f>
        <v/>
      </c>
      <c r="R777" s="54">
        <f>(M778-M777)/M777</f>
        <v/>
      </c>
      <c r="S777" s="54">
        <f>(M781-M777)/M777</f>
        <v/>
      </c>
      <c r="T777" s="63">
        <f>IF(R777&gt;0,1,"")</f>
        <v/>
      </c>
      <c r="U777" s="63">
        <f>IF(S777&gt;0,1,"")</f>
        <v/>
      </c>
    </row>
    <row r="778">
      <c r="A778" s="35" t="n">
        <v>37336</v>
      </c>
      <c r="B778" s="4" t="n">
        <v>0.5323</v>
      </c>
      <c r="C778" s="4" t="n">
        <v>0.3548</v>
      </c>
      <c r="D778" s="4" t="n">
        <v>0.1129</v>
      </c>
      <c r="E778" s="63" t="n">
        <v>1</v>
      </c>
      <c r="F778" s="63" t="n">
        <v>0.4649</v>
      </c>
      <c r="G778" s="63" t="n">
        <v>0.4194</v>
      </c>
      <c r="H778" s="63" t="n">
        <v>0.384907436629</v>
      </c>
      <c r="I778" s="63" t="n">
        <v>0.48829287048</v>
      </c>
      <c r="J778" s="63" t="n">
        <v>0.281522002778</v>
      </c>
      <c r="K778" s="63" t="n">
        <v>1173.94</v>
      </c>
      <c r="L778" s="63" t="n">
        <v>1151.61</v>
      </c>
      <c r="M778" s="63" t="n">
        <v>1151.85</v>
      </c>
      <c r="N778" s="54">
        <f>(M779-M778)/M778</f>
        <v/>
      </c>
      <c r="O778" s="54">
        <f>(M782-M778)/M778</f>
        <v/>
      </c>
      <c r="P778" s="4">
        <f>B778-D778</f>
        <v/>
      </c>
      <c r="Q778" s="4">
        <f>AVERAGE(P775:P778)</f>
        <v/>
      </c>
      <c r="R778" s="54">
        <f>(M779-M778)/M778</f>
        <v/>
      </c>
      <c r="S778" s="54">
        <f>(M782-M778)/M778</f>
        <v/>
      </c>
      <c r="T778" s="63">
        <f>IF(R778&gt;0,1,"")</f>
        <v/>
      </c>
      <c r="U778" s="63">
        <f>IF(S778&gt;0,1,"")</f>
        <v/>
      </c>
    </row>
    <row r="779">
      <c r="A779" s="35" t="n">
        <v>37343</v>
      </c>
      <c r="B779" s="4" t="n">
        <v>0.5116000000000001</v>
      </c>
      <c r="C779" s="4" t="n">
        <v>0.2558</v>
      </c>
      <c r="D779" s="4" t="n">
        <v>0.2326</v>
      </c>
      <c r="E779" s="63" t="n">
        <v>1</v>
      </c>
      <c r="F779" s="63" t="n">
        <v>0.4720375</v>
      </c>
      <c r="G779" s="63" t="n">
        <v>0.279</v>
      </c>
      <c r="H779" s="63" t="n">
        <v>0.384907436629</v>
      </c>
      <c r="I779" s="63" t="n">
        <v>0.48829287048</v>
      </c>
      <c r="J779" s="63" t="n">
        <v>0.281522002778</v>
      </c>
      <c r="K779" s="63" t="n">
        <v>1151.04</v>
      </c>
      <c r="L779" s="63" t="n">
        <v>1131.61</v>
      </c>
      <c r="M779" s="63" t="n">
        <v>1144.58</v>
      </c>
      <c r="N779" s="54">
        <f>(M780-M779)/M779</f>
        <v/>
      </c>
      <c r="O779" s="54">
        <f>(M783-M779)/M779</f>
        <v/>
      </c>
      <c r="P779" s="4">
        <f>B779-D779</f>
        <v/>
      </c>
      <c r="Q779" s="4">
        <f>AVERAGE(P776:P779)</f>
        <v/>
      </c>
      <c r="R779" s="54">
        <f>(M780-M779)/M779</f>
        <v/>
      </c>
      <c r="S779" s="54">
        <f>(M783-M779)/M779</f>
        <v/>
      </c>
      <c r="T779" s="63">
        <f>IF(R779&gt;0,1,"")</f>
        <v/>
      </c>
      <c r="U779" s="63">
        <f>IF(S779&gt;0,1,"")</f>
        <v/>
      </c>
    </row>
    <row r="780">
      <c r="A780" s="35" t="n">
        <v>37350</v>
      </c>
      <c r="B780" s="4" t="n">
        <v>0.4048</v>
      </c>
      <c r="C780" s="4" t="n">
        <v>0.3929</v>
      </c>
      <c r="D780" s="4" t="n">
        <v>0.2024</v>
      </c>
      <c r="E780" s="63" t="n">
        <v>1.0001</v>
      </c>
      <c r="F780" s="63" t="n">
        <v>0.4757625</v>
      </c>
      <c r="G780" s="63" t="n">
        <v>0.2024</v>
      </c>
      <c r="H780" s="63" t="n">
        <v>0.384907436629</v>
      </c>
      <c r="I780" s="63" t="n">
        <v>0.48829287048</v>
      </c>
      <c r="J780" s="63" t="n">
        <v>0.281522002778</v>
      </c>
      <c r="K780" s="63" t="n">
        <v>1147.84</v>
      </c>
      <c r="L780" s="63" t="n">
        <v>1119.68</v>
      </c>
      <c r="M780" s="63" t="n">
        <v>1125.4</v>
      </c>
      <c r="N780" s="54">
        <f>(M781-M780)/M780</f>
        <v/>
      </c>
      <c r="O780" s="54">
        <f>(M784-M780)/M780</f>
        <v/>
      </c>
      <c r="P780" s="4">
        <f>B780-D780</f>
        <v/>
      </c>
      <c r="Q780" s="4">
        <f>AVERAGE(P777:P780)</f>
        <v/>
      </c>
      <c r="R780" s="54">
        <f>(M781-M780)/M780</f>
        <v/>
      </c>
      <c r="S780" s="54">
        <f>(M784-M780)/M780</f>
        <v/>
      </c>
      <c r="T780" s="63">
        <f>IF(R780&gt;0,1,"")</f>
        <v/>
      </c>
      <c r="U780" s="63">
        <f>IF(S780&gt;0,1,"")</f>
        <v/>
      </c>
    </row>
    <row r="781">
      <c r="A781" s="35" t="n">
        <v>37357</v>
      </c>
      <c r="B781" s="4" t="n">
        <v>0.2821</v>
      </c>
      <c r="C781" s="4" t="n">
        <v>0.3846</v>
      </c>
      <c r="D781" s="4" t="n">
        <v>0.3333</v>
      </c>
      <c r="E781" s="63" t="n">
        <v>1</v>
      </c>
      <c r="F781" s="63" t="n">
        <v>0.454575</v>
      </c>
      <c r="G781" s="63" t="n">
        <v>-0.0512</v>
      </c>
      <c r="H781" s="63" t="n">
        <v>0.384907436629</v>
      </c>
      <c r="I781" s="63" t="n">
        <v>0.48829287048</v>
      </c>
      <c r="J781" s="63" t="n">
        <v>0.281522002778</v>
      </c>
      <c r="K781" s="63" t="n">
        <v>1131.76</v>
      </c>
      <c r="L781" s="63" t="n">
        <v>1111.79</v>
      </c>
      <c r="M781" s="63" t="n">
        <v>1130.47</v>
      </c>
      <c r="N781" s="54">
        <f>(M782-M781)/M781</f>
        <v/>
      </c>
      <c r="O781" s="54">
        <f>(M785-M781)/M781</f>
        <v/>
      </c>
      <c r="P781" s="4">
        <f>B781-D781</f>
        <v/>
      </c>
      <c r="Q781" s="4">
        <f>AVERAGE(P778:P781)</f>
        <v/>
      </c>
      <c r="R781" s="54">
        <f>(M782-M781)/M781</f>
        <v/>
      </c>
      <c r="S781" s="54">
        <f>(M785-M781)/M781</f>
        <v/>
      </c>
      <c r="T781" s="63">
        <f>IF(R781&gt;0,1,"")</f>
        <v/>
      </c>
      <c r="U781" s="63">
        <f>IF(S781&gt;0,1,"")</f>
        <v/>
      </c>
    </row>
    <row r="782">
      <c r="A782" s="35" t="n">
        <v>37364</v>
      </c>
      <c r="B782" s="4" t="n">
        <v>0.402</v>
      </c>
      <c r="C782" s="4" t="n">
        <v>0.3659</v>
      </c>
      <c r="D782" s="4" t="n">
        <v>0.2317</v>
      </c>
      <c r="E782" s="63" t="n">
        <v>0.9996</v>
      </c>
      <c r="F782" s="63" t="n">
        <v>0.459375</v>
      </c>
      <c r="G782" s="63" t="n">
        <v>0.1703</v>
      </c>
      <c r="H782" s="63" t="n">
        <v>0.384907436629</v>
      </c>
      <c r="I782" s="63" t="n">
        <v>0.48829287048</v>
      </c>
      <c r="J782" s="63" t="n">
        <v>0.281522002778</v>
      </c>
      <c r="K782" s="63" t="n">
        <v>1133</v>
      </c>
      <c r="L782" s="63" t="n">
        <v>1099.41</v>
      </c>
      <c r="M782" s="63" t="n">
        <v>1126.07</v>
      </c>
      <c r="N782" s="54">
        <f>(M783-M782)/M782</f>
        <v/>
      </c>
      <c r="O782" s="54">
        <f>(M786-M782)/M782</f>
        <v/>
      </c>
      <c r="P782" s="4">
        <f>B782-D782</f>
        <v/>
      </c>
      <c r="Q782" s="4">
        <f>AVERAGE(P779:P782)</f>
        <v/>
      </c>
      <c r="R782" s="54">
        <f>(M783-M782)/M782</f>
        <v/>
      </c>
      <c r="S782" s="54">
        <f>(M786-M782)/M782</f>
        <v/>
      </c>
      <c r="T782" s="63">
        <f>IF(R782&gt;0,1,"")</f>
        <v/>
      </c>
      <c r="U782" s="63">
        <f>IF(S782&gt;0,1,"")</f>
        <v/>
      </c>
    </row>
    <row r="783">
      <c r="A783" s="35" t="n">
        <v>37371</v>
      </c>
      <c r="B783" s="4" t="n">
        <v>0.3667</v>
      </c>
      <c r="C783" s="4" t="n">
        <v>0.4</v>
      </c>
      <c r="D783" s="4" t="n">
        <v>0.2333</v>
      </c>
      <c r="E783" s="63" t="n">
        <v>1</v>
      </c>
      <c r="F783" s="63" t="n">
        <v>0.4496625</v>
      </c>
      <c r="G783" s="63" t="n">
        <v>0.1334</v>
      </c>
      <c r="H783" s="63" t="n">
        <v>0.384907436629</v>
      </c>
      <c r="I783" s="63" t="n">
        <v>0.48829287048</v>
      </c>
      <c r="J783" s="63" t="n">
        <v>0.281522002778</v>
      </c>
      <c r="K783" s="63" t="n">
        <v>1125.17</v>
      </c>
      <c r="L783" s="63" t="n">
        <v>1092.51</v>
      </c>
      <c r="M783" s="63" t="n">
        <v>1093.14</v>
      </c>
      <c r="N783" s="54">
        <f>(M784-M783)/M783</f>
        <v/>
      </c>
      <c r="O783" s="54">
        <f>(M787-M783)/M783</f>
        <v/>
      </c>
      <c r="P783" s="4">
        <f>B783-D783</f>
        <v/>
      </c>
      <c r="Q783" s="4">
        <f>AVERAGE(P780:P783)</f>
        <v/>
      </c>
      <c r="R783" s="54">
        <f>(M784-M783)/M783</f>
        <v/>
      </c>
      <c r="S783" s="54">
        <f>(M787-M783)/M783</f>
        <v/>
      </c>
      <c r="T783" s="63">
        <f>IF(R783&gt;0,1,"")</f>
        <v/>
      </c>
      <c r="U783" s="63">
        <f>IF(S783&gt;0,1,"")</f>
        <v/>
      </c>
    </row>
    <row r="784">
      <c r="A784" s="35" t="n">
        <v>37378</v>
      </c>
      <c r="B784" s="4" t="n">
        <v>0.2703</v>
      </c>
      <c r="C784" s="4" t="n">
        <v>0.3964</v>
      </c>
      <c r="D784" s="4" t="n">
        <v>0.3333</v>
      </c>
      <c r="E784" s="63" t="n">
        <v>1</v>
      </c>
      <c r="F784" s="63" t="n">
        <v>0.4167875</v>
      </c>
      <c r="G784" s="63" t="n">
        <v>-0.063</v>
      </c>
      <c r="H784" s="63" t="n">
        <v>0.384907436629</v>
      </c>
      <c r="I784" s="63" t="n">
        <v>0.48829287048</v>
      </c>
      <c r="J784" s="63" t="n">
        <v>0.281522002778</v>
      </c>
      <c r="K784" s="63" t="n">
        <v>1088.32</v>
      </c>
      <c r="L784" s="63" t="n">
        <v>1063.46</v>
      </c>
      <c r="M784" s="63" t="n">
        <v>1086.46</v>
      </c>
      <c r="N784" s="54">
        <f>(M785-M784)/M784</f>
        <v/>
      </c>
      <c r="O784" s="54">
        <f>(M788-M784)/M784</f>
        <v/>
      </c>
      <c r="P784" s="4">
        <f>B784-D784</f>
        <v/>
      </c>
      <c r="Q784" s="4">
        <f>AVERAGE(P781:P784)</f>
        <v/>
      </c>
      <c r="R784" s="54">
        <f>(M785-M784)/M784</f>
        <v/>
      </c>
      <c r="S784" s="54">
        <f>(M788-M784)/M784</f>
        <v/>
      </c>
      <c r="T784" s="63">
        <f>IF(R784&gt;0,1,"")</f>
        <v/>
      </c>
      <c r="U784" s="63">
        <f>IF(S784&gt;0,1,"")</f>
        <v/>
      </c>
    </row>
    <row r="785">
      <c r="A785" s="35" t="n">
        <v>37385</v>
      </c>
      <c r="B785" s="4" t="n">
        <v>0.3026</v>
      </c>
      <c r="C785" s="4" t="n">
        <v>0.2895</v>
      </c>
      <c r="D785" s="4" t="n">
        <v>0.4079</v>
      </c>
      <c r="E785" s="63" t="n">
        <v>1</v>
      </c>
      <c r="F785" s="63" t="n">
        <v>0.38405</v>
      </c>
      <c r="G785" s="63" t="n">
        <v>-0.1053</v>
      </c>
      <c r="H785" s="63" t="n">
        <v>0.384907436629</v>
      </c>
      <c r="I785" s="63" t="n">
        <v>0.48829287048</v>
      </c>
      <c r="J785" s="63" t="n">
        <v>0.281522002778</v>
      </c>
      <c r="K785" s="63" t="n">
        <v>1088.92</v>
      </c>
      <c r="L785" s="63" t="n">
        <v>1048.96</v>
      </c>
      <c r="M785" s="63" t="n">
        <v>1088.85</v>
      </c>
      <c r="N785" s="54">
        <f>(M786-M785)/M785</f>
        <v/>
      </c>
      <c r="O785" s="54">
        <f>(M789-M785)/M785</f>
        <v/>
      </c>
      <c r="P785" s="4">
        <f>B785-D785</f>
        <v/>
      </c>
      <c r="Q785" s="4">
        <f>AVERAGE(P782:P785)</f>
        <v/>
      </c>
      <c r="R785" s="54">
        <f>(M786-M785)/M785</f>
        <v/>
      </c>
      <c r="S785" s="54">
        <f>(M789-M785)/M785</f>
        <v/>
      </c>
      <c r="T785" s="63">
        <f>IF(R785&gt;0,1,"")</f>
        <v/>
      </c>
      <c r="U785" s="63">
        <f>IF(S785&gt;0,1,"")</f>
        <v/>
      </c>
    </row>
    <row r="786">
      <c r="A786" s="35" t="n">
        <v>37392</v>
      </c>
      <c r="B786" s="4" t="n">
        <v>0.3679</v>
      </c>
      <c r="C786" s="4" t="n">
        <v>0.3491</v>
      </c>
      <c r="D786" s="4" t="n">
        <v>0.283</v>
      </c>
      <c r="E786" s="63" t="n">
        <v>1</v>
      </c>
      <c r="F786" s="63" t="n">
        <v>0.3635</v>
      </c>
      <c r="G786" s="63" t="n">
        <v>0.0849</v>
      </c>
      <c r="H786" s="63" t="n">
        <v>0.384907436629</v>
      </c>
      <c r="I786" s="63" t="n">
        <v>0.48829287048</v>
      </c>
      <c r="J786" s="63" t="n">
        <v>0.281522002778</v>
      </c>
      <c r="K786" s="63" t="n">
        <v>1104.23</v>
      </c>
      <c r="L786" s="63" t="n">
        <v>1053.9</v>
      </c>
      <c r="M786" s="63" t="n">
        <v>1091.07</v>
      </c>
      <c r="N786" s="54">
        <f>(M787-M786)/M786</f>
        <v/>
      </c>
      <c r="O786" s="54">
        <f>(M790-M786)/M786</f>
        <v/>
      </c>
      <c r="P786" s="4">
        <f>B786-D786</f>
        <v/>
      </c>
      <c r="Q786" s="4">
        <f>AVERAGE(P783:P786)</f>
        <v/>
      </c>
      <c r="R786" s="54">
        <f>(M787-M786)/M786</f>
        <v/>
      </c>
      <c r="S786" s="54">
        <f>(M790-M786)/M786</f>
        <v/>
      </c>
      <c r="T786" s="63">
        <f>IF(R786&gt;0,1,"")</f>
        <v/>
      </c>
      <c r="U786" s="63">
        <f>IF(S786&gt;0,1,"")</f>
        <v/>
      </c>
    </row>
    <row r="787">
      <c r="A787" s="35" t="n">
        <v>37399</v>
      </c>
      <c r="B787" s="4" t="n">
        <v>0.2619</v>
      </c>
      <c r="C787" s="4" t="n">
        <v>0.3333</v>
      </c>
      <c r="D787" s="4" t="n">
        <v>0.4048</v>
      </c>
      <c r="E787" s="63" t="n">
        <v>1</v>
      </c>
      <c r="F787" s="63" t="n">
        <v>0.3322875</v>
      </c>
      <c r="G787" s="63" t="n">
        <v>-0.1429</v>
      </c>
      <c r="H787" s="63" t="n">
        <v>0.384907436629</v>
      </c>
      <c r="I787" s="63" t="n">
        <v>0.48829287048</v>
      </c>
      <c r="J787" s="63" t="n">
        <v>0.281522002778</v>
      </c>
      <c r="K787" s="63" t="n">
        <v>1106.59</v>
      </c>
      <c r="L787" s="63" t="n">
        <v>1075.64</v>
      </c>
      <c r="M787" s="63" t="n">
        <v>1086.02</v>
      </c>
      <c r="N787" s="54">
        <f>(M788-M787)/M787</f>
        <v/>
      </c>
      <c r="O787" s="54">
        <f>(M791-M787)/M787</f>
        <v/>
      </c>
      <c r="P787" s="4">
        <f>B787-D787</f>
        <v/>
      </c>
      <c r="Q787" s="4">
        <f>AVERAGE(P784:P787)</f>
        <v/>
      </c>
      <c r="R787" s="54">
        <f>(M788-M787)/M787</f>
        <v/>
      </c>
      <c r="S787" s="54">
        <f>(M791-M787)/M787</f>
        <v/>
      </c>
      <c r="T787" s="63">
        <f>IF(R787&gt;0,1,"")</f>
        <v/>
      </c>
      <c r="U787" s="63">
        <f>IF(S787&gt;0,1,"")</f>
        <v/>
      </c>
    </row>
    <row r="788">
      <c r="A788" s="35" t="n">
        <v>37405</v>
      </c>
      <c r="B788" s="4" t="n">
        <v>0.2826</v>
      </c>
      <c r="C788" s="4" t="n">
        <v>0.3152</v>
      </c>
      <c r="D788" s="4" t="n">
        <v>0.4022</v>
      </c>
      <c r="E788" s="63" t="n">
        <v>1</v>
      </c>
      <c r="F788" s="63" t="n">
        <v>0.3170125</v>
      </c>
      <c r="G788" s="63" t="n">
        <v>-0.1196</v>
      </c>
      <c r="H788" s="63" t="n">
        <v>0.384907436629</v>
      </c>
      <c r="I788" s="63" t="n">
        <v>0.48829287048</v>
      </c>
      <c r="J788" s="63" t="n">
        <v>0.281522002778</v>
      </c>
      <c r="K788" s="63" t="n">
        <v>1085.98</v>
      </c>
      <c r="L788" s="63" t="n">
        <v>1067.66</v>
      </c>
      <c r="M788" s="63" t="n">
        <v>1067.66</v>
      </c>
      <c r="N788" s="54">
        <f>(M789-M788)/M788</f>
        <v/>
      </c>
      <c r="O788" s="54">
        <f>(M792-M788)/M788</f>
        <v/>
      </c>
      <c r="P788" s="4">
        <f>B788-D788</f>
        <v/>
      </c>
      <c r="Q788" s="4">
        <f>AVERAGE(P785:P788)</f>
        <v/>
      </c>
      <c r="R788" s="54">
        <f>(M789-M788)/M788</f>
        <v/>
      </c>
      <c r="S788" s="54">
        <f>(M792-M788)/M788</f>
        <v/>
      </c>
      <c r="T788" s="63">
        <f>IF(R788&gt;0,1,"")</f>
        <v/>
      </c>
      <c r="U788" s="63">
        <f>IF(S788&gt;0,1,"")</f>
        <v/>
      </c>
    </row>
    <row r="789">
      <c r="A789" s="35" t="n">
        <v>37413</v>
      </c>
      <c r="B789" s="4" t="n">
        <v>0.3279</v>
      </c>
      <c r="C789" s="4" t="n">
        <v>0.2787</v>
      </c>
      <c r="D789" s="4" t="n">
        <v>0.3934</v>
      </c>
      <c r="E789" s="63" t="n">
        <v>1</v>
      </c>
      <c r="F789" s="63" t="n">
        <v>0.3227375</v>
      </c>
      <c r="G789" s="63" t="n">
        <v>-0.0655</v>
      </c>
      <c r="H789" s="63" t="n">
        <v>0.384907436629</v>
      </c>
      <c r="I789" s="63" t="n">
        <v>0.48829287048</v>
      </c>
      <c r="J789" s="63" t="n">
        <v>0.281522002778</v>
      </c>
      <c r="K789" s="63" t="n">
        <v>1070.74</v>
      </c>
      <c r="L789" s="63" t="n">
        <v>1030.52</v>
      </c>
      <c r="M789" s="63" t="n">
        <v>1049.9</v>
      </c>
      <c r="N789" s="54">
        <f>(M790-M789)/M789</f>
        <v/>
      </c>
      <c r="O789" s="54">
        <f>(M793-M789)/M789</f>
        <v/>
      </c>
      <c r="P789" s="4">
        <f>B789-D789</f>
        <v/>
      </c>
      <c r="Q789" s="4">
        <f>AVERAGE(P786:P789)</f>
        <v/>
      </c>
      <c r="R789" s="54">
        <f>(M790-M789)/M789</f>
        <v/>
      </c>
      <c r="S789" s="54">
        <f>(M793-M789)/M789</f>
        <v/>
      </c>
      <c r="T789" s="63">
        <f>IF(R789&gt;0,1,"")</f>
        <v/>
      </c>
      <c r="U789" s="63">
        <f>IF(S789&gt;0,1,"")</f>
        <v/>
      </c>
    </row>
    <row r="790">
      <c r="A790" s="35" t="n">
        <v>37420</v>
      </c>
      <c r="B790" s="4" t="n">
        <v>0.3182</v>
      </c>
      <c r="C790" s="4" t="n">
        <v>0.3455</v>
      </c>
      <c r="D790" s="4" t="n">
        <v>0.3364</v>
      </c>
      <c r="E790" s="63" t="n">
        <v>1.0001</v>
      </c>
      <c r="F790" s="63" t="n">
        <v>0.3122625</v>
      </c>
      <c r="G790" s="63" t="n">
        <v>-0.0182</v>
      </c>
      <c r="H790" s="63" t="n">
        <v>0.384907436629</v>
      </c>
      <c r="I790" s="63" t="n">
        <v>0.48829287048</v>
      </c>
      <c r="J790" s="63" t="n">
        <v>0.281522002778</v>
      </c>
      <c r="K790" s="63" t="n">
        <v>1039.04</v>
      </c>
      <c r="L790" s="63" t="n">
        <v>1002.58</v>
      </c>
      <c r="M790" s="63" t="n">
        <v>1020.26</v>
      </c>
      <c r="N790" s="54">
        <f>(M791-M790)/M790</f>
        <v/>
      </c>
      <c r="O790" s="54">
        <f>(M794-M790)/M790</f>
        <v/>
      </c>
      <c r="P790" s="4">
        <f>B790-D790</f>
        <v/>
      </c>
      <c r="Q790" s="4">
        <f>AVERAGE(P787:P790)</f>
        <v/>
      </c>
      <c r="R790" s="54">
        <f>(M791-M790)/M790</f>
        <v/>
      </c>
      <c r="S790" s="54">
        <f>(M794-M790)/M790</f>
        <v/>
      </c>
      <c r="T790" s="63">
        <f>IF(R790&gt;0,1,"")</f>
        <v/>
      </c>
      <c r="U790" s="63">
        <f>IF(S790&gt;0,1,"")</f>
        <v/>
      </c>
    </row>
    <row r="791">
      <c r="A791" s="35" t="n">
        <v>37427</v>
      </c>
      <c r="B791" s="4" t="n">
        <v>0.4571</v>
      </c>
      <c r="C791" s="4" t="n">
        <v>0.2857</v>
      </c>
      <c r="D791" s="4" t="n">
        <v>0.2571</v>
      </c>
      <c r="E791" s="63" t="n">
        <v>0.9999</v>
      </c>
      <c r="F791" s="63" t="n">
        <v>0.3235625</v>
      </c>
      <c r="G791" s="63" t="n">
        <v>0.2</v>
      </c>
      <c r="H791" s="63" t="n">
        <v>0.384907436629</v>
      </c>
      <c r="I791" s="63" t="n">
        <v>0.48829287048</v>
      </c>
      <c r="J791" s="63" t="n">
        <v>0.281522002778</v>
      </c>
      <c r="K791" s="63" t="n">
        <v>1040.83</v>
      </c>
      <c r="L791" s="63" t="n">
        <v>1007.27</v>
      </c>
      <c r="M791" s="63" t="n">
        <v>1019.99</v>
      </c>
      <c r="N791" s="54">
        <f>(M792-M791)/M791</f>
        <v/>
      </c>
      <c r="O791" s="54">
        <f>(M795-M791)/M791</f>
        <v/>
      </c>
      <c r="P791" s="4">
        <f>B791-D791</f>
        <v/>
      </c>
      <c r="Q791" s="4">
        <f>AVERAGE(P788:P791)</f>
        <v/>
      </c>
      <c r="R791" s="54">
        <f>(M792-M791)/M791</f>
        <v/>
      </c>
      <c r="S791" s="54">
        <f>(M795-M791)/M791</f>
        <v/>
      </c>
      <c r="T791" s="63">
        <f>IF(R791&gt;0,1,"")</f>
        <v/>
      </c>
      <c r="U791" s="63">
        <f>IF(S791&gt;0,1,"")</f>
        <v/>
      </c>
    </row>
    <row r="792">
      <c r="A792" s="35" t="n">
        <v>37434</v>
      </c>
      <c r="B792" s="4" t="n">
        <v>0.3097</v>
      </c>
      <c r="C792" s="4" t="n">
        <v>0.2301</v>
      </c>
      <c r="D792" s="4" t="n">
        <v>0.4602</v>
      </c>
      <c r="E792" s="63" t="n">
        <v>1</v>
      </c>
      <c r="F792" s="63" t="n">
        <v>0.3284875</v>
      </c>
      <c r="G792" s="63" t="n">
        <v>-0.1505</v>
      </c>
      <c r="H792" s="63" t="n">
        <v>0.384907436629</v>
      </c>
      <c r="I792" s="63" t="n">
        <v>0.48829287048</v>
      </c>
      <c r="J792" s="63" t="n">
        <v>0.281522002778</v>
      </c>
      <c r="K792" s="63" t="n">
        <v>1005.88</v>
      </c>
      <c r="L792" s="63" t="n">
        <v>952.92</v>
      </c>
      <c r="M792" s="63" t="n">
        <v>973.53</v>
      </c>
      <c r="N792" s="54">
        <f>(M793-M792)/M792</f>
        <v/>
      </c>
      <c r="O792" s="54">
        <f>(M796-M792)/M792</f>
        <v/>
      </c>
      <c r="P792" s="4">
        <f>B792-D792</f>
        <v/>
      </c>
      <c r="Q792" s="4">
        <f>AVERAGE(P789:P792)</f>
        <v/>
      </c>
      <c r="R792" s="54">
        <f>(M793-M792)/M792</f>
        <v/>
      </c>
      <c r="S792" s="54">
        <f>(M796-M792)/M792</f>
        <v/>
      </c>
      <c r="T792" s="63">
        <f>IF(R792&gt;0,1,"")</f>
        <v/>
      </c>
      <c r="U792" s="63">
        <f>IF(S792&gt;0,1,"")</f>
        <v/>
      </c>
    </row>
    <row r="793">
      <c r="A793" s="35" t="n">
        <v>37440</v>
      </c>
      <c r="B793" s="4" t="n">
        <v>0.2656</v>
      </c>
      <c r="C793" s="4" t="n">
        <v>0.2656</v>
      </c>
      <c r="D793" s="4" t="n">
        <v>0.4688</v>
      </c>
      <c r="E793" s="63" t="n">
        <v>1</v>
      </c>
      <c r="F793" s="63" t="n">
        <v>0.3238625</v>
      </c>
      <c r="G793" s="63" t="n">
        <v>-0.2032</v>
      </c>
      <c r="H793" s="63" t="n">
        <v>0.384907436629</v>
      </c>
      <c r="I793" s="63" t="n">
        <v>0.48829287048</v>
      </c>
      <c r="J793" s="63" t="n">
        <v>0.281522002778</v>
      </c>
      <c r="K793" s="63" t="n">
        <v>994.46</v>
      </c>
      <c r="L793" s="63" t="n">
        <v>934.87</v>
      </c>
      <c r="M793" s="63" t="n">
        <v>989.03</v>
      </c>
      <c r="N793" s="54">
        <f>(M794-M793)/M793</f>
        <v/>
      </c>
      <c r="O793" s="54">
        <f>(M797-M793)/M793</f>
        <v/>
      </c>
      <c r="P793" s="4">
        <f>B793-D793</f>
        <v/>
      </c>
      <c r="Q793" s="4">
        <f>AVERAGE(P790:P793)</f>
        <v/>
      </c>
      <c r="R793" s="54">
        <f>(M794-M793)/M793</f>
        <v/>
      </c>
      <c r="S793" s="54">
        <f>(M797-M793)/M793</f>
        <v/>
      </c>
      <c r="T793" s="63">
        <f>IF(R793&gt;0,1,"")</f>
        <v/>
      </c>
      <c r="U793" s="63">
        <f>IF(S793&gt;0,1,"")</f>
        <v/>
      </c>
    </row>
    <row r="794">
      <c r="A794" s="35" t="n">
        <v>37448</v>
      </c>
      <c r="B794" s="4" t="n">
        <v>0.3505</v>
      </c>
      <c r="C794" s="4" t="n">
        <v>0.2268</v>
      </c>
      <c r="D794" s="4" t="n">
        <v>0.4227</v>
      </c>
      <c r="E794" s="63" t="n">
        <v>1</v>
      </c>
      <c r="F794" s="63" t="n">
        <v>0.3216875</v>
      </c>
      <c r="G794" s="63" t="n">
        <v>-0.0722</v>
      </c>
      <c r="H794" s="63" t="n">
        <v>0.384907436629</v>
      </c>
      <c r="I794" s="63" t="n">
        <v>0.48829287048</v>
      </c>
      <c r="J794" s="63" t="n">
        <v>0.281522002778</v>
      </c>
      <c r="K794" s="63" t="n">
        <v>993.5599999999999</v>
      </c>
      <c r="L794" s="63" t="n">
        <v>920.29</v>
      </c>
      <c r="M794" s="63" t="n">
        <v>920.47</v>
      </c>
      <c r="N794" s="54">
        <f>(M795-M794)/M794</f>
        <v/>
      </c>
      <c r="O794" s="54">
        <f>(M798-M794)/M794</f>
        <v/>
      </c>
      <c r="P794" s="4">
        <f>B794-D794</f>
        <v/>
      </c>
      <c r="Q794" s="4">
        <f>AVERAGE(P791:P794)</f>
        <v/>
      </c>
      <c r="R794" s="54">
        <f>(M795-M794)/M794</f>
        <v/>
      </c>
      <c r="S794" s="54">
        <f>(M798-M794)/M794</f>
        <v/>
      </c>
      <c r="T794" s="63">
        <f>IF(R794&gt;0,1,"")</f>
        <v/>
      </c>
      <c r="U794" s="63">
        <f>IF(S794&gt;0,1,"")</f>
        <v/>
      </c>
    </row>
    <row r="795">
      <c r="A795" s="35" t="n">
        <v>37455</v>
      </c>
      <c r="B795" s="4" t="n">
        <v>0.2625</v>
      </c>
      <c r="C795" s="4" t="n">
        <v>0.2</v>
      </c>
      <c r="D795" s="4" t="n">
        <v>0.5375</v>
      </c>
      <c r="E795" s="63" t="n">
        <v>1</v>
      </c>
      <c r="F795" s="63" t="n">
        <v>0.3217625</v>
      </c>
      <c r="G795" s="63" t="n">
        <v>-0.275</v>
      </c>
      <c r="H795" s="63" t="n">
        <v>0.384907436629</v>
      </c>
      <c r="I795" s="63" t="n">
        <v>0.48829287048</v>
      </c>
      <c r="J795" s="63" t="n">
        <v>0.281522002778</v>
      </c>
      <c r="K795" s="63" t="n">
        <v>926.52</v>
      </c>
      <c r="L795" s="63" t="n">
        <v>876.46</v>
      </c>
      <c r="M795" s="63" t="n">
        <v>906.04</v>
      </c>
      <c r="N795" s="54">
        <f>(M796-M795)/M795</f>
        <v/>
      </c>
      <c r="O795" s="54">
        <f>(M799-M795)/M795</f>
        <v/>
      </c>
      <c r="P795" s="4">
        <f>B795-D795</f>
        <v/>
      </c>
      <c r="Q795" s="4">
        <f>AVERAGE(P792:P795)</f>
        <v/>
      </c>
      <c r="R795" s="54">
        <f>(M796-M795)/M795</f>
        <v/>
      </c>
      <c r="S795" s="54">
        <f>(M799-M795)/M795</f>
        <v/>
      </c>
      <c r="T795" s="63">
        <f>IF(R795&gt;0,1,"")</f>
        <v/>
      </c>
      <c r="U795" s="63">
        <f>IF(S795&gt;0,1,"")</f>
        <v/>
      </c>
    </row>
    <row r="796">
      <c r="A796" s="35" t="n">
        <v>37462</v>
      </c>
      <c r="B796" s="4" t="n">
        <v>0.2791</v>
      </c>
      <c r="C796" s="4" t="n">
        <v>0.2326</v>
      </c>
      <c r="D796" s="4" t="n">
        <v>0.4884</v>
      </c>
      <c r="E796" s="63" t="n">
        <v>1.0001</v>
      </c>
      <c r="F796" s="63" t="n">
        <v>0.321325</v>
      </c>
      <c r="G796" s="63" t="n">
        <v>-0.2093</v>
      </c>
      <c r="H796" s="63" t="n">
        <v>0.384907436629</v>
      </c>
      <c r="I796" s="63" t="n">
        <v>0.48829287048</v>
      </c>
      <c r="J796" s="63" t="n">
        <v>0.281522002778</v>
      </c>
      <c r="K796" s="63" t="n">
        <v>854.13</v>
      </c>
      <c r="L796" s="63" t="n">
        <v>775.6799999999999</v>
      </c>
      <c r="M796" s="63" t="n">
        <v>843.4299999999999</v>
      </c>
      <c r="N796" s="54">
        <f>(M797-M796)/M796</f>
        <v/>
      </c>
      <c r="O796" s="54">
        <f>(M800-M796)/M796</f>
        <v/>
      </c>
      <c r="P796" s="4">
        <f>B796-D796</f>
        <v/>
      </c>
      <c r="Q796" s="4">
        <f>AVERAGE(P793:P796)</f>
        <v/>
      </c>
      <c r="R796" s="54">
        <f>(M797-M796)/M796</f>
        <v/>
      </c>
      <c r="S796" s="54">
        <f>(M800-M796)/M796</f>
        <v/>
      </c>
      <c r="T796" s="63">
        <f>IF(R796&gt;0,1,"")</f>
        <v/>
      </c>
      <c r="U796" s="63">
        <f>IF(S796&gt;0,1,"")</f>
        <v/>
      </c>
    </row>
    <row r="797">
      <c r="A797" s="35" t="n">
        <v>37469</v>
      </c>
      <c r="B797" s="4" t="n">
        <v>0.3421</v>
      </c>
      <c r="C797" s="4" t="n">
        <v>0.3421</v>
      </c>
      <c r="D797" s="4" t="n">
        <v>0.3158</v>
      </c>
      <c r="E797" s="63" t="n">
        <v>1</v>
      </c>
      <c r="F797" s="63" t="n">
        <v>0.3231</v>
      </c>
      <c r="G797" s="63" t="n">
        <v>0.0263</v>
      </c>
      <c r="H797" s="63" t="n">
        <v>0.384907436629</v>
      </c>
      <c r="I797" s="63" t="n">
        <v>0.48829287048</v>
      </c>
      <c r="J797" s="63" t="n">
        <v>0.281522002778</v>
      </c>
      <c r="K797" s="63" t="n">
        <v>911.64</v>
      </c>
      <c r="L797" s="63" t="n">
        <v>852.84</v>
      </c>
      <c r="M797" s="63" t="n">
        <v>911.62</v>
      </c>
      <c r="N797" s="54">
        <f>(M798-M797)/M797</f>
        <v/>
      </c>
      <c r="O797" s="54">
        <f>(M801-M797)/M797</f>
        <v/>
      </c>
      <c r="P797" s="4">
        <f>B797-D797</f>
        <v/>
      </c>
      <c r="Q797" s="4">
        <f>AVERAGE(P794:P797)</f>
        <v/>
      </c>
      <c r="R797" s="54">
        <f>(M798-M797)/M797</f>
        <v/>
      </c>
      <c r="S797" s="54">
        <f>(M801-M797)/M797</f>
        <v/>
      </c>
      <c r="T797" s="63">
        <f>IF(R797&gt;0,1,"")</f>
        <v/>
      </c>
      <c r="U797" s="63">
        <f>IF(S797&gt;0,1,"")</f>
        <v/>
      </c>
    </row>
    <row r="798">
      <c r="A798" s="35" t="n">
        <v>37476</v>
      </c>
      <c r="B798" s="4" t="n">
        <v>0.377</v>
      </c>
      <c r="C798" s="4" t="n">
        <v>0.2295</v>
      </c>
      <c r="D798" s="4" t="n">
        <v>0.3934</v>
      </c>
      <c r="E798" s="63" t="n">
        <v>0.9999</v>
      </c>
      <c r="F798" s="63" t="n">
        <v>0.33045</v>
      </c>
      <c r="G798" s="63" t="n">
        <v>-0.0164</v>
      </c>
      <c r="H798" s="63" t="n">
        <v>0.384907436629</v>
      </c>
      <c r="I798" s="63" t="n">
        <v>0.48829287048</v>
      </c>
      <c r="J798" s="63" t="n">
        <v>0.281522002778</v>
      </c>
      <c r="K798" s="63" t="n">
        <v>878.74</v>
      </c>
      <c r="L798" s="63" t="n">
        <v>833.4400000000001</v>
      </c>
      <c r="M798" s="63" t="n">
        <v>876.77</v>
      </c>
      <c r="N798" s="54">
        <f>(M799-M798)/M798</f>
        <v/>
      </c>
      <c r="O798" s="54">
        <f>(M802-M798)/M798</f>
        <v/>
      </c>
      <c r="P798" s="4">
        <f>B798-D798</f>
        <v/>
      </c>
      <c r="Q798" s="4">
        <f>AVERAGE(P795:P798)</f>
        <v/>
      </c>
      <c r="R798" s="54">
        <f>(M799-M798)/M798</f>
        <v/>
      </c>
      <c r="S798" s="54">
        <f>(M802-M798)/M798</f>
        <v/>
      </c>
      <c r="T798" s="63">
        <f>IF(R798&gt;0,1,"")</f>
        <v/>
      </c>
      <c r="U798" s="63">
        <f>IF(S798&gt;0,1,"")</f>
        <v/>
      </c>
    </row>
    <row r="799">
      <c r="A799" s="35" t="n">
        <v>37483</v>
      </c>
      <c r="B799" s="4" t="n">
        <v>0.3793</v>
      </c>
      <c r="C799" s="4" t="n">
        <v>0.2069</v>
      </c>
      <c r="D799" s="4" t="n">
        <v>0.4138</v>
      </c>
      <c r="E799" s="63" t="n">
        <v>1</v>
      </c>
      <c r="F799" s="63" t="n">
        <v>0.320725</v>
      </c>
      <c r="G799" s="63" t="n">
        <v>-0.0345</v>
      </c>
      <c r="H799" s="63" t="n">
        <v>0.384907436629</v>
      </c>
      <c r="I799" s="63" t="n">
        <v>0.48829287048</v>
      </c>
      <c r="J799" s="63" t="n">
        <v>0.281522002778</v>
      </c>
      <c r="K799" s="63" t="n">
        <v>920.21</v>
      </c>
      <c r="L799" s="63" t="n">
        <v>876.2</v>
      </c>
      <c r="M799" s="63" t="n">
        <v>919.62</v>
      </c>
      <c r="N799" s="54">
        <f>(M800-M799)/M799</f>
        <v/>
      </c>
      <c r="O799" s="54">
        <f>(M803-M799)/M799</f>
        <v/>
      </c>
      <c r="P799" s="4">
        <f>B799-D799</f>
        <v/>
      </c>
      <c r="Q799" s="4">
        <f>AVERAGE(P796:P799)</f>
        <v/>
      </c>
      <c r="R799" s="54">
        <f>(M800-M799)/M799</f>
        <v/>
      </c>
      <c r="S799" s="54">
        <f>(M803-M799)/M799</f>
        <v/>
      </c>
      <c r="T799" s="63">
        <f>IF(R799&gt;0,1,"")</f>
        <v/>
      </c>
      <c r="U799" s="63">
        <f>IF(S799&gt;0,1,"")</f>
        <v/>
      </c>
    </row>
    <row r="800">
      <c r="A800" s="35" t="n">
        <v>37490</v>
      </c>
      <c r="B800" s="4" t="n">
        <v>0.4375</v>
      </c>
      <c r="C800" s="4" t="n">
        <v>0.1667</v>
      </c>
      <c r="D800" s="4" t="n">
        <v>0.3958</v>
      </c>
      <c r="E800" s="63" t="n">
        <v>1</v>
      </c>
      <c r="F800" s="63" t="n">
        <v>0.3367</v>
      </c>
      <c r="G800" s="63" t="n">
        <v>0.0417</v>
      </c>
      <c r="H800" s="63" t="n">
        <v>0.384907436629</v>
      </c>
      <c r="I800" s="63" t="n">
        <v>0.48829287048</v>
      </c>
      <c r="J800" s="63" t="n">
        <v>0.281522002778</v>
      </c>
      <c r="K800" s="63" t="n">
        <v>951.59</v>
      </c>
      <c r="L800" s="63" t="n">
        <v>927.21</v>
      </c>
      <c r="M800" s="63" t="n">
        <v>949.36</v>
      </c>
      <c r="N800" s="54">
        <f>(M801-M800)/M800</f>
        <v/>
      </c>
      <c r="O800" s="54">
        <f>(M804-M800)/M800</f>
        <v/>
      </c>
      <c r="P800" s="4">
        <f>B800-D800</f>
        <v/>
      </c>
      <c r="Q800" s="4">
        <f>AVERAGE(P797:P800)</f>
        <v/>
      </c>
      <c r="R800" s="54">
        <f>(M801-M800)/M800</f>
        <v/>
      </c>
      <c r="S800" s="54">
        <f>(M804-M800)/M800</f>
        <v/>
      </c>
      <c r="T800" s="63">
        <f>IF(R800&gt;0,1,"")</f>
        <v/>
      </c>
      <c r="U800" s="63">
        <f>IF(S800&gt;0,1,"")</f>
        <v/>
      </c>
    </row>
    <row r="801">
      <c r="A801" s="35" t="n">
        <v>37497</v>
      </c>
      <c r="B801" s="4" t="n">
        <v>0.5</v>
      </c>
      <c r="C801" s="4" t="n">
        <v>0.2097</v>
      </c>
      <c r="D801" s="4" t="n">
        <v>0.2903</v>
      </c>
      <c r="E801" s="63" t="n">
        <v>1</v>
      </c>
      <c r="F801" s="63" t="n">
        <v>0.366</v>
      </c>
      <c r="G801" s="63" t="n">
        <v>0.2097</v>
      </c>
      <c r="H801" s="63" t="n">
        <v>0.384907436629</v>
      </c>
      <c r="I801" s="63" t="n">
        <v>0.48829287048</v>
      </c>
      <c r="J801" s="63" t="n">
        <v>0.281522002778</v>
      </c>
      <c r="K801" s="63" t="n">
        <v>955.8200000000001</v>
      </c>
      <c r="L801" s="63" t="n">
        <v>913.21</v>
      </c>
      <c r="M801" s="63" t="n">
        <v>917.87</v>
      </c>
      <c r="N801" s="54">
        <f>(M802-M801)/M801</f>
        <v/>
      </c>
      <c r="O801" s="54">
        <f>(M805-M801)/M801</f>
        <v/>
      </c>
      <c r="P801" s="4">
        <f>B801-D801</f>
        <v/>
      </c>
      <c r="Q801" s="4">
        <f>AVERAGE(P798:P801)</f>
        <v/>
      </c>
      <c r="R801" s="54">
        <f>(M802-M801)/M801</f>
        <v/>
      </c>
      <c r="S801" s="54">
        <f>(M805-M801)/M801</f>
        <v/>
      </c>
      <c r="T801" s="63">
        <f>IF(R801&gt;0,1,"")</f>
        <v/>
      </c>
      <c r="U801" s="63">
        <f>IF(S801&gt;0,1,"")</f>
        <v/>
      </c>
    </row>
    <row r="802">
      <c r="A802" s="35" t="n">
        <v>37504</v>
      </c>
      <c r="B802" s="4" t="n">
        <v>0.3148</v>
      </c>
      <c r="C802" s="4" t="n">
        <v>0.1852</v>
      </c>
      <c r="D802" s="4" t="n">
        <v>0.5</v>
      </c>
      <c r="E802" s="63" t="n">
        <v>1</v>
      </c>
      <c r="F802" s="63" t="n">
        <v>0.3615375</v>
      </c>
      <c r="G802" s="63" t="n">
        <v>-0.1852</v>
      </c>
      <c r="H802" s="63" t="n">
        <v>0.384907436629</v>
      </c>
      <c r="I802" s="63" t="n">
        <v>0.48829287048</v>
      </c>
      <c r="J802" s="63" t="n">
        <v>0.281522002778</v>
      </c>
      <c r="K802" s="63" t="n">
        <v>916.0700000000001</v>
      </c>
      <c r="L802" s="63" t="n">
        <v>875.73</v>
      </c>
      <c r="M802" s="63" t="n">
        <v>893.4</v>
      </c>
      <c r="N802" s="54">
        <f>(M803-M802)/M802</f>
        <v/>
      </c>
      <c r="O802" s="54">
        <f>(M806-M802)/M802</f>
        <v/>
      </c>
      <c r="P802" s="4">
        <f>B802-D802</f>
        <v/>
      </c>
      <c r="Q802" s="4">
        <f>AVERAGE(P799:P802)</f>
        <v/>
      </c>
      <c r="R802" s="54">
        <f>(M803-M802)/M802</f>
        <v/>
      </c>
      <c r="S802" s="54">
        <f>(M806-M802)/M802</f>
        <v/>
      </c>
      <c r="T802" s="63">
        <f>IF(R802&gt;0,1,"")</f>
        <v/>
      </c>
      <c r="U802" s="63">
        <f>IF(S802&gt;0,1,"")</f>
        <v/>
      </c>
    </row>
    <row r="803">
      <c r="A803" s="35" t="n">
        <v>37511</v>
      </c>
      <c r="B803" s="4" t="n">
        <v>0.3836</v>
      </c>
      <c r="C803" s="4" t="n">
        <v>0.2466</v>
      </c>
      <c r="D803" s="4" t="n">
        <v>0.3699</v>
      </c>
      <c r="E803" s="63" t="n">
        <v>1.0001</v>
      </c>
      <c r="F803" s="63" t="n">
        <v>0.376675</v>
      </c>
      <c r="G803" s="63" t="n">
        <v>0.0137</v>
      </c>
      <c r="H803" s="63" t="n">
        <v>0.384907436629</v>
      </c>
      <c r="I803" s="63" t="n">
        <v>0.48829287048</v>
      </c>
      <c r="J803" s="63" t="n">
        <v>0.281522002778</v>
      </c>
      <c r="K803" s="63" t="n">
        <v>924.02</v>
      </c>
      <c r="L803" s="63" t="n">
        <v>882.92</v>
      </c>
      <c r="M803" s="63" t="n">
        <v>909.45</v>
      </c>
      <c r="N803" s="54">
        <f>(M804-M803)/M803</f>
        <v/>
      </c>
      <c r="O803" s="54">
        <f>(M807-M803)/M803</f>
        <v/>
      </c>
      <c r="P803" s="4">
        <f>B803-D803</f>
        <v/>
      </c>
      <c r="Q803" s="4">
        <f>AVERAGE(P800:P803)</f>
        <v/>
      </c>
      <c r="R803" s="54">
        <f>(M804-M803)/M803</f>
        <v/>
      </c>
      <c r="S803" s="54">
        <f>(M807-M803)/M803</f>
        <v/>
      </c>
      <c r="T803" s="63">
        <f>IF(R803&gt;0,1,"")</f>
        <v/>
      </c>
      <c r="U803" s="63">
        <f>IF(S803&gt;0,1,"")</f>
        <v/>
      </c>
    </row>
    <row r="804">
      <c r="A804" s="35" t="n">
        <v>37518</v>
      </c>
      <c r="B804" s="4" t="n">
        <v>0.3378</v>
      </c>
      <c r="C804" s="4" t="n">
        <v>0.2297</v>
      </c>
      <c r="D804" s="4" t="n">
        <v>0.4324</v>
      </c>
      <c r="E804" s="63" t="n">
        <v>0.9999</v>
      </c>
      <c r="F804" s="63" t="n">
        <v>0.3840125</v>
      </c>
      <c r="G804" s="63" t="n">
        <v>-0.0946</v>
      </c>
      <c r="H804" s="63" t="n">
        <v>0.384907436629</v>
      </c>
      <c r="I804" s="63" t="n">
        <v>0.48829287048</v>
      </c>
      <c r="J804" s="63" t="n">
        <v>0.281522002778</v>
      </c>
      <c r="K804" s="63" t="n">
        <v>902.6799999999999</v>
      </c>
      <c r="L804" s="63" t="n">
        <v>839.09</v>
      </c>
      <c r="M804" s="63" t="n">
        <v>845.39</v>
      </c>
      <c r="N804" s="54">
        <f>(M805-M804)/M804</f>
        <v/>
      </c>
      <c r="O804" s="54">
        <f>(M808-M804)/M804</f>
        <v/>
      </c>
      <c r="P804" s="4">
        <f>B804-D804</f>
        <v/>
      </c>
      <c r="Q804" s="4">
        <f>AVERAGE(P801:P804)</f>
        <v/>
      </c>
      <c r="R804" s="54">
        <f>(M805-M804)/M804</f>
        <v/>
      </c>
      <c r="S804" s="54">
        <f>(M808-M804)/M804</f>
        <v/>
      </c>
      <c r="T804" s="63">
        <f>IF(R804&gt;0,1,"")</f>
        <v/>
      </c>
      <c r="U804" s="63">
        <f>IF(S804&gt;0,1,"")</f>
        <v/>
      </c>
    </row>
    <row r="805">
      <c r="A805" s="35" t="n">
        <v>37525</v>
      </c>
      <c r="B805" s="4" t="n">
        <v>0.2451</v>
      </c>
      <c r="C805" s="4" t="n">
        <v>0.2843</v>
      </c>
      <c r="D805" s="4" t="n">
        <v>0.4706</v>
      </c>
      <c r="E805" s="63" t="n">
        <v>1</v>
      </c>
      <c r="F805" s="63" t="n">
        <v>0.3718875</v>
      </c>
      <c r="G805" s="63" t="n">
        <v>-0.2255</v>
      </c>
      <c r="H805" s="63" t="n">
        <v>0.384907436629</v>
      </c>
      <c r="I805" s="63" t="n">
        <v>0.48829287048</v>
      </c>
      <c r="J805" s="63" t="n">
        <v>0.281522002778</v>
      </c>
      <c r="K805" s="63" t="n">
        <v>845.39</v>
      </c>
      <c r="L805" s="63" t="n">
        <v>817.38</v>
      </c>
      <c r="M805" s="63" t="n">
        <v>839.66</v>
      </c>
      <c r="N805" s="54">
        <f>(M806-M805)/M805</f>
        <v/>
      </c>
      <c r="O805" s="54">
        <f>(M809-M805)/M805</f>
        <v/>
      </c>
      <c r="P805" s="4">
        <f>B805-D805</f>
        <v/>
      </c>
      <c r="Q805" s="4">
        <f>AVERAGE(P802:P805)</f>
        <v/>
      </c>
      <c r="R805" s="54">
        <f>(M806-M805)/M805</f>
        <v/>
      </c>
      <c r="S805" s="54">
        <f>(M809-M805)/M805</f>
        <v/>
      </c>
      <c r="T805" s="63">
        <f>IF(R805&gt;0,1,"")</f>
        <v/>
      </c>
      <c r="U805" s="63">
        <f>IF(S805&gt;0,1,"")</f>
        <v/>
      </c>
    </row>
    <row r="806">
      <c r="A806" s="35" t="n">
        <v>37532</v>
      </c>
      <c r="B806" s="4" t="n">
        <v>0.3521</v>
      </c>
      <c r="C806" s="4" t="n">
        <v>0.169</v>
      </c>
      <c r="D806" s="4" t="n">
        <v>0.4789</v>
      </c>
      <c r="E806" s="63" t="n">
        <v>1</v>
      </c>
      <c r="F806" s="63" t="n">
        <v>0.368775</v>
      </c>
      <c r="G806" s="63" t="n">
        <v>-0.1268</v>
      </c>
      <c r="H806" s="63" t="n">
        <v>0.384907436629</v>
      </c>
      <c r="I806" s="63" t="n">
        <v>0.48829287048</v>
      </c>
      <c r="J806" s="63" t="n">
        <v>0.281522002778</v>
      </c>
      <c r="K806" s="63" t="n">
        <v>851.9299999999999</v>
      </c>
      <c r="L806" s="63" t="n">
        <v>800.2</v>
      </c>
      <c r="M806" s="63" t="n">
        <v>827.91</v>
      </c>
      <c r="N806" s="54">
        <f>(M807-M806)/M806</f>
        <v/>
      </c>
      <c r="O806" s="54">
        <f>(M810-M806)/M806</f>
        <v/>
      </c>
      <c r="P806" s="4">
        <f>B806-D806</f>
        <v/>
      </c>
      <c r="Q806" s="4">
        <f>AVERAGE(P803:P806)</f>
        <v/>
      </c>
      <c r="R806" s="54">
        <f>(M807-M806)/M806</f>
        <v/>
      </c>
      <c r="S806" s="54">
        <f>(M810-M806)/M806</f>
        <v/>
      </c>
      <c r="T806" s="63">
        <f>IF(R806&gt;0,1,"")</f>
        <v/>
      </c>
      <c r="U806" s="63">
        <f>IF(S806&gt;0,1,"")</f>
        <v/>
      </c>
    </row>
    <row r="807">
      <c r="A807" s="35" t="n">
        <v>37539</v>
      </c>
      <c r="B807" s="4" t="n">
        <v>0.2885</v>
      </c>
      <c r="C807" s="4" t="n">
        <v>0.1635</v>
      </c>
      <c r="D807" s="4" t="n">
        <v>0.5481</v>
      </c>
      <c r="E807" s="63" t="n">
        <v>1.0001</v>
      </c>
      <c r="F807" s="63" t="n">
        <v>0.357425</v>
      </c>
      <c r="G807" s="63" t="n">
        <v>-0.2596</v>
      </c>
      <c r="H807" s="63" t="n">
        <v>0.384907436629</v>
      </c>
      <c r="I807" s="63" t="n">
        <v>0.48829287048</v>
      </c>
      <c r="J807" s="63" t="n">
        <v>0.281522002778</v>
      </c>
      <c r="K807" s="63" t="n">
        <v>808.86</v>
      </c>
      <c r="L807" s="63" t="n">
        <v>775.8</v>
      </c>
      <c r="M807" s="63" t="n">
        <v>776.76</v>
      </c>
      <c r="N807" s="54">
        <f>(M808-M807)/M807</f>
        <v/>
      </c>
      <c r="O807" s="54">
        <f>(M811-M807)/M807</f>
        <v/>
      </c>
      <c r="P807" s="4">
        <f>B807-D807</f>
        <v/>
      </c>
      <c r="Q807" s="4">
        <f>AVERAGE(P804:P807)</f>
        <v/>
      </c>
      <c r="R807" s="54">
        <f>(M808-M807)/M807</f>
        <v/>
      </c>
      <c r="S807" s="54">
        <f>(M811-M807)/M807</f>
        <v/>
      </c>
      <c r="T807" s="63">
        <f>IF(R807&gt;0,1,"")</f>
        <v/>
      </c>
      <c r="U807" s="63">
        <f>IF(S807&gt;0,1,"")</f>
        <v/>
      </c>
    </row>
    <row r="808">
      <c r="A808" s="35" t="n">
        <v>37546</v>
      </c>
      <c r="B808" s="4" t="n">
        <v>0.3947</v>
      </c>
      <c r="C808" s="4" t="n">
        <v>0.2105</v>
      </c>
      <c r="D808" s="4" t="n">
        <v>0.3947</v>
      </c>
      <c r="E808" s="63" t="n">
        <v>0.9999</v>
      </c>
      <c r="F808" s="63" t="n">
        <v>0.352075</v>
      </c>
      <c r="G808" s="63" t="n">
        <v>0</v>
      </c>
      <c r="H808" s="63" t="n">
        <v>0.384907436629</v>
      </c>
      <c r="I808" s="63" t="n">
        <v>0.48829287048</v>
      </c>
      <c r="J808" s="63" t="n">
        <v>0.281522002778</v>
      </c>
      <c r="K808" s="63" t="n">
        <v>881.27</v>
      </c>
      <c r="L808" s="63" t="n">
        <v>828.37</v>
      </c>
      <c r="M808" s="63" t="n">
        <v>860.02</v>
      </c>
      <c r="N808" s="54">
        <f>(M809-M808)/M808</f>
        <v/>
      </c>
      <c r="O808" s="54">
        <f>(M812-M808)/M808</f>
        <v/>
      </c>
      <c r="P808" s="4">
        <f>B808-D808</f>
        <v/>
      </c>
      <c r="Q808" s="4">
        <f>AVERAGE(P805:P808)</f>
        <v/>
      </c>
      <c r="R808" s="54">
        <f>(M809-M808)/M808</f>
        <v/>
      </c>
      <c r="S808" s="54">
        <f>(M812-M808)/M808</f>
        <v/>
      </c>
      <c r="T808" s="63">
        <f>IF(R808&gt;0,1,"")</f>
        <v/>
      </c>
      <c r="U808" s="63">
        <f>IF(S808&gt;0,1,"")</f>
        <v/>
      </c>
    </row>
    <row r="809">
      <c r="A809" s="35" t="n">
        <v>37553</v>
      </c>
      <c r="B809" s="4" t="n">
        <v>0.4458</v>
      </c>
      <c r="C809" s="4" t="n">
        <v>0.2169</v>
      </c>
      <c r="D809" s="4" t="n">
        <v>0.3373</v>
      </c>
      <c r="E809" s="63" t="n">
        <v>1</v>
      </c>
      <c r="F809" s="63" t="n">
        <v>0.3453</v>
      </c>
      <c r="G809" s="63" t="n">
        <v>0.1085</v>
      </c>
      <c r="H809" s="63" t="n">
        <v>0.384907436629</v>
      </c>
      <c r="I809" s="63" t="n">
        <v>0.48829287048</v>
      </c>
      <c r="J809" s="63" t="n">
        <v>0.281522002778</v>
      </c>
      <c r="K809" s="63" t="n">
        <v>900.6900000000001</v>
      </c>
      <c r="L809" s="63" t="n">
        <v>873.0599999999999</v>
      </c>
      <c r="M809" s="63" t="n">
        <v>896.14</v>
      </c>
      <c r="N809" s="54">
        <f>(M810-M809)/M809</f>
        <v/>
      </c>
      <c r="O809" s="54">
        <f>(M813-M809)/M809</f>
        <v/>
      </c>
      <c r="P809" s="4">
        <f>B809-D809</f>
        <v/>
      </c>
      <c r="Q809" s="4">
        <f>AVERAGE(P806:P809)</f>
        <v/>
      </c>
      <c r="R809" s="54">
        <f>(M810-M809)/M809</f>
        <v/>
      </c>
      <c r="S809" s="54">
        <f>(M813-M809)/M809</f>
        <v/>
      </c>
      <c r="T809" s="63">
        <f>IF(R809&gt;0,1,"")</f>
        <v/>
      </c>
      <c r="U809" s="63">
        <f>IF(S809&gt;0,1,"")</f>
        <v/>
      </c>
    </row>
    <row r="810">
      <c r="A810" s="35" t="n">
        <v>37560</v>
      </c>
      <c r="B810" s="4" t="n">
        <v>0.5147</v>
      </c>
      <c r="C810" s="4" t="n">
        <v>0.2059</v>
      </c>
      <c r="D810" s="4" t="n">
        <v>0.2794</v>
      </c>
      <c r="E810" s="63" t="n">
        <v>1</v>
      </c>
      <c r="F810" s="63" t="n">
        <v>0.3702875</v>
      </c>
      <c r="G810" s="63" t="n">
        <v>0.2353</v>
      </c>
      <c r="H810" s="63" t="n">
        <v>0.384907436629</v>
      </c>
      <c r="I810" s="63" t="n">
        <v>0.48829287048</v>
      </c>
      <c r="J810" s="63" t="n">
        <v>0.281522002778</v>
      </c>
      <c r="K810" s="63" t="n">
        <v>907.4400000000001</v>
      </c>
      <c r="L810" s="63" t="n">
        <v>867.91</v>
      </c>
      <c r="M810" s="63" t="n">
        <v>890.71</v>
      </c>
      <c r="N810" s="54">
        <f>(M811-M810)/M810</f>
        <v/>
      </c>
      <c r="O810" s="54">
        <f>(M814-M810)/M810</f>
        <v/>
      </c>
      <c r="P810" s="4">
        <f>B810-D810</f>
        <v/>
      </c>
      <c r="Q810" s="4">
        <f>AVERAGE(P807:P810)</f>
        <v/>
      </c>
      <c r="R810" s="54">
        <f>(M811-M810)/M810</f>
        <v/>
      </c>
      <c r="S810" s="54">
        <f>(M814-M810)/M810</f>
        <v/>
      </c>
      <c r="T810" s="63">
        <f>IF(R810&gt;0,1,"")</f>
        <v/>
      </c>
      <c r="U810" s="63">
        <f>IF(S810&gt;0,1,"")</f>
        <v/>
      </c>
    </row>
    <row r="811">
      <c r="A811" s="35" t="n">
        <v>37567</v>
      </c>
      <c r="B811" s="4" t="n">
        <v>0.5</v>
      </c>
      <c r="C811" s="4" t="n">
        <v>0.2368</v>
      </c>
      <c r="D811" s="4" t="n">
        <v>0.2632</v>
      </c>
      <c r="E811" s="63" t="n">
        <v>1</v>
      </c>
      <c r="F811" s="63" t="n">
        <v>0.3848375</v>
      </c>
      <c r="G811" s="63" t="n">
        <v>0.2368</v>
      </c>
      <c r="H811" s="63" t="n">
        <v>0.384907436629</v>
      </c>
      <c r="I811" s="63" t="n">
        <v>0.48829287048</v>
      </c>
      <c r="J811" s="63" t="n">
        <v>0.281522002778</v>
      </c>
      <c r="K811" s="63" t="n">
        <v>925.66</v>
      </c>
      <c r="L811" s="63" t="n">
        <v>900.96</v>
      </c>
      <c r="M811" s="63" t="n">
        <v>923.76</v>
      </c>
      <c r="N811" s="54">
        <f>(M812-M811)/M811</f>
        <v/>
      </c>
      <c r="O811" s="54">
        <f>(M815-M811)/M811</f>
        <v/>
      </c>
      <c r="P811" s="4">
        <f>B811-D811</f>
        <v/>
      </c>
      <c r="Q811" s="4">
        <f>AVERAGE(P808:P811)</f>
        <v/>
      </c>
      <c r="R811" s="54">
        <f>(M812-M811)/M811</f>
        <v/>
      </c>
      <c r="S811" s="54">
        <f>(M815-M811)/M811</f>
        <v/>
      </c>
      <c r="T811" s="63">
        <f>IF(R811&gt;0,1,"")</f>
        <v/>
      </c>
      <c r="U811" s="63">
        <f>IF(S811&gt;0,1,"")</f>
        <v/>
      </c>
    </row>
    <row r="812">
      <c r="A812" s="35" t="n">
        <v>37574</v>
      </c>
      <c r="B812" s="4" t="n">
        <v>0.4865</v>
      </c>
      <c r="C812" s="4" t="n">
        <v>0.1892</v>
      </c>
      <c r="D812" s="4" t="n">
        <v>0.3243</v>
      </c>
      <c r="E812" s="63" t="n">
        <v>1</v>
      </c>
      <c r="F812" s="63" t="n">
        <v>0.403425</v>
      </c>
      <c r="G812" s="63" t="n">
        <v>0.1622</v>
      </c>
      <c r="H812" s="63" t="n">
        <v>0.384907436629</v>
      </c>
      <c r="I812" s="63" t="n">
        <v>0.48829287048</v>
      </c>
      <c r="J812" s="63" t="n">
        <v>0.281522002778</v>
      </c>
      <c r="K812" s="63" t="n">
        <v>894.74</v>
      </c>
      <c r="L812" s="63" t="n">
        <v>872.05</v>
      </c>
      <c r="M812" s="63" t="n">
        <v>882.53</v>
      </c>
      <c r="N812" s="54">
        <f>(M813-M812)/M812</f>
        <v/>
      </c>
      <c r="O812" s="54">
        <f>(M816-M812)/M812</f>
        <v/>
      </c>
      <c r="P812" s="4">
        <f>B812-D812</f>
        <v/>
      </c>
      <c r="Q812" s="4">
        <f>AVERAGE(P809:P812)</f>
        <v/>
      </c>
      <c r="R812" s="54">
        <f>(M813-M812)/M812</f>
        <v/>
      </c>
      <c r="S812" s="54">
        <f>(M816-M812)/M812</f>
        <v/>
      </c>
      <c r="T812" s="63">
        <f>IF(R812&gt;0,1,"")</f>
        <v/>
      </c>
      <c r="U812" s="63">
        <f>IF(S812&gt;0,1,"")</f>
        <v/>
      </c>
    </row>
    <row r="813">
      <c r="A813" s="35" t="n">
        <v>37581</v>
      </c>
      <c r="B813" s="4" t="n">
        <v>0.5056</v>
      </c>
      <c r="C813" s="4" t="n">
        <v>0.2809</v>
      </c>
      <c r="D813" s="4" t="n">
        <v>0.2135</v>
      </c>
      <c r="E813" s="63" t="n">
        <v>1</v>
      </c>
      <c r="F813" s="63" t="n">
        <v>0.4359875</v>
      </c>
      <c r="G813" s="63" t="n">
        <v>0.2921</v>
      </c>
      <c r="H813" s="63" t="n">
        <v>0.384907436629</v>
      </c>
      <c r="I813" s="63" t="n">
        <v>0.48829287048</v>
      </c>
      <c r="J813" s="63" t="n">
        <v>0.281522002778</v>
      </c>
      <c r="K813" s="63" t="n">
        <v>915.91</v>
      </c>
      <c r="L813" s="63" t="n">
        <v>893.09</v>
      </c>
      <c r="M813" s="63" t="n">
        <v>914.15</v>
      </c>
      <c r="N813" s="54">
        <f>(M814-M813)/M813</f>
        <v/>
      </c>
      <c r="O813" s="54">
        <f>(M817-M813)/M813</f>
        <v/>
      </c>
      <c r="P813" s="4">
        <f>B813-D813</f>
        <v/>
      </c>
      <c r="Q813" s="4">
        <f>AVERAGE(P810:P813)</f>
        <v/>
      </c>
      <c r="R813" s="54">
        <f>(M814-M813)/M813</f>
        <v/>
      </c>
      <c r="S813" s="54">
        <f>(M817-M813)/M813</f>
        <v/>
      </c>
      <c r="T813" s="63">
        <f>IF(R813&gt;0,1,"")</f>
        <v/>
      </c>
      <c r="U813" s="63">
        <f>IF(S813&gt;0,1,"")</f>
        <v/>
      </c>
    </row>
    <row r="814">
      <c r="A814" s="35" t="n">
        <v>37588</v>
      </c>
      <c r="B814" s="4" t="n">
        <v>0.5106000000000001</v>
      </c>
      <c r="C814" s="4" t="n">
        <v>0.1702</v>
      </c>
      <c r="D814" s="4" t="n">
        <v>0.3191</v>
      </c>
      <c r="E814" s="63" t="n">
        <v>0.9999</v>
      </c>
      <c r="F814" s="63" t="n">
        <v>0.4558</v>
      </c>
      <c r="G814" s="63" t="n">
        <v>0.1915</v>
      </c>
      <c r="H814" s="63" t="n">
        <v>0.384907436629</v>
      </c>
      <c r="I814" s="63" t="n">
        <v>0.48829287048</v>
      </c>
      <c r="J814" s="63" t="n">
        <v>0.281522002778</v>
      </c>
      <c r="K814" s="63" t="n">
        <v>941.8200000000001</v>
      </c>
      <c r="L814" s="63" t="n">
        <v>912.1</v>
      </c>
      <c r="M814" s="63" t="n">
        <v>936.3099999999999</v>
      </c>
      <c r="N814" s="54">
        <f>(M815-M814)/M814</f>
        <v/>
      </c>
      <c r="O814" s="54">
        <f>(M818-M814)/M814</f>
        <v/>
      </c>
      <c r="P814" s="4">
        <f>B814-D814</f>
        <v/>
      </c>
      <c r="Q814" s="4">
        <f>AVERAGE(P811:P814)</f>
        <v/>
      </c>
      <c r="R814" s="54">
        <f>(M815-M814)/M814</f>
        <v/>
      </c>
      <c r="S814" s="54">
        <f>(M818-M814)/M814</f>
        <v/>
      </c>
      <c r="T814" s="63">
        <f>IF(R814&gt;0,1,"")</f>
        <v/>
      </c>
      <c r="U814" s="63">
        <f>IF(S814&gt;0,1,"")</f>
        <v/>
      </c>
    </row>
    <row r="815">
      <c r="A815" s="35" t="n">
        <v>37595</v>
      </c>
      <c r="B815" s="4" t="n">
        <v>0.5294</v>
      </c>
      <c r="C815" s="4" t="n">
        <v>0.2941</v>
      </c>
      <c r="D815" s="4" t="n">
        <v>0.1765</v>
      </c>
      <c r="E815" s="63" t="n">
        <v>1</v>
      </c>
      <c r="F815" s="63" t="n">
        <v>0.4859125</v>
      </c>
      <c r="G815" s="63" t="n">
        <v>0.3529</v>
      </c>
      <c r="H815" s="63" t="n">
        <v>0.384907436629</v>
      </c>
      <c r="I815" s="63" t="n">
        <v>0.48829287048</v>
      </c>
      <c r="J815" s="63" t="n">
        <v>0.281522002778</v>
      </c>
      <c r="K815" s="63" t="n">
        <v>954.28</v>
      </c>
      <c r="L815" s="63" t="n">
        <v>927.72</v>
      </c>
      <c r="M815" s="63" t="n">
        <v>934.53</v>
      </c>
      <c r="N815" s="54">
        <f>(M816-M815)/M815</f>
        <v/>
      </c>
      <c r="O815" s="54">
        <f>(M819-M815)/M815</f>
        <v/>
      </c>
      <c r="P815" s="4">
        <f>B815-D815</f>
        <v/>
      </c>
      <c r="Q815" s="4">
        <f>AVERAGE(P812:P815)</f>
        <v/>
      </c>
      <c r="R815" s="54">
        <f>(M816-M815)/M815</f>
        <v/>
      </c>
      <c r="S815" s="54">
        <f>(M819-M815)/M815</f>
        <v/>
      </c>
      <c r="T815" s="63">
        <f>IF(R815&gt;0,1,"")</f>
        <v/>
      </c>
      <c r="U815" s="63">
        <f>IF(S815&gt;0,1,"")</f>
        <v/>
      </c>
    </row>
    <row r="816">
      <c r="A816" s="35" t="n">
        <v>37602</v>
      </c>
      <c r="B816" s="4" t="n">
        <v>0.4138</v>
      </c>
      <c r="C816" s="4" t="n">
        <v>0.3448</v>
      </c>
      <c r="D816" s="4" t="n">
        <v>0.2414</v>
      </c>
      <c r="E816" s="63" t="n">
        <v>1</v>
      </c>
      <c r="F816" s="63" t="n">
        <v>0.4883</v>
      </c>
      <c r="G816" s="63" t="n">
        <v>0.1724</v>
      </c>
      <c r="H816" s="63" t="n">
        <v>0.384907436629</v>
      </c>
      <c r="I816" s="63" t="n">
        <v>0.48829287048</v>
      </c>
      <c r="J816" s="63" t="n">
        <v>0.281522002778</v>
      </c>
      <c r="K816" s="63" t="n">
        <v>912.23</v>
      </c>
      <c r="L816" s="63" t="n">
        <v>891.97</v>
      </c>
      <c r="M816" s="63" t="n">
        <v>904.96</v>
      </c>
      <c r="N816" s="54">
        <f>(M817-M816)/M816</f>
        <v/>
      </c>
      <c r="O816" s="54">
        <f>(M820-M816)/M816</f>
        <v/>
      </c>
      <c r="P816" s="4">
        <f>B816-D816</f>
        <v/>
      </c>
      <c r="Q816" s="4">
        <f>AVERAGE(P813:P816)</f>
        <v/>
      </c>
      <c r="R816" s="54">
        <f>(M817-M816)/M816</f>
        <v/>
      </c>
      <c r="S816" s="54">
        <f>(M820-M816)/M816</f>
        <v/>
      </c>
      <c r="T816" s="63">
        <f>IF(R816&gt;0,1,"")</f>
        <v/>
      </c>
      <c r="U816" s="63">
        <f>IF(S816&gt;0,1,"")</f>
        <v/>
      </c>
    </row>
    <row r="817">
      <c r="A817" s="35" t="n">
        <v>37609</v>
      </c>
      <c r="B817" s="4" t="n">
        <v>0.4286</v>
      </c>
      <c r="C817" s="4" t="n">
        <v>0.2714</v>
      </c>
      <c r="D817" s="4" t="n">
        <v>0.3</v>
      </c>
      <c r="E817" s="63" t="n">
        <v>1</v>
      </c>
      <c r="F817" s="63" t="n">
        <v>0.48615</v>
      </c>
      <c r="G817" s="63" t="n">
        <v>0.1286</v>
      </c>
      <c r="H817" s="63" t="n">
        <v>0.384907436629</v>
      </c>
      <c r="I817" s="63" t="n">
        <v>0.48829287048</v>
      </c>
      <c r="J817" s="63" t="n">
        <v>0.281522002778</v>
      </c>
      <c r="K817" s="63" t="n">
        <v>911.22</v>
      </c>
      <c r="L817" s="63" t="n">
        <v>887.8200000000001</v>
      </c>
      <c r="M817" s="63" t="n">
        <v>891.12</v>
      </c>
      <c r="N817" s="54">
        <f>(M818-M817)/M817</f>
        <v/>
      </c>
      <c r="O817" s="54">
        <f>(M821-M817)/M817</f>
        <v/>
      </c>
      <c r="P817" s="4">
        <f>B817-D817</f>
        <v/>
      </c>
      <c r="Q817" s="4">
        <f>AVERAGE(P814:P817)</f>
        <v/>
      </c>
      <c r="R817" s="54">
        <f>(M818-M817)/M817</f>
        <v/>
      </c>
      <c r="S817" s="54">
        <f>(M821-M817)/M817</f>
        <v/>
      </c>
      <c r="T817" s="63">
        <f>IF(R817&gt;0,1,"")</f>
        <v/>
      </c>
      <c r="U817" s="63">
        <f>IF(S817&gt;0,1,"")</f>
        <v/>
      </c>
    </row>
    <row r="818">
      <c r="A818" s="35" t="n">
        <v>37616</v>
      </c>
      <c r="B818" s="4" t="n">
        <v>0.4</v>
      </c>
      <c r="C818" s="4" t="n">
        <v>0.28</v>
      </c>
      <c r="D818" s="4" t="n">
        <v>0.32</v>
      </c>
      <c r="E818" s="63" t="n">
        <v>1</v>
      </c>
      <c r="F818" s="63" t="n">
        <v>0.4718125</v>
      </c>
      <c r="G818" s="63" t="n">
        <v>0.08</v>
      </c>
      <c r="H818" s="63" t="n">
        <v>0.384907436629</v>
      </c>
      <c r="I818" s="63" t="n">
        <v>0.48829287048</v>
      </c>
      <c r="J818" s="63" t="n">
        <v>0.281522002778</v>
      </c>
      <c r="K818" s="63" t="n">
        <v>902.4299999999999</v>
      </c>
      <c r="L818" s="63" t="n">
        <v>892.26</v>
      </c>
      <c r="M818" s="63" t="n">
        <v>897.38</v>
      </c>
      <c r="N818" s="54">
        <f>(M819-M818)/M818</f>
        <v/>
      </c>
      <c r="O818" s="54">
        <f>(M822-M818)/M818</f>
        <v/>
      </c>
      <c r="P818" s="4">
        <f>B818-D818</f>
        <v/>
      </c>
      <c r="Q818" s="4">
        <f>AVERAGE(P815:P818)</f>
        <v/>
      </c>
      <c r="R818" s="54">
        <f>(M819-M818)/M818</f>
        <v/>
      </c>
      <c r="S818" s="54">
        <f>(M822-M818)/M818</f>
        <v/>
      </c>
      <c r="T818" s="63">
        <f>IF(R818&gt;0,1,"")</f>
        <v/>
      </c>
      <c r="U818" s="63">
        <f>IF(S818&gt;0,1,"")</f>
        <v/>
      </c>
    </row>
    <row r="819">
      <c r="A819" s="35" t="n">
        <v>37623</v>
      </c>
      <c r="B819" s="4" t="n">
        <v>0.3243</v>
      </c>
      <c r="C819" s="4" t="n">
        <v>0.2973</v>
      </c>
      <c r="D819" s="4" t="n">
        <v>0.3784</v>
      </c>
      <c r="E819" s="63" t="n">
        <v>1</v>
      </c>
      <c r="F819" s="63" t="n">
        <v>0.44985</v>
      </c>
      <c r="G819" s="63" t="n">
        <v>-0.0541</v>
      </c>
      <c r="H819" s="63" t="n">
        <v>0.384907436629</v>
      </c>
      <c r="I819" s="63" t="n">
        <v>0.48829287048</v>
      </c>
      <c r="J819" s="63" t="n">
        <v>0.281522002778</v>
      </c>
      <c r="K819" s="63" t="n">
        <v>882.1</v>
      </c>
      <c r="L819" s="63" t="n">
        <v>869.45</v>
      </c>
      <c r="M819" s="63" t="n">
        <v>879.8200000000001</v>
      </c>
      <c r="N819" s="54">
        <f>(M820-M819)/M819</f>
        <v/>
      </c>
      <c r="O819" s="54">
        <f>(M823-M819)/M819</f>
        <v/>
      </c>
      <c r="P819" s="4">
        <f>B819-D819</f>
        <v/>
      </c>
      <c r="Q819" s="4">
        <f>AVERAGE(P816:P819)</f>
        <v/>
      </c>
      <c r="R819" s="54">
        <f>(M820-M819)/M819</f>
        <v/>
      </c>
      <c r="S819" s="54">
        <f>(M823-M819)/M819</f>
        <v/>
      </c>
      <c r="T819" s="63">
        <f>IF(R819&gt;0,1,"")</f>
        <v/>
      </c>
      <c r="U819" s="63">
        <f>IF(S819&gt;0,1,"")</f>
        <v/>
      </c>
    </row>
    <row r="820">
      <c r="A820" s="35" t="n">
        <v>37630</v>
      </c>
      <c r="B820" s="4" t="n">
        <v>0.381</v>
      </c>
      <c r="C820" s="4" t="n">
        <v>0.1905</v>
      </c>
      <c r="D820" s="4" t="n">
        <v>0.4286</v>
      </c>
      <c r="E820" s="63" t="n">
        <v>1.0001</v>
      </c>
      <c r="F820" s="63" t="n">
        <v>0.4366625</v>
      </c>
      <c r="G820" s="63" t="n">
        <v>-0.0476</v>
      </c>
      <c r="H820" s="63" t="n">
        <v>0.384907436629</v>
      </c>
      <c r="I820" s="63" t="n">
        <v>0.48829287048</v>
      </c>
      <c r="J820" s="63" t="n">
        <v>0.281522002778</v>
      </c>
      <c r="K820" s="63" t="n">
        <v>931.77</v>
      </c>
      <c r="L820" s="63" t="n">
        <v>908.3200000000001</v>
      </c>
      <c r="M820" s="63" t="n">
        <v>909.9299999999999</v>
      </c>
      <c r="N820" s="54">
        <f>(M821-M820)/M820</f>
        <v/>
      </c>
      <c r="O820" s="54">
        <f>(M824-M820)/M820</f>
        <v/>
      </c>
      <c r="P820" s="4">
        <f>B820-D820</f>
        <v/>
      </c>
      <c r="Q820" s="4">
        <f>AVERAGE(P817:P820)</f>
        <v/>
      </c>
      <c r="R820" s="54">
        <f>(M821-M820)/M820</f>
        <v/>
      </c>
      <c r="S820" s="54">
        <f>(M824-M820)/M820</f>
        <v/>
      </c>
      <c r="T820" s="63">
        <f>IF(R820&gt;0,1,"")</f>
        <v/>
      </c>
      <c r="U820" s="63">
        <f>IF(S820&gt;0,1,"")</f>
        <v/>
      </c>
    </row>
    <row r="821">
      <c r="A821" s="35" t="n">
        <v>37637</v>
      </c>
      <c r="B821" s="4" t="n">
        <v>0.2917</v>
      </c>
      <c r="C821" s="4" t="n">
        <v>0.4167</v>
      </c>
      <c r="D821" s="4" t="n">
        <v>0.2917</v>
      </c>
      <c r="E821" s="63" t="n">
        <v>1.0001</v>
      </c>
      <c r="F821" s="63" t="n">
        <v>0.409925</v>
      </c>
      <c r="G821" s="63" t="n">
        <v>0</v>
      </c>
      <c r="H821" s="63" t="n">
        <v>0.384907436629</v>
      </c>
      <c r="I821" s="63" t="n">
        <v>0.48829287048</v>
      </c>
      <c r="J821" s="63" t="n">
        <v>0.281522002778</v>
      </c>
      <c r="K821" s="63" t="n">
        <v>935.05</v>
      </c>
      <c r="L821" s="63" t="n">
        <v>916.7</v>
      </c>
      <c r="M821" s="63" t="n">
        <v>918.22</v>
      </c>
      <c r="N821" s="54">
        <f>(M822-M821)/M821</f>
        <v/>
      </c>
      <c r="O821" s="54">
        <f>(M825-M821)/M821</f>
        <v/>
      </c>
      <c r="P821" s="4">
        <f>B821-D821</f>
        <v/>
      </c>
      <c r="Q821" s="4">
        <f>AVERAGE(P818:P821)</f>
        <v/>
      </c>
      <c r="R821" s="54">
        <f>(M822-M821)/M821</f>
        <v/>
      </c>
      <c r="S821" s="54">
        <f>(M825-M821)/M821</f>
        <v/>
      </c>
      <c r="T821" s="63">
        <f>IF(R821&gt;0,1,"")</f>
        <v/>
      </c>
      <c r="U821" s="63">
        <f>IF(S821&gt;0,1,"")</f>
        <v/>
      </c>
    </row>
    <row r="822">
      <c r="A822" s="35" t="n">
        <v>37644</v>
      </c>
      <c r="B822" s="4" t="n">
        <v>0.25</v>
      </c>
      <c r="C822" s="4" t="n">
        <v>0.3182</v>
      </c>
      <c r="D822" s="4" t="n">
        <v>0.4318</v>
      </c>
      <c r="E822" s="63" t="n">
        <v>1</v>
      </c>
      <c r="F822" s="63" t="n">
        <v>0.37735</v>
      </c>
      <c r="G822" s="63" t="n">
        <v>-0.1818</v>
      </c>
      <c r="H822" s="63" t="n">
        <v>0.384907436629</v>
      </c>
      <c r="I822" s="63" t="n">
        <v>0.48829287048</v>
      </c>
      <c r="J822" s="63" t="n">
        <v>0.281522002778</v>
      </c>
      <c r="K822" s="63" t="n">
        <v>906</v>
      </c>
      <c r="L822" s="63" t="n">
        <v>877.64</v>
      </c>
      <c r="M822" s="63" t="n">
        <v>878.36</v>
      </c>
      <c r="N822" s="54">
        <f>(M823-M822)/M822</f>
        <v/>
      </c>
      <c r="O822" s="54">
        <f>(M826-M822)/M822</f>
        <v/>
      </c>
      <c r="P822" s="4">
        <f>B822-D822</f>
        <v/>
      </c>
      <c r="Q822" s="4">
        <f>AVERAGE(P819:P822)</f>
        <v/>
      </c>
      <c r="R822" s="54">
        <f>(M823-M822)/M822</f>
        <v/>
      </c>
      <c r="S822" s="54">
        <f>(M826-M822)/M822</f>
        <v/>
      </c>
      <c r="T822" s="63">
        <f>IF(R822&gt;0,1,"")</f>
        <v/>
      </c>
      <c r="U822" s="63">
        <f>IF(S822&gt;0,1,"")</f>
        <v/>
      </c>
    </row>
    <row r="823">
      <c r="A823" s="35" t="n">
        <v>37651</v>
      </c>
      <c r="B823" s="4" t="n">
        <v>0.2553</v>
      </c>
      <c r="C823" s="4" t="n">
        <v>0.266</v>
      </c>
      <c r="D823" s="4" t="n">
        <v>0.4787</v>
      </c>
      <c r="E823" s="63" t="n">
        <v>1</v>
      </c>
      <c r="F823" s="63" t="n">
        <v>0.3430875</v>
      </c>
      <c r="G823" s="63" t="n">
        <v>-0.2234</v>
      </c>
      <c r="H823" s="63" t="n">
        <v>0.384907436629</v>
      </c>
      <c r="I823" s="63" t="n">
        <v>0.48829287048</v>
      </c>
      <c r="J823" s="63" t="n">
        <v>0.281522002778</v>
      </c>
      <c r="K823" s="63" t="n">
        <v>868.72</v>
      </c>
      <c r="L823" s="63" t="n">
        <v>844.25</v>
      </c>
      <c r="M823" s="63" t="n">
        <v>864.36</v>
      </c>
      <c r="N823" s="54">
        <f>(M824-M823)/M823</f>
        <v/>
      </c>
      <c r="O823" s="54">
        <f>(M827-M823)/M823</f>
        <v/>
      </c>
      <c r="P823" s="4">
        <f>B823-D823</f>
        <v/>
      </c>
      <c r="Q823" s="4">
        <f>AVERAGE(P820:P823)</f>
        <v/>
      </c>
      <c r="R823" s="54">
        <f>(M824-M823)/M823</f>
        <v/>
      </c>
      <c r="S823" s="54">
        <f>(M827-M823)/M823</f>
        <v/>
      </c>
      <c r="T823" s="63">
        <f>IF(R823&gt;0,1,"")</f>
        <v/>
      </c>
      <c r="U823" s="63">
        <f>IF(S823&gt;0,1,"")</f>
        <v/>
      </c>
    </row>
    <row r="824">
      <c r="A824" s="35" t="n">
        <v>37658</v>
      </c>
      <c r="B824" s="4" t="n">
        <v>0.2286</v>
      </c>
      <c r="C824" s="4" t="n">
        <v>0.5143</v>
      </c>
      <c r="D824" s="4" t="n">
        <v>0.2571</v>
      </c>
      <c r="E824" s="63" t="n">
        <v>1</v>
      </c>
      <c r="F824" s="63" t="n">
        <v>0.3199375</v>
      </c>
      <c r="G824" s="63" t="n">
        <v>-0.0285</v>
      </c>
      <c r="H824" s="63" t="n">
        <v>0.384907436629</v>
      </c>
      <c r="I824" s="63" t="n">
        <v>0.48829287048</v>
      </c>
      <c r="J824" s="63" t="n">
        <v>0.281522002778</v>
      </c>
      <c r="K824" s="63" t="n">
        <v>864.64</v>
      </c>
      <c r="L824" s="63" t="n">
        <v>840.1900000000001</v>
      </c>
      <c r="M824" s="63" t="n">
        <v>843.59</v>
      </c>
      <c r="N824" s="54">
        <f>(M825-M824)/M824</f>
        <v/>
      </c>
      <c r="O824" s="54">
        <f>(M828-M824)/M824</f>
        <v/>
      </c>
      <c r="P824" s="4">
        <f>B824-D824</f>
        <v/>
      </c>
      <c r="Q824" s="4">
        <f>AVERAGE(P821:P824)</f>
        <v/>
      </c>
      <c r="R824" s="54">
        <f>(M825-M824)/M824</f>
        <v/>
      </c>
      <c r="S824" s="54">
        <f>(M828-M824)/M824</f>
        <v/>
      </c>
      <c r="T824" s="63">
        <f>IF(R824&gt;0,1,"")</f>
        <v/>
      </c>
      <c r="U824" s="63">
        <f>IF(S824&gt;0,1,"")</f>
        <v/>
      </c>
    </row>
    <row r="825">
      <c r="A825" s="35" t="n">
        <v>37665</v>
      </c>
      <c r="B825" s="4" t="n">
        <v>0.219</v>
      </c>
      <c r="C825" s="4" t="n">
        <v>0.4</v>
      </c>
      <c r="D825" s="4" t="n">
        <v>0.381</v>
      </c>
      <c r="E825" s="63" t="n">
        <v>1</v>
      </c>
      <c r="F825" s="63" t="n">
        <v>0.2937375</v>
      </c>
      <c r="G825" s="63" t="n">
        <v>-0.162</v>
      </c>
      <c r="H825" s="63" t="n">
        <v>0.384907436629</v>
      </c>
      <c r="I825" s="63" t="n">
        <v>0.48829287048</v>
      </c>
      <c r="J825" s="63" t="n">
        <v>0.281522002778</v>
      </c>
      <c r="K825" s="63" t="n">
        <v>843.02</v>
      </c>
      <c r="L825" s="63" t="n">
        <v>818.49</v>
      </c>
      <c r="M825" s="63" t="n">
        <v>818.6799999999999</v>
      </c>
      <c r="N825" s="54">
        <f>(M826-M825)/M825</f>
        <v/>
      </c>
      <c r="O825" s="54">
        <f>(M829-M825)/M825</f>
        <v/>
      </c>
      <c r="P825" s="4">
        <f>B825-D825</f>
        <v/>
      </c>
      <c r="Q825" s="4">
        <f>AVERAGE(P822:P825)</f>
        <v/>
      </c>
      <c r="R825" s="54">
        <f>(M826-M825)/M825</f>
        <v/>
      </c>
      <c r="S825" s="54">
        <f>(M829-M825)/M825</f>
        <v/>
      </c>
      <c r="T825" s="63">
        <f>IF(R825&gt;0,1,"")</f>
        <v/>
      </c>
      <c r="U825" s="63">
        <f>IF(S825&gt;0,1,"")</f>
        <v/>
      </c>
    </row>
    <row r="826">
      <c r="A826" s="35" t="n">
        <v>37672</v>
      </c>
      <c r="B826" s="4" t="n">
        <v>0.2105</v>
      </c>
      <c r="C826" s="4" t="n">
        <v>0.2105</v>
      </c>
      <c r="D826" s="4" t="n">
        <v>0.5789</v>
      </c>
      <c r="E826" s="63" t="n">
        <v>0.9999</v>
      </c>
      <c r="F826" s="63" t="n">
        <v>0.27005</v>
      </c>
      <c r="G826" s="63" t="n">
        <v>-0.3684</v>
      </c>
      <c r="H826" s="63" t="n">
        <v>0.384907436629</v>
      </c>
      <c r="I826" s="63" t="n">
        <v>0.48829287048</v>
      </c>
      <c r="J826" s="63" t="n">
        <v>0.281522002778</v>
      </c>
      <c r="K826" s="63" t="n">
        <v>852.87</v>
      </c>
      <c r="L826" s="63" t="n">
        <v>834.89</v>
      </c>
      <c r="M826" s="63" t="n">
        <v>845.13</v>
      </c>
      <c r="N826" s="54">
        <f>(M827-M826)/M826</f>
        <v/>
      </c>
      <c r="O826" s="54">
        <f>(M830-M826)/M826</f>
        <v/>
      </c>
      <c r="P826" s="4">
        <f>B826-D826</f>
        <v/>
      </c>
      <c r="Q826" s="4">
        <f>AVERAGE(P823:P826)</f>
        <v/>
      </c>
      <c r="R826" s="54">
        <f>(M827-M826)/M826</f>
        <v/>
      </c>
      <c r="S826" s="54">
        <f>(M830-M826)/M826</f>
        <v/>
      </c>
      <c r="T826" s="63">
        <f>IF(R826&gt;0,1,"")</f>
        <v/>
      </c>
      <c r="U826" s="63">
        <f>IF(S826&gt;0,1,"")</f>
        <v/>
      </c>
    </row>
    <row r="827">
      <c r="A827" s="35" t="n">
        <v>37679</v>
      </c>
      <c r="B827" s="4" t="n">
        <v>0.2602</v>
      </c>
      <c r="C827" s="4" t="n">
        <v>0.2683</v>
      </c>
      <c r="D827" s="4" t="n">
        <v>0.4715</v>
      </c>
      <c r="E827" s="63" t="n">
        <v>1</v>
      </c>
      <c r="F827" s="63" t="n">
        <v>0.2620375</v>
      </c>
      <c r="G827" s="63" t="n">
        <v>-0.2113</v>
      </c>
      <c r="H827" s="63" t="n">
        <v>0.384907436629</v>
      </c>
      <c r="I827" s="63" t="n">
        <v>0.48829287048</v>
      </c>
      <c r="J827" s="63" t="n">
        <v>0.281522002778</v>
      </c>
      <c r="K827" s="63" t="n">
        <v>848.17</v>
      </c>
      <c r="L827" s="63" t="n">
        <v>818.54</v>
      </c>
      <c r="M827" s="63" t="n">
        <v>827.55</v>
      </c>
      <c r="N827" s="54">
        <f>(M828-M827)/M827</f>
        <v/>
      </c>
      <c r="O827" s="54">
        <f>(M831-M827)/M827</f>
        <v/>
      </c>
      <c r="P827" s="4">
        <f>B827-D827</f>
        <v/>
      </c>
      <c r="Q827" s="4">
        <f>AVERAGE(P824:P827)</f>
        <v/>
      </c>
      <c r="R827" s="54">
        <f>(M828-M827)/M827</f>
        <v/>
      </c>
      <c r="S827" s="54">
        <f>(M831-M827)/M827</f>
        <v/>
      </c>
      <c r="T827" s="63">
        <f>IF(R827&gt;0,1,"")</f>
        <v/>
      </c>
      <c r="U827" s="63">
        <f>IF(S827&gt;0,1,"")</f>
        <v/>
      </c>
    </row>
    <row r="828">
      <c r="A828" s="35" t="n">
        <v>37686</v>
      </c>
      <c r="B828" s="4" t="n">
        <v>0.3333</v>
      </c>
      <c r="C828" s="4" t="n">
        <v>0.2727</v>
      </c>
      <c r="D828" s="4" t="n">
        <v>0.3939</v>
      </c>
      <c r="E828" s="63" t="n">
        <v>0.9999</v>
      </c>
      <c r="F828" s="63" t="n">
        <v>0.256075</v>
      </c>
      <c r="G828" s="63" t="n">
        <v>-0.0606</v>
      </c>
      <c r="H828" s="63" t="n">
        <v>0.384907436629</v>
      </c>
      <c r="I828" s="63" t="n">
        <v>0.48829287048</v>
      </c>
      <c r="J828" s="63" t="n">
        <v>0.281522002778</v>
      </c>
      <c r="K828" s="63" t="n">
        <v>852.34</v>
      </c>
      <c r="L828" s="63" t="n">
        <v>819</v>
      </c>
      <c r="M828" s="63" t="n">
        <v>829.85</v>
      </c>
      <c r="N828" s="54">
        <f>(M829-M828)/M828</f>
        <v/>
      </c>
      <c r="O828" s="54">
        <f>(M832-M828)/M828</f>
        <v/>
      </c>
      <c r="P828" s="4">
        <f>B828-D828</f>
        <v/>
      </c>
      <c r="Q828" s="4">
        <f>AVERAGE(P825:P828)</f>
        <v/>
      </c>
      <c r="R828" s="54">
        <f>(M829-M828)/M828</f>
        <v/>
      </c>
      <c r="S828" s="54">
        <f>(M832-M828)/M828</f>
        <v/>
      </c>
      <c r="T828" s="63">
        <f>IF(R828&gt;0,1,"")</f>
        <v/>
      </c>
      <c r="U828" s="63">
        <f>IF(S828&gt;0,1,"")</f>
        <v/>
      </c>
    </row>
    <row r="829">
      <c r="A829" s="35" t="n">
        <v>37693</v>
      </c>
      <c r="B829" s="4" t="n">
        <v>0.3429</v>
      </c>
      <c r="C829" s="4" t="n">
        <v>0.1429</v>
      </c>
      <c r="D829" s="4" t="n">
        <v>0.5143</v>
      </c>
      <c r="E829" s="63" t="n">
        <v>1.0001</v>
      </c>
      <c r="F829" s="63" t="n">
        <v>0.262475</v>
      </c>
      <c r="G829" s="63" t="n">
        <v>-0.1714</v>
      </c>
      <c r="H829" s="63" t="n">
        <v>0.384907436629</v>
      </c>
      <c r="I829" s="63" t="n">
        <v>0.48829287048</v>
      </c>
      <c r="J829" s="63" t="n">
        <v>0.281522002778</v>
      </c>
      <c r="K829" s="63" t="n">
        <v>828.89</v>
      </c>
      <c r="L829" s="63" t="n">
        <v>788.9</v>
      </c>
      <c r="M829" s="63" t="n">
        <v>804.1900000000001</v>
      </c>
      <c r="N829" s="54">
        <f>(M830-M829)/M829</f>
        <v/>
      </c>
      <c r="O829" s="54">
        <f>(M833-M829)/M829</f>
        <v/>
      </c>
      <c r="P829" s="4">
        <f>B829-D829</f>
        <v/>
      </c>
      <c r="Q829" s="4">
        <f>AVERAGE(P826:P829)</f>
        <v/>
      </c>
      <c r="R829" s="54">
        <f>(M830-M829)/M829</f>
        <v/>
      </c>
      <c r="S829" s="54">
        <f>(M833-M829)/M829</f>
        <v/>
      </c>
      <c r="T829" s="63">
        <f>IF(R829&gt;0,1,"")</f>
        <v/>
      </c>
      <c r="U829" s="63">
        <f>IF(S829&gt;0,1,"")</f>
        <v/>
      </c>
    </row>
    <row r="830">
      <c r="A830" s="35" t="n">
        <v>37700</v>
      </c>
      <c r="B830" s="4" t="n">
        <v>0.4286</v>
      </c>
      <c r="C830" s="4" t="n">
        <v>0.1905</v>
      </c>
      <c r="D830" s="4" t="n">
        <v>0.381</v>
      </c>
      <c r="E830" s="63" t="n">
        <v>1.0001</v>
      </c>
      <c r="F830" s="63" t="n">
        <v>0.2848</v>
      </c>
      <c r="G830" s="63" t="n">
        <v>0.0476</v>
      </c>
      <c r="H830" s="63" t="n">
        <v>0.384907436629</v>
      </c>
      <c r="I830" s="63" t="n">
        <v>0.48829287048</v>
      </c>
      <c r="J830" s="63" t="n">
        <v>0.281522002778</v>
      </c>
      <c r="K830" s="63" t="n">
        <v>874.99</v>
      </c>
      <c r="L830" s="63" t="n">
        <v>827.17</v>
      </c>
      <c r="M830" s="63" t="n">
        <v>874.02</v>
      </c>
      <c r="N830" s="54">
        <f>(M831-M830)/M830</f>
        <v/>
      </c>
      <c r="O830" s="54">
        <f>(M834-M830)/M830</f>
        <v/>
      </c>
      <c r="P830" s="4">
        <f>B830-D830</f>
        <v/>
      </c>
      <c r="Q830" s="4">
        <f>AVERAGE(P827:P830)</f>
        <v/>
      </c>
      <c r="R830" s="54">
        <f>(M831-M830)/M830</f>
        <v/>
      </c>
      <c r="S830" s="54">
        <f>(M834-M830)/M830</f>
        <v/>
      </c>
      <c r="T830" s="63">
        <f>IF(R830&gt;0,1,"")</f>
        <v/>
      </c>
      <c r="U830" s="63">
        <f>IF(S830&gt;0,1,"")</f>
        <v/>
      </c>
    </row>
    <row r="831">
      <c r="A831" s="35" t="n">
        <v>37707</v>
      </c>
      <c r="B831" s="4" t="n">
        <v>0.3942</v>
      </c>
      <c r="C831" s="4" t="n">
        <v>0.2788</v>
      </c>
      <c r="D831" s="4" t="n">
        <v>0.3269</v>
      </c>
      <c r="E831" s="63" t="n">
        <v>0.9999</v>
      </c>
      <c r="F831" s="63" t="n">
        <v>0.3021625</v>
      </c>
      <c r="G831" s="63" t="n">
        <v>0.0673</v>
      </c>
      <c r="H831" s="63" t="n">
        <v>0.384907436629</v>
      </c>
      <c r="I831" s="63" t="n">
        <v>0.48829287048</v>
      </c>
      <c r="J831" s="63" t="n">
        <v>0.281522002778</v>
      </c>
      <c r="K831" s="63" t="n">
        <v>895.79</v>
      </c>
      <c r="L831" s="63" t="n">
        <v>862.02</v>
      </c>
      <c r="M831" s="63" t="n">
        <v>869.95</v>
      </c>
      <c r="N831" s="54">
        <f>(M832-M831)/M831</f>
        <v/>
      </c>
      <c r="O831" s="54">
        <f>(M835-M831)/M831</f>
        <v/>
      </c>
      <c r="P831" s="4">
        <f>B831-D831</f>
        <v/>
      </c>
      <c r="Q831" s="4">
        <f>AVERAGE(P828:P831)</f>
        <v/>
      </c>
      <c r="R831" s="54">
        <f>(M832-M831)/M831</f>
        <v/>
      </c>
      <c r="S831" s="54">
        <f>(M835-M831)/M831</f>
        <v/>
      </c>
      <c r="T831" s="63">
        <f>IF(R831&gt;0,1,"")</f>
        <v/>
      </c>
      <c r="U831" s="63">
        <f>IF(S831&gt;0,1,"")</f>
        <v/>
      </c>
    </row>
    <row r="832">
      <c r="A832" s="35" t="n">
        <v>37714</v>
      </c>
      <c r="B832" s="4" t="n">
        <v>0.3235</v>
      </c>
      <c r="C832" s="4" t="n">
        <v>0.2941</v>
      </c>
      <c r="D832" s="4" t="n">
        <v>0.3824</v>
      </c>
      <c r="E832" s="63" t="n">
        <v>1</v>
      </c>
      <c r="F832" s="63" t="n">
        <v>0.314025</v>
      </c>
      <c r="G832" s="63" t="n">
        <v>-0.0589</v>
      </c>
      <c r="H832" s="63" t="n">
        <v>0.384907436629</v>
      </c>
      <c r="I832" s="63" t="n">
        <v>0.48829287048</v>
      </c>
      <c r="J832" s="63" t="n">
        <v>0.281522002778</v>
      </c>
      <c r="K832" s="63" t="n">
        <v>884.5700000000001</v>
      </c>
      <c r="L832" s="63" t="n">
        <v>843.6799999999999</v>
      </c>
      <c r="M832" s="63" t="n">
        <v>880.9</v>
      </c>
      <c r="N832" s="54">
        <f>(M833-M832)/M832</f>
        <v/>
      </c>
      <c r="O832" s="54">
        <f>(M836-M832)/M832</f>
        <v/>
      </c>
      <c r="P832" s="4">
        <f>B832-D832</f>
        <v/>
      </c>
      <c r="Q832" s="4">
        <f>AVERAGE(P829:P832)</f>
        <v/>
      </c>
      <c r="R832" s="54">
        <f>(M833-M832)/M832</f>
        <v/>
      </c>
      <c r="S832" s="54">
        <f>(M836-M832)/M832</f>
        <v/>
      </c>
      <c r="T832" s="63">
        <f>IF(R832&gt;0,1,"")</f>
        <v/>
      </c>
      <c r="U832" s="63">
        <f>IF(S832&gt;0,1,"")</f>
        <v/>
      </c>
    </row>
    <row r="833">
      <c r="A833" s="35" t="n">
        <v>37721</v>
      </c>
      <c r="B833" s="4" t="n">
        <v>0.3846</v>
      </c>
      <c r="C833" s="4" t="n">
        <v>0.3077</v>
      </c>
      <c r="D833" s="4" t="n">
        <v>0.3077</v>
      </c>
      <c r="E833" s="63" t="n">
        <v>1</v>
      </c>
      <c r="F833" s="63" t="n">
        <v>0.334725</v>
      </c>
      <c r="G833" s="63" t="n">
        <v>0.0769</v>
      </c>
      <c r="H833" s="63" t="n">
        <v>0.384907436629</v>
      </c>
      <c r="I833" s="63" t="n">
        <v>0.48829287048</v>
      </c>
      <c r="J833" s="63" t="n">
        <v>0.281522002778</v>
      </c>
      <c r="K833" s="63" t="n">
        <v>904.89</v>
      </c>
      <c r="L833" s="63" t="n">
        <v>865.72</v>
      </c>
      <c r="M833" s="63" t="n">
        <v>865.99</v>
      </c>
      <c r="N833" s="54">
        <f>(M834-M833)/M833</f>
        <v/>
      </c>
      <c r="O833" s="54">
        <f>(M837-M833)/M833</f>
        <v/>
      </c>
      <c r="P833" s="4">
        <f>B833-D833</f>
        <v/>
      </c>
      <c r="Q833" s="4">
        <f>AVERAGE(P830:P833)</f>
        <v/>
      </c>
      <c r="R833" s="54">
        <f>(M834-M833)/M833</f>
        <v/>
      </c>
      <c r="S833" s="54">
        <f>(M837-M833)/M833</f>
        <v/>
      </c>
      <c r="T833" s="63">
        <f>IF(R833&gt;0,1,"")</f>
        <v/>
      </c>
      <c r="U833" s="63">
        <f>IF(S833&gt;0,1,"")</f>
        <v/>
      </c>
    </row>
    <row r="834">
      <c r="A834" s="35" t="n">
        <v>37728</v>
      </c>
      <c r="B834" s="4" t="n">
        <v>0.463</v>
      </c>
      <c r="C834" s="4" t="n">
        <v>0.2222</v>
      </c>
      <c r="D834" s="4" t="n">
        <v>0.3148</v>
      </c>
      <c r="E834" s="63" t="n">
        <v>1</v>
      </c>
      <c r="F834" s="63" t="n">
        <v>0.3662875</v>
      </c>
      <c r="G834" s="63" t="n">
        <v>0.1482</v>
      </c>
      <c r="H834" s="63" t="n">
        <v>0.384907436629</v>
      </c>
      <c r="I834" s="63" t="n">
        <v>0.48829287048</v>
      </c>
      <c r="J834" s="63" t="n">
        <v>0.281522002778</v>
      </c>
      <c r="K834" s="63" t="n">
        <v>896.77</v>
      </c>
      <c r="L834" s="63" t="n">
        <v>877.9299999999999</v>
      </c>
      <c r="M834" s="63" t="n">
        <v>879.91</v>
      </c>
      <c r="N834" s="54">
        <f>(M835-M834)/M834</f>
        <v/>
      </c>
      <c r="O834" s="54">
        <f>(M838-M834)/M834</f>
        <v/>
      </c>
      <c r="P834" s="4">
        <f>B834-D834</f>
        <v/>
      </c>
      <c r="Q834" s="4">
        <f>AVERAGE(P831:P834)</f>
        <v/>
      </c>
      <c r="R834" s="54">
        <f>(M835-M834)/M834</f>
        <v/>
      </c>
      <c r="S834" s="54">
        <f>(M838-M834)/M834</f>
        <v/>
      </c>
      <c r="T834" s="63">
        <f>IF(R834&gt;0,1,"")</f>
        <v/>
      </c>
      <c r="U834" s="63">
        <f>IF(S834&gt;0,1,"")</f>
        <v/>
      </c>
    </row>
    <row r="835">
      <c r="A835" s="35" t="n">
        <v>37735</v>
      </c>
      <c r="B835" s="4" t="n">
        <v>0.63</v>
      </c>
      <c r="C835" s="4" t="n">
        <v>0.18</v>
      </c>
      <c r="D835" s="4" t="n">
        <v>0.19</v>
      </c>
      <c r="E835" s="63" t="n">
        <v>1</v>
      </c>
      <c r="F835" s="63" t="n">
        <v>0.4125125</v>
      </c>
      <c r="G835" s="63" t="n">
        <v>0.44</v>
      </c>
      <c r="H835" s="63" t="n">
        <v>0.384907436629</v>
      </c>
      <c r="I835" s="63" t="n">
        <v>0.48829287048</v>
      </c>
      <c r="J835" s="63" t="n">
        <v>0.281522002778</v>
      </c>
      <c r="K835" s="63" t="n">
        <v>919.74</v>
      </c>
      <c r="L835" s="63" t="n">
        <v>886.7</v>
      </c>
      <c r="M835" s="63" t="n">
        <v>919.02</v>
      </c>
      <c r="N835" s="54">
        <f>(M836-M835)/M835</f>
        <v/>
      </c>
      <c r="O835" s="54">
        <f>(M839-M835)/M835</f>
        <v/>
      </c>
      <c r="P835" s="4">
        <f>B835-D835</f>
        <v/>
      </c>
      <c r="Q835" s="4">
        <f>AVERAGE(P832:P835)</f>
        <v/>
      </c>
      <c r="R835" s="54">
        <f>(M836-M835)/M835</f>
        <v/>
      </c>
      <c r="S835" s="54">
        <f>(M839-M835)/M835</f>
        <v/>
      </c>
      <c r="T835" s="63">
        <f>IF(R835&gt;0,1,"")</f>
        <v/>
      </c>
      <c r="U835" s="63">
        <f>IF(S835&gt;0,1,"")</f>
        <v/>
      </c>
    </row>
    <row r="836">
      <c r="A836" s="35" t="n">
        <v>37742</v>
      </c>
      <c r="B836" s="4" t="n">
        <v>0.4857</v>
      </c>
      <c r="C836" s="4" t="n">
        <v>0.2571</v>
      </c>
      <c r="D836" s="4" t="n">
        <v>0.2571</v>
      </c>
      <c r="E836" s="63" t="n">
        <v>0.9999</v>
      </c>
      <c r="F836" s="63" t="n">
        <v>0.4315625</v>
      </c>
      <c r="G836" s="63" t="n">
        <v>0.2286</v>
      </c>
      <c r="H836" s="63" t="n">
        <v>0.384907436629</v>
      </c>
      <c r="I836" s="63" t="n">
        <v>0.48829287048</v>
      </c>
      <c r="J836" s="63" t="n">
        <v>0.281522002778</v>
      </c>
      <c r="K836" s="63" t="n">
        <v>924.24</v>
      </c>
      <c r="L836" s="63" t="n">
        <v>898.8099999999999</v>
      </c>
      <c r="M836" s="63" t="n">
        <v>916.92</v>
      </c>
      <c r="N836" s="54">
        <f>(M837-M836)/M836</f>
        <v/>
      </c>
      <c r="O836" s="54">
        <f>(M840-M836)/M836</f>
        <v/>
      </c>
      <c r="P836" s="4">
        <f>B836-D836</f>
        <v/>
      </c>
      <c r="Q836" s="4">
        <f>AVERAGE(P833:P836)</f>
        <v/>
      </c>
      <c r="R836" s="54">
        <f>(M837-M836)/M836</f>
        <v/>
      </c>
      <c r="S836" s="54">
        <f>(M840-M836)/M836</f>
        <v/>
      </c>
      <c r="T836" s="63">
        <f>IF(R836&gt;0,1,"")</f>
        <v/>
      </c>
      <c r="U836" s="63">
        <f>IF(S836&gt;0,1,"")</f>
        <v/>
      </c>
    </row>
    <row r="837">
      <c r="A837" s="35" t="n">
        <v>37749</v>
      </c>
      <c r="B837" s="4" t="n">
        <v>0.528</v>
      </c>
      <c r="C837" s="4" t="n">
        <v>0.288</v>
      </c>
      <c r="D837" s="4" t="n">
        <v>0.184</v>
      </c>
      <c r="E837" s="63" t="n">
        <v>1</v>
      </c>
      <c r="F837" s="63" t="n">
        <v>0.4547</v>
      </c>
      <c r="G837" s="63" t="n">
        <v>0.344</v>
      </c>
      <c r="H837" s="63" t="n">
        <v>0.384907436629</v>
      </c>
      <c r="I837" s="63" t="n">
        <v>0.48829287048</v>
      </c>
      <c r="J837" s="63" t="n">
        <v>0.281522002778</v>
      </c>
      <c r="K837" s="63" t="n">
        <v>939.61</v>
      </c>
      <c r="L837" s="63" t="n">
        <v>924.55</v>
      </c>
      <c r="M837" s="63" t="n">
        <v>934.39</v>
      </c>
      <c r="N837" s="54">
        <f>(M838-M837)/M837</f>
        <v/>
      </c>
      <c r="O837" s="54">
        <f>(M841-M837)/M837</f>
        <v/>
      </c>
      <c r="P837" s="4">
        <f>B837-D837</f>
        <v/>
      </c>
      <c r="Q837" s="4">
        <f>AVERAGE(P834:P837)</f>
        <v/>
      </c>
      <c r="R837" s="54">
        <f>(M838-M837)/M837</f>
        <v/>
      </c>
      <c r="S837" s="54">
        <f>(M841-M837)/M837</f>
        <v/>
      </c>
      <c r="T837" s="63">
        <f>IF(R837&gt;0,1,"")</f>
        <v/>
      </c>
      <c r="U837" s="63">
        <f>IF(S837&gt;0,1,"")</f>
        <v/>
      </c>
    </row>
    <row r="838">
      <c r="A838" s="35" t="n">
        <v>37756</v>
      </c>
      <c r="B838" s="4" t="n">
        <v>0.6279</v>
      </c>
      <c r="C838" s="4" t="n">
        <v>0.2093</v>
      </c>
      <c r="D838" s="4" t="n">
        <v>0.1628</v>
      </c>
      <c r="E838" s="63" t="n">
        <v>1</v>
      </c>
      <c r="F838" s="63" t="n">
        <v>0.4796125</v>
      </c>
      <c r="G838" s="63" t="n">
        <v>0.4651</v>
      </c>
      <c r="H838" s="63" t="n">
        <v>0.384907436629</v>
      </c>
      <c r="I838" s="63" t="n">
        <v>0.48829287048</v>
      </c>
      <c r="J838" s="63" t="n">
        <v>0.281522002778</v>
      </c>
      <c r="K838" s="63" t="n">
        <v>947.51</v>
      </c>
      <c r="L838" s="63" t="n">
        <v>929.3</v>
      </c>
      <c r="M838" s="63" t="n">
        <v>942.3</v>
      </c>
      <c r="N838" s="54">
        <f>(M839-M838)/M838</f>
        <v/>
      </c>
      <c r="O838" s="54">
        <f>(M842-M838)/M838</f>
        <v/>
      </c>
      <c r="P838" s="4">
        <f>B838-D838</f>
        <v/>
      </c>
      <c r="Q838" s="4">
        <f>AVERAGE(P835:P838)</f>
        <v/>
      </c>
      <c r="R838" s="54">
        <f>(M839-M838)/M838</f>
        <v/>
      </c>
      <c r="S838" s="54">
        <f>(M842-M838)/M838</f>
        <v/>
      </c>
      <c r="T838" s="63">
        <f>IF(R838&gt;0,1,"")</f>
        <v/>
      </c>
      <c r="U838" s="63">
        <f>IF(S838&gt;0,1,"")</f>
        <v/>
      </c>
    </row>
    <row r="839">
      <c r="A839" s="35" t="n">
        <v>37763</v>
      </c>
      <c r="B839" s="4" t="n">
        <v>0.3846</v>
      </c>
      <c r="C839" s="4" t="n">
        <v>0.2596</v>
      </c>
      <c r="D839" s="4" t="n">
        <v>0.3558</v>
      </c>
      <c r="E839" s="63" t="n">
        <v>1</v>
      </c>
      <c r="F839" s="63" t="n">
        <v>0.4784125</v>
      </c>
      <c r="G839" s="63" t="n">
        <v>0.0288</v>
      </c>
      <c r="H839" s="63" t="n">
        <v>0.384907436629</v>
      </c>
      <c r="I839" s="63" t="n">
        <v>0.48829287048</v>
      </c>
      <c r="J839" s="63" t="n">
        <v>0.281522002778</v>
      </c>
      <c r="K839" s="63" t="n">
        <v>944.3</v>
      </c>
      <c r="L839" s="63" t="n">
        <v>912.05</v>
      </c>
      <c r="M839" s="63" t="n">
        <v>923.42</v>
      </c>
      <c r="N839" s="54">
        <f>(M840-M839)/M839</f>
        <v/>
      </c>
      <c r="O839" s="54">
        <f>(M843-M839)/M839</f>
        <v/>
      </c>
      <c r="P839" s="4">
        <f>B839-D839</f>
        <v/>
      </c>
      <c r="Q839" s="4">
        <f>AVERAGE(P836:P839)</f>
        <v/>
      </c>
      <c r="R839" s="54">
        <f>(M840-M839)/M839</f>
        <v/>
      </c>
      <c r="S839" s="54">
        <f>(M843-M839)/M839</f>
        <v/>
      </c>
      <c r="T839" s="63">
        <f>IF(R839&gt;0,1,"")</f>
        <v/>
      </c>
      <c r="U839" s="63">
        <f>IF(S839&gt;0,1,"")</f>
        <v/>
      </c>
    </row>
    <row r="840">
      <c r="A840" s="35" t="n">
        <v>37770</v>
      </c>
      <c r="B840" s="4" t="n">
        <v>0.6286</v>
      </c>
      <c r="C840" s="4" t="n">
        <v>0.2286</v>
      </c>
      <c r="D840" s="4" t="n">
        <v>0.1429</v>
      </c>
      <c r="E840" s="63" t="n">
        <v>1.0001</v>
      </c>
      <c r="F840" s="63" t="n">
        <v>0.51655</v>
      </c>
      <c r="G840" s="63" t="n">
        <v>0.4857</v>
      </c>
      <c r="H840" s="63" t="n">
        <v>0.384907436629</v>
      </c>
      <c r="I840" s="63" t="n">
        <v>0.48829287048</v>
      </c>
      <c r="J840" s="63" t="n">
        <v>0.281522002778</v>
      </c>
      <c r="K840" s="63" t="n">
        <v>965.38</v>
      </c>
      <c r="L840" s="63" t="n">
        <v>927.33</v>
      </c>
      <c r="M840" s="63" t="n">
        <v>963.59</v>
      </c>
      <c r="N840" s="54">
        <f>(M841-M840)/M840</f>
        <v/>
      </c>
      <c r="O840" s="54">
        <f>(M844-M840)/M840</f>
        <v/>
      </c>
      <c r="P840" s="4">
        <f>B840-D840</f>
        <v/>
      </c>
      <c r="Q840" s="4">
        <f>AVERAGE(P837:P840)</f>
        <v/>
      </c>
      <c r="R840" s="54">
        <f>(M841-M840)/M840</f>
        <v/>
      </c>
      <c r="S840" s="54">
        <f>(M844-M840)/M840</f>
        <v/>
      </c>
      <c r="T840" s="63">
        <f>IF(R840&gt;0,1,"")</f>
        <v/>
      </c>
      <c r="U840" s="63">
        <f>IF(S840&gt;0,1,"")</f>
        <v/>
      </c>
    </row>
    <row r="841">
      <c r="A841" s="35" t="n">
        <v>37777</v>
      </c>
      <c r="B841" s="4" t="n">
        <v>0.52</v>
      </c>
      <c r="C841" s="4" t="n">
        <v>0.288</v>
      </c>
      <c r="D841" s="4" t="n">
        <v>0.192</v>
      </c>
      <c r="E841" s="63" t="n">
        <v>1</v>
      </c>
      <c r="F841" s="63" t="n">
        <v>0.533475</v>
      </c>
      <c r="G841" s="63" t="n">
        <v>0.328</v>
      </c>
      <c r="H841" s="63" t="n">
        <v>0.384907436629</v>
      </c>
      <c r="I841" s="63" t="n">
        <v>0.48829287048</v>
      </c>
      <c r="J841" s="63" t="n">
        <v>0.281522002778</v>
      </c>
      <c r="K841" s="63" t="n">
        <v>987.85</v>
      </c>
      <c r="L841" s="63" t="n">
        <v>963.59</v>
      </c>
      <c r="M841" s="63" t="n">
        <v>986.24</v>
      </c>
      <c r="N841" s="54">
        <f>(M842-M841)/M841</f>
        <v/>
      </c>
      <c r="O841" s="54">
        <f>(M845-M841)/M841</f>
        <v/>
      </c>
      <c r="P841" s="4">
        <f>B841-D841</f>
        <v/>
      </c>
      <c r="Q841" s="4">
        <f>AVERAGE(P838:P841)</f>
        <v/>
      </c>
      <c r="R841" s="54">
        <f>(M842-M841)/M841</f>
        <v/>
      </c>
      <c r="S841" s="54">
        <f>(M845-M841)/M841</f>
        <v/>
      </c>
      <c r="T841" s="63">
        <f>IF(R841&gt;0,1,"")</f>
        <v/>
      </c>
      <c r="U841" s="63">
        <f>IF(S841&gt;0,1,"")</f>
        <v/>
      </c>
    </row>
    <row r="842">
      <c r="A842" s="35" t="n">
        <v>37784</v>
      </c>
      <c r="B842" s="4" t="n">
        <v>0.5</v>
      </c>
      <c r="C842" s="4" t="n">
        <v>0.2083</v>
      </c>
      <c r="D842" s="4" t="n">
        <v>0.2917</v>
      </c>
      <c r="E842" s="63" t="n">
        <v>1</v>
      </c>
      <c r="F842" s="63" t="n">
        <v>0.5381</v>
      </c>
      <c r="G842" s="63" t="n">
        <v>0.2083</v>
      </c>
      <c r="H842" s="63" t="n">
        <v>0.384907436629</v>
      </c>
      <c r="I842" s="63" t="n">
        <v>0.48829287048</v>
      </c>
      <c r="J842" s="63" t="n">
        <v>0.281522002778</v>
      </c>
      <c r="K842" s="63" t="n">
        <v>997.48</v>
      </c>
      <c r="L842" s="63" t="n">
        <v>972.59</v>
      </c>
      <c r="M842" s="63" t="n">
        <v>997.48</v>
      </c>
      <c r="N842" s="54">
        <f>(M843-M842)/M842</f>
        <v/>
      </c>
      <c r="O842" s="54">
        <f>(M846-M842)/M842</f>
        <v/>
      </c>
      <c r="P842" s="4">
        <f>B842-D842</f>
        <v/>
      </c>
      <c r="Q842" s="4">
        <f>AVERAGE(P839:P842)</f>
        <v/>
      </c>
      <c r="R842" s="54">
        <f>(M843-M842)/M842</f>
        <v/>
      </c>
      <c r="S842" s="54">
        <f>(M846-M842)/M842</f>
        <v/>
      </c>
      <c r="T842" s="63">
        <f>IF(R842&gt;0,1,"")</f>
        <v/>
      </c>
      <c r="U842" s="63">
        <f>IF(S842&gt;0,1,"")</f>
        <v/>
      </c>
    </row>
    <row r="843">
      <c r="A843" s="35" t="n">
        <v>37791</v>
      </c>
      <c r="B843" s="4" t="n">
        <v>0.5641</v>
      </c>
      <c r="C843" s="4" t="n">
        <v>0.0769</v>
      </c>
      <c r="D843" s="4" t="n">
        <v>0.359</v>
      </c>
      <c r="E843" s="63" t="n">
        <v>1</v>
      </c>
      <c r="F843" s="63" t="n">
        <v>0.5298625</v>
      </c>
      <c r="G843" s="63" t="n">
        <v>0.2051</v>
      </c>
      <c r="H843" s="63" t="n">
        <v>0.384907436629</v>
      </c>
      <c r="I843" s="63" t="n">
        <v>0.48829287048</v>
      </c>
      <c r="J843" s="63" t="n">
        <v>0.281522002778</v>
      </c>
      <c r="K843" s="63" t="n">
        <v>1015.33</v>
      </c>
      <c r="L843" s="63" t="n">
        <v>988.61</v>
      </c>
      <c r="M843" s="63" t="n">
        <v>1010.09</v>
      </c>
      <c r="N843" s="54">
        <f>(M844-M843)/M843</f>
        <v/>
      </c>
      <c r="O843" s="54">
        <f>(M847-M843)/M843</f>
        <v/>
      </c>
      <c r="P843" s="4">
        <f>B843-D843</f>
        <v/>
      </c>
      <c r="Q843" s="4">
        <f>AVERAGE(P840:P843)</f>
        <v/>
      </c>
      <c r="R843" s="54">
        <f>(M844-M843)/M843</f>
        <v/>
      </c>
      <c r="S843" s="54">
        <f>(M847-M843)/M843</f>
        <v/>
      </c>
      <c r="T843" s="63">
        <f>IF(R843&gt;0,1,"")</f>
        <v/>
      </c>
      <c r="U843" s="63">
        <f>IF(S843&gt;0,1,"")</f>
        <v/>
      </c>
    </row>
    <row r="844">
      <c r="A844" s="35" t="n">
        <v>37798</v>
      </c>
      <c r="B844" s="4" t="n">
        <v>0.7143</v>
      </c>
      <c r="C844" s="4" t="n">
        <v>0.2</v>
      </c>
      <c r="D844" s="4" t="n">
        <v>0.0857</v>
      </c>
      <c r="E844" s="63" t="n">
        <v>1</v>
      </c>
      <c r="F844" s="63" t="n">
        <v>0.5584375</v>
      </c>
      <c r="G844" s="63" t="n">
        <v>0.6286</v>
      </c>
      <c r="H844" s="63" t="n">
        <v>0.384907436629</v>
      </c>
      <c r="I844" s="63" t="n">
        <v>0.48829287048</v>
      </c>
      <c r="J844" s="63" t="n">
        <v>0.281522002778</v>
      </c>
      <c r="K844" s="63" t="n">
        <v>995.6900000000001</v>
      </c>
      <c r="L844" s="63" t="n">
        <v>973.8</v>
      </c>
      <c r="M844" s="63" t="n">
        <v>976.22</v>
      </c>
      <c r="N844" s="54">
        <f>(M845-M844)/M844</f>
        <v/>
      </c>
      <c r="O844" s="54">
        <f>(M848-M844)/M844</f>
        <v/>
      </c>
      <c r="P844" s="4">
        <f>B844-D844</f>
        <v/>
      </c>
      <c r="Q844" s="4">
        <f>AVERAGE(P841:P844)</f>
        <v/>
      </c>
      <c r="R844" s="54">
        <f>(M845-M844)/M844</f>
        <v/>
      </c>
      <c r="S844" s="54">
        <f>(M848-M844)/M844</f>
        <v/>
      </c>
      <c r="T844" s="63">
        <f>IF(R844&gt;0,1,"")</f>
        <v/>
      </c>
      <c r="U844" s="63">
        <f>IF(S844&gt;0,1,"")</f>
        <v/>
      </c>
    </row>
    <row r="845">
      <c r="A845" s="35" t="n">
        <v>37805</v>
      </c>
      <c r="B845" s="4" t="n">
        <v>0.4118</v>
      </c>
      <c r="C845" s="4" t="n">
        <v>0.2353</v>
      </c>
      <c r="D845" s="4" t="n">
        <v>0.3529</v>
      </c>
      <c r="E845" s="63" t="n">
        <v>1</v>
      </c>
      <c r="F845" s="63" t="n">
        <v>0.5439125</v>
      </c>
      <c r="G845" s="63" t="n">
        <v>0.0589</v>
      </c>
      <c r="H845" s="63" t="n">
        <v>0.384907436629</v>
      </c>
      <c r="I845" s="63" t="n">
        <v>0.48829287048</v>
      </c>
      <c r="J845" s="63" t="n">
        <v>0.281522002778</v>
      </c>
      <c r="K845" s="63" t="n">
        <v>995</v>
      </c>
      <c r="L845" s="63" t="n">
        <v>962.1</v>
      </c>
      <c r="M845" s="63" t="n">
        <v>985.7</v>
      </c>
      <c r="N845" s="54">
        <f>(M846-M845)/M845</f>
        <v/>
      </c>
      <c r="O845" s="54">
        <f>(M849-M845)/M845</f>
        <v/>
      </c>
      <c r="P845" s="4">
        <f>B845-D845</f>
        <v/>
      </c>
      <c r="Q845" s="4">
        <f>AVERAGE(P842:P845)</f>
        <v/>
      </c>
      <c r="R845" s="54">
        <f>(M846-M845)/M845</f>
        <v/>
      </c>
      <c r="S845" s="54">
        <f>(M849-M845)/M845</f>
        <v/>
      </c>
      <c r="T845" s="63">
        <f>IF(R845&gt;0,1,"")</f>
        <v/>
      </c>
      <c r="U845" s="63">
        <f>IF(S845&gt;0,1,"")</f>
        <v/>
      </c>
    </row>
    <row r="846">
      <c r="A846" s="35" t="n">
        <v>37812</v>
      </c>
      <c r="B846" s="4" t="n">
        <v>0.4324</v>
      </c>
      <c r="C846" s="4" t="n">
        <v>0.2568</v>
      </c>
      <c r="D846" s="4" t="n">
        <v>0.3108</v>
      </c>
      <c r="E846" s="63" t="n">
        <v>1</v>
      </c>
      <c r="F846" s="63" t="n">
        <v>0.519475</v>
      </c>
      <c r="G846" s="63" t="n">
        <v>0.1216</v>
      </c>
      <c r="H846" s="63" t="n">
        <v>0.384907436629</v>
      </c>
      <c r="I846" s="63" t="n">
        <v>0.48829287048</v>
      </c>
      <c r="J846" s="63" t="n">
        <v>0.281522002778</v>
      </c>
      <c r="K846" s="63" t="n">
        <v>1010.43</v>
      </c>
      <c r="L846" s="63" t="n">
        <v>983.63</v>
      </c>
      <c r="M846" s="63" t="n">
        <v>998.14</v>
      </c>
      <c r="N846" s="54">
        <f>(M847-M846)/M846</f>
        <v/>
      </c>
      <c r="O846" s="54">
        <f>(M850-M846)/M846</f>
        <v/>
      </c>
      <c r="P846" s="4">
        <f>B846-D846</f>
        <v/>
      </c>
      <c r="Q846" s="4">
        <f>AVERAGE(P843:P846)</f>
        <v/>
      </c>
      <c r="R846" s="54">
        <f>(M847-M846)/M846</f>
        <v/>
      </c>
      <c r="S846" s="54">
        <f>(M850-M846)/M846</f>
        <v/>
      </c>
      <c r="T846" s="63">
        <f>IF(R846&gt;0,1,"")</f>
        <v/>
      </c>
      <c r="U846" s="63">
        <f>IF(S846&gt;0,1,"")</f>
        <v/>
      </c>
    </row>
    <row r="847">
      <c r="A847" s="35" t="n">
        <v>37819</v>
      </c>
      <c r="B847" s="4" t="n">
        <v>0.5125999999999999</v>
      </c>
      <c r="C847" s="4" t="n">
        <v>0.2017</v>
      </c>
      <c r="D847" s="4" t="n">
        <v>0.2857</v>
      </c>
      <c r="E847" s="63" t="n">
        <v>1</v>
      </c>
      <c r="F847" s="63" t="n">
        <v>0.535475</v>
      </c>
      <c r="G847" s="63" t="n">
        <v>0.2269</v>
      </c>
      <c r="H847" s="63" t="n">
        <v>0.384907436629</v>
      </c>
      <c r="I847" s="63" t="n">
        <v>0.48829287048</v>
      </c>
      <c r="J847" s="63" t="n">
        <v>0.281522002778</v>
      </c>
      <c r="K847" s="63" t="n">
        <v>1015.41</v>
      </c>
      <c r="L847" s="63" t="n">
        <v>978.6</v>
      </c>
      <c r="M847" s="63" t="n">
        <v>993.3200000000001</v>
      </c>
      <c r="N847" s="54">
        <f>(M848-M847)/M847</f>
        <v/>
      </c>
      <c r="O847" s="54">
        <f>(M851-M847)/M847</f>
        <v/>
      </c>
      <c r="P847" s="4">
        <f>B847-D847</f>
        <v/>
      </c>
      <c r="Q847" s="4">
        <f>AVERAGE(P844:P847)</f>
        <v/>
      </c>
      <c r="R847" s="54">
        <f>(M848-M847)/M847</f>
        <v/>
      </c>
      <c r="S847" s="54">
        <f>(M851-M847)/M847</f>
        <v/>
      </c>
      <c r="T847" s="63">
        <f>IF(R847&gt;0,1,"")</f>
        <v/>
      </c>
      <c r="U847" s="63">
        <f>IF(S847&gt;0,1,"")</f>
        <v/>
      </c>
    </row>
    <row r="848">
      <c r="A848" s="35" t="n">
        <v>37826</v>
      </c>
      <c r="B848" s="4" t="n">
        <v>0.52</v>
      </c>
      <c r="C848" s="4" t="n">
        <v>0.1733</v>
      </c>
      <c r="D848" s="4" t="n">
        <v>0.3067</v>
      </c>
      <c r="E848" s="63" t="n">
        <v>1</v>
      </c>
      <c r="F848" s="63" t="n">
        <v>0.5219</v>
      </c>
      <c r="G848" s="63" t="n">
        <v>0.2133</v>
      </c>
      <c r="H848" s="63" t="n">
        <v>0.384907436629</v>
      </c>
      <c r="I848" s="63" t="n">
        <v>0.48829287048</v>
      </c>
      <c r="J848" s="63" t="n">
        <v>0.281522002778</v>
      </c>
      <c r="K848" s="63" t="n">
        <v>998.89</v>
      </c>
      <c r="L848" s="63" t="n">
        <v>975.63</v>
      </c>
      <c r="M848" s="63" t="n">
        <v>998.6799999999999</v>
      </c>
      <c r="N848" s="54">
        <f>(M849-M848)/M848</f>
        <v/>
      </c>
      <c r="O848" s="54">
        <f>(M852-M848)/M848</f>
        <v/>
      </c>
      <c r="P848" s="4">
        <f>B848-D848</f>
        <v/>
      </c>
      <c r="Q848" s="4">
        <f>AVERAGE(P845:P848)</f>
        <v/>
      </c>
      <c r="R848" s="54">
        <f>(M849-M848)/M848</f>
        <v/>
      </c>
      <c r="S848" s="54">
        <f>(M852-M848)/M848</f>
        <v/>
      </c>
      <c r="T848" s="63">
        <f>IF(R848&gt;0,1,"")</f>
        <v/>
      </c>
      <c r="U848" s="63">
        <f>IF(S848&gt;0,1,"")</f>
        <v/>
      </c>
    </row>
    <row r="849">
      <c r="A849" s="35" t="n">
        <v>37833</v>
      </c>
      <c r="B849" s="4" t="n">
        <v>0.5154</v>
      </c>
      <c r="C849" s="4" t="n">
        <v>0.3231</v>
      </c>
      <c r="D849" s="4" t="n">
        <v>0.1615</v>
      </c>
      <c r="E849" s="63" t="n">
        <v>1</v>
      </c>
      <c r="F849" s="63" t="n">
        <v>0.521325</v>
      </c>
      <c r="G849" s="63" t="n">
        <v>0.3539</v>
      </c>
      <c r="H849" s="63" t="n">
        <v>0.384907436629</v>
      </c>
      <c r="I849" s="63" t="n">
        <v>0.48829287048</v>
      </c>
      <c r="J849" s="63" t="n">
        <v>0.281522002778</v>
      </c>
      <c r="K849" s="63" t="n">
        <v>1004.59</v>
      </c>
      <c r="L849" s="63" t="n">
        <v>978.86</v>
      </c>
      <c r="M849" s="63" t="n">
        <v>980.15</v>
      </c>
      <c r="N849" s="54">
        <f>(M850-M849)/M849</f>
        <v/>
      </c>
      <c r="O849" s="54">
        <f>(M853-M849)/M849</f>
        <v/>
      </c>
      <c r="P849" s="4">
        <f>B849-D849</f>
        <v/>
      </c>
      <c r="Q849" s="4">
        <f>AVERAGE(P846:P849)</f>
        <v/>
      </c>
      <c r="R849" s="54">
        <f>(M850-M849)/M849</f>
        <v/>
      </c>
      <c r="S849" s="54">
        <f>(M853-M849)/M849</f>
        <v/>
      </c>
      <c r="T849" s="63">
        <f>IF(R849&gt;0,1,"")</f>
        <v/>
      </c>
      <c r="U849" s="63">
        <f>IF(S849&gt;0,1,"")</f>
        <v/>
      </c>
    </row>
    <row r="850">
      <c r="A850" s="35" t="n">
        <v>37840</v>
      </c>
      <c r="B850" s="4" t="n">
        <v>0.4545</v>
      </c>
      <c r="C850" s="4" t="n">
        <v>0.2208</v>
      </c>
      <c r="D850" s="4" t="n">
        <v>0.3247</v>
      </c>
      <c r="E850" s="63" t="n">
        <v>1</v>
      </c>
      <c r="F850" s="63" t="n">
        <v>0.5156375</v>
      </c>
      <c r="G850" s="63" t="n">
        <v>0.1298</v>
      </c>
      <c r="H850" s="63" t="n">
        <v>0.384907436629</v>
      </c>
      <c r="I850" s="63" t="n">
        <v>0.48829287048</v>
      </c>
      <c r="J850" s="63" t="n">
        <v>0.281522002778</v>
      </c>
      <c r="K850" s="63" t="n">
        <v>985.75</v>
      </c>
      <c r="L850" s="63" t="n">
        <v>960.84</v>
      </c>
      <c r="M850" s="63" t="n">
        <v>977.59</v>
      </c>
      <c r="N850" s="54">
        <f>(M851-M850)/M850</f>
        <v/>
      </c>
      <c r="O850" s="54">
        <f>(M854-M850)/M850</f>
        <v/>
      </c>
      <c r="P850" s="4">
        <f>B850-D850</f>
        <v/>
      </c>
      <c r="Q850" s="4">
        <f>AVERAGE(P847:P850)</f>
        <v/>
      </c>
      <c r="R850" s="54">
        <f>(M851-M850)/M850</f>
        <v/>
      </c>
      <c r="S850" s="54">
        <f>(M854-M850)/M850</f>
        <v/>
      </c>
      <c r="T850" s="63">
        <f>IF(R850&gt;0,1,"")</f>
        <v/>
      </c>
      <c r="U850" s="63">
        <f>IF(S850&gt;0,1,"")</f>
        <v/>
      </c>
    </row>
    <row r="851">
      <c r="A851" s="35" t="n">
        <v>37847</v>
      </c>
      <c r="B851" s="4" t="n">
        <v>0.5056</v>
      </c>
      <c r="C851" s="4" t="n">
        <v>0.2584</v>
      </c>
      <c r="D851" s="4" t="n">
        <v>0.236</v>
      </c>
      <c r="E851" s="63" t="n">
        <v>1</v>
      </c>
      <c r="F851" s="63" t="n">
        <v>0.508325</v>
      </c>
      <c r="G851" s="63" t="n">
        <v>0.2696</v>
      </c>
      <c r="H851" s="63" t="n">
        <v>0.384907436629</v>
      </c>
      <c r="I851" s="63" t="n">
        <v>0.48829287048</v>
      </c>
      <c r="J851" s="63" t="n">
        <v>0.281522002778</v>
      </c>
      <c r="K851" s="63" t="n">
        <v>992.5</v>
      </c>
      <c r="L851" s="63" t="n">
        <v>974.21</v>
      </c>
      <c r="M851" s="63" t="n">
        <v>990.67</v>
      </c>
      <c r="N851" s="54">
        <f>(M852-M851)/M851</f>
        <v/>
      </c>
      <c r="O851" s="54">
        <f>(M855-M851)/M851</f>
        <v/>
      </c>
      <c r="P851" s="4">
        <f>B851-D851</f>
        <v/>
      </c>
      <c r="Q851" s="4">
        <f>AVERAGE(P848:P851)</f>
        <v/>
      </c>
      <c r="R851" s="54">
        <f>(M852-M851)/M851</f>
        <v/>
      </c>
      <c r="S851" s="54">
        <f>(M855-M851)/M851</f>
        <v/>
      </c>
      <c r="T851" s="63">
        <f>IF(R851&gt;0,1,"")</f>
        <v/>
      </c>
      <c r="U851" s="63">
        <f>IF(S851&gt;0,1,"")</f>
        <v/>
      </c>
    </row>
    <row r="852">
      <c r="A852" s="35" t="n">
        <v>37854</v>
      </c>
      <c r="B852" s="4" t="n">
        <v>0.6296</v>
      </c>
      <c r="C852" s="4" t="n">
        <v>0.1852</v>
      </c>
      <c r="D852" s="4" t="n">
        <v>0.1852</v>
      </c>
      <c r="E852" s="63" t="n">
        <v>1</v>
      </c>
      <c r="F852" s="63" t="n">
        <v>0.4977375</v>
      </c>
      <c r="G852" s="63" t="n">
        <v>0.4444</v>
      </c>
      <c r="H852" s="63" t="n">
        <v>0.384907436629</v>
      </c>
      <c r="I852" s="63" t="n">
        <v>0.48829287048</v>
      </c>
      <c r="J852" s="63" t="n">
        <v>0.281522002778</v>
      </c>
      <c r="K852" s="63" t="n">
        <v>1011.01</v>
      </c>
      <c r="L852" s="63" t="n">
        <v>990.67</v>
      </c>
      <c r="M852" s="63" t="n">
        <v>993.0599999999999</v>
      </c>
      <c r="N852" s="54">
        <f>(M853-M852)/M852</f>
        <v/>
      </c>
      <c r="O852" s="54">
        <f>(M856-M852)/M852</f>
        <v/>
      </c>
      <c r="P852" s="4">
        <f>B852-D852</f>
        <v/>
      </c>
      <c r="Q852" s="4">
        <f>AVERAGE(P849:P852)</f>
        <v/>
      </c>
      <c r="R852" s="54">
        <f>(M853-M852)/M852</f>
        <v/>
      </c>
      <c r="S852" s="54">
        <f>(M856-M852)/M852</f>
        <v/>
      </c>
      <c r="T852" s="63">
        <f>IF(R852&gt;0,1,"")</f>
        <v/>
      </c>
      <c r="U852" s="63">
        <f>IF(S852&gt;0,1,"")</f>
        <v/>
      </c>
    </row>
    <row r="853">
      <c r="A853" s="35" t="n">
        <v>37861</v>
      </c>
      <c r="B853" s="4" t="n">
        <v>0.5669999999999999</v>
      </c>
      <c r="C853" s="4" t="n">
        <v>0.2062</v>
      </c>
      <c r="D853" s="4" t="n">
        <v>0.2268</v>
      </c>
      <c r="E853" s="63" t="n">
        <v>1</v>
      </c>
      <c r="F853" s="63" t="n">
        <v>0.5171375</v>
      </c>
      <c r="G853" s="63" t="n">
        <v>0.3402</v>
      </c>
      <c r="H853" s="63" t="n">
        <v>0.384907436629</v>
      </c>
      <c r="I853" s="63" t="n">
        <v>0.48829287048</v>
      </c>
      <c r="J853" s="63" t="n">
        <v>0.281522002778</v>
      </c>
      <c r="K853" s="63" t="n">
        <v>1008.85</v>
      </c>
      <c r="L853" s="63" t="n">
        <v>983.5700000000001</v>
      </c>
      <c r="M853" s="63" t="n">
        <v>1008.01</v>
      </c>
      <c r="N853" s="54">
        <f>(M854-M853)/M853</f>
        <v/>
      </c>
      <c r="O853" s="54">
        <f>(M857-M853)/M853</f>
        <v/>
      </c>
      <c r="P853" s="4">
        <f>B853-D853</f>
        <v/>
      </c>
      <c r="Q853" s="4">
        <f>AVERAGE(P850:P853)</f>
        <v/>
      </c>
      <c r="R853" s="54">
        <f>(M854-M853)/M853</f>
        <v/>
      </c>
      <c r="S853" s="54">
        <f>(M857-M853)/M853</f>
        <v/>
      </c>
      <c r="T853" s="63">
        <f>IF(R853&gt;0,1,"")</f>
        <v/>
      </c>
      <c r="U853" s="63">
        <f>IF(S853&gt;0,1,"")</f>
        <v/>
      </c>
    </row>
    <row r="854">
      <c r="A854" s="35" t="n">
        <v>37868</v>
      </c>
      <c r="B854" s="4" t="n">
        <v>0.623</v>
      </c>
      <c r="C854" s="4" t="n">
        <v>0.2131</v>
      </c>
      <c r="D854" s="4" t="n">
        <v>0.1639</v>
      </c>
      <c r="E854" s="63" t="n">
        <v>1</v>
      </c>
      <c r="F854" s="63" t="n">
        <v>0.5409625</v>
      </c>
      <c r="G854" s="63" t="n">
        <v>0.4591</v>
      </c>
      <c r="H854" s="63" t="n">
        <v>0.384907436629</v>
      </c>
      <c r="I854" s="63" t="n">
        <v>0.48829287048</v>
      </c>
      <c r="J854" s="63" t="n">
        <v>0.281522002778</v>
      </c>
      <c r="K854" s="63" t="n">
        <v>1029.34</v>
      </c>
      <c r="L854" s="63" t="n">
        <v>1005.73</v>
      </c>
      <c r="M854" s="63" t="n">
        <v>1021.39</v>
      </c>
      <c r="N854" s="54">
        <f>(M855-M854)/M854</f>
        <v/>
      </c>
      <c r="O854" s="54">
        <f>(M858-M854)/M854</f>
        <v/>
      </c>
      <c r="P854" s="4">
        <f>B854-D854</f>
        <v/>
      </c>
      <c r="Q854" s="4">
        <f>AVERAGE(P851:P854)</f>
        <v/>
      </c>
      <c r="R854" s="54">
        <f>(M855-M854)/M854</f>
        <v/>
      </c>
      <c r="S854" s="54">
        <f>(M858-M854)/M854</f>
        <v/>
      </c>
      <c r="T854" s="63">
        <f>IF(R854&gt;0,1,"")</f>
        <v/>
      </c>
      <c r="U854" s="63">
        <f>IF(S854&gt;0,1,"")</f>
        <v/>
      </c>
    </row>
    <row r="855">
      <c r="A855" s="35" t="n">
        <v>37875</v>
      </c>
      <c r="B855" s="4" t="n">
        <v>0.5814</v>
      </c>
      <c r="C855" s="4" t="n">
        <v>0.2442</v>
      </c>
      <c r="D855" s="4" t="n">
        <v>0.1744</v>
      </c>
      <c r="E855" s="63" t="n">
        <v>1</v>
      </c>
      <c r="F855" s="63" t="n">
        <v>0.5495625</v>
      </c>
      <c r="G855" s="63" t="n">
        <v>0.407</v>
      </c>
      <c r="H855" s="63" t="n">
        <v>0.384907436629</v>
      </c>
      <c r="I855" s="63" t="n">
        <v>0.48829287048</v>
      </c>
      <c r="J855" s="63" t="n">
        <v>0.281522002778</v>
      </c>
      <c r="K855" s="63" t="n">
        <v>1032.41</v>
      </c>
      <c r="L855" s="63" t="n">
        <v>1007.71</v>
      </c>
      <c r="M855" s="63" t="n">
        <v>1018.63</v>
      </c>
      <c r="N855" s="54">
        <f>(M856-M855)/M855</f>
        <v/>
      </c>
      <c r="O855" s="54">
        <f>(M859-M855)/M855</f>
        <v/>
      </c>
      <c r="P855" s="4">
        <f>B855-D855</f>
        <v/>
      </c>
      <c r="Q855" s="4">
        <f>AVERAGE(P852:P855)</f>
        <v/>
      </c>
      <c r="R855" s="54">
        <f>(M856-M855)/M855</f>
        <v/>
      </c>
      <c r="S855" s="54">
        <f>(M859-M855)/M855</f>
        <v/>
      </c>
      <c r="T855" s="63">
        <f>IF(R855&gt;0,1,"")</f>
        <v/>
      </c>
      <c r="U855" s="63">
        <f>IF(S855&gt;0,1,"")</f>
        <v/>
      </c>
    </row>
    <row r="856">
      <c r="A856" s="35" t="n">
        <v>37882</v>
      </c>
      <c r="B856" s="4" t="n">
        <v>0.6274999999999999</v>
      </c>
      <c r="C856" s="4" t="n">
        <v>0.1765</v>
      </c>
      <c r="D856" s="4" t="n">
        <v>0.1961</v>
      </c>
      <c r="E856" s="63" t="n">
        <v>1.0001</v>
      </c>
      <c r="F856" s="63" t="n">
        <v>0.5629999999999999</v>
      </c>
      <c r="G856" s="63" t="n">
        <v>0.4314</v>
      </c>
      <c r="H856" s="63" t="n">
        <v>0.384907436629</v>
      </c>
      <c r="I856" s="63" t="n">
        <v>0.48829287048</v>
      </c>
      <c r="J856" s="63" t="n">
        <v>0.281522002778</v>
      </c>
      <c r="K856" s="63" t="n">
        <v>1040.29</v>
      </c>
      <c r="L856" s="63" t="n">
        <v>1013.59</v>
      </c>
      <c r="M856" s="63" t="n">
        <v>1036.3</v>
      </c>
      <c r="N856" s="54">
        <f>(M857-M856)/M856</f>
        <v/>
      </c>
      <c r="O856" s="54">
        <f>(M860-M856)/M856</f>
        <v/>
      </c>
      <c r="P856" s="4">
        <f>B856-D856</f>
        <v/>
      </c>
      <c r="Q856" s="4">
        <f>AVERAGE(P853:P856)</f>
        <v/>
      </c>
      <c r="R856" s="54">
        <f>(M857-M856)/M856</f>
        <v/>
      </c>
      <c r="S856" s="54">
        <f>(M860-M856)/M856</f>
        <v/>
      </c>
      <c r="T856" s="63">
        <f>IF(R856&gt;0,1,"")</f>
        <v/>
      </c>
      <c r="U856" s="63">
        <f>IF(S856&gt;0,1,"")</f>
        <v/>
      </c>
    </row>
    <row r="857">
      <c r="A857" s="35" t="n">
        <v>37889</v>
      </c>
      <c r="B857" s="4" t="n">
        <v>0.5728</v>
      </c>
      <c r="C857" s="4" t="n">
        <v>0.2039</v>
      </c>
      <c r="D857" s="4" t="n">
        <v>0.2233</v>
      </c>
      <c r="E857" s="63" t="n">
        <v>1</v>
      </c>
      <c r="F857" s="63" t="n">
        <v>0.570175</v>
      </c>
      <c r="G857" s="63" t="n">
        <v>0.3495</v>
      </c>
      <c r="H857" s="63" t="n">
        <v>0.384907436629</v>
      </c>
      <c r="I857" s="63" t="n">
        <v>0.48829287048</v>
      </c>
      <c r="J857" s="63" t="n">
        <v>0.281522002778</v>
      </c>
      <c r="K857" s="63" t="n">
        <v>1036.3</v>
      </c>
      <c r="L857" s="63" t="n">
        <v>996.08</v>
      </c>
      <c r="M857" s="63" t="n">
        <v>996.85</v>
      </c>
      <c r="N857" s="54">
        <f>(M858-M857)/M857</f>
        <v/>
      </c>
      <c r="O857" s="54">
        <f>(M861-M857)/M857</f>
        <v/>
      </c>
      <c r="P857" s="4">
        <f>B857-D857</f>
        <v/>
      </c>
      <c r="Q857" s="4">
        <f>AVERAGE(P854:P857)</f>
        <v/>
      </c>
      <c r="R857" s="54">
        <f>(M858-M857)/M857</f>
        <v/>
      </c>
      <c r="S857" s="54">
        <f>(M861-M857)/M857</f>
        <v/>
      </c>
      <c r="T857" s="63">
        <f>IF(R857&gt;0,1,"")</f>
        <v/>
      </c>
      <c r="U857" s="63">
        <f>IF(S857&gt;0,1,"")</f>
        <v/>
      </c>
    </row>
    <row r="858">
      <c r="A858" s="35" t="n">
        <v>37896</v>
      </c>
      <c r="B858" s="4" t="n">
        <v>0.5</v>
      </c>
      <c r="C858" s="4" t="n">
        <v>0.2143</v>
      </c>
      <c r="D858" s="4" t="n">
        <v>0.2857</v>
      </c>
      <c r="E858" s="63" t="n">
        <v>1</v>
      </c>
      <c r="F858" s="63" t="n">
        <v>0.5758625000000001</v>
      </c>
      <c r="G858" s="63" t="n">
        <v>0.2143</v>
      </c>
      <c r="H858" s="63" t="n">
        <v>0.384907436629</v>
      </c>
      <c r="I858" s="63" t="n">
        <v>0.48829287048</v>
      </c>
      <c r="J858" s="63" t="n">
        <v>0.281522002778</v>
      </c>
      <c r="K858" s="63" t="n">
        <v>1039.31</v>
      </c>
      <c r="L858" s="63" t="n">
        <v>990.36</v>
      </c>
      <c r="M858" s="63" t="n">
        <v>1029.85</v>
      </c>
      <c r="N858" s="54">
        <f>(M859-M858)/M858</f>
        <v/>
      </c>
      <c r="O858" s="54">
        <f>(M862-M858)/M858</f>
        <v/>
      </c>
      <c r="P858" s="4">
        <f>B858-D858</f>
        <v/>
      </c>
      <c r="Q858" s="4">
        <f>AVERAGE(P855:P858)</f>
        <v/>
      </c>
      <c r="R858" s="54">
        <f>(M859-M858)/M858</f>
        <v/>
      </c>
      <c r="S858" s="54">
        <f>(M862-M858)/M858</f>
        <v/>
      </c>
      <c r="T858" s="63">
        <f>IF(R858&gt;0,1,"")</f>
        <v/>
      </c>
      <c r="U858" s="63">
        <f>IF(S858&gt;0,1,"")</f>
        <v/>
      </c>
    </row>
    <row r="859">
      <c r="A859" s="35" t="n">
        <v>37903</v>
      </c>
      <c r="B859" s="4" t="n">
        <v>0.5758</v>
      </c>
      <c r="C859" s="4" t="n">
        <v>0.1919</v>
      </c>
      <c r="D859" s="4" t="n">
        <v>0.2323</v>
      </c>
      <c r="E859" s="63" t="n">
        <v>1</v>
      </c>
      <c r="F859" s="63" t="n">
        <v>0.5846375</v>
      </c>
      <c r="G859" s="63" t="n">
        <v>0.3435</v>
      </c>
      <c r="H859" s="63" t="n">
        <v>0.384907436629</v>
      </c>
      <c r="I859" s="63" t="n">
        <v>0.48829287048</v>
      </c>
      <c r="J859" s="63" t="n">
        <v>0.281522002778</v>
      </c>
      <c r="K859" s="63" t="n">
        <v>1048.28</v>
      </c>
      <c r="L859" s="63" t="n">
        <v>1026.27</v>
      </c>
      <c r="M859" s="63" t="n">
        <v>1038.06</v>
      </c>
      <c r="N859" s="54">
        <f>(M860-M859)/M859</f>
        <v/>
      </c>
      <c r="O859" s="54">
        <f>(M863-M859)/M859</f>
        <v/>
      </c>
      <c r="P859" s="4">
        <f>B859-D859</f>
        <v/>
      </c>
      <c r="Q859" s="4">
        <f>AVERAGE(P856:P859)</f>
        <v/>
      </c>
      <c r="R859" s="54">
        <f>(M860-M859)/M859</f>
        <v/>
      </c>
      <c r="S859" s="54">
        <f>(M863-M859)/M859</f>
        <v/>
      </c>
      <c r="T859" s="63">
        <f>IF(R859&gt;0,1,"")</f>
        <v/>
      </c>
      <c r="U859" s="63">
        <f>IF(S859&gt;0,1,"")</f>
        <v/>
      </c>
    </row>
    <row r="860">
      <c r="A860" s="35" t="n">
        <v>37910</v>
      </c>
      <c r="B860" s="4" t="n">
        <v>0.6034</v>
      </c>
      <c r="C860" s="4" t="n">
        <v>0.2586</v>
      </c>
      <c r="D860" s="4" t="n">
        <v>0.1379</v>
      </c>
      <c r="E860" s="63" t="n">
        <v>0.9999</v>
      </c>
      <c r="F860" s="63" t="n">
        <v>0.5813625</v>
      </c>
      <c r="G860" s="63" t="n">
        <v>0.4655</v>
      </c>
      <c r="H860" s="63" t="n">
        <v>0.384907436629</v>
      </c>
      <c r="I860" s="63" t="n">
        <v>0.48829287048</v>
      </c>
      <c r="J860" s="63" t="n">
        <v>0.281522002778</v>
      </c>
      <c r="K860" s="63" t="n">
        <v>1053.79</v>
      </c>
      <c r="L860" s="63" t="n">
        <v>1038.06</v>
      </c>
      <c r="M860" s="63" t="n">
        <v>1046.76</v>
      </c>
      <c r="N860" s="54">
        <f>(M861-M860)/M860</f>
        <v/>
      </c>
      <c r="O860" s="54">
        <f>(M864-M860)/M860</f>
        <v/>
      </c>
      <c r="P860" s="4">
        <f>B860-D860</f>
        <v/>
      </c>
      <c r="Q860" s="4">
        <f>AVERAGE(P857:P860)</f>
        <v/>
      </c>
      <c r="R860" s="54">
        <f>(M861-M860)/M860</f>
        <v/>
      </c>
      <c r="S860" s="54">
        <f>(M864-M860)/M860</f>
        <v/>
      </c>
      <c r="T860" s="63">
        <f>IF(R860&gt;0,1,"")</f>
        <v/>
      </c>
      <c r="U860" s="63">
        <f>IF(S860&gt;0,1,"")</f>
        <v/>
      </c>
    </row>
    <row r="861">
      <c r="A861" s="35" t="n">
        <v>37917</v>
      </c>
      <c r="B861" s="4" t="n">
        <v>0.5278</v>
      </c>
      <c r="C861" s="4" t="n">
        <v>0.3056</v>
      </c>
      <c r="D861" s="4" t="n">
        <v>0.1667</v>
      </c>
      <c r="E861" s="63" t="n">
        <v>1.0001</v>
      </c>
      <c r="F861" s="63" t="n">
        <v>0.5764625</v>
      </c>
      <c r="G861" s="63" t="n">
        <v>0.3611</v>
      </c>
      <c r="H861" s="63" t="n">
        <v>0.384907436629</v>
      </c>
      <c r="I861" s="63" t="n">
        <v>0.48829287048</v>
      </c>
      <c r="J861" s="63" t="n">
        <v>0.281522002778</v>
      </c>
      <c r="K861" s="63" t="n">
        <v>1048.57</v>
      </c>
      <c r="L861" s="63" t="n">
        <v>1028.39</v>
      </c>
      <c r="M861" s="63" t="n">
        <v>1030.36</v>
      </c>
      <c r="N861" s="54">
        <f>(M862-M861)/M861</f>
        <v/>
      </c>
      <c r="O861" s="54">
        <f>(M865-M861)/M861</f>
        <v/>
      </c>
      <c r="P861" s="4">
        <f>B861-D861</f>
        <v/>
      </c>
      <c r="Q861" s="4">
        <f>AVERAGE(P858:P861)</f>
        <v/>
      </c>
      <c r="R861" s="54">
        <f>(M862-M861)/M861</f>
        <v/>
      </c>
      <c r="S861" s="54">
        <f>(M865-M861)/M861</f>
        <v/>
      </c>
      <c r="T861" s="63">
        <f>IF(R861&gt;0,1,"")</f>
        <v/>
      </c>
      <c r="U861" s="63">
        <f>IF(S861&gt;0,1,"")</f>
        <v/>
      </c>
    </row>
    <row r="862">
      <c r="A862" s="35" t="n">
        <v>37924</v>
      </c>
      <c r="B862" s="4" t="n">
        <v>0.5780999999999999</v>
      </c>
      <c r="C862" s="4" t="n">
        <v>0.2344</v>
      </c>
      <c r="D862" s="4" t="n">
        <v>0.1875</v>
      </c>
      <c r="E862" s="63" t="n">
        <v>1</v>
      </c>
      <c r="F862" s="63" t="n">
        <v>0.57085</v>
      </c>
      <c r="G862" s="63" t="n">
        <v>0.3906</v>
      </c>
      <c r="H862" s="63" t="n">
        <v>0.384907436629</v>
      </c>
      <c r="I862" s="63" t="n">
        <v>0.48829287048</v>
      </c>
      <c r="J862" s="63" t="n">
        <v>0.281522002778</v>
      </c>
      <c r="K862" s="63" t="n">
        <v>1049.83</v>
      </c>
      <c r="L862" s="63" t="n">
        <v>1028.91</v>
      </c>
      <c r="M862" s="63" t="n">
        <v>1048.11</v>
      </c>
      <c r="N862" s="54">
        <f>(M863-M862)/M862</f>
        <v/>
      </c>
      <c r="O862" s="54">
        <f>(M866-M862)/M862</f>
        <v/>
      </c>
      <c r="P862" s="4">
        <f>B862-D862</f>
        <v/>
      </c>
      <c r="Q862" s="4">
        <f>AVERAGE(P859:P862)</f>
        <v/>
      </c>
      <c r="R862" s="54">
        <f>(M863-M862)/M862</f>
        <v/>
      </c>
      <c r="S862" s="54">
        <f>(M866-M862)/M862</f>
        <v/>
      </c>
      <c r="T862" s="63">
        <f>IF(R862&gt;0,1,"")</f>
        <v/>
      </c>
      <c r="U862" s="63">
        <f>IF(S862&gt;0,1,"")</f>
        <v/>
      </c>
    </row>
    <row r="863">
      <c r="A863" s="35" t="n">
        <v>37931</v>
      </c>
      <c r="B863" s="4" t="n">
        <v>0.5758</v>
      </c>
      <c r="C863" s="4" t="n">
        <v>0.2576</v>
      </c>
      <c r="D863" s="4" t="n">
        <v>0.1667</v>
      </c>
      <c r="E863" s="63" t="n">
        <v>1.0001</v>
      </c>
      <c r="F863" s="63" t="n">
        <v>0.57015</v>
      </c>
      <c r="G863" s="63" t="n">
        <v>0.4091</v>
      </c>
      <c r="H863" s="63" t="n">
        <v>0.384907436629</v>
      </c>
      <c r="I863" s="63" t="n">
        <v>0.48829287048</v>
      </c>
      <c r="J863" s="63" t="n">
        <v>0.281522002778</v>
      </c>
      <c r="K863" s="63" t="n">
        <v>1061.44</v>
      </c>
      <c r="L863" s="63" t="n">
        <v>1044.88</v>
      </c>
      <c r="M863" s="63" t="n">
        <v>1051.81</v>
      </c>
      <c r="N863" s="54">
        <f>(M864-M863)/M863</f>
        <v/>
      </c>
      <c r="O863" s="54">
        <f>(M867-M863)/M863</f>
        <v/>
      </c>
      <c r="P863" s="4">
        <f>B863-D863</f>
        <v/>
      </c>
      <c r="Q863" s="4">
        <f>AVERAGE(P860:P863)</f>
        <v/>
      </c>
      <c r="R863" s="54">
        <f>(M864-M863)/M863</f>
        <v/>
      </c>
      <c r="S863" s="54">
        <f>(M867-M863)/M863</f>
        <v/>
      </c>
      <c r="T863" s="63">
        <f>IF(R863&gt;0,1,"")</f>
        <v/>
      </c>
      <c r="U863" s="63">
        <f>IF(S863&gt;0,1,"")</f>
        <v/>
      </c>
    </row>
    <row r="864">
      <c r="A864" s="35" t="n">
        <v>37938</v>
      </c>
      <c r="B864" s="4" t="n">
        <v>0.5333</v>
      </c>
      <c r="C864" s="4" t="n">
        <v>0.3222</v>
      </c>
      <c r="D864" s="4" t="n">
        <v>0.1444</v>
      </c>
      <c r="E864" s="63" t="n">
        <v>0.9999</v>
      </c>
      <c r="F864" s="63" t="n">
        <v>0.558375</v>
      </c>
      <c r="G864" s="63" t="n">
        <v>0.3889</v>
      </c>
      <c r="H864" s="63" t="n">
        <v>0.384907436629</v>
      </c>
      <c r="I864" s="63" t="n">
        <v>0.48829287048</v>
      </c>
      <c r="J864" s="63" t="n">
        <v>0.281522002778</v>
      </c>
      <c r="K864" s="63" t="n">
        <v>1059.1</v>
      </c>
      <c r="L864" s="63" t="n">
        <v>1043.46</v>
      </c>
      <c r="M864" s="63" t="n">
        <v>1058.53</v>
      </c>
      <c r="N864" s="54">
        <f>(M865-M864)/M864</f>
        <v/>
      </c>
      <c r="O864" s="54">
        <f>(M868-M864)/M864</f>
        <v/>
      </c>
      <c r="P864" s="4">
        <f>B864-D864</f>
        <v/>
      </c>
      <c r="Q864" s="4">
        <f>AVERAGE(P861:P864)</f>
        <v/>
      </c>
      <c r="R864" s="54">
        <f>(M865-M864)/M864</f>
        <v/>
      </c>
      <c r="S864" s="54">
        <f>(M868-M864)/M864</f>
        <v/>
      </c>
      <c r="T864" s="63">
        <f>IF(R864&gt;0,1,"")</f>
        <v/>
      </c>
      <c r="U864" s="63">
        <f>IF(S864&gt;0,1,"")</f>
        <v/>
      </c>
    </row>
    <row r="865">
      <c r="A865" s="35" t="n">
        <v>37945</v>
      </c>
      <c r="B865" s="4" t="n">
        <v>0.5323</v>
      </c>
      <c r="C865" s="4" t="n">
        <v>0.2581</v>
      </c>
      <c r="D865" s="4" t="n">
        <v>0.2097</v>
      </c>
      <c r="E865" s="63" t="n">
        <v>1.0001</v>
      </c>
      <c r="F865" s="63" t="n">
        <v>0.5533125</v>
      </c>
      <c r="G865" s="63" t="n">
        <v>0.3226</v>
      </c>
      <c r="H865" s="63" t="n">
        <v>0.384907436629</v>
      </c>
      <c r="I865" s="63" t="n">
        <v>0.48829287048</v>
      </c>
      <c r="J865" s="63" t="n">
        <v>0.281522002778</v>
      </c>
      <c r="K865" s="63" t="n">
        <v>1050.35</v>
      </c>
      <c r="L865" s="63" t="n">
        <v>1034</v>
      </c>
      <c r="M865" s="63" t="n">
        <v>1042.44</v>
      </c>
      <c r="N865" s="54">
        <f>(M866-M865)/M865</f>
        <v/>
      </c>
      <c r="O865" s="54">
        <f>(M869-M865)/M865</f>
        <v/>
      </c>
      <c r="P865" s="4">
        <f>B865-D865</f>
        <v/>
      </c>
      <c r="Q865" s="4">
        <f>AVERAGE(P862:P865)</f>
        <v/>
      </c>
      <c r="R865" s="54">
        <f>(M866-M865)/M865</f>
        <v/>
      </c>
      <c r="S865" s="54">
        <f>(M869-M865)/M865</f>
        <v/>
      </c>
      <c r="T865" s="63">
        <f>IF(R865&gt;0,1,"")</f>
        <v/>
      </c>
      <c r="U865" s="63">
        <f>IF(S865&gt;0,1,"")</f>
        <v/>
      </c>
    </row>
    <row r="866">
      <c r="A866" s="35" t="n">
        <v>37952</v>
      </c>
      <c r="B866" s="4" t="n">
        <v>0.6038</v>
      </c>
      <c r="C866" s="4" t="n">
        <v>0.1887</v>
      </c>
      <c r="D866" s="4" t="n">
        <v>0.2075</v>
      </c>
      <c r="E866" s="63" t="n">
        <v>1</v>
      </c>
      <c r="F866" s="63" t="n">
        <v>0.5662875000000001</v>
      </c>
      <c r="G866" s="63" t="n">
        <v>0.3963</v>
      </c>
      <c r="H866" s="63" t="n">
        <v>0.384907436629</v>
      </c>
      <c r="I866" s="63" t="n">
        <v>0.48829287048</v>
      </c>
      <c r="J866" s="63" t="n">
        <v>0.281522002778</v>
      </c>
      <c r="K866" s="63" t="n">
        <v>1060.63</v>
      </c>
      <c r="L866" s="63" t="n">
        <v>1035.28</v>
      </c>
      <c r="M866" s="63" t="n">
        <v>1058.2</v>
      </c>
      <c r="N866" s="54">
        <f>(M867-M866)/M866</f>
        <v/>
      </c>
      <c r="O866" s="54">
        <f>(M870-M866)/M866</f>
        <v/>
      </c>
      <c r="P866" s="4">
        <f>B866-D866</f>
        <v/>
      </c>
      <c r="Q866" s="4">
        <f>AVERAGE(P863:P866)</f>
        <v/>
      </c>
      <c r="R866" s="54">
        <f>(M867-M866)/M866</f>
        <v/>
      </c>
      <c r="S866" s="54">
        <f>(M870-M866)/M866</f>
        <v/>
      </c>
      <c r="T866" s="63">
        <f>IF(R866&gt;0,1,"")</f>
        <v/>
      </c>
      <c r="U866" s="63">
        <f>IF(S866&gt;0,1,"")</f>
        <v/>
      </c>
    </row>
    <row r="867">
      <c r="A867" s="35" t="n">
        <v>37959</v>
      </c>
      <c r="B867" s="4" t="n">
        <v>0.6937</v>
      </c>
      <c r="C867" s="4" t="n">
        <v>0.1622</v>
      </c>
      <c r="D867" s="4" t="n">
        <v>0.1441</v>
      </c>
      <c r="E867" s="63" t="n">
        <v>1</v>
      </c>
      <c r="F867" s="63" t="n">
        <v>0.581025</v>
      </c>
      <c r="G867" s="63" t="n">
        <v>0.5496</v>
      </c>
      <c r="H867" s="63" t="n">
        <v>0.384907436629</v>
      </c>
      <c r="I867" s="63" t="n">
        <v>0.48829287048</v>
      </c>
      <c r="J867" s="63" t="n">
        <v>0.281522002778</v>
      </c>
      <c r="K867" s="63" t="n">
        <v>1074.3</v>
      </c>
      <c r="L867" s="63" t="n">
        <v>1058.2</v>
      </c>
      <c r="M867" s="63" t="n">
        <v>1064.73</v>
      </c>
      <c r="N867" s="54">
        <f>(M868-M867)/M867</f>
        <v/>
      </c>
      <c r="O867" s="54">
        <f>(M871-M867)/M867</f>
        <v/>
      </c>
      <c r="P867" s="4">
        <f>B867-D867</f>
        <v/>
      </c>
      <c r="Q867" s="4">
        <f>AVERAGE(P864:P867)</f>
        <v/>
      </c>
      <c r="R867" s="54">
        <f>(M868-M867)/M867</f>
        <v/>
      </c>
      <c r="S867" s="54">
        <f>(M871-M867)/M867</f>
        <v/>
      </c>
      <c r="T867" s="63">
        <f>IF(R867&gt;0,1,"")</f>
        <v/>
      </c>
      <c r="U867" s="63">
        <f>IF(S867&gt;0,1,"")</f>
        <v/>
      </c>
    </row>
    <row r="868">
      <c r="A868" s="35" t="n">
        <v>37966</v>
      </c>
      <c r="B868" s="4" t="n">
        <v>0.5526</v>
      </c>
      <c r="C868" s="4" t="n">
        <v>0.2368</v>
      </c>
      <c r="D868" s="4" t="n">
        <v>0.2105</v>
      </c>
      <c r="E868" s="63" t="n">
        <v>0.9999</v>
      </c>
      <c r="F868" s="63" t="n">
        <v>0.574675</v>
      </c>
      <c r="G868" s="63" t="n">
        <v>0.3421</v>
      </c>
      <c r="H868" s="63" t="n">
        <v>0.384907436629</v>
      </c>
      <c r="I868" s="63" t="n">
        <v>0.48829287048</v>
      </c>
      <c r="J868" s="63" t="n">
        <v>0.281522002778</v>
      </c>
      <c r="K868" s="63" t="n">
        <v>1074.76</v>
      </c>
      <c r="L868" s="63" t="n">
        <v>1053.41</v>
      </c>
      <c r="M868" s="63" t="n">
        <v>1074.14</v>
      </c>
      <c r="N868" s="54">
        <f>(M869-M868)/M868</f>
        <v/>
      </c>
      <c r="O868" s="54">
        <f>(M872-M868)/M868</f>
        <v/>
      </c>
      <c r="P868" s="4">
        <f>B868-D868</f>
        <v/>
      </c>
      <c r="Q868" s="4">
        <f>AVERAGE(P865:P868)</f>
        <v/>
      </c>
      <c r="R868" s="54">
        <f>(M869-M868)/M868</f>
        <v/>
      </c>
      <c r="S868" s="54">
        <f>(M872-M868)/M868</f>
        <v/>
      </c>
      <c r="T868" s="63">
        <f>IF(R868&gt;0,1,"")</f>
        <v/>
      </c>
      <c r="U868" s="63">
        <f>IF(S868&gt;0,1,"")</f>
        <v/>
      </c>
    </row>
    <row r="869">
      <c r="A869" s="35" t="n">
        <v>37973</v>
      </c>
      <c r="B869" s="4" t="n">
        <v>0.602</v>
      </c>
      <c r="C869" s="4" t="n">
        <v>0.2041</v>
      </c>
      <c r="D869" s="4" t="n">
        <v>0.1939</v>
      </c>
      <c r="E869" s="63" t="n">
        <v>1</v>
      </c>
      <c r="F869" s="63" t="n">
        <v>0.58395</v>
      </c>
      <c r="G869" s="63" t="n">
        <v>0.4081</v>
      </c>
      <c r="H869" s="63" t="n">
        <v>0.384907436629</v>
      </c>
      <c r="I869" s="63" t="n">
        <v>0.48829287048</v>
      </c>
      <c r="J869" s="63" t="n">
        <v>0.281522002778</v>
      </c>
      <c r="K869" s="63" t="n">
        <v>1082.79</v>
      </c>
      <c r="L869" s="63" t="n">
        <v>1068</v>
      </c>
      <c r="M869" s="63" t="n">
        <v>1076.48</v>
      </c>
      <c r="N869" s="54">
        <f>(M870-M869)/M869</f>
        <v/>
      </c>
      <c r="O869" s="54">
        <f>(M873-M869)/M869</f>
        <v/>
      </c>
      <c r="P869" s="4">
        <f>B869-D869</f>
        <v/>
      </c>
      <c r="Q869" s="4">
        <f>AVERAGE(P866:P869)</f>
        <v/>
      </c>
      <c r="R869" s="54">
        <f>(M870-M869)/M869</f>
        <v/>
      </c>
      <c r="S869" s="54">
        <f>(M873-M869)/M869</f>
        <v/>
      </c>
      <c r="T869" s="63">
        <f>IF(R869&gt;0,1,"")</f>
        <v/>
      </c>
      <c r="U869" s="63">
        <f>IF(S869&gt;0,1,"")</f>
        <v/>
      </c>
    </row>
    <row r="870">
      <c r="A870" s="35" t="n">
        <v>37981</v>
      </c>
      <c r="B870" s="4" t="n">
        <v>0.6552</v>
      </c>
      <c r="C870" s="4" t="n">
        <v>0.1724</v>
      </c>
      <c r="D870" s="4" t="n">
        <v>0.1724</v>
      </c>
      <c r="E870" s="63" t="n">
        <v>1</v>
      </c>
      <c r="F870" s="63" t="n">
        <v>0.5935875</v>
      </c>
      <c r="G870" s="63" t="n">
        <v>0.4828</v>
      </c>
      <c r="H870" s="63" t="n">
        <v>0.384907436629</v>
      </c>
      <c r="I870" s="63" t="n">
        <v>0.48829287048</v>
      </c>
      <c r="J870" s="63" t="n">
        <v>0.281522002778</v>
      </c>
      <c r="K870" s="63" t="n">
        <v>1098.47</v>
      </c>
      <c r="L870" s="63" t="n">
        <v>1086.14</v>
      </c>
      <c r="M870" s="63" t="n">
        <v>1095.89</v>
      </c>
      <c r="N870" s="54">
        <f>(M871-M870)/M870</f>
        <v/>
      </c>
      <c r="O870" s="54">
        <f>(M874-M870)/M870</f>
        <v/>
      </c>
      <c r="P870" s="4">
        <f>B870-D870</f>
        <v/>
      </c>
      <c r="Q870" s="4">
        <f>AVERAGE(P867:P870)</f>
        <v/>
      </c>
      <c r="R870" s="54">
        <f>(M871-M870)/M870</f>
        <v/>
      </c>
      <c r="S870" s="54">
        <f>(M874-M870)/M870</f>
        <v/>
      </c>
      <c r="T870" s="63">
        <f>IF(R870&gt;0,1,"")</f>
        <v/>
      </c>
      <c r="U870" s="63">
        <f>IF(S870&gt;0,1,"")</f>
        <v/>
      </c>
    </row>
    <row r="871">
      <c r="A871" s="35" t="n">
        <v>37987</v>
      </c>
      <c r="B871" s="4" t="n">
        <v>0.6241</v>
      </c>
      <c r="C871" s="4" t="n">
        <v>0.2411</v>
      </c>
      <c r="D871" s="4" t="n">
        <v>0.1348</v>
      </c>
      <c r="E871" s="63" t="n">
        <v>1</v>
      </c>
      <c r="F871" s="63" t="n">
        <v>0.599625</v>
      </c>
      <c r="G871" s="63" t="n">
        <v>0.4893</v>
      </c>
      <c r="H871" s="63" t="n">
        <v>0.384907436629</v>
      </c>
      <c r="I871" s="63" t="n">
        <v>0.48829287048</v>
      </c>
      <c r="J871" s="63" t="n">
        <v>0.281522002778</v>
      </c>
      <c r="K871" s="63" t="n">
        <v>1118.85</v>
      </c>
      <c r="L871" s="63" t="n">
        <v>1105.08</v>
      </c>
      <c r="M871" s="63" t="n">
        <v>1108.48</v>
      </c>
      <c r="N871" s="54">
        <f>(M872-M871)/M871</f>
        <v/>
      </c>
      <c r="O871" s="54">
        <f>(M875-M871)/M871</f>
        <v/>
      </c>
      <c r="P871" s="4">
        <f>B871-D871</f>
        <v/>
      </c>
      <c r="Q871" s="4">
        <f>AVERAGE(P868:P871)</f>
        <v/>
      </c>
      <c r="R871" s="54">
        <f>(M872-M871)/M871</f>
        <v/>
      </c>
      <c r="S871" s="54">
        <f>(M875-M871)/M871</f>
        <v/>
      </c>
      <c r="T871" s="63">
        <f>IF(R871&gt;0,1,"")</f>
        <v/>
      </c>
      <c r="U871" s="63">
        <f>IF(S871&gt;0,1,"")</f>
        <v/>
      </c>
    </row>
    <row r="872">
      <c r="A872" s="35" t="n">
        <v>37994</v>
      </c>
      <c r="B872" s="4" t="n">
        <v>0.6716</v>
      </c>
      <c r="C872" s="4" t="n">
        <v>0.1493</v>
      </c>
      <c r="D872" s="4" t="n">
        <v>0.1791</v>
      </c>
      <c r="E872" s="63" t="n">
        <v>1</v>
      </c>
      <c r="F872" s="63" t="n">
        <v>0.6169125</v>
      </c>
      <c r="G872" s="63" t="n">
        <v>0.4925</v>
      </c>
      <c r="H872" s="63" t="n">
        <v>0.384907436629</v>
      </c>
      <c r="I872" s="63" t="n">
        <v>0.48829287048</v>
      </c>
      <c r="J872" s="63" t="n">
        <v>0.281522002778</v>
      </c>
      <c r="K872" s="63" t="n">
        <v>1126.33</v>
      </c>
      <c r="L872" s="63" t="n">
        <v>1108.48</v>
      </c>
      <c r="M872" s="63" t="n">
        <v>1126.33</v>
      </c>
      <c r="N872" s="54">
        <f>(M873-M872)/M872</f>
        <v/>
      </c>
      <c r="O872" s="54">
        <f>(M876-M872)/M872</f>
        <v/>
      </c>
      <c r="P872" s="4">
        <f>B872-D872</f>
        <v/>
      </c>
      <c r="Q872" s="4">
        <f>AVERAGE(P869:P872)</f>
        <v/>
      </c>
      <c r="R872" s="54">
        <f>(M873-M872)/M872</f>
        <v/>
      </c>
      <c r="S872" s="54">
        <f>(M876-M872)/M872</f>
        <v/>
      </c>
      <c r="T872" s="63">
        <f>IF(R872&gt;0,1,"")</f>
        <v/>
      </c>
      <c r="U872" s="63">
        <f>IF(S872&gt;0,1,"")</f>
        <v/>
      </c>
    </row>
    <row r="873">
      <c r="A873" s="35" t="n">
        <v>38001</v>
      </c>
      <c r="B873" s="4" t="n">
        <v>0.6629</v>
      </c>
      <c r="C873" s="4" t="n">
        <v>0.236</v>
      </c>
      <c r="D873" s="4" t="n">
        <v>0.1011</v>
      </c>
      <c r="E873" s="63" t="n">
        <v>1</v>
      </c>
      <c r="F873" s="63" t="n">
        <v>0.6332375</v>
      </c>
      <c r="G873" s="63" t="n">
        <v>0.5618</v>
      </c>
      <c r="H873" s="63" t="n">
        <v>0.384907436629</v>
      </c>
      <c r="I873" s="63" t="n">
        <v>0.48829287048</v>
      </c>
      <c r="J873" s="63" t="n">
        <v>0.281522002778</v>
      </c>
      <c r="K873" s="63" t="n">
        <v>1130.75</v>
      </c>
      <c r="L873" s="63" t="n">
        <v>1115.19</v>
      </c>
      <c r="M873" s="63" t="n">
        <v>1130.52</v>
      </c>
      <c r="N873" s="54">
        <f>(M874-M873)/M873</f>
        <v/>
      </c>
      <c r="O873" s="54">
        <f>(M877-M873)/M873</f>
        <v/>
      </c>
      <c r="P873" s="4">
        <f>B873-D873</f>
        <v/>
      </c>
      <c r="Q873" s="4">
        <f>AVERAGE(P870:P873)</f>
        <v/>
      </c>
      <c r="R873" s="54">
        <f>(M874-M873)/M873</f>
        <v/>
      </c>
      <c r="S873" s="54">
        <f>(M877-M873)/M873</f>
        <v/>
      </c>
      <c r="T873" s="63">
        <f>IF(R873&gt;0,1,"")</f>
        <v/>
      </c>
      <c r="U873" s="63">
        <f>IF(S873&gt;0,1,"")</f>
        <v/>
      </c>
    </row>
    <row r="874">
      <c r="A874" s="35" t="n">
        <v>38008</v>
      </c>
      <c r="B874" s="4" t="n">
        <v>0.6951000000000001</v>
      </c>
      <c r="C874" s="4" t="n">
        <v>0.1707</v>
      </c>
      <c r="D874" s="4" t="n">
        <v>0.1341</v>
      </c>
      <c r="E874" s="63" t="n">
        <v>0.9999</v>
      </c>
      <c r="F874" s="63" t="n">
        <v>0.6446499999999999</v>
      </c>
      <c r="G874" s="63" t="n">
        <v>0.5610000000000001</v>
      </c>
      <c r="H874" s="63" t="n">
        <v>0.384907436629</v>
      </c>
      <c r="I874" s="63" t="n">
        <v>0.48829287048</v>
      </c>
      <c r="J874" s="63" t="n">
        <v>0.281522002778</v>
      </c>
      <c r="K874" s="63" t="n">
        <v>1149.21</v>
      </c>
      <c r="L874" s="63" t="n">
        <v>1134.62</v>
      </c>
      <c r="M874" s="63" t="n">
        <v>1147.62</v>
      </c>
      <c r="N874" s="54">
        <f>(M875-M874)/M874</f>
        <v/>
      </c>
      <c r="O874" s="54">
        <f>(M878-M874)/M874</f>
        <v/>
      </c>
      <c r="P874" s="4">
        <f>B874-D874</f>
        <v/>
      </c>
      <c r="Q874" s="4">
        <f>AVERAGE(P871:P874)</f>
        <v/>
      </c>
      <c r="R874" s="54">
        <f>(M875-M874)/M874</f>
        <v/>
      </c>
      <c r="S874" s="54">
        <f>(M878-M874)/M874</f>
        <v/>
      </c>
      <c r="T874" s="63">
        <f>IF(R874&gt;0,1,"")</f>
        <v/>
      </c>
      <c r="U874" s="63">
        <f>IF(S874&gt;0,1,"")</f>
        <v/>
      </c>
    </row>
    <row r="875">
      <c r="A875" s="35" t="n">
        <v>38015</v>
      </c>
      <c r="B875" s="4" t="n">
        <v>0.5688</v>
      </c>
      <c r="C875" s="4" t="n">
        <v>0.2813</v>
      </c>
      <c r="D875" s="4" t="n">
        <v>0.15</v>
      </c>
      <c r="E875" s="63" t="n">
        <v>1.0001</v>
      </c>
      <c r="F875" s="63" t="n">
        <v>0.6290375</v>
      </c>
      <c r="G875" s="63" t="n">
        <v>0.4188</v>
      </c>
      <c r="H875" s="63" t="n">
        <v>0.384907436629</v>
      </c>
      <c r="I875" s="63" t="n">
        <v>0.48829287048</v>
      </c>
      <c r="J875" s="63" t="n">
        <v>0.281522002778</v>
      </c>
      <c r="K875" s="63" t="n">
        <v>1155.38</v>
      </c>
      <c r="L875" s="63" t="n">
        <v>1126.5</v>
      </c>
      <c r="M875" s="63" t="n">
        <v>1128.48</v>
      </c>
      <c r="N875" s="54">
        <f>(M876-M875)/M875</f>
        <v/>
      </c>
      <c r="O875" s="54">
        <f>(M879-M875)/M875</f>
        <v/>
      </c>
      <c r="P875" s="4">
        <f>B875-D875</f>
        <v/>
      </c>
      <c r="Q875" s="4">
        <f>AVERAGE(P872:P875)</f>
        <v/>
      </c>
      <c r="R875" s="54">
        <f>(M876-M875)/M875</f>
        <v/>
      </c>
      <c r="S875" s="54">
        <f>(M879-M875)/M875</f>
        <v/>
      </c>
      <c r="T875" s="63">
        <f>IF(R875&gt;0,1,"")</f>
        <v/>
      </c>
      <c r="U875" s="63">
        <f>IF(S875&gt;0,1,"")</f>
        <v/>
      </c>
    </row>
    <row r="876">
      <c r="A876" s="35" t="n">
        <v>38022</v>
      </c>
      <c r="B876" s="4" t="n">
        <v>0.5091</v>
      </c>
      <c r="C876" s="4" t="n">
        <v>0.2727</v>
      </c>
      <c r="D876" s="4" t="n">
        <v>0.2182</v>
      </c>
      <c r="E876" s="63" t="n">
        <v>1</v>
      </c>
      <c r="F876" s="63" t="n">
        <v>0.6236</v>
      </c>
      <c r="G876" s="63" t="n">
        <v>0.2909</v>
      </c>
      <c r="H876" s="63" t="n">
        <v>0.384907436629</v>
      </c>
      <c r="I876" s="63" t="n">
        <v>0.48829287048</v>
      </c>
      <c r="J876" s="63" t="n">
        <v>0.281522002778</v>
      </c>
      <c r="K876" s="63" t="n">
        <v>1142.45</v>
      </c>
      <c r="L876" s="63" t="n">
        <v>1124.74</v>
      </c>
      <c r="M876" s="63" t="n">
        <v>1126.52</v>
      </c>
      <c r="N876" s="54">
        <f>(M877-M876)/M876</f>
        <v/>
      </c>
      <c r="O876" s="54">
        <f>(M880-M876)/M876</f>
        <v/>
      </c>
      <c r="P876" s="4">
        <f>B876-D876</f>
        <v/>
      </c>
      <c r="Q876" s="4">
        <f>AVERAGE(P873:P876)</f>
        <v/>
      </c>
      <c r="R876" s="54">
        <f>(M877-M876)/M876</f>
        <v/>
      </c>
      <c r="S876" s="54">
        <f>(M880-M876)/M876</f>
        <v/>
      </c>
      <c r="T876" s="63">
        <f>IF(R876&gt;0,1,"")</f>
        <v/>
      </c>
      <c r="U876" s="63">
        <f>IF(S876&gt;0,1,"")</f>
        <v/>
      </c>
    </row>
    <row r="877">
      <c r="A877" s="35" t="n">
        <v>38029</v>
      </c>
      <c r="B877" s="4" t="n">
        <v>0.5610000000000001</v>
      </c>
      <c r="C877" s="4" t="n">
        <v>0.2927</v>
      </c>
      <c r="D877" s="4" t="n">
        <v>0.1463</v>
      </c>
      <c r="E877" s="63" t="n">
        <v>1</v>
      </c>
      <c r="F877" s="63" t="n">
        <v>0.618475</v>
      </c>
      <c r="G877" s="63" t="n">
        <v>0.4147</v>
      </c>
      <c r="H877" s="63" t="n">
        <v>0.384907436629</v>
      </c>
      <c r="I877" s="63" t="n">
        <v>0.48829287048</v>
      </c>
      <c r="J877" s="63" t="n">
        <v>0.281522002778</v>
      </c>
      <c r="K877" s="63" t="n">
        <v>1158.89</v>
      </c>
      <c r="L877" s="63" t="n">
        <v>1138.7</v>
      </c>
      <c r="M877" s="63" t="n">
        <v>1157.76</v>
      </c>
      <c r="N877" s="54">
        <f>(M878-M877)/M877</f>
        <v/>
      </c>
      <c r="O877" s="54">
        <f>(M881-M877)/M877</f>
        <v/>
      </c>
      <c r="P877" s="4">
        <f>B877-D877</f>
        <v/>
      </c>
      <c r="Q877" s="4">
        <f>AVERAGE(P874:P877)</f>
        <v/>
      </c>
      <c r="R877" s="54">
        <f>(M878-M877)/M877</f>
        <v/>
      </c>
      <c r="S877" s="54">
        <f>(M881-M877)/M877</f>
        <v/>
      </c>
      <c r="T877" s="63">
        <f>IF(R877&gt;0,1,"")</f>
        <v/>
      </c>
      <c r="U877" s="63">
        <f>IF(S877&gt;0,1,"")</f>
        <v/>
      </c>
    </row>
    <row r="878">
      <c r="A878" s="35" t="n">
        <v>38036</v>
      </c>
      <c r="B878" s="4" t="n">
        <v>0.5645</v>
      </c>
      <c r="C878" s="4" t="n">
        <v>0.2258</v>
      </c>
      <c r="D878" s="4" t="n">
        <v>0.2097</v>
      </c>
      <c r="E878" s="63" t="n">
        <v>1</v>
      </c>
      <c r="F878" s="63" t="n">
        <v>0.6071375</v>
      </c>
      <c r="G878" s="63" t="n">
        <v>0.3548</v>
      </c>
      <c r="H878" s="63" t="n">
        <v>0.384907436629</v>
      </c>
      <c r="I878" s="63" t="n">
        <v>0.48829287048</v>
      </c>
      <c r="J878" s="63" t="n">
        <v>0.281522002778</v>
      </c>
      <c r="K878" s="63" t="n">
        <v>1158.98</v>
      </c>
      <c r="L878" s="63" t="n">
        <v>1145.81</v>
      </c>
      <c r="M878" s="63" t="n">
        <v>1151.82</v>
      </c>
      <c r="N878" s="54">
        <f>(M879-M878)/M878</f>
        <v/>
      </c>
      <c r="O878" s="54">
        <f>(M882-M878)/M878</f>
        <v/>
      </c>
      <c r="P878" s="4">
        <f>B878-D878</f>
        <v/>
      </c>
      <c r="Q878" s="4">
        <f>AVERAGE(P875:P878)</f>
        <v/>
      </c>
      <c r="R878" s="54">
        <f>(M879-M878)/M878</f>
        <v/>
      </c>
      <c r="S878" s="54">
        <f>(M882-M878)/M878</f>
        <v/>
      </c>
      <c r="T878" s="63">
        <f>IF(R878&gt;0,1,"")</f>
        <v/>
      </c>
      <c r="U878" s="63">
        <f>IF(S878&gt;0,1,"")</f>
        <v/>
      </c>
    </row>
    <row r="879">
      <c r="A879" s="35" t="n">
        <v>38043</v>
      </c>
      <c r="B879" s="4" t="n">
        <v>0.4158</v>
      </c>
      <c r="C879" s="4" t="n">
        <v>0.2789</v>
      </c>
      <c r="D879" s="4" t="n">
        <v>0.3053</v>
      </c>
      <c r="E879" s="63" t="n">
        <v>1</v>
      </c>
      <c r="F879" s="63" t="n">
        <v>0.5810999999999999</v>
      </c>
      <c r="G879" s="63" t="n">
        <v>0.1105</v>
      </c>
      <c r="H879" s="63" t="n">
        <v>0.384907436629</v>
      </c>
      <c r="I879" s="63" t="n">
        <v>0.48829287048</v>
      </c>
      <c r="J879" s="63" t="n">
        <v>0.281522002778</v>
      </c>
      <c r="K879" s="63" t="n">
        <v>1146.69</v>
      </c>
      <c r="L879" s="63" t="n">
        <v>1134.43</v>
      </c>
      <c r="M879" s="63" t="n">
        <v>1143.67</v>
      </c>
      <c r="N879" s="54">
        <f>(M880-M879)/M879</f>
        <v/>
      </c>
      <c r="O879" s="54">
        <f>(M883-M879)/M879</f>
        <v/>
      </c>
      <c r="P879" s="4">
        <f>B879-D879</f>
        <v/>
      </c>
      <c r="Q879" s="4">
        <f>AVERAGE(P876:P879)</f>
        <v/>
      </c>
      <c r="R879" s="54">
        <f>(M880-M879)/M879</f>
        <v/>
      </c>
      <c r="S879" s="54">
        <f>(M883-M879)/M879</f>
        <v/>
      </c>
      <c r="T879" s="63">
        <f>IF(R879&gt;0,1,"")</f>
        <v/>
      </c>
      <c r="U879" s="63">
        <f>IF(S879&gt;0,1,"")</f>
        <v/>
      </c>
    </row>
    <row r="880">
      <c r="A880" s="35" t="n">
        <v>38050</v>
      </c>
      <c r="B880" s="4" t="n">
        <v>0.4783</v>
      </c>
      <c r="C880" s="4" t="n">
        <v>0.3913</v>
      </c>
      <c r="D880" s="4" t="n">
        <v>0.1304</v>
      </c>
      <c r="E880" s="63" t="n">
        <v>1</v>
      </c>
      <c r="F880" s="63" t="n">
        <v>0.5569375</v>
      </c>
      <c r="G880" s="63" t="n">
        <v>0.3479</v>
      </c>
      <c r="H880" s="63" t="n">
        <v>0.384907436629</v>
      </c>
      <c r="I880" s="63" t="n">
        <v>0.48829287048</v>
      </c>
      <c r="J880" s="63" t="n">
        <v>0.281522002778</v>
      </c>
      <c r="K880" s="63" t="n">
        <v>1157.45</v>
      </c>
      <c r="L880" s="63" t="n">
        <v>1143.78</v>
      </c>
      <c r="M880" s="63" t="n">
        <v>1151.03</v>
      </c>
      <c r="N880" s="54">
        <f>(M881-M880)/M880</f>
        <v/>
      </c>
      <c r="O880" s="54">
        <f>(M884-M880)/M880</f>
        <v/>
      </c>
      <c r="P880" s="4">
        <f>B880-D880</f>
        <v/>
      </c>
      <c r="Q880" s="4">
        <f>AVERAGE(P877:P880)</f>
        <v/>
      </c>
      <c r="R880" s="54">
        <f>(M881-M880)/M880</f>
        <v/>
      </c>
      <c r="S880" s="54">
        <f>(M884-M880)/M880</f>
        <v/>
      </c>
      <c r="T880" s="63">
        <f>IF(R880&gt;0,1,"")</f>
        <v/>
      </c>
      <c r="U880" s="63">
        <f>IF(S880&gt;0,1,"")</f>
        <v/>
      </c>
    </row>
    <row r="881">
      <c r="A881" s="35" t="n">
        <v>38057</v>
      </c>
      <c r="B881" s="4" t="n">
        <v>0.4129</v>
      </c>
      <c r="C881" s="4" t="n">
        <v>0.2516</v>
      </c>
      <c r="D881" s="4" t="n">
        <v>0.3355</v>
      </c>
      <c r="E881" s="63" t="n">
        <v>1</v>
      </c>
      <c r="F881" s="63" t="n">
        <v>0.5256875</v>
      </c>
      <c r="G881" s="63" t="n">
        <v>0.0774</v>
      </c>
      <c r="H881" s="63" t="n">
        <v>0.384907436629</v>
      </c>
      <c r="I881" s="63" t="n">
        <v>0.48829287048</v>
      </c>
      <c r="J881" s="63" t="n">
        <v>0.281522002778</v>
      </c>
      <c r="K881" s="63" t="n">
        <v>1159.94</v>
      </c>
      <c r="L881" s="63" t="n">
        <v>1122.53</v>
      </c>
      <c r="M881" s="63" t="n">
        <v>1123.89</v>
      </c>
      <c r="N881" s="54">
        <f>(M882-M881)/M881</f>
        <v/>
      </c>
      <c r="O881" s="54">
        <f>(M885-M881)/M881</f>
        <v/>
      </c>
      <c r="P881" s="4">
        <f>B881-D881</f>
        <v/>
      </c>
      <c r="Q881" s="4">
        <f>AVERAGE(P878:P881)</f>
        <v/>
      </c>
      <c r="R881" s="54">
        <f>(M882-M881)/M881</f>
        <v/>
      </c>
      <c r="S881" s="54">
        <f>(M885-M881)/M881</f>
        <v/>
      </c>
      <c r="T881" s="63">
        <f>IF(R881&gt;0,1,"")</f>
        <v/>
      </c>
      <c r="U881" s="63">
        <f>IF(S881&gt;0,1,"")</f>
        <v/>
      </c>
    </row>
    <row r="882">
      <c r="A882" s="35" t="n">
        <v>38064</v>
      </c>
      <c r="B882" s="4" t="n">
        <v>0.386</v>
      </c>
      <c r="C882" s="4" t="n">
        <v>0.3509</v>
      </c>
      <c r="D882" s="4" t="n">
        <v>0.2632</v>
      </c>
      <c r="E882" s="63" t="n">
        <v>1.0001</v>
      </c>
      <c r="F882" s="63" t="n">
        <v>0.48705</v>
      </c>
      <c r="G882" s="63" t="n">
        <v>0.1228</v>
      </c>
      <c r="H882" s="63" t="n">
        <v>0.384907436629</v>
      </c>
      <c r="I882" s="63" t="n">
        <v>0.48829287048</v>
      </c>
      <c r="J882" s="63" t="n">
        <v>0.281522002778</v>
      </c>
      <c r="K882" s="63" t="n">
        <v>1125.76</v>
      </c>
      <c r="L882" s="63" t="n">
        <v>1102.61</v>
      </c>
      <c r="M882" s="63" t="n">
        <v>1123.75</v>
      </c>
      <c r="N882" s="54">
        <f>(M883-M882)/M882</f>
        <v/>
      </c>
      <c r="O882" s="54">
        <f>(M886-M882)/M882</f>
        <v/>
      </c>
      <c r="P882" s="4">
        <f>B882-D882</f>
        <v/>
      </c>
      <c r="Q882" s="4">
        <f>AVERAGE(P879:P882)</f>
        <v/>
      </c>
      <c r="R882" s="54">
        <f>(M883-M882)/M882</f>
        <v/>
      </c>
      <c r="S882" s="54">
        <f>(M886-M882)/M882</f>
        <v/>
      </c>
      <c r="T882" s="63">
        <f>IF(R882&gt;0,1,"")</f>
        <v/>
      </c>
      <c r="U882" s="63">
        <f>IF(S882&gt;0,1,"")</f>
        <v/>
      </c>
    </row>
    <row r="883">
      <c r="A883" s="35" t="n">
        <v>38071</v>
      </c>
      <c r="B883" s="4" t="n">
        <v>0.3148</v>
      </c>
      <c r="C883" s="4" t="n">
        <v>0.2593</v>
      </c>
      <c r="D883" s="4" t="n">
        <v>0.4259</v>
      </c>
      <c r="E883" s="63" t="n">
        <v>1</v>
      </c>
      <c r="F883" s="63" t="n">
        <v>0.4553</v>
      </c>
      <c r="G883" s="63" t="n">
        <v>-0.1111</v>
      </c>
      <c r="H883" s="63" t="n">
        <v>0.384907436629</v>
      </c>
      <c r="I883" s="63" t="n">
        <v>0.48829287048</v>
      </c>
      <c r="J883" s="63" t="n">
        <v>0.281522002778</v>
      </c>
      <c r="K883" s="63" t="n">
        <v>1109.78</v>
      </c>
      <c r="L883" s="63" t="n">
        <v>1087.16</v>
      </c>
      <c r="M883" s="63" t="n">
        <v>1091.33</v>
      </c>
      <c r="N883" s="54">
        <f>(M884-M883)/M883</f>
        <v/>
      </c>
      <c r="O883" s="54">
        <f>(M887-M883)/M883</f>
        <v/>
      </c>
      <c r="P883" s="4">
        <f>B883-D883</f>
        <v/>
      </c>
      <c r="Q883" s="4">
        <f>AVERAGE(P880:P883)</f>
        <v/>
      </c>
      <c r="R883" s="54">
        <f>(M884-M883)/M883</f>
        <v/>
      </c>
      <c r="S883" s="54">
        <f>(M887-M883)/M883</f>
        <v/>
      </c>
      <c r="T883" s="63">
        <f>IF(R883&gt;0,1,"")</f>
        <v/>
      </c>
      <c r="U883" s="63">
        <f>IF(S883&gt;0,1,"")</f>
        <v/>
      </c>
    </row>
    <row r="884">
      <c r="A884" s="35" t="n">
        <v>38078</v>
      </c>
      <c r="B884" s="4" t="n">
        <v>0.5517</v>
      </c>
      <c r="C884" s="4" t="n">
        <v>0.2241</v>
      </c>
      <c r="D884" s="4" t="n">
        <v>0.2241</v>
      </c>
      <c r="E884" s="63" t="n">
        <v>0.9999</v>
      </c>
      <c r="F884" s="63" t="n">
        <v>0.460625</v>
      </c>
      <c r="G884" s="63" t="n">
        <v>0.3276</v>
      </c>
      <c r="H884" s="63" t="n">
        <v>0.384907436629</v>
      </c>
      <c r="I884" s="63" t="n">
        <v>0.48829287048</v>
      </c>
      <c r="J884" s="63" t="n">
        <v>0.281522002778</v>
      </c>
      <c r="K884" s="63" t="n">
        <v>1130.83</v>
      </c>
      <c r="L884" s="63" t="n">
        <v>1108.06</v>
      </c>
      <c r="M884" s="63" t="n">
        <v>1126.21</v>
      </c>
      <c r="N884" s="54">
        <f>(M885-M884)/M884</f>
        <v/>
      </c>
      <c r="O884" s="54">
        <f>(M888-M884)/M884</f>
        <v/>
      </c>
      <c r="P884" s="4">
        <f>B884-D884</f>
        <v/>
      </c>
      <c r="Q884" s="4">
        <f>AVERAGE(P881:P884)</f>
        <v/>
      </c>
      <c r="R884" s="54">
        <f>(M885-M884)/M884</f>
        <v/>
      </c>
      <c r="S884" s="54">
        <f>(M888-M884)/M884</f>
        <v/>
      </c>
      <c r="T884" s="63">
        <f>IF(R884&gt;0,1,"")</f>
        <v/>
      </c>
      <c r="U884" s="63">
        <f>IF(S884&gt;0,1,"")</f>
        <v/>
      </c>
    </row>
    <row r="885">
      <c r="A885" s="35" t="n">
        <v>38085</v>
      </c>
      <c r="B885" s="4" t="n">
        <v>0.5878</v>
      </c>
      <c r="C885" s="4" t="n">
        <v>0.2095</v>
      </c>
      <c r="D885" s="4" t="n">
        <v>0.2027</v>
      </c>
      <c r="E885" s="63" t="n">
        <v>1</v>
      </c>
      <c r="F885" s="63" t="n">
        <v>0.463975</v>
      </c>
      <c r="G885" s="63" t="n">
        <v>0.3851</v>
      </c>
      <c r="H885" s="63" t="n">
        <v>0.384907436629</v>
      </c>
      <c r="I885" s="63" t="n">
        <v>0.48829287048</v>
      </c>
      <c r="J885" s="63" t="n">
        <v>0.281522002778</v>
      </c>
      <c r="K885" s="63" t="n">
        <v>1150.57</v>
      </c>
      <c r="L885" s="63" t="n">
        <v>1138.41</v>
      </c>
      <c r="M885" s="63" t="n">
        <v>1140.53</v>
      </c>
      <c r="N885" s="54">
        <f>(M886-M885)/M885</f>
        <v/>
      </c>
      <c r="O885" s="54">
        <f>(M889-M885)/M885</f>
        <v/>
      </c>
      <c r="P885" s="4">
        <f>B885-D885</f>
        <v/>
      </c>
      <c r="Q885" s="4">
        <f>AVERAGE(P882:P885)</f>
        <v/>
      </c>
      <c r="R885" s="54">
        <f>(M886-M885)/M885</f>
        <v/>
      </c>
      <c r="S885" s="54">
        <f>(M889-M885)/M885</f>
        <v/>
      </c>
      <c r="T885" s="63">
        <f>IF(R885&gt;0,1,"")</f>
        <v/>
      </c>
      <c r="U885" s="63">
        <f>IF(S885&gt;0,1,"")</f>
        <v/>
      </c>
    </row>
    <row r="886">
      <c r="A886" s="35" t="n">
        <v>38092</v>
      </c>
      <c r="B886" s="4" t="n">
        <v>0.6375</v>
      </c>
      <c r="C886" s="4" t="n">
        <v>0.225</v>
      </c>
      <c r="D886" s="4" t="n">
        <v>0.1375</v>
      </c>
      <c r="E886" s="63" t="n">
        <v>1</v>
      </c>
      <c r="F886" s="63" t="n">
        <v>0.4731</v>
      </c>
      <c r="G886" s="63" t="n">
        <v>0.5</v>
      </c>
      <c r="H886" s="63" t="n">
        <v>0.384907436629</v>
      </c>
      <c r="I886" s="63" t="n">
        <v>0.48829287048</v>
      </c>
      <c r="J886" s="63" t="n">
        <v>0.281522002778</v>
      </c>
      <c r="K886" s="63" t="n">
        <v>1147.78</v>
      </c>
      <c r="L886" s="63" t="n">
        <v>1122.15</v>
      </c>
      <c r="M886" s="63" t="n">
        <v>1128.17</v>
      </c>
      <c r="N886" s="54">
        <f>(M887-M886)/M886</f>
        <v/>
      </c>
      <c r="O886" s="54">
        <f>(M890-M886)/M886</f>
        <v/>
      </c>
      <c r="P886" s="4">
        <f>B886-D886</f>
        <v/>
      </c>
      <c r="Q886" s="4">
        <f>AVERAGE(P883:P886)</f>
        <v/>
      </c>
      <c r="R886" s="54">
        <f>(M887-M886)/M886</f>
        <v/>
      </c>
      <c r="S886" s="54">
        <f>(M890-M886)/M886</f>
        <v/>
      </c>
      <c r="T886" s="63">
        <f>IF(R886&gt;0,1,"")</f>
        <v/>
      </c>
      <c r="U886" s="63">
        <f>IF(S886&gt;0,1,"")</f>
        <v/>
      </c>
    </row>
    <row r="887">
      <c r="A887" s="35" t="n">
        <v>38099</v>
      </c>
      <c r="B887" s="4" t="n">
        <v>0.5</v>
      </c>
      <c r="C887" s="4" t="n">
        <v>0.275</v>
      </c>
      <c r="D887" s="4" t="n">
        <v>0.225</v>
      </c>
      <c r="E887" s="63" t="n">
        <v>1</v>
      </c>
      <c r="F887" s="63" t="n">
        <v>0.483625</v>
      </c>
      <c r="G887" s="63" t="n">
        <v>0.275</v>
      </c>
      <c r="H887" s="63" t="n">
        <v>0.384907436629</v>
      </c>
      <c r="I887" s="63" t="n">
        <v>0.48829287048</v>
      </c>
      <c r="J887" s="63" t="n">
        <v>0.281522002778</v>
      </c>
      <c r="K887" s="63" t="n">
        <v>1139.26</v>
      </c>
      <c r="L887" s="63" t="n">
        <v>1116.03</v>
      </c>
      <c r="M887" s="63" t="n">
        <v>1124.09</v>
      </c>
      <c r="N887" s="54">
        <f>(M888-M887)/M887</f>
        <v/>
      </c>
      <c r="O887" s="54">
        <f>(M891-M887)/M887</f>
        <v/>
      </c>
      <c r="P887" s="4">
        <f>B887-D887</f>
        <v/>
      </c>
      <c r="Q887" s="4">
        <f>AVERAGE(P884:P887)</f>
        <v/>
      </c>
      <c r="R887" s="54">
        <f>(M888-M887)/M887</f>
        <v/>
      </c>
      <c r="S887" s="54">
        <f>(M891-M887)/M887</f>
        <v/>
      </c>
      <c r="T887" s="63">
        <f>IF(R887&gt;0,1,"")</f>
        <v/>
      </c>
      <c r="U887" s="63">
        <f>IF(S887&gt;0,1,"")</f>
        <v/>
      </c>
    </row>
    <row r="888">
      <c r="A888" s="35" t="n">
        <v>38106</v>
      </c>
      <c r="B888" s="4" t="n">
        <v>0.5</v>
      </c>
      <c r="C888" s="4" t="n">
        <v>0.2879</v>
      </c>
      <c r="D888" s="4" t="n">
        <v>0.2121</v>
      </c>
      <c r="E888" s="63" t="n">
        <v>1</v>
      </c>
      <c r="F888" s="63" t="n">
        <v>0.4863375</v>
      </c>
      <c r="G888" s="63" t="n">
        <v>0.2879</v>
      </c>
      <c r="H888" s="63" t="n">
        <v>0.384907436629</v>
      </c>
      <c r="I888" s="63" t="n">
        <v>0.48829287048</v>
      </c>
      <c r="J888" s="63" t="n">
        <v>0.281522002778</v>
      </c>
      <c r="K888" s="63" t="n">
        <v>1146.56</v>
      </c>
      <c r="L888" s="63" t="n">
        <v>1121.7</v>
      </c>
      <c r="M888" s="63" t="n">
        <v>1122.41</v>
      </c>
      <c r="N888" s="54">
        <f>(M889-M888)/M888</f>
        <v/>
      </c>
      <c r="O888" s="54">
        <f>(M892-M888)/M888</f>
        <v/>
      </c>
      <c r="P888" s="4">
        <f>B888-D888</f>
        <v/>
      </c>
      <c r="Q888" s="4">
        <f>AVERAGE(P885:P888)</f>
        <v/>
      </c>
      <c r="R888" s="54">
        <f>(M889-M888)/M888</f>
        <v/>
      </c>
      <c r="S888" s="54">
        <f>(M892-M888)/M888</f>
        <v/>
      </c>
      <c r="T888" s="63">
        <f>IF(R888&gt;0,1,"")</f>
        <v/>
      </c>
      <c r="U888" s="63">
        <f>IF(S888&gt;0,1,"")</f>
        <v/>
      </c>
    </row>
    <row r="889">
      <c r="A889" s="35" t="n">
        <v>38113</v>
      </c>
      <c r="B889" s="4" t="n">
        <v>0.3898</v>
      </c>
      <c r="C889" s="4" t="n">
        <v>0.339</v>
      </c>
      <c r="D889" s="4" t="n">
        <v>0.2712</v>
      </c>
      <c r="E889" s="63" t="n">
        <v>1</v>
      </c>
      <c r="F889" s="63" t="n">
        <v>0.48345</v>
      </c>
      <c r="G889" s="63" t="n">
        <v>0.1186</v>
      </c>
      <c r="H889" s="63" t="n">
        <v>0.384907436629</v>
      </c>
      <c r="I889" s="63" t="n">
        <v>0.48829287048</v>
      </c>
      <c r="J889" s="63" t="n">
        <v>0.281522002778</v>
      </c>
      <c r="K889" s="63" t="n">
        <v>1127.74</v>
      </c>
      <c r="L889" s="63" t="n">
        <v>1107.3</v>
      </c>
      <c r="M889" s="63" t="n">
        <v>1121.53</v>
      </c>
      <c r="N889" s="54">
        <f>(M890-M889)/M889</f>
        <v/>
      </c>
      <c r="O889" s="54">
        <f>(M893-M889)/M889</f>
        <v/>
      </c>
      <c r="P889" s="4">
        <f>B889-D889</f>
        <v/>
      </c>
      <c r="Q889" s="4">
        <f>AVERAGE(P886:P889)</f>
        <v/>
      </c>
      <c r="R889" s="54">
        <f>(M890-M889)/M889</f>
        <v/>
      </c>
      <c r="S889" s="54">
        <f>(M893-M889)/M889</f>
        <v/>
      </c>
      <c r="T889" s="63">
        <f>IF(R889&gt;0,1,"")</f>
        <v/>
      </c>
      <c r="U889" s="63">
        <f>IF(S889&gt;0,1,"")</f>
        <v/>
      </c>
    </row>
    <row r="890">
      <c r="A890" s="35" t="n">
        <v>38120</v>
      </c>
      <c r="B890" s="4" t="n">
        <v>0.3289</v>
      </c>
      <c r="C890" s="4" t="n">
        <v>0.2368</v>
      </c>
      <c r="D890" s="4" t="n">
        <v>0.4342</v>
      </c>
      <c r="E890" s="63" t="n">
        <v>0.9999</v>
      </c>
      <c r="F890" s="63" t="n">
        <v>0.4763125</v>
      </c>
      <c r="G890" s="63" t="n">
        <v>-0.1053</v>
      </c>
      <c r="H890" s="63" t="n">
        <v>0.384907436629</v>
      </c>
      <c r="I890" s="63" t="n">
        <v>0.48829287048</v>
      </c>
      <c r="J890" s="63" t="n">
        <v>0.281522002778</v>
      </c>
      <c r="K890" s="63" t="n">
        <v>1098.7</v>
      </c>
      <c r="L890" s="63" t="n">
        <v>1076.32</v>
      </c>
      <c r="M890" s="63" t="n">
        <v>1097.28</v>
      </c>
      <c r="N890" s="54">
        <f>(M891-M890)/M890</f>
        <v/>
      </c>
      <c r="O890" s="54">
        <f>(M894-M890)/M890</f>
        <v/>
      </c>
      <c r="P890" s="4">
        <f>B890-D890</f>
        <v/>
      </c>
      <c r="Q890" s="4">
        <f>AVERAGE(P887:P890)</f>
        <v/>
      </c>
      <c r="R890" s="54">
        <f>(M891-M890)/M890</f>
        <v/>
      </c>
      <c r="S890" s="54">
        <f>(M894-M890)/M890</f>
        <v/>
      </c>
      <c r="T890" s="63">
        <f>IF(R890&gt;0,1,"")</f>
        <v/>
      </c>
      <c r="U890" s="63">
        <f>IF(S890&gt;0,1,"")</f>
        <v/>
      </c>
    </row>
    <row r="891">
      <c r="A891" s="35" t="n">
        <v>38127</v>
      </c>
      <c r="B891" s="4" t="n">
        <v>0.3667</v>
      </c>
      <c r="C891" s="4" t="n">
        <v>0.2333</v>
      </c>
      <c r="D891" s="4" t="n">
        <v>0.4</v>
      </c>
      <c r="E891" s="63" t="n">
        <v>1</v>
      </c>
      <c r="F891" s="63" t="n">
        <v>0.4828</v>
      </c>
      <c r="G891" s="63" t="n">
        <v>-0.0333</v>
      </c>
      <c r="H891" s="63" t="n">
        <v>0.384907436629</v>
      </c>
      <c r="I891" s="63" t="n">
        <v>0.48829287048</v>
      </c>
      <c r="J891" s="63" t="n">
        <v>0.281522002778</v>
      </c>
      <c r="K891" s="63" t="n">
        <v>1105.93</v>
      </c>
      <c r="L891" s="63" t="n">
        <v>1079.36</v>
      </c>
      <c r="M891" s="63" t="n">
        <v>1088.68</v>
      </c>
      <c r="N891" s="54">
        <f>(M892-M891)/M891</f>
        <v/>
      </c>
      <c r="O891" s="54">
        <f>(M895-M891)/M891</f>
        <v/>
      </c>
      <c r="P891" s="4">
        <f>B891-D891</f>
        <v/>
      </c>
      <c r="Q891" s="4">
        <f>AVERAGE(P888:P891)</f>
        <v/>
      </c>
      <c r="R891" s="54">
        <f>(M892-M891)/M891</f>
        <v/>
      </c>
      <c r="S891" s="54">
        <f>(M895-M891)/M891</f>
        <v/>
      </c>
      <c r="T891" s="63">
        <f>IF(R891&gt;0,1,"")</f>
        <v/>
      </c>
      <c r="U891" s="63">
        <f>IF(S891&gt;0,1,"")</f>
        <v/>
      </c>
    </row>
    <row r="892">
      <c r="A892" s="35" t="n">
        <v>38134</v>
      </c>
      <c r="B892" s="4" t="n">
        <v>0.3611</v>
      </c>
      <c r="C892" s="4" t="n">
        <v>0.2361</v>
      </c>
      <c r="D892" s="4" t="n">
        <v>0.4028</v>
      </c>
      <c r="E892" s="63" t="n">
        <v>1</v>
      </c>
      <c r="F892" s="63" t="n">
        <v>0.458975</v>
      </c>
      <c r="G892" s="63" t="n">
        <v>-0.0417</v>
      </c>
      <c r="H892" s="63" t="n">
        <v>0.384907436629</v>
      </c>
      <c r="I892" s="63" t="n">
        <v>0.48829287048</v>
      </c>
      <c r="J892" s="63" t="n">
        <v>0.281522002778</v>
      </c>
      <c r="K892" s="63" t="n">
        <v>1116.71</v>
      </c>
      <c r="L892" s="63" t="n">
        <v>1090.74</v>
      </c>
      <c r="M892" s="63" t="n">
        <v>1114.94</v>
      </c>
      <c r="N892" s="54">
        <f>(M893-M892)/M892</f>
        <v/>
      </c>
      <c r="O892" s="54">
        <f>(M896-M892)/M892</f>
        <v/>
      </c>
      <c r="P892" s="4">
        <f>B892-D892</f>
        <v/>
      </c>
      <c r="Q892" s="4">
        <f>AVERAGE(P889:P892)</f>
        <v/>
      </c>
      <c r="R892" s="54">
        <f>(M893-M892)/M892</f>
        <v/>
      </c>
      <c r="S892" s="54">
        <f>(M896-M892)/M892</f>
        <v/>
      </c>
      <c r="T892" s="63">
        <f>IF(R892&gt;0,1,"")</f>
        <v/>
      </c>
      <c r="U892" s="63">
        <f>IF(S892&gt;0,1,"")</f>
        <v/>
      </c>
    </row>
    <row r="893">
      <c r="A893" s="35" t="n">
        <v>38141</v>
      </c>
      <c r="B893" s="4" t="n">
        <v>0.3333</v>
      </c>
      <c r="C893" s="4" t="n">
        <v>0.4048</v>
      </c>
      <c r="D893" s="4" t="n">
        <v>0.2619</v>
      </c>
      <c r="E893" s="63" t="n">
        <v>1</v>
      </c>
      <c r="F893" s="63" t="n">
        <v>0.4271625</v>
      </c>
      <c r="G893" s="63" t="n">
        <v>0.07140000000000001</v>
      </c>
      <c r="H893" s="63" t="n">
        <v>0.384907436629</v>
      </c>
      <c r="I893" s="63" t="n">
        <v>0.48829287048</v>
      </c>
      <c r="J893" s="63" t="n">
        <v>0.281522002778</v>
      </c>
      <c r="K893" s="63" t="n">
        <v>1128.1</v>
      </c>
      <c r="L893" s="63" t="n">
        <v>1113.32</v>
      </c>
      <c r="M893" s="63" t="n">
        <v>1124.99</v>
      </c>
      <c r="N893" s="54">
        <f>(M894-M893)/M893</f>
        <v/>
      </c>
      <c r="O893" s="54">
        <f>(M897-M893)/M893</f>
        <v/>
      </c>
      <c r="P893" s="4">
        <f>B893-D893</f>
        <v/>
      </c>
      <c r="Q893" s="4">
        <f>AVERAGE(P890:P893)</f>
        <v/>
      </c>
      <c r="R893" s="54">
        <f>(M894-M893)/M893</f>
        <v/>
      </c>
      <c r="S893" s="54">
        <f>(M897-M893)/M893</f>
        <v/>
      </c>
      <c r="T893" s="63">
        <f>IF(R893&gt;0,1,"")</f>
        <v/>
      </c>
      <c r="U893" s="63">
        <f>IF(S893&gt;0,1,"")</f>
        <v/>
      </c>
    </row>
    <row r="894">
      <c r="A894" s="35" t="n">
        <v>38148</v>
      </c>
      <c r="B894" s="4" t="n">
        <v>0.5526</v>
      </c>
      <c r="C894" s="4" t="n">
        <v>0.2895</v>
      </c>
      <c r="D894" s="4" t="n">
        <v>0.1579</v>
      </c>
      <c r="E894" s="63" t="n">
        <v>1</v>
      </c>
      <c r="F894" s="63" t="n">
        <v>0.41655</v>
      </c>
      <c r="G894" s="63" t="n">
        <v>0.3947</v>
      </c>
      <c r="H894" s="63" t="n">
        <v>0.384907436629</v>
      </c>
      <c r="I894" s="63" t="n">
        <v>0.48829287048</v>
      </c>
      <c r="J894" s="63" t="n">
        <v>0.281522002778</v>
      </c>
      <c r="K894" s="63" t="n">
        <v>1142.18</v>
      </c>
      <c r="L894" s="63" t="n">
        <v>1114.76</v>
      </c>
      <c r="M894" s="63" t="n">
        <v>1131.33</v>
      </c>
      <c r="N894" s="54">
        <f>(M895-M894)/M894</f>
        <v/>
      </c>
      <c r="O894" s="54">
        <f>(M898-M894)/M894</f>
        <v/>
      </c>
      <c r="P894" s="4">
        <f>B894-D894</f>
        <v/>
      </c>
      <c r="Q894" s="4">
        <f>AVERAGE(P891:P894)</f>
        <v/>
      </c>
      <c r="R894" s="54">
        <f>(M895-M894)/M894</f>
        <v/>
      </c>
      <c r="S894" s="54">
        <f>(M898-M894)/M894</f>
        <v/>
      </c>
      <c r="T894" s="63">
        <f>IF(R894&gt;0,1,"")</f>
        <v/>
      </c>
      <c r="U894" s="63">
        <f>IF(S894&gt;0,1,"")</f>
        <v/>
      </c>
    </row>
    <row r="895">
      <c r="A895" s="35" t="n">
        <v>38155</v>
      </c>
      <c r="B895" s="4" t="n">
        <v>0.4141</v>
      </c>
      <c r="C895" s="4" t="n">
        <v>0.3047</v>
      </c>
      <c r="D895" s="4" t="n">
        <v>0.2813</v>
      </c>
      <c r="E895" s="63" t="n">
        <v>1.0001</v>
      </c>
      <c r="F895" s="63" t="n">
        <v>0.4058125</v>
      </c>
      <c r="G895" s="63" t="n">
        <v>0.1328</v>
      </c>
      <c r="H895" s="63" t="n">
        <v>0.384907436629</v>
      </c>
      <c r="I895" s="63" t="n">
        <v>0.48829287048</v>
      </c>
      <c r="J895" s="63" t="n">
        <v>0.281522002778</v>
      </c>
      <c r="K895" s="63" t="n">
        <v>1137.36</v>
      </c>
      <c r="L895" s="63" t="n">
        <v>1122.16</v>
      </c>
      <c r="M895" s="63" t="n">
        <v>1133.56</v>
      </c>
      <c r="N895" s="54">
        <f>(M896-M895)/M895</f>
        <v/>
      </c>
      <c r="O895" s="54">
        <f>(M899-M895)/M895</f>
        <v/>
      </c>
      <c r="P895" s="4">
        <f>B895-D895</f>
        <v/>
      </c>
      <c r="Q895" s="4">
        <f>AVERAGE(P892:P895)</f>
        <v/>
      </c>
      <c r="R895" s="54">
        <f>(M896-M895)/M895</f>
        <v/>
      </c>
      <c r="S895" s="54">
        <f>(M899-M895)/M895</f>
        <v/>
      </c>
      <c r="T895" s="63">
        <f>IF(R895&gt;0,1,"")</f>
        <v/>
      </c>
      <c r="U895" s="63">
        <f>IF(S895&gt;0,1,"")</f>
        <v/>
      </c>
    </row>
    <row r="896">
      <c r="A896" s="35" t="n">
        <v>38162</v>
      </c>
      <c r="B896" s="4" t="n">
        <v>0.5641</v>
      </c>
      <c r="C896" s="4" t="n">
        <v>0.2051</v>
      </c>
      <c r="D896" s="4" t="n">
        <v>0.2308</v>
      </c>
      <c r="E896" s="63" t="n">
        <v>1</v>
      </c>
      <c r="F896" s="63" t="n">
        <v>0.413825</v>
      </c>
      <c r="G896" s="63" t="n">
        <v>0.3333</v>
      </c>
      <c r="H896" s="63" t="n">
        <v>0.384907436629</v>
      </c>
      <c r="I896" s="63" t="n">
        <v>0.48829287048</v>
      </c>
      <c r="J896" s="63" t="n">
        <v>0.281522002778</v>
      </c>
      <c r="K896" s="63" t="n">
        <v>1145.15</v>
      </c>
      <c r="L896" s="63" t="n">
        <v>1124.37</v>
      </c>
      <c r="M896" s="63" t="n">
        <v>1144.06</v>
      </c>
      <c r="N896" s="54">
        <f>(M897-M896)/M896</f>
        <v/>
      </c>
      <c r="O896" s="54">
        <f>(M900-M896)/M896</f>
        <v/>
      </c>
      <c r="P896" s="4">
        <f>B896-D896</f>
        <v/>
      </c>
      <c r="Q896" s="4">
        <f>AVERAGE(P893:P896)</f>
        <v/>
      </c>
      <c r="R896" s="54">
        <f>(M897-M896)/M896</f>
        <v/>
      </c>
      <c r="S896" s="54">
        <f>(M900-M896)/M896</f>
        <v/>
      </c>
      <c r="T896" s="63">
        <f>IF(R896&gt;0,1,"")</f>
        <v/>
      </c>
      <c r="U896" s="63">
        <f>IF(S896&gt;0,1,"")</f>
        <v/>
      </c>
    </row>
    <row r="897">
      <c r="A897" s="35" t="n">
        <v>38169</v>
      </c>
      <c r="B897" s="4" t="n">
        <v>0.5697</v>
      </c>
      <c r="C897" s="4" t="n">
        <v>0.2727</v>
      </c>
      <c r="D897" s="4" t="n">
        <v>0.1576</v>
      </c>
      <c r="E897" s="63" t="n">
        <v>1</v>
      </c>
      <c r="F897" s="63" t="n">
        <v>0.4363125</v>
      </c>
      <c r="G897" s="63" t="n">
        <v>0.4121</v>
      </c>
      <c r="H897" s="63" t="n">
        <v>0.384907436629</v>
      </c>
      <c r="I897" s="63" t="n">
        <v>0.48829287048</v>
      </c>
      <c r="J897" s="63" t="n">
        <v>0.281522002778</v>
      </c>
      <c r="K897" s="63" t="n">
        <v>1144.2</v>
      </c>
      <c r="L897" s="63" t="n">
        <v>1131.72</v>
      </c>
      <c r="M897" s="63" t="n">
        <v>1140.84</v>
      </c>
      <c r="N897" s="54">
        <f>(M898-M897)/M897</f>
        <v/>
      </c>
      <c r="O897" s="54">
        <f>(M901-M897)/M897</f>
        <v/>
      </c>
      <c r="P897" s="4">
        <f>B897-D897</f>
        <v/>
      </c>
      <c r="Q897" s="4">
        <f>AVERAGE(P894:P897)</f>
        <v/>
      </c>
      <c r="R897" s="54">
        <f>(M898-M897)/M897</f>
        <v/>
      </c>
      <c r="S897" s="54">
        <f>(M901-M897)/M897</f>
        <v/>
      </c>
      <c r="T897" s="63">
        <f>IF(R897&gt;0,1,"")</f>
        <v/>
      </c>
      <c r="U897" s="63">
        <f>IF(S897&gt;0,1,"")</f>
        <v/>
      </c>
    </row>
    <row r="898">
      <c r="A898" s="35" t="n">
        <v>38176</v>
      </c>
      <c r="B898" s="4" t="n">
        <v>0.551</v>
      </c>
      <c r="C898" s="4" t="n">
        <v>0.2347</v>
      </c>
      <c r="D898" s="4" t="n">
        <v>0.2143</v>
      </c>
      <c r="E898" s="63" t="n">
        <v>1</v>
      </c>
      <c r="F898" s="63" t="n">
        <v>0.464075</v>
      </c>
      <c r="G898" s="63" t="n">
        <v>0.3367</v>
      </c>
      <c r="H898" s="63" t="n">
        <v>0.384907436629</v>
      </c>
      <c r="I898" s="63" t="n">
        <v>0.48829287048</v>
      </c>
      <c r="J898" s="63" t="n">
        <v>0.281522002778</v>
      </c>
      <c r="K898" s="63" t="n">
        <v>1125.38</v>
      </c>
      <c r="L898" s="63" t="n">
        <v>1113.21</v>
      </c>
      <c r="M898" s="63" t="n">
        <v>1118.33</v>
      </c>
      <c r="N898" s="54">
        <f>(M899-M898)/M898</f>
        <v/>
      </c>
      <c r="O898" s="54">
        <f>(M902-M898)/M898</f>
        <v/>
      </c>
      <c r="P898" s="4">
        <f>B898-D898</f>
        <v/>
      </c>
      <c r="Q898" s="4">
        <f>AVERAGE(P895:P898)</f>
        <v/>
      </c>
      <c r="R898" s="54">
        <f>(M899-M898)/M898</f>
        <v/>
      </c>
      <c r="S898" s="54">
        <f>(M902-M898)/M898</f>
        <v/>
      </c>
      <c r="T898" s="63">
        <f>IF(R898&gt;0,1,"")</f>
        <v/>
      </c>
      <c r="U898" s="63">
        <f>IF(S898&gt;0,1,"")</f>
        <v/>
      </c>
    </row>
    <row r="899">
      <c r="A899" s="35" t="n">
        <v>38183</v>
      </c>
      <c r="B899" s="4" t="n">
        <v>0.4737</v>
      </c>
      <c r="C899" s="4" t="n">
        <v>0.2895</v>
      </c>
      <c r="D899" s="4" t="n">
        <v>0.2368</v>
      </c>
      <c r="E899" s="63" t="n">
        <v>1</v>
      </c>
      <c r="F899" s="63" t="n">
        <v>0.47745</v>
      </c>
      <c r="G899" s="63" t="n">
        <v>0.2369</v>
      </c>
      <c r="H899" s="63" t="n">
        <v>0.384907436629</v>
      </c>
      <c r="I899" s="63" t="n">
        <v>0.48829287048</v>
      </c>
      <c r="J899" s="63" t="n">
        <v>0.281522002778</v>
      </c>
      <c r="K899" s="63" t="n">
        <v>1119.6</v>
      </c>
      <c r="L899" s="63" t="n">
        <v>1106.71</v>
      </c>
      <c r="M899" s="63" t="n">
        <v>1111.47</v>
      </c>
      <c r="N899" s="54">
        <f>(M900-M899)/M899</f>
        <v/>
      </c>
      <c r="O899" s="54">
        <f>(M903-M899)/M899</f>
        <v/>
      </c>
      <c r="P899" s="4">
        <f>B899-D899</f>
        <v/>
      </c>
      <c r="Q899" s="4">
        <f>AVERAGE(P896:P899)</f>
        <v/>
      </c>
      <c r="R899" s="54">
        <f>(M900-M899)/M899</f>
        <v/>
      </c>
      <c r="S899" s="54">
        <f>(M903-M899)/M899</f>
        <v/>
      </c>
      <c r="T899" s="63">
        <f>IF(R899&gt;0,1,"")</f>
        <v/>
      </c>
      <c r="U899" s="63">
        <f>IF(S899&gt;0,1,"")</f>
        <v/>
      </c>
    </row>
    <row r="900">
      <c r="A900" s="35" t="n">
        <v>38190</v>
      </c>
      <c r="B900" s="4" t="n">
        <v>0.3571</v>
      </c>
      <c r="C900" s="4" t="n">
        <v>0.4048</v>
      </c>
      <c r="D900" s="4" t="n">
        <v>0.2381</v>
      </c>
      <c r="E900" s="63" t="n">
        <v>1</v>
      </c>
      <c r="F900" s="63" t="n">
        <v>0.47695</v>
      </c>
      <c r="G900" s="63" t="n">
        <v>0.119</v>
      </c>
      <c r="H900" s="63" t="n">
        <v>0.384907436629</v>
      </c>
      <c r="I900" s="63" t="n">
        <v>0.48829287048</v>
      </c>
      <c r="J900" s="63" t="n">
        <v>0.281522002778</v>
      </c>
      <c r="K900" s="63" t="n">
        <v>1116.27</v>
      </c>
      <c r="L900" s="63" t="n">
        <v>1093.88</v>
      </c>
      <c r="M900" s="63" t="n">
        <v>1093.88</v>
      </c>
      <c r="N900" s="54">
        <f>(M901-M900)/M900</f>
        <v/>
      </c>
      <c r="O900" s="54">
        <f>(M904-M900)/M900</f>
        <v/>
      </c>
      <c r="P900" s="4">
        <f>B900-D900</f>
        <v/>
      </c>
      <c r="Q900" s="4">
        <f>AVERAGE(P897:P900)</f>
        <v/>
      </c>
      <c r="R900" s="54">
        <f>(M901-M900)/M900</f>
        <v/>
      </c>
      <c r="S900" s="54">
        <f>(M904-M900)/M900</f>
        <v/>
      </c>
      <c r="T900" s="63">
        <f>IF(R900&gt;0,1,"")</f>
        <v/>
      </c>
      <c r="U900" s="63">
        <f>IF(S900&gt;0,1,"")</f>
        <v/>
      </c>
    </row>
    <row r="901">
      <c r="A901" s="35" t="n">
        <v>38197</v>
      </c>
      <c r="B901" s="4" t="n">
        <v>0.34</v>
      </c>
      <c r="C901" s="4" t="n">
        <v>0.3</v>
      </c>
      <c r="D901" s="4" t="n">
        <v>0.36</v>
      </c>
      <c r="E901" s="63" t="n">
        <v>1</v>
      </c>
      <c r="F901" s="63" t="n">
        <v>0.4777875</v>
      </c>
      <c r="G901" s="63" t="n">
        <v>-0.02</v>
      </c>
      <c r="H901" s="63" t="n">
        <v>0.384907436629</v>
      </c>
      <c r="I901" s="63" t="n">
        <v>0.48829287048</v>
      </c>
      <c r="J901" s="63" t="n">
        <v>0.281522002778</v>
      </c>
      <c r="K901" s="63" t="n">
        <v>1098.84</v>
      </c>
      <c r="L901" s="63" t="n">
        <v>1078.78</v>
      </c>
      <c r="M901" s="63" t="n">
        <v>1095.42</v>
      </c>
      <c r="N901" s="54">
        <f>(M902-M901)/M901</f>
        <v/>
      </c>
      <c r="O901" s="54">
        <f>(M905-M901)/M901</f>
        <v/>
      </c>
      <c r="P901" s="4">
        <f>B901-D901</f>
        <v/>
      </c>
      <c r="Q901" s="4">
        <f>AVERAGE(P898:P901)</f>
        <v/>
      </c>
      <c r="R901" s="54">
        <f>(M902-M901)/M901</f>
        <v/>
      </c>
      <c r="S901" s="54">
        <f>(M905-M901)/M901</f>
        <v/>
      </c>
      <c r="T901" s="63">
        <f>IF(R901&gt;0,1,"")</f>
        <v/>
      </c>
      <c r="U901" s="63">
        <f>IF(S901&gt;0,1,"")</f>
        <v/>
      </c>
    </row>
    <row r="902">
      <c r="A902" s="35" t="n">
        <v>38204</v>
      </c>
      <c r="B902" s="4" t="n">
        <v>0.3099</v>
      </c>
      <c r="C902" s="4" t="n">
        <v>0.3521</v>
      </c>
      <c r="D902" s="4" t="n">
        <v>0.338</v>
      </c>
      <c r="E902" s="63" t="n">
        <v>1</v>
      </c>
      <c r="F902" s="63" t="n">
        <v>0.44745</v>
      </c>
      <c r="G902" s="63" t="n">
        <v>-0.0281</v>
      </c>
      <c r="H902" s="63" t="n">
        <v>0.384907436629</v>
      </c>
      <c r="I902" s="63" t="n">
        <v>0.48829287048</v>
      </c>
      <c r="J902" s="63" t="n">
        <v>0.281522002778</v>
      </c>
      <c r="K902" s="63" t="n">
        <v>1108.6</v>
      </c>
      <c r="L902" s="63" t="n">
        <v>1092.4</v>
      </c>
      <c r="M902" s="63" t="n">
        <v>1098.63</v>
      </c>
      <c r="N902" s="54">
        <f>(M903-M902)/M902</f>
        <v/>
      </c>
      <c r="O902" s="54">
        <f>(M906-M902)/M902</f>
        <v/>
      </c>
      <c r="P902" s="4">
        <f>B902-D902</f>
        <v/>
      </c>
      <c r="Q902" s="4">
        <f>AVERAGE(P899:P902)</f>
        <v/>
      </c>
      <c r="R902" s="54">
        <f>(M903-M902)/M902</f>
        <v/>
      </c>
      <c r="S902" s="54">
        <f>(M906-M902)/M902</f>
        <v/>
      </c>
      <c r="T902" s="63">
        <f>IF(R902&gt;0,1,"")</f>
        <v/>
      </c>
      <c r="U902" s="63">
        <f>IF(S902&gt;0,1,"")</f>
        <v/>
      </c>
    </row>
    <row r="903">
      <c r="A903" s="35" t="n">
        <v>38211</v>
      </c>
      <c r="B903" s="4" t="n">
        <v>0.3857</v>
      </c>
      <c r="C903" s="4" t="n">
        <v>0.2143</v>
      </c>
      <c r="D903" s="4" t="n">
        <v>0.4</v>
      </c>
      <c r="E903" s="63" t="n">
        <v>1</v>
      </c>
      <c r="F903" s="63" t="n">
        <v>0.4439</v>
      </c>
      <c r="G903" s="63" t="n">
        <v>-0.0143</v>
      </c>
      <c r="H903" s="63" t="n">
        <v>0.384907436629</v>
      </c>
      <c r="I903" s="63" t="n">
        <v>0.48829287048</v>
      </c>
      <c r="J903" s="63" t="n">
        <v>0.281522002778</v>
      </c>
      <c r="K903" s="63" t="n">
        <v>1079.04</v>
      </c>
      <c r="L903" s="63" t="n">
        <v>1063.97</v>
      </c>
      <c r="M903" s="63" t="n">
        <v>1075.79</v>
      </c>
      <c r="N903" s="54">
        <f>(M904-M903)/M903</f>
        <v/>
      </c>
      <c r="O903" s="54">
        <f>(M907-M903)/M903</f>
        <v/>
      </c>
      <c r="P903" s="4">
        <f>B903-D903</f>
        <v/>
      </c>
      <c r="Q903" s="4">
        <f>AVERAGE(P900:P903)</f>
        <v/>
      </c>
      <c r="R903" s="54">
        <f>(M904-M903)/M903</f>
        <v/>
      </c>
      <c r="S903" s="54">
        <f>(M907-M903)/M903</f>
        <v/>
      </c>
      <c r="T903" s="63">
        <f>IF(R903&gt;0,1,"")</f>
        <v/>
      </c>
      <c r="U903" s="63">
        <f>IF(S903&gt;0,1,"")</f>
        <v/>
      </c>
    </row>
    <row r="904">
      <c r="A904" s="35" t="n">
        <v>38218</v>
      </c>
      <c r="B904" s="4" t="n">
        <v>0.3488</v>
      </c>
      <c r="C904" s="4" t="n">
        <v>0.3023</v>
      </c>
      <c r="D904" s="4" t="n">
        <v>0.3488</v>
      </c>
      <c r="E904" s="63" t="n">
        <v>0.9999</v>
      </c>
      <c r="F904" s="63" t="n">
        <v>0.4169875</v>
      </c>
      <c r="G904" s="63" t="n">
        <v>0</v>
      </c>
      <c r="H904" s="63" t="n">
        <v>0.384907436629</v>
      </c>
      <c r="I904" s="63" t="n">
        <v>0.48829287048</v>
      </c>
      <c r="J904" s="63" t="n">
        <v>0.281522002778</v>
      </c>
      <c r="K904" s="63" t="n">
        <v>1095.17</v>
      </c>
      <c r="L904" s="63" t="n">
        <v>1064.8</v>
      </c>
      <c r="M904" s="63" t="n">
        <v>1095.17</v>
      </c>
      <c r="N904" s="54">
        <f>(M905-M904)/M904</f>
        <v/>
      </c>
      <c r="O904" s="54">
        <f>(M908-M904)/M904</f>
        <v/>
      </c>
      <c r="P904" s="4">
        <f>B904-D904</f>
        <v/>
      </c>
      <c r="Q904" s="4">
        <f>AVERAGE(P901:P904)</f>
        <v/>
      </c>
      <c r="R904" s="54">
        <f>(M905-M904)/M904</f>
        <v/>
      </c>
      <c r="S904" s="54">
        <f>(M908-M904)/M904</f>
        <v/>
      </c>
      <c r="T904" s="63">
        <f>IF(R904&gt;0,1,"")</f>
        <v/>
      </c>
      <c r="U904" s="63">
        <f>IF(S904&gt;0,1,"")</f>
        <v/>
      </c>
    </row>
    <row r="905">
      <c r="A905" s="35" t="n">
        <v>38225</v>
      </c>
      <c r="B905" s="4" t="n">
        <v>0.4153</v>
      </c>
      <c r="C905" s="4" t="n">
        <v>0.3305</v>
      </c>
      <c r="D905" s="4" t="n">
        <v>0.2542</v>
      </c>
      <c r="E905" s="63" t="n">
        <v>1</v>
      </c>
      <c r="F905" s="63" t="n">
        <v>0.3976875</v>
      </c>
      <c r="G905" s="63" t="n">
        <v>0.1611</v>
      </c>
      <c r="H905" s="63" t="n">
        <v>0.384907436629</v>
      </c>
      <c r="I905" s="63" t="n">
        <v>0.48829287048</v>
      </c>
      <c r="J905" s="63" t="n">
        <v>0.281522002778</v>
      </c>
      <c r="K905" s="63" t="n">
        <v>1106.29</v>
      </c>
      <c r="L905" s="63" t="n">
        <v>1092.82</v>
      </c>
      <c r="M905" s="63" t="n">
        <v>1104.96</v>
      </c>
      <c r="N905" s="54">
        <f>(M906-M905)/M905</f>
        <v/>
      </c>
      <c r="O905" s="54">
        <f>(M909-M905)/M905</f>
        <v/>
      </c>
      <c r="P905" s="4">
        <f>B905-D905</f>
        <v/>
      </c>
      <c r="Q905" s="4">
        <f>AVERAGE(P902:P905)</f>
        <v/>
      </c>
      <c r="R905" s="54">
        <f>(M906-M905)/M905</f>
        <v/>
      </c>
      <c r="S905" s="54">
        <f>(M909-M905)/M905</f>
        <v/>
      </c>
      <c r="T905" s="63">
        <f>IF(R905&gt;0,1,"")</f>
        <v/>
      </c>
      <c r="U905" s="63">
        <f>IF(S905&gt;0,1,"")</f>
        <v/>
      </c>
    </row>
    <row r="906">
      <c r="A906" s="35" t="n">
        <v>38232</v>
      </c>
      <c r="B906" s="4" t="n">
        <v>0.4151</v>
      </c>
      <c r="C906" s="4" t="n">
        <v>0.3019</v>
      </c>
      <c r="D906" s="4" t="n">
        <v>0.283</v>
      </c>
      <c r="E906" s="63" t="n">
        <v>1</v>
      </c>
      <c r="F906" s="63" t="n">
        <v>0.3807</v>
      </c>
      <c r="G906" s="63" t="n">
        <v>0.1321</v>
      </c>
      <c r="H906" s="63" t="n">
        <v>0.384907436629</v>
      </c>
      <c r="I906" s="63" t="n">
        <v>0.48829287048</v>
      </c>
      <c r="J906" s="63" t="n">
        <v>0.281522002778</v>
      </c>
      <c r="K906" s="63" t="n">
        <v>1109.24</v>
      </c>
      <c r="L906" s="63" t="n">
        <v>1094.72</v>
      </c>
      <c r="M906" s="63" t="n">
        <v>1105.91</v>
      </c>
      <c r="N906" s="54">
        <f>(M907-M906)/M906</f>
        <v/>
      </c>
      <c r="O906" s="54">
        <f>(M910-M906)/M906</f>
        <v/>
      </c>
      <c r="P906" s="4">
        <f>B906-D906</f>
        <v/>
      </c>
      <c r="Q906" s="4">
        <f>AVERAGE(P903:P906)</f>
        <v/>
      </c>
      <c r="R906" s="54">
        <f>(M907-M906)/M906</f>
        <v/>
      </c>
      <c r="S906" s="54">
        <f>(M910-M906)/M906</f>
        <v/>
      </c>
      <c r="T906" s="63">
        <f>IF(R906&gt;0,1,"")</f>
        <v/>
      </c>
      <c r="U906" s="63">
        <f>IF(S906&gt;0,1,"")</f>
        <v/>
      </c>
    </row>
    <row r="907">
      <c r="A907" s="35" t="n">
        <v>38239</v>
      </c>
      <c r="B907" s="4" t="n">
        <v>0.505</v>
      </c>
      <c r="C907" s="4" t="n">
        <v>0.2574</v>
      </c>
      <c r="D907" s="4" t="n">
        <v>0.2376</v>
      </c>
      <c r="E907" s="63" t="n">
        <v>1</v>
      </c>
      <c r="F907" s="63" t="n">
        <v>0.3846125</v>
      </c>
      <c r="G907" s="63" t="n">
        <v>0.2674</v>
      </c>
      <c r="H907" s="63" t="n">
        <v>0.384907436629</v>
      </c>
      <c r="I907" s="63" t="n">
        <v>0.48829287048</v>
      </c>
      <c r="J907" s="63" t="n">
        <v>0.281522002778</v>
      </c>
      <c r="K907" s="63" t="n">
        <v>1124.08</v>
      </c>
      <c r="L907" s="63" t="n">
        <v>1113.63</v>
      </c>
      <c r="M907" s="63" t="n">
        <v>1121.3</v>
      </c>
      <c r="N907" s="54">
        <f>(M908-M907)/M907</f>
        <v/>
      </c>
      <c r="O907" s="54">
        <f>(M911-M907)/M907</f>
        <v/>
      </c>
      <c r="P907" s="4">
        <f>B907-D907</f>
        <v/>
      </c>
      <c r="Q907" s="4">
        <f>AVERAGE(P904:P907)</f>
        <v/>
      </c>
      <c r="R907" s="54">
        <f>(M908-M907)/M907</f>
        <v/>
      </c>
      <c r="S907" s="54">
        <f>(M911-M907)/M907</f>
        <v/>
      </c>
      <c r="T907" s="63">
        <f>IF(R907&gt;0,1,"")</f>
        <v/>
      </c>
      <c r="U907" s="63">
        <f>IF(S907&gt;0,1,"")</f>
        <v/>
      </c>
    </row>
    <row r="908">
      <c r="A908" s="35" t="n">
        <v>38246</v>
      </c>
      <c r="B908" s="4" t="n">
        <v>0.4545</v>
      </c>
      <c r="C908" s="4" t="n">
        <v>0.2273</v>
      </c>
      <c r="D908" s="4" t="n">
        <v>0.3182</v>
      </c>
      <c r="E908" s="63" t="n">
        <v>1</v>
      </c>
      <c r="F908" s="63" t="n">
        <v>0.3967875</v>
      </c>
      <c r="G908" s="63" t="n">
        <v>0.1363</v>
      </c>
      <c r="H908" s="63" t="n">
        <v>0.384907436629</v>
      </c>
      <c r="I908" s="63" t="n">
        <v>0.48829287048</v>
      </c>
      <c r="J908" s="63" t="n">
        <v>0.281522002778</v>
      </c>
      <c r="K908" s="63" t="n">
        <v>1129.78</v>
      </c>
      <c r="L908" s="63" t="n">
        <v>1123.35</v>
      </c>
      <c r="M908" s="63" t="n">
        <v>1125.82</v>
      </c>
      <c r="N908" s="54">
        <f>(M909-M908)/M908</f>
        <v/>
      </c>
      <c r="O908" s="54">
        <f>(M912-M908)/M908</f>
        <v/>
      </c>
      <c r="P908" s="4">
        <f>B908-D908</f>
        <v/>
      </c>
      <c r="Q908" s="4">
        <f>AVERAGE(P905:P908)</f>
        <v/>
      </c>
      <c r="R908" s="54">
        <f>(M909-M908)/M908</f>
        <v/>
      </c>
      <c r="S908" s="54">
        <f>(M912-M908)/M908</f>
        <v/>
      </c>
      <c r="T908" s="63">
        <f>IF(R908&gt;0,1,"")</f>
        <v/>
      </c>
      <c r="U908" s="63">
        <f>IF(S908&gt;0,1,"")</f>
        <v/>
      </c>
    </row>
    <row r="909">
      <c r="A909" s="35" t="n">
        <v>38253</v>
      </c>
      <c r="B909" s="4" t="n">
        <v>0.512</v>
      </c>
      <c r="C909" s="4" t="n">
        <v>0.22</v>
      </c>
      <c r="D909" s="4" t="n">
        <v>0.268</v>
      </c>
      <c r="E909" s="63" t="n">
        <v>1</v>
      </c>
      <c r="F909" s="63" t="n">
        <v>0.4182875</v>
      </c>
      <c r="G909" s="63" t="n">
        <v>0.244</v>
      </c>
      <c r="H909" s="63" t="n">
        <v>0.384907436629</v>
      </c>
      <c r="I909" s="63" t="n">
        <v>0.48829287048</v>
      </c>
      <c r="J909" s="63" t="n">
        <v>0.281522002778</v>
      </c>
      <c r="K909" s="63" t="n">
        <v>1128.55</v>
      </c>
      <c r="L909" s="63" t="n">
        <v>1120.34</v>
      </c>
      <c r="M909" s="63" t="n">
        <v>1122.2</v>
      </c>
      <c r="N909" s="54">
        <f>(M910-M909)/M909</f>
        <v/>
      </c>
      <c r="O909" s="54">
        <f>(M913-M909)/M909</f>
        <v/>
      </c>
      <c r="P909" s="4">
        <f>B909-D909</f>
        <v/>
      </c>
      <c r="Q909" s="4">
        <f>AVERAGE(P906:P909)</f>
        <v/>
      </c>
      <c r="R909" s="54">
        <f>(M910-M909)/M909</f>
        <v/>
      </c>
      <c r="S909" s="54">
        <f>(M913-M909)/M909</f>
        <v/>
      </c>
      <c r="T909" s="63">
        <f>IF(R909&gt;0,1,"")</f>
        <v/>
      </c>
      <c r="U909" s="63">
        <f>IF(S909&gt;0,1,"")</f>
        <v/>
      </c>
    </row>
    <row r="910">
      <c r="A910" s="35" t="n">
        <v>38260</v>
      </c>
      <c r="B910" s="4" t="n">
        <v>0.4107</v>
      </c>
      <c r="C910" s="4" t="n">
        <v>0.1964</v>
      </c>
      <c r="D910" s="4" t="n">
        <v>0.3929</v>
      </c>
      <c r="E910" s="63" t="n">
        <v>1</v>
      </c>
      <c r="F910" s="63" t="n">
        <v>0.4308875</v>
      </c>
      <c r="G910" s="63" t="n">
        <v>0.0178</v>
      </c>
      <c r="H910" s="63" t="n">
        <v>0.384907436629</v>
      </c>
      <c r="I910" s="63" t="n">
        <v>0.48829287048</v>
      </c>
      <c r="J910" s="63" t="n">
        <v>0.281522002778</v>
      </c>
      <c r="K910" s="63" t="n">
        <v>1114.8</v>
      </c>
      <c r="L910" s="63" t="n">
        <v>1101.29</v>
      </c>
      <c r="M910" s="63" t="n">
        <v>1114.8</v>
      </c>
      <c r="N910" s="54">
        <f>(M911-M910)/M910</f>
        <v/>
      </c>
      <c r="O910" s="54">
        <f>(M914-M910)/M910</f>
        <v/>
      </c>
      <c r="P910" s="4">
        <f>B910-D910</f>
        <v/>
      </c>
      <c r="Q910" s="4">
        <f>AVERAGE(P907:P910)</f>
        <v/>
      </c>
      <c r="R910" s="54">
        <f>(M911-M910)/M910</f>
        <v/>
      </c>
      <c r="S910" s="54">
        <f>(M914-M910)/M910</f>
        <v/>
      </c>
      <c r="T910" s="63">
        <f>IF(R910&gt;0,1,"")</f>
        <v/>
      </c>
      <c r="U910" s="63">
        <f>IF(S910&gt;0,1,"")</f>
        <v/>
      </c>
    </row>
    <row r="911">
      <c r="A911" s="35" t="n">
        <v>38267</v>
      </c>
      <c r="B911" s="4" t="n">
        <v>0.5693</v>
      </c>
      <c r="C911" s="4" t="n">
        <v>0.2336</v>
      </c>
      <c r="D911" s="4" t="n">
        <v>0.1971</v>
      </c>
      <c r="E911" s="63" t="n">
        <v>1</v>
      </c>
      <c r="F911" s="63" t="n">
        <v>0.4538375</v>
      </c>
      <c r="G911" s="63" t="n">
        <v>0.3722</v>
      </c>
      <c r="H911" s="63" t="n">
        <v>0.384907436629</v>
      </c>
      <c r="I911" s="63" t="n">
        <v>0.48829287048</v>
      </c>
      <c r="J911" s="63" t="n">
        <v>0.281522002778</v>
      </c>
      <c r="K911" s="63" t="n">
        <v>1142.05</v>
      </c>
      <c r="L911" s="63" t="n">
        <v>1131.5</v>
      </c>
      <c r="M911" s="63" t="n">
        <v>1142.05</v>
      </c>
      <c r="N911" s="54">
        <f>(M912-M911)/M911</f>
        <v/>
      </c>
      <c r="O911" s="54">
        <f>(M915-M911)/M911</f>
        <v/>
      </c>
      <c r="P911" s="4">
        <f>B911-D911</f>
        <v/>
      </c>
      <c r="Q911" s="4">
        <f>AVERAGE(P908:P911)</f>
        <v/>
      </c>
      <c r="R911" s="54">
        <f>(M912-M911)/M911</f>
        <v/>
      </c>
      <c r="S911" s="54">
        <f>(M915-M911)/M911</f>
        <v/>
      </c>
      <c r="T911" s="63">
        <f>IF(R911&gt;0,1,"")</f>
        <v/>
      </c>
      <c r="U911" s="63">
        <f>IF(S911&gt;0,1,"")</f>
        <v/>
      </c>
    </row>
    <row r="912">
      <c r="A912" s="35" t="n">
        <v>38274</v>
      </c>
      <c r="B912" s="4" t="n">
        <v>0.4471</v>
      </c>
      <c r="C912" s="4" t="n">
        <v>0.2706</v>
      </c>
      <c r="D912" s="4" t="n">
        <v>0.2824</v>
      </c>
      <c r="E912" s="63" t="n">
        <v>1.0001</v>
      </c>
      <c r="F912" s="63" t="n">
        <v>0.466125</v>
      </c>
      <c r="G912" s="63" t="n">
        <v>0.1647</v>
      </c>
      <c r="H912" s="63" t="n">
        <v>0.384907436629</v>
      </c>
      <c r="I912" s="63" t="n">
        <v>0.48829287048</v>
      </c>
      <c r="J912" s="63" t="n">
        <v>0.281522002778</v>
      </c>
      <c r="K912" s="63" t="n">
        <v>1127.01</v>
      </c>
      <c r="L912" s="63" t="n">
        <v>1109.63</v>
      </c>
      <c r="M912" s="63" t="n">
        <v>1113.65</v>
      </c>
      <c r="N912" s="54">
        <f>(M913-M912)/M912</f>
        <v/>
      </c>
      <c r="O912" s="54">
        <f>(M916-M912)/M912</f>
        <v/>
      </c>
      <c r="P912" s="4">
        <f>B912-D912</f>
        <v/>
      </c>
      <c r="Q912" s="4">
        <f>AVERAGE(P909:P912)</f>
        <v/>
      </c>
      <c r="R912" s="54">
        <f>(M913-M912)/M912</f>
        <v/>
      </c>
      <c r="S912" s="54">
        <f>(M916-M912)/M912</f>
        <v/>
      </c>
      <c r="T912" s="63">
        <f>IF(R912&gt;0,1,"")</f>
        <v/>
      </c>
      <c r="U912" s="63">
        <f>IF(S912&gt;0,1,"")</f>
        <v/>
      </c>
    </row>
    <row r="913">
      <c r="A913" s="35" t="n">
        <v>38281</v>
      </c>
      <c r="B913" s="4" t="n">
        <v>0.4248</v>
      </c>
      <c r="C913" s="4" t="n">
        <v>0.2876</v>
      </c>
      <c r="D913" s="4" t="n">
        <v>0.2876</v>
      </c>
      <c r="E913" s="63" t="n">
        <v>1</v>
      </c>
      <c r="F913" s="63" t="n">
        <v>0.4673125</v>
      </c>
      <c r="G913" s="63" t="n">
        <v>0.1372</v>
      </c>
      <c r="H913" s="63" t="n">
        <v>0.384907436629</v>
      </c>
      <c r="I913" s="63" t="n">
        <v>0.48829287048</v>
      </c>
      <c r="J913" s="63" t="n">
        <v>0.281522002778</v>
      </c>
      <c r="K913" s="63" t="n">
        <v>1117.96</v>
      </c>
      <c r="L913" s="63" t="n">
        <v>1094.25</v>
      </c>
      <c r="M913" s="63" t="n">
        <v>1103.66</v>
      </c>
      <c r="N913" s="54">
        <f>(M914-M913)/M913</f>
        <v/>
      </c>
      <c r="O913" s="54">
        <f>(M917-M913)/M913</f>
        <v/>
      </c>
      <c r="P913" s="4">
        <f>B913-D913</f>
        <v/>
      </c>
      <c r="Q913" s="4">
        <f>AVERAGE(P910:P913)</f>
        <v/>
      </c>
      <c r="R913" s="54">
        <f>(M914-M913)/M913</f>
        <v/>
      </c>
      <c r="S913" s="54">
        <f>(M917-M913)/M913</f>
        <v/>
      </c>
      <c r="T913" s="63">
        <f>IF(R913&gt;0,1,"")</f>
        <v/>
      </c>
      <c r="U913" s="63">
        <f>IF(S913&gt;0,1,"")</f>
        <v/>
      </c>
    </row>
    <row r="914">
      <c r="A914" s="35" t="n">
        <v>38288</v>
      </c>
      <c r="B914" s="4" t="n">
        <v>0.4231</v>
      </c>
      <c r="C914" s="4" t="n">
        <v>0.2596</v>
      </c>
      <c r="D914" s="4" t="n">
        <v>0.3173</v>
      </c>
      <c r="E914" s="63" t="n">
        <v>1</v>
      </c>
      <c r="F914" s="63" t="n">
        <v>0.4683125</v>
      </c>
      <c r="G914" s="63" t="n">
        <v>0.1058</v>
      </c>
      <c r="H914" s="63" t="n">
        <v>0.384907436629</v>
      </c>
      <c r="I914" s="63" t="n">
        <v>0.48829287048</v>
      </c>
      <c r="J914" s="63" t="n">
        <v>0.281522002778</v>
      </c>
      <c r="K914" s="63" t="n">
        <v>1126.29</v>
      </c>
      <c r="L914" s="63" t="n">
        <v>1090.29</v>
      </c>
      <c r="M914" s="63" t="n">
        <v>1125.4</v>
      </c>
      <c r="N914" s="54">
        <f>(M915-M914)/M914</f>
        <v/>
      </c>
      <c r="O914" s="54">
        <f>(M918-M914)/M914</f>
        <v/>
      </c>
      <c r="P914" s="4">
        <f>B914-D914</f>
        <v/>
      </c>
      <c r="Q914" s="4">
        <f>AVERAGE(P911:P914)</f>
        <v/>
      </c>
      <c r="R914" s="54">
        <f>(M915-M914)/M914</f>
        <v/>
      </c>
      <c r="S914" s="54">
        <f>(M918-M914)/M914</f>
        <v/>
      </c>
      <c r="T914" s="63">
        <f>IF(R914&gt;0,1,"")</f>
        <v/>
      </c>
      <c r="U914" s="63">
        <f>IF(S914&gt;0,1,"")</f>
        <v/>
      </c>
    </row>
    <row r="915">
      <c r="A915" s="35" t="n">
        <v>38295</v>
      </c>
      <c r="B915" s="4" t="n">
        <v>0.5714</v>
      </c>
      <c r="C915" s="4" t="n">
        <v>0.2</v>
      </c>
      <c r="D915" s="4" t="n">
        <v>0.2286</v>
      </c>
      <c r="E915" s="63" t="n">
        <v>1</v>
      </c>
      <c r="F915" s="63" t="n">
        <v>0.4766125</v>
      </c>
      <c r="G915" s="63" t="n">
        <v>0.3428</v>
      </c>
      <c r="H915" s="63" t="n">
        <v>0.384907436629</v>
      </c>
      <c r="I915" s="63" t="n">
        <v>0.48829287048</v>
      </c>
      <c r="J915" s="63" t="n">
        <v>0.281522002778</v>
      </c>
      <c r="K915" s="63" t="n">
        <v>1147.57</v>
      </c>
      <c r="L915" s="63" t="n">
        <v>1127.6</v>
      </c>
      <c r="M915" s="63" t="n">
        <v>1143.2</v>
      </c>
      <c r="N915" s="54">
        <f>(M916-M915)/M915</f>
        <v/>
      </c>
      <c r="O915" s="54">
        <f>(M919-M915)/M915</f>
        <v/>
      </c>
      <c r="P915" s="4">
        <f>B915-D915</f>
        <v/>
      </c>
      <c r="Q915" s="4">
        <f>AVERAGE(P912:P915)</f>
        <v/>
      </c>
      <c r="R915" s="54">
        <f>(M916-M915)/M915</f>
        <v/>
      </c>
      <c r="S915" s="54">
        <f>(M919-M915)/M915</f>
        <v/>
      </c>
      <c r="T915" s="63">
        <f>IF(R915&gt;0,1,"")</f>
        <v/>
      </c>
      <c r="U915" s="63">
        <f>IF(S915&gt;0,1,"")</f>
        <v/>
      </c>
    </row>
    <row r="916">
      <c r="A916" s="35" t="n">
        <v>38302</v>
      </c>
      <c r="B916" s="4" t="n">
        <v>0.625</v>
      </c>
      <c r="C916" s="4" t="n">
        <v>0.1591</v>
      </c>
      <c r="D916" s="4" t="n">
        <v>0.2159</v>
      </c>
      <c r="E916" s="63" t="n">
        <v>1</v>
      </c>
      <c r="F916" s="63" t="n">
        <v>0.497925</v>
      </c>
      <c r="G916" s="63" t="n">
        <v>0.4091</v>
      </c>
      <c r="H916" s="63" t="n">
        <v>0.384907436629</v>
      </c>
      <c r="I916" s="63" t="n">
        <v>0.48829287048</v>
      </c>
      <c r="J916" s="63" t="n">
        <v>0.281522002778</v>
      </c>
      <c r="K916" s="63" t="n">
        <v>1169.25</v>
      </c>
      <c r="L916" s="63" t="n">
        <v>1162.32</v>
      </c>
      <c r="M916" s="63" t="n">
        <v>1162.91</v>
      </c>
      <c r="N916" s="54">
        <f>(M917-M916)/M916</f>
        <v/>
      </c>
      <c r="O916" s="54">
        <f>(M920-M916)/M916</f>
        <v/>
      </c>
      <c r="P916" s="4">
        <f>B916-D916</f>
        <v/>
      </c>
      <c r="Q916" s="4">
        <f>AVERAGE(P913:P916)</f>
        <v/>
      </c>
      <c r="R916" s="54">
        <f>(M917-M916)/M916</f>
        <v/>
      </c>
      <c r="S916" s="54">
        <f>(M920-M916)/M916</f>
        <v/>
      </c>
      <c r="T916" s="63">
        <f>IF(R916&gt;0,1,"")</f>
        <v/>
      </c>
      <c r="U916" s="63">
        <f>IF(S916&gt;0,1,"")</f>
        <v/>
      </c>
    </row>
    <row r="917">
      <c r="A917" s="35" t="n">
        <v>38309</v>
      </c>
      <c r="B917" s="4" t="n">
        <v>0.641</v>
      </c>
      <c r="C917" s="4" t="n">
        <v>0.1346</v>
      </c>
      <c r="D917" s="4" t="n">
        <v>0.2244</v>
      </c>
      <c r="E917" s="63" t="n">
        <v>1</v>
      </c>
      <c r="F917" s="63" t="n">
        <v>0.51405</v>
      </c>
      <c r="G917" s="63" t="n">
        <v>0.4166</v>
      </c>
      <c r="H917" s="63" t="n">
        <v>0.384907436629</v>
      </c>
      <c r="I917" s="63" t="n">
        <v>0.48829287048</v>
      </c>
      <c r="J917" s="63" t="n">
        <v>0.281522002778</v>
      </c>
      <c r="K917" s="63" t="n">
        <v>1188.46</v>
      </c>
      <c r="L917" s="63" t="n">
        <v>1175.32</v>
      </c>
      <c r="M917" s="63" t="n">
        <v>1181.94</v>
      </c>
      <c r="N917" s="54">
        <f>(M918-M917)/M917</f>
        <v/>
      </c>
      <c r="O917" s="54">
        <f>(M921-M917)/M917</f>
        <v/>
      </c>
      <c r="P917" s="4">
        <f>B917-D917</f>
        <v/>
      </c>
      <c r="Q917" s="4">
        <f>AVERAGE(P914:P917)</f>
        <v/>
      </c>
      <c r="R917" s="54">
        <f>(M918-M917)/M917</f>
        <v/>
      </c>
      <c r="S917" s="54">
        <f>(M921-M917)/M917</f>
        <v/>
      </c>
      <c r="T917" s="63">
        <f>IF(R917&gt;0,1,"")</f>
        <v/>
      </c>
      <c r="U917" s="63">
        <f>IF(S917&gt;0,1,"")</f>
        <v/>
      </c>
    </row>
    <row r="918">
      <c r="A918" s="35" t="n">
        <v>38315</v>
      </c>
      <c r="B918" s="4" t="n">
        <v>0.4948</v>
      </c>
      <c r="C918" s="4" t="n">
        <v>0.2371</v>
      </c>
      <c r="D918" s="4" t="n">
        <v>0.268</v>
      </c>
      <c r="E918" s="63" t="n">
        <v>0.9999</v>
      </c>
      <c r="F918" s="63" t="n">
        <v>0.5245625</v>
      </c>
      <c r="G918" s="63" t="n">
        <v>0.2268</v>
      </c>
      <c r="H918" s="63" t="n">
        <v>0.384907436629</v>
      </c>
      <c r="I918" s="63" t="n">
        <v>0.48829287048</v>
      </c>
      <c r="J918" s="63" t="n">
        <v>0.281522002778</v>
      </c>
      <c r="K918" s="63" t="n">
        <v>1182.46</v>
      </c>
      <c r="L918" s="63" t="n">
        <v>1176.94</v>
      </c>
      <c r="M918" s="63" t="n">
        <v>1181.76</v>
      </c>
      <c r="N918" s="54">
        <f>(M919-M918)/M918</f>
        <v/>
      </c>
      <c r="O918" s="54">
        <f>(M922-M918)/M918</f>
        <v/>
      </c>
      <c r="P918" s="4">
        <f>B918-D918</f>
        <v/>
      </c>
      <c r="Q918" s="4">
        <f>AVERAGE(P915:P918)</f>
        <v/>
      </c>
      <c r="R918" s="54">
        <f>(M919-M918)/M918</f>
        <v/>
      </c>
      <c r="S918" s="54">
        <f>(M922-M918)/M918</f>
        <v/>
      </c>
      <c r="T918" s="63">
        <f>IF(R918&gt;0,1,"")</f>
        <v/>
      </c>
      <c r="U918" s="63">
        <f>IF(S918&gt;0,1,"")</f>
        <v/>
      </c>
    </row>
    <row r="919">
      <c r="A919" s="35" t="n">
        <v>38323</v>
      </c>
      <c r="B919" s="4" t="n">
        <v>0.5676</v>
      </c>
      <c r="C919" s="4" t="n">
        <v>0.1784</v>
      </c>
      <c r="D919" s="4" t="n">
        <v>0.2541</v>
      </c>
      <c r="E919" s="63" t="n">
        <v>1.0001</v>
      </c>
      <c r="F919" s="63" t="n">
        <v>0.52435</v>
      </c>
      <c r="G919" s="63" t="n">
        <v>0.3135</v>
      </c>
      <c r="H919" s="63" t="n">
        <v>0.384907436629</v>
      </c>
      <c r="I919" s="63" t="n">
        <v>0.48829287048</v>
      </c>
      <c r="J919" s="63" t="n">
        <v>0.281522002778</v>
      </c>
      <c r="K919" s="63" t="n">
        <v>1191.37</v>
      </c>
      <c r="L919" s="63" t="n">
        <v>1172.37</v>
      </c>
      <c r="M919" s="63" t="n">
        <v>1191.37</v>
      </c>
      <c r="N919" s="54">
        <f>(M920-M919)/M919</f>
        <v/>
      </c>
      <c r="O919" s="54">
        <f>(M923-M919)/M919</f>
        <v/>
      </c>
      <c r="P919" s="4">
        <f>B919-D919</f>
        <v/>
      </c>
      <c r="Q919" s="4">
        <f>AVERAGE(P916:P919)</f>
        <v/>
      </c>
      <c r="R919" s="54">
        <f>(M920-M919)/M919</f>
        <v/>
      </c>
      <c r="S919" s="54">
        <f>(M923-M919)/M919</f>
        <v/>
      </c>
      <c r="T919" s="63">
        <f>IF(R919&gt;0,1,"")</f>
        <v/>
      </c>
      <c r="U919" s="63">
        <f>IF(S919&gt;0,1,"")</f>
        <v/>
      </c>
    </row>
    <row r="920">
      <c r="A920" s="35" t="n">
        <v>38330</v>
      </c>
      <c r="B920" s="4" t="n">
        <v>0.5135</v>
      </c>
      <c r="C920" s="4" t="n">
        <v>0.2342</v>
      </c>
      <c r="D920" s="4" t="n">
        <v>0.2523</v>
      </c>
      <c r="E920" s="63" t="n">
        <v>1</v>
      </c>
      <c r="F920" s="63" t="n">
        <v>0.53265</v>
      </c>
      <c r="G920" s="63" t="n">
        <v>0.2612</v>
      </c>
      <c r="H920" s="63" t="n">
        <v>0.384907436629</v>
      </c>
      <c r="I920" s="63" t="n">
        <v>0.48829287048</v>
      </c>
      <c r="J920" s="63" t="n">
        <v>0.281522002778</v>
      </c>
      <c r="K920" s="63" t="n">
        <v>1192.41</v>
      </c>
      <c r="L920" s="63" t="n">
        <v>1177.07</v>
      </c>
      <c r="M920" s="63" t="n">
        <v>1182.81</v>
      </c>
      <c r="N920" s="54">
        <f>(M921-M920)/M920</f>
        <v/>
      </c>
      <c r="O920" s="54">
        <f>(M924-M920)/M920</f>
        <v/>
      </c>
      <c r="P920" s="4">
        <f>B920-D920</f>
        <v/>
      </c>
      <c r="Q920" s="4">
        <f>AVERAGE(P917:P920)</f>
        <v/>
      </c>
      <c r="R920" s="54">
        <f>(M921-M920)/M920</f>
        <v/>
      </c>
      <c r="S920" s="54">
        <f>(M924-M920)/M920</f>
        <v/>
      </c>
      <c r="T920" s="63">
        <f>IF(R920&gt;0,1,"")</f>
        <v/>
      </c>
      <c r="U920" s="63">
        <f>IF(S920&gt;0,1,"")</f>
        <v/>
      </c>
    </row>
    <row r="921">
      <c r="A921" s="35" t="n">
        <v>38337</v>
      </c>
      <c r="B921" s="4" t="n">
        <v>0.5253</v>
      </c>
      <c r="C921" s="4" t="n">
        <v>0.2828</v>
      </c>
      <c r="D921" s="4" t="n">
        <v>0.1919</v>
      </c>
      <c r="E921" s="63" t="n">
        <v>1</v>
      </c>
      <c r="F921" s="63" t="n">
        <v>0.5452125</v>
      </c>
      <c r="G921" s="63" t="n">
        <v>0.3334</v>
      </c>
      <c r="H921" s="63" t="n">
        <v>0.384907436629</v>
      </c>
      <c r="I921" s="63" t="n">
        <v>0.48829287048</v>
      </c>
      <c r="J921" s="63" t="n">
        <v>0.281522002778</v>
      </c>
      <c r="K921" s="63" t="n">
        <v>1206.61</v>
      </c>
      <c r="L921" s="63" t="n">
        <v>1188</v>
      </c>
      <c r="M921" s="63" t="n">
        <v>1205.72</v>
      </c>
      <c r="N921" s="54">
        <f>(M922-M921)/M921</f>
        <v/>
      </c>
      <c r="O921" s="54">
        <f>(M925-M921)/M921</f>
        <v/>
      </c>
      <c r="P921" s="4">
        <f>B921-D921</f>
        <v/>
      </c>
      <c r="Q921" s="4">
        <f>AVERAGE(P918:P921)</f>
        <v/>
      </c>
      <c r="R921" s="54">
        <f>(M922-M921)/M921</f>
        <v/>
      </c>
      <c r="S921" s="54">
        <f>(M925-M921)/M921</f>
        <v/>
      </c>
      <c r="T921" s="63">
        <f>IF(R921&gt;0,1,"")</f>
        <v/>
      </c>
      <c r="U921" s="63">
        <f>IF(S921&gt;0,1,"")</f>
        <v/>
      </c>
    </row>
    <row r="922">
      <c r="A922" s="35" t="n">
        <v>38344</v>
      </c>
      <c r="B922" s="4" t="n">
        <v>0.6022999999999999</v>
      </c>
      <c r="C922" s="4" t="n">
        <v>0.2159</v>
      </c>
      <c r="D922" s="4" t="n">
        <v>0.1818</v>
      </c>
      <c r="E922" s="63" t="n">
        <v>1</v>
      </c>
      <c r="F922" s="63" t="n">
        <v>0.5676125</v>
      </c>
      <c r="G922" s="63" t="n">
        <v>0.4205</v>
      </c>
      <c r="H922" s="63" t="n">
        <v>0.384907436629</v>
      </c>
      <c r="I922" s="63" t="n">
        <v>0.48829287048</v>
      </c>
      <c r="J922" s="63" t="n">
        <v>0.281522002778</v>
      </c>
      <c r="K922" s="63" t="n">
        <v>1211.42</v>
      </c>
      <c r="L922" s="63" t="n">
        <v>1193.36</v>
      </c>
      <c r="M922" s="63" t="n">
        <v>1209.57</v>
      </c>
      <c r="N922" s="54">
        <f>(M923-M922)/M922</f>
        <v/>
      </c>
      <c r="O922" s="54">
        <f>(M926-M922)/M922</f>
        <v/>
      </c>
      <c r="P922" s="4">
        <f>B922-D922</f>
        <v/>
      </c>
      <c r="Q922" s="4">
        <f>AVERAGE(P919:P922)</f>
        <v/>
      </c>
      <c r="R922" s="54">
        <f>(M923-M922)/M922</f>
        <v/>
      </c>
      <c r="S922" s="54">
        <f>(M926-M922)/M922</f>
        <v/>
      </c>
      <c r="T922" s="63">
        <f>IF(R922&gt;0,1,"")</f>
        <v/>
      </c>
      <c r="U922" s="63">
        <f>IF(S922&gt;0,1,"")</f>
        <v/>
      </c>
    </row>
    <row r="923">
      <c r="A923" s="35" t="n">
        <v>38351</v>
      </c>
      <c r="B923" s="4" t="n">
        <v>0.5766</v>
      </c>
      <c r="C923" s="4" t="n">
        <v>0.2482</v>
      </c>
      <c r="D923" s="4" t="n">
        <v>0.1752</v>
      </c>
      <c r="E923" s="63" t="n">
        <v>1</v>
      </c>
      <c r="F923" s="63" t="n">
        <v>0.5682625</v>
      </c>
      <c r="G923" s="63" t="n">
        <v>0.4014</v>
      </c>
      <c r="H923" s="63" t="n">
        <v>0.384907436629</v>
      </c>
      <c r="I923" s="63" t="n">
        <v>0.48829287048</v>
      </c>
      <c r="J923" s="63" t="n">
        <v>0.281522002778</v>
      </c>
      <c r="K923" s="63" t="n">
        <v>1214.13</v>
      </c>
      <c r="L923" s="63" t="n">
        <v>1204.92</v>
      </c>
      <c r="M923" s="63" t="n">
        <v>1213.45</v>
      </c>
      <c r="N923" s="54">
        <f>(M924-M923)/M923</f>
        <v/>
      </c>
      <c r="O923" s="54">
        <f>(M927-M923)/M923</f>
        <v/>
      </c>
      <c r="P923" s="4">
        <f>B923-D923</f>
        <v/>
      </c>
      <c r="Q923" s="4">
        <f>AVERAGE(P920:P923)</f>
        <v/>
      </c>
      <c r="R923" s="54">
        <f>(M924-M923)/M923</f>
        <v/>
      </c>
      <c r="S923" s="54">
        <f>(M927-M923)/M923</f>
        <v/>
      </c>
      <c r="T923" s="63">
        <f>IF(R923&gt;0,1,"")</f>
        <v/>
      </c>
      <c r="U923" s="63">
        <f>IF(S923&gt;0,1,"")</f>
        <v/>
      </c>
    </row>
    <row r="924">
      <c r="A924" s="35" t="n">
        <v>38358</v>
      </c>
      <c r="B924" s="4" t="n">
        <v>0.381</v>
      </c>
      <c r="C924" s="4" t="n">
        <v>0.2738</v>
      </c>
      <c r="D924" s="4" t="n">
        <v>0.3452</v>
      </c>
      <c r="E924" s="63" t="n">
        <v>1</v>
      </c>
      <c r="F924" s="63" t="n">
        <v>0.5377625</v>
      </c>
      <c r="G924" s="63" t="n">
        <v>0.0358</v>
      </c>
      <c r="H924" s="63" t="n">
        <v>0.384907436629</v>
      </c>
      <c r="I924" s="63" t="n">
        <v>0.48829287048</v>
      </c>
      <c r="J924" s="63" t="n">
        <v>0.281522002778</v>
      </c>
      <c r="K924" s="63" t="n">
        <v>1217.8</v>
      </c>
      <c r="L924" s="63" t="n">
        <v>1183.72</v>
      </c>
      <c r="M924" s="63" t="n">
        <v>1183.74</v>
      </c>
      <c r="N924" s="54">
        <f>(M925-M924)/M924</f>
        <v/>
      </c>
      <c r="O924" s="54">
        <f>(M928-M924)/M924</f>
        <v/>
      </c>
      <c r="P924" s="4">
        <f>B924-D924</f>
        <v/>
      </c>
      <c r="Q924" s="4">
        <f>AVERAGE(P921:P924)</f>
        <v/>
      </c>
      <c r="R924" s="54">
        <f>(M925-M924)/M924</f>
        <v/>
      </c>
      <c r="S924" s="54">
        <f>(M928-M924)/M924</f>
        <v/>
      </c>
      <c r="T924" s="63">
        <f>IF(R924&gt;0,1,"")</f>
        <v/>
      </c>
      <c r="U924" s="63">
        <f>IF(S924&gt;0,1,"")</f>
        <v/>
      </c>
    </row>
    <row r="925">
      <c r="A925" s="35" t="n">
        <v>38365</v>
      </c>
      <c r="B925" s="4" t="n">
        <v>0.3399</v>
      </c>
      <c r="C925" s="4" t="n">
        <v>0.2614</v>
      </c>
      <c r="D925" s="4" t="n">
        <v>0.3987</v>
      </c>
      <c r="E925" s="63" t="n">
        <v>1</v>
      </c>
      <c r="F925" s="63" t="n">
        <v>0.500125</v>
      </c>
      <c r="G925" s="63" t="n">
        <v>-0.0588</v>
      </c>
      <c r="H925" s="63" t="n">
        <v>0.384907436629</v>
      </c>
      <c r="I925" s="63" t="n">
        <v>0.48829287048</v>
      </c>
      <c r="J925" s="63" t="n">
        <v>0.281522002778</v>
      </c>
      <c r="K925" s="63" t="n">
        <v>1194.78</v>
      </c>
      <c r="L925" s="63" t="n">
        <v>1175.64</v>
      </c>
      <c r="M925" s="63" t="n">
        <v>1184.52</v>
      </c>
      <c r="N925" s="54">
        <f>(M926-M925)/M925</f>
        <v/>
      </c>
      <c r="O925" s="54">
        <f>(M929-M925)/M925</f>
        <v/>
      </c>
      <c r="P925" s="4">
        <f>B925-D925</f>
        <v/>
      </c>
      <c r="Q925" s="4">
        <f>AVERAGE(P922:P925)</f>
        <v/>
      </c>
      <c r="R925" s="54">
        <f>(M926-M925)/M925</f>
        <v/>
      </c>
      <c r="S925" s="54">
        <f>(M929-M925)/M925</f>
        <v/>
      </c>
      <c r="T925" s="63">
        <f>IF(R925&gt;0,1,"")</f>
        <v/>
      </c>
      <c r="U925" s="63">
        <f>IF(S925&gt;0,1,"")</f>
        <v/>
      </c>
    </row>
    <row r="926">
      <c r="A926" s="35" t="n">
        <v>38372</v>
      </c>
      <c r="B926" s="4" t="n">
        <v>0.3366</v>
      </c>
      <c r="C926" s="4" t="n">
        <v>0.3267</v>
      </c>
      <c r="D926" s="4" t="n">
        <v>0.3366</v>
      </c>
      <c r="E926" s="63" t="n">
        <v>0.9999</v>
      </c>
      <c r="F926" s="63" t="n">
        <v>0.48035</v>
      </c>
      <c r="G926" s="63" t="n">
        <v>0</v>
      </c>
      <c r="H926" s="63" t="n">
        <v>0.384907436629</v>
      </c>
      <c r="I926" s="63" t="n">
        <v>0.48829287048</v>
      </c>
      <c r="J926" s="63" t="n">
        <v>0.281522002778</v>
      </c>
      <c r="K926" s="63" t="n">
        <v>1195.98</v>
      </c>
      <c r="L926" s="63" t="n">
        <v>1180.1</v>
      </c>
      <c r="M926" s="63" t="n">
        <v>1184.52</v>
      </c>
      <c r="N926" s="54">
        <f>(M927-M926)/M926</f>
        <v/>
      </c>
      <c r="O926" s="54">
        <f>(M930-M926)/M926</f>
        <v/>
      </c>
      <c r="P926" s="4">
        <f>B926-D926</f>
        <v/>
      </c>
      <c r="Q926" s="4">
        <f>AVERAGE(P923:P926)</f>
        <v/>
      </c>
      <c r="R926" s="54">
        <f>(M927-M926)/M926</f>
        <v/>
      </c>
      <c r="S926" s="54">
        <f>(M930-M926)/M926</f>
        <v/>
      </c>
      <c r="T926" s="63">
        <f>IF(R926&gt;0,1,"")</f>
        <v/>
      </c>
      <c r="U926" s="63">
        <f>IF(S926&gt;0,1,"")</f>
        <v/>
      </c>
    </row>
    <row r="927">
      <c r="A927" s="35" t="n">
        <v>38379</v>
      </c>
      <c r="B927" s="4" t="n">
        <v>0.2643</v>
      </c>
      <c r="C927" s="4" t="n">
        <v>0.3714</v>
      </c>
      <c r="D927" s="4" t="n">
        <v>0.3643</v>
      </c>
      <c r="E927" s="63" t="n">
        <v>1</v>
      </c>
      <c r="F927" s="63" t="n">
        <v>0.4424375</v>
      </c>
      <c r="G927" s="63" t="n">
        <v>-0.1</v>
      </c>
      <c r="H927" s="63" t="n">
        <v>0.384907436629</v>
      </c>
      <c r="I927" s="63" t="n">
        <v>0.48829287048</v>
      </c>
      <c r="J927" s="63" t="n">
        <v>0.281522002778</v>
      </c>
      <c r="K927" s="63" t="n">
        <v>1175.96</v>
      </c>
      <c r="L927" s="63" t="n">
        <v>1163.75</v>
      </c>
      <c r="M927" s="63" t="n">
        <v>1174.07</v>
      </c>
      <c r="N927" s="54">
        <f>(M928-M927)/M927</f>
        <v/>
      </c>
      <c r="O927" s="54">
        <f>(M931-M927)/M927</f>
        <v/>
      </c>
      <c r="P927" s="4">
        <f>B927-D927</f>
        <v/>
      </c>
      <c r="Q927" s="4">
        <f>AVERAGE(P924:P927)</f>
        <v/>
      </c>
      <c r="R927" s="54">
        <f>(M928-M927)/M927</f>
        <v/>
      </c>
      <c r="S927" s="54">
        <f>(M931-M927)/M927</f>
        <v/>
      </c>
      <c r="T927" s="63">
        <f>IF(R927&gt;0,1,"")</f>
        <v/>
      </c>
      <c r="U927" s="63">
        <f>IF(S927&gt;0,1,"")</f>
        <v/>
      </c>
    </row>
    <row r="928">
      <c r="A928" s="35" t="n">
        <v>38386</v>
      </c>
      <c r="B928" s="4" t="n">
        <v>0.4167</v>
      </c>
      <c r="C928" s="4" t="n">
        <v>0.3333</v>
      </c>
      <c r="D928" s="4" t="n">
        <v>0.25</v>
      </c>
      <c r="E928" s="63" t="n">
        <v>1</v>
      </c>
      <c r="F928" s="63" t="n">
        <v>0.4303375</v>
      </c>
      <c r="G928" s="63" t="n">
        <v>0.1667</v>
      </c>
      <c r="H928" s="63" t="n">
        <v>0.384907436629</v>
      </c>
      <c r="I928" s="63" t="n">
        <v>0.48829287048</v>
      </c>
      <c r="J928" s="63" t="n">
        <v>0.281522002778</v>
      </c>
      <c r="K928" s="63" t="n">
        <v>1195.25</v>
      </c>
      <c r="L928" s="63" t="n">
        <v>1171.36</v>
      </c>
      <c r="M928" s="63" t="n">
        <v>1193.19</v>
      </c>
      <c r="N928" s="54">
        <f>(M929-M928)/M928</f>
        <v/>
      </c>
      <c r="O928" s="54">
        <f>(M932-M928)/M928</f>
        <v/>
      </c>
      <c r="P928" s="4">
        <f>B928-D928</f>
        <v/>
      </c>
      <c r="Q928" s="4">
        <f>AVERAGE(P925:P928)</f>
        <v/>
      </c>
      <c r="R928" s="54">
        <f>(M929-M928)/M928</f>
        <v/>
      </c>
      <c r="S928" s="54">
        <f>(M932-M928)/M928</f>
        <v/>
      </c>
      <c r="T928" s="63">
        <f>IF(R928&gt;0,1,"")</f>
        <v/>
      </c>
      <c r="U928" s="63">
        <f>IF(S928&gt;0,1,"")</f>
        <v/>
      </c>
    </row>
    <row r="929">
      <c r="A929" s="35" t="n">
        <v>38393</v>
      </c>
      <c r="B929" s="4" t="n">
        <v>0.4375</v>
      </c>
      <c r="C929" s="4" t="n">
        <v>0.3333</v>
      </c>
      <c r="D929" s="4" t="n">
        <v>0.2292</v>
      </c>
      <c r="E929" s="63" t="n">
        <v>1</v>
      </c>
      <c r="F929" s="63" t="n">
        <v>0.4193625</v>
      </c>
      <c r="G929" s="63" t="n">
        <v>0.2083</v>
      </c>
      <c r="H929" s="63" t="n">
        <v>0.384907436629</v>
      </c>
      <c r="I929" s="63" t="n">
        <v>0.48829287048</v>
      </c>
      <c r="J929" s="63" t="n">
        <v>0.281522002778</v>
      </c>
      <c r="K929" s="63" t="n">
        <v>1205.11</v>
      </c>
      <c r="L929" s="63" t="n">
        <v>1191.54</v>
      </c>
      <c r="M929" s="63" t="n">
        <v>1191.99</v>
      </c>
      <c r="N929" s="54">
        <f>(M930-M929)/M929</f>
        <v/>
      </c>
      <c r="O929" s="54">
        <f>(M933-M929)/M929</f>
        <v/>
      </c>
      <c r="P929" s="4">
        <f>B929-D929</f>
        <v/>
      </c>
      <c r="Q929" s="4">
        <f>AVERAGE(P926:P929)</f>
        <v/>
      </c>
      <c r="R929" s="54">
        <f>(M930-M929)/M929</f>
        <v/>
      </c>
      <c r="S929" s="54">
        <f>(M933-M929)/M929</f>
        <v/>
      </c>
      <c r="T929" s="63">
        <f>IF(R929&gt;0,1,"")</f>
        <v/>
      </c>
      <c r="U929" s="63">
        <f>IF(S929&gt;0,1,"")</f>
        <v/>
      </c>
    </row>
    <row r="930">
      <c r="A930" s="35" t="n">
        <v>38400</v>
      </c>
      <c r="B930" s="4" t="n">
        <v>0.3636</v>
      </c>
      <c r="C930" s="4" t="n">
        <v>0.3377</v>
      </c>
      <c r="D930" s="4" t="n">
        <v>0.2987</v>
      </c>
      <c r="E930" s="63" t="n">
        <v>1</v>
      </c>
      <c r="F930" s="63" t="n">
        <v>0.389525</v>
      </c>
      <c r="G930" s="63" t="n">
        <v>0.0649</v>
      </c>
      <c r="H930" s="63" t="n">
        <v>0.384907436629</v>
      </c>
      <c r="I930" s="63" t="n">
        <v>0.48829287048</v>
      </c>
      <c r="J930" s="63" t="n">
        <v>0.281522002778</v>
      </c>
      <c r="K930" s="63" t="n">
        <v>1212.44</v>
      </c>
      <c r="L930" s="63" t="n">
        <v>1203.59</v>
      </c>
      <c r="M930" s="63" t="n">
        <v>1210.34</v>
      </c>
      <c r="N930" s="54">
        <f>(M931-M930)/M930</f>
        <v/>
      </c>
      <c r="O930" s="54">
        <f>(M934-M930)/M930</f>
        <v/>
      </c>
      <c r="P930" s="4">
        <f>B930-D930</f>
        <v/>
      </c>
      <c r="Q930" s="4">
        <f>AVERAGE(P927:P930)</f>
        <v/>
      </c>
      <c r="R930" s="54">
        <f>(M931-M930)/M930</f>
        <v/>
      </c>
      <c r="S930" s="54">
        <f>(M934-M930)/M930</f>
        <v/>
      </c>
      <c r="T930" s="63">
        <f>IF(R930&gt;0,1,"")</f>
        <v/>
      </c>
      <c r="U930" s="63">
        <f>IF(S930&gt;0,1,"")</f>
        <v/>
      </c>
    </row>
    <row r="931">
      <c r="A931" s="35" t="n">
        <v>38407</v>
      </c>
      <c r="B931" s="4" t="n">
        <v>0.3182</v>
      </c>
      <c r="C931" s="4" t="n">
        <v>0.3636</v>
      </c>
      <c r="D931" s="4" t="n">
        <v>0.3182</v>
      </c>
      <c r="E931" s="63" t="n">
        <v>1</v>
      </c>
      <c r="F931" s="63" t="n">
        <v>0.357225</v>
      </c>
      <c r="G931" s="63" t="n">
        <v>0</v>
      </c>
      <c r="H931" s="63" t="n">
        <v>0.384907436629</v>
      </c>
      <c r="I931" s="63" t="n">
        <v>0.48829287048</v>
      </c>
      <c r="J931" s="63" t="n">
        <v>0.281522002778</v>
      </c>
      <c r="K931" s="63" t="n">
        <v>1202.48</v>
      </c>
      <c r="L931" s="63" t="n">
        <v>1184.16</v>
      </c>
      <c r="M931" s="63" t="n">
        <v>1190.8</v>
      </c>
      <c r="N931" s="54">
        <f>(M932-M931)/M931</f>
        <v/>
      </c>
      <c r="O931" s="54">
        <f>(M935-M931)/M931</f>
        <v/>
      </c>
      <c r="P931" s="4">
        <f>B931-D931</f>
        <v/>
      </c>
      <c r="Q931" s="4">
        <f>AVERAGE(P928:P931)</f>
        <v/>
      </c>
      <c r="R931" s="54">
        <f>(M932-M931)/M931</f>
        <v/>
      </c>
      <c r="S931" s="54">
        <f>(M935-M931)/M931</f>
        <v/>
      </c>
      <c r="T931" s="63">
        <f>IF(R931&gt;0,1,"")</f>
        <v/>
      </c>
      <c r="U931" s="63">
        <f>IF(S931&gt;0,1,"")</f>
        <v/>
      </c>
    </row>
    <row r="932">
      <c r="A932" s="35" t="n">
        <v>38414</v>
      </c>
      <c r="B932" s="4" t="n">
        <v>0.3951</v>
      </c>
      <c r="C932" s="4" t="n">
        <v>0.3333</v>
      </c>
      <c r="D932" s="4" t="n">
        <v>0.2716</v>
      </c>
      <c r="E932" s="63" t="n">
        <v>1</v>
      </c>
      <c r="F932" s="63" t="n">
        <v>0.3589875</v>
      </c>
      <c r="G932" s="63" t="n">
        <v>0.1235</v>
      </c>
      <c r="H932" s="63" t="n">
        <v>0.384907436629</v>
      </c>
      <c r="I932" s="63" t="n">
        <v>0.48829287048</v>
      </c>
      <c r="J932" s="63" t="n">
        <v>0.281522002778</v>
      </c>
      <c r="K932" s="63" t="n">
        <v>1215.79</v>
      </c>
      <c r="L932" s="63" t="n">
        <v>1198.13</v>
      </c>
      <c r="M932" s="63" t="n">
        <v>1210.08</v>
      </c>
      <c r="N932" s="54">
        <f>(M933-M932)/M932</f>
        <v/>
      </c>
      <c r="O932" s="54">
        <f>(M936-M932)/M932</f>
        <v/>
      </c>
      <c r="P932" s="4">
        <f>B932-D932</f>
        <v/>
      </c>
      <c r="Q932" s="4">
        <f>AVERAGE(P929:P932)</f>
        <v/>
      </c>
      <c r="R932" s="54">
        <f>(M933-M932)/M932</f>
        <v/>
      </c>
      <c r="S932" s="54">
        <f>(M936-M932)/M932</f>
        <v/>
      </c>
      <c r="T932" s="63">
        <f>IF(R932&gt;0,1,"")</f>
        <v/>
      </c>
      <c r="U932" s="63">
        <f>IF(S932&gt;0,1,"")</f>
        <v/>
      </c>
    </row>
    <row r="933">
      <c r="A933" s="35" t="n">
        <v>38421</v>
      </c>
      <c r="B933" s="4" t="n">
        <v>0.4966</v>
      </c>
      <c r="C933" s="4" t="n">
        <v>0.255</v>
      </c>
      <c r="D933" s="4" t="n">
        <v>0.2483</v>
      </c>
      <c r="E933" s="63" t="n">
        <v>0.9999</v>
      </c>
      <c r="F933" s="63" t="n">
        <v>0.378575</v>
      </c>
      <c r="G933" s="63" t="n">
        <v>0.2483</v>
      </c>
      <c r="H933" s="63" t="n">
        <v>0.384907436629</v>
      </c>
      <c r="I933" s="63" t="n">
        <v>0.48829287048</v>
      </c>
      <c r="J933" s="63" t="n">
        <v>0.281522002778</v>
      </c>
      <c r="K933" s="63" t="n">
        <v>1229.06</v>
      </c>
      <c r="L933" s="63" t="n">
        <v>1206.71</v>
      </c>
      <c r="M933" s="63" t="n">
        <v>1207.01</v>
      </c>
      <c r="N933" s="54">
        <f>(M934-M933)/M933</f>
        <v/>
      </c>
      <c r="O933" s="54">
        <f>(M937-M933)/M933</f>
        <v/>
      </c>
      <c r="P933" s="4">
        <f>B933-D933</f>
        <v/>
      </c>
      <c r="Q933" s="4">
        <f>AVERAGE(P930:P933)</f>
        <v/>
      </c>
      <c r="R933" s="54">
        <f>(M934-M933)/M933</f>
        <v/>
      </c>
      <c r="S933" s="54">
        <f>(M937-M933)/M933</f>
        <v/>
      </c>
      <c r="T933" s="63">
        <f>IF(R933&gt;0,1,"")</f>
        <v/>
      </c>
      <c r="U933" s="63">
        <f>IF(S933&gt;0,1,"")</f>
        <v/>
      </c>
    </row>
    <row r="934">
      <c r="A934" s="35" t="n">
        <v>38428</v>
      </c>
      <c r="B934" s="4" t="n">
        <v>0.3247</v>
      </c>
      <c r="C934" s="4" t="n">
        <v>0.3506</v>
      </c>
      <c r="D934" s="4" t="n">
        <v>0.3247</v>
      </c>
      <c r="E934" s="63" t="n">
        <v>1</v>
      </c>
      <c r="F934" s="63" t="n">
        <v>0.3770875</v>
      </c>
      <c r="G934" s="63" t="n">
        <v>0</v>
      </c>
      <c r="H934" s="63" t="n">
        <v>0.384907436629</v>
      </c>
      <c r="I934" s="63" t="n">
        <v>0.48829287048</v>
      </c>
      <c r="J934" s="63" t="n">
        <v>0.281522002778</v>
      </c>
      <c r="K934" s="63" t="n">
        <v>1210.54</v>
      </c>
      <c r="L934" s="63" t="n">
        <v>1185.61</v>
      </c>
      <c r="M934" s="63" t="n">
        <v>1188.07</v>
      </c>
      <c r="N934" s="54">
        <f>(M935-M934)/M934</f>
        <v/>
      </c>
      <c r="O934" s="54">
        <f>(M938-M934)/M934</f>
        <v/>
      </c>
      <c r="P934" s="4">
        <f>B934-D934</f>
        <v/>
      </c>
      <c r="Q934" s="4">
        <f>AVERAGE(P931:P934)</f>
        <v/>
      </c>
      <c r="R934" s="54">
        <f>(M935-M934)/M934</f>
        <v/>
      </c>
      <c r="S934" s="54">
        <f>(M938-M934)/M934</f>
        <v/>
      </c>
      <c r="T934" s="63">
        <f>IF(R934&gt;0,1,"")</f>
        <v/>
      </c>
      <c r="U934" s="63">
        <f>IF(S934&gt;0,1,"")</f>
        <v/>
      </c>
    </row>
    <row r="935">
      <c r="A935" s="35" t="n">
        <v>38435</v>
      </c>
      <c r="B935" s="4" t="n">
        <v>0.2323</v>
      </c>
      <c r="C935" s="4" t="n">
        <v>0.3484</v>
      </c>
      <c r="D935" s="4" t="n">
        <v>0.4194</v>
      </c>
      <c r="E935" s="63" t="n">
        <v>1.0001</v>
      </c>
      <c r="F935" s="63" t="n">
        <v>0.3730875</v>
      </c>
      <c r="G935" s="63" t="n">
        <v>-0.1871</v>
      </c>
      <c r="H935" s="63" t="n">
        <v>0.384907436629</v>
      </c>
      <c r="I935" s="63" t="n">
        <v>0.48829287048</v>
      </c>
      <c r="J935" s="63" t="n">
        <v>0.281522002778</v>
      </c>
      <c r="K935" s="63" t="n">
        <v>1189.65</v>
      </c>
      <c r="L935" s="63" t="n">
        <v>1168.7</v>
      </c>
      <c r="M935" s="63" t="n">
        <v>1172.53</v>
      </c>
      <c r="N935" s="54">
        <f>(M936-M935)/M935</f>
        <v/>
      </c>
      <c r="O935" s="54">
        <f>(M939-M935)/M935</f>
        <v/>
      </c>
      <c r="P935" s="4">
        <f>B935-D935</f>
        <v/>
      </c>
      <c r="Q935" s="4">
        <f>AVERAGE(P932:P935)</f>
        <v/>
      </c>
      <c r="R935" s="54">
        <f>(M936-M935)/M935</f>
        <v/>
      </c>
      <c r="S935" s="54">
        <f>(M939-M935)/M935</f>
        <v/>
      </c>
      <c r="T935" s="63">
        <f>IF(R935&gt;0,1,"")</f>
        <v/>
      </c>
      <c r="U935" s="63">
        <f>IF(S935&gt;0,1,"")</f>
        <v/>
      </c>
    </row>
    <row r="936">
      <c r="A936" s="35" t="n">
        <v>38442</v>
      </c>
      <c r="B936" s="4" t="n">
        <v>0.2843</v>
      </c>
      <c r="C936" s="4" t="n">
        <v>0.2059</v>
      </c>
      <c r="D936" s="4" t="n">
        <v>0.5098</v>
      </c>
      <c r="E936" s="63" t="n">
        <v>1</v>
      </c>
      <c r="F936" s="63" t="n">
        <v>0.3565375</v>
      </c>
      <c r="G936" s="63" t="n">
        <v>-0.2255</v>
      </c>
      <c r="H936" s="63" t="n">
        <v>0.384907436629</v>
      </c>
      <c r="I936" s="63" t="n">
        <v>0.48829287048</v>
      </c>
      <c r="J936" s="63" t="n">
        <v>0.281522002778</v>
      </c>
      <c r="K936" s="63" t="n">
        <v>1181.54</v>
      </c>
      <c r="L936" s="63" t="n">
        <v>1163.69</v>
      </c>
      <c r="M936" s="63" t="n">
        <v>1181.41</v>
      </c>
      <c r="N936" s="54">
        <f>(M937-M936)/M936</f>
        <v/>
      </c>
      <c r="O936" s="54">
        <f>(M940-M936)/M936</f>
        <v/>
      </c>
      <c r="P936" s="4">
        <f>B936-D936</f>
        <v/>
      </c>
      <c r="Q936" s="4">
        <f>AVERAGE(P933:P936)</f>
        <v/>
      </c>
      <c r="R936" s="54">
        <f>(M937-M936)/M936</f>
        <v/>
      </c>
      <c r="S936" s="54">
        <f>(M940-M936)/M936</f>
        <v/>
      </c>
      <c r="T936" s="63">
        <f>IF(R936&gt;0,1,"")</f>
        <v/>
      </c>
      <c r="U936" s="63">
        <f>IF(S936&gt;0,1,"")</f>
        <v/>
      </c>
    </row>
    <row r="937">
      <c r="A937" s="35" t="n">
        <v>38449</v>
      </c>
      <c r="B937" s="4" t="n">
        <v>0.2774</v>
      </c>
      <c r="C937" s="4" t="n">
        <v>0.2839</v>
      </c>
      <c r="D937" s="4" t="n">
        <v>0.4387</v>
      </c>
      <c r="E937" s="63" t="n">
        <v>1</v>
      </c>
      <c r="F937" s="63" t="n">
        <v>0.336525</v>
      </c>
      <c r="G937" s="63" t="n">
        <v>-0.1613</v>
      </c>
      <c r="H937" s="63" t="n">
        <v>0.384907436629</v>
      </c>
      <c r="I937" s="63" t="n">
        <v>0.48829287048</v>
      </c>
      <c r="J937" s="63" t="n">
        <v>0.281522002778</v>
      </c>
      <c r="K937" s="63" t="n">
        <v>1189.34</v>
      </c>
      <c r="L937" s="63" t="n">
        <v>1167.72</v>
      </c>
      <c r="M937" s="63" t="n">
        <v>1184.07</v>
      </c>
      <c r="N937" s="54">
        <f>(M938-M937)/M937</f>
        <v/>
      </c>
      <c r="O937" s="54">
        <f>(M941-M937)/M937</f>
        <v/>
      </c>
      <c r="P937" s="4">
        <f>B937-D937</f>
        <v/>
      </c>
      <c r="Q937" s="4">
        <f>AVERAGE(P934:P937)</f>
        <v/>
      </c>
      <c r="R937" s="54">
        <f>(M938-M937)/M937</f>
        <v/>
      </c>
      <c r="S937" s="54">
        <f>(M941-M937)/M937</f>
        <v/>
      </c>
      <c r="T937" s="63">
        <f>IF(R937&gt;0,1,"")</f>
        <v/>
      </c>
      <c r="U937" s="63">
        <f>IF(S937&gt;0,1,"")</f>
        <v/>
      </c>
    </row>
    <row r="938">
      <c r="A938" s="35" t="n">
        <v>38456</v>
      </c>
      <c r="B938" s="4" t="n">
        <v>0.1648</v>
      </c>
      <c r="C938" s="4" t="n">
        <v>0.4176</v>
      </c>
      <c r="D938" s="4" t="n">
        <v>0.4176</v>
      </c>
      <c r="E938" s="63" t="n">
        <v>1</v>
      </c>
      <c r="F938" s="63" t="n">
        <v>0.311675</v>
      </c>
      <c r="G938" s="63" t="n">
        <v>-0.2528</v>
      </c>
      <c r="H938" s="63" t="n">
        <v>0.384907436629</v>
      </c>
      <c r="I938" s="63" t="n">
        <v>0.48829287048</v>
      </c>
      <c r="J938" s="63" t="n">
        <v>0.281522002778</v>
      </c>
      <c r="K938" s="63" t="n">
        <v>1190.17</v>
      </c>
      <c r="L938" s="63" t="n">
        <v>1170.85</v>
      </c>
      <c r="M938" s="63" t="n">
        <v>1173.79</v>
      </c>
      <c r="N938" s="54">
        <f>(M939-M938)/M938</f>
        <v/>
      </c>
      <c r="O938" s="54">
        <f>(M942-M938)/M938</f>
        <v/>
      </c>
      <c r="P938" s="4">
        <f>B938-D938</f>
        <v/>
      </c>
      <c r="Q938" s="4">
        <f>AVERAGE(P935:P938)</f>
        <v/>
      </c>
      <c r="R938" s="54">
        <f>(M939-M938)/M938</f>
        <v/>
      </c>
      <c r="S938" s="54">
        <f>(M942-M938)/M938</f>
        <v/>
      </c>
      <c r="T938" s="63">
        <f>IF(R938&gt;0,1,"")</f>
        <v/>
      </c>
      <c r="U938" s="63">
        <f>IF(S938&gt;0,1,"")</f>
        <v/>
      </c>
    </row>
    <row r="939">
      <c r="A939" s="35" t="n">
        <v>38463</v>
      </c>
      <c r="B939" s="4" t="n">
        <v>0.3684</v>
      </c>
      <c r="C939" s="4" t="n">
        <v>0.3026</v>
      </c>
      <c r="D939" s="4" t="n">
        <v>0.3289</v>
      </c>
      <c r="E939" s="63" t="n">
        <v>0.9999</v>
      </c>
      <c r="F939" s="63" t="n">
        <v>0.31795</v>
      </c>
      <c r="G939" s="63" t="n">
        <v>0.0395</v>
      </c>
      <c r="H939" s="63" t="n">
        <v>0.384907436629</v>
      </c>
      <c r="I939" s="63" t="n">
        <v>0.48829287048</v>
      </c>
      <c r="J939" s="63" t="n">
        <v>0.281522002778</v>
      </c>
      <c r="K939" s="63" t="n">
        <v>1155.5</v>
      </c>
      <c r="L939" s="63" t="n">
        <v>1136.15</v>
      </c>
      <c r="M939" s="63" t="n">
        <v>1137.51</v>
      </c>
      <c r="N939" s="54">
        <f>(M940-M939)/M939</f>
        <v/>
      </c>
      <c r="O939" s="54">
        <f>(M943-M939)/M939</f>
        <v/>
      </c>
      <c r="P939" s="4">
        <f>B939-D939</f>
        <v/>
      </c>
      <c r="Q939" s="4">
        <f>AVERAGE(P936:P939)</f>
        <v/>
      </c>
      <c r="R939" s="54">
        <f>(M940-M939)/M939</f>
        <v/>
      </c>
      <c r="S939" s="54">
        <f>(M943-M939)/M939</f>
        <v/>
      </c>
      <c r="T939" s="63">
        <f>IF(R939&gt;0,1,"")</f>
        <v/>
      </c>
      <c r="U939" s="63">
        <f>IF(S939&gt;0,1,"")</f>
        <v/>
      </c>
    </row>
    <row r="940">
      <c r="A940" s="35" t="n">
        <v>38470</v>
      </c>
      <c r="B940" s="4" t="n">
        <v>0.2975</v>
      </c>
      <c r="C940" s="4" t="n">
        <v>0.3554</v>
      </c>
      <c r="D940" s="4" t="n">
        <v>0.3471</v>
      </c>
      <c r="E940" s="63" t="n">
        <v>1</v>
      </c>
      <c r="F940" s="63" t="n">
        <v>0.30575</v>
      </c>
      <c r="G940" s="63" t="n">
        <v>-0.0496</v>
      </c>
      <c r="H940" s="63" t="n">
        <v>0.384907436629</v>
      </c>
      <c r="I940" s="63" t="n">
        <v>0.48829287048</v>
      </c>
      <c r="J940" s="63" t="n">
        <v>0.281522002778</v>
      </c>
      <c r="K940" s="63" t="n">
        <v>1164.8</v>
      </c>
      <c r="L940" s="63" t="n">
        <v>1144.42</v>
      </c>
      <c r="M940" s="63" t="n">
        <v>1156.38</v>
      </c>
      <c r="N940" s="54">
        <f>(M941-M940)/M940</f>
        <v/>
      </c>
      <c r="O940" s="54">
        <f>(M944-M940)/M940</f>
        <v/>
      </c>
      <c r="P940" s="4">
        <f>B940-D940</f>
        <v/>
      </c>
      <c r="Q940" s="4">
        <f>AVERAGE(P937:P940)</f>
        <v/>
      </c>
      <c r="R940" s="54">
        <f>(M941-M940)/M940</f>
        <v/>
      </c>
      <c r="S940" s="54">
        <f>(M944-M940)/M940</f>
        <v/>
      </c>
      <c r="T940" s="63">
        <f>IF(R940&gt;0,1,"")</f>
        <v/>
      </c>
      <c r="U940" s="63">
        <f>IF(S940&gt;0,1,"")</f>
        <v/>
      </c>
    </row>
    <row r="941">
      <c r="A941" s="35" t="n">
        <v>38477</v>
      </c>
      <c r="B941" s="4" t="n">
        <v>0.2857</v>
      </c>
      <c r="C941" s="4" t="n">
        <v>0.2653</v>
      </c>
      <c r="D941" s="4" t="n">
        <v>0.449</v>
      </c>
      <c r="E941" s="63" t="n">
        <v>1</v>
      </c>
      <c r="F941" s="63" t="n">
        <v>0.2793875</v>
      </c>
      <c r="G941" s="63" t="n">
        <v>-0.1633</v>
      </c>
      <c r="H941" s="63" t="n">
        <v>0.384907436629</v>
      </c>
      <c r="I941" s="63" t="n">
        <v>0.48829287048</v>
      </c>
      <c r="J941" s="63" t="n">
        <v>0.281522002778</v>
      </c>
      <c r="K941" s="63" t="n">
        <v>1178.62</v>
      </c>
      <c r="L941" s="63" t="n">
        <v>1154.71</v>
      </c>
      <c r="M941" s="63" t="n">
        <v>1171.35</v>
      </c>
      <c r="N941" s="54">
        <f>(M942-M941)/M941</f>
        <v/>
      </c>
      <c r="O941" s="54">
        <f>(M945-M941)/M941</f>
        <v/>
      </c>
      <c r="P941" s="4">
        <f>B941-D941</f>
        <v/>
      </c>
      <c r="Q941" s="4">
        <f>AVERAGE(P938:P941)</f>
        <v/>
      </c>
      <c r="R941" s="54">
        <f>(M942-M941)/M941</f>
        <v/>
      </c>
      <c r="S941" s="54">
        <f>(M945-M941)/M941</f>
        <v/>
      </c>
      <c r="T941" s="63">
        <f>IF(R941&gt;0,1,"")</f>
        <v/>
      </c>
      <c r="U941" s="63">
        <f>IF(S941&gt;0,1,"")</f>
        <v/>
      </c>
    </row>
    <row r="942">
      <c r="A942" s="35" t="n">
        <v>38484</v>
      </c>
      <c r="B942" s="4" t="n">
        <v>0.3052</v>
      </c>
      <c r="C942" s="4" t="n">
        <v>0.3312</v>
      </c>
      <c r="D942" s="4" t="n">
        <v>0.3636</v>
      </c>
      <c r="E942" s="63" t="n">
        <v>1</v>
      </c>
      <c r="F942" s="63" t="n">
        <v>0.27695</v>
      </c>
      <c r="G942" s="63" t="n">
        <v>-0.0584</v>
      </c>
      <c r="H942" s="63" t="n">
        <v>0.384907436629</v>
      </c>
      <c r="I942" s="63" t="n">
        <v>0.48829287048</v>
      </c>
      <c r="J942" s="63" t="n">
        <v>0.281522002778</v>
      </c>
      <c r="K942" s="63" t="n">
        <v>1178.87</v>
      </c>
      <c r="L942" s="63" t="n">
        <v>1157.71</v>
      </c>
      <c r="M942" s="63" t="n">
        <v>1171.11</v>
      </c>
      <c r="N942" s="54">
        <f>(M943-M942)/M942</f>
        <v/>
      </c>
      <c r="O942" s="54">
        <f>(M946-M942)/M942</f>
        <v/>
      </c>
      <c r="P942" s="4">
        <f>B942-D942</f>
        <v/>
      </c>
      <c r="Q942" s="4">
        <f>AVERAGE(P939:P942)</f>
        <v/>
      </c>
      <c r="R942" s="54">
        <f>(M943-M942)/M942</f>
        <v/>
      </c>
      <c r="S942" s="54">
        <f>(M946-M942)/M942</f>
        <v/>
      </c>
      <c r="T942" s="63">
        <f>IF(R942&gt;0,1,"")</f>
        <v/>
      </c>
      <c r="U942" s="63">
        <f>IF(S942&gt;0,1,"")</f>
        <v/>
      </c>
    </row>
    <row r="943">
      <c r="A943" s="35" t="n">
        <v>38491</v>
      </c>
      <c r="B943" s="4" t="n">
        <v>0.3892</v>
      </c>
      <c r="C943" s="4" t="n">
        <v>0.3243</v>
      </c>
      <c r="D943" s="4" t="n">
        <v>0.2865</v>
      </c>
      <c r="E943" s="63" t="n">
        <v>1</v>
      </c>
      <c r="F943" s="63" t="n">
        <v>0.2965625</v>
      </c>
      <c r="G943" s="63" t="n">
        <v>0.1027</v>
      </c>
      <c r="H943" s="63" t="n">
        <v>0.384907436629</v>
      </c>
      <c r="I943" s="63" t="n">
        <v>0.48829287048</v>
      </c>
      <c r="J943" s="63" t="n">
        <v>0.281522002778</v>
      </c>
      <c r="K943" s="63" t="n">
        <v>1187.9</v>
      </c>
      <c r="L943" s="63" t="n">
        <v>1153.64</v>
      </c>
      <c r="M943" s="63" t="n">
        <v>1185.56</v>
      </c>
      <c r="N943" s="54">
        <f>(M944-M943)/M943</f>
        <v/>
      </c>
      <c r="O943" s="54">
        <f>(M947-M943)/M943</f>
        <v/>
      </c>
      <c r="P943" s="4">
        <f>B943-D943</f>
        <v/>
      </c>
      <c r="Q943" s="4">
        <f>AVERAGE(P940:P943)</f>
        <v/>
      </c>
      <c r="R943" s="54">
        <f>(M944-M943)/M943</f>
        <v/>
      </c>
      <c r="S943" s="54">
        <f>(M947-M943)/M943</f>
        <v/>
      </c>
      <c r="T943" s="63">
        <f>IF(R943&gt;0,1,"")</f>
        <v/>
      </c>
      <c r="U943" s="63">
        <f>IF(S943&gt;0,1,"")</f>
        <v/>
      </c>
    </row>
    <row r="944">
      <c r="A944" s="35" t="n">
        <v>38498</v>
      </c>
      <c r="B944" s="4" t="n">
        <v>0.4414</v>
      </c>
      <c r="C944" s="4" t="n">
        <v>0.3243</v>
      </c>
      <c r="D944" s="4" t="n">
        <v>0.2342</v>
      </c>
      <c r="E944" s="63" t="n">
        <v>0.9999</v>
      </c>
      <c r="F944" s="63" t="n">
        <v>0.3162</v>
      </c>
      <c r="G944" s="63" t="n">
        <v>0.2072</v>
      </c>
      <c r="H944" s="63" t="n">
        <v>0.384907436629</v>
      </c>
      <c r="I944" s="63" t="n">
        <v>0.48829287048</v>
      </c>
      <c r="J944" s="63" t="n">
        <v>0.281522002778</v>
      </c>
      <c r="K944" s="63" t="n">
        <v>1197.44</v>
      </c>
      <c r="L944" s="63" t="n">
        <v>1185.96</v>
      </c>
      <c r="M944" s="63" t="n">
        <v>1190.01</v>
      </c>
      <c r="N944" s="54">
        <f>(M945-M944)/M944</f>
        <v/>
      </c>
      <c r="O944" s="54">
        <f>(M948-M944)/M944</f>
        <v/>
      </c>
      <c r="P944" s="4">
        <f>B944-D944</f>
        <v/>
      </c>
      <c r="Q944" s="4">
        <f>AVERAGE(P941:P944)</f>
        <v/>
      </c>
      <c r="R944" s="54">
        <f>(M945-M944)/M944</f>
        <v/>
      </c>
      <c r="S944" s="54">
        <f>(M948-M944)/M944</f>
        <v/>
      </c>
      <c r="T944" s="63">
        <f>IF(R944&gt;0,1,"")</f>
        <v/>
      </c>
      <c r="U944" s="63">
        <f>IF(S944&gt;0,1,"")</f>
        <v/>
      </c>
    </row>
    <row r="945">
      <c r="A945" s="35" t="n">
        <v>38505</v>
      </c>
      <c r="B945" s="4" t="n">
        <v>0.4861</v>
      </c>
      <c r="C945" s="4" t="n">
        <v>0.3194</v>
      </c>
      <c r="D945" s="4" t="n">
        <v>0.1944</v>
      </c>
      <c r="E945" s="63" t="n">
        <v>0.9999</v>
      </c>
      <c r="F945" s="63" t="n">
        <v>0.3422875</v>
      </c>
      <c r="G945" s="63" t="n">
        <v>0.2917</v>
      </c>
      <c r="H945" s="63" t="n">
        <v>0.384907436629</v>
      </c>
      <c r="I945" s="63" t="n">
        <v>0.48829287048</v>
      </c>
      <c r="J945" s="63" t="n">
        <v>0.281522002778</v>
      </c>
      <c r="K945" s="63" t="n">
        <v>1205.64</v>
      </c>
      <c r="L945" s="63" t="n">
        <v>1191.03</v>
      </c>
      <c r="M945" s="63" t="n">
        <v>1202.22</v>
      </c>
      <c r="N945" s="54">
        <f>(M946-M945)/M945</f>
        <v/>
      </c>
      <c r="O945" s="54">
        <f>(M949-M945)/M945</f>
        <v/>
      </c>
      <c r="P945" s="4">
        <f>B945-D945</f>
        <v/>
      </c>
      <c r="Q945" s="4">
        <f>AVERAGE(P942:P945)</f>
        <v/>
      </c>
      <c r="R945" s="54">
        <f>(M946-M945)/M945</f>
        <v/>
      </c>
      <c r="S945" s="54">
        <f>(M949-M945)/M945</f>
        <v/>
      </c>
      <c r="T945" s="63">
        <f>IF(R945&gt;0,1,"")</f>
        <v/>
      </c>
      <c r="U945" s="63">
        <f>IF(S945&gt;0,1,"")</f>
        <v/>
      </c>
    </row>
    <row r="946">
      <c r="A946" s="35" t="n">
        <v>38512</v>
      </c>
      <c r="B946" s="4" t="n">
        <v>0.4598</v>
      </c>
      <c r="C946" s="4" t="n">
        <v>0.3448</v>
      </c>
      <c r="D946" s="4" t="n">
        <v>0.1954</v>
      </c>
      <c r="E946" s="63" t="n">
        <v>1</v>
      </c>
      <c r="F946" s="63" t="n">
        <v>0.3791625</v>
      </c>
      <c r="G946" s="63" t="n">
        <v>0.2644</v>
      </c>
      <c r="H946" s="63" t="n">
        <v>0.384907436629</v>
      </c>
      <c r="I946" s="63" t="n">
        <v>0.48829287048</v>
      </c>
      <c r="J946" s="63" t="n">
        <v>0.281522002778</v>
      </c>
      <c r="K946" s="63" t="n">
        <v>1208.85</v>
      </c>
      <c r="L946" s="63" t="n">
        <v>1192.75</v>
      </c>
      <c r="M946" s="63" t="n">
        <v>1197.26</v>
      </c>
      <c r="N946" s="54">
        <f>(M947-M946)/M946</f>
        <v/>
      </c>
      <c r="O946" s="54">
        <f>(M950-M946)/M946</f>
        <v/>
      </c>
      <c r="P946" s="4">
        <f>B946-D946</f>
        <v/>
      </c>
      <c r="Q946" s="4">
        <f>AVERAGE(P943:P946)</f>
        <v/>
      </c>
      <c r="R946" s="54">
        <f>(M947-M946)/M946</f>
        <v/>
      </c>
      <c r="S946" s="54">
        <f>(M950-M946)/M946</f>
        <v/>
      </c>
      <c r="T946" s="63">
        <f>IF(R946&gt;0,1,"")</f>
        <v/>
      </c>
      <c r="U946" s="63">
        <f>IF(S946&gt;0,1,"")</f>
        <v/>
      </c>
    </row>
    <row r="947">
      <c r="A947" s="35" t="n">
        <v>38519</v>
      </c>
      <c r="B947" s="4" t="n">
        <v>0.4805</v>
      </c>
      <c r="C947" s="4" t="n">
        <v>0.3312</v>
      </c>
      <c r="D947" s="4" t="n">
        <v>0.1883</v>
      </c>
      <c r="E947" s="63" t="n">
        <v>1</v>
      </c>
      <c r="F947" s="63" t="n">
        <v>0.393175</v>
      </c>
      <c r="G947" s="63" t="n">
        <v>0.2922</v>
      </c>
      <c r="H947" s="63" t="n">
        <v>0.384907436629</v>
      </c>
      <c r="I947" s="63" t="n">
        <v>0.48829287048</v>
      </c>
      <c r="J947" s="63" t="n">
        <v>0.281522002778</v>
      </c>
      <c r="K947" s="63" t="n">
        <v>1208.08</v>
      </c>
      <c r="L947" s="63" t="n">
        <v>1194.51</v>
      </c>
      <c r="M947" s="63" t="n">
        <v>1206.58</v>
      </c>
      <c r="N947" s="54">
        <f>(M948-M947)/M947</f>
        <v/>
      </c>
      <c r="O947" s="54">
        <f>(M951-M947)/M947</f>
        <v/>
      </c>
      <c r="P947" s="4">
        <f>B947-D947</f>
        <v/>
      </c>
      <c r="Q947" s="4">
        <f>AVERAGE(P944:P947)</f>
        <v/>
      </c>
      <c r="R947" s="54">
        <f>(M948-M947)/M947</f>
        <v/>
      </c>
      <c r="S947" s="54">
        <f>(M951-M947)/M947</f>
        <v/>
      </c>
      <c r="T947" s="63">
        <f>IF(R947&gt;0,1,"")</f>
        <v/>
      </c>
      <c r="U947" s="63">
        <f>IF(S947&gt;0,1,"")</f>
        <v/>
      </c>
    </row>
    <row r="948">
      <c r="A948" s="35" t="n">
        <v>38526</v>
      </c>
      <c r="B948" s="4" t="n">
        <v>0.4659</v>
      </c>
      <c r="C948" s="4" t="n">
        <v>0.3523</v>
      </c>
      <c r="D948" s="4" t="n">
        <v>0.1818</v>
      </c>
      <c r="E948" s="63" t="n">
        <v>1</v>
      </c>
      <c r="F948" s="63" t="n">
        <v>0.414225</v>
      </c>
      <c r="G948" s="63" t="n">
        <v>0.2841</v>
      </c>
      <c r="H948" s="63" t="n">
        <v>0.384907436629</v>
      </c>
      <c r="I948" s="63" t="n">
        <v>0.48829287048</v>
      </c>
      <c r="J948" s="63" t="n">
        <v>0.281522002778</v>
      </c>
      <c r="K948" s="63" t="n">
        <v>1219.59</v>
      </c>
      <c r="L948" s="63" t="n">
        <v>1210.65</v>
      </c>
      <c r="M948" s="63" t="n">
        <v>1213.88</v>
      </c>
      <c r="N948" s="54">
        <f>(M949-M948)/M948</f>
        <v/>
      </c>
      <c r="O948" s="54">
        <f>(M952-M948)/M948</f>
        <v/>
      </c>
      <c r="P948" s="4">
        <f>B948-D948</f>
        <v/>
      </c>
      <c r="Q948" s="4">
        <f>AVERAGE(P945:P948)</f>
        <v/>
      </c>
      <c r="R948" s="54">
        <f>(M949-M948)/M948</f>
        <v/>
      </c>
      <c r="S948" s="54">
        <f>(M952-M948)/M948</f>
        <v/>
      </c>
      <c r="T948" s="63">
        <f>IF(R948&gt;0,1,"")</f>
        <v/>
      </c>
      <c r="U948" s="63">
        <f>IF(S948&gt;0,1,"")</f>
        <v/>
      </c>
    </row>
    <row r="949">
      <c r="A949" s="35" t="n">
        <v>38533</v>
      </c>
      <c r="B949" s="4" t="n">
        <v>0.4589</v>
      </c>
      <c r="C949" s="4" t="n">
        <v>0.2466</v>
      </c>
      <c r="D949" s="4" t="n">
        <v>0.2945</v>
      </c>
      <c r="E949" s="63" t="n">
        <v>1</v>
      </c>
      <c r="F949" s="63" t="n">
        <v>0.435875</v>
      </c>
      <c r="G949" s="63" t="n">
        <v>0.1644</v>
      </c>
      <c r="H949" s="63" t="n">
        <v>0.384907436629</v>
      </c>
      <c r="I949" s="63" t="n">
        <v>0.48829287048</v>
      </c>
      <c r="J949" s="63" t="n">
        <v>0.281522002778</v>
      </c>
      <c r="K949" s="63" t="n">
        <v>1204.07</v>
      </c>
      <c r="L949" s="63" t="n">
        <v>1188.3</v>
      </c>
      <c r="M949" s="63" t="n">
        <v>1199.85</v>
      </c>
      <c r="N949" s="54">
        <f>(M950-M949)/M949</f>
        <v/>
      </c>
      <c r="O949" s="54">
        <f>(M953-M949)/M949</f>
        <v/>
      </c>
      <c r="P949" s="4">
        <f>B949-D949</f>
        <v/>
      </c>
      <c r="Q949" s="4">
        <f>AVERAGE(P946:P949)</f>
        <v/>
      </c>
      <c r="R949" s="54">
        <f>(M950-M949)/M949</f>
        <v/>
      </c>
      <c r="S949" s="54">
        <f>(M953-M949)/M949</f>
        <v/>
      </c>
      <c r="T949" s="63">
        <f>IF(R949&gt;0,1,"")</f>
        <v/>
      </c>
      <c r="U949" s="63">
        <f>IF(S949&gt;0,1,"")</f>
        <v/>
      </c>
    </row>
    <row r="950">
      <c r="A950" s="35" t="n">
        <v>38540</v>
      </c>
      <c r="B950" s="4" t="n">
        <v>0.430108</v>
      </c>
      <c r="C950" s="4" t="n">
        <v>0.365591</v>
      </c>
      <c r="D950" s="4" t="n">
        <v>0.204301</v>
      </c>
      <c r="E950" s="63" t="n">
        <v>1</v>
      </c>
      <c r="F950" s="63" t="n">
        <v>0.4514885</v>
      </c>
      <c r="G950" s="63" t="n">
        <v>0.225807</v>
      </c>
      <c r="H950" s="63" t="n">
        <v>0.384907436629</v>
      </c>
      <c r="I950" s="63" t="n">
        <v>0.48829287048</v>
      </c>
      <c r="J950" s="63" t="n">
        <v>0.281522002778</v>
      </c>
      <c r="K950" s="63" t="n">
        <v>1206.34</v>
      </c>
      <c r="L950" s="63" t="n">
        <v>1192.49</v>
      </c>
      <c r="M950" s="63" t="n">
        <v>1194.94</v>
      </c>
      <c r="N950" s="54">
        <f>(M951-M950)/M950</f>
        <v/>
      </c>
      <c r="O950" s="54">
        <f>(M954-M950)/M950</f>
        <v/>
      </c>
      <c r="P950" s="4">
        <f>B950-D950</f>
        <v/>
      </c>
      <c r="Q950" s="4">
        <f>AVERAGE(P947:P950)</f>
        <v/>
      </c>
      <c r="R950" s="54">
        <f>(M951-M950)/M950</f>
        <v/>
      </c>
      <c r="S950" s="54">
        <f>(M954-M950)/M950</f>
        <v/>
      </c>
      <c r="T950" s="63">
        <f>IF(R950&gt;0,1,"")</f>
        <v/>
      </c>
      <c r="U950" s="63">
        <f>IF(S950&gt;0,1,"")</f>
        <v/>
      </c>
    </row>
    <row r="951">
      <c r="A951" s="35" t="n">
        <v>38547</v>
      </c>
      <c r="B951" s="4" t="n">
        <v>0.5789</v>
      </c>
      <c r="C951" s="4" t="n">
        <v>0.2807</v>
      </c>
      <c r="D951" s="4" t="n">
        <v>0.1404</v>
      </c>
      <c r="E951" s="63" t="n">
        <v>1</v>
      </c>
      <c r="F951" s="63" t="n">
        <v>0.475201</v>
      </c>
      <c r="G951" s="63" t="n">
        <v>0.4385</v>
      </c>
      <c r="H951" s="63" t="n">
        <v>0.384907436629</v>
      </c>
      <c r="I951" s="63" t="n">
        <v>0.48829287048</v>
      </c>
      <c r="J951" s="63" t="n">
        <v>0.281522002778</v>
      </c>
      <c r="K951" s="63" t="n">
        <v>1233.16</v>
      </c>
      <c r="L951" s="63" t="n">
        <v>1211.86</v>
      </c>
      <c r="M951" s="63" t="n">
        <v>1227.92</v>
      </c>
      <c r="N951" s="54">
        <f>(M952-M951)/M951</f>
        <v/>
      </c>
      <c r="O951" s="54">
        <f>(M955-M951)/M951</f>
        <v/>
      </c>
      <c r="P951" s="4">
        <f>B951-D951</f>
        <v/>
      </c>
      <c r="Q951" s="4">
        <f>AVERAGE(P948:P951)</f>
        <v/>
      </c>
      <c r="R951" s="54">
        <f>(M952-M951)/M951</f>
        <v/>
      </c>
      <c r="S951" s="54">
        <f>(M955-M951)/M951</f>
        <v/>
      </c>
      <c r="T951" s="63">
        <f>IF(R951&gt;0,1,"")</f>
        <v/>
      </c>
      <c r="U951" s="63">
        <f>IF(S951&gt;0,1,"")</f>
        <v/>
      </c>
    </row>
    <row r="952">
      <c r="A952" s="35" t="n">
        <v>38554</v>
      </c>
      <c r="B952" s="4" t="n">
        <v>0.4118</v>
      </c>
      <c r="C952" s="4" t="n">
        <v>0.3137</v>
      </c>
      <c r="D952" s="4" t="n">
        <v>0.2745</v>
      </c>
      <c r="E952" s="63" t="n">
        <v>1</v>
      </c>
      <c r="F952" s="63" t="n">
        <v>0.471501</v>
      </c>
      <c r="G952" s="63" t="n">
        <v>0.1373</v>
      </c>
      <c r="H952" s="63" t="n">
        <v>0.384907436629</v>
      </c>
      <c r="I952" s="63" t="n">
        <v>0.48829287048</v>
      </c>
      <c r="J952" s="63" t="n">
        <v>0.281522002778</v>
      </c>
      <c r="K952" s="63" t="n">
        <v>1236.56</v>
      </c>
      <c r="L952" s="63" t="n">
        <v>1221.13</v>
      </c>
      <c r="M952" s="63" t="n">
        <v>1235.2</v>
      </c>
      <c r="N952" s="54">
        <f>(M953-M952)/M952</f>
        <v/>
      </c>
      <c r="O952" s="54">
        <f>(M956-M952)/M952</f>
        <v/>
      </c>
      <c r="P952" s="4">
        <f>B952-D952</f>
        <v/>
      </c>
      <c r="Q952" s="4">
        <f>AVERAGE(P949:P952)</f>
        <v/>
      </c>
      <c r="R952" s="54">
        <f>(M953-M952)/M952</f>
        <v/>
      </c>
      <c r="S952" s="54">
        <f>(M956-M952)/M952</f>
        <v/>
      </c>
      <c r="T952" s="63">
        <f>IF(R952&gt;0,1,"")</f>
        <v/>
      </c>
      <c r="U952" s="63">
        <f>IF(S952&gt;0,1,"")</f>
        <v/>
      </c>
    </row>
    <row r="953">
      <c r="A953" s="35" t="n">
        <v>38561</v>
      </c>
      <c r="B953" s="4" t="n">
        <v>0.5752</v>
      </c>
      <c r="C953" s="4" t="n">
        <v>0.2484</v>
      </c>
      <c r="D953" s="4" t="n">
        <v>0.1765</v>
      </c>
      <c r="E953" s="63" t="n">
        <v>1.0001</v>
      </c>
      <c r="F953" s="63" t="n">
        <v>0.4826385</v>
      </c>
      <c r="G953" s="63" t="n">
        <v>0.3987</v>
      </c>
      <c r="H953" s="63" t="n">
        <v>0.384907436629</v>
      </c>
      <c r="I953" s="63" t="n">
        <v>0.48829287048</v>
      </c>
      <c r="J953" s="63" t="n">
        <v>0.281522002778</v>
      </c>
      <c r="K953" s="63" t="n">
        <v>1238.36</v>
      </c>
      <c r="L953" s="63" t="n">
        <v>1228.15</v>
      </c>
      <c r="M953" s="63" t="n">
        <v>1236.79</v>
      </c>
      <c r="N953" s="54">
        <f>(M954-M953)/M953</f>
        <v/>
      </c>
      <c r="O953" s="54">
        <f>(M957-M953)/M953</f>
        <v/>
      </c>
      <c r="P953" s="4">
        <f>B953-D953</f>
        <v/>
      </c>
      <c r="Q953" s="4">
        <f>AVERAGE(P950:P953)</f>
        <v/>
      </c>
      <c r="R953" s="54">
        <f>(M954-M953)/M953</f>
        <v/>
      </c>
      <c r="S953" s="54">
        <f>(M957-M953)/M953</f>
        <v/>
      </c>
      <c r="T953" s="63">
        <f>IF(R953&gt;0,1,"")</f>
        <v/>
      </c>
      <c r="U953" s="63">
        <f>IF(S953&gt;0,1,"")</f>
        <v/>
      </c>
    </row>
    <row r="954">
      <c r="A954" s="35" t="n">
        <v>38568</v>
      </c>
      <c r="B954" s="4" t="n">
        <v>0.4783</v>
      </c>
      <c r="C954" s="4" t="n">
        <v>0.2609</v>
      </c>
      <c r="D954" s="4" t="n">
        <v>0.2609</v>
      </c>
      <c r="E954" s="63" t="n">
        <v>1.0001</v>
      </c>
      <c r="F954" s="63" t="n">
        <v>0.484951</v>
      </c>
      <c r="G954" s="63" t="n">
        <v>0.2174</v>
      </c>
      <c r="H954" s="63" t="n">
        <v>0.384907436629</v>
      </c>
      <c r="I954" s="63" t="n">
        <v>0.48829287048</v>
      </c>
      <c r="J954" s="63" t="n">
        <v>0.281522002778</v>
      </c>
      <c r="K954" s="63" t="n">
        <v>1245.86</v>
      </c>
      <c r="L954" s="63" t="n">
        <v>1233.8</v>
      </c>
      <c r="M954" s="63" t="n">
        <v>1245.04</v>
      </c>
      <c r="N954" s="54">
        <f>(M955-M954)/M954</f>
        <v/>
      </c>
      <c r="O954" s="54">
        <f>(M958-M954)/M954</f>
        <v/>
      </c>
      <c r="P954" s="4">
        <f>B954-D954</f>
        <v/>
      </c>
      <c r="Q954" s="4">
        <f>AVERAGE(P951:P954)</f>
        <v/>
      </c>
      <c r="R954" s="54">
        <f>(M955-M954)/M954</f>
        <v/>
      </c>
      <c r="S954" s="54">
        <f>(M958-M954)/M954</f>
        <v/>
      </c>
      <c r="T954" s="63">
        <f>IF(R954&gt;0,1,"")</f>
        <v/>
      </c>
      <c r="U954" s="63">
        <f>IF(S954&gt;0,1,"")</f>
        <v/>
      </c>
    </row>
    <row r="955">
      <c r="A955" s="35" t="n">
        <v>38575</v>
      </c>
      <c r="B955" s="4" t="n">
        <v>0.3974</v>
      </c>
      <c r="C955" s="4" t="n">
        <v>0.3141</v>
      </c>
      <c r="D955" s="4" t="n">
        <v>0.2885</v>
      </c>
      <c r="E955" s="63" t="n">
        <v>1</v>
      </c>
      <c r="F955" s="63" t="n">
        <v>0.4745635</v>
      </c>
      <c r="G955" s="63" t="n">
        <v>0.1089</v>
      </c>
      <c r="H955" s="63" t="n">
        <v>0.384907436629</v>
      </c>
      <c r="I955" s="63" t="n">
        <v>0.48829287048</v>
      </c>
      <c r="J955" s="63" t="n">
        <v>0.281522002778</v>
      </c>
      <c r="K955" s="63" t="n">
        <v>1242.69</v>
      </c>
      <c r="L955" s="63" t="n">
        <v>1222.67</v>
      </c>
      <c r="M955" s="63" t="n">
        <v>1229.13</v>
      </c>
      <c r="N955" s="54">
        <f>(M956-M955)/M955</f>
        <v/>
      </c>
      <c r="O955" s="54">
        <f>(M959-M955)/M955</f>
        <v/>
      </c>
      <c r="P955" s="4">
        <f>B955-D955</f>
        <v/>
      </c>
      <c r="Q955" s="4">
        <f>AVERAGE(P952:P955)</f>
        <v/>
      </c>
      <c r="R955" s="54">
        <f>(M956-M955)/M955</f>
        <v/>
      </c>
      <c r="S955" s="54">
        <f>(M959-M955)/M955</f>
        <v/>
      </c>
      <c r="T955" s="63">
        <f>IF(R955&gt;0,1,"")</f>
        <v/>
      </c>
      <c r="U955" s="63">
        <f>IF(S955&gt;0,1,"")</f>
        <v/>
      </c>
    </row>
    <row r="956">
      <c r="A956" s="35" t="n">
        <v>38582</v>
      </c>
      <c r="B956" s="4" t="n">
        <v>0.2929</v>
      </c>
      <c r="C956" s="4" t="n">
        <v>0.303</v>
      </c>
      <c r="D956" s="4" t="n">
        <v>0.404</v>
      </c>
      <c r="E956" s="63" t="n">
        <v>0.9999</v>
      </c>
      <c r="F956" s="63" t="n">
        <v>0.4529385</v>
      </c>
      <c r="G956" s="63" t="n">
        <v>-0.1111</v>
      </c>
      <c r="H956" s="63" t="n">
        <v>0.384907436629</v>
      </c>
      <c r="I956" s="63" t="n">
        <v>0.48829287048</v>
      </c>
      <c r="J956" s="63" t="n">
        <v>0.281522002778</v>
      </c>
      <c r="K956" s="63" t="n">
        <v>1236.24</v>
      </c>
      <c r="L956" s="63" t="n">
        <v>1218.07</v>
      </c>
      <c r="M956" s="63" t="n">
        <v>1220.24</v>
      </c>
      <c r="N956" s="54">
        <f>(M957-M956)/M956</f>
        <v/>
      </c>
      <c r="O956" s="54">
        <f>(M960-M956)/M956</f>
        <v/>
      </c>
      <c r="P956" s="4">
        <f>B956-D956</f>
        <v/>
      </c>
      <c r="Q956" s="4">
        <f>AVERAGE(P953:P956)</f>
        <v/>
      </c>
      <c r="R956" s="54">
        <f>(M957-M956)/M956</f>
        <v/>
      </c>
      <c r="S956" s="54">
        <f>(M960-M956)/M956</f>
        <v/>
      </c>
      <c r="T956" s="63">
        <f>IF(R956&gt;0,1,"")</f>
        <v/>
      </c>
      <c r="U956" s="63">
        <f>IF(S956&gt;0,1,"")</f>
        <v/>
      </c>
    </row>
    <row r="957">
      <c r="A957" s="35" t="n">
        <v>38589</v>
      </c>
      <c r="B957" s="4" t="n">
        <v>0.3614</v>
      </c>
      <c r="C957" s="4" t="n">
        <v>0.3253</v>
      </c>
      <c r="D957" s="4" t="n">
        <v>0.3133</v>
      </c>
      <c r="E957" s="63" t="n">
        <v>1</v>
      </c>
      <c r="F957" s="63" t="n">
        <v>0.440751</v>
      </c>
      <c r="G957" s="63" t="n">
        <v>0.0481</v>
      </c>
      <c r="H957" s="63" t="n">
        <v>0.384907436629</v>
      </c>
      <c r="I957" s="63" t="n">
        <v>0.48829287048</v>
      </c>
      <c r="J957" s="63" t="n">
        <v>0.281522002778</v>
      </c>
      <c r="K957" s="63" t="n">
        <v>1228.96</v>
      </c>
      <c r="L957" s="63" t="n">
        <v>1214.44</v>
      </c>
      <c r="M957" s="63" t="n">
        <v>1217.59</v>
      </c>
      <c r="N957" s="54">
        <f>(M958-M957)/M957</f>
        <v/>
      </c>
      <c r="O957" s="54">
        <f>(M961-M957)/M957</f>
        <v/>
      </c>
      <c r="P957" s="4">
        <f>B957-D957</f>
        <v/>
      </c>
      <c r="Q957" s="4">
        <f>AVERAGE(P954:P957)</f>
        <v/>
      </c>
      <c r="R957" s="54">
        <f>(M958-M957)/M957</f>
        <v/>
      </c>
      <c r="S957" s="54">
        <f>(M961-M957)/M957</f>
        <v/>
      </c>
      <c r="T957" s="63">
        <f>IF(R957&gt;0,1,"")</f>
        <v/>
      </c>
      <c r="U957" s="63">
        <f>IF(S957&gt;0,1,"")</f>
        <v/>
      </c>
    </row>
    <row r="958">
      <c r="A958" s="35" t="n">
        <v>38596</v>
      </c>
      <c r="B958" s="4" t="n">
        <v>0.3176</v>
      </c>
      <c r="C958" s="4" t="n">
        <v>0.3059</v>
      </c>
      <c r="D958" s="4" t="n">
        <v>0.3765</v>
      </c>
      <c r="E958" s="63" t="n">
        <v>1</v>
      </c>
      <c r="F958" s="63" t="n">
        <v>0.4266875</v>
      </c>
      <c r="G958" s="63" t="n">
        <v>-0.0589</v>
      </c>
      <c r="H958" s="63" t="n">
        <v>0.384907436629</v>
      </c>
      <c r="I958" s="63" t="n">
        <v>0.48829287048</v>
      </c>
      <c r="J958" s="63" t="n">
        <v>0.281522002778</v>
      </c>
      <c r="K958" s="63" t="n">
        <v>1220.36</v>
      </c>
      <c r="L958" s="63" t="n">
        <v>1201.07</v>
      </c>
      <c r="M958" s="63" t="n">
        <v>1220.33</v>
      </c>
      <c r="N958" s="54">
        <f>(M959-M958)/M958</f>
        <v/>
      </c>
      <c r="O958" s="54">
        <f>(M962-M958)/M958</f>
        <v/>
      </c>
      <c r="P958" s="4">
        <f>B958-D958</f>
        <v/>
      </c>
      <c r="Q958" s="4">
        <f>AVERAGE(P955:P958)</f>
        <v/>
      </c>
      <c r="R958" s="54">
        <f>(M959-M958)/M958</f>
        <v/>
      </c>
      <c r="S958" s="54">
        <f>(M962-M958)/M958</f>
        <v/>
      </c>
      <c r="T958" s="63">
        <f>IF(R958&gt;0,1,"")</f>
        <v/>
      </c>
      <c r="U958" s="63">
        <f>IF(S958&gt;0,1,"")</f>
        <v/>
      </c>
    </row>
    <row r="959">
      <c r="A959" s="35" t="n">
        <v>38603</v>
      </c>
      <c r="B959" s="4" t="n">
        <v>0.4231</v>
      </c>
      <c r="C959" s="4" t="n">
        <v>0.25</v>
      </c>
      <c r="D959" s="4" t="n">
        <v>0.3269</v>
      </c>
      <c r="E959" s="63" t="n">
        <v>1</v>
      </c>
      <c r="F959" s="63" t="n">
        <v>0.4072125</v>
      </c>
      <c r="G959" s="63" t="n">
        <v>0.09619999999999999</v>
      </c>
      <c r="H959" s="63" t="n">
        <v>0.384907436629</v>
      </c>
      <c r="I959" s="63" t="n">
        <v>0.48829287048</v>
      </c>
      <c r="J959" s="63" t="n">
        <v>0.281522002778</v>
      </c>
      <c r="K959" s="63" t="n">
        <v>1237.06</v>
      </c>
      <c r="L959" s="63" t="n">
        <v>1218.02</v>
      </c>
      <c r="M959" s="63" t="n">
        <v>1236.36</v>
      </c>
      <c r="N959" s="54">
        <f>(M960-M959)/M959</f>
        <v/>
      </c>
      <c r="O959" s="54">
        <f>(M963-M959)/M959</f>
        <v/>
      </c>
      <c r="P959" s="4">
        <f>B959-D959</f>
        <v/>
      </c>
      <c r="Q959" s="4">
        <f>AVERAGE(P956:P959)</f>
        <v/>
      </c>
      <c r="R959" s="54">
        <f>(M960-M959)/M959</f>
        <v/>
      </c>
      <c r="S959" s="54">
        <f>(M963-M959)/M959</f>
        <v/>
      </c>
      <c r="T959" s="63">
        <f>IF(R959&gt;0,1,"")</f>
        <v/>
      </c>
      <c r="U959" s="63">
        <f>IF(S959&gt;0,1,"")</f>
        <v/>
      </c>
    </row>
    <row r="960">
      <c r="A960" s="35" t="n">
        <v>38610</v>
      </c>
      <c r="B960" s="4" t="n">
        <v>0.5143</v>
      </c>
      <c r="C960" s="4" t="n">
        <v>0.2</v>
      </c>
      <c r="D960" s="4" t="n">
        <v>0.2857</v>
      </c>
      <c r="E960" s="63" t="n">
        <v>1</v>
      </c>
      <c r="F960" s="63" t="n">
        <v>0.420025</v>
      </c>
      <c r="G960" s="63" t="n">
        <v>0.2286</v>
      </c>
      <c r="H960" s="63" t="n">
        <v>0.384907436629</v>
      </c>
      <c r="I960" s="63" t="n">
        <v>0.48829287048</v>
      </c>
      <c r="J960" s="63" t="n">
        <v>0.281522002778</v>
      </c>
      <c r="K960" s="63" t="n">
        <v>1242.6</v>
      </c>
      <c r="L960" s="63" t="n">
        <v>1226.16</v>
      </c>
      <c r="M960" s="63" t="n">
        <v>1227.16</v>
      </c>
      <c r="N960" s="54">
        <f>(M961-M960)/M960</f>
        <v/>
      </c>
      <c r="O960" s="54">
        <f>(M964-M960)/M960</f>
        <v/>
      </c>
      <c r="P960" s="4">
        <f>B960-D960</f>
        <v/>
      </c>
      <c r="Q960" s="4">
        <f>AVERAGE(P957:P960)</f>
        <v/>
      </c>
      <c r="R960" s="54">
        <f>(M961-M960)/M960</f>
        <v/>
      </c>
      <c r="S960" s="54">
        <f>(M964-M960)/M960</f>
        <v/>
      </c>
      <c r="T960" s="63">
        <f>IF(R960&gt;0,1,"")</f>
        <v/>
      </c>
      <c r="U960" s="63">
        <f>IF(S960&gt;0,1,"")</f>
        <v/>
      </c>
    </row>
    <row r="961">
      <c r="A961" s="35" t="n">
        <v>38617</v>
      </c>
      <c r="B961" s="4" t="n">
        <v>0.3947</v>
      </c>
      <c r="C961" s="4" t="n">
        <v>0.2807</v>
      </c>
      <c r="D961" s="4" t="n">
        <v>0.3246</v>
      </c>
      <c r="E961" s="63" t="n">
        <v>1</v>
      </c>
      <c r="F961" s="63" t="n">
        <v>0.3974625</v>
      </c>
      <c r="G961" s="63" t="n">
        <v>0.0701</v>
      </c>
      <c r="H961" s="63" t="n">
        <v>0.384907436629</v>
      </c>
      <c r="I961" s="63" t="n">
        <v>0.48829287048</v>
      </c>
      <c r="J961" s="63" t="n">
        <v>0.281522002778</v>
      </c>
      <c r="K961" s="63" t="n">
        <v>1237.91</v>
      </c>
      <c r="L961" s="63" t="n">
        <v>1209.89</v>
      </c>
      <c r="M961" s="63" t="n">
        <v>1210.2</v>
      </c>
      <c r="N961" s="54">
        <f>(M962-M961)/M961</f>
        <v/>
      </c>
      <c r="O961" s="54">
        <f>(M965-M961)/M961</f>
        <v/>
      </c>
      <c r="P961" s="4">
        <f>B961-D961</f>
        <v/>
      </c>
      <c r="Q961" s="4">
        <f>AVERAGE(P958:P961)</f>
        <v/>
      </c>
      <c r="R961" s="54">
        <f>(M962-M961)/M961</f>
        <v/>
      </c>
      <c r="S961" s="54">
        <f>(M965-M961)/M961</f>
        <v/>
      </c>
      <c r="T961" s="63">
        <f>IF(R961&gt;0,1,"")</f>
        <v/>
      </c>
      <c r="U961" s="63">
        <f>IF(S961&gt;0,1,"")</f>
        <v/>
      </c>
    </row>
    <row r="962">
      <c r="A962" s="35" t="n">
        <v>38624</v>
      </c>
      <c r="B962" s="4" t="n">
        <v>0.3188</v>
      </c>
      <c r="C962" s="4" t="n">
        <v>0.2899</v>
      </c>
      <c r="D962" s="4" t="n">
        <v>0.3913</v>
      </c>
      <c r="E962" s="63" t="n">
        <v>1</v>
      </c>
      <c r="F962" s="63" t="n">
        <v>0.377525</v>
      </c>
      <c r="G962" s="63" t="n">
        <v>-0.0725</v>
      </c>
      <c r="H962" s="63" t="n">
        <v>0.384907436629</v>
      </c>
      <c r="I962" s="63" t="n">
        <v>0.48829287048</v>
      </c>
      <c r="J962" s="63" t="n">
        <v>0.281522002778</v>
      </c>
      <c r="K962" s="63" t="n">
        <v>1222.56</v>
      </c>
      <c r="L962" s="63" t="n">
        <v>1211.11</v>
      </c>
      <c r="M962" s="63" t="n">
        <v>1216.89</v>
      </c>
      <c r="N962" s="54">
        <f>(M963-M962)/M962</f>
        <v/>
      </c>
      <c r="O962" s="54">
        <f>(M966-M962)/M962</f>
        <v/>
      </c>
      <c r="P962" s="4">
        <f>B962-D962</f>
        <v/>
      </c>
      <c r="Q962" s="4">
        <f>AVERAGE(P959:P962)</f>
        <v/>
      </c>
      <c r="R962" s="54">
        <f>(M963-M962)/M962</f>
        <v/>
      </c>
      <c r="S962" s="54">
        <f>(M966-M962)/M962</f>
        <v/>
      </c>
      <c r="T962" s="63">
        <f>IF(R962&gt;0,1,"")</f>
        <v/>
      </c>
      <c r="U962" s="63">
        <f>IF(S962&gt;0,1,"")</f>
        <v/>
      </c>
    </row>
    <row r="963">
      <c r="A963" s="35" t="n">
        <v>38631</v>
      </c>
      <c r="B963" s="4" t="n">
        <v>0.5</v>
      </c>
      <c r="C963" s="4" t="n">
        <v>0.2258</v>
      </c>
      <c r="D963" s="4" t="n">
        <v>0.2742</v>
      </c>
      <c r="E963" s="63" t="n">
        <v>1</v>
      </c>
      <c r="F963" s="63" t="n">
        <v>0.39035</v>
      </c>
      <c r="G963" s="63" t="n">
        <v>0.2258</v>
      </c>
      <c r="H963" s="63" t="n">
        <v>0.384907436629</v>
      </c>
      <c r="I963" s="63" t="n">
        <v>0.48829287048</v>
      </c>
      <c r="J963" s="63" t="n">
        <v>0.281522002778</v>
      </c>
      <c r="K963" s="63" t="n">
        <v>1233.34</v>
      </c>
      <c r="L963" s="63" t="n">
        <v>1196.25</v>
      </c>
      <c r="M963" s="63" t="n">
        <v>1196.39</v>
      </c>
      <c r="N963" s="54">
        <f>(M964-M963)/M963</f>
        <v/>
      </c>
      <c r="O963" s="54">
        <f>(M967-M963)/M963</f>
        <v/>
      </c>
      <c r="P963" s="4">
        <f>B963-D963</f>
        <v/>
      </c>
      <c r="Q963" s="4">
        <f>AVERAGE(P960:P963)</f>
        <v/>
      </c>
      <c r="R963" s="54">
        <f>(M964-M963)/M963</f>
        <v/>
      </c>
      <c r="S963" s="54">
        <f>(M967-M963)/M963</f>
        <v/>
      </c>
      <c r="T963" s="63">
        <f>IF(R963&gt;0,1,"")</f>
        <v/>
      </c>
      <c r="U963" s="63">
        <f>IF(S963&gt;0,1,"")</f>
        <v/>
      </c>
    </row>
    <row r="964">
      <c r="A964" s="35" t="n">
        <v>38638</v>
      </c>
      <c r="B964" s="4" t="n">
        <v>0.3896</v>
      </c>
      <c r="C964" s="4" t="n">
        <v>0.1299</v>
      </c>
      <c r="D964" s="4" t="n">
        <v>0.4805</v>
      </c>
      <c r="E964" s="63" t="n">
        <v>1</v>
      </c>
      <c r="F964" s="63" t="n">
        <v>0.4024375</v>
      </c>
      <c r="G964" s="63" t="n">
        <v>-0.09089999999999999</v>
      </c>
      <c r="H964" s="63" t="n">
        <v>0.384907436629</v>
      </c>
      <c r="I964" s="63" t="n">
        <v>0.48829287048</v>
      </c>
      <c r="J964" s="63" t="n">
        <v>0.281522002778</v>
      </c>
      <c r="K964" s="63" t="n">
        <v>1196.52</v>
      </c>
      <c r="L964" s="63" t="n">
        <v>1173.65</v>
      </c>
      <c r="M964" s="63" t="n">
        <v>1177.68</v>
      </c>
      <c r="N964" s="54">
        <f>(M965-M964)/M964</f>
        <v/>
      </c>
      <c r="O964" s="54">
        <f>(M968-M964)/M964</f>
        <v/>
      </c>
      <c r="P964" s="4">
        <f>B964-D964</f>
        <v/>
      </c>
      <c r="Q964" s="4">
        <f>AVERAGE(P961:P964)</f>
        <v/>
      </c>
      <c r="R964" s="54">
        <f>(M965-M964)/M964</f>
        <v/>
      </c>
      <c r="S964" s="54">
        <f>(M968-M964)/M964</f>
        <v/>
      </c>
      <c r="T964" s="63">
        <f>IF(R964&gt;0,1,"")</f>
        <v/>
      </c>
      <c r="U964" s="63">
        <f>IF(S964&gt;0,1,"")</f>
        <v/>
      </c>
    </row>
    <row r="965">
      <c r="A965" s="35" t="n">
        <v>38645</v>
      </c>
      <c r="B965" s="4" t="n">
        <v>0.4311</v>
      </c>
      <c r="C965" s="4" t="n">
        <v>0.2096</v>
      </c>
      <c r="D965" s="4" t="n">
        <v>0.3593</v>
      </c>
      <c r="E965" s="63" t="n">
        <v>1</v>
      </c>
      <c r="F965" s="63" t="n">
        <v>0.41115</v>
      </c>
      <c r="G965" s="63" t="n">
        <v>0.0718</v>
      </c>
      <c r="H965" s="63" t="n">
        <v>0.384907436629</v>
      </c>
      <c r="I965" s="63" t="n">
        <v>0.48829287048</v>
      </c>
      <c r="J965" s="63" t="n">
        <v>0.281522002778</v>
      </c>
      <c r="K965" s="63" t="n">
        <v>1195.76</v>
      </c>
      <c r="L965" s="63" t="n">
        <v>1170.55</v>
      </c>
      <c r="M965" s="63" t="n">
        <v>1195.76</v>
      </c>
      <c r="N965" s="54">
        <f>(M966-M965)/M965</f>
        <v/>
      </c>
      <c r="O965" s="54">
        <f>(M969-M965)/M965</f>
        <v/>
      </c>
      <c r="P965" s="4">
        <f>B965-D965</f>
        <v/>
      </c>
      <c r="Q965" s="4">
        <f>AVERAGE(P962:P965)</f>
        <v/>
      </c>
      <c r="R965" s="54">
        <f>(M966-M965)/M965</f>
        <v/>
      </c>
      <c r="S965" s="54">
        <f>(M969-M965)/M965</f>
        <v/>
      </c>
      <c r="T965" s="63">
        <f>IF(R965&gt;0,1,"")</f>
        <v/>
      </c>
      <c r="U965" s="63">
        <f>IF(S965&gt;0,1,"")</f>
        <v/>
      </c>
    </row>
    <row r="966">
      <c r="A966" s="35" t="n">
        <v>38652</v>
      </c>
      <c r="B966" s="4" t="n">
        <v>0.3205</v>
      </c>
      <c r="C966" s="4" t="n">
        <v>0.2179</v>
      </c>
      <c r="D966" s="4" t="n">
        <v>0.4615</v>
      </c>
      <c r="E966" s="63" t="n">
        <v>0.9999</v>
      </c>
      <c r="F966" s="63" t="n">
        <v>0.4115125</v>
      </c>
      <c r="G966" s="63" t="n">
        <v>-0.141</v>
      </c>
      <c r="H966" s="63" t="n">
        <v>0.384907436629</v>
      </c>
      <c r="I966" s="63" t="n">
        <v>0.48829287048</v>
      </c>
      <c r="J966" s="63" t="n">
        <v>0.281522002778</v>
      </c>
      <c r="K966" s="63" t="n">
        <v>1204.01</v>
      </c>
      <c r="L966" s="63" t="n">
        <v>1179.59</v>
      </c>
      <c r="M966" s="63" t="n">
        <v>1191.38</v>
      </c>
      <c r="N966" s="54">
        <f>(M967-M966)/M966</f>
        <v/>
      </c>
      <c r="O966" s="54">
        <f>(M970-M966)/M966</f>
        <v/>
      </c>
      <c r="P966" s="4">
        <f>B966-D966</f>
        <v/>
      </c>
      <c r="Q966" s="4">
        <f>AVERAGE(P963:P966)</f>
        <v/>
      </c>
      <c r="R966" s="54">
        <f>(M967-M966)/M966</f>
        <v/>
      </c>
      <c r="S966" s="54">
        <f>(M970-M966)/M966</f>
        <v/>
      </c>
      <c r="T966" s="63">
        <f>IF(R966&gt;0,1,"")</f>
        <v/>
      </c>
      <c r="U966" s="63">
        <f>IF(S966&gt;0,1,"")</f>
        <v/>
      </c>
    </row>
    <row r="967">
      <c r="A967" s="35" t="n">
        <v>38659</v>
      </c>
      <c r="B967" s="4" t="n">
        <v>0.4295</v>
      </c>
      <c r="C967" s="4" t="n">
        <v>0.2949</v>
      </c>
      <c r="D967" s="4" t="n">
        <v>0.2756</v>
      </c>
      <c r="E967" s="63" t="n">
        <v>1</v>
      </c>
      <c r="F967" s="63" t="n">
        <v>0.4123125</v>
      </c>
      <c r="G967" s="63" t="n">
        <v>0.1539</v>
      </c>
      <c r="H967" s="63" t="n">
        <v>0.384907436629</v>
      </c>
      <c r="I967" s="63" t="n">
        <v>0.48829287048</v>
      </c>
      <c r="J967" s="63" t="n">
        <v>0.281522002778</v>
      </c>
      <c r="K967" s="63" t="n">
        <v>1215.17</v>
      </c>
      <c r="L967" s="63" t="n">
        <v>1198.41</v>
      </c>
      <c r="M967" s="63" t="n">
        <v>1214.76</v>
      </c>
      <c r="N967" s="54">
        <f>(M968-M967)/M967</f>
        <v/>
      </c>
      <c r="O967" s="54">
        <f>(M971-M967)/M967</f>
        <v/>
      </c>
      <c r="P967" s="4">
        <f>B967-D967</f>
        <v/>
      </c>
      <c r="Q967" s="4">
        <f>AVERAGE(P964:P967)</f>
        <v/>
      </c>
      <c r="R967" s="54">
        <f>(M968-M967)/M967</f>
        <v/>
      </c>
      <c r="S967" s="54">
        <f>(M971-M967)/M967</f>
        <v/>
      </c>
      <c r="T967" s="63">
        <f>IF(R967&gt;0,1,"")</f>
        <v/>
      </c>
      <c r="U967" s="63">
        <f>IF(S967&gt;0,1,"")</f>
        <v/>
      </c>
    </row>
    <row r="968">
      <c r="A968" s="35" t="n">
        <v>38666</v>
      </c>
      <c r="B968" s="4" t="n">
        <v>0.5862000000000001</v>
      </c>
      <c r="C968" s="4" t="n">
        <v>0.1839</v>
      </c>
      <c r="D968" s="4" t="n">
        <v>0.2299</v>
      </c>
      <c r="E968" s="63" t="n">
        <v>1</v>
      </c>
      <c r="F968" s="63" t="n">
        <v>0.4213</v>
      </c>
      <c r="G968" s="63" t="n">
        <v>0.3563</v>
      </c>
      <c r="H968" s="63" t="n">
        <v>0.384907436629</v>
      </c>
      <c r="I968" s="63" t="n">
        <v>0.48829287048</v>
      </c>
      <c r="J968" s="63" t="n">
        <v>0.281522002778</v>
      </c>
      <c r="K968" s="63" t="n">
        <v>1226.59</v>
      </c>
      <c r="L968" s="63" t="n">
        <v>1216.08</v>
      </c>
      <c r="M968" s="63" t="n">
        <v>1220.65</v>
      </c>
      <c r="N968" s="54">
        <f>(M969-M968)/M968</f>
        <v/>
      </c>
      <c r="O968" s="54">
        <f>(M972-M968)/M968</f>
        <v/>
      </c>
      <c r="P968" s="4">
        <f>B968-D968</f>
        <v/>
      </c>
      <c r="Q968" s="4">
        <f>AVERAGE(P965:P968)</f>
        <v/>
      </c>
      <c r="R968" s="54">
        <f>(M969-M968)/M968</f>
        <v/>
      </c>
      <c r="S968" s="54">
        <f>(M972-M968)/M968</f>
        <v/>
      </c>
      <c r="T968" s="63">
        <f>IF(R968&gt;0,1,"")</f>
        <v/>
      </c>
      <c r="U968" s="63">
        <f>IF(S968&gt;0,1,"")</f>
        <v/>
      </c>
    </row>
    <row r="969">
      <c r="A969" s="35" t="n">
        <v>38673</v>
      </c>
      <c r="B969" s="4" t="n">
        <v>0.5363</v>
      </c>
      <c r="C969" s="4" t="n">
        <v>0.2458</v>
      </c>
      <c r="D969" s="4" t="n">
        <v>0.2179</v>
      </c>
      <c r="E969" s="63" t="n">
        <v>1</v>
      </c>
      <c r="F969" s="63" t="n">
        <v>0.439</v>
      </c>
      <c r="G969" s="63" t="n">
        <v>0.3184</v>
      </c>
      <c r="H969" s="63" t="n">
        <v>0.384907436629</v>
      </c>
      <c r="I969" s="63" t="n">
        <v>0.48829287048</v>
      </c>
      <c r="J969" s="63" t="n">
        <v>0.281522002778</v>
      </c>
      <c r="K969" s="63" t="n">
        <v>1235.7</v>
      </c>
      <c r="L969" s="63" t="n">
        <v>1215.05</v>
      </c>
      <c r="M969" s="63" t="n">
        <v>1234.72</v>
      </c>
      <c r="N969" s="54">
        <f>(M970-M969)/M969</f>
        <v/>
      </c>
      <c r="O969" s="54">
        <f>(M973-M969)/M969</f>
        <v/>
      </c>
      <c r="P969" s="4">
        <f>B969-D969</f>
        <v/>
      </c>
      <c r="Q969" s="4">
        <f>AVERAGE(P966:P969)</f>
        <v/>
      </c>
      <c r="R969" s="54">
        <f>(M970-M969)/M969</f>
        <v/>
      </c>
      <c r="S969" s="54">
        <f>(M973-M969)/M969</f>
        <v/>
      </c>
      <c r="T969" s="63">
        <f>IF(R969&gt;0,1,"")</f>
        <v/>
      </c>
      <c r="U969" s="63">
        <f>IF(S969&gt;0,1,"")</f>
        <v/>
      </c>
    </row>
    <row r="970">
      <c r="A970" s="35" t="n">
        <v>38680</v>
      </c>
      <c r="B970" s="4" t="n">
        <v>0.5733</v>
      </c>
      <c r="C970" s="4" t="n">
        <v>0.2667</v>
      </c>
      <c r="D970" s="4" t="n">
        <v>0.16</v>
      </c>
      <c r="E970" s="63" t="n">
        <v>1</v>
      </c>
      <c r="F970" s="63" t="n">
        <v>0.4708125</v>
      </c>
      <c r="G970" s="63" t="n">
        <v>0.4133</v>
      </c>
      <c r="H970" s="63" t="n">
        <v>0.384907436629</v>
      </c>
      <c r="I970" s="63" t="n">
        <v>0.48829287048</v>
      </c>
      <c r="J970" s="63" t="n">
        <v>0.281522002778</v>
      </c>
      <c r="K970" s="63" t="n">
        <v>1270.64</v>
      </c>
      <c r="L970" s="63" t="n">
        <v>1259.51</v>
      </c>
      <c r="M970" s="63" t="n">
        <v>1265.61</v>
      </c>
      <c r="N970" s="54">
        <f>(M971-M970)/M970</f>
        <v/>
      </c>
      <c r="O970" s="54">
        <f>(M974-M970)/M970</f>
        <v/>
      </c>
      <c r="P970" s="4">
        <f>B970-D970</f>
        <v/>
      </c>
      <c r="Q970" s="4">
        <f>AVERAGE(P967:P970)</f>
        <v/>
      </c>
      <c r="R970" s="54">
        <f>(M971-M970)/M970</f>
        <v/>
      </c>
      <c r="S970" s="54">
        <f>(M974-M970)/M970</f>
        <v/>
      </c>
      <c r="T970" s="63">
        <f>IF(R970&gt;0,1,"")</f>
        <v/>
      </c>
      <c r="U970" s="63">
        <f>IF(S970&gt;0,1,"")</f>
        <v/>
      </c>
    </row>
    <row r="971">
      <c r="A971" s="35" t="n">
        <v>38687</v>
      </c>
      <c r="B971" s="4" t="n">
        <v>0.5247000000000001</v>
      </c>
      <c r="C971" s="4" t="n">
        <v>0.2407</v>
      </c>
      <c r="D971" s="4" t="n">
        <v>0.2346</v>
      </c>
      <c r="E971" s="63" t="n">
        <v>1</v>
      </c>
      <c r="F971" s="63" t="n">
        <v>0.4739</v>
      </c>
      <c r="G971" s="63" t="n">
        <v>0.2901</v>
      </c>
      <c r="H971" s="63" t="n">
        <v>0.384907436629</v>
      </c>
      <c r="I971" s="63" t="n">
        <v>0.48829287048</v>
      </c>
      <c r="J971" s="63" t="n">
        <v>0.281522002778</v>
      </c>
      <c r="K971" s="63" t="n">
        <v>1268.44</v>
      </c>
      <c r="L971" s="63" t="n">
        <v>1249.39</v>
      </c>
      <c r="M971" s="63" t="n">
        <v>1249.48</v>
      </c>
      <c r="N971" s="54">
        <f>(M972-M971)/M971</f>
        <v/>
      </c>
      <c r="O971" s="54">
        <f>(M975-M971)/M971</f>
        <v/>
      </c>
      <c r="P971" s="4">
        <f>B971-D971</f>
        <v/>
      </c>
      <c r="Q971" s="4">
        <f>AVERAGE(P968:P971)</f>
        <v/>
      </c>
      <c r="R971" s="54">
        <f>(M972-M971)/M971</f>
        <v/>
      </c>
      <c r="S971" s="54">
        <f>(M975-M971)/M971</f>
        <v/>
      </c>
      <c r="T971" s="63">
        <f>IF(R971&gt;0,1,"")</f>
        <v/>
      </c>
      <c r="U971" s="63">
        <f>IF(S971&gt;0,1,"")</f>
        <v/>
      </c>
    </row>
    <row r="972">
      <c r="A972" s="35" t="n">
        <v>38694</v>
      </c>
      <c r="B972" s="4" t="n">
        <v>0.4947</v>
      </c>
      <c r="C972" s="4" t="n">
        <v>0.3158</v>
      </c>
      <c r="D972" s="4" t="n">
        <v>0.1895</v>
      </c>
      <c r="E972" s="63" t="n">
        <v>1</v>
      </c>
      <c r="F972" s="63" t="n">
        <v>0.4870375</v>
      </c>
      <c r="G972" s="63" t="n">
        <v>0.3052</v>
      </c>
      <c r="H972" s="63" t="n">
        <v>0.384907436629</v>
      </c>
      <c r="I972" s="63" t="n">
        <v>0.48829287048</v>
      </c>
      <c r="J972" s="63" t="n">
        <v>0.281522002778</v>
      </c>
      <c r="K972" s="63" t="n">
        <v>1272.89</v>
      </c>
      <c r="L972" s="63" t="n">
        <v>1253.02</v>
      </c>
      <c r="M972" s="63" t="n">
        <v>1257.37</v>
      </c>
      <c r="N972" s="54">
        <f>(M973-M972)/M972</f>
        <v/>
      </c>
      <c r="O972" s="54">
        <f>(M976-M972)/M972</f>
        <v/>
      </c>
      <c r="P972" s="4">
        <f>B972-D972</f>
        <v/>
      </c>
      <c r="Q972" s="4">
        <f>AVERAGE(P969:P972)</f>
        <v/>
      </c>
      <c r="R972" s="54">
        <f>(M973-M972)/M972</f>
        <v/>
      </c>
      <c r="S972" s="54">
        <f>(M976-M972)/M972</f>
        <v/>
      </c>
      <c r="T972" s="63">
        <f>IF(R972&gt;0,1,"")</f>
        <v/>
      </c>
      <c r="U972" s="63">
        <f>IF(S972&gt;0,1,"")</f>
        <v/>
      </c>
    </row>
    <row r="973">
      <c r="A973" s="35" t="n">
        <v>38701</v>
      </c>
      <c r="B973" s="4" t="n">
        <v>0.4615</v>
      </c>
      <c r="C973" s="4" t="n">
        <v>0.3173</v>
      </c>
      <c r="D973" s="4" t="n">
        <v>0.2212</v>
      </c>
      <c r="E973" s="63" t="n">
        <v>1</v>
      </c>
      <c r="F973" s="63" t="n">
        <v>0.4908375</v>
      </c>
      <c r="G973" s="63" t="n">
        <v>0.2403</v>
      </c>
      <c r="H973" s="63" t="n">
        <v>0.384907436629</v>
      </c>
      <c r="I973" s="63" t="n">
        <v>0.48829287048</v>
      </c>
      <c r="J973" s="63" t="n">
        <v>0.281522002778</v>
      </c>
      <c r="K973" s="63" t="n">
        <v>1272.11</v>
      </c>
      <c r="L973" s="63" t="n">
        <v>1255.52</v>
      </c>
      <c r="M973" s="63" t="n">
        <v>1267.43</v>
      </c>
      <c r="N973" s="54">
        <f>(M974-M973)/M973</f>
        <v/>
      </c>
      <c r="O973" s="54">
        <f>(M977-M973)/M973</f>
        <v/>
      </c>
      <c r="P973" s="4">
        <f>B973-D973</f>
        <v/>
      </c>
      <c r="Q973" s="4">
        <f>AVERAGE(P970:P973)</f>
        <v/>
      </c>
      <c r="R973" s="54">
        <f>(M974-M973)/M973</f>
        <v/>
      </c>
      <c r="S973" s="54">
        <f>(M977-M973)/M973</f>
        <v/>
      </c>
      <c r="T973" s="63">
        <f>IF(R973&gt;0,1,"")</f>
        <v/>
      </c>
      <c r="U973" s="63">
        <f>IF(S973&gt;0,1,"")</f>
        <v/>
      </c>
    </row>
    <row r="974">
      <c r="A974" s="35" t="n">
        <v>38708</v>
      </c>
      <c r="B974" s="4" t="n">
        <v>0.4103</v>
      </c>
      <c r="C974" s="4" t="n">
        <v>0.3077</v>
      </c>
      <c r="D974" s="4" t="n">
        <v>0.2821</v>
      </c>
      <c r="E974" s="63" t="n">
        <v>1.0001</v>
      </c>
      <c r="F974" s="63" t="n">
        <v>0.5020625</v>
      </c>
      <c r="G974" s="63" t="n">
        <v>0.1282</v>
      </c>
      <c r="H974" s="63" t="n">
        <v>0.384907436629</v>
      </c>
      <c r="I974" s="63" t="n">
        <v>0.48829287048</v>
      </c>
      <c r="J974" s="63" t="n">
        <v>0.281522002778</v>
      </c>
      <c r="K974" s="63" t="n">
        <v>1270.51</v>
      </c>
      <c r="L974" s="63" t="n">
        <v>1257.21</v>
      </c>
      <c r="M974" s="63" t="n">
        <v>1268.66</v>
      </c>
      <c r="N974" s="54">
        <f>(M975-M974)/M974</f>
        <v/>
      </c>
      <c r="O974" s="54">
        <f>(M978-M974)/M974</f>
        <v/>
      </c>
      <c r="P974" s="4">
        <f>B974-D974</f>
        <v/>
      </c>
      <c r="Q974" s="4">
        <f>AVERAGE(P971:P974)</f>
        <v/>
      </c>
      <c r="R974" s="54">
        <f>(M975-M974)/M974</f>
        <v/>
      </c>
      <c r="S974" s="54">
        <f>(M978-M974)/M974</f>
        <v/>
      </c>
      <c r="T974" s="63">
        <f>IF(R974&gt;0,1,"")</f>
        <v/>
      </c>
      <c r="U974" s="63">
        <f>IF(S974&gt;0,1,"")</f>
        <v/>
      </c>
    </row>
    <row r="975">
      <c r="A975" s="35" t="n">
        <v>38715</v>
      </c>
      <c r="B975" s="4" t="n">
        <v>0.373</v>
      </c>
      <c r="C975" s="4" t="n">
        <v>0.2619</v>
      </c>
      <c r="D975" s="4" t="n">
        <v>0.3651</v>
      </c>
      <c r="E975" s="63" t="n">
        <v>1</v>
      </c>
      <c r="F975" s="63" t="n">
        <v>0.495</v>
      </c>
      <c r="G975" s="63" t="n">
        <v>0.007900000000000001</v>
      </c>
      <c r="H975" s="63" t="n">
        <v>0.384907436629</v>
      </c>
      <c r="I975" s="63" t="n">
        <v>0.48829287048</v>
      </c>
      <c r="J975" s="63" t="n">
        <v>0.281522002778</v>
      </c>
      <c r="K975" s="63" t="n">
        <v>1271.83</v>
      </c>
      <c r="L975" s="63" t="n">
        <v>1256.54</v>
      </c>
      <c r="M975" s="63" t="n">
        <v>1258.17</v>
      </c>
      <c r="N975" s="54">
        <f>(M976-M975)/M975</f>
        <v/>
      </c>
      <c r="O975" s="54">
        <f>(M979-M975)/M975</f>
        <v/>
      </c>
      <c r="P975" s="4">
        <f>B975-D975</f>
        <v/>
      </c>
      <c r="Q975" s="4">
        <f>AVERAGE(P972:P975)</f>
        <v/>
      </c>
      <c r="R975" s="54">
        <f>(M976-M975)/M975</f>
        <v/>
      </c>
      <c r="S975" s="54">
        <f>(M979-M975)/M975</f>
        <v/>
      </c>
      <c r="T975" s="63">
        <f>IF(R975&gt;0,1,"")</f>
        <v/>
      </c>
      <c r="U975" s="63">
        <f>IF(S975&gt;0,1,"")</f>
        <v/>
      </c>
    </row>
    <row r="976">
      <c r="A976" s="35" t="n">
        <v>38722</v>
      </c>
      <c r="B976" s="4" t="n">
        <v>0.2935</v>
      </c>
      <c r="C976" s="4" t="n">
        <v>0.3043</v>
      </c>
      <c r="D976" s="4" t="n">
        <v>0.4022</v>
      </c>
      <c r="E976" s="63" t="n">
        <v>1</v>
      </c>
      <c r="F976" s="63" t="n">
        <v>0.4584125</v>
      </c>
      <c r="G976" s="63" t="n">
        <v>-0.1087</v>
      </c>
      <c r="H976" s="63" t="n">
        <v>0.384907436629</v>
      </c>
      <c r="I976" s="63" t="n">
        <v>0.48829287048</v>
      </c>
      <c r="J976" s="63" t="n">
        <v>0.281522002778</v>
      </c>
      <c r="K976" s="63" t="n">
        <v>1275.37</v>
      </c>
      <c r="L976" s="63" t="n">
        <v>1245.74</v>
      </c>
      <c r="M976" s="63" t="n">
        <v>1273.46</v>
      </c>
      <c r="N976" s="54">
        <f>(M977-M976)/M976</f>
        <v/>
      </c>
      <c r="O976" s="54">
        <f>(M980-M976)/M976</f>
        <v/>
      </c>
      <c r="P976" s="4">
        <f>B976-D976</f>
        <v/>
      </c>
      <c r="Q976" s="4">
        <f>AVERAGE(P973:P976)</f>
        <v/>
      </c>
      <c r="R976" s="54">
        <f>(M977-M976)/M976</f>
        <v/>
      </c>
      <c r="S976" s="54">
        <f>(M980-M976)/M976</f>
        <v/>
      </c>
      <c r="T976" s="63">
        <f>IF(R976&gt;0,1,"")</f>
        <v/>
      </c>
      <c r="U976" s="63">
        <f>IF(S976&gt;0,1,"")</f>
        <v/>
      </c>
    </row>
    <row r="977">
      <c r="A977" s="35" t="n">
        <v>38729</v>
      </c>
      <c r="B977" s="4" t="n">
        <v>0.5896</v>
      </c>
      <c r="C977" s="4" t="n">
        <v>0.2197</v>
      </c>
      <c r="D977" s="4" t="n">
        <v>0.1908</v>
      </c>
      <c r="E977" s="63" t="n">
        <v>1.0001</v>
      </c>
      <c r="F977" s="63" t="n">
        <v>0.465075</v>
      </c>
      <c r="G977" s="63" t="n">
        <v>0.3988</v>
      </c>
      <c r="H977" s="63" t="n">
        <v>0.384907436629</v>
      </c>
      <c r="I977" s="63" t="n">
        <v>0.48829287048</v>
      </c>
      <c r="J977" s="63" t="n">
        <v>0.281522002778</v>
      </c>
      <c r="K977" s="63" t="n">
        <v>1294.9</v>
      </c>
      <c r="L977" s="63" t="n">
        <v>1283.76</v>
      </c>
      <c r="M977" s="63" t="n">
        <v>1294.18</v>
      </c>
      <c r="N977" s="54">
        <f>(M978-M977)/M977</f>
        <v/>
      </c>
      <c r="O977" s="54">
        <f>(M981-M977)/M977</f>
        <v/>
      </c>
      <c r="P977" s="4">
        <f>B977-D977</f>
        <v/>
      </c>
      <c r="Q977" s="4">
        <f>AVERAGE(P974:P977)</f>
        <v/>
      </c>
      <c r="R977" s="54">
        <f>(M978-M977)/M977</f>
        <v/>
      </c>
      <c r="S977" s="54">
        <f>(M981-M977)/M977</f>
        <v/>
      </c>
      <c r="T977" s="63">
        <f>IF(R977&gt;0,1,"")</f>
        <v/>
      </c>
      <c r="U977" s="63">
        <f>IF(S977&gt;0,1,"")</f>
        <v/>
      </c>
    </row>
    <row r="978">
      <c r="A978" s="35" t="n">
        <v>38736</v>
      </c>
      <c r="B978" s="4" t="n">
        <v>0.5</v>
      </c>
      <c r="C978" s="4" t="n">
        <v>0.2417</v>
      </c>
      <c r="D978" s="4" t="n">
        <v>0.2583</v>
      </c>
      <c r="E978" s="63" t="n">
        <v>1</v>
      </c>
      <c r="F978" s="63" t="n">
        <v>0.4559125</v>
      </c>
      <c r="G978" s="63" t="n">
        <v>0.2417</v>
      </c>
      <c r="H978" s="63" t="n">
        <v>0.384907436629</v>
      </c>
      <c r="I978" s="63" t="n">
        <v>0.48829287048</v>
      </c>
      <c r="J978" s="63" t="n">
        <v>0.281522002778</v>
      </c>
      <c r="K978" s="63" t="n">
        <v>1287.61</v>
      </c>
      <c r="L978" s="63" t="n">
        <v>1272.08</v>
      </c>
      <c r="M978" s="63" t="n">
        <v>1277.93</v>
      </c>
      <c r="N978" s="54">
        <f>(M979-M978)/M978</f>
        <v/>
      </c>
      <c r="O978" s="54">
        <f>(M982-M978)/M978</f>
        <v/>
      </c>
      <c r="P978" s="4">
        <f>B978-D978</f>
        <v/>
      </c>
      <c r="Q978" s="4">
        <f>AVERAGE(P975:P978)</f>
        <v/>
      </c>
      <c r="R978" s="54">
        <f>(M979-M978)/M978</f>
        <v/>
      </c>
      <c r="S978" s="54">
        <f>(M982-M978)/M978</f>
        <v/>
      </c>
      <c r="T978" s="63">
        <f>IF(R978&gt;0,1,"")</f>
        <v/>
      </c>
      <c r="U978" s="63">
        <f>IF(S978&gt;0,1,"")</f>
        <v/>
      </c>
    </row>
    <row r="979">
      <c r="A979" s="35" t="n">
        <v>38743</v>
      </c>
      <c r="B979" s="4" t="n">
        <v>0.3077</v>
      </c>
      <c r="C979" s="4" t="n">
        <v>0.359</v>
      </c>
      <c r="D979" s="4" t="n">
        <v>0.3333</v>
      </c>
      <c r="E979" s="63" t="n">
        <v>1</v>
      </c>
      <c r="F979" s="63" t="n">
        <v>0.4287875</v>
      </c>
      <c r="G979" s="63" t="n">
        <v>-0.0256</v>
      </c>
      <c r="H979" s="63" t="n">
        <v>0.384907436629</v>
      </c>
      <c r="I979" s="63" t="n">
        <v>0.48829287048</v>
      </c>
      <c r="J979" s="63" t="n">
        <v>0.281522002778</v>
      </c>
      <c r="K979" s="63" t="n">
        <v>1286.38</v>
      </c>
      <c r="L979" s="63" t="n">
        <v>1259.42</v>
      </c>
      <c r="M979" s="63" t="n">
        <v>1283.72</v>
      </c>
      <c r="N979" s="54">
        <f>(M980-M979)/M979</f>
        <v/>
      </c>
      <c r="O979" s="54">
        <f>(M983-M979)/M979</f>
        <v/>
      </c>
      <c r="P979" s="4">
        <f>B979-D979</f>
        <v/>
      </c>
      <c r="Q979" s="4">
        <f>AVERAGE(P976:P979)</f>
        <v/>
      </c>
      <c r="R979" s="54">
        <f>(M980-M979)/M979</f>
        <v/>
      </c>
      <c r="S979" s="54">
        <f>(M983-M979)/M979</f>
        <v/>
      </c>
      <c r="T979" s="63">
        <f>IF(R979&gt;0,1,"")</f>
        <v/>
      </c>
      <c r="U979" s="63">
        <f>IF(S979&gt;0,1,"")</f>
        <v/>
      </c>
    </row>
    <row r="980">
      <c r="A980" s="35" t="n">
        <v>38750</v>
      </c>
      <c r="B980" s="4" t="n">
        <v>0.447</v>
      </c>
      <c r="C980" s="4" t="n">
        <v>0.2197</v>
      </c>
      <c r="D980" s="4" t="n">
        <v>0.3333</v>
      </c>
      <c r="E980" s="63" t="n">
        <v>1</v>
      </c>
      <c r="F980" s="63" t="n">
        <v>0.422825</v>
      </c>
      <c r="G980" s="63" t="n">
        <v>0.1137</v>
      </c>
      <c r="H980" s="63" t="n">
        <v>0.384907436629</v>
      </c>
      <c r="I980" s="63" t="n">
        <v>0.48829287048</v>
      </c>
      <c r="J980" s="63" t="n">
        <v>0.281522002778</v>
      </c>
      <c r="K980" s="63" t="n">
        <v>1287.94</v>
      </c>
      <c r="L980" s="63" t="n">
        <v>1276.85</v>
      </c>
      <c r="M980" s="63" t="n">
        <v>1282.46</v>
      </c>
      <c r="N980" s="54">
        <f>(M981-M980)/M980</f>
        <v/>
      </c>
      <c r="O980" s="54">
        <f>(M984-M980)/M980</f>
        <v/>
      </c>
      <c r="P980" s="4">
        <f>B980-D980</f>
        <v/>
      </c>
      <c r="Q980" s="4">
        <f>AVERAGE(P977:P980)</f>
        <v/>
      </c>
      <c r="R980" s="54">
        <f>(M981-M980)/M980</f>
        <v/>
      </c>
      <c r="S980" s="54">
        <f>(M984-M980)/M980</f>
        <v/>
      </c>
      <c r="T980" s="63">
        <f>IF(R980&gt;0,1,"")</f>
        <v/>
      </c>
      <c r="U980" s="63">
        <f>IF(S980&gt;0,1,"")</f>
        <v/>
      </c>
    </row>
    <row r="981">
      <c r="A981" s="35" t="n">
        <v>38757</v>
      </c>
      <c r="B981" s="4" t="n">
        <v>0.4019</v>
      </c>
      <c r="C981" s="4" t="n">
        <v>0.2523</v>
      </c>
      <c r="D981" s="4" t="n">
        <v>0.3458</v>
      </c>
      <c r="E981" s="63" t="n">
        <v>1</v>
      </c>
      <c r="F981" s="63" t="n">
        <v>0.415375</v>
      </c>
      <c r="G981" s="63" t="n">
        <v>0.0561</v>
      </c>
      <c r="H981" s="63" t="n">
        <v>0.384907436629</v>
      </c>
      <c r="I981" s="63" t="n">
        <v>0.48829287048</v>
      </c>
      <c r="J981" s="63" t="n">
        <v>0.281522002778</v>
      </c>
      <c r="K981" s="63" t="n">
        <v>1267.04</v>
      </c>
      <c r="L981" s="63" t="n">
        <v>1253.61</v>
      </c>
      <c r="M981" s="63" t="n">
        <v>1265.65</v>
      </c>
      <c r="N981" s="54">
        <f>(M982-M981)/M981</f>
        <v/>
      </c>
      <c r="O981" s="54">
        <f>(M985-M981)/M981</f>
        <v/>
      </c>
      <c r="P981" s="4">
        <f>B981-D981</f>
        <v/>
      </c>
      <c r="Q981" s="4">
        <f>AVERAGE(P978:P981)</f>
        <v/>
      </c>
      <c r="R981" s="54">
        <f>(M982-M981)/M981</f>
        <v/>
      </c>
      <c r="S981" s="54">
        <f>(M985-M981)/M981</f>
        <v/>
      </c>
      <c r="T981" s="63">
        <f>IF(R981&gt;0,1,"")</f>
        <v/>
      </c>
      <c r="U981" s="63">
        <f>IF(S981&gt;0,1,"")</f>
        <v/>
      </c>
    </row>
    <row r="982">
      <c r="A982" s="35" t="n">
        <v>38764</v>
      </c>
      <c r="B982" s="4" t="n">
        <v>0.4018</v>
      </c>
      <c r="C982" s="4" t="n">
        <v>0.2411</v>
      </c>
      <c r="D982" s="4" t="n">
        <v>0.3571</v>
      </c>
      <c r="E982" s="63" t="n">
        <v>1</v>
      </c>
      <c r="F982" s="63" t="n">
        <v>0.4143125</v>
      </c>
      <c r="G982" s="63" t="n">
        <v>0.0447</v>
      </c>
      <c r="H982" s="63" t="n">
        <v>0.384907436629</v>
      </c>
      <c r="I982" s="63" t="n">
        <v>0.48829287048</v>
      </c>
      <c r="J982" s="63" t="n">
        <v>0.281522002778</v>
      </c>
      <c r="K982" s="63" t="n">
        <v>1281</v>
      </c>
      <c r="L982" s="63" t="n">
        <v>1258.34</v>
      </c>
      <c r="M982" s="63" t="n">
        <v>1280</v>
      </c>
      <c r="N982" s="54">
        <f>(M983-M982)/M982</f>
        <v/>
      </c>
      <c r="O982" s="54">
        <f>(M986-M982)/M982</f>
        <v/>
      </c>
      <c r="P982" s="4">
        <f>B982-D982</f>
        <v/>
      </c>
      <c r="Q982" s="4">
        <f>AVERAGE(P979:P982)</f>
        <v/>
      </c>
      <c r="R982" s="54">
        <f>(M983-M982)/M982</f>
        <v/>
      </c>
      <c r="S982" s="54">
        <f>(M986-M982)/M982</f>
        <v/>
      </c>
      <c r="T982" s="63">
        <f>IF(R982&gt;0,1,"")</f>
        <v/>
      </c>
      <c r="U982" s="63">
        <f>IF(S982&gt;0,1,"")</f>
        <v/>
      </c>
    </row>
    <row r="983">
      <c r="A983" s="35" t="n">
        <v>38771</v>
      </c>
      <c r="B983" s="4" t="n">
        <v>0.4321</v>
      </c>
      <c r="C983" s="4" t="n">
        <v>0.284</v>
      </c>
      <c r="D983" s="4" t="n">
        <v>0.284</v>
      </c>
      <c r="E983" s="63" t="n">
        <v>1.0001</v>
      </c>
      <c r="F983" s="63" t="n">
        <v>0.4217</v>
      </c>
      <c r="G983" s="63" t="n">
        <v>0.1481</v>
      </c>
      <c r="H983" s="63" t="n">
        <v>0.384907436629</v>
      </c>
      <c r="I983" s="63" t="n">
        <v>0.48829287048</v>
      </c>
      <c r="J983" s="63" t="n">
        <v>0.281522002778</v>
      </c>
      <c r="K983" s="63" t="n">
        <v>1294.17</v>
      </c>
      <c r="L983" s="63" t="n">
        <v>1281.33</v>
      </c>
      <c r="M983" s="63" t="n">
        <v>1292.67</v>
      </c>
      <c r="N983" s="54">
        <f>(M984-M983)/M983</f>
        <v/>
      </c>
      <c r="O983" s="54">
        <f>(M987-M983)/M983</f>
        <v/>
      </c>
      <c r="P983" s="4">
        <f>B983-D983</f>
        <v/>
      </c>
      <c r="Q983" s="4">
        <f>AVERAGE(P980:P983)</f>
        <v/>
      </c>
      <c r="R983" s="54">
        <f>(M984-M983)/M983</f>
        <v/>
      </c>
      <c r="S983" s="54">
        <f>(M987-M983)/M983</f>
        <v/>
      </c>
      <c r="T983" s="63">
        <f>IF(R983&gt;0,1,"")</f>
        <v/>
      </c>
      <c r="U983" s="63">
        <f>IF(S983&gt;0,1,"")</f>
        <v/>
      </c>
    </row>
    <row r="984">
      <c r="A984" s="35" t="n">
        <v>38778</v>
      </c>
      <c r="B984" s="4" t="n">
        <v>0.4094</v>
      </c>
      <c r="C984" s="4" t="n">
        <v>0.2992</v>
      </c>
      <c r="D984" s="4" t="n">
        <v>0.2913</v>
      </c>
      <c r="E984" s="63" t="n">
        <v>0.9999</v>
      </c>
      <c r="F984" s="63" t="n">
        <v>0.4361875</v>
      </c>
      <c r="G984" s="63" t="n">
        <v>0.1181</v>
      </c>
      <c r="H984" s="63" t="n">
        <v>0.384907436629</v>
      </c>
      <c r="I984" s="63" t="n">
        <v>0.48829287048</v>
      </c>
      <c r="J984" s="63" t="n">
        <v>0.281522002778</v>
      </c>
      <c r="K984" s="63" t="n">
        <v>1297.57</v>
      </c>
      <c r="L984" s="63" t="n">
        <v>1278.66</v>
      </c>
      <c r="M984" s="63" t="n">
        <v>1291.24</v>
      </c>
      <c r="N984" s="54">
        <f>(M985-M984)/M984</f>
        <v/>
      </c>
      <c r="O984" s="54">
        <f>(M988-M984)/M984</f>
        <v/>
      </c>
      <c r="P984" s="4">
        <f>B984-D984</f>
        <v/>
      </c>
      <c r="Q984" s="4">
        <f>AVERAGE(P981:P984)</f>
        <v/>
      </c>
      <c r="R984" s="54">
        <f>(M985-M984)/M984</f>
        <v/>
      </c>
      <c r="S984" s="54">
        <f>(M988-M984)/M984</f>
        <v/>
      </c>
      <c r="T984" s="63">
        <f>IF(R984&gt;0,1,"")</f>
        <v/>
      </c>
      <c r="U984" s="63">
        <f>IF(S984&gt;0,1,"")</f>
        <v/>
      </c>
    </row>
    <row r="985">
      <c r="A985" s="35" t="n">
        <v>38785</v>
      </c>
      <c r="B985" s="4" t="n">
        <v>0.4121</v>
      </c>
      <c r="C985" s="4" t="n">
        <v>0.2802</v>
      </c>
      <c r="D985" s="4" t="n">
        <v>0.3077</v>
      </c>
      <c r="E985" s="63" t="n">
        <v>1</v>
      </c>
      <c r="F985" s="63" t="n">
        <v>0.414</v>
      </c>
      <c r="G985" s="63" t="n">
        <v>0.1044</v>
      </c>
      <c r="H985" s="63" t="n">
        <v>0.384907436629</v>
      </c>
      <c r="I985" s="63" t="n">
        <v>0.48829287048</v>
      </c>
      <c r="J985" s="63" t="n">
        <v>0.281522002778</v>
      </c>
      <c r="K985" s="63" t="n">
        <v>1288.23</v>
      </c>
      <c r="L985" s="63" t="n">
        <v>1268.42</v>
      </c>
      <c r="M985" s="63" t="n">
        <v>1278.47</v>
      </c>
      <c r="N985" s="54">
        <f>(M986-M985)/M985</f>
        <v/>
      </c>
      <c r="O985" s="54">
        <f>(M989-M985)/M985</f>
        <v/>
      </c>
      <c r="P985" s="4">
        <f>B985-D985</f>
        <v/>
      </c>
      <c r="Q985" s="4">
        <f>AVERAGE(P982:P985)</f>
        <v/>
      </c>
      <c r="R985" s="54">
        <f>(M986-M985)/M985</f>
        <v/>
      </c>
      <c r="S985" s="54">
        <f>(M989-M985)/M985</f>
        <v/>
      </c>
      <c r="T985" s="63">
        <f>IF(R985&gt;0,1,"")</f>
        <v/>
      </c>
      <c r="U985" s="63">
        <f>IF(S985&gt;0,1,"")</f>
        <v/>
      </c>
    </row>
    <row r="986">
      <c r="A986" s="35" t="n">
        <v>38792</v>
      </c>
      <c r="B986" s="4" t="n">
        <v>0.4655</v>
      </c>
      <c r="C986" s="4" t="n">
        <v>0.2069</v>
      </c>
      <c r="D986" s="4" t="n">
        <v>0.3276</v>
      </c>
      <c r="E986" s="63" t="n">
        <v>1</v>
      </c>
      <c r="F986" s="63" t="n">
        <v>0.4096875</v>
      </c>
      <c r="G986" s="63" t="n">
        <v>0.1379</v>
      </c>
      <c r="H986" s="63" t="n">
        <v>0.384907436629</v>
      </c>
      <c r="I986" s="63" t="n">
        <v>0.48829287048</v>
      </c>
      <c r="J986" s="63" t="n">
        <v>0.281522002778</v>
      </c>
      <c r="K986" s="63" t="n">
        <v>1304.4</v>
      </c>
      <c r="L986" s="63" t="n">
        <v>1281.58</v>
      </c>
      <c r="M986" s="63" t="n">
        <v>1303.02</v>
      </c>
      <c r="N986" s="54">
        <f>(M987-M986)/M986</f>
        <v/>
      </c>
      <c r="O986" s="54">
        <f>(M990-M986)/M986</f>
        <v/>
      </c>
      <c r="P986" s="4">
        <f>B986-D986</f>
        <v/>
      </c>
      <c r="Q986" s="4">
        <f>AVERAGE(P983:P986)</f>
        <v/>
      </c>
      <c r="R986" s="54">
        <f>(M987-M986)/M986</f>
        <v/>
      </c>
      <c r="S986" s="54">
        <f>(M990-M986)/M986</f>
        <v/>
      </c>
      <c r="T986" s="63">
        <f>IF(R986&gt;0,1,"")</f>
        <v/>
      </c>
      <c r="U986" s="63">
        <f>IF(S986&gt;0,1,"")</f>
        <v/>
      </c>
    </row>
    <row r="987">
      <c r="A987" s="35" t="n">
        <v>38799</v>
      </c>
      <c r="B987" s="4" t="n">
        <v>0.4375</v>
      </c>
      <c r="C987" s="4" t="n">
        <v>0.2875</v>
      </c>
      <c r="D987" s="4" t="n">
        <v>0.275</v>
      </c>
      <c r="E987" s="63" t="n">
        <v>1</v>
      </c>
      <c r="F987" s="63" t="n">
        <v>0.4259125</v>
      </c>
      <c r="G987" s="63" t="n">
        <v>0.1625</v>
      </c>
      <c r="H987" s="63" t="n">
        <v>0.384907436629</v>
      </c>
      <c r="I987" s="63" t="n">
        <v>0.48829287048</v>
      </c>
      <c r="J987" s="63" t="n">
        <v>0.281522002778</v>
      </c>
      <c r="K987" s="63" t="n">
        <v>1310.88</v>
      </c>
      <c r="L987" s="63" t="n">
        <v>1295.81</v>
      </c>
      <c r="M987" s="63" t="n">
        <v>1305.04</v>
      </c>
      <c r="N987" s="54">
        <f>(M988-M987)/M987</f>
        <v/>
      </c>
      <c r="O987" s="54">
        <f>(M991-M987)/M987</f>
        <v/>
      </c>
      <c r="P987" s="4">
        <f>B987-D987</f>
        <v/>
      </c>
      <c r="Q987" s="4">
        <f>AVERAGE(P984:P987)</f>
        <v/>
      </c>
      <c r="R987" s="54">
        <f>(M988-M987)/M987</f>
        <v/>
      </c>
      <c r="S987" s="54">
        <f>(M991-M987)/M987</f>
        <v/>
      </c>
      <c r="T987" s="63">
        <f>IF(R987&gt;0,1,"")</f>
        <v/>
      </c>
      <c r="U987" s="63">
        <f>IF(S987&gt;0,1,"")</f>
        <v/>
      </c>
    </row>
    <row r="988">
      <c r="A988" s="35" t="n">
        <v>38806</v>
      </c>
      <c r="B988" s="4" t="n">
        <v>0.3721</v>
      </c>
      <c r="C988" s="4" t="n">
        <v>0.3023</v>
      </c>
      <c r="D988" s="4" t="n">
        <v>0.3256</v>
      </c>
      <c r="E988" s="63" t="n">
        <v>1</v>
      </c>
      <c r="F988" s="63" t="n">
        <v>0.41655</v>
      </c>
      <c r="G988" s="63" t="n">
        <v>0.0465</v>
      </c>
      <c r="H988" s="63" t="n">
        <v>0.384907436629</v>
      </c>
      <c r="I988" s="63" t="n">
        <v>0.48829287048</v>
      </c>
      <c r="J988" s="63" t="n">
        <v>0.281522002778</v>
      </c>
      <c r="K988" s="63" t="n">
        <v>1306.24</v>
      </c>
      <c r="L988" s="63" t="n">
        <v>1291.84</v>
      </c>
      <c r="M988" s="63" t="n">
        <v>1302.89</v>
      </c>
      <c r="N988" s="54">
        <f>(M989-M988)/M988</f>
        <v/>
      </c>
      <c r="O988" s="54">
        <f>(M992-M988)/M988</f>
        <v/>
      </c>
      <c r="P988" s="4">
        <f>B988-D988</f>
        <v/>
      </c>
      <c r="Q988" s="4">
        <f>AVERAGE(P985:P988)</f>
        <v/>
      </c>
      <c r="R988" s="54">
        <f>(M989-M988)/M988</f>
        <v/>
      </c>
      <c r="S988" s="54">
        <f>(M992-M988)/M988</f>
        <v/>
      </c>
      <c r="T988" s="63">
        <f>IF(R988&gt;0,1,"")</f>
        <v/>
      </c>
      <c r="U988" s="63">
        <f>IF(S988&gt;0,1,"")</f>
        <v/>
      </c>
    </row>
    <row r="989">
      <c r="A989" s="35" t="n">
        <v>38813</v>
      </c>
      <c r="B989" s="4" t="n">
        <v>0.4767</v>
      </c>
      <c r="C989" s="4" t="n">
        <v>0.2907</v>
      </c>
      <c r="D989" s="4" t="n">
        <v>0.2326</v>
      </c>
      <c r="E989" s="63" t="n">
        <v>1</v>
      </c>
      <c r="F989" s="63" t="n">
        <v>0.4259</v>
      </c>
      <c r="G989" s="63" t="n">
        <v>0.2441</v>
      </c>
      <c r="H989" s="63" t="n">
        <v>0.384907436629</v>
      </c>
      <c r="I989" s="63" t="n">
        <v>0.48829287048</v>
      </c>
      <c r="J989" s="63" t="n">
        <v>0.281522002778</v>
      </c>
      <c r="K989" s="63" t="n">
        <v>1312.81</v>
      </c>
      <c r="L989" s="63" t="n">
        <v>1294.71</v>
      </c>
      <c r="M989" s="63" t="n">
        <v>1311.56</v>
      </c>
      <c r="N989" s="54">
        <f>(M990-M989)/M989</f>
        <v/>
      </c>
      <c r="O989" s="54">
        <f>(M993-M989)/M989</f>
        <v/>
      </c>
      <c r="P989" s="4">
        <f>B989-D989</f>
        <v/>
      </c>
      <c r="Q989" s="4">
        <f>AVERAGE(P986:P989)</f>
        <v/>
      </c>
      <c r="R989" s="54">
        <f>(M990-M989)/M989</f>
        <v/>
      </c>
      <c r="S989" s="54">
        <f>(M993-M989)/M989</f>
        <v/>
      </c>
      <c r="T989" s="63">
        <f>IF(R989&gt;0,1,"")</f>
        <v/>
      </c>
      <c r="U989" s="63">
        <f>IF(S989&gt;0,1,"")</f>
        <v/>
      </c>
    </row>
    <row r="990">
      <c r="A990" s="35" t="n">
        <v>38820</v>
      </c>
      <c r="B990" s="4" t="n">
        <v>0.4536</v>
      </c>
      <c r="C990" s="4" t="n">
        <v>0.268</v>
      </c>
      <c r="D990" s="4" t="n">
        <v>0.2784</v>
      </c>
      <c r="E990" s="63" t="n">
        <v>1</v>
      </c>
      <c r="F990" s="63" t="n">
        <v>0.432375</v>
      </c>
      <c r="G990" s="63" t="n">
        <v>0.1752</v>
      </c>
      <c r="H990" s="63" t="n">
        <v>0.384907436629</v>
      </c>
      <c r="I990" s="63" t="n">
        <v>0.48829287048</v>
      </c>
      <c r="J990" s="63" t="n">
        <v>0.281522002778</v>
      </c>
      <c r="K990" s="63" t="n">
        <v>1300.74</v>
      </c>
      <c r="L990" s="63" t="n">
        <v>1282.96</v>
      </c>
      <c r="M990" s="63" t="n">
        <v>1288.12</v>
      </c>
      <c r="N990" s="54">
        <f>(M991-M990)/M990</f>
        <v/>
      </c>
      <c r="O990" s="54">
        <f>(M994-M990)/M990</f>
        <v/>
      </c>
      <c r="P990" s="4">
        <f>B990-D990</f>
        <v/>
      </c>
      <c r="Q990" s="4">
        <f>AVERAGE(P987:P990)</f>
        <v/>
      </c>
      <c r="R990" s="54">
        <f>(M991-M990)/M990</f>
        <v/>
      </c>
      <c r="S990" s="54">
        <f>(M994-M990)/M990</f>
        <v/>
      </c>
      <c r="T990" s="63">
        <f>IF(R990&gt;0,1,"")</f>
        <v/>
      </c>
      <c r="U990" s="63">
        <f>IF(S990&gt;0,1,"")</f>
        <v/>
      </c>
    </row>
    <row r="991">
      <c r="A991" s="35" t="n">
        <v>38827</v>
      </c>
      <c r="B991" s="4" t="n">
        <v>0.3373</v>
      </c>
      <c r="C991" s="4" t="n">
        <v>0.2544</v>
      </c>
      <c r="D991" s="4" t="n">
        <v>0.4083</v>
      </c>
      <c r="E991" s="63" t="n">
        <v>1</v>
      </c>
      <c r="F991" s="63" t="n">
        <v>0.420525</v>
      </c>
      <c r="G991" s="63" t="n">
        <v>-0.07099999999999999</v>
      </c>
      <c r="H991" s="63" t="n">
        <v>0.384907436629</v>
      </c>
      <c r="I991" s="63" t="n">
        <v>0.48829287048</v>
      </c>
      <c r="J991" s="63" t="n">
        <v>0.281522002778</v>
      </c>
      <c r="K991" s="63" t="n">
        <v>1310.39</v>
      </c>
      <c r="L991" s="63" t="n">
        <v>1280.74</v>
      </c>
      <c r="M991" s="63" t="n">
        <v>1309.93</v>
      </c>
      <c r="N991" s="54">
        <f>(M992-M991)/M991</f>
        <v/>
      </c>
      <c r="O991" s="54">
        <f>(M995-M991)/M991</f>
        <v/>
      </c>
      <c r="P991" s="4">
        <f>B991-D991</f>
        <v/>
      </c>
      <c r="Q991" s="4">
        <f>AVERAGE(P988:P991)</f>
        <v/>
      </c>
      <c r="R991" s="54">
        <f>(M992-M991)/M991</f>
        <v/>
      </c>
      <c r="S991" s="54">
        <f>(M995-M991)/M991</f>
        <v/>
      </c>
      <c r="T991" s="63">
        <f>IF(R991&gt;0,1,"")</f>
        <v/>
      </c>
      <c r="U991" s="63">
        <f>IF(S991&gt;0,1,"")</f>
        <v/>
      </c>
    </row>
    <row r="992">
      <c r="A992" s="35" t="n">
        <v>38834</v>
      </c>
      <c r="B992" s="4" t="n">
        <v>0.4211</v>
      </c>
      <c r="C992" s="4" t="n">
        <v>0.2193</v>
      </c>
      <c r="D992" s="4" t="n">
        <v>0.3596</v>
      </c>
      <c r="E992" s="63" t="n">
        <v>1</v>
      </c>
      <c r="F992" s="63" t="n">
        <v>0.4219875</v>
      </c>
      <c r="G992" s="63" t="n">
        <v>0.0615</v>
      </c>
      <c r="H992" s="63" t="n">
        <v>0.384907436629</v>
      </c>
      <c r="I992" s="63" t="n">
        <v>0.48829287048</v>
      </c>
      <c r="J992" s="63" t="n">
        <v>0.281522002778</v>
      </c>
      <c r="K992" s="63" t="n">
        <v>1316.04</v>
      </c>
      <c r="L992" s="63" t="n">
        <v>1295.57</v>
      </c>
      <c r="M992" s="63" t="n">
        <v>1310.61</v>
      </c>
      <c r="N992" s="54">
        <f>(M993-M992)/M992</f>
        <v/>
      </c>
      <c r="O992" s="54">
        <f>(M996-M992)/M992</f>
        <v/>
      </c>
      <c r="P992" s="4">
        <f>B992-D992</f>
        <v/>
      </c>
      <c r="Q992" s="4">
        <f>AVERAGE(P989:P992)</f>
        <v/>
      </c>
      <c r="R992" s="54">
        <f>(M993-M992)/M992</f>
        <v/>
      </c>
      <c r="S992" s="54">
        <f>(M996-M992)/M992</f>
        <v/>
      </c>
      <c r="T992" s="63">
        <f>IF(R992&gt;0,1,"")</f>
        <v/>
      </c>
      <c r="U992" s="63">
        <f>IF(S992&gt;0,1,"")</f>
        <v/>
      </c>
    </row>
    <row r="993">
      <c r="A993" s="35" t="n">
        <v>38841</v>
      </c>
      <c r="B993" s="4" t="n">
        <v>0.4589</v>
      </c>
      <c r="C993" s="4" t="n">
        <v>0.2055</v>
      </c>
      <c r="D993" s="4" t="n">
        <v>0.3356</v>
      </c>
      <c r="E993" s="63" t="n">
        <v>1</v>
      </c>
      <c r="F993" s="63" t="n">
        <v>0.4278375</v>
      </c>
      <c r="G993" s="63" t="n">
        <v>0.1233</v>
      </c>
      <c r="H993" s="63" t="n">
        <v>0.384907436629</v>
      </c>
      <c r="I993" s="63" t="n">
        <v>0.48829287048</v>
      </c>
      <c r="J993" s="63" t="n">
        <v>0.281522002778</v>
      </c>
      <c r="K993" s="63" t="n">
        <v>1317.21</v>
      </c>
      <c r="L993" s="63" t="n">
        <v>1303.46</v>
      </c>
      <c r="M993" s="63" t="n">
        <v>1308.12</v>
      </c>
      <c r="N993" s="54">
        <f>(M994-M993)/M993</f>
        <v/>
      </c>
      <c r="O993" s="54">
        <f>(M997-M993)/M993</f>
        <v/>
      </c>
      <c r="P993" s="4">
        <f>B993-D993</f>
        <v/>
      </c>
      <c r="Q993" s="4">
        <f>AVERAGE(P990:P993)</f>
        <v/>
      </c>
      <c r="R993" s="54">
        <f>(M994-M993)/M993</f>
        <v/>
      </c>
      <c r="S993" s="54">
        <f>(M997-M993)/M993</f>
        <v/>
      </c>
      <c r="T993" s="63">
        <f>IF(R993&gt;0,1,"")</f>
        <v/>
      </c>
      <c r="U993" s="63">
        <f>IF(S993&gt;0,1,"")</f>
        <v/>
      </c>
    </row>
    <row r="994">
      <c r="A994" s="35" t="n">
        <v>38848</v>
      </c>
      <c r="B994" s="4" t="n">
        <v>0.549</v>
      </c>
      <c r="C994" s="4" t="n">
        <v>0.1765</v>
      </c>
      <c r="D994" s="4" t="n">
        <v>0.2745</v>
      </c>
      <c r="E994" s="63" t="n">
        <v>1</v>
      </c>
      <c r="F994" s="63" t="n">
        <v>0.438275</v>
      </c>
      <c r="G994" s="63" t="n">
        <v>0.2745</v>
      </c>
      <c r="H994" s="63" t="n">
        <v>0.384907436629</v>
      </c>
      <c r="I994" s="63" t="n">
        <v>0.48829287048</v>
      </c>
      <c r="J994" s="63" t="n">
        <v>0.281522002778</v>
      </c>
      <c r="K994" s="63" t="n">
        <v>1326.7</v>
      </c>
      <c r="L994" s="63" t="n">
        <v>1317.44</v>
      </c>
      <c r="M994" s="63" t="n">
        <v>1322.85</v>
      </c>
      <c r="N994" s="54">
        <f>(M995-M994)/M994</f>
        <v/>
      </c>
      <c r="O994" s="54">
        <f>(M998-M994)/M994</f>
        <v/>
      </c>
      <c r="P994" s="4">
        <f>B994-D994</f>
        <v/>
      </c>
      <c r="Q994" s="4">
        <f>AVERAGE(P991:P994)</f>
        <v/>
      </c>
      <c r="R994" s="54">
        <f>(M995-M994)/M994</f>
        <v/>
      </c>
      <c r="S994" s="54">
        <f>(M998-M994)/M994</f>
        <v/>
      </c>
      <c r="T994" s="63">
        <f>IF(R994&gt;0,1,"")</f>
        <v/>
      </c>
      <c r="U994" s="63">
        <f>IF(S994&gt;0,1,"")</f>
        <v/>
      </c>
    </row>
    <row r="995">
      <c r="A995" s="35" t="n">
        <v>38855</v>
      </c>
      <c r="B995" s="4" t="n">
        <v>0.3939</v>
      </c>
      <c r="C995" s="4" t="n">
        <v>0.1697</v>
      </c>
      <c r="D995" s="4" t="n">
        <v>0.4364</v>
      </c>
      <c r="E995" s="63" t="n">
        <v>1</v>
      </c>
      <c r="F995" s="63" t="n">
        <v>0.432825</v>
      </c>
      <c r="G995" s="63" t="n">
        <v>-0.0425</v>
      </c>
      <c r="H995" s="63" t="n">
        <v>0.384907436629</v>
      </c>
      <c r="I995" s="63" t="n">
        <v>0.48829287048</v>
      </c>
      <c r="J995" s="63" t="n">
        <v>0.281522002778</v>
      </c>
      <c r="K995" s="63" t="n">
        <v>1291.73</v>
      </c>
      <c r="L995" s="63" t="n">
        <v>1267.31</v>
      </c>
      <c r="M995" s="63" t="n">
        <v>1270.32</v>
      </c>
      <c r="N995" s="54">
        <f>(M996-M995)/M995</f>
        <v/>
      </c>
      <c r="O995" s="54">
        <f>(M999-M995)/M995</f>
        <v/>
      </c>
      <c r="P995" s="4">
        <f>B995-D995</f>
        <v/>
      </c>
      <c r="Q995" s="4">
        <f>AVERAGE(P992:P995)</f>
        <v/>
      </c>
      <c r="R995" s="54">
        <f>(M996-M995)/M995</f>
        <v/>
      </c>
      <c r="S995" s="54">
        <f>(M999-M995)/M995</f>
        <v/>
      </c>
      <c r="T995" s="63">
        <f>IF(R995&gt;0,1,"")</f>
        <v/>
      </c>
      <c r="U995" s="63">
        <f>IF(S995&gt;0,1,"")</f>
        <v/>
      </c>
    </row>
    <row r="996">
      <c r="A996" s="35" t="n">
        <v>38862</v>
      </c>
      <c r="B996" s="4" t="n">
        <v>0.3304</v>
      </c>
      <c r="C996" s="4" t="n">
        <v>0.2143</v>
      </c>
      <c r="D996" s="4" t="n">
        <v>0.4554</v>
      </c>
      <c r="E996" s="63" t="n">
        <v>1.0001</v>
      </c>
      <c r="F996" s="63" t="n">
        <v>0.4276125</v>
      </c>
      <c r="G996" s="63" t="n">
        <v>-0.125</v>
      </c>
      <c r="H996" s="63" t="n">
        <v>0.384907436629</v>
      </c>
      <c r="I996" s="63" t="n">
        <v>0.48829287048</v>
      </c>
      <c r="J996" s="63" t="n">
        <v>0.281522002778</v>
      </c>
      <c r="K996" s="63" t="n">
        <v>1264.53</v>
      </c>
      <c r="L996" s="63" t="n">
        <v>1245.34</v>
      </c>
      <c r="M996" s="63" t="n">
        <v>1258.57</v>
      </c>
      <c r="N996" s="54">
        <f>(M997-M996)/M996</f>
        <v/>
      </c>
      <c r="O996" s="54">
        <f>(M1000-M996)/M996</f>
        <v/>
      </c>
      <c r="P996" s="4">
        <f>B996-D996</f>
        <v/>
      </c>
      <c r="Q996" s="4">
        <f>AVERAGE(P993:P996)</f>
        <v/>
      </c>
      <c r="R996" s="54">
        <f>(M997-M996)/M996</f>
        <v/>
      </c>
      <c r="S996" s="54">
        <f>(M1000-M996)/M996</f>
        <v/>
      </c>
      <c r="T996" s="63">
        <f>IF(R996&gt;0,1,"")</f>
        <v/>
      </c>
      <c r="U996" s="63">
        <f>IF(S996&gt;0,1,"")</f>
        <v/>
      </c>
    </row>
    <row r="997">
      <c r="A997" s="35" t="n">
        <v>38869</v>
      </c>
      <c r="B997" s="4" t="n">
        <v>0.3077</v>
      </c>
      <c r="C997" s="4" t="n">
        <v>0.1923</v>
      </c>
      <c r="D997" s="4" t="n">
        <v>0.5</v>
      </c>
      <c r="E997" s="63" t="n">
        <v>1</v>
      </c>
      <c r="F997" s="63" t="n">
        <v>0.4064875</v>
      </c>
      <c r="G997" s="63" t="n">
        <v>-0.1923</v>
      </c>
      <c r="H997" s="63" t="n">
        <v>0.384907436629</v>
      </c>
      <c r="I997" s="63" t="n">
        <v>0.48829287048</v>
      </c>
      <c r="J997" s="63" t="n">
        <v>0.281522002778</v>
      </c>
      <c r="K997" s="63" t="n">
        <v>1285.71</v>
      </c>
      <c r="L997" s="63" t="n">
        <v>1269.19</v>
      </c>
      <c r="M997" s="63" t="n">
        <v>1285.71</v>
      </c>
      <c r="N997" s="54">
        <f>(M998-M997)/M997</f>
        <v/>
      </c>
      <c r="O997" s="54">
        <f>(M1001-M997)/M997</f>
        <v/>
      </c>
      <c r="P997" s="4">
        <f>B997-D997</f>
        <v/>
      </c>
      <c r="Q997" s="4">
        <f>AVERAGE(P994:P997)</f>
        <v/>
      </c>
      <c r="R997" s="54">
        <f>(M998-M997)/M997</f>
        <v/>
      </c>
      <c r="S997" s="54">
        <f>(M1001-M997)/M997</f>
        <v/>
      </c>
      <c r="T997" s="63">
        <f>IF(R997&gt;0,1,"")</f>
        <v/>
      </c>
      <c r="U997" s="63">
        <f>IF(S997&gt;0,1,"")</f>
        <v/>
      </c>
    </row>
    <row r="998">
      <c r="A998" s="35" t="n">
        <v>38876</v>
      </c>
      <c r="B998" s="4" t="n">
        <v>0.2623</v>
      </c>
      <c r="C998" s="4" t="n">
        <v>0.2869</v>
      </c>
      <c r="D998" s="4" t="n">
        <v>0.4508</v>
      </c>
      <c r="E998" s="63" t="n">
        <v>1</v>
      </c>
      <c r="F998" s="63" t="n">
        <v>0.382575</v>
      </c>
      <c r="G998" s="63" t="n">
        <v>-0.1885</v>
      </c>
      <c r="H998" s="63" t="n">
        <v>0.384907436629</v>
      </c>
      <c r="I998" s="63" t="n">
        <v>0.48829287048</v>
      </c>
      <c r="J998" s="63" t="n">
        <v>0.281522002778</v>
      </c>
      <c r="K998" s="63" t="n">
        <v>1257.07</v>
      </c>
      <c r="L998" s="63" t="n">
        <v>1249.43</v>
      </c>
      <c r="M998" s="63" t="n">
        <v>1249.72</v>
      </c>
      <c r="N998" s="54">
        <f>(M999-M998)/M998</f>
        <v/>
      </c>
      <c r="O998" s="54">
        <f>(M1002-M998)/M998</f>
        <v/>
      </c>
      <c r="P998" s="4">
        <f>B998-D998</f>
        <v/>
      </c>
      <c r="Q998" s="4">
        <f>AVERAGE(P995:P998)</f>
        <v/>
      </c>
      <c r="R998" s="54">
        <f>(M999-M998)/M998</f>
        <v/>
      </c>
      <c r="S998" s="54">
        <f>(M1002-M998)/M998</f>
        <v/>
      </c>
      <c r="T998" s="63">
        <f>IF(R998&gt;0,1,"")</f>
        <v/>
      </c>
      <c r="U998" s="63">
        <f>IF(S998&gt;0,1,"")</f>
        <v/>
      </c>
    </row>
    <row r="999">
      <c r="A999" s="35" t="n">
        <v>38883</v>
      </c>
      <c r="B999" s="4" t="n">
        <v>0.2641</v>
      </c>
      <c r="C999" s="4" t="n">
        <v>0.1861</v>
      </c>
      <c r="D999" s="4" t="n">
        <v>0.5498</v>
      </c>
      <c r="E999" s="63" t="n">
        <v>1</v>
      </c>
      <c r="F999" s="63" t="n">
        <v>0.373425</v>
      </c>
      <c r="G999" s="63" t="n">
        <v>-0.2857</v>
      </c>
      <c r="H999" s="63" t="n">
        <v>0.384907436629</v>
      </c>
      <c r="I999" s="63" t="n">
        <v>0.48829287048</v>
      </c>
      <c r="J999" s="63" t="n">
        <v>0.281522002778</v>
      </c>
      <c r="K999" s="63" t="n">
        <v>1243.59</v>
      </c>
      <c r="L999" s="63" t="n">
        <v>1230.01</v>
      </c>
      <c r="M999" s="63" t="n">
        <v>1243.04</v>
      </c>
      <c r="N999" s="54">
        <f>(M1000-M999)/M999</f>
        <v/>
      </c>
      <c r="O999" s="54">
        <f>(M1003-M999)/M999</f>
        <v/>
      </c>
      <c r="P999" s="4">
        <f>B999-D999</f>
        <v/>
      </c>
      <c r="Q999" s="4">
        <f>AVERAGE(P996:P999)</f>
        <v/>
      </c>
      <c r="R999" s="54">
        <f>(M1000-M999)/M999</f>
        <v/>
      </c>
      <c r="S999" s="54">
        <f>(M1003-M999)/M999</f>
        <v/>
      </c>
      <c r="T999" s="63">
        <f>IF(R999&gt;0,1,"")</f>
        <v/>
      </c>
      <c r="U999" s="63">
        <f>IF(S999&gt;0,1,"")</f>
        <v/>
      </c>
    </row>
    <row r="1000">
      <c r="A1000" s="35" t="n">
        <v>38890</v>
      </c>
      <c r="B1000" s="4" t="n">
        <v>0.344</v>
      </c>
      <c r="C1000" s="4" t="n">
        <v>0.24</v>
      </c>
      <c r="D1000" s="4" t="n">
        <v>0.416</v>
      </c>
      <c r="E1000" s="63" t="n">
        <v>1</v>
      </c>
      <c r="F1000" s="63" t="n">
        <v>0.3637875</v>
      </c>
      <c r="G1000" s="63" t="n">
        <v>-0.07199999999999999</v>
      </c>
      <c r="H1000" s="63" t="n">
        <v>0.384907436629</v>
      </c>
      <c r="I1000" s="63" t="n">
        <v>0.48829287048</v>
      </c>
      <c r="J1000" s="63" t="n">
        <v>0.281522002778</v>
      </c>
      <c r="K1000" s="63" t="n">
        <v>1251.92</v>
      </c>
      <c r="L1000" s="63" t="n">
        <v>1241.53</v>
      </c>
      <c r="M1000" s="63" t="n">
        <v>1244.7</v>
      </c>
      <c r="N1000" s="54">
        <f>(M1001-M1000)/M1000</f>
        <v/>
      </c>
      <c r="O1000" s="54">
        <f>(M1004-M1000)/M1000</f>
        <v/>
      </c>
      <c r="P1000" s="4">
        <f>B1000-D1000</f>
        <v/>
      </c>
      <c r="Q1000" s="4">
        <f>AVERAGE(P997:P1000)</f>
        <v/>
      </c>
      <c r="R1000" s="54">
        <f>(M1001-M1000)/M1000</f>
        <v/>
      </c>
      <c r="S1000" s="54">
        <f>(M1004-M1000)/M1000</f>
        <v/>
      </c>
      <c r="T1000" s="63">
        <f>IF(R1000&gt;0,1,"")</f>
        <v/>
      </c>
      <c r="U1000" s="63">
        <f>IF(S1000&gt;0,1,"")</f>
        <v/>
      </c>
    </row>
    <row r="1001">
      <c r="A1001" s="35" t="n">
        <v>38897</v>
      </c>
      <c r="B1001" s="4" t="n">
        <v>0.386</v>
      </c>
      <c r="C1001" s="4" t="n">
        <v>0.2164</v>
      </c>
      <c r="D1001" s="4" t="n">
        <v>0.3977</v>
      </c>
      <c r="E1001" s="63" t="n">
        <v>1.0001</v>
      </c>
      <c r="F1001" s="63" t="n">
        <v>0.354675</v>
      </c>
      <c r="G1001" s="63" t="n">
        <v>-0.0117</v>
      </c>
      <c r="H1001" s="63" t="n">
        <v>0.384907436629</v>
      </c>
      <c r="I1001" s="63" t="n">
        <v>0.48829287048</v>
      </c>
      <c r="J1001" s="63" t="n">
        <v>0.281522002778</v>
      </c>
      <c r="K1001" s="63" t="n">
        <v>1257.29</v>
      </c>
      <c r="L1001" s="63" t="n">
        <v>1245.94</v>
      </c>
      <c r="M1001" s="63" t="n">
        <v>1255.88</v>
      </c>
      <c r="N1001" s="54">
        <f>(M1002-M1001)/M1001</f>
        <v/>
      </c>
      <c r="O1001" s="54">
        <f>(M1005-M1001)/M1001</f>
        <v/>
      </c>
      <c r="P1001" s="4">
        <f>B1001-D1001</f>
        <v/>
      </c>
      <c r="Q1001" s="4">
        <f>AVERAGE(P998:P1001)</f>
        <v/>
      </c>
      <c r="R1001" s="54">
        <f>(M1002-M1001)/M1001</f>
        <v/>
      </c>
      <c r="S1001" s="54">
        <f>(M1005-M1001)/M1001</f>
        <v/>
      </c>
      <c r="T1001" s="63">
        <f>IF(R1001&gt;0,1,"")</f>
        <v/>
      </c>
      <c r="U1001" s="63">
        <f>IF(S1001&gt;0,1,"")</f>
        <v/>
      </c>
    </row>
    <row r="1002">
      <c r="A1002" s="35" t="n">
        <v>38904</v>
      </c>
      <c r="B1002" s="4" t="n">
        <v>0.377</v>
      </c>
      <c r="C1002" s="4" t="n">
        <v>0.1967</v>
      </c>
      <c r="D1002" s="4" t="n">
        <v>0.4262</v>
      </c>
      <c r="E1002" s="63" t="n">
        <v>0.9999</v>
      </c>
      <c r="F1002" s="63" t="n">
        <v>0.333175</v>
      </c>
      <c r="G1002" s="63" t="n">
        <v>-0.0492</v>
      </c>
      <c r="H1002" s="63" t="n">
        <v>0.384907436629</v>
      </c>
      <c r="I1002" s="63" t="n">
        <v>0.48829287048</v>
      </c>
      <c r="J1002" s="63" t="n">
        <v>0.281522002778</v>
      </c>
      <c r="K1002" s="63" t="n">
        <v>1278.32</v>
      </c>
      <c r="L1002" s="63" t="n">
        <v>1270.58</v>
      </c>
      <c r="M1002" s="63" t="n">
        <v>1274.08</v>
      </c>
      <c r="N1002" s="54">
        <f>(M1003-M1002)/M1002</f>
        <v/>
      </c>
      <c r="O1002" s="54">
        <f>(M1006-M1002)/M1002</f>
        <v/>
      </c>
      <c r="P1002" s="4">
        <f>B1002-D1002</f>
        <v/>
      </c>
      <c r="Q1002" s="4">
        <f>AVERAGE(P999:P1002)</f>
        <v/>
      </c>
      <c r="R1002" s="54">
        <f>(M1003-M1002)/M1002</f>
        <v/>
      </c>
      <c r="S1002" s="54">
        <f>(M1006-M1002)/M1002</f>
        <v/>
      </c>
      <c r="T1002" s="63">
        <f>IF(R1002&gt;0,1,"")</f>
        <v/>
      </c>
      <c r="U1002" s="63">
        <f>IF(S1002&gt;0,1,"")</f>
        <v/>
      </c>
    </row>
    <row r="1003">
      <c r="A1003" s="35" t="n">
        <v>38911</v>
      </c>
      <c r="B1003" s="4" t="n">
        <v>0.365</v>
      </c>
      <c r="C1003" s="4" t="n">
        <v>0.2409</v>
      </c>
      <c r="D1003" s="4" t="n">
        <v>0.3942</v>
      </c>
      <c r="E1003" s="63" t="n">
        <v>1.0001</v>
      </c>
      <c r="F1003" s="63" t="n">
        <v>0.3295625</v>
      </c>
      <c r="G1003" s="63" t="n">
        <v>-0.0292</v>
      </c>
      <c r="H1003" s="63" t="n">
        <v>0.384907436629</v>
      </c>
      <c r="I1003" s="63" t="n">
        <v>0.48829287048</v>
      </c>
      <c r="J1003" s="63" t="n">
        <v>0.281522002778</v>
      </c>
      <c r="K1003" s="63" t="n">
        <v>1258.58</v>
      </c>
      <c r="L1003" s="63" t="n">
        <v>1241.43</v>
      </c>
      <c r="M1003" s="63" t="n">
        <v>1242.28</v>
      </c>
      <c r="N1003" s="54">
        <f>(M1004-M1003)/M1003</f>
        <v/>
      </c>
      <c r="O1003" s="54">
        <f>(M1007-M1003)/M1003</f>
        <v/>
      </c>
      <c r="P1003" s="4">
        <f>B1003-D1003</f>
        <v/>
      </c>
      <c r="Q1003" s="4">
        <f>AVERAGE(P1000:P1003)</f>
        <v/>
      </c>
      <c r="R1003" s="54">
        <f>(M1004-M1003)/M1003</f>
        <v/>
      </c>
      <c r="S1003" s="54">
        <f>(M1007-M1003)/M1003</f>
        <v/>
      </c>
      <c r="T1003" s="63">
        <f>IF(R1003&gt;0,1,"")</f>
        <v/>
      </c>
      <c r="U1003" s="63">
        <f>IF(S1003&gt;0,1,"")</f>
        <v/>
      </c>
    </row>
    <row r="1004">
      <c r="A1004" s="35" t="n">
        <v>38918</v>
      </c>
      <c r="B1004" s="4" t="n">
        <v>0.2385</v>
      </c>
      <c r="C1004" s="4" t="n">
        <v>0.1835</v>
      </c>
      <c r="D1004" s="4" t="n">
        <v>0.578</v>
      </c>
      <c r="E1004" s="63" t="n">
        <v>1</v>
      </c>
      <c r="F1004" s="63" t="n">
        <v>0.318075</v>
      </c>
      <c r="G1004" s="63" t="n">
        <v>-0.3395</v>
      </c>
      <c r="H1004" s="63" t="n">
        <v>0.384907436629</v>
      </c>
      <c r="I1004" s="63" t="n">
        <v>0.48829287048</v>
      </c>
      <c r="J1004" s="63" t="n">
        <v>0.281522002778</v>
      </c>
      <c r="K1004" s="63" t="n">
        <v>1262.56</v>
      </c>
      <c r="L1004" s="63" t="n">
        <v>1253.13</v>
      </c>
      <c r="M1004" s="63" t="n">
        <v>1255.69</v>
      </c>
      <c r="N1004" s="54">
        <f>(M1005-M1004)/M1004</f>
        <v/>
      </c>
      <c r="O1004" s="54">
        <f>(M1008-M1004)/M1004</f>
        <v/>
      </c>
      <c r="P1004" s="4">
        <f>B1004-D1004</f>
        <v/>
      </c>
      <c r="Q1004" s="4">
        <f>AVERAGE(P1001:P1004)</f>
        <v/>
      </c>
      <c r="R1004" s="54">
        <f>(M1005-M1004)/M1004</f>
        <v/>
      </c>
      <c r="S1004" s="54">
        <f>(M1008-M1004)/M1004</f>
        <v/>
      </c>
      <c r="T1004" s="63">
        <f>IF(R1004&gt;0,1,"")</f>
        <v/>
      </c>
      <c r="U1004" s="63">
        <f>IF(S1004&gt;0,1,"")</f>
        <v/>
      </c>
    </row>
    <row r="1005">
      <c r="A1005" s="35" t="n">
        <v>38925</v>
      </c>
      <c r="B1005" s="4" t="n">
        <v>0.3488</v>
      </c>
      <c r="C1005" s="4" t="n">
        <v>0.2209</v>
      </c>
      <c r="D1005" s="4" t="n">
        <v>0.4302</v>
      </c>
      <c r="E1005" s="63" t="n">
        <v>0.9999</v>
      </c>
      <c r="F1005" s="63" t="n">
        <v>0.3232125</v>
      </c>
      <c r="G1005" s="63" t="n">
        <v>-0.0814</v>
      </c>
      <c r="H1005" s="63" t="n">
        <v>0.384907436629</v>
      </c>
      <c r="I1005" s="63" t="n">
        <v>0.48829287048</v>
      </c>
      <c r="J1005" s="63" t="n">
        <v>0.281522002778</v>
      </c>
      <c r="K1005" s="63" t="n">
        <v>1273.89</v>
      </c>
      <c r="L1005" s="63" t="n">
        <v>1240.25</v>
      </c>
      <c r="M1005" s="63" t="n">
        <v>1268.4</v>
      </c>
      <c r="N1005" s="54">
        <f>(M1006-M1005)/M1005</f>
        <v/>
      </c>
      <c r="O1005" s="54">
        <f>(M1009-M1005)/M1005</f>
        <v/>
      </c>
      <c r="P1005" s="4">
        <f>B1005-D1005</f>
        <v/>
      </c>
      <c r="Q1005" s="4">
        <f>AVERAGE(P1002:P1005)</f>
        <v/>
      </c>
      <c r="R1005" s="54">
        <f>(M1006-M1005)/M1005</f>
        <v/>
      </c>
      <c r="S1005" s="54">
        <f>(M1009-M1005)/M1005</f>
        <v/>
      </c>
      <c r="T1005" s="63">
        <f>IF(R1005&gt;0,1,"")</f>
        <v/>
      </c>
      <c r="U1005" s="63">
        <f>IF(S1005&gt;0,1,"")</f>
        <v/>
      </c>
    </row>
    <row r="1006">
      <c r="A1006" s="35" t="n">
        <v>38932</v>
      </c>
      <c r="B1006" s="4" t="n">
        <v>0.3146</v>
      </c>
      <c r="C1006" s="4" t="n">
        <v>0.2135</v>
      </c>
      <c r="D1006" s="4" t="n">
        <v>0.4719</v>
      </c>
      <c r="E1006" s="63" t="n">
        <v>1</v>
      </c>
      <c r="F1006" s="63" t="n">
        <v>0.32975</v>
      </c>
      <c r="G1006" s="63" t="n">
        <v>-0.1573</v>
      </c>
      <c r="H1006" s="63" t="n">
        <v>0.384907436629</v>
      </c>
      <c r="I1006" s="63" t="n">
        <v>0.48829287048</v>
      </c>
      <c r="J1006" s="63" t="n">
        <v>0.281522002778</v>
      </c>
      <c r="K1006" s="63" t="n">
        <v>1283.96</v>
      </c>
      <c r="L1006" s="63" t="n">
        <v>1271.25</v>
      </c>
      <c r="M1006" s="63" t="n">
        <v>1280.27</v>
      </c>
      <c r="N1006" s="54">
        <f>(M1007-M1006)/M1006</f>
        <v/>
      </c>
      <c r="O1006" s="54">
        <f>(M1010-M1006)/M1006</f>
        <v/>
      </c>
      <c r="P1006" s="4">
        <f>B1006-D1006</f>
        <v/>
      </c>
      <c r="Q1006" s="4">
        <f>AVERAGE(P1003:P1006)</f>
        <v/>
      </c>
      <c r="R1006" s="54">
        <f>(M1007-M1006)/M1006</f>
        <v/>
      </c>
      <c r="S1006" s="54">
        <f>(M1010-M1006)/M1006</f>
        <v/>
      </c>
      <c r="T1006" s="63">
        <f>IF(R1006&gt;0,1,"")</f>
        <v/>
      </c>
      <c r="U1006" s="63">
        <f>IF(S1006&gt;0,1,"")</f>
        <v/>
      </c>
    </row>
    <row r="1007">
      <c r="A1007" s="35" t="n">
        <v>38939</v>
      </c>
      <c r="B1007" s="4" t="n">
        <v>0.3659</v>
      </c>
      <c r="C1007" s="4" t="n">
        <v>0.2195</v>
      </c>
      <c r="D1007" s="4" t="n">
        <v>0.4146</v>
      </c>
      <c r="E1007" s="63" t="n">
        <v>1</v>
      </c>
      <c r="F1007" s="63" t="n">
        <v>0.342475</v>
      </c>
      <c r="G1007" s="63" t="n">
        <v>-0.0487</v>
      </c>
      <c r="H1007" s="63" t="n">
        <v>0.384907436629</v>
      </c>
      <c r="I1007" s="63" t="n">
        <v>0.48829287048</v>
      </c>
      <c r="J1007" s="63" t="n">
        <v>0.281522002778</v>
      </c>
      <c r="K1007" s="63" t="n">
        <v>1272.55</v>
      </c>
      <c r="L1007" s="63" t="n">
        <v>1261.3</v>
      </c>
      <c r="M1007" s="63" t="n">
        <v>1271.81</v>
      </c>
      <c r="N1007" s="54">
        <f>(M1008-M1007)/M1007</f>
        <v/>
      </c>
      <c r="O1007" s="54">
        <f>(M1011-M1007)/M1007</f>
        <v/>
      </c>
      <c r="P1007" s="4">
        <f>B1007-D1007</f>
        <v/>
      </c>
      <c r="Q1007" s="4">
        <f>AVERAGE(P1004:P1007)</f>
        <v/>
      </c>
      <c r="R1007" s="54">
        <f>(M1008-M1007)/M1007</f>
        <v/>
      </c>
      <c r="S1007" s="54">
        <f>(M1011-M1007)/M1007</f>
        <v/>
      </c>
      <c r="T1007" s="63">
        <f>IF(R1007&gt;0,1,"")</f>
        <v/>
      </c>
      <c r="U1007" s="63">
        <f>IF(S1007&gt;0,1,"")</f>
        <v/>
      </c>
    </row>
    <row r="1008">
      <c r="A1008" s="35" t="n">
        <v>38946</v>
      </c>
      <c r="B1008" s="4" t="n">
        <v>0.3053</v>
      </c>
      <c r="C1008" s="4" t="n">
        <v>0.3368</v>
      </c>
      <c r="D1008" s="4" t="n">
        <v>0.3579</v>
      </c>
      <c r="E1008" s="63" t="n">
        <v>1</v>
      </c>
      <c r="F1008" s="63" t="n">
        <v>0.3376375</v>
      </c>
      <c r="G1008" s="63" t="n">
        <v>-0.0526</v>
      </c>
      <c r="H1008" s="63" t="n">
        <v>0.384907436629</v>
      </c>
      <c r="I1008" s="63" t="n">
        <v>0.48829287048</v>
      </c>
      <c r="J1008" s="63" t="n">
        <v>0.281522002778</v>
      </c>
      <c r="K1008" s="63" t="n">
        <v>1296.31</v>
      </c>
      <c r="L1008" s="63" t="n">
        <v>1292.71</v>
      </c>
      <c r="M1008" s="63" t="n">
        <v>1294.21</v>
      </c>
      <c r="N1008" s="54">
        <f>(M1009-M1008)/M1008</f>
        <v/>
      </c>
      <c r="O1008" s="54">
        <f>(M1012-M1008)/M1008</f>
        <v/>
      </c>
      <c r="P1008" s="4">
        <f>B1008-D1008</f>
        <v/>
      </c>
      <c r="Q1008" s="4">
        <f>AVERAGE(P1005:P1008)</f>
        <v/>
      </c>
      <c r="R1008" s="54">
        <f>(M1009-M1008)/M1008</f>
        <v/>
      </c>
      <c r="S1008" s="54">
        <f>(M1012-M1008)/M1008</f>
        <v/>
      </c>
      <c r="T1008" s="63">
        <f>IF(R1008&gt;0,1,"")</f>
        <v/>
      </c>
      <c r="U1008" s="63">
        <f>IF(S1008&gt;0,1,"")</f>
        <v/>
      </c>
    </row>
    <row r="1009">
      <c r="A1009" s="35" t="n">
        <v>38953</v>
      </c>
      <c r="B1009" s="4" t="n">
        <v>0.3935</v>
      </c>
      <c r="C1009" s="4" t="n">
        <v>0.2323</v>
      </c>
      <c r="D1009" s="4" t="n">
        <v>0.3742</v>
      </c>
      <c r="E1009" s="63" t="n">
        <v>1</v>
      </c>
      <c r="F1009" s="63" t="n">
        <v>0.338575</v>
      </c>
      <c r="G1009" s="63" t="n">
        <v>0.0193</v>
      </c>
      <c r="H1009" s="63" t="n">
        <v>0.384907436629</v>
      </c>
      <c r="I1009" s="63" t="n">
        <v>0.48829287048</v>
      </c>
      <c r="J1009" s="63" t="n">
        <v>0.281522002778</v>
      </c>
      <c r="K1009" s="63" t="n">
        <v>1297.23</v>
      </c>
      <c r="L1009" s="63" t="n">
        <v>1291.49</v>
      </c>
      <c r="M1009" s="63" t="n">
        <v>1291.94</v>
      </c>
      <c r="N1009" s="54">
        <f>(M1010-M1009)/M1009</f>
        <v/>
      </c>
      <c r="O1009" s="54">
        <f>(M1013-M1009)/M1009</f>
        <v/>
      </c>
      <c r="P1009" s="4">
        <f>B1009-D1009</f>
        <v/>
      </c>
      <c r="Q1009" s="4">
        <f>AVERAGE(P1006:P1009)</f>
        <v/>
      </c>
      <c r="R1009" s="54">
        <f>(M1010-M1009)/M1009</f>
        <v/>
      </c>
      <c r="S1009" s="54">
        <f>(M1013-M1009)/M1009</f>
        <v/>
      </c>
      <c r="T1009" s="63">
        <f>IF(R1009&gt;0,1,"")</f>
        <v/>
      </c>
      <c r="U1009" s="63">
        <f>IF(S1009&gt;0,1,"")</f>
        <v/>
      </c>
    </row>
    <row r="1010">
      <c r="A1010" s="35" t="n">
        <v>38960</v>
      </c>
      <c r="B1010" s="4" t="n">
        <v>0.4157</v>
      </c>
      <c r="C1010" s="4" t="n">
        <v>0.3258</v>
      </c>
      <c r="D1010" s="4" t="n">
        <v>0.2584</v>
      </c>
      <c r="E1010" s="63" t="n">
        <v>0.9999</v>
      </c>
      <c r="F1010" s="63" t="n">
        <v>0.3434125</v>
      </c>
      <c r="G1010" s="63" t="n">
        <v>0.1573</v>
      </c>
      <c r="H1010" s="63" t="n">
        <v>0.384907436629</v>
      </c>
      <c r="I1010" s="63" t="n">
        <v>0.48829287048</v>
      </c>
      <c r="J1010" s="63" t="n">
        <v>0.281522002778</v>
      </c>
      <c r="K1010" s="63" t="n">
        <v>1305.5</v>
      </c>
      <c r="L1010" s="63" t="n">
        <v>1302.45</v>
      </c>
      <c r="M1010" s="63" t="n">
        <v>1302.93</v>
      </c>
      <c r="N1010" s="54">
        <f>(M1011-M1010)/M1010</f>
        <v/>
      </c>
      <c r="O1010" s="54">
        <f>(M1014-M1010)/M1010</f>
        <v/>
      </c>
      <c r="P1010" s="4">
        <f>B1010-D1010</f>
        <v/>
      </c>
      <c r="Q1010" s="4">
        <f>AVERAGE(P1007:P1010)</f>
        <v/>
      </c>
      <c r="R1010" s="54">
        <f>(M1011-M1010)/M1010</f>
        <v/>
      </c>
      <c r="S1010" s="54">
        <f>(M1014-M1010)/M1010</f>
        <v/>
      </c>
      <c r="T1010" s="63">
        <f>IF(R1010&gt;0,1,"")</f>
        <v/>
      </c>
      <c r="U1010" s="63">
        <f>IF(S1010&gt;0,1,"")</f>
        <v/>
      </c>
    </row>
    <row r="1011">
      <c r="A1011" s="35" t="n">
        <v>38967</v>
      </c>
      <c r="B1011" s="4" t="n">
        <v>0.4299</v>
      </c>
      <c r="C1011" s="4" t="n">
        <v>0.271</v>
      </c>
      <c r="D1011" s="4" t="n">
        <v>0.2991</v>
      </c>
      <c r="E1011" s="63" t="n">
        <v>1</v>
      </c>
      <c r="F1011" s="63" t="n">
        <v>0.351525</v>
      </c>
      <c r="G1011" s="63" t="n">
        <v>0.1308</v>
      </c>
      <c r="H1011" s="63" t="n">
        <v>0.384907436629</v>
      </c>
      <c r="I1011" s="63" t="n">
        <v>0.48829287048</v>
      </c>
      <c r="J1011" s="63" t="n">
        <v>0.281522002778</v>
      </c>
      <c r="K1011" s="63" t="n">
        <v>1301.25</v>
      </c>
      <c r="L1011" s="63" t="n">
        <v>1292.13</v>
      </c>
      <c r="M1011" s="63" t="n">
        <v>1297.79</v>
      </c>
      <c r="N1011" s="54">
        <f>(M1012-M1011)/M1011</f>
        <v/>
      </c>
      <c r="O1011" s="54">
        <f>(M1015-M1011)/M1011</f>
        <v/>
      </c>
      <c r="P1011" s="4">
        <f>B1011-D1011</f>
        <v/>
      </c>
      <c r="Q1011" s="4">
        <f>AVERAGE(P1008:P1011)</f>
        <v/>
      </c>
      <c r="R1011" s="54">
        <f>(M1012-M1011)/M1011</f>
        <v/>
      </c>
      <c r="S1011" s="54">
        <f>(M1015-M1011)/M1011</f>
        <v/>
      </c>
      <c r="T1011" s="63">
        <f>IF(R1011&gt;0,1,"")</f>
        <v/>
      </c>
      <c r="U1011" s="63">
        <f>IF(S1011&gt;0,1,"")</f>
        <v/>
      </c>
    </row>
    <row r="1012">
      <c r="A1012" s="35" t="n">
        <v>38974</v>
      </c>
      <c r="B1012" s="4" t="n">
        <v>0.4795</v>
      </c>
      <c r="C1012" s="4" t="n">
        <v>0.137</v>
      </c>
      <c r="D1012" s="4" t="n">
        <v>0.3836</v>
      </c>
      <c r="E1012" s="63" t="n">
        <v>1.0001</v>
      </c>
      <c r="F1012" s="63" t="n">
        <v>0.38165</v>
      </c>
      <c r="G1012" s="63" t="n">
        <v>0.0959</v>
      </c>
      <c r="H1012" s="63" t="n">
        <v>0.384907436629</v>
      </c>
      <c r="I1012" s="63" t="n">
        <v>0.48829287048</v>
      </c>
      <c r="J1012" s="63" t="n">
        <v>0.281522002778</v>
      </c>
      <c r="K1012" s="63" t="n">
        <v>1318</v>
      </c>
      <c r="L1012" s="63" t="n">
        <v>1313.25</v>
      </c>
      <c r="M1012" s="63" t="n">
        <v>1316.28</v>
      </c>
      <c r="N1012" s="54">
        <f>(M1013-M1012)/M1012</f>
        <v/>
      </c>
      <c r="O1012" s="54">
        <f>(M1016-M1012)/M1012</f>
        <v/>
      </c>
      <c r="P1012" s="4">
        <f>B1012-D1012</f>
        <v/>
      </c>
      <c r="Q1012" s="4">
        <f>AVERAGE(P1009:P1012)</f>
        <v/>
      </c>
      <c r="R1012" s="54">
        <f>(M1013-M1012)/M1012</f>
        <v/>
      </c>
      <c r="S1012" s="54">
        <f>(M1016-M1012)/M1012</f>
        <v/>
      </c>
      <c r="T1012" s="63">
        <f>IF(R1012&gt;0,1,"")</f>
        <v/>
      </c>
      <c r="U1012" s="63">
        <f>IF(S1012&gt;0,1,"")</f>
        <v/>
      </c>
    </row>
    <row r="1013">
      <c r="A1013" s="35" t="n">
        <v>38981</v>
      </c>
      <c r="B1013" s="4" t="n">
        <v>0.4775</v>
      </c>
      <c r="C1013" s="4" t="n">
        <v>0.1802</v>
      </c>
      <c r="D1013" s="4" t="n">
        <v>0.3423</v>
      </c>
      <c r="E1013" s="63" t="n">
        <v>1</v>
      </c>
      <c r="F1013" s="63" t="n">
        <v>0.3977375</v>
      </c>
      <c r="G1013" s="63" t="n">
        <v>0.1352</v>
      </c>
      <c r="H1013" s="63" t="n">
        <v>0.384907436629</v>
      </c>
      <c r="I1013" s="63" t="n">
        <v>0.48829287048</v>
      </c>
      <c r="J1013" s="63" t="n">
        <v>0.281522002778</v>
      </c>
      <c r="K1013" s="63" t="n">
        <v>1328.19</v>
      </c>
      <c r="L1013" s="63" t="n">
        <v>1322.59</v>
      </c>
      <c r="M1013" s="63" t="n">
        <v>1326.9</v>
      </c>
      <c r="N1013" s="54">
        <f>(M1014-M1013)/M1013</f>
        <v/>
      </c>
      <c r="O1013" s="54">
        <f>(M1017-M1013)/M1013</f>
        <v/>
      </c>
      <c r="P1013" s="4">
        <f>B1013-D1013</f>
        <v/>
      </c>
      <c r="Q1013" s="4">
        <f>AVERAGE(P1010:P1013)</f>
        <v/>
      </c>
      <c r="R1013" s="54">
        <f>(M1014-M1013)/M1013</f>
        <v/>
      </c>
      <c r="S1013" s="54">
        <f>(M1017-M1013)/M1013</f>
        <v/>
      </c>
      <c r="T1013" s="63">
        <f>IF(R1013&gt;0,1,"")</f>
        <v/>
      </c>
      <c r="U1013" s="63">
        <f>IF(S1013&gt;0,1,"")</f>
        <v/>
      </c>
    </row>
    <row r="1014">
      <c r="A1014" s="35" t="n">
        <v>38988</v>
      </c>
      <c r="B1014" s="4" t="n">
        <v>0.5132</v>
      </c>
      <c r="C1014" s="4" t="n">
        <v>0.1579</v>
      </c>
      <c r="D1014" s="4" t="n">
        <v>0.3289</v>
      </c>
      <c r="E1014" s="63" t="n">
        <v>1</v>
      </c>
      <c r="F1014" s="63" t="n">
        <v>0.4225625</v>
      </c>
      <c r="G1014" s="63" t="n">
        <v>0.1843</v>
      </c>
      <c r="H1014" s="63" t="n">
        <v>0.384907436629</v>
      </c>
      <c r="I1014" s="63" t="n">
        <v>0.48829287048</v>
      </c>
      <c r="J1014" s="63" t="n">
        <v>0.281522002778</v>
      </c>
      <c r="K1014" s="63" t="n">
        <v>1339.73</v>
      </c>
      <c r="L1014" s="63" t="n">
        <v>1334.75</v>
      </c>
      <c r="M1014" s="63" t="n">
        <v>1336.87</v>
      </c>
      <c r="N1014" s="54">
        <f>(M1015-M1014)/M1014</f>
        <v/>
      </c>
      <c r="O1014" s="54">
        <f>(M1018-M1014)/M1014</f>
        <v/>
      </c>
      <c r="P1014" s="4">
        <f>B1014-D1014</f>
        <v/>
      </c>
      <c r="Q1014" s="4">
        <f>AVERAGE(P1011:P1014)</f>
        <v/>
      </c>
      <c r="R1014" s="54">
        <f>(M1015-M1014)/M1014</f>
        <v/>
      </c>
      <c r="S1014" s="54">
        <f>(M1018-M1014)/M1014</f>
        <v/>
      </c>
      <c r="T1014" s="63">
        <f>IF(R1014&gt;0,1,"")</f>
        <v/>
      </c>
      <c r="U1014" s="63">
        <f>IF(S1014&gt;0,1,"")</f>
        <v/>
      </c>
    </row>
    <row r="1015">
      <c r="A1015" s="35" t="n">
        <v>38995</v>
      </c>
      <c r="B1015" s="4" t="n">
        <v>0.3778</v>
      </c>
      <c r="C1015" s="4" t="n">
        <v>0.1556</v>
      </c>
      <c r="D1015" s="4" t="n">
        <v>0.4667</v>
      </c>
      <c r="E1015" s="63" t="n">
        <v>1.0001</v>
      </c>
      <c r="F1015" s="63" t="n">
        <v>0.42405</v>
      </c>
      <c r="G1015" s="63" t="n">
        <v>-0.08890000000000001</v>
      </c>
      <c r="H1015" s="63" t="n">
        <v>0.384907436629</v>
      </c>
      <c r="I1015" s="63" t="n">
        <v>0.48829287048</v>
      </c>
      <c r="J1015" s="63" t="n">
        <v>0.281522002778</v>
      </c>
      <c r="K1015" s="63" t="n">
        <v>1351.57</v>
      </c>
      <c r="L1015" s="63" t="n">
        <v>1347.75</v>
      </c>
      <c r="M1015" s="63" t="n">
        <v>1348.56</v>
      </c>
      <c r="N1015" s="54">
        <f>(M1016-M1015)/M1015</f>
        <v/>
      </c>
      <c r="O1015" s="54">
        <f>(M1019-M1015)/M1015</f>
        <v/>
      </c>
      <c r="P1015" s="4">
        <f>B1015-D1015</f>
        <v/>
      </c>
      <c r="Q1015" s="4">
        <f>AVERAGE(P1012:P1015)</f>
        <v/>
      </c>
      <c r="R1015" s="54">
        <f>(M1016-M1015)/M1015</f>
        <v/>
      </c>
      <c r="S1015" s="54">
        <f>(M1019-M1015)/M1015</f>
        <v/>
      </c>
      <c r="T1015" s="63">
        <f>IF(R1015&gt;0,1,"")</f>
        <v/>
      </c>
      <c r="U1015" s="63">
        <f>IF(S1015&gt;0,1,"")</f>
        <v/>
      </c>
    </row>
    <row r="1016">
      <c r="A1016" s="35" t="n">
        <v>39002</v>
      </c>
      <c r="B1016" s="4" t="n">
        <v>0.4898</v>
      </c>
      <c r="C1016" s="4" t="n">
        <v>0.1327</v>
      </c>
      <c r="D1016" s="4" t="n">
        <v>0.3776</v>
      </c>
      <c r="E1016" s="63" t="n">
        <v>1.0001</v>
      </c>
      <c r="F1016" s="63" t="n">
        <v>0.4471125</v>
      </c>
      <c r="G1016" s="63" t="n">
        <v>0.1122</v>
      </c>
      <c r="H1016" s="63" t="n">
        <v>0.384907436629</v>
      </c>
      <c r="I1016" s="63" t="n">
        <v>0.48829287048</v>
      </c>
      <c r="J1016" s="63" t="n">
        <v>0.281522002778</v>
      </c>
      <c r="K1016" s="63" t="n">
        <v>1359.05</v>
      </c>
      <c r="L1016" s="63" t="n">
        <v>1349.94</v>
      </c>
      <c r="M1016" s="63" t="n">
        <v>1357.88</v>
      </c>
      <c r="N1016" s="54">
        <f>(M1017-M1016)/M1016</f>
        <v/>
      </c>
      <c r="O1016" s="54">
        <f>(M1020-M1016)/M1016</f>
        <v/>
      </c>
      <c r="P1016" s="4">
        <f>B1016-D1016</f>
        <v/>
      </c>
      <c r="Q1016" s="4">
        <f>AVERAGE(P1013:P1016)</f>
        <v/>
      </c>
      <c r="R1016" s="54">
        <f>(M1017-M1016)/M1016</f>
        <v/>
      </c>
      <c r="S1016" s="54">
        <f>(M1020-M1016)/M1016</f>
        <v/>
      </c>
      <c r="T1016" s="63">
        <f>IF(R1016&gt;0,1,"")</f>
        <v/>
      </c>
      <c r="U1016" s="63">
        <f>IF(S1016&gt;0,1,"")</f>
        <v/>
      </c>
    </row>
    <row r="1017">
      <c r="A1017" s="35" t="n">
        <v>39009</v>
      </c>
      <c r="B1017" s="4" t="n">
        <v>0.542</v>
      </c>
      <c r="C1017" s="4" t="n">
        <v>0.1603</v>
      </c>
      <c r="D1017" s="4" t="n">
        <v>0.2977</v>
      </c>
      <c r="E1017" s="63" t="n">
        <v>1</v>
      </c>
      <c r="F1017" s="63" t="n">
        <v>0.465675</v>
      </c>
      <c r="G1017" s="63" t="n">
        <v>0.2443</v>
      </c>
      <c r="H1017" s="63" t="n">
        <v>0.384907436629</v>
      </c>
      <c r="I1017" s="63" t="n">
        <v>0.48829287048</v>
      </c>
      <c r="J1017" s="63" t="n">
        <v>0.281522002778</v>
      </c>
      <c r="K1017" s="63" t="n">
        <v>1368.09</v>
      </c>
      <c r="L1017" s="63" t="n">
        <v>1362.06</v>
      </c>
      <c r="M1017" s="63" t="n">
        <v>1366.96</v>
      </c>
      <c r="N1017" s="54">
        <f>(M1018-M1017)/M1017</f>
        <v/>
      </c>
      <c r="O1017" s="54">
        <f>(M1021-M1017)/M1017</f>
        <v/>
      </c>
      <c r="P1017" s="4">
        <f>B1017-D1017</f>
        <v/>
      </c>
      <c r="Q1017" s="4">
        <f>AVERAGE(P1014:P1017)</f>
        <v/>
      </c>
      <c r="R1017" s="54">
        <f>(M1018-M1017)/M1017</f>
        <v/>
      </c>
      <c r="S1017" s="54">
        <f>(M1021-M1017)/M1017</f>
        <v/>
      </c>
      <c r="T1017" s="63">
        <f>IF(R1017&gt;0,1,"")</f>
        <v/>
      </c>
      <c r="U1017" s="63">
        <f>IF(S1017&gt;0,1,"")</f>
        <v/>
      </c>
    </row>
    <row r="1018">
      <c r="A1018" s="35" t="n">
        <v>39016</v>
      </c>
      <c r="B1018" s="4" t="n">
        <v>0.5217000000000001</v>
      </c>
      <c r="C1018" s="4" t="n">
        <v>0.1739</v>
      </c>
      <c r="D1018" s="4" t="n">
        <v>0.3043</v>
      </c>
      <c r="E1018" s="63" t="n">
        <v>0.9999</v>
      </c>
      <c r="F1018" s="63" t="n">
        <v>0.478925</v>
      </c>
      <c r="G1018" s="63" t="n">
        <v>0.2174</v>
      </c>
      <c r="H1018" s="63" t="n">
        <v>0.384907436629</v>
      </c>
      <c r="I1018" s="63" t="n">
        <v>0.48829287048</v>
      </c>
      <c r="J1018" s="63" t="n">
        <v>0.281522002778</v>
      </c>
      <c r="K1018" s="63" t="n">
        <v>1386.53</v>
      </c>
      <c r="L1018" s="63" t="n">
        <v>1379.47</v>
      </c>
      <c r="M1018" s="63" t="n">
        <v>1385.15</v>
      </c>
      <c r="N1018" s="54">
        <f>(M1019-M1018)/M1018</f>
        <v/>
      </c>
      <c r="O1018" s="54">
        <f>(M1022-M1018)/M1018</f>
        <v/>
      </c>
      <c r="P1018" s="4">
        <f>B1018-D1018</f>
        <v/>
      </c>
      <c r="Q1018" s="4">
        <f>AVERAGE(P1015:P1018)</f>
        <v/>
      </c>
      <c r="R1018" s="54">
        <f>(M1019-M1018)/M1018</f>
        <v/>
      </c>
      <c r="S1018" s="54">
        <f>(M1022-M1018)/M1018</f>
        <v/>
      </c>
      <c r="T1018" s="63">
        <f>IF(R1018&gt;0,1,"")</f>
        <v/>
      </c>
      <c r="U1018" s="63">
        <f>IF(S1018&gt;0,1,"")</f>
        <v/>
      </c>
    </row>
    <row r="1019">
      <c r="A1019" s="35" t="n">
        <v>39023</v>
      </c>
      <c r="B1019" s="4" t="n">
        <v>0.4375</v>
      </c>
      <c r="C1019" s="4" t="n">
        <v>0.1938</v>
      </c>
      <c r="D1019" s="4" t="n">
        <v>0.3688</v>
      </c>
      <c r="E1019" s="63" t="n">
        <v>1.0001</v>
      </c>
      <c r="F1019" s="63" t="n">
        <v>0.479875</v>
      </c>
      <c r="G1019" s="63" t="n">
        <v>0.0687</v>
      </c>
      <c r="H1019" s="63" t="n">
        <v>0.384907436629</v>
      </c>
      <c r="I1019" s="63" t="n">
        <v>0.48829287048</v>
      </c>
      <c r="J1019" s="63" t="n">
        <v>0.281522002778</v>
      </c>
      <c r="K1019" s="63" t="n">
        <v>1367.44</v>
      </c>
      <c r="L1019" s="63" t="n">
        <v>1362.21</v>
      </c>
      <c r="M1019" s="63" t="n">
        <v>1366.31</v>
      </c>
      <c r="N1019" s="54">
        <f>(M1020-M1019)/M1019</f>
        <v/>
      </c>
      <c r="O1019" s="54">
        <f>(M1023-M1019)/M1019</f>
        <v/>
      </c>
      <c r="P1019" s="4">
        <f>B1019-D1019</f>
        <v/>
      </c>
      <c r="Q1019" s="4">
        <f>AVERAGE(P1016:P1019)</f>
        <v/>
      </c>
      <c r="R1019" s="54">
        <f>(M1020-M1019)/M1019</f>
        <v/>
      </c>
      <c r="S1019" s="54">
        <f>(M1023-M1019)/M1019</f>
        <v/>
      </c>
      <c r="T1019" s="63">
        <f>IF(R1019&gt;0,1,"")</f>
        <v/>
      </c>
      <c r="U1019" s="63">
        <f>IF(S1019&gt;0,1,"")</f>
        <v/>
      </c>
    </row>
    <row r="1020">
      <c r="A1020" s="35" t="n">
        <v>39030</v>
      </c>
      <c r="B1020" s="4" t="n">
        <v>0.506</v>
      </c>
      <c r="C1020" s="4" t="n">
        <v>0.2289</v>
      </c>
      <c r="D1020" s="4" t="n">
        <v>0.2651</v>
      </c>
      <c r="E1020" s="63" t="n">
        <v>1</v>
      </c>
      <c r="F1020" s="63" t="n">
        <v>0.4831875</v>
      </c>
      <c r="G1020" s="63" t="n">
        <v>0.2409</v>
      </c>
      <c r="H1020" s="63" t="n">
        <v>0.384907436629</v>
      </c>
      <c r="I1020" s="63" t="n">
        <v>0.48829287048</v>
      </c>
      <c r="J1020" s="63" t="n">
        <v>0.281522002778</v>
      </c>
      <c r="K1020" s="63" t="n">
        <v>1388.92</v>
      </c>
      <c r="L1020" s="63" t="n">
        <v>1377.37</v>
      </c>
      <c r="M1020" s="63" t="n">
        <v>1378.33</v>
      </c>
      <c r="N1020" s="54">
        <f>(M1021-M1020)/M1020</f>
        <v/>
      </c>
      <c r="O1020" s="54">
        <f>(M1024-M1020)/M1020</f>
        <v/>
      </c>
      <c r="P1020" s="4">
        <f>B1020-D1020</f>
        <v/>
      </c>
      <c r="Q1020" s="4">
        <f>AVERAGE(P1017:P1020)</f>
        <v/>
      </c>
      <c r="R1020" s="54">
        <f>(M1021-M1020)/M1020</f>
        <v/>
      </c>
      <c r="S1020" s="54">
        <f>(M1024-M1020)/M1020</f>
        <v/>
      </c>
      <c r="T1020" s="63">
        <f>IF(R1020&gt;0,1,"")</f>
        <v/>
      </c>
      <c r="U1020" s="63">
        <f>IF(S1020&gt;0,1,"")</f>
        <v/>
      </c>
    </row>
    <row r="1021">
      <c r="A1021" s="35" t="n">
        <v>39037</v>
      </c>
      <c r="B1021" s="4" t="n">
        <v>0.4656</v>
      </c>
      <c r="C1021" s="4" t="n">
        <v>0.229</v>
      </c>
      <c r="D1021" s="4" t="n">
        <v>0.3053</v>
      </c>
      <c r="E1021" s="63" t="n">
        <v>0.9999</v>
      </c>
      <c r="F1021" s="63" t="n">
        <v>0.4817</v>
      </c>
      <c r="G1021" s="63" t="n">
        <v>0.1603</v>
      </c>
      <c r="H1021" s="63" t="n">
        <v>0.384907436629</v>
      </c>
      <c r="I1021" s="63" t="n">
        <v>0.48829287048</v>
      </c>
      <c r="J1021" s="63" t="n">
        <v>0.281522002778</v>
      </c>
      <c r="K1021" s="63" t="n">
        <v>1401.79</v>
      </c>
      <c r="L1021" s="63" t="n">
        <v>1396.53</v>
      </c>
      <c r="M1021" s="63" t="n">
        <v>1400.08</v>
      </c>
      <c r="N1021" s="54">
        <f>(M1022-M1021)/M1021</f>
        <v/>
      </c>
      <c r="O1021" s="54">
        <f>(M1025-M1021)/M1021</f>
        <v/>
      </c>
      <c r="P1021" s="4">
        <f>B1021-D1021</f>
        <v/>
      </c>
      <c r="Q1021" s="4">
        <f>AVERAGE(P1018:P1021)</f>
        <v/>
      </c>
      <c r="R1021" s="54">
        <f>(M1022-M1021)/M1021</f>
        <v/>
      </c>
      <c r="S1021" s="54">
        <f>(M1025-M1021)/M1021</f>
        <v/>
      </c>
      <c r="T1021" s="63">
        <f>IF(R1021&gt;0,1,"")</f>
        <v/>
      </c>
      <c r="U1021" s="63">
        <f>IF(S1021&gt;0,1,"")</f>
        <v/>
      </c>
    </row>
    <row r="1022">
      <c r="A1022" s="35" t="n">
        <v>39044</v>
      </c>
      <c r="B1022" s="4" t="n">
        <v>0.4194</v>
      </c>
      <c r="C1022" s="4" t="n">
        <v>0.1613</v>
      </c>
      <c r="D1022" s="4" t="n">
        <v>0.4194</v>
      </c>
      <c r="E1022" s="63" t="n">
        <v>1.0001</v>
      </c>
      <c r="F1022" s="63" t="n">
        <v>0.469975</v>
      </c>
      <c r="G1022" s="63" t="n">
        <v>0</v>
      </c>
      <c r="H1022" s="63" t="n">
        <v>0.384907436629</v>
      </c>
      <c r="I1022" s="63" t="n">
        <v>0.48829287048</v>
      </c>
      <c r="J1022" s="63" t="n">
        <v>0.281522002778</v>
      </c>
      <c r="K1022" s="63" t="n">
        <v>1407.89</v>
      </c>
      <c r="L1022" s="63" t="n">
        <v>1402.26</v>
      </c>
      <c r="M1022" s="63" t="n">
        <v>1406.09</v>
      </c>
      <c r="N1022" s="54">
        <f>(M1023-M1022)/M1022</f>
        <v/>
      </c>
      <c r="O1022" s="54">
        <f>(M1026-M1022)/M1022</f>
        <v/>
      </c>
      <c r="P1022" s="4">
        <f>B1022-D1022</f>
        <v/>
      </c>
      <c r="Q1022" s="4">
        <f>AVERAGE(P1019:P1022)</f>
        <v/>
      </c>
      <c r="R1022" s="54">
        <f>(M1023-M1022)/M1022</f>
        <v/>
      </c>
      <c r="S1022" s="54">
        <f>(M1026-M1022)/M1022</f>
        <v/>
      </c>
      <c r="T1022" s="63">
        <f>IF(R1022&gt;0,1,"")</f>
        <v/>
      </c>
      <c r="U1022" s="63">
        <f>IF(S1022&gt;0,1,"")</f>
        <v/>
      </c>
    </row>
    <row r="1023">
      <c r="A1023" s="35" t="n">
        <v>39051</v>
      </c>
      <c r="B1023" s="4" t="n">
        <v>0.4022</v>
      </c>
      <c r="C1023" s="4" t="n">
        <v>0.1229</v>
      </c>
      <c r="D1023" s="4" t="n">
        <v>0.4749</v>
      </c>
      <c r="E1023" s="63" t="n">
        <v>1</v>
      </c>
      <c r="F1023" s="63" t="n">
        <v>0.473025</v>
      </c>
      <c r="G1023" s="63" t="n">
        <v>-0.0727</v>
      </c>
      <c r="H1023" s="63" t="n">
        <v>0.384907436629</v>
      </c>
      <c r="I1023" s="63" t="n">
        <v>0.48829287048</v>
      </c>
      <c r="J1023" s="63" t="n">
        <v>0.281522002778</v>
      </c>
      <c r="K1023" s="63" t="n">
        <v>1402.67</v>
      </c>
      <c r="L1023" s="63" t="n">
        <v>1394.85</v>
      </c>
      <c r="M1023" s="63" t="n">
        <v>1395.97</v>
      </c>
      <c r="N1023" s="54">
        <f>(M1024-M1023)/M1023</f>
        <v/>
      </c>
      <c r="O1023" s="54">
        <f>(M1027-M1023)/M1023</f>
        <v/>
      </c>
      <c r="P1023" s="4">
        <f>B1023-D1023</f>
        <v/>
      </c>
      <c r="Q1023" s="4">
        <f>AVERAGE(P1020:P1023)</f>
        <v/>
      </c>
      <c r="R1023" s="54">
        <f>(M1024-M1023)/M1023</f>
        <v/>
      </c>
      <c r="S1023" s="54">
        <f>(M1027-M1023)/M1023</f>
        <v/>
      </c>
      <c r="T1023" s="63">
        <f>IF(R1023&gt;0,1,"")</f>
        <v/>
      </c>
      <c r="U1023" s="63">
        <f>IF(S1023&gt;0,1,"")</f>
        <v/>
      </c>
    </row>
    <row r="1024">
      <c r="A1024" s="35" t="n">
        <v>39058</v>
      </c>
      <c r="B1024" s="4" t="n">
        <v>0.3894</v>
      </c>
      <c r="C1024" s="4" t="n">
        <v>0.1947</v>
      </c>
      <c r="D1024" s="4" t="n">
        <v>0.4159</v>
      </c>
      <c r="E1024" s="63" t="n">
        <v>1</v>
      </c>
      <c r="F1024" s="63" t="n">
        <v>0.460475</v>
      </c>
      <c r="G1024" s="63" t="n">
        <v>-0.0265</v>
      </c>
      <c r="H1024" s="63" t="n">
        <v>0.384907436629</v>
      </c>
      <c r="I1024" s="63" t="n">
        <v>0.48829287048</v>
      </c>
      <c r="J1024" s="63" t="n">
        <v>0.281522002778</v>
      </c>
      <c r="K1024" s="63" t="n">
        <v>1415.93</v>
      </c>
      <c r="L1024" s="63" t="n">
        <v>1396.67</v>
      </c>
      <c r="M1024" s="63" t="n">
        <v>1412.9</v>
      </c>
      <c r="N1024" s="54">
        <f>(M1025-M1024)/M1024</f>
        <v/>
      </c>
      <c r="O1024" s="54">
        <f>(M1028-M1024)/M1024</f>
        <v/>
      </c>
      <c r="P1024" s="4">
        <f>B1024-D1024</f>
        <v/>
      </c>
      <c r="Q1024" s="4">
        <f>AVERAGE(P1021:P1024)</f>
        <v/>
      </c>
      <c r="R1024" s="54">
        <f>(M1025-M1024)/M1024</f>
        <v/>
      </c>
      <c r="S1024" s="54">
        <f>(M1028-M1024)/M1024</f>
        <v/>
      </c>
      <c r="T1024" s="63">
        <f>IF(R1024&gt;0,1,"")</f>
        <v/>
      </c>
      <c r="U1024" s="63">
        <f>IF(S1024&gt;0,1,"")</f>
        <v/>
      </c>
    </row>
    <row r="1025">
      <c r="A1025" s="35" t="n">
        <v>39065</v>
      </c>
      <c r="B1025" s="4" t="n">
        <v>0.4133</v>
      </c>
      <c r="C1025" s="4" t="n">
        <v>0.2067</v>
      </c>
      <c r="D1025" s="4" t="n">
        <v>0.38</v>
      </c>
      <c r="E1025" s="63" t="n">
        <v>1</v>
      </c>
      <c r="F1025" s="63" t="n">
        <v>0.4443875</v>
      </c>
      <c r="G1025" s="63" t="n">
        <v>0.0333</v>
      </c>
      <c r="H1025" s="63" t="n">
        <v>0.384907436629</v>
      </c>
      <c r="I1025" s="63" t="n">
        <v>0.48829287048</v>
      </c>
      <c r="J1025" s="63" t="n">
        <v>0.281522002778</v>
      </c>
      <c r="K1025" s="63" t="n">
        <v>1424.64</v>
      </c>
      <c r="L1025" s="63" t="n">
        <v>1413.16</v>
      </c>
      <c r="M1025" s="63" t="n">
        <v>1422.34</v>
      </c>
      <c r="N1025" s="54">
        <f>(M1026-M1025)/M1025</f>
        <v/>
      </c>
      <c r="O1025" s="54">
        <f>(M1029-M1025)/M1025</f>
        <v/>
      </c>
      <c r="P1025" s="4">
        <f>B1025-D1025</f>
        <v/>
      </c>
      <c r="Q1025" s="4">
        <f>AVERAGE(P1022:P1025)</f>
        <v/>
      </c>
      <c r="R1025" s="54">
        <f>(M1026-M1025)/M1025</f>
        <v/>
      </c>
      <c r="S1025" s="54">
        <f>(M1029-M1025)/M1025</f>
        <v/>
      </c>
      <c r="T1025" s="63">
        <f>IF(R1025&gt;0,1,"")</f>
        <v/>
      </c>
      <c r="U1025" s="63">
        <f>IF(S1025&gt;0,1,"")</f>
        <v/>
      </c>
    </row>
    <row r="1026">
      <c r="A1026" s="35" t="n">
        <v>39072</v>
      </c>
      <c r="B1026" s="4" t="n">
        <v>0.3908</v>
      </c>
      <c r="C1026" s="4" t="n">
        <v>0.1839</v>
      </c>
      <c r="D1026" s="4" t="n">
        <v>0.4253</v>
      </c>
      <c r="E1026" s="63" t="n">
        <v>1</v>
      </c>
      <c r="F1026" s="63" t="n">
        <v>0.428025</v>
      </c>
      <c r="G1026" s="63" t="n">
        <v>-0.0345</v>
      </c>
      <c r="H1026" s="63" t="n">
        <v>0.384907436629</v>
      </c>
      <c r="I1026" s="63" t="n">
        <v>0.48829287048</v>
      </c>
      <c r="J1026" s="63" t="n">
        <v>0.281522002778</v>
      </c>
      <c r="K1026" s="63" t="n">
        <v>1426.4</v>
      </c>
      <c r="L1026" s="63" t="n">
        <v>1423.2</v>
      </c>
      <c r="M1026" s="63" t="n">
        <v>1425.84</v>
      </c>
      <c r="N1026" s="54">
        <f>(M1027-M1026)/M1026</f>
        <v/>
      </c>
      <c r="O1026" s="54">
        <f>(M1030-M1026)/M1026</f>
        <v/>
      </c>
      <c r="P1026" s="4">
        <f>B1026-D1026</f>
        <v/>
      </c>
      <c r="Q1026" s="4">
        <f>AVERAGE(P1023:P1026)</f>
        <v/>
      </c>
      <c r="R1026" s="54">
        <f>(M1027-M1026)/M1026</f>
        <v/>
      </c>
      <c r="S1026" s="54">
        <f>(M1030-M1026)/M1026</f>
        <v/>
      </c>
      <c r="T1026" s="63">
        <f>IF(R1026&gt;0,1,"")</f>
        <v/>
      </c>
      <c r="U1026" s="63">
        <f>IF(S1026&gt;0,1,"")</f>
        <v/>
      </c>
    </row>
    <row r="1027">
      <c r="A1027" s="35" t="n">
        <v>39079</v>
      </c>
      <c r="B1027" s="4" t="n">
        <v>0.46</v>
      </c>
      <c r="C1027" s="4" t="n">
        <v>0.18</v>
      </c>
      <c r="D1027" s="4" t="n">
        <v>0.36</v>
      </c>
      <c r="E1027" s="63" t="n">
        <v>1</v>
      </c>
      <c r="F1027" s="63" t="n">
        <v>0.4308375</v>
      </c>
      <c r="G1027" s="63" t="n">
        <v>0.1</v>
      </c>
      <c r="H1027" s="63" t="n">
        <v>0.384907436629</v>
      </c>
      <c r="I1027" s="63" t="n">
        <v>0.48829287048</v>
      </c>
      <c r="J1027" s="63" t="n">
        <v>0.281522002778</v>
      </c>
      <c r="K1027" s="63" t="n">
        <v>1427.26</v>
      </c>
      <c r="L1027" s="63" t="n">
        <v>1422.05</v>
      </c>
      <c r="M1027" s="63" t="n">
        <v>1424.73</v>
      </c>
      <c r="N1027" s="54">
        <f>(M1028-M1027)/M1027</f>
        <v/>
      </c>
      <c r="O1027" s="54">
        <f>(M1031-M1027)/M1027</f>
        <v/>
      </c>
      <c r="P1027" s="4">
        <f>B1027-D1027</f>
        <v/>
      </c>
      <c r="Q1027" s="4">
        <f>AVERAGE(P1024:P1027)</f>
        <v/>
      </c>
      <c r="R1027" s="54">
        <f>(M1028-M1027)/M1027</f>
        <v/>
      </c>
      <c r="S1027" s="54">
        <f>(M1031-M1027)/M1027</f>
        <v/>
      </c>
      <c r="T1027" s="63">
        <f>IF(R1027&gt;0,1,"")</f>
        <v/>
      </c>
      <c r="U1027" s="63">
        <f>IF(S1027&gt;0,1,"")</f>
        <v/>
      </c>
    </row>
    <row r="1028">
      <c r="A1028" s="35" t="n">
        <v>39086</v>
      </c>
      <c r="B1028" s="4" t="n">
        <v>0.4914</v>
      </c>
      <c r="C1028" s="4" t="n">
        <v>0.2155</v>
      </c>
      <c r="D1028" s="4" t="n">
        <v>0.2931</v>
      </c>
      <c r="E1028" s="63" t="n">
        <v>1</v>
      </c>
      <c r="F1028" s="63" t="n">
        <v>0.4290125</v>
      </c>
      <c r="G1028" s="63" t="n">
        <v>0.1983</v>
      </c>
      <c r="H1028" s="63" t="n">
        <v>0.384907436629</v>
      </c>
      <c r="I1028" s="63" t="n">
        <v>0.48829287048</v>
      </c>
      <c r="J1028" s="63" t="n">
        <v>0.281522002778</v>
      </c>
      <c r="K1028" s="63" t="n">
        <v>1421.84</v>
      </c>
      <c r="L1028" s="63" t="n">
        <v>1408.22</v>
      </c>
      <c r="M1028" s="63" t="n">
        <v>1418.34</v>
      </c>
      <c r="N1028" s="54">
        <f>(M1029-M1028)/M1028</f>
        <v/>
      </c>
      <c r="O1028" s="54">
        <f>(M1032-M1028)/M1028</f>
        <v/>
      </c>
      <c r="P1028" s="4">
        <f>B1028-D1028</f>
        <v/>
      </c>
      <c r="Q1028" s="4">
        <f>AVERAGE(P1025:P1028)</f>
        <v/>
      </c>
      <c r="R1028" s="54">
        <f>(M1029-M1028)/M1028</f>
        <v/>
      </c>
      <c r="S1028" s="54">
        <f>(M1032-M1028)/M1028</f>
        <v/>
      </c>
      <c r="T1028" s="63">
        <f>IF(R1028&gt;0,1,"")</f>
        <v/>
      </c>
      <c r="U1028" s="63">
        <f>IF(S1028&gt;0,1,"")</f>
        <v/>
      </c>
    </row>
    <row r="1029">
      <c r="A1029" s="35" t="n">
        <v>39093</v>
      </c>
      <c r="B1029" s="4" t="n">
        <v>0.4444</v>
      </c>
      <c r="C1029" s="4" t="n">
        <v>0.213</v>
      </c>
      <c r="D1029" s="4" t="n">
        <v>0.3426</v>
      </c>
      <c r="E1029" s="63" t="n">
        <v>1</v>
      </c>
      <c r="F1029" s="63" t="n">
        <v>0.4263625</v>
      </c>
      <c r="G1029" s="63" t="n">
        <v>0.1018</v>
      </c>
      <c r="H1029" s="63" t="n">
        <v>0.384907436629</v>
      </c>
      <c r="I1029" s="63" t="n">
        <v>0.48829287048</v>
      </c>
      <c r="J1029" s="63" t="n">
        <v>0.281522002778</v>
      </c>
      <c r="K1029" s="63" t="n">
        <v>1418.84</v>
      </c>
      <c r="L1029" s="63" t="n">
        <v>1414.84</v>
      </c>
      <c r="M1029" s="63" t="n">
        <v>1418.78</v>
      </c>
      <c r="N1029" s="54">
        <f>(M1030-M1029)/M1029</f>
        <v/>
      </c>
      <c r="O1029" s="54">
        <f>(M1033-M1029)/M1029</f>
        <v/>
      </c>
      <c r="P1029" s="4">
        <f>B1029-D1029</f>
        <v/>
      </c>
      <c r="Q1029" s="4">
        <f>AVERAGE(P1026:P1029)</f>
        <v/>
      </c>
      <c r="R1029" s="54">
        <f>(M1030-M1029)/M1029</f>
        <v/>
      </c>
      <c r="S1029" s="54">
        <f>(M1033-M1029)/M1029</f>
        <v/>
      </c>
      <c r="T1029" s="63">
        <f>IF(R1029&gt;0,1,"")</f>
        <v/>
      </c>
      <c r="U1029" s="63">
        <f>IF(S1029&gt;0,1,"")</f>
        <v/>
      </c>
    </row>
    <row r="1030">
      <c r="A1030" s="35" t="n">
        <v>39100</v>
      </c>
      <c r="B1030" s="4" t="n">
        <v>0.5778</v>
      </c>
      <c r="C1030" s="4" t="n">
        <v>0.1515</v>
      </c>
      <c r="D1030" s="4" t="n">
        <v>0.2727</v>
      </c>
      <c r="E1030" s="63" t="n">
        <v>1.002</v>
      </c>
      <c r="F1030" s="63" t="n">
        <v>0.4461625</v>
      </c>
      <c r="G1030" s="63" t="n">
        <v>0.3051</v>
      </c>
      <c r="H1030" s="63" t="n">
        <v>0.384907436629</v>
      </c>
      <c r="I1030" s="63" t="n">
        <v>0.48829287048</v>
      </c>
      <c r="J1030" s="63" t="n">
        <v>0.281522002778</v>
      </c>
      <c r="K1030" s="63" t="n">
        <v>1432.96</v>
      </c>
      <c r="L1030" s="63" t="n">
        <v>1424.21</v>
      </c>
      <c r="M1030" s="63" t="n">
        <v>1426.37</v>
      </c>
      <c r="N1030" s="54">
        <f>(M1031-M1030)/M1030</f>
        <v/>
      </c>
      <c r="O1030" s="54">
        <f>(M1034-M1030)/M1030</f>
        <v/>
      </c>
      <c r="P1030" s="4">
        <f>B1030-D1030</f>
        <v/>
      </c>
      <c r="Q1030" s="4">
        <f>AVERAGE(P1027:P1030)</f>
        <v/>
      </c>
      <c r="R1030" s="54">
        <f>(M1031-M1030)/M1030</f>
        <v/>
      </c>
      <c r="S1030" s="54">
        <f>(M1034-M1030)/M1030</f>
        <v/>
      </c>
      <c r="T1030" s="63">
        <f>IF(R1030&gt;0,1,"")</f>
        <v/>
      </c>
      <c r="U1030" s="63">
        <f>IF(S1030&gt;0,1,"")</f>
        <v/>
      </c>
    </row>
    <row r="1031">
      <c r="A1031" s="35" t="n">
        <v>39107</v>
      </c>
      <c r="B1031" s="4" t="n">
        <v>0.3951</v>
      </c>
      <c r="C1031" s="4" t="n">
        <v>0.2716</v>
      </c>
      <c r="D1031" s="4" t="n">
        <v>0.3333</v>
      </c>
      <c r="E1031" s="63" t="n">
        <v>1</v>
      </c>
      <c r="F1031" s="63" t="n">
        <v>0.445275</v>
      </c>
      <c r="G1031" s="63" t="n">
        <v>0.0618</v>
      </c>
      <c r="H1031" s="63" t="n">
        <v>0.384907436629</v>
      </c>
      <c r="I1031" s="63" t="n">
        <v>0.48829287048</v>
      </c>
      <c r="J1031" s="63" t="n">
        <v>0.281522002778</v>
      </c>
      <c r="K1031" s="63" t="n">
        <v>1440.69</v>
      </c>
      <c r="L1031" s="63" t="n">
        <v>1434.56</v>
      </c>
      <c r="M1031" s="63" t="n">
        <v>1436.31</v>
      </c>
      <c r="N1031" s="54">
        <f>(M1032-M1031)/M1031</f>
        <v/>
      </c>
      <c r="O1031" s="54">
        <f>(M1035-M1031)/M1031</f>
        <v/>
      </c>
      <c r="P1031" s="4">
        <f>B1031-D1031</f>
        <v/>
      </c>
      <c r="Q1031" s="4">
        <f>AVERAGE(P1028:P1031)</f>
        <v/>
      </c>
      <c r="R1031" s="54">
        <f>(M1032-M1031)/M1031</f>
        <v/>
      </c>
      <c r="S1031" s="54">
        <f>(M1035-M1031)/M1031</f>
        <v/>
      </c>
      <c r="T1031" s="63">
        <f>IF(R1031&gt;0,1,"")</f>
        <v/>
      </c>
      <c r="U1031" s="63">
        <f>IF(S1031&gt;0,1,"")</f>
        <v/>
      </c>
    </row>
    <row r="1032">
      <c r="A1032" s="35" t="n">
        <v>39114</v>
      </c>
      <c r="B1032" s="4" t="n">
        <v>0.4632</v>
      </c>
      <c r="C1032" s="4" t="n">
        <v>0.2316</v>
      </c>
      <c r="D1032" s="4" t="n">
        <v>0.3053</v>
      </c>
      <c r="E1032" s="63" t="n">
        <v>1.0001</v>
      </c>
      <c r="F1032" s="63" t="n">
        <v>0.4545</v>
      </c>
      <c r="G1032" s="63" t="n">
        <v>0.1579</v>
      </c>
      <c r="H1032" s="63" t="n">
        <v>0.384907436629</v>
      </c>
      <c r="I1032" s="63" t="n">
        <v>0.48829287048</v>
      </c>
      <c r="J1032" s="63" t="n">
        <v>0.281522002778</v>
      </c>
      <c r="K1032" s="63" t="n">
        <v>1446.64</v>
      </c>
      <c r="L1032" s="63" t="n">
        <v>1437.9</v>
      </c>
      <c r="M1032" s="63" t="n">
        <v>1445.94</v>
      </c>
      <c r="N1032" s="54">
        <f>(M1033-M1032)/M1032</f>
        <v/>
      </c>
      <c r="O1032" s="54">
        <f>(M1036-M1032)/M1032</f>
        <v/>
      </c>
      <c r="P1032" s="4">
        <f>B1032-D1032</f>
        <v/>
      </c>
      <c r="Q1032" s="4">
        <f>AVERAGE(P1029:P1032)</f>
        <v/>
      </c>
      <c r="R1032" s="54">
        <f>(M1033-M1032)/M1032</f>
        <v/>
      </c>
      <c r="S1032" s="54">
        <f>(M1036-M1032)/M1032</f>
        <v/>
      </c>
      <c r="T1032" s="63">
        <f>IF(R1032&gt;0,1,"")</f>
        <v/>
      </c>
      <c r="U1032" s="63">
        <f>IF(S1032&gt;0,1,"")</f>
        <v/>
      </c>
    </row>
    <row r="1033">
      <c r="A1033" s="35" t="n">
        <v>39121</v>
      </c>
      <c r="B1033" s="4" t="n">
        <v>0.4615</v>
      </c>
      <c r="C1033" s="4" t="n">
        <v>0.2385</v>
      </c>
      <c r="D1033" s="4" t="n">
        <v>0.3</v>
      </c>
      <c r="E1033" s="63" t="n">
        <v>1</v>
      </c>
      <c r="F1033" s="63" t="n">
        <v>0.460525</v>
      </c>
      <c r="G1033" s="63" t="n">
        <v>0.1615</v>
      </c>
      <c r="H1033" s="63" t="n">
        <v>0.384907436629</v>
      </c>
      <c r="I1033" s="63" t="n">
        <v>0.48829287048</v>
      </c>
      <c r="J1033" s="63" t="n">
        <v>0.281522002778</v>
      </c>
      <c r="K1033" s="63" t="n">
        <v>1452.99</v>
      </c>
      <c r="L1033" s="63" t="n">
        <v>1446.44</v>
      </c>
      <c r="M1033" s="63" t="n">
        <v>1450.02</v>
      </c>
      <c r="N1033" s="54">
        <f>(M1034-M1033)/M1033</f>
        <v/>
      </c>
      <c r="O1033" s="54">
        <f>(M1037-M1033)/M1033</f>
        <v/>
      </c>
      <c r="P1033" s="4">
        <f>B1033-D1033</f>
        <v/>
      </c>
      <c r="Q1033" s="4">
        <f>AVERAGE(P1030:P1033)</f>
        <v/>
      </c>
      <c r="R1033" s="54">
        <f>(M1034-M1033)/M1033</f>
        <v/>
      </c>
      <c r="S1033" s="54">
        <f>(M1037-M1033)/M1033</f>
        <v/>
      </c>
      <c r="T1033" s="63">
        <f>IF(R1033&gt;0,1,"")</f>
        <v/>
      </c>
      <c r="U1033" s="63">
        <f>IF(S1033&gt;0,1,"")</f>
        <v/>
      </c>
    </row>
    <row r="1034">
      <c r="A1034" s="35" t="n">
        <v>39128</v>
      </c>
      <c r="B1034" s="4" t="n">
        <v>0.4757</v>
      </c>
      <c r="C1034" s="4" t="n">
        <v>0.2136</v>
      </c>
      <c r="D1034" s="4" t="n">
        <v>0.3107</v>
      </c>
      <c r="E1034" s="63" t="n">
        <v>1</v>
      </c>
      <c r="F1034" s="63" t="n">
        <v>0.4711375</v>
      </c>
      <c r="G1034" s="63" t="n">
        <v>0.165</v>
      </c>
      <c r="H1034" s="63" t="n">
        <v>0.384907436629</v>
      </c>
      <c r="I1034" s="63" t="n">
        <v>0.48829287048</v>
      </c>
      <c r="J1034" s="63" t="n">
        <v>0.281522002778</v>
      </c>
      <c r="K1034" s="63" t="n">
        <v>1457.97</v>
      </c>
      <c r="L1034" s="63" t="n">
        <v>1453.19</v>
      </c>
      <c r="M1034" s="63" t="n">
        <v>1456.81</v>
      </c>
      <c r="N1034" s="54">
        <f>(M1035-M1034)/M1034</f>
        <v/>
      </c>
      <c r="O1034" s="54">
        <f>(M1038-M1034)/M1034</f>
        <v/>
      </c>
      <c r="P1034" s="4">
        <f>B1034-D1034</f>
        <v/>
      </c>
      <c r="Q1034" s="4">
        <f>AVERAGE(P1031:P1034)</f>
        <v/>
      </c>
      <c r="R1034" s="54">
        <f>(M1035-M1034)/M1034</f>
        <v/>
      </c>
      <c r="S1034" s="54">
        <f>(M1038-M1034)/M1034</f>
        <v/>
      </c>
      <c r="T1034" s="63">
        <f>IF(R1034&gt;0,1,"")</f>
        <v/>
      </c>
      <c r="U1034" s="63">
        <f>IF(S1034&gt;0,1,"")</f>
        <v/>
      </c>
    </row>
    <row r="1035">
      <c r="A1035" s="35" t="n">
        <v>39135</v>
      </c>
      <c r="B1035" s="4" t="n">
        <v>0.5385</v>
      </c>
      <c r="C1035" s="4" t="n">
        <v>0.2385</v>
      </c>
      <c r="D1035" s="4" t="n">
        <v>0.2231</v>
      </c>
      <c r="E1035" s="63" t="n">
        <v>1.0001</v>
      </c>
      <c r="F1035" s="63" t="n">
        <v>0.48095</v>
      </c>
      <c r="G1035" s="63" t="n">
        <v>0.3154</v>
      </c>
      <c r="H1035" s="63" t="n">
        <v>0.384907436629</v>
      </c>
      <c r="I1035" s="63" t="n">
        <v>0.48829287048</v>
      </c>
      <c r="J1035" s="63" t="n">
        <v>0.281522002778</v>
      </c>
      <c r="K1035" s="63" t="n">
        <v>1461.57</v>
      </c>
      <c r="L1035" s="63" t="n">
        <v>1457.29</v>
      </c>
      <c r="M1035" s="63" t="n">
        <v>1459.85</v>
      </c>
      <c r="N1035" s="54">
        <f>(M1036-M1035)/M1035</f>
        <v/>
      </c>
      <c r="O1035" s="54">
        <f>(M1039-M1035)/M1035</f>
        <v/>
      </c>
      <c r="P1035" s="4">
        <f>B1035-D1035</f>
        <v/>
      </c>
      <c r="Q1035" s="4">
        <f>AVERAGE(P1032:P1035)</f>
        <v/>
      </c>
      <c r="R1035" s="54">
        <f>(M1036-M1035)/M1035</f>
        <v/>
      </c>
      <c r="S1035" s="54">
        <f>(M1039-M1035)/M1035</f>
        <v/>
      </c>
      <c r="T1035" s="63">
        <f>IF(R1035&gt;0,1,"")</f>
        <v/>
      </c>
      <c r="U1035" s="63">
        <f>IF(S1035&gt;0,1,"")</f>
        <v/>
      </c>
    </row>
    <row r="1036">
      <c r="A1036" s="35" t="n">
        <v>39142</v>
      </c>
      <c r="B1036" s="4" t="n">
        <v>0.3663</v>
      </c>
      <c r="C1036" s="4" t="n">
        <v>0.2376</v>
      </c>
      <c r="D1036" s="4" t="n">
        <v>0.396</v>
      </c>
      <c r="E1036" s="63" t="n">
        <v>0.9999</v>
      </c>
      <c r="F1036" s="63" t="n">
        <v>0.4653125</v>
      </c>
      <c r="G1036" s="63" t="n">
        <v>-0.0297</v>
      </c>
      <c r="H1036" s="63" t="n">
        <v>0.384907436629</v>
      </c>
      <c r="I1036" s="63" t="n">
        <v>0.48829287048</v>
      </c>
      <c r="J1036" s="63" t="n">
        <v>0.281522002778</v>
      </c>
      <c r="K1036" s="63" t="n">
        <v>1408.17</v>
      </c>
      <c r="L1036" s="63" t="n">
        <v>1380.87</v>
      </c>
      <c r="M1036" s="63" t="n">
        <v>1406.01</v>
      </c>
      <c r="N1036" s="54">
        <f>(M1037-M1036)/M1036</f>
        <v/>
      </c>
      <c r="O1036" s="54">
        <f>(M1040-M1036)/M1036</f>
        <v/>
      </c>
      <c r="P1036" s="4">
        <f>B1036-D1036</f>
        <v/>
      </c>
      <c r="Q1036" s="4">
        <f>AVERAGE(P1033:P1036)</f>
        <v/>
      </c>
      <c r="R1036" s="54">
        <f>(M1037-M1036)/M1036</f>
        <v/>
      </c>
      <c r="S1036" s="54">
        <f>(M1040-M1036)/M1036</f>
        <v/>
      </c>
      <c r="T1036" s="63">
        <f>IF(R1036&gt;0,1,"")</f>
        <v/>
      </c>
      <c r="U1036" s="63">
        <f>IF(S1036&gt;0,1,"")</f>
        <v/>
      </c>
    </row>
    <row r="1037">
      <c r="A1037" s="35" t="n">
        <v>39149</v>
      </c>
      <c r="B1037" s="4" t="n">
        <v>0.358</v>
      </c>
      <c r="C1037" s="4" t="n">
        <v>0.1932</v>
      </c>
      <c r="D1037" s="4" t="n">
        <v>0.4489</v>
      </c>
      <c r="E1037" s="63" t="n">
        <v>1.0001</v>
      </c>
      <c r="F1037" s="63" t="n">
        <v>0.4545125</v>
      </c>
      <c r="G1037" s="63" t="n">
        <v>-0.09089999999999999</v>
      </c>
      <c r="H1037" s="63" t="n">
        <v>0.384907436629</v>
      </c>
      <c r="I1037" s="63" t="n">
        <v>0.48829287048</v>
      </c>
      <c r="J1037" s="63" t="n">
        <v>0.281522002778</v>
      </c>
      <c r="K1037" s="63" t="n">
        <v>1407.72</v>
      </c>
      <c r="L1037" s="63" t="n">
        <v>1391.88</v>
      </c>
      <c r="M1037" s="63" t="n">
        <v>1406.18</v>
      </c>
      <c r="N1037" s="54">
        <f>(M1038-M1037)/M1037</f>
        <v/>
      </c>
      <c r="O1037" s="54">
        <f>(M1041-M1037)/M1037</f>
        <v/>
      </c>
      <c r="P1037" s="4">
        <f>B1037-D1037</f>
        <v/>
      </c>
      <c r="Q1037" s="4">
        <f>AVERAGE(P1034:P1037)</f>
        <v/>
      </c>
      <c r="R1037" s="54">
        <f>(M1038-M1037)/M1037</f>
        <v/>
      </c>
      <c r="S1037" s="54">
        <f>(M1041-M1037)/M1037</f>
        <v/>
      </c>
      <c r="T1037" s="63">
        <f>IF(R1037&gt;0,1,"")</f>
        <v/>
      </c>
      <c r="U1037" s="63">
        <f>IF(S1037&gt;0,1,"")</f>
        <v/>
      </c>
    </row>
    <row r="1038">
      <c r="A1038" s="35" t="n">
        <v>39156</v>
      </c>
      <c r="B1038" s="4" t="n">
        <v>0.3299</v>
      </c>
      <c r="C1038" s="4" t="n">
        <v>0.2165</v>
      </c>
      <c r="D1038" s="4" t="n">
        <v>0.4536</v>
      </c>
      <c r="E1038" s="63" t="n">
        <v>1</v>
      </c>
      <c r="F1038" s="63" t="n">
        <v>0.423525</v>
      </c>
      <c r="G1038" s="63" t="n">
        <v>-0.1237</v>
      </c>
      <c r="H1038" s="63" t="n">
        <v>0.384907436629</v>
      </c>
      <c r="I1038" s="63" t="n">
        <v>0.48829287048</v>
      </c>
      <c r="J1038" s="63" t="n">
        <v>0.281522002778</v>
      </c>
      <c r="K1038" s="63" t="n">
        <v>1395.73</v>
      </c>
      <c r="L1038" s="63" t="n">
        <v>1385.16</v>
      </c>
      <c r="M1038" s="63" t="n">
        <v>1392.28</v>
      </c>
      <c r="N1038" s="54">
        <f>(M1039-M1038)/M1038</f>
        <v/>
      </c>
      <c r="O1038" s="54">
        <f>(M1042-M1038)/M1038</f>
        <v/>
      </c>
      <c r="P1038" s="4">
        <f>B1038-D1038</f>
        <v/>
      </c>
      <c r="Q1038" s="4">
        <f>AVERAGE(P1035:P1038)</f>
        <v/>
      </c>
      <c r="R1038" s="54">
        <f>(M1039-M1038)/M1038</f>
        <v/>
      </c>
      <c r="S1038" s="54">
        <f>(M1042-M1038)/M1038</f>
        <v/>
      </c>
      <c r="T1038" s="63">
        <f>IF(R1038&gt;0,1,"")</f>
        <v/>
      </c>
      <c r="U1038" s="63">
        <f>IF(S1038&gt;0,1,"")</f>
        <v/>
      </c>
    </row>
    <row r="1039">
      <c r="A1039" s="35" t="n">
        <v>39163</v>
      </c>
      <c r="B1039" s="4" t="n">
        <v>0.4388</v>
      </c>
      <c r="C1039" s="4" t="n">
        <v>0.2302</v>
      </c>
      <c r="D1039" s="4" t="n">
        <v>0.3309</v>
      </c>
      <c r="E1039" s="63" t="n">
        <v>0.9999</v>
      </c>
      <c r="F1039" s="63" t="n">
        <v>0.4289875</v>
      </c>
      <c r="G1039" s="63" t="n">
        <v>0.1079</v>
      </c>
      <c r="H1039" s="63" t="n">
        <v>0.384907436629</v>
      </c>
      <c r="I1039" s="63" t="n">
        <v>0.48829287048</v>
      </c>
      <c r="J1039" s="63" t="n">
        <v>0.281522002778</v>
      </c>
      <c r="K1039" s="63" t="n">
        <v>1436.8</v>
      </c>
      <c r="L1039" s="63" t="n">
        <v>1429.88</v>
      </c>
      <c r="M1039" s="63" t="n">
        <v>1431.64</v>
      </c>
      <c r="N1039" s="54">
        <f>(M1040-M1039)/M1039</f>
        <v/>
      </c>
      <c r="O1039" s="54">
        <f>(M1043-M1039)/M1039</f>
        <v/>
      </c>
      <c r="P1039" s="4">
        <f>B1039-D1039</f>
        <v/>
      </c>
      <c r="Q1039" s="4">
        <f>AVERAGE(P1036:P1039)</f>
        <v/>
      </c>
      <c r="R1039" s="54">
        <f>(M1040-M1039)/M1039</f>
        <v/>
      </c>
      <c r="S1039" s="54">
        <f>(M1043-M1039)/M1039</f>
        <v/>
      </c>
      <c r="T1039" s="63">
        <f>IF(R1039&gt;0,1,"")</f>
        <v/>
      </c>
      <c r="U1039" s="63">
        <f>IF(S1039&gt;0,1,"")</f>
        <v/>
      </c>
    </row>
    <row r="1040">
      <c r="A1040" s="35" t="n">
        <v>39170</v>
      </c>
      <c r="B1040" s="4" t="n">
        <v>0.4268</v>
      </c>
      <c r="C1040" s="4" t="n">
        <v>0.3171</v>
      </c>
      <c r="D1040" s="4" t="n">
        <v>0.2561</v>
      </c>
      <c r="E1040" s="63" t="n">
        <v>1</v>
      </c>
      <c r="F1040" s="63" t="n">
        <v>0.4244375</v>
      </c>
      <c r="G1040" s="63" t="n">
        <v>0.1707</v>
      </c>
      <c r="H1040" s="63" t="n">
        <v>0.384907436629</v>
      </c>
      <c r="I1040" s="63" t="n">
        <v>0.48829287048</v>
      </c>
      <c r="J1040" s="63" t="n">
        <v>0.281522002778</v>
      </c>
      <c r="K1040" s="63" t="n">
        <v>1426.24</v>
      </c>
      <c r="L1040" s="63" t="n">
        <v>1413.27</v>
      </c>
      <c r="M1040" s="63" t="n">
        <v>1422.53</v>
      </c>
      <c r="N1040" s="54">
        <f>(M1041-M1040)/M1040</f>
        <v/>
      </c>
      <c r="O1040" s="54">
        <f>(M1044-M1040)/M1040</f>
        <v/>
      </c>
      <c r="P1040" s="4">
        <f>B1040-D1040</f>
        <v/>
      </c>
      <c r="Q1040" s="4">
        <f>AVERAGE(P1037:P1040)</f>
        <v/>
      </c>
      <c r="R1040" s="54">
        <f>(M1041-M1040)/M1040</f>
        <v/>
      </c>
      <c r="S1040" s="54">
        <f>(M1044-M1040)/M1040</f>
        <v/>
      </c>
      <c r="T1040" s="63">
        <f>IF(R1040&gt;0,1,"")</f>
        <v/>
      </c>
      <c r="U1040" s="63">
        <f>IF(S1040&gt;0,1,"")</f>
        <v/>
      </c>
    </row>
    <row r="1041">
      <c r="A1041" s="35" t="n">
        <v>39177</v>
      </c>
      <c r="B1041" s="4" t="n">
        <v>0.3226</v>
      </c>
      <c r="C1041" s="4" t="n">
        <v>0.2796</v>
      </c>
      <c r="D1041" s="4" t="n">
        <v>0.3978</v>
      </c>
      <c r="E1041" s="63" t="n">
        <v>1</v>
      </c>
      <c r="F1041" s="63" t="n">
        <v>0.407075</v>
      </c>
      <c r="G1041" s="63" t="n">
        <v>-0.0752</v>
      </c>
      <c r="H1041" s="63" t="n">
        <v>0.384907436629</v>
      </c>
      <c r="I1041" s="63" t="n">
        <v>0.48829287048</v>
      </c>
      <c r="J1041" s="63" t="n">
        <v>0.281522002778</v>
      </c>
      <c r="K1041" s="63" t="n">
        <v>1440.16</v>
      </c>
      <c r="L1041" s="63" t="n">
        <v>1435.08</v>
      </c>
      <c r="M1041" s="63" t="n">
        <v>1439.37</v>
      </c>
      <c r="N1041" s="54">
        <f>(M1042-M1041)/M1041</f>
        <v/>
      </c>
      <c r="O1041" s="54">
        <f>(M1045-M1041)/M1041</f>
        <v/>
      </c>
      <c r="P1041" s="4">
        <f>B1041-D1041</f>
        <v/>
      </c>
      <c r="Q1041" s="4">
        <f>AVERAGE(P1038:P1041)</f>
        <v/>
      </c>
      <c r="R1041" s="54">
        <f>(M1042-M1041)/M1041</f>
        <v/>
      </c>
      <c r="S1041" s="54">
        <f>(M1045-M1041)/M1041</f>
        <v/>
      </c>
      <c r="T1041" s="63">
        <f>IF(R1041&gt;0,1,"")</f>
        <v/>
      </c>
      <c r="U1041" s="63">
        <f>IF(S1041&gt;0,1,"")</f>
        <v/>
      </c>
    </row>
    <row r="1042">
      <c r="A1042" s="35" t="n">
        <v>39184</v>
      </c>
      <c r="B1042" s="4" t="n">
        <v>0.4085</v>
      </c>
      <c r="C1042" s="4" t="n">
        <v>0.2113</v>
      </c>
      <c r="D1042" s="4" t="n">
        <v>0.3803</v>
      </c>
      <c r="E1042" s="63" t="n">
        <v>1.0001</v>
      </c>
      <c r="F1042" s="63" t="n">
        <v>0.398675</v>
      </c>
      <c r="G1042" s="63" t="n">
        <v>0.0282</v>
      </c>
      <c r="H1042" s="63" t="n">
        <v>0.384907436629</v>
      </c>
      <c r="I1042" s="63" t="n">
        <v>0.48829287048</v>
      </c>
      <c r="J1042" s="63" t="n">
        <v>0.281522002778</v>
      </c>
      <c r="K1042" s="63" t="n">
        <v>1448.39</v>
      </c>
      <c r="L1042" s="63" t="n">
        <v>1436.15</v>
      </c>
      <c r="M1042" s="63" t="n">
        <v>1438.87</v>
      </c>
      <c r="N1042" s="54">
        <f>(M1043-M1042)/M1042</f>
        <v/>
      </c>
      <c r="O1042" s="54">
        <f>(M1046-M1042)/M1042</f>
        <v/>
      </c>
      <c r="P1042" s="4">
        <f>B1042-D1042</f>
        <v/>
      </c>
      <c r="Q1042" s="4">
        <f>AVERAGE(P1039:P1042)</f>
        <v/>
      </c>
      <c r="R1042" s="54">
        <f>(M1043-M1042)/M1042</f>
        <v/>
      </c>
      <c r="S1042" s="54">
        <f>(M1046-M1042)/M1042</f>
        <v/>
      </c>
      <c r="T1042" s="63">
        <f>IF(R1042&gt;0,1,"")</f>
        <v/>
      </c>
      <c r="U1042" s="63">
        <f>IF(S1042&gt;0,1,"")</f>
        <v/>
      </c>
    </row>
    <row r="1043">
      <c r="A1043" s="35" t="n">
        <v>39191</v>
      </c>
      <c r="B1043" s="4" t="n">
        <v>0.4694</v>
      </c>
      <c r="C1043" s="4" t="n">
        <v>0.2347</v>
      </c>
      <c r="D1043" s="4" t="n">
        <v>0.2959</v>
      </c>
      <c r="E1043" s="63" t="n">
        <v>1</v>
      </c>
      <c r="F1043" s="63" t="n">
        <v>0.3900375</v>
      </c>
      <c r="G1043" s="63" t="n">
        <v>0.1735</v>
      </c>
      <c r="H1043" s="63" t="n">
        <v>0.384907436629</v>
      </c>
      <c r="I1043" s="63" t="n">
        <v>0.48829287048</v>
      </c>
      <c r="J1043" s="63" t="n">
        <v>0.281522002778</v>
      </c>
      <c r="K1043" s="63" t="n">
        <v>1476.57</v>
      </c>
      <c r="L1043" s="63" t="n">
        <v>1466.41</v>
      </c>
      <c r="M1043" s="63" t="n">
        <v>1472.5</v>
      </c>
      <c r="N1043" s="54">
        <f>(M1044-M1043)/M1043</f>
        <v/>
      </c>
      <c r="O1043" s="54">
        <f>(M1047-M1043)/M1043</f>
        <v/>
      </c>
      <c r="P1043" s="4">
        <f>B1043-D1043</f>
        <v/>
      </c>
      <c r="Q1043" s="4">
        <f>AVERAGE(P1040:P1043)</f>
        <v/>
      </c>
      <c r="R1043" s="54">
        <f>(M1044-M1043)/M1043</f>
        <v/>
      </c>
      <c r="S1043" s="54">
        <f>(M1047-M1043)/M1043</f>
        <v/>
      </c>
      <c r="T1043" s="63">
        <f>IF(R1043&gt;0,1,"")</f>
        <v/>
      </c>
      <c r="U1043" s="63">
        <f>IF(S1043&gt;0,1,"")</f>
        <v/>
      </c>
    </row>
    <row r="1044">
      <c r="A1044" s="35" t="n">
        <v>39198</v>
      </c>
      <c r="B1044" s="4" t="n">
        <v>0.3924</v>
      </c>
      <c r="C1044" s="4" t="n">
        <v>0.2278</v>
      </c>
      <c r="D1044" s="4" t="n">
        <v>0.3797</v>
      </c>
      <c r="E1044" s="63" t="n">
        <v>0.9999</v>
      </c>
      <c r="F1044" s="63" t="n">
        <v>0.3933</v>
      </c>
      <c r="G1044" s="63" t="n">
        <v>0.0127</v>
      </c>
      <c r="H1044" s="63" t="n">
        <v>0.384907436629</v>
      </c>
      <c r="I1044" s="63" t="n">
        <v>0.48829287048</v>
      </c>
      <c r="J1044" s="63" t="n">
        <v>0.281522002778</v>
      </c>
      <c r="K1044" s="63" t="n">
        <v>1496.59</v>
      </c>
      <c r="L1044" s="63" t="n">
        <v>1480.28</v>
      </c>
      <c r="M1044" s="63" t="n">
        <v>1495.42</v>
      </c>
      <c r="N1044" s="54">
        <f>(M1045-M1044)/M1044</f>
        <v/>
      </c>
      <c r="O1044" s="54">
        <f>(M1048-M1044)/M1044</f>
        <v/>
      </c>
      <c r="P1044" s="4">
        <f>B1044-D1044</f>
        <v/>
      </c>
      <c r="Q1044" s="4">
        <f>AVERAGE(P1041:P1044)</f>
        <v/>
      </c>
      <c r="R1044" s="54">
        <f>(M1045-M1044)/M1044</f>
        <v/>
      </c>
      <c r="S1044" s="54">
        <f>(M1048-M1044)/M1044</f>
        <v/>
      </c>
      <c r="T1044" s="63">
        <f>IF(R1044&gt;0,1,"")</f>
        <v/>
      </c>
      <c r="U1044" s="63">
        <f>IF(S1044&gt;0,1,"")</f>
        <v/>
      </c>
    </row>
    <row r="1045">
      <c r="A1045" s="35" t="n">
        <v>39205</v>
      </c>
      <c r="B1045" s="4" t="n">
        <v>0.2857</v>
      </c>
      <c r="C1045" s="4" t="n">
        <v>0.1714</v>
      </c>
      <c r="D1045" s="4" t="n">
        <v>0.5429</v>
      </c>
      <c r="E1045" s="63" t="n">
        <v>1</v>
      </c>
      <c r="F1045" s="63" t="n">
        <v>0.3842625</v>
      </c>
      <c r="G1045" s="63" t="n">
        <v>-0.2572</v>
      </c>
      <c r="H1045" s="63" t="n">
        <v>0.384907436629</v>
      </c>
      <c r="I1045" s="63" t="n">
        <v>0.48829287048</v>
      </c>
      <c r="J1045" s="63" t="n">
        <v>0.281522002778</v>
      </c>
      <c r="K1045" s="63" t="n">
        <v>1499.1</v>
      </c>
      <c r="L1045" s="63" t="n">
        <v>1486.13</v>
      </c>
      <c r="M1045" s="63" t="n">
        <v>1495.92</v>
      </c>
      <c r="N1045" s="54">
        <f>(M1046-M1045)/M1045</f>
        <v/>
      </c>
      <c r="O1045" s="54">
        <f>(M1049-M1045)/M1045</f>
        <v/>
      </c>
      <c r="P1045" s="4">
        <f>B1045-D1045</f>
        <v/>
      </c>
      <c r="Q1045" s="4">
        <f>AVERAGE(P1042:P1045)</f>
        <v/>
      </c>
      <c r="R1045" s="54">
        <f>(M1046-M1045)/M1045</f>
        <v/>
      </c>
      <c r="S1045" s="54">
        <f>(M1049-M1045)/M1045</f>
        <v/>
      </c>
      <c r="T1045" s="63">
        <f>IF(R1045&gt;0,1,"")</f>
        <v/>
      </c>
      <c r="U1045" s="63">
        <f>IF(S1045&gt;0,1,"")</f>
        <v/>
      </c>
    </row>
    <row r="1046">
      <c r="A1046" s="35" t="n">
        <v>39212</v>
      </c>
      <c r="B1046" s="4" t="n">
        <v>0.4286</v>
      </c>
      <c r="C1046" s="4" t="n">
        <v>0.1429</v>
      </c>
      <c r="D1046" s="4" t="n">
        <v>0.4286</v>
      </c>
      <c r="E1046" s="63" t="n">
        <v>1.0001</v>
      </c>
      <c r="F1046" s="63" t="n">
        <v>0.3966</v>
      </c>
      <c r="G1046" s="63" t="n">
        <v>0</v>
      </c>
      <c r="H1046" s="63" t="n">
        <v>0.384907436629</v>
      </c>
      <c r="I1046" s="63" t="n">
        <v>0.48829287048</v>
      </c>
      <c r="J1046" s="63" t="n">
        <v>0.281522002778</v>
      </c>
      <c r="K1046" s="63" t="n">
        <v>1513.8</v>
      </c>
      <c r="L1046" s="63" t="n">
        <v>1503.77</v>
      </c>
      <c r="M1046" s="63" t="n">
        <v>1512.58</v>
      </c>
      <c r="N1046" s="54">
        <f>(M1047-M1046)/M1046</f>
        <v/>
      </c>
      <c r="O1046" s="54">
        <f>(M1050-M1046)/M1046</f>
        <v/>
      </c>
      <c r="P1046" s="4">
        <f>B1046-D1046</f>
        <v/>
      </c>
      <c r="Q1046" s="4">
        <f>AVERAGE(P1043:P1046)</f>
        <v/>
      </c>
      <c r="R1046" s="54">
        <f>(M1047-M1046)/M1046</f>
        <v/>
      </c>
      <c r="S1046" s="54">
        <f>(M1050-M1046)/M1046</f>
        <v/>
      </c>
      <c r="T1046" s="63">
        <f>IF(R1046&gt;0,1,"")</f>
        <v/>
      </c>
      <c r="U1046" s="63">
        <f>IF(S1046&gt;0,1,"")</f>
        <v/>
      </c>
    </row>
    <row r="1047">
      <c r="A1047" s="35" t="n">
        <v>39219</v>
      </c>
      <c r="B1047" s="4" t="n">
        <v>0.3839</v>
      </c>
      <c r="C1047" s="4" t="n">
        <v>0.25</v>
      </c>
      <c r="D1047" s="4" t="n">
        <v>0.3661</v>
      </c>
      <c r="E1047" s="63" t="n">
        <v>1</v>
      </c>
      <c r="F1047" s="63" t="n">
        <v>0.3897375</v>
      </c>
      <c r="G1047" s="63" t="n">
        <v>0.0178</v>
      </c>
      <c r="H1047" s="63" t="n">
        <v>0.384907436629</v>
      </c>
      <c r="I1047" s="63" t="n">
        <v>0.48829287048</v>
      </c>
      <c r="J1047" s="63" t="n">
        <v>0.281522002778</v>
      </c>
      <c r="K1047" s="63" t="n">
        <v>1514.15</v>
      </c>
      <c r="L1047" s="63" t="n">
        <v>1500.75</v>
      </c>
      <c r="M1047" s="63" t="n">
        <v>1514.14</v>
      </c>
      <c r="N1047" s="54">
        <f>(M1048-M1047)/M1047</f>
        <v/>
      </c>
      <c r="O1047" s="54">
        <f>(M1051-M1047)/M1047</f>
        <v/>
      </c>
      <c r="P1047" s="4">
        <f>B1047-D1047</f>
        <v/>
      </c>
      <c r="Q1047" s="4">
        <f>AVERAGE(P1044:P1047)</f>
        <v/>
      </c>
      <c r="R1047" s="54">
        <f>(M1048-M1047)/M1047</f>
        <v/>
      </c>
      <c r="S1047" s="54">
        <f>(M1051-M1047)/M1047</f>
        <v/>
      </c>
      <c r="T1047" s="63">
        <f>IF(R1047&gt;0,1,"")</f>
        <v/>
      </c>
      <c r="U1047" s="63">
        <f>IF(S1047&gt;0,1,"")</f>
        <v/>
      </c>
    </row>
    <row r="1048">
      <c r="A1048" s="35" t="n">
        <v>39226</v>
      </c>
      <c r="B1048" s="4" t="n">
        <v>0.3735</v>
      </c>
      <c r="C1048" s="4" t="n">
        <v>0.241</v>
      </c>
      <c r="D1048" s="4" t="n">
        <v>0.3855</v>
      </c>
      <c r="E1048" s="63" t="n">
        <v>1</v>
      </c>
      <c r="F1048" s="63" t="n">
        <v>0.383075</v>
      </c>
      <c r="G1048" s="63" t="n">
        <v>-0.012</v>
      </c>
      <c r="H1048" s="63" t="n">
        <v>0.384907436629</v>
      </c>
      <c r="I1048" s="63" t="n">
        <v>0.48829287048</v>
      </c>
      <c r="J1048" s="63" t="n">
        <v>0.281522002778</v>
      </c>
      <c r="K1048" s="63" t="n">
        <v>1532.43</v>
      </c>
      <c r="L1048" s="63" t="n">
        <v>1521.9</v>
      </c>
      <c r="M1048" s="63" t="n">
        <v>1522.28</v>
      </c>
      <c r="N1048" s="54">
        <f>(M1049-M1048)/M1048</f>
        <v/>
      </c>
      <c r="O1048" s="54">
        <f>(M1052-M1048)/M1048</f>
        <v/>
      </c>
      <c r="P1048" s="4">
        <f>B1048-D1048</f>
        <v/>
      </c>
      <c r="Q1048" s="4">
        <f>AVERAGE(P1045:P1048)</f>
        <v/>
      </c>
      <c r="R1048" s="54">
        <f>(M1049-M1048)/M1048</f>
        <v/>
      </c>
      <c r="S1048" s="54">
        <f>(M1052-M1048)/M1048</f>
        <v/>
      </c>
      <c r="T1048" s="63">
        <f>IF(R1048&gt;0,1,"")</f>
        <v/>
      </c>
      <c r="U1048" s="63">
        <f>IF(S1048&gt;0,1,"")</f>
        <v/>
      </c>
    </row>
    <row r="1049">
      <c r="A1049" s="35" t="n">
        <v>39233</v>
      </c>
      <c r="B1049" s="4" t="n">
        <v>0.3333</v>
      </c>
      <c r="C1049" s="4" t="n">
        <v>0.2188</v>
      </c>
      <c r="D1049" s="4" t="n">
        <v>0.4479</v>
      </c>
      <c r="E1049" s="63" t="n">
        <v>1</v>
      </c>
      <c r="F1049" s="63" t="n">
        <v>0.3844125</v>
      </c>
      <c r="G1049" s="63" t="n">
        <v>-0.1146</v>
      </c>
      <c r="H1049" s="63" t="n">
        <v>0.384907436629</v>
      </c>
      <c r="I1049" s="63" t="n">
        <v>0.48829287048</v>
      </c>
      <c r="J1049" s="63" t="n">
        <v>0.281522002778</v>
      </c>
      <c r="K1049" s="63" t="n">
        <v>1530.23</v>
      </c>
      <c r="L1049" s="63" t="n">
        <v>1510.06</v>
      </c>
      <c r="M1049" s="63" t="n">
        <v>1530.23</v>
      </c>
      <c r="N1049" s="54">
        <f>(M1050-M1049)/M1049</f>
        <v/>
      </c>
      <c r="O1049" s="54">
        <f>(M1053-M1049)/M1049</f>
        <v/>
      </c>
      <c r="P1049" s="4">
        <f>B1049-D1049</f>
        <v/>
      </c>
      <c r="Q1049" s="4">
        <f>AVERAGE(P1046:P1049)</f>
        <v/>
      </c>
      <c r="R1049" s="54">
        <f>(M1050-M1049)/M1049</f>
        <v/>
      </c>
      <c r="S1049" s="54">
        <f>(M1053-M1049)/M1049</f>
        <v/>
      </c>
      <c r="T1049" s="63">
        <f>IF(R1049&gt;0,1,"")</f>
        <v/>
      </c>
      <c r="U1049" s="63">
        <f>IF(S1049&gt;0,1,"")</f>
        <v/>
      </c>
    </row>
    <row r="1050">
      <c r="A1050" s="35" t="n">
        <v>39240</v>
      </c>
      <c r="B1050" s="4" t="n">
        <v>0.4059</v>
      </c>
      <c r="C1050" s="4" t="n">
        <v>0.1683</v>
      </c>
      <c r="D1050" s="4" t="n">
        <v>0.4257</v>
      </c>
      <c r="E1050" s="63" t="n">
        <v>0.9999</v>
      </c>
      <c r="F1050" s="63" t="n">
        <v>0.3840875</v>
      </c>
      <c r="G1050" s="63" t="n">
        <v>-0.0198</v>
      </c>
      <c r="H1050" s="63" t="n">
        <v>0.384907436629</v>
      </c>
      <c r="I1050" s="63" t="n">
        <v>0.48829287048</v>
      </c>
      <c r="J1050" s="63" t="n">
        <v>0.281522002778</v>
      </c>
      <c r="K1050" s="63" t="n">
        <v>1530.57</v>
      </c>
      <c r="L1050" s="63" t="n">
        <v>1514.13</v>
      </c>
      <c r="M1050" s="63" t="n">
        <v>1517.38</v>
      </c>
      <c r="N1050" s="54">
        <f>(M1051-M1050)/M1050</f>
        <v/>
      </c>
      <c r="O1050" s="54">
        <f>(M1054-M1050)/M1050</f>
        <v/>
      </c>
      <c r="P1050" s="4">
        <f>B1050-D1050</f>
        <v/>
      </c>
      <c r="Q1050" s="4">
        <f>AVERAGE(P1047:P1050)</f>
        <v/>
      </c>
      <c r="R1050" s="54">
        <f>(M1051-M1050)/M1050</f>
        <v/>
      </c>
      <c r="S1050" s="54">
        <f>(M1054-M1050)/M1050</f>
        <v/>
      </c>
      <c r="T1050" s="63">
        <f>IF(R1050&gt;0,1,"")</f>
        <v/>
      </c>
      <c r="U1050" s="63">
        <f>IF(S1050&gt;0,1,"")</f>
        <v/>
      </c>
    </row>
    <row r="1051">
      <c r="A1051" s="35" t="n">
        <v>39247</v>
      </c>
      <c r="B1051" s="4" t="n">
        <v>0.373</v>
      </c>
      <c r="C1051" s="4" t="n">
        <v>0.1905</v>
      </c>
      <c r="D1051" s="4" t="n">
        <v>0.4365</v>
      </c>
      <c r="E1051" s="63" t="n">
        <v>1</v>
      </c>
      <c r="F1051" s="63" t="n">
        <v>0.3720375</v>
      </c>
      <c r="G1051" s="63" t="n">
        <v>-0.0635</v>
      </c>
      <c r="H1051" s="63" t="n">
        <v>0.384907436629</v>
      </c>
      <c r="I1051" s="63" t="n">
        <v>0.48829287048</v>
      </c>
      <c r="J1051" s="63" t="n">
        <v>0.281522002778</v>
      </c>
      <c r="K1051" s="63" t="n">
        <v>1515.7</v>
      </c>
      <c r="L1051" s="63" t="n">
        <v>1492.65</v>
      </c>
      <c r="M1051" s="63" t="n">
        <v>1515.67</v>
      </c>
      <c r="N1051" s="54">
        <f>(M1052-M1051)/M1051</f>
        <v/>
      </c>
      <c r="O1051" s="54">
        <f>(M1055-M1051)/M1051</f>
        <v/>
      </c>
      <c r="P1051" s="4">
        <f>B1051-D1051</f>
        <v/>
      </c>
      <c r="Q1051" s="4">
        <f>AVERAGE(P1048:P1051)</f>
        <v/>
      </c>
      <c r="R1051" s="54">
        <f>(M1052-M1051)/M1051</f>
        <v/>
      </c>
      <c r="S1051" s="54">
        <f>(M1055-M1051)/M1051</f>
        <v/>
      </c>
      <c r="T1051" s="63">
        <f>IF(R1051&gt;0,1,"")</f>
        <v/>
      </c>
      <c r="U1051" s="63">
        <f>IF(S1051&gt;0,1,"")</f>
        <v/>
      </c>
    </row>
    <row r="1052">
      <c r="A1052" s="35" t="n">
        <v>39254</v>
      </c>
      <c r="B1052" s="4" t="n">
        <v>0.4316</v>
      </c>
      <c r="C1052" s="4" t="n">
        <v>0.2316</v>
      </c>
      <c r="D1052" s="4" t="n">
        <v>0.3368</v>
      </c>
      <c r="E1052" s="63" t="n">
        <v>1</v>
      </c>
      <c r="F1052" s="63" t="n">
        <v>0.3769375</v>
      </c>
      <c r="G1052" s="63" t="n">
        <v>0.0948</v>
      </c>
      <c r="H1052" s="63" t="n">
        <v>0.384907436629</v>
      </c>
      <c r="I1052" s="63" t="n">
        <v>0.48829287048</v>
      </c>
      <c r="J1052" s="63" t="n">
        <v>0.281522002778</v>
      </c>
      <c r="K1052" s="63" t="n">
        <v>1537.32</v>
      </c>
      <c r="L1052" s="63" t="n">
        <v>1512.36</v>
      </c>
      <c r="M1052" s="63" t="n">
        <v>1512.84</v>
      </c>
      <c r="N1052" s="54">
        <f>(M1053-M1052)/M1052</f>
        <v/>
      </c>
      <c r="O1052" s="54">
        <f>(M1056-M1052)/M1052</f>
        <v/>
      </c>
      <c r="P1052" s="4">
        <f>B1052-D1052</f>
        <v/>
      </c>
      <c r="Q1052" s="4">
        <f>AVERAGE(P1049:P1052)</f>
        <v/>
      </c>
      <c r="R1052" s="54">
        <f>(M1053-M1052)/M1052</f>
        <v/>
      </c>
      <c r="S1052" s="54">
        <f>(M1056-M1052)/M1052</f>
        <v/>
      </c>
      <c r="T1052" s="63">
        <f>IF(R1052&gt;0,1,"")</f>
        <v/>
      </c>
      <c r="U1052" s="63">
        <f>IF(S1052&gt;0,1,"")</f>
        <v/>
      </c>
    </row>
    <row r="1053">
      <c r="A1053" s="35" t="n">
        <v>39261</v>
      </c>
      <c r="B1053" s="4" t="n">
        <v>0.3902</v>
      </c>
      <c r="C1053" s="4" t="n">
        <v>0.252</v>
      </c>
      <c r="D1053" s="4" t="n">
        <v>0.3577</v>
      </c>
      <c r="E1053" s="63" t="n">
        <v>0.9999</v>
      </c>
      <c r="F1053" s="63" t="n">
        <v>0.39</v>
      </c>
      <c r="G1053" s="63" t="n">
        <v>0.0325</v>
      </c>
      <c r="H1053" s="63" t="n">
        <v>0.384907436629</v>
      </c>
      <c r="I1053" s="63" t="n">
        <v>0.48829287048</v>
      </c>
      <c r="J1053" s="63" t="n">
        <v>0.281522002778</v>
      </c>
      <c r="K1053" s="63" t="n">
        <v>1515.7</v>
      </c>
      <c r="L1053" s="63" t="n">
        <v>1492.65</v>
      </c>
      <c r="M1053" s="63" t="n">
        <v>1515.67</v>
      </c>
      <c r="N1053" s="54">
        <f>(M1054-M1053)/M1053</f>
        <v/>
      </c>
      <c r="O1053" s="54">
        <f>(M1057-M1053)/M1053</f>
        <v/>
      </c>
      <c r="P1053" s="4">
        <f>B1053-D1053</f>
        <v/>
      </c>
      <c r="Q1053" s="4">
        <f>AVERAGE(P1050:P1053)</f>
        <v/>
      </c>
      <c r="R1053" s="54">
        <f>(M1054-M1053)/M1053</f>
        <v/>
      </c>
      <c r="S1053" s="54">
        <f>(M1057-M1053)/M1053</f>
        <v/>
      </c>
      <c r="T1053" s="63">
        <f>IF(R1053&gt;0,1,"")</f>
        <v/>
      </c>
      <c r="U1053" s="63">
        <f>IF(S1053&gt;0,1,"")</f>
        <v/>
      </c>
    </row>
    <row r="1054">
      <c r="A1054" s="35" t="n">
        <v>39268</v>
      </c>
      <c r="B1054" s="4" t="n">
        <v>0.4384</v>
      </c>
      <c r="C1054" s="4" t="n">
        <v>0.2329</v>
      </c>
      <c r="D1054" s="4" t="n">
        <v>0.3288</v>
      </c>
      <c r="E1054" s="63" t="n">
        <v>1.0001</v>
      </c>
      <c r="F1054" s="63" t="n">
        <v>0.391225</v>
      </c>
      <c r="G1054" s="63" t="n">
        <v>0.1096</v>
      </c>
      <c r="H1054" s="63" t="n">
        <v>0.384907436629</v>
      </c>
      <c r="I1054" s="63" t="n">
        <v>0.48829287048</v>
      </c>
      <c r="J1054" s="63" t="n">
        <v>0.281522002778</v>
      </c>
      <c r="K1054" s="63" t="n">
        <v>1526.01</v>
      </c>
      <c r="L1054" s="63" t="n">
        <v>1519.12</v>
      </c>
      <c r="M1054" s="63" t="n">
        <v>1524.87</v>
      </c>
      <c r="N1054" s="54">
        <f>(M1055-M1054)/M1054</f>
        <v/>
      </c>
      <c r="O1054" s="54">
        <f>(M1058-M1054)/M1054</f>
        <v/>
      </c>
      <c r="P1054" s="4">
        <f>B1054-D1054</f>
        <v/>
      </c>
      <c r="Q1054" s="4">
        <f>AVERAGE(P1051:P1054)</f>
        <v/>
      </c>
      <c r="R1054" s="54">
        <f>(M1055-M1054)/M1054</f>
        <v/>
      </c>
      <c r="S1054" s="54">
        <f>(M1058-M1054)/M1054</f>
        <v/>
      </c>
      <c r="T1054" s="63">
        <f>IF(R1054&gt;0,1,"")</f>
        <v/>
      </c>
      <c r="U1054" s="63">
        <f>IF(S1054&gt;0,1,"")</f>
        <v/>
      </c>
    </row>
    <row r="1055">
      <c r="A1055" s="35" t="n">
        <v>39275</v>
      </c>
      <c r="B1055" s="4" t="n">
        <v>0.4364</v>
      </c>
      <c r="C1055" s="4" t="n">
        <v>0.2636</v>
      </c>
      <c r="D1055" s="4" t="n">
        <v>0.3</v>
      </c>
      <c r="E1055" s="63" t="n">
        <v>1</v>
      </c>
      <c r="F1055" s="63" t="n">
        <v>0.3977875</v>
      </c>
      <c r="G1055" s="63" t="n">
        <v>0.1364</v>
      </c>
      <c r="H1055" s="63" t="n">
        <v>0.384907436629</v>
      </c>
      <c r="I1055" s="63" t="n">
        <v>0.48829287048</v>
      </c>
      <c r="J1055" s="63" t="n">
        <v>0.281522002778</v>
      </c>
      <c r="K1055" s="63" t="n">
        <v>1519.34</v>
      </c>
      <c r="L1055" s="63" t="n">
        <v>1506.1</v>
      </c>
      <c r="M1055" s="63" t="n">
        <v>1518.76</v>
      </c>
      <c r="N1055" s="54">
        <f>(M1056-M1055)/M1055</f>
        <v/>
      </c>
      <c r="O1055" s="54">
        <f>(M1059-M1055)/M1055</f>
        <v/>
      </c>
      <c r="P1055" s="4">
        <f>B1055-D1055</f>
        <v/>
      </c>
      <c r="Q1055" s="4">
        <f>AVERAGE(P1052:P1055)</f>
        <v/>
      </c>
      <c r="R1055" s="54">
        <f>(M1056-M1055)/M1055</f>
        <v/>
      </c>
      <c r="S1055" s="54">
        <f>(M1059-M1055)/M1055</f>
        <v/>
      </c>
      <c r="T1055" s="63">
        <f>IF(R1055&gt;0,1,"")</f>
        <v/>
      </c>
      <c r="U1055" s="63">
        <f>IF(S1055&gt;0,1,"")</f>
        <v/>
      </c>
    </row>
    <row r="1056">
      <c r="A1056" s="35" t="n">
        <v>39282</v>
      </c>
      <c r="B1056" s="4" t="n">
        <v>0.4177</v>
      </c>
      <c r="C1056" s="4" t="n">
        <v>0.2152</v>
      </c>
      <c r="D1056" s="4" t="n">
        <v>0.3671</v>
      </c>
      <c r="E1056" s="63" t="n">
        <v>1</v>
      </c>
      <c r="F1056" s="63" t="n">
        <v>0.4033125</v>
      </c>
      <c r="G1056" s="63" t="n">
        <v>0.0506</v>
      </c>
      <c r="H1056" s="63" t="n">
        <v>0.384907436629</v>
      </c>
      <c r="I1056" s="63" t="n">
        <v>0.48829287048</v>
      </c>
      <c r="J1056" s="63" t="n">
        <v>0.281522002778</v>
      </c>
      <c r="K1056" s="63" t="n">
        <v>1549.2</v>
      </c>
      <c r="L1056" s="63" t="n">
        <v>1533.67</v>
      </c>
      <c r="M1056" s="63" t="n">
        <v>1546.17</v>
      </c>
      <c r="N1056" s="54">
        <f>(M1057-M1056)/M1056</f>
        <v/>
      </c>
      <c r="O1056" s="54">
        <f>(M1060-M1056)/M1056</f>
        <v/>
      </c>
      <c r="P1056" s="4">
        <f>B1056-D1056</f>
        <v/>
      </c>
      <c r="Q1056" s="4">
        <f>AVERAGE(P1053:P1056)</f>
        <v/>
      </c>
      <c r="R1056" s="54">
        <f>(M1057-M1056)/M1056</f>
        <v/>
      </c>
      <c r="S1056" s="54">
        <f>(M1060-M1056)/M1056</f>
        <v/>
      </c>
      <c r="T1056" s="63">
        <f>IF(R1056&gt;0,1,"")</f>
        <v/>
      </c>
      <c r="U1056" s="63">
        <f>IF(S1056&gt;0,1,"")</f>
        <v/>
      </c>
    </row>
    <row r="1057">
      <c r="A1057" s="35" t="n">
        <v>39289</v>
      </c>
      <c r="B1057" s="4" t="n">
        <v>0.4421</v>
      </c>
      <c r="C1057" s="4" t="n">
        <v>0.1895</v>
      </c>
      <c r="D1057" s="4" t="n">
        <v>0.3684</v>
      </c>
      <c r="E1057" s="63" t="n">
        <v>1</v>
      </c>
      <c r="F1057" s="63" t="n">
        <v>0.4169125</v>
      </c>
      <c r="G1057" s="63" t="n">
        <v>0.0737</v>
      </c>
      <c r="H1057" s="63" t="n">
        <v>0.384907436629</v>
      </c>
      <c r="I1057" s="63" t="n">
        <v>0.48829287048</v>
      </c>
      <c r="J1057" s="63" t="n">
        <v>0.281522002778</v>
      </c>
      <c r="K1057" s="63" t="n">
        <v>1524.31</v>
      </c>
      <c r="L1057" s="63" t="n">
        <v>1504.87</v>
      </c>
      <c r="M1057" s="63" t="n">
        <v>1517.91</v>
      </c>
      <c r="N1057" s="54">
        <f>(M1058-M1057)/M1057</f>
        <v/>
      </c>
      <c r="O1057" s="54">
        <f>(M1061-M1057)/M1057</f>
        <v/>
      </c>
      <c r="P1057" s="4">
        <f>B1057-D1057</f>
        <v/>
      </c>
      <c r="Q1057" s="4">
        <f>AVERAGE(P1054:P1057)</f>
        <v/>
      </c>
      <c r="R1057" s="54">
        <f>(M1058-M1057)/M1057</f>
        <v/>
      </c>
      <c r="S1057" s="54">
        <f>(M1061-M1057)/M1057</f>
        <v/>
      </c>
      <c r="T1057" s="63">
        <f>IF(R1057&gt;0,1,"")</f>
        <v/>
      </c>
      <c r="U1057" s="63">
        <f>IF(S1057&gt;0,1,"")</f>
        <v/>
      </c>
    </row>
    <row r="1058">
      <c r="A1058" s="35" t="n">
        <v>39296</v>
      </c>
      <c r="B1058" s="4" t="n">
        <v>0.4588</v>
      </c>
      <c r="C1058" s="4" t="n">
        <v>0.1412</v>
      </c>
      <c r="D1058" s="4" t="n">
        <v>0.4</v>
      </c>
      <c r="E1058" s="63" t="n">
        <v>1</v>
      </c>
      <c r="F1058" s="63" t="n">
        <v>0.423525</v>
      </c>
      <c r="G1058" s="63" t="n">
        <v>0.0588</v>
      </c>
      <c r="H1058" s="63" t="n">
        <v>0.384907436629</v>
      </c>
      <c r="I1058" s="63" t="n">
        <v>0.48829287048</v>
      </c>
      <c r="J1058" s="63" t="n">
        <v>0.281522002778</v>
      </c>
      <c r="K1058" s="63" t="n">
        <v>1463.3</v>
      </c>
      <c r="L1058" s="63" t="n">
        <v>1443.68</v>
      </c>
      <c r="M1058" s="63" t="n">
        <v>1451.59</v>
      </c>
      <c r="N1058" s="54">
        <f>(M1059-M1058)/M1058</f>
        <v/>
      </c>
      <c r="O1058" s="54">
        <f>(M1062-M1058)/M1058</f>
        <v/>
      </c>
      <c r="P1058" s="4">
        <f>B1058-D1058</f>
        <v/>
      </c>
      <c r="Q1058" s="4">
        <f>AVERAGE(P1055:P1058)</f>
        <v/>
      </c>
      <c r="R1058" s="54">
        <f>(M1059-M1058)/M1058</f>
        <v/>
      </c>
      <c r="S1058" s="54">
        <f>(M1062-M1058)/M1058</f>
        <v/>
      </c>
      <c r="T1058" s="63">
        <f>IF(R1058&gt;0,1,"")</f>
        <v/>
      </c>
      <c r="U1058" s="63">
        <f>IF(S1058&gt;0,1,"")</f>
        <v/>
      </c>
    </row>
    <row r="1059">
      <c r="A1059" s="35" t="n">
        <v>39303</v>
      </c>
      <c r="B1059" s="4" t="n">
        <v>0.4576</v>
      </c>
      <c r="C1059" s="4" t="n">
        <v>0.1525</v>
      </c>
      <c r="D1059" s="4" t="n">
        <v>0.3898</v>
      </c>
      <c r="E1059" s="63" t="n">
        <v>0.9999</v>
      </c>
      <c r="F1059" s="63" t="n">
        <v>0.4341</v>
      </c>
      <c r="G1059" s="63" t="n">
        <v>0.0678</v>
      </c>
      <c r="H1059" s="63" t="n">
        <v>0.384907436629</v>
      </c>
      <c r="I1059" s="63" t="n">
        <v>0.48829287048</v>
      </c>
      <c r="J1059" s="63" t="n">
        <v>0.281522002778</v>
      </c>
      <c r="K1059" s="63" t="n">
        <v>1503.89</v>
      </c>
      <c r="L1059" s="63" t="n">
        <v>1476.22</v>
      </c>
      <c r="M1059" s="63" t="n">
        <v>1497.49</v>
      </c>
      <c r="N1059" s="54">
        <f>(M1060-M1059)/M1059</f>
        <v/>
      </c>
      <c r="O1059" s="54">
        <f>(M1063-M1059)/M1059</f>
        <v/>
      </c>
      <c r="P1059" s="4">
        <f>B1059-D1059</f>
        <v/>
      </c>
      <c r="Q1059" s="4">
        <f>AVERAGE(P1056:P1059)</f>
        <v/>
      </c>
      <c r="R1059" s="54">
        <f>(M1060-M1059)/M1059</f>
        <v/>
      </c>
      <c r="S1059" s="54">
        <f>(M1063-M1059)/M1059</f>
        <v/>
      </c>
      <c r="T1059" s="63">
        <f>IF(R1059&gt;0,1,"")</f>
        <v/>
      </c>
      <c r="U1059" s="63">
        <f>IF(S1059&gt;0,1,"")</f>
        <v/>
      </c>
    </row>
    <row r="1060">
      <c r="A1060" s="35" t="n">
        <v>39310</v>
      </c>
      <c r="B1060" s="4" t="n">
        <v>0.4222</v>
      </c>
      <c r="C1060" s="4" t="n">
        <v>0.1222</v>
      </c>
      <c r="D1060" s="4" t="n">
        <v>0.4556</v>
      </c>
      <c r="E1060" s="63" t="n">
        <v>1</v>
      </c>
      <c r="F1060" s="63" t="n">
        <v>0.432925</v>
      </c>
      <c r="G1060" s="63" t="n">
        <v>-0.0334</v>
      </c>
      <c r="H1060" s="63" t="n">
        <v>0.384907436629</v>
      </c>
      <c r="I1060" s="63" t="n">
        <v>0.48829287048</v>
      </c>
      <c r="J1060" s="63" t="n">
        <v>0.281522002778</v>
      </c>
      <c r="K1060" s="63" t="n">
        <v>1440.78</v>
      </c>
      <c r="L1060" s="63" t="n">
        <v>1404.36</v>
      </c>
      <c r="M1060" s="63" t="n">
        <v>1406.7</v>
      </c>
      <c r="N1060" s="54">
        <f>(M1061-M1060)/M1060</f>
        <v/>
      </c>
      <c r="O1060" s="54">
        <f>(M1064-M1060)/M1060</f>
        <v/>
      </c>
      <c r="P1060" s="4">
        <f>B1060-D1060</f>
        <v/>
      </c>
      <c r="Q1060" s="4">
        <f>AVERAGE(P1057:P1060)</f>
        <v/>
      </c>
      <c r="R1060" s="54">
        <f>(M1061-M1060)/M1060</f>
        <v/>
      </c>
      <c r="S1060" s="54">
        <f>(M1064-M1060)/M1060</f>
        <v/>
      </c>
      <c r="T1060" s="63">
        <f>IF(R1060&gt;0,1,"")</f>
        <v/>
      </c>
      <c r="U1060" s="63">
        <f>IF(S1060&gt;0,1,"")</f>
        <v/>
      </c>
    </row>
    <row r="1061">
      <c r="A1061" s="35" t="n">
        <v>39317</v>
      </c>
      <c r="B1061" s="4" t="n">
        <v>0.4128</v>
      </c>
      <c r="C1061" s="4" t="n">
        <v>0.156</v>
      </c>
      <c r="D1061" s="4" t="n">
        <v>0.4312</v>
      </c>
      <c r="E1061" s="63" t="n">
        <v>1</v>
      </c>
      <c r="F1061" s="63" t="n">
        <v>0.43575</v>
      </c>
      <c r="G1061" s="63" t="n">
        <v>-0.0184</v>
      </c>
      <c r="H1061" s="63" t="n">
        <v>0.384907436629</v>
      </c>
      <c r="I1061" s="63" t="n">
        <v>0.48829287048</v>
      </c>
      <c r="J1061" s="63" t="n">
        <v>0.281522002778</v>
      </c>
      <c r="K1061" s="63" t="n">
        <v>1464.48</v>
      </c>
      <c r="L1061" s="63" t="n">
        <v>1447.03</v>
      </c>
      <c r="M1061" s="63" t="n">
        <v>1464.07</v>
      </c>
      <c r="N1061" s="54">
        <f>(M1062-M1061)/M1061</f>
        <v/>
      </c>
      <c r="O1061" s="54">
        <f>(M1065-M1061)/M1061</f>
        <v/>
      </c>
      <c r="P1061" s="4">
        <f>B1061-D1061</f>
        <v/>
      </c>
      <c r="Q1061" s="4">
        <f>AVERAGE(P1058:P1061)</f>
        <v/>
      </c>
      <c r="R1061" s="54">
        <f>(M1062-M1061)/M1061</f>
        <v/>
      </c>
      <c r="S1061" s="54">
        <f>(M1065-M1061)/M1061</f>
        <v/>
      </c>
      <c r="T1061" s="63">
        <f>IF(R1061&gt;0,1,"")</f>
        <v/>
      </c>
      <c r="U1061" s="63">
        <f>IF(S1061&gt;0,1,"")</f>
        <v/>
      </c>
    </row>
    <row r="1062">
      <c r="A1062" s="35" t="n">
        <v>39324</v>
      </c>
      <c r="B1062" s="4" t="n">
        <v>0.403</v>
      </c>
      <c r="C1062" s="4" t="n">
        <v>0.1343</v>
      </c>
      <c r="D1062" s="4" t="n">
        <v>0.4627</v>
      </c>
      <c r="E1062" s="63" t="n">
        <v>1</v>
      </c>
      <c r="F1062" s="63" t="n">
        <v>0.431325</v>
      </c>
      <c r="G1062" s="63" t="n">
        <v>-0.0597</v>
      </c>
      <c r="H1062" s="63" t="n">
        <v>0.384907436629</v>
      </c>
      <c r="I1062" s="63" t="n">
        <v>0.48829287048</v>
      </c>
      <c r="J1062" s="63" t="n">
        <v>0.281522002778</v>
      </c>
      <c r="K1062" s="63" t="n">
        <v>1463.76</v>
      </c>
      <c r="L1062" s="63" t="n">
        <v>1432.01</v>
      </c>
      <c r="M1062" s="63" t="n">
        <v>1463.76</v>
      </c>
      <c r="N1062" s="54">
        <f>(M1063-M1062)/M1062</f>
        <v/>
      </c>
      <c r="O1062" s="54">
        <f>(M1066-M1062)/M1062</f>
        <v/>
      </c>
      <c r="P1062" s="4">
        <f>B1062-D1062</f>
        <v/>
      </c>
      <c r="Q1062" s="4">
        <f>AVERAGE(P1059:P1062)</f>
        <v/>
      </c>
      <c r="R1062" s="54">
        <f>(M1063-M1062)/M1062</f>
        <v/>
      </c>
      <c r="S1062" s="54">
        <f>(M1066-M1062)/M1062</f>
        <v/>
      </c>
      <c r="T1062" s="63">
        <f>IF(R1062&gt;0,1,"")</f>
        <v/>
      </c>
      <c r="U1062" s="63">
        <f>IF(S1062&gt;0,1,"")</f>
        <v/>
      </c>
    </row>
    <row r="1063">
      <c r="A1063" s="35" t="n">
        <v>39331</v>
      </c>
      <c r="B1063" s="4" t="n">
        <v>0.3838</v>
      </c>
      <c r="C1063" s="4" t="n">
        <v>0.1919</v>
      </c>
      <c r="D1063" s="4" t="n">
        <v>0.4242</v>
      </c>
      <c r="E1063" s="63" t="n">
        <v>0.9999</v>
      </c>
      <c r="F1063" s="63" t="n">
        <v>0.42475</v>
      </c>
      <c r="G1063" s="63" t="n">
        <v>-0.0404</v>
      </c>
      <c r="H1063" s="63" t="n">
        <v>0.384907436629</v>
      </c>
      <c r="I1063" s="63" t="n">
        <v>0.48829287048</v>
      </c>
      <c r="J1063" s="63" t="n">
        <v>0.281522002778</v>
      </c>
      <c r="K1063" s="63" t="n">
        <v>1488.76</v>
      </c>
      <c r="L1063" s="63" t="n">
        <v>1466.37</v>
      </c>
      <c r="M1063" s="63" t="n">
        <v>1472.29</v>
      </c>
      <c r="N1063" s="54">
        <f>(M1064-M1063)/M1063</f>
        <v/>
      </c>
      <c r="O1063" s="54">
        <f>(M1067-M1063)/M1063</f>
        <v/>
      </c>
      <c r="P1063" s="4">
        <f>B1063-D1063</f>
        <v/>
      </c>
      <c r="Q1063" s="4">
        <f>AVERAGE(P1060:P1063)</f>
        <v/>
      </c>
      <c r="R1063" s="54">
        <f>(M1064-M1063)/M1063</f>
        <v/>
      </c>
      <c r="S1063" s="54">
        <f>(M1067-M1063)/M1063</f>
        <v/>
      </c>
      <c r="T1063" s="63">
        <f>IF(R1063&gt;0,1,"")</f>
        <v/>
      </c>
      <c r="U1063" s="63">
        <f>IF(S1063&gt;0,1,"")</f>
        <v/>
      </c>
    </row>
    <row r="1064">
      <c r="A1064" s="35" t="n">
        <v>39338</v>
      </c>
      <c r="B1064" s="4" t="n">
        <v>0.4</v>
      </c>
      <c r="C1064" s="4" t="n">
        <v>0.2471</v>
      </c>
      <c r="D1064" s="4" t="n">
        <v>0.3529</v>
      </c>
      <c r="E1064" s="63" t="n">
        <v>1</v>
      </c>
      <c r="F1064" s="63" t="n">
        <v>0.4225375</v>
      </c>
      <c r="G1064" s="63" t="n">
        <v>0.0471</v>
      </c>
      <c r="H1064" s="63" t="n">
        <v>0.384907436629</v>
      </c>
      <c r="I1064" s="63" t="n">
        <v>0.48829287048</v>
      </c>
      <c r="J1064" s="63" t="n">
        <v>0.281522002778</v>
      </c>
      <c r="K1064" s="63" t="n">
        <v>1479.19</v>
      </c>
      <c r="L1064" s="63" t="n">
        <v>1465.69</v>
      </c>
      <c r="M1064" s="63" t="n">
        <v>1471.56</v>
      </c>
      <c r="N1064" s="54">
        <f>(M1065-M1064)/M1064</f>
        <v/>
      </c>
      <c r="O1064" s="54">
        <f>(M1068-M1064)/M1064</f>
        <v/>
      </c>
      <c r="P1064" s="4">
        <f>B1064-D1064</f>
        <v/>
      </c>
      <c r="Q1064" s="4">
        <f>AVERAGE(P1061:P1064)</f>
        <v/>
      </c>
      <c r="R1064" s="54">
        <f>(M1065-M1064)/M1064</f>
        <v/>
      </c>
      <c r="S1064" s="54">
        <f>(M1068-M1064)/M1064</f>
        <v/>
      </c>
      <c r="T1064" s="63">
        <f>IF(R1064&gt;0,1,"")</f>
        <v/>
      </c>
      <c r="U1064" s="63">
        <f>IF(S1064&gt;0,1,"")</f>
        <v/>
      </c>
    </row>
    <row r="1065">
      <c r="A1065" s="35" t="n">
        <v>39345</v>
      </c>
      <c r="B1065" s="4" t="n">
        <v>0.3924</v>
      </c>
      <c r="C1065" s="4" t="n">
        <v>0.2911</v>
      </c>
      <c r="D1065" s="4" t="n">
        <v>0.3165</v>
      </c>
      <c r="E1065" s="63" t="n">
        <v>1</v>
      </c>
      <c r="F1065" s="63" t="n">
        <v>0.416325</v>
      </c>
      <c r="G1065" s="63" t="n">
        <v>0.0759</v>
      </c>
      <c r="H1065" s="63" t="n">
        <v>0.384907436629</v>
      </c>
      <c r="I1065" s="63" t="n">
        <v>0.48829287048</v>
      </c>
      <c r="J1065" s="63" t="n">
        <v>0.281522002778</v>
      </c>
      <c r="K1065" s="63" t="n">
        <v>1538.69</v>
      </c>
      <c r="L1065" s="63" t="n">
        <v>1519.75</v>
      </c>
      <c r="M1065" s="63" t="n">
        <v>1529.03</v>
      </c>
      <c r="N1065" s="54">
        <f>(M1066-M1065)/M1065</f>
        <v/>
      </c>
      <c r="O1065" s="54">
        <f>(M1069-M1065)/M1065</f>
        <v/>
      </c>
      <c r="P1065" s="4">
        <f>B1065-D1065</f>
        <v/>
      </c>
      <c r="Q1065" s="4">
        <f>AVERAGE(P1062:P1065)</f>
        <v/>
      </c>
      <c r="R1065" s="54">
        <f>(M1066-M1065)/M1065</f>
        <v/>
      </c>
      <c r="S1065" s="54">
        <f>(M1069-M1065)/M1065</f>
        <v/>
      </c>
      <c r="T1065" s="63">
        <f>IF(R1065&gt;0,1,"")</f>
        <v/>
      </c>
      <c r="U1065" s="63">
        <f>IF(S1065&gt;0,1,"")</f>
        <v/>
      </c>
    </row>
    <row r="1066">
      <c r="A1066" s="35" t="n">
        <v>39352</v>
      </c>
      <c r="B1066" s="4" t="n">
        <v>0.4937</v>
      </c>
      <c r="C1066" s="4" t="n">
        <v>0.1646</v>
      </c>
      <c r="D1066" s="4" t="n">
        <v>0.3418</v>
      </c>
      <c r="E1066" s="63" t="n">
        <v>1.0001</v>
      </c>
      <c r="F1066" s="63" t="n">
        <v>0.4206875</v>
      </c>
      <c r="G1066" s="63" t="n">
        <v>0.1519</v>
      </c>
      <c r="H1066" s="63" t="n">
        <v>0.384907436629</v>
      </c>
      <c r="I1066" s="63" t="n">
        <v>0.48829287048</v>
      </c>
      <c r="J1066" s="63" t="n">
        <v>0.281522002778</v>
      </c>
      <c r="K1066" s="63" t="n">
        <v>1529.17</v>
      </c>
      <c r="L1066" s="63" t="n">
        <v>1516.96</v>
      </c>
      <c r="M1066" s="63" t="n">
        <v>1525.42</v>
      </c>
      <c r="N1066" s="54">
        <f>(M1067-M1066)/M1066</f>
        <v/>
      </c>
      <c r="O1066" s="54">
        <f>(M1070-M1066)/M1066</f>
        <v/>
      </c>
      <c r="P1066" s="4">
        <f>B1066-D1066</f>
        <v/>
      </c>
      <c r="Q1066" s="4">
        <f>AVERAGE(P1063:P1066)</f>
        <v/>
      </c>
      <c r="R1066" s="54">
        <f>(M1067-M1066)/M1066</f>
        <v/>
      </c>
      <c r="S1066" s="54">
        <f>(M1070-M1066)/M1066</f>
        <v/>
      </c>
      <c r="T1066" s="63">
        <f>IF(R1066&gt;0,1,"")</f>
        <v/>
      </c>
      <c r="U1066" s="63">
        <f>IF(S1066&gt;0,1,"")</f>
        <v/>
      </c>
    </row>
    <row r="1067">
      <c r="A1067" s="35" t="n">
        <v>39359</v>
      </c>
      <c r="B1067" s="4" t="n">
        <v>0.5181</v>
      </c>
      <c r="C1067" s="4" t="n">
        <v>0.2289</v>
      </c>
      <c r="D1067" s="4" t="n">
        <v>0.253</v>
      </c>
      <c r="E1067" s="63" t="n">
        <v>1</v>
      </c>
      <c r="F1067" s="63" t="n">
        <v>0.42825</v>
      </c>
      <c r="G1067" s="63" t="n">
        <v>0.2651</v>
      </c>
      <c r="H1067" s="63" t="n">
        <v>0.384907436629</v>
      </c>
      <c r="I1067" s="63" t="n">
        <v>0.48829287048</v>
      </c>
      <c r="J1067" s="63" t="n">
        <v>0.281522002778</v>
      </c>
      <c r="K1067" s="63" t="n">
        <v>1546.33</v>
      </c>
      <c r="L1067" s="63" t="n">
        <v>1536.43</v>
      </c>
      <c r="M1067" s="63" t="n">
        <v>1539.59</v>
      </c>
      <c r="N1067" s="54">
        <f>(M1068-M1067)/M1067</f>
        <v/>
      </c>
      <c r="O1067" s="54">
        <f>(M1071-M1067)/M1067</f>
        <v/>
      </c>
      <c r="P1067" s="4">
        <f>B1067-D1067</f>
        <v/>
      </c>
      <c r="Q1067" s="4">
        <f>AVERAGE(P1064:P1067)</f>
        <v/>
      </c>
      <c r="R1067" s="54">
        <f>(M1068-M1067)/M1067</f>
        <v/>
      </c>
      <c r="S1067" s="54">
        <f>(M1071-M1067)/M1067</f>
        <v/>
      </c>
      <c r="T1067" s="63">
        <f>IF(R1067&gt;0,1,"")</f>
        <v/>
      </c>
      <c r="U1067" s="63">
        <f>IF(S1067&gt;0,1,"")</f>
        <v/>
      </c>
    </row>
    <row r="1068">
      <c r="A1068" s="35" t="n">
        <v>39366</v>
      </c>
      <c r="B1068" s="4" t="n">
        <v>0.5464</v>
      </c>
      <c r="C1068" s="4" t="n">
        <v>0.1959</v>
      </c>
      <c r="D1068" s="4" t="n">
        <v>0.2577</v>
      </c>
      <c r="E1068" s="63" t="n">
        <v>1</v>
      </c>
      <c r="F1068" s="63" t="n">
        <v>0.443775</v>
      </c>
      <c r="G1068" s="63" t="n">
        <v>0.2887</v>
      </c>
      <c r="H1068" s="63" t="n">
        <v>0.384907436629</v>
      </c>
      <c r="I1068" s="63" t="n">
        <v>0.48829287048</v>
      </c>
      <c r="J1068" s="63" t="n">
        <v>0.281522002778</v>
      </c>
      <c r="K1068" s="63" t="n">
        <v>1565.22</v>
      </c>
      <c r="L1068" s="63" t="n">
        <v>1555.62</v>
      </c>
      <c r="M1068" s="63" t="n">
        <v>1562.47</v>
      </c>
      <c r="N1068" s="54">
        <f>(M1069-M1068)/M1068</f>
        <v/>
      </c>
      <c r="O1068" s="54">
        <f>(M1072-M1068)/M1068</f>
        <v/>
      </c>
      <c r="P1068" s="4">
        <f>B1068-D1068</f>
        <v/>
      </c>
      <c r="Q1068" s="4">
        <f>AVERAGE(P1065:P1068)</f>
        <v/>
      </c>
      <c r="R1068" s="54">
        <f>(M1069-M1068)/M1068</f>
        <v/>
      </c>
      <c r="S1068" s="54">
        <f>(M1072-M1068)/M1068</f>
        <v/>
      </c>
      <c r="T1068" s="63">
        <f>IF(R1068&gt;0,1,"")</f>
        <v/>
      </c>
      <c r="U1068" s="63">
        <f>IF(S1068&gt;0,1,"")</f>
        <v/>
      </c>
    </row>
    <row r="1069">
      <c r="A1069" s="35" t="n">
        <v>39373</v>
      </c>
      <c r="B1069" s="4" t="n">
        <v>0.4196</v>
      </c>
      <c r="C1069" s="4" t="n">
        <v>0.2232</v>
      </c>
      <c r="D1069" s="4" t="n">
        <v>0.3571</v>
      </c>
      <c r="E1069" s="63" t="n">
        <v>0.9999</v>
      </c>
      <c r="F1069" s="63" t="n">
        <v>0.444625</v>
      </c>
      <c r="G1069" s="63" t="n">
        <v>0.0625</v>
      </c>
      <c r="H1069" s="63" t="n">
        <v>0.384907436629</v>
      </c>
      <c r="I1069" s="63" t="n">
        <v>0.48829287048</v>
      </c>
      <c r="J1069" s="63" t="n">
        <v>0.281522002778</v>
      </c>
      <c r="K1069" s="63" t="n">
        <v>1550.38</v>
      </c>
      <c r="L1069" s="63" t="n">
        <v>1526.46</v>
      </c>
      <c r="M1069" s="63" t="n">
        <v>1541.24</v>
      </c>
      <c r="N1069" s="54">
        <f>(M1070-M1069)/M1069</f>
        <v/>
      </c>
      <c r="O1069" s="54">
        <f>(M1073-M1069)/M1069</f>
        <v/>
      </c>
      <c r="P1069" s="4">
        <f>B1069-D1069</f>
        <v/>
      </c>
      <c r="Q1069" s="4">
        <f>AVERAGE(P1066:P1069)</f>
        <v/>
      </c>
      <c r="R1069" s="54">
        <f>(M1070-M1069)/M1069</f>
        <v/>
      </c>
      <c r="S1069" s="54">
        <f>(M1073-M1069)/M1069</f>
        <v/>
      </c>
      <c r="T1069" s="63">
        <f>IF(R1069&gt;0,1,"")</f>
        <v/>
      </c>
      <c r="U1069" s="63">
        <f>IF(S1069&gt;0,1,"")</f>
        <v/>
      </c>
    </row>
    <row r="1070">
      <c r="A1070" s="35" t="n">
        <v>39380</v>
      </c>
      <c r="B1070" s="4" t="n">
        <v>0.3125</v>
      </c>
      <c r="C1070" s="4" t="n">
        <v>0.2054</v>
      </c>
      <c r="D1070" s="4" t="n">
        <v>0.4821</v>
      </c>
      <c r="E1070" s="63" t="n">
        <v>1</v>
      </c>
      <c r="F1070" s="63" t="n">
        <v>0.4333125</v>
      </c>
      <c r="G1070" s="63" t="n">
        <v>-0.1696</v>
      </c>
      <c r="H1070" s="63" t="n">
        <v>0.384907436629</v>
      </c>
      <c r="I1070" s="63" t="n">
        <v>0.48829287048</v>
      </c>
      <c r="J1070" s="63" t="n">
        <v>0.281522002778</v>
      </c>
      <c r="K1070" s="63" t="n">
        <v>1519.57</v>
      </c>
      <c r="L1070" s="63" t="n">
        <v>1489.74</v>
      </c>
      <c r="M1070" s="63" t="n">
        <v>1515.88</v>
      </c>
      <c r="N1070" s="54">
        <f>(M1071-M1070)/M1070</f>
        <v/>
      </c>
      <c r="O1070" s="54">
        <f>(M1074-M1070)/M1070</f>
        <v/>
      </c>
      <c r="P1070" s="4">
        <f>B1070-D1070</f>
        <v/>
      </c>
      <c r="Q1070" s="4">
        <f>AVERAGE(P1067:P1070)</f>
        <v/>
      </c>
      <c r="R1070" s="54">
        <f>(M1071-M1070)/M1070</f>
        <v/>
      </c>
      <c r="S1070" s="54">
        <f>(M1074-M1070)/M1070</f>
        <v/>
      </c>
      <c r="T1070" s="63">
        <f>IF(R1070&gt;0,1,"")</f>
        <v/>
      </c>
      <c r="U1070" s="63">
        <f>IF(S1070&gt;0,1,"")</f>
        <v/>
      </c>
    </row>
    <row r="1071">
      <c r="A1071" s="35" t="n">
        <v>39387</v>
      </c>
      <c r="B1071" s="4" t="n">
        <v>0.4471</v>
      </c>
      <c r="C1071" s="4" t="n">
        <v>0.1882</v>
      </c>
      <c r="D1071" s="4" t="n">
        <v>0.3647</v>
      </c>
      <c r="E1071" s="63" t="n">
        <v>1</v>
      </c>
      <c r="F1071" s="63" t="n">
        <v>0.441225</v>
      </c>
      <c r="G1071" s="63" t="n">
        <v>0.0824</v>
      </c>
      <c r="H1071" s="63" t="n">
        <v>0.384907436629</v>
      </c>
      <c r="I1071" s="63" t="n">
        <v>0.48829287048</v>
      </c>
      <c r="J1071" s="63" t="n">
        <v>0.281522002778</v>
      </c>
      <c r="K1071" s="63" t="n">
        <v>1551.91</v>
      </c>
      <c r="L1071" s="63" t="n">
        <v>1529.42</v>
      </c>
      <c r="M1071" s="63" t="n">
        <v>1549.38</v>
      </c>
      <c r="N1071" s="54">
        <f>(M1072-M1071)/M1071</f>
        <v/>
      </c>
      <c r="O1071" s="54">
        <f>(M1075-M1071)/M1071</f>
        <v/>
      </c>
      <c r="P1071" s="4">
        <f>B1071-D1071</f>
        <v/>
      </c>
      <c r="Q1071" s="4">
        <f>AVERAGE(P1068:P1071)</f>
        <v/>
      </c>
      <c r="R1071" s="54">
        <f>(M1072-M1071)/M1071</f>
        <v/>
      </c>
      <c r="S1071" s="54">
        <f>(M1075-M1071)/M1071</f>
        <v/>
      </c>
      <c r="T1071" s="63">
        <f>IF(R1071&gt;0,1,"")</f>
        <v/>
      </c>
      <c r="U1071" s="63">
        <f>IF(S1071&gt;0,1,"")</f>
        <v/>
      </c>
    </row>
    <row r="1072">
      <c r="A1072" s="35" t="n">
        <v>39394</v>
      </c>
      <c r="B1072" s="4" t="n">
        <v>0.3619</v>
      </c>
      <c r="C1072" s="4" t="n">
        <v>0.1238</v>
      </c>
      <c r="D1072" s="4" t="n">
        <v>0.5143</v>
      </c>
      <c r="E1072" s="63" t="n">
        <v>1</v>
      </c>
      <c r="F1072" s="63" t="n">
        <v>0.4364625</v>
      </c>
      <c r="G1072" s="63" t="n">
        <v>-0.1524</v>
      </c>
      <c r="H1072" s="63" t="n">
        <v>0.384907436629</v>
      </c>
      <c r="I1072" s="63" t="n">
        <v>0.48829287048</v>
      </c>
      <c r="J1072" s="63" t="n">
        <v>0.281522002778</v>
      </c>
      <c r="K1072" s="63" t="n">
        <v>1519.49</v>
      </c>
      <c r="L1072" s="63" t="n">
        <v>1475.08</v>
      </c>
      <c r="M1072" s="63" t="n">
        <v>1475.62</v>
      </c>
      <c r="N1072" s="54">
        <f>(M1073-M1072)/M1072</f>
        <v/>
      </c>
      <c r="O1072" s="54">
        <f>(M1076-M1072)/M1072</f>
        <v/>
      </c>
      <c r="P1072" s="4">
        <f>B1072-D1072</f>
        <v/>
      </c>
      <c r="Q1072" s="4">
        <f>AVERAGE(P1069:P1072)</f>
        <v/>
      </c>
      <c r="R1072" s="54">
        <f>(M1073-M1072)/M1072</f>
        <v/>
      </c>
      <c r="S1072" s="54">
        <f>(M1076-M1072)/M1072</f>
        <v/>
      </c>
      <c r="T1072" s="63">
        <f>IF(R1072&gt;0,1,"")</f>
        <v/>
      </c>
      <c r="U1072" s="63">
        <f>IF(S1072&gt;0,1,"")</f>
        <v/>
      </c>
    </row>
    <row r="1073">
      <c r="A1073" s="35" t="n">
        <v>39401</v>
      </c>
      <c r="B1073" s="4" t="n">
        <v>0.3301</v>
      </c>
      <c r="C1073" s="4" t="n">
        <v>0.1748</v>
      </c>
      <c r="D1073" s="4" t="n">
        <v>0.4951</v>
      </c>
      <c r="E1073" s="63" t="n">
        <v>1</v>
      </c>
      <c r="F1073" s="63" t="n">
        <v>0.428675</v>
      </c>
      <c r="G1073" s="63" t="n">
        <v>-0.165</v>
      </c>
      <c r="H1073" s="63" t="n">
        <v>0.384907436629</v>
      </c>
      <c r="I1073" s="63" t="n">
        <v>0.48829287048</v>
      </c>
      <c r="J1073" s="63" t="n">
        <v>0.281522002778</v>
      </c>
      <c r="K1073" s="63" t="n">
        <v>1491.51</v>
      </c>
      <c r="L1073" s="63" t="n">
        <v>1466.99</v>
      </c>
      <c r="M1073" s="63" t="n">
        <v>1470.58</v>
      </c>
      <c r="N1073" s="54">
        <f>(M1074-M1073)/M1073</f>
        <v/>
      </c>
      <c r="O1073" s="54">
        <f>(M1077-M1073)/M1073</f>
        <v/>
      </c>
      <c r="P1073" s="4">
        <f>B1073-D1073</f>
        <v/>
      </c>
      <c r="Q1073" s="4">
        <f>AVERAGE(P1070:P1073)</f>
        <v/>
      </c>
      <c r="R1073" s="54">
        <f>(M1074-M1073)/M1073</f>
        <v/>
      </c>
      <c r="S1073" s="54">
        <f>(M1077-M1073)/M1073</f>
        <v/>
      </c>
      <c r="T1073" s="63">
        <f>IF(R1073&gt;0,1,"")</f>
        <v/>
      </c>
      <c r="U1073" s="63">
        <f>IF(S1073&gt;0,1,"")</f>
        <v/>
      </c>
    </row>
    <row r="1074">
      <c r="A1074" s="35" t="n">
        <v>39408</v>
      </c>
      <c r="B1074" s="4" t="n">
        <v>0.2558</v>
      </c>
      <c r="C1074" s="4" t="n">
        <v>0.2171</v>
      </c>
      <c r="D1074" s="4" t="n">
        <v>0.5271</v>
      </c>
      <c r="E1074" s="63" t="n">
        <v>1</v>
      </c>
      <c r="F1074" s="63" t="n">
        <v>0.3989375</v>
      </c>
      <c r="G1074" s="63" t="n">
        <v>-0.2713</v>
      </c>
      <c r="H1074" s="63" t="n">
        <v>0.384907436629</v>
      </c>
      <c r="I1074" s="63" t="n">
        <v>0.48829287048</v>
      </c>
      <c r="J1074" s="63" t="n">
        <v>0.281522002778</v>
      </c>
      <c r="K1074" s="63" t="n">
        <v>1439.62</v>
      </c>
      <c r="L1074" s="63" t="n">
        <v>1415.73</v>
      </c>
      <c r="M1074" s="63" t="n">
        <v>1416.77</v>
      </c>
      <c r="N1074" s="54">
        <f>(M1075-M1074)/M1074</f>
        <v/>
      </c>
      <c r="O1074" s="54">
        <f>(M1078-M1074)/M1074</f>
        <v/>
      </c>
      <c r="P1074" s="4">
        <f>B1074-D1074</f>
        <v/>
      </c>
      <c r="Q1074" s="4">
        <f>AVERAGE(P1071:P1074)</f>
        <v/>
      </c>
      <c r="R1074" s="54">
        <f>(M1075-M1074)/M1074</f>
        <v/>
      </c>
      <c r="S1074" s="54">
        <f>(M1078-M1074)/M1074</f>
        <v/>
      </c>
      <c r="T1074" s="63">
        <f>IF(R1074&gt;0,1,"")</f>
        <v/>
      </c>
      <c r="U1074" s="63">
        <f>IF(S1074&gt;0,1,"")</f>
        <v/>
      </c>
    </row>
    <row r="1075">
      <c r="A1075" s="35" t="n">
        <v>39415</v>
      </c>
      <c r="B1075" s="4" t="n">
        <v>0.2857</v>
      </c>
      <c r="C1075" s="4" t="n">
        <v>0.1531</v>
      </c>
      <c r="D1075" s="4" t="n">
        <v>0.5612</v>
      </c>
      <c r="E1075" s="63" t="n">
        <v>1</v>
      </c>
      <c r="F1075" s="63" t="n">
        <v>0.3698875</v>
      </c>
      <c r="G1075" s="63" t="n">
        <v>-0.2755</v>
      </c>
      <c r="H1075" s="63" t="n">
        <v>0.384907436629</v>
      </c>
      <c r="I1075" s="63" t="n">
        <v>0.48829287048</v>
      </c>
      <c r="J1075" s="63" t="n">
        <v>0.281522002778</v>
      </c>
      <c r="K1075" s="63" t="n">
        <v>1471.44</v>
      </c>
      <c r="L1075" s="63" t="n">
        <v>1427.78</v>
      </c>
      <c r="M1075" s="63" t="n">
        <v>1469.02</v>
      </c>
      <c r="N1075" s="54">
        <f>(M1076-M1075)/M1075</f>
        <v/>
      </c>
      <c r="O1075" s="54">
        <f>(M1079-M1075)/M1075</f>
        <v/>
      </c>
      <c r="P1075" s="4">
        <f>B1075-D1075</f>
        <v/>
      </c>
      <c r="Q1075" s="4">
        <f>AVERAGE(P1072:P1075)</f>
        <v/>
      </c>
      <c r="R1075" s="54">
        <f>(M1076-M1075)/M1075</f>
        <v/>
      </c>
      <c r="S1075" s="54">
        <f>(M1079-M1075)/M1075</f>
        <v/>
      </c>
      <c r="T1075" s="63">
        <f>IF(R1075&gt;0,1,"")</f>
        <v/>
      </c>
      <c r="U1075" s="63">
        <f>IF(S1075&gt;0,1,"")</f>
        <v/>
      </c>
    </row>
    <row r="1076">
      <c r="A1076" s="35" t="n">
        <v>39422</v>
      </c>
      <c r="B1076" s="4" t="n">
        <v>0.4065</v>
      </c>
      <c r="C1076" s="4" t="n">
        <v>0.1951</v>
      </c>
      <c r="D1076" s="4" t="n">
        <v>0.3984</v>
      </c>
      <c r="E1076" s="63" t="n">
        <v>1</v>
      </c>
      <c r="F1076" s="63" t="n">
        <v>0.3524</v>
      </c>
      <c r="G1076" s="63" t="n">
        <v>0.0081</v>
      </c>
      <c r="H1076" s="63" t="n">
        <v>0.384907436629</v>
      </c>
      <c r="I1076" s="63" t="n">
        <v>0.48829287048</v>
      </c>
      <c r="J1076" s="63" t="n">
        <v>0.281522002778</v>
      </c>
      <c r="K1076" s="63" t="n">
        <v>1485.85</v>
      </c>
      <c r="L1076" s="63" t="n">
        <v>1462.06</v>
      </c>
      <c r="M1076" s="63" t="n">
        <v>1485.01</v>
      </c>
      <c r="N1076" s="54">
        <f>(M1077-M1076)/M1076</f>
        <v/>
      </c>
      <c r="O1076" s="54">
        <f>(M1080-M1076)/M1076</f>
        <v/>
      </c>
      <c r="P1076" s="4">
        <f>B1076-D1076</f>
        <v/>
      </c>
      <c r="Q1076" s="4">
        <f>AVERAGE(P1073:P1076)</f>
        <v/>
      </c>
      <c r="R1076" s="54">
        <f>(M1077-M1076)/M1076</f>
        <v/>
      </c>
      <c r="S1076" s="54">
        <f>(M1080-M1076)/M1076</f>
        <v/>
      </c>
      <c r="T1076" s="63">
        <f>IF(R1076&gt;0,1,"")</f>
        <v/>
      </c>
      <c r="U1076" s="63">
        <f>IF(S1076&gt;0,1,"")</f>
        <v/>
      </c>
    </row>
    <row r="1077">
      <c r="A1077" s="35" t="n">
        <v>39429</v>
      </c>
      <c r="B1077" s="4" t="n">
        <v>0.4762</v>
      </c>
      <c r="C1077" s="4" t="n">
        <v>0.1667</v>
      </c>
      <c r="D1077" s="4" t="n">
        <v>0.3571</v>
      </c>
      <c r="E1077" s="63" t="n">
        <v>1</v>
      </c>
      <c r="F1077" s="63" t="n">
        <v>0.359475</v>
      </c>
      <c r="G1077" s="63" t="n">
        <v>0.1191</v>
      </c>
      <c r="H1077" s="63" t="n">
        <v>0.384907436629</v>
      </c>
      <c r="I1077" s="63" t="n">
        <v>0.48829287048</v>
      </c>
      <c r="J1077" s="63" t="n">
        <v>0.281522002778</v>
      </c>
      <c r="K1077" s="63" t="n">
        <v>1485.4</v>
      </c>
      <c r="L1077" s="63" t="n">
        <v>1472.4</v>
      </c>
      <c r="M1077" s="63" t="n">
        <v>1479.66</v>
      </c>
      <c r="N1077" s="54">
        <f>(M1078-M1077)/M1077</f>
        <v/>
      </c>
      <c r="O1077" s="54">
        <f>(M1081-M1077)/M1077</f>
        <v/>
      </c>
      <c r="P1077" s="4">
        <f>B1077-D1077</f>
        <v/>
      </c>
      <c r="Q1077" s="4">
        <f>AVERAGE(P1074:P1077)</f>
        <v/>
      </c>
      <c r="R1077" s="54">
        <f>(M1078-M1077)/M1077</f>
        <v/>
      </c>
      <c r="S1077" s="54">
        <f>(M1081-M1077)/M1077</f>
        <v/>
      </c>
      <c r="T1077" s="63">
        <f>IF(R1077&gt;0,1,"")</f>
        <v/>
      </c>
      <c r="U1077" s="63">
        <f>IF(S1077&gt;0,1,"")</f>
        <v/>
      </c>
    </row>
    <row r="1078">
      <c r="A1078" s="35" t="n">
        <v>39436</v>
      </c>
      <c r="B1078" s="4" t="n">
        <v>0.3585</v>
      </c>
      <c r="C1078" s="4" t="n">
        <v>0.1698</v>
      </c>
      <c r="D1078" s="4" t="n">
        <v>0.4717</v>
      </c>
      <c r="E1078" s="63" t="n">
        <v>1</v>
      </c>
      <c r="F1078" s="63" t="n">
        <v>0.365225</v>
      </c>
      <c r="G1078" s="63" t="n">
        <v>-0.1132</v>
      </c>
      <c r="H1078" s="63" t="n">
        <v>0.384907436629</v>
      </c>
      <c r="I1078" s="63" t="n">
        <v>0.48829287048</v>
      </c>
      <c r="J1078" s="63" t="n">
        <v>0.281522002778</v>
      </c>
      <c r="K1078" s="63" t="n">
        <v>1464.4</v>
      </c>
      <c r="L1078" s="63" t="n">
        <v>1445.49</v>
      </c>
      <c r="M1078" s="63" t="n">
        <v>1453</v>
      </c>
      <c r="N1078" s="54">
        <f>(M1079-M1078)/M1078</f>
        <v/>
      </c>
      <c r="O1078" s="54">
        <f>(M1082-M1078)/M1078</f>
        <v/>
      </c>
      <c r="P1078" s="4">
        <f>B1078-D1078</f>
        <v/>
      </c>
      <c r="Q1078" s="4">
        <f>AVERAGE(P1075:P1078)</f>
        <v/>
      </c>
      <c r="R1078" s="54">
        <f>(M1079-M1078)/M1078</f>
        <v/>
      </c>
      <c r="S1078" s="54">
        <f>(M1082-M1078)/M1078</f>
        <v/>
      </c>
      <c r="T1078" s="63">
        <f>IF(R1078&gt;0,1,"")</f>
        <v/>
      </c>
      <c r="U1078" s="63">
        <f>IF(S1078&gt;0,1,"")</f>
        <v/>
      </c>
    </row>
    <row r="1079">
      <c r="A1079" s="35" t="n">
        <v>39443</v>
      </c>
      <c r="B1079" s="4" t="n">
        <v>0.3</v>
      </c>
      <c r="C1079" s="4" t="n">
        <v>0.2</v>
      </c>
      <c r="D1079" s="4" t="n">
        <v>0.5</v>
      </c>
      <c r="E1079" s="63" t="n">
        <v>1</v>
      </c>
      <c r="F1079" s="63" t="n">
        <v>0.3468375</v>
      </c>
      <c r="G1079" s="63" t="n">
        <v>-0.2</v>
      </c>
      <c r="H1079" s="63" t="n">
        <v>0.384907436629</v>
      </c>
      <c r="I1079" s="63" t="n">
        <v>0.48829287048</v>
      </c>
      <c r="J1079" s="63" t="n">
        <v>0.281522002778</v>
      </c>
      <c r="K1079" s="63" t="n">
        <v>1497.63</v>
      </c>
      <c r="L1079" s="63" t="n">
        <v>1484.55</v>
      </c>
      <c r="M1079" s="63" t="n">
        <v>1496.45</v>
      </c>
      <c r="N1079" s="54">
        <f>(M1080-M1079)/M1079</f>
        <v/>
      </c>
      <c r="O1079" s="54">
        <f>(M1083-M1079)/M1079</f>
        <v/>
      </c>
      <c r="P1079" s="4">
        <f>B1079-D1079</f>
        <v/>
      </c>
      <c r="Q1079" s="4">
        <f>AVERAGE(P1076:P1079)</f>
        <v/>
      </c>
      <c r="R1079" s="54">
        <f>(M1080-M1079)/M1079</f>
        <v/>
      </c>
      <c r="S1079" s="54">
        <f>(M1083-M1079)/M1079</f>
        <v/>
      </c>
      <c r="T1079" s="63">
        <f>IF(R1079&gt;0,1,"")</f>
        <v/>
      </c>
      <c r="U1079" s="63">
        <f>IF(S1079&gt;0,1,"")</f>
        <v/>
      </c>
    </row>
    <row r="1080">
      <c r="A1080" s="35" t="n">
        <v>39450</v>
      </c>
      <c r="B1080" s="4" t="n">
        <v>0.2571</v>
      </c>
      <c r="C1080" s="4" t="n">
        <v>0.1905</v>
      </c>
      <c r="D1080" s="4" t="n">
        <v>0.5524</v>
      </c>
      <c r="E1080" s="63" t="n">
        <v>1</v>
      </c>
      <c r="F1080" s="63" t="n">
        <v>0.3337375</v>
      </c>
      <c r="G1080" s="63" t="n">
        <v>-0.2953</v>
      </c>
      <c r="H1080" s="63" t="n">
        <v>0.384907436629</v>
      </c>
      <c r="I1080" s="63" t="n">
        <v>0.48829287048</v>
      </c>
      <c r="J1080" s="63" t="n">
        <v>0.281522002778</v>
      </c>
      <c r="K1080" s="63" t="n">
        <v>1455.74</v>
      </c>
      <c r="L1080" s="63" t="n">
        <v>1447.37</v>
      </c>
      <c r="M1080" s="63" t="n">
        <v>1450.38</v>
      </c>
      <c r="N1080" s="54">
        <f>(M1081-M1080)/M1080</f>
        <v/>
      </c>
      <c r="O1080" s="54">
        <f>(M1084-M1080)/M1080</f>
        <v/>
      </c>
      <c r="P1080" s="4">
        <f>B1080-D1080</f>
        <v/>
      </c>
      <c r="Q1080" s="4">
        <f>AVERAGE(P1077:P1080)</f>
        <v/>
      </c>
      <c r="R1080" s="54">
        <f>(M1081-M1080)/M1080</f>
        <v/>
      </c>
      <c r="S1080" s="54">
        <f>(M1084-M1080)/M1080</f>
        <v/>
      </c>
      <c r="T1080" s="63">
        <f>IF(R1080&gt;0,1,"")</f>
        <v/>
      </c>
      <c r="U1080" s="63">
        <f>IF(S1080&gt;0,1,"")</f>
        <v/>
      </c>
    </row>
    <row r="1081">
      <c r="A1081" s="35" t="n">
        <v>39457</v>
      </c>
      <c r="B1081" s="4" t="n">
        <v>0.1963</v>
      </c>
      <c r="C1081" s="4" t="n">
        <v>0.215</v>
      </c>
      <c r="D1081" s="4" t="n">
        <v>0.5888</v>
      </c>
      <c r="E1081" s="63" t="n">
        <v>1.0001</v>
      </c>
      <c r="F1081" s="63" t="n">
        <v>0.3170125</v>
      </c>
      <c r="G1081" s="63" t="n">
        <v>-0.3925</v>
      </c>
      <c r="H1081" s="63" t="n">
        <v>0.384907436629</v>
      </c>
      <c r="I1081" s="63" t="n">
        <v>0.48829287048</v>
      </c>
      <c r="J1081" s="63" t="n">
        <v>0.281522002778</v>
      </c>
      <c r="K1081" s="63" t="n">
        <v>1409.2</v>
      </c>
      <c r="L1081" s="63" t="n">
        <v>1379.23</v>
      </c>
      <c r="M1081" s="63" t="n">
        <v>1409.13</v>
      </c>
      <c r="N1081" s="54">
        <f>(M1082-M1081)/M1081</f>
        <v/>
      </c>
      <c r="O1081" s="54">
        <f>(M1085-M1081)/M1081</f>
        <v/>
      </c>
      <c r="P1081" s="4">
        <f>B1081-D1081</f>
        <v/>
      </c>
      <c r="Q1081" s="4">
        <f>AVERAGE(P1078:P1081)</f>
        <v/>
      </c>
      <c r="R1081" s="54">
        <f>(M1082-M1081)/M1081</f>
        <v/>
      </c>
      <c r="S1081" s="54">
        <f>(M1085-M1081)/M1081</f>
        <v/>
      </c>
      <c r="T1081" s="63">
        <f>IF(R1081&gt;0,1,"")</f>
        <v/>
      </c>
      <c r="U1081" s="63">
        <f>IF(S1081&gt;0,1,"")</f>
        <v/>
      </c>
    </row>
    <row r="1082">
      <c r="A1082" s="35" t="n">
        <v>39464</v>
      </c>
      <c r="B1082" s="4" t="n">
        <v>0.243</v>
      </c>
      <c r="C1082" s="4" t="n">
        <v>0.213</v>
      </c>
      <c r="D1082" s="4" t="n">
        <v>0.5444</v>
      </c>
      <c r="E1082" s="63" t="n">
        <v>1.0004</v>
      </c>
      <c r="F1082" s="63" t="n">
        <v>0.3154125</v>
      </c>
      <c r="G1082" s="63" t="n">
        <v>-0.3014</v>
      </c>
      <c r="H1082" s="63" t="n">
        <v>0.384907436629</v>
      </c>
      <c r="I1082" s="63" t="n">
        <v>0.48829287048</v>
      </c>
      <c r="J1082" s="63" t="n">
        <v>0.281522002778</v>
      </c>
      <c r="K1082" s="63" t="n">
        <v>1391.99</v>
      </c>
      <c r="L1082" s="63" t="n">
        <v>1364.27</v>
      </c>
      <c r="M1082" s="63" t="n">
        <v>1373.2</v>
      </c>
      <c r="N1082" s="54">
        <f>(M1083-M1082)/M1082</f>
        <v/>
      </c>
      <c r="O1082" s="54">
        <f>(M1086-M1082)/M1082</f>
        <v/>
      </c>
      <c r="P1082" s="4">
        <f>B1082-D1082</f>
        <v/>
      </c>
      <c r="Q1082" s="4">
        <f>AVERAGE(P1079:P1082)</f>
        <v/>
      </c>
      <c r="R1082" s="54">
        <f>(M1083-M1082)/M1082</f>
        <v/>
      </c>
      <c r="S1082" s="54">
        <f>(M1086-M1082)/M1082</f>
        <v/>
      </c>
      <c r="T1082" s="63">
        <f>IF(R1082&gt;0,1,"")</f>
        <v/>
      </c>
      <c r="U1082" s="63">
        <f>IF(S1082&gt;0,1,"")</f>
        <v/>
      </c>
    </row>
    <row r="1083">
      <c r="A1083" s="35" t="n">
        <v>39471</v>
      </c>
      <c r="B1083" s="4" t="n">
        <v>0.2514</v>
      </c>
      <c r="C1083" s="4" t="n">
        <v>0.1585</v>
      </c>
      <c r="D1083" s="4" t="n">
        <v>0.5901999999999999</v>
      </c>
      <c r="E1083" s="63" t="n">
        <v>1.0001</v>
      </c>
      <c r="F1083" s="63" t="n">
        <v>0.311125</v>
      </c>
      <c r="G1083" s="63" t="n">
        <v>-0.3388</v>
      </c>
      <c r="H1083" s="63" t="n">
        <v>0.384907436629</v>
      </c>
      <c r="I1083" s="63" t="n">
        <v>0.48829287048</v>
      </c>
      <c r="J1083" s="63" t="n">
        <v>0.281522002778</v>
      </c>
      <c r="K1083" s="63" t="n">
        <v>1338.82</v>
      </c>
      <c r="L1083" s="63" t="n">
        <v>1269.87</v>
      </c>
      <c r="M1083" s="63" t="n">
        <v>1338.6</v>
      </c>
      <c r="N1083" s="54">
        <f>(M1084-M1083)/M1083</f>
        <v/>
      </c>
      <c r="O1083" s="54">
        <f>(M1087-M1083)/M1083</f>
        <v/>
      </c>
      <c r="P1083" s="4">
        <f>B1083-D1083</f>
        <v/>
      </c>
      <c r="Q1083" s="4">
        <f>AVERAGE(P1080:P1083)</f>
        <v/>
      </c>
      <c r="R1083" s="54">
        <f>(M1084-M1083)/M1083</f>
        <v/>
      </c>
      <c r="S1083" s="54">
        <f>(M1087-M1083)/M1083</f>
        <v/>
      </c>
      <c r="T1083" s="63">
        <f>IF(R1083&gt;0,1,"")</f>
        <v/>
      </c>
      <c r="U1083" s="63">
        <f>IF(S1083&gt;0,1,"")</f>
        <v/>
      </c>
    </row>
    <row r="1084">
      <c r="A1084" s="35" t="n">
        <v>39478</v>
      </c>
      <c r="B1084" s="4" t="n">
        <v>0.3008</v>
      </c>
      <c r="C1084" s="4" t="n">
        <v>0.2105</v>
      </c>
      <c r="D1084" s="4" t="n">
        <v>0.4887</v>
      </c>
      <c r="E1084" s="63" t="n">
        <v>1</v>
      </c>
      <c r="F1084" s="63" t="n">
        <v>0.2979125</v>
      </c>
      <c r="G1084" s="63" t="n">
        <v>-0.1879</v>
      </c>
      <c r="H1084" s="63" t="n">
        <v>0.384907436629</v>
      </c>
      <c r="I1084" s="63" t="n">
        <v>0.48829287048</v>
      </c>
      <c r="J1084" s="63" t="n">
        <v>0.281522002778</v>
      </c>
      <c r="K1084" s="63" t="n">
        <v>1385.86</v>
      </c>
      <c r="L1084" s="63" t="n">
        <v>1352.95</v>
      </c>
      <c r="M1084" s="63" t="n">
        <v>1355.81</v>
      </c>
      <c r="N1084" s="54">
        <f>(M1085-M1084)/M1084</f>
        <v/>
      </c>
      <c r="O1084" s="54">
        <f>(M1088-M1084)/M1084</f>
        <v/>
      </c>
      <c r="P1084" s="4">
        <f>B1084-D1084</f>
        <v/>
      </c>
      <c r="Q1084" s="4">
        <f>AVERAGE(P1081:P1084)</f>
        <v/>
      </c>
      <c r="R1084" s="54">
        <f>(M1085-M1084)/M1084</f>
        <v/>
      </c>
      <c r="S1084" s="54">
        <f>(M1088-M1084)/M1084</f>
        <v/>
      </c>
      <c r="T1084" s="63">
        <f>IF(R1084&gt;0,1,"")</f>
        <v/>
      </c>
      <c r="U1084" s="63">
        <f>IF(S1084&gt;0,1,"")</f>
        <v/>
      </c>
    </row>
    <row r="1085">
      <c r="A1085" s="35" t="n">
        <v>39485</v>
      </c>
      <c r="B1085" s="4" t="n">
        <v>0.3411</v>
      </c>
      <c r="C1085" s="4" t="n">
        <v>0.1869</v>
      </c>
      <c r="D1085" s="4" t="n">
        <v>0.472</v>
      </c>
      <c r="E1085" s="63" t="n">
        <v>1</v>
      </c>
      <c r="F1085" s="63" t="n">
        <v>0.281025</v>
      </c>
      <c r="G1085" s="63" t="n">
        <v>-0.1309</v>
      </c>
      <c r="H1085" s="63" t="n">
        <v>0.384907436629</v>
      </c>
      <c r="I1085" s="63" t="n">
        <v>0.48829287048</v>
      </c>
      <c r="J1085" s="63" t="n">
        <v>0.281522002778</v>
      </c>
      <c r="K1085" s="63" t="n">
        <v>1351.96</v>
      </c>
      <c r="L1085" s="63" t="n">
        <v>1324.34</v>
      </c>
      <c r="M1085" s="63" t="n">
        <v>1326.45</v>
      </c>
      <c r="N1085" s="54">
        <f>(M1086-M1085)/M1085</f>
        <v/>
      </c>
      <c r="O1085" s="54">
        <f>(M1089-M1085)/M1085</f>
        <v/>
      </c>
      <c r="P1085" s="4">
        <f>B1085-D1085</f>
        <v/>
      </c>
      <c r="Q1085" s="4">
        <f>AVERAGE(P1082:P1085)</f>
        <v/>
      </c>
      <c r="R1085" s="54">
        <f>(M1086-M1085)/M1085</f>
        <v/>
      </c>
      <c r="S1085" s="54">
        <f>(M1089-M1085)/M1085</f>
        <v/>
      </c>
      <c r="T1085" s="63">
        <f>IF(R1085&gt;0,1,"")</f>
        <v/>
      </c>
      <c r="U1085" s="63">
        <f>IF(S1085&gt;0,1,"")</f>
        <v/>
      </c>
    </row>
    <row r="1086">
      <c r="A1086" s="35" t="n">
        <v>39492</v>
      </c>
      <c r="B1086" s="4" t="n">
        <v>0.3333</v>
      </c>
      <c r="C1086" s="4" t="n">
        <v>0.2481</v>
      </c>
      <c r="D1086" s="4" t="n">
        <v>0.4186</v>
      </c>
      <c r="E1086" s="63" t="n">
        <v>1</v>
      </c>
      <c r="F1086" s="63" t="n">
        <v>0.277875</v>
      </c>
      <c r="G1086" s="63" t="n">
        <v>-0.0853</v>
      </c>
      <c r="H1086" s="63" t="n">
        <v>0.384907436629</v>
      </c>
      <c r="I1086" s="63" t="n">
        <v>0.48829287048</v>
      </c>
      <c r="J1086" s="63" t="n">
        <v>0.281522002778</v>
      </c>
      <c r="K1086" s="63" t="n">
        <v>1369.23</v>
      </c>
      <c r="L1086" s="63" t="n">
        <v>1350.78</v>
      </c>
      <c r="M1086" s="63" t="n">
        <v>1367.21</v>
      </c>
      <c r="N1086" s="54">
        <f>(M1087-M1086)/M1086</f>
        <v/>
      </c>
      <c r="O1086" s="54">
        <f>(M1090-M1086)/M1086</f>
        <v/>
      </c>
      <c r="P1086" s="4">
        <f>B1086-D1086</f>
        <v/>
      </c>
      <c r="Q1086" s="4">
        <f>AVERAGE(P1083:P1086)</f>
        <v/>
      </c>
      <c r="R1086" s="54">
        <f>(M1087-M1086)/M1086</f>
        <v/>
      </c>
      <c r="S1086" s="54">
        <f>(M1090-M1086)/M1086</f>
        <v/>
      </c>
      <c r="T1086" s="63">
        <f>IF(R1086&gt;0,1,"")</f>
        <v/>
      </c>
      <c r="U1086" s="63">
        <f>IF(S1086&gt;0,1,"")</f>
        <v/>
      </c>
    </row>
    <row r="1087">
      <c r="A1087" s="35" t="n">
        <v>39499</v>
      </c>
      <c r="B1087" s="4" t="n">
        <v>0.3318</v>
      </c>
      <c r="C1087" s="4" t="n">
        <v>0.2212</v>
      </c>
      <c r="D1087" s="4" t="n">
        <v>0.447</v>
      </c>
      <c r="E1087" s="63" t="n">
        <v>1</v>
      </c>
      <c r="F1087" s="63" t="n">
        <v>0.28185</v>
      </c>
      <c r="G1087" s="63" t="n">
        <v>-0.1152</v>
      </c>
      <c r="H1087" s="63" t="n">
        <v>0.384907436629</v>
      </c>
      <c r="I1087" s="63" t="n">
        <v>0.48829287048</v>
      </c>
      <c r="J1087" s="63" t="n">
        <v>0.281522002778</v>
      </c>
      <c r="K1087" s="63" t="n">
        <v>1367.28</v>
      </c>
      <c r="L1087" s="63" t="n">
        <v>1345.05</v>
      </c>
      <c r="M1087" s="63" t="n">
        <v>1348.78</v>
      </c>
      <c r="N1087" s="54">
        <f>(M1088-M1087)/M1087</f>
        <v/>
      </c>
      <c r="O1087" s="54">
        <f>(M1091-M1087)/M1087</f>
        <v/>
      </c>
      <c r="P1087" s="4">
        <f>B1087-D1087</f>
        <v/>
      </c>
      <c r="Q1087" s="4">
        <f>AVERAGE(P1084:P1087)</f>
        <v/>
      </c>
      <c r="R1087" s="54">
        <f>(M1088-M1087)/M1087</f>
        <v/>
      </c>
      <c r="S1087" s="54">
        <f>(M1091-M1087)/M1087</f>
        <v/>
      </c>
      <c r="T1087" s="63">
        <f>IF(R1087&gt;0,1,"")</f>
        <v/>
      </c>
      <c r="U1087" s="63">
        <f>IF(S1087&gt;0,1,"")</f>
        <v/>
      </c>
    </row>
    <row r="1088">
      <c r="A1088" s="35" t="n">
        <v>39506</v>
      </c>
      <c r="B1088" s="4" t="n">
        <v>0.3431</v>
      </c>
      <c r="C1088" s="4" t="n">
        <v>0.2044</v>
      </c>
      <c r="D1088" s="4" t="n">
        <v>0.4526</v>
      </c>
      <c r="E1088" s="63" t="n">
        <v>1.0001</v>
      </c>
      <c r="F1088" s="63" t="n">
        <v>0.2926</v>
      </c>
      <c r="G1088" s="63" t="n">
        <v>-0.1095</v>
      </c>
      <c r="H1088" s="63" t="n">
        <v>0.384907436629</v>
      </c>
      <c r="I1088" s="63" t="n">
        <v>0.48829287048</v>
      </c>
      <c r="J1088" s="63" t="n">
        <v>0.281522002778</v>
      </c>
      <c r="K1088" s="63" t="n">
        <v>1388.34</v>
      </c>
      <c r="L1088" s="63" t="n">
        <v>1372</v>
      </c>
      <c r="M1088" s="63" t="n">
        <v>1380.02</v>
      </c>
      <c r="N1088" s="54">
        <f>(M1089-M1088)/M1088</f>
        <v/>
      </c>
      <c r="O1088" s="54">
        <f>(M1092-M1088)/M1088</f>
        <v/>
      </c>
      <c r="P1088" s="4">
        <f>B1088-D1088</f>
        <v/>
      </c>
      <c r="Q1088" s="4">
        <f>AVERAGE(P1085:P1088)</f>
        <v/>
      </c>
      <c r="R1088" s="54">
        <f>(M1089-M1088)/M1088</f>
        <v/>
      </c>
      <c r="S1088" s="54">
        <f>(M1092-M1088)/M1088</f>
        <v/>
      </c>
      <c r="T1088" s="63">
        <f>IF(R1088&gt;0,1,"")</f>
        <v/>
      </c>
      <c r="U1088" s="63">
        <f>IF(S1088&gt;0,1,"")</f>
        <v/>
      </c>
    </row>
    <row r="1089">
      <c r="A1089" s="35" t="n">
        <v>39513</v>
      </c>
      <c r="B1089" s="4" t="n">
        <v>0.2198</v>
      </c>
      <c r="C1089" s="4" t="n">
        <v>0.2637</v>
      </c>
      <c r="D1089" s="4" t="n">
        <v>0.5165</v>
      </c>
      <c r="E1089" s="63" t="n">
        <v>1</v>
      </c>
      <c r="F1089" s="63" t="n">
        <v>0.2955375</v>
      </c>
      <c r="G1089" s="63" t="n">
        <v>-0.2967</v>
      </c>
      <c r="H1089" s="63" t="n">
        <v>0.384907436629</v>
      </c>
      <c r="I1089" s="63" t="n">
        <v>0.48829287048</v>
      </c>
      <c r="J1089" s="63" t="n">
        <v>0.281522002778</v>
      </c>
      <c r="K1089" s="63" t="n">
        <v>1344.19</v>
      </c>
      <c r="L1089" s="63" t="n">
        <v>1320.22</v>
      </c>
      <c r="M1089" s="63" t="n">
        <v>1333.7</v>
      </c>
      <c r="N1089" s="54">
        <f>(M1090-M1089)/M1089</f>
        <v/>
      </c>
      <c r="O1089" s="54">
        <f>(M1093-M1089)/M1089</f>
        <v/>
      </c>
      <c r="P1089" s="4">
        <f>B1089-D1089</f>
        <v/>
      </c>
      <c r="Q1089" s="4">
        <f>AVERAGE(P1086:P1089)</f>
        <v/>
      </c>
      <c r="R1089" s="54">
        <f>(M1090-M1089)/M1089</f>
        <v/>
      </c>
      <c r="S1089" s="54">
        <f>(M1093-M1089)/M1089</f>
        <v/>
      </c>
      <c r="T1089" s="63">
        <f>IF(R1089&gt;0,1,"")</f>
        <v/>
      </c>
      <c r="U1089" s="63">
        <f>IF(S1089&gt;0,1,"")</f>
        <v/>
      </c>
    </row>
    <row r="1090">
      <c r="A1090" s="35" t="n">
        <v>39520</v>
      </c>
      <c r="B1090" s="4" t="n">
        <v>0.2042</v>
      </c>
      <c r="C1090" s="4" t="n">
        <v>0.2042</v>
      </c>
      <c r="D1090" s="4" t="n">
        <v>0.5915</v>
      </c>
      <c r="E1090" s="63" t="n">
        <v>0.9999</v>
      </c>
      <c r="F1090" s="63" t="n">
        <v>0.2906875</v>
      </c>
      <c r="G1090" s="63" t="n">
        <v>-0.3873</v>
      </c>
      <c r="H1090" s="63" t="n">
        <v>0.384907436629</v>
      </c>
      <c r="I1090" s="63" t="n">
        <v>0.48829287048</v>
      </c>
      <c r="J1090" s="63" t="n">
        <v>0.281522002778</v>
      </c>
      <c r="K1090" s="63" t="n">
        <v>1333.26</v>
      </c>
      <c r="L1090" s="63" t="n">
        <v>1307.86</v>
      </c>
      <c r="M1090" s="63" t="n">
        <v>1308.77</v>
      </c>
      <c r="N1090" s="54">
        <f>(M1091-M1090)/M1090</f>
        <v/>
      </c>
      <c r="O1090" s="54">
        <f>(M1094-M1090)/M1090</f>
        <v/>
      </c>
      <c r="P1090" s="4">
        <f>B1090-D1090</f>
        <v/>
      </c>
      <c r="Q1090" s="4">
        <f>AVERAGE(P1087:P1090)</f>
        <v/>
      </c>
      <c r="R1090" s="54">
        <f>(M1091-M1090)/M1090</f>
        <v/>
      </c>
      <c r="S1090" s="54">
        <f>(M1094-M1090)/M1090</f>
        <v/>
      </c>
      <c r="T1090" s="63">
        <f>IF(R1090&gt;0,1,"")</f>
        <v/>
      </c>
      <c r="U1090" s="63">
        <f>IF(S1090&gt;0,1,"")</f>
        <v/>
      </c>
    </row>
    <row r="1091">
      <c r="A1091" s="35" t="n">
        <v>39527</v>
      </c>
      <c r="B1091" s="4" t="n">
        <v>0.2521</v>
      </c>
      <c r="C1091" s="4" t="n">
        <v>0.2051</v>
      </c>
      <c r="D1091" s="4" t="n">
        <v>0.5427</v>
      </c>
      <c r="E1091" s="63" t="n">
        <v>0.9999</v>
      </c>
      <c r="F1091" s="63" t="n">
        <v>0.290775</v>
      </c>
      <c r="G1091" s="63" t="n">
        <v>-0.2906</v>
      </c>
      <c r="H1091" s="63" t="n">
        <v>0.384907436629</v>
      </c>
      <c r="I1091" s="63" t="n">
        <v>0.48829287048</v>
      </c>
      <c r="J1091" s="63" t="n">
        <v>0.281522002778</v>
      </c>
      <c r="K1091" s="63" t="n">
        <v>1341.51</v>
      </c>
      <c r="L1091" s="63" t="n">
        <v>1298.42</v>
      </c>
      <c r="M1091" s="63" t="n">
        <v>1298.42</v>
      </c>
      <c r="N1091" s="54">
        <f>(M1092-M1091)/M1091</f>
        <v/>
      </c>
      <c r="O1091" s="54">
        <f>(M1095-M1091)/M1091</f>
        <v/>
      </c>
      <c r="P1091" s="4">
        <f>B1091-D1091</f>
        <v/>
      </c>
      <c r="Q1091" s="4">
        <f>AVERAGE(P1088:P1091)</f>
        <v/>
      </c>
      <c r="R1091" s="54">
        <f>(M1092-M1091)/M1091</f>
        <v/>
      </c>
      <c r="S1091" s="54">
        <f>(M1095-M1091)/M1091</f>
        <v/>
      </c>
      <c r="T1091" s="63">
        <f>IF(R1091&gt;0,1,"")</f>
        <v/>
      </c>
      <c r="U1091" s="63">
        <f>IF(S1091&gt;0,1,"")</f>
        <v/>
      </c>
    </row>
    <row r="1092">
      <c r="A1092" s="35" t="n">
        <v>39534</v>
      </c>
      <c r="B1092" s="4" t="n">
        <v>0.416</v>
      </c>
      <c r="C1092" s="4" t="n">
        <v>0.248</v>
      </c>
      <c r="D1092" s="4" t="n">
        <v>0.336</v>
      </c>
      <c r="E1092" s="63" t="n">
        <v>1</v>
      </c>
      <c r="F1092" s="63" t="n">
        <v>0.305175</v>
      </c>
      <c r="G1092" s="63" t="n">
        <v>0.08</v>
      </c>
      <c r="H1092" s="63" t="n">
        <v>0.384907436629</v>
      </c>
      <c r="I1092" s="63" t="n">
        <v>0.48829287048</v>
      </c>
      <c r="J1092" s="63" t="n">
        <v>0.281522002778</v>
      </c>
      <c r="K1092" s="63" t="n">
        <v>1352.45</v>
      </c>
      <c r="L1092" s="63" t="n">
        <v>1336.41</v>
      </c>
      <c r="M1092" s="63" t="n">
        <v>1341.13</v>
      </c>
      <c r="N1092" s="54">
        <f>(M1093-M1092)/M1092</f>
        <v/>
      </c>
      <c r="O1092" s="54">
        <f>(M1096-M1092)/M1092</f>
        <v/>
      </c>
      <c r="P1092" s="4">
        <f>B1092-D1092</f>
        <v/>
      </c>
      <c r="Q1092" s="4">
        <f>AVERAGE(P1089:P1092)</f>
        <v/>
      </c>
      <c r="R1092" s="54">
        <f>(M1093-M1092)/M1092</f>
        <v/>
      </c>
      <c r="S1092" s="54">
        <f>(M1096-M1092)/M1092</f>
        <v/>
      </c>
      <c r="T1092" s="63">
        <f>IF(R1092&gt;0,1,"")</f>
        <v/>
      </c>
      <c r="U1092" s="63">
        <f>IF(S1092&gt;0,1,"")</f>
        <v/>
      </c>
    </row>
    <row r="1093">
      <c r="A1093" s="35" t="n">
        <v>39541</v>
      </c>
      <c r="B1093" s="4" t="n">
        <v>0.367</v>
      </c>
      <c r="C1093" s="4" t="n">
        <v>0.2394</v>
      </c>
      <c r="D1093" s="4" t="n">
        <v>0.3936</v>
      </c>
      <c r="E1093" s="63" t="n">
        <v>1</v>
      </c>
      <c r="F1093" s="63" t="n">
        <v>0.3084125</v>
      </c>
      <c r="G1093" s="63" t="n">
        <v>-0.0266</v>
      </c>
      <c r="H1093" s="63" t="n">
        <v>0.384907436629</v>
      </c>
      <c r="I1093" s="63" t="n">
        <v>0.48829287048</v>
      </c>
      <c r="J1093" s="63" t="n">
        <v>0.281522002778</v>
      </c>
      <c r="K1093" s="63" t="n">
        <v>1377.95</v>
      </c>
      <c r="L1093" s="63" t="n">
        <v>1361.55</v>
      </c>
      <c r="M1093" s="63" t="n">
        <v>1367.53</v>
      </c>
      <c r="N1093" s="54">
        <f>(M1094-M1093)/M1093</f>
        <v/>
      </c>
      <c r="O1093" s="54">
        <f>(M1097-M1093)/M1093</f>
        <v/>
      </c>
      <c r="P1093" s="4">
        <f>B1093-D1093</f>
        <v/>
      </c>
      <c r="Q1093" s="4">
        <f>AVERAGE(P1090:P1093)</f>
        <v/>
      </c>
      <c r="R1093" s="54">
        <f>(M1094-M1093)/M1093</f>
        <v/>
      </c>
      <c r="S1093" s="54">
        <f>(M1097-M1093)/M1093</f>
        <v/>
      </c>
      <c r="T1093" s="63">
        <f>IF(R1093&gt;0,1,"")</f>
        <v/>
      </c>
      <c r="U1093" s="63">
        <f>IF(S1093&gt;0,1,"")</f>
        <v/>
      </c>
    </row>
    <row r="1094">
      <c r="A1094" s="35" t="n">
        <v>39548</v>
      </c>
      <c r="B1094" s="4" t="n">
        <v>0.4576</v>
      </c>
      <c r="C1094" s="4" t="n">
        <v>0.1695</v>
      </c>
      <c r="D1094" s="4" t="n">
        <v>0.3729</v>
      </c>
      <c r="E1094" s="63" t="n">
        <v>1</v>
      </c>
      <c r="F1094" s="63" t="n">
        <v>0.32395</v>
      </c>
      <c r="G1094" s="63" t="n">
        <v>0.0847</v>
      </c>
      <c r="H1094" s="63" t="n">
        <v>0.384907436629</v>
      </c>
      <c r="I1094" s="63" t="n">
        <v>0.48829287048</v>
      </c>
      <c r="J1094" s="63" t="n">
        <v>0.281522002778</v>
      </c>
      <c r="K1094" s="63" t="n">
        <v>1368.08</v>
      </c>
      <c r="L1094" s="63" t="n">
        <v>1350.25</v>
      </c>
      <c r="M1094" s="63" t="n">
        <v>1354.49</v>
      </c>
      <c r="N1094" s="54">
        <f>(M1095-M1094)/M1094</f>
        <v/>
      </c>
      <c r="O1094" s="54">
        <f>(M1098-M1094)/M1094</f>
        <v/>
      </c>
      <c r="P1094" s="4">
        <f>B1094-D1094</f>
        <v/>
      </c>
      <c r="Q1094" s="4">
        <f>AVERAGE(P1091:P1094)</f>
        <v/>
      </c>
      <c r="R1094" s="54">
        <f>(M1095-M1094)/M1094</f>
        <v/>
      </c>
      <c r="S1094" s="54">
        <f>(M1098-M1094)/M1094</f>
        <v/>
      </c>
      <c r="T1094" s="63">
        <f>IF(R1094&gt;0,1,"")</f>
        <v/>
      </c>
      <c r="U1094" s="63">
        <f>IF(S1094&gt;0,1,"")</f>
        <v/>
      </c>
    </row>
    <row r="1095">
      <c r="A1095" s="35" t="n">
        <v>39555</v>
      </c>
      <c r="B1095" s="4" t="n">
        <v>0.3037</v>
      </c>
      <c r="C1095" s="4" t="n">
        <v>0.2094</v>
      </c>
      <c r="D1095" s="4" t="n">
        <v>0.4869</v>
      </c>
      <c r="E1095" s="63" t="n">
        <v>1</v>
      </c>
      <c r="F1095" s="63" t="n">
        <v>0.3204375</v>
      </c>
      <c r="G1095" s="63" t="n">
        <v>-0.1832</v>
      </c>
      <c r="H1095" s="63" t="n">
        <v>0.384907436629</v>
      </c>
      <c r="I1095" s="63" t="n">
        <v>0.48829287048</v>
      </c>
      <c r="J1095" s="63" t="n">
        <v>0.281522002778</v>
      </c>
      <c r="K1095" s="63" t="n">
        <v>1365.49</v>
      </c>
      <c r="L1095" s="63" t="n">
        <v>1337.02</v>
      </c>
      <c r="M1095" s="63" t="n">
        <v>1364.71</v>
      </c>
      <c r="N1095" s="54">
        <f>(M1096-M1095)/M1095</f>
        <v/>
      </c>
      <c r="O1095" s="54">
        <f>(M1099-M1095)/M1095</f>
        <v/>
      </c>
      <c r="P1095" s="4">
        <f>B1095-D1095</f>
        <v/>
      </c>
      <c r="Q1095" s="4">
        <f>AVERAGE(P1092:P1095)</f>
        <v/>
      </c>
      <c r="R1095" s="54">
        <f>(M1096-M1095)/M1095</f>
        <v/>
      </c>
      <c r="S1095" s="54">
        <f>(M1099-M1095)/M1095</f>
        <v/>
      </c>
      <c r="T1095" s="63">
        <f>IF(R1095&gt;0,1,"")</f>
        <v/>
      </c>
      <c r="U1095" s="63">
        <f>IF(S1095&gt;0,1,"")</f>
        <v/>
      </c>
    </row>
    <row r="1096">
      <c r="A1096" s="35" t="n">
        <v>39562</v>
      </c>
      <c r="B1096" s="4" t="n">
        <v>0.4667</v>
      </c>
      <c r="C1096" s="4" t="n">
        <v>0.2583</v>
      </c>
      <c r="D1096" s="4" t="n">
        <v>0.275</v>
      </c>
      <c r="E1096" s="63" t="n">
        <v>1</v>
      </c>
      <c r="F1096" s="63" t="n">
        <v>0.3358875</v>
      </c>
      <c r="G1096" s="63" t="n">
        <v>0.1917</v>
      </c>
      <c r="H1096" s="63" t="n">
        <v>0.384907436629</v>
      </c>
      <c r="I1096" s="63" t="n">
        <v>0.48829287048</v>
      </c>
      <c r="J1096" s="63" t="n">
        <v>0.281522002778</v>
      </c>
      <c r="K1096" s="63" t="n">
        <v>1387.87</v>
      </c>
      <c r="L1096" s="63" t="n">
        <v>1372.24</v>
      </c>
      <c r="M1096" s="63" t="n">
        <v>1379.93</v>
      </c>
      <c r="N1096" s="54">
        <f>(M1097-M1096)/M1096</f>
        <v/>
      </c>
      <c r="O1096" s="54">
        <f>(M1100-M1096)/M1096</f>
        <v/>
      </c>
      <c r="P1096" s="4">
        <f>B1096-D1096</f>
        <v/>
      </c>
      <c r="Q1096" s="4">
        <f>AVERAGE(P1093:P1096)</f>
        <v/>
      </c>
      <c r="R1096" s="54">
        <f>(M1097-M1096)/M1096</f>
        <v/>
      </c>
      <c r="S1096" s="54">
        <f>(M1100-M1096)/M1096</f>
        <v/>
      </c>
      <c r="T1096" s="63">
        <f>IF(R1096&gt;0,1,"")</f>
        <v/>
      </c>
      <c r="U1096" s="63">
        <f>IF(S1096&gt;0,1,"")</f>
        <v/>
      </c>
    </row>
    <row r="1097">
      <c r="A1097" s="35" t="n">
        <v>39569</v>
      </c>
      <c r="B1097" s="4" t="n">
        <v>0.5329</v>
      </c>
      <c r="C1097" s="4" t="n">
        <v>0.2039</v>
      </c>
      <c r="D1097" s="4" t="n">
        <v>0.2632</v>
      </c>
      <c r="E1097" s="63" t="n">
        <v>1</v>
      </c>
      <c r="F1097" s="63" t="n">
        <v>0.375025</v>
      </c>
      <c r="G1097" s="63" t="n">
        <v>0.2697</v>
      </c>
      <c r="H1097" s="63" t="n">
        <v>0.384907436629</v>
      </c>
      <c r="I1097" s="63" t="n">
        <v>0.48829287048</v>
      </c>
      <c r="J1097" s="63" t="n">
        <v>0.281522002778</v>
      </c>
      <c r="K1097" s="63" t="n">
        <v>1404.57</v>
      </c>
      <c r="L1097" s="63" t="n">
        <v>1384.25</v>
      </c>
      <c r="M1097" s="63" t="n">
        <v>1385.59</v>
      </c>
      <c r="N1097" s="54">
        <f>(M1098-M1097)/M1097</f>
        <v/>
      </c>
      <c r="O1097" s="54">
        <f>(M1101-M1097)/M1097</f>
        <v/>
      </c>
      <c r="P1097" s="4">
        <f>B1097-D1097</f>
        <v/>
      </c>
      <c r="Q1097" s="4">
        <f>AVERAGE(P1094:P1097)</f>
        <v/>
      </c>
      <c r="R1097" s="54">
        <f>(M1098-M1097)/M1097</f>
        <v/>
      </c>
      <c r="S1097" s="54">
        <f>(M1101-M1097)/M1097</f>
        <v/>
      </c>
      <c r="T1097" s="63">
        <f>IF(R1097&gt;0,1,"")</f>
        <v/>
      </c>
      <c r="U1097" s="63">
        <f>IF(S1097&gt;0,1,"")</f>
        <v/>
      </c>
    </row>
    <row r="1098">
      <c r="A1098" s="35" t="n">
        <v>39576</v>
      </c>
      <c r="B1098" s="4" t="n">
        <v>0.5281</v>
      </c>
      <c r="C1098" s="4" t="n">
        <v>0.2247</v>
      </c>
      <c r="D1098" s="4" t="n">
        <v>0.2472</v>
      </c>
      <c r="E1098" s="63" t="n">
        <v>1</v>
      </c>
      <c r="F1098" s="63" t="n">
        <v>0.4155125</v>
      </c>
      <c r="G1098" s="63" t="n">
        <v>0.2809</v>
      </c>
      <c r="H1098" s="63" t="n">
        <v>0.384907436629</v>
      </c>
      <c r="I1098" s="63" t="n">
        <v>0.48829287048</v>
      </c>
      <c r="J1098" s="63" t="n">
        <v>0.281522002778</v>
      </c>
      <c r="K1098" s="63" t="n">
        <v>1394.29</v>
      </c>
      <c r="L1098" s="63" t="n">
        <v>1399.18</v>
      </c>
      <c r="M1098" s="63" t="n">
        <v>1389.39</v>
      </c>
      <c r="N1098" s="54">
        <f>(M1099-M1098)/M1098</f>
        <v/>
      </c>
      <c r="O1098" s="54">
        <f>(M1102-M1098)/M1098</f>
        <v/>
      </c>
      <c r="P1098" s="4">
        <f>B1098-D1098</f>
        <v/>
      </c>
      <c r="Q1098" s="4">
        <f>AVERAGE(P1095:P1098)</f>
        <v/>
      </c>
      <c r="R1098" s="54">
        <f>(M1099-M1098)/M1098</f>
        <v/>
      </c>
      <c r="S1098" s="54">
        <f>(M1102-M1098)/M1098</f>
        <v/>
      </c>
      <c r="T1098" s="63">
        <f>IF(R1098&gt;0,1,"")</f>
        <v/>
      </c>
      <c r="U1098" s="63">
        <f>IF(S1098&gt;0,1,"")</f>
        <v/>
      </c>
    </row>
    <row r="1099">
      <c r="A1099" s="35" t="n">
        <v>39583</v>
      </c>
      <c r="B1099" s="4" t="n">
        <v>0.4516</v>
      </c>
      <c r="C1099" s="4" t="n">
        <v>0.2516</v>
      </c>
      <c r="D1099" s="4" t="n">
        <v>0.2968</v>
      </c>
      <c r="E1099" s="63" t="n">
        <v>1</v>
      </c>
      <c r="F1099" s="63" t="n">
        <v>0.44045</v>
      </c>
      <c r="G1099" s="63" t="n">
        <v>0.1548</v>
      </c>
      <c r="H1099" s="63" t="n">
        <v>0.384907436629</v>
      </c>
      <c r="I1099" s="63" t="n">
        <v>0.48829287048</v>
      </c>
      <c r="J1099" s="63" t="n">
        <v>0.281522002778</v>
      </c>
      <c r="K1099" s="63" t="n">
        <v>1412.29</v>
      </c>
      <c r="L1099" s="63" t="n">
        <v>1406.87</v>
      </c>
      <c r="M1099" s="63" t="n">
        <v>1408.66</v>
      </c>
      <c r="N1099" s="54">
        <f>(M1100-M1099)/M1099</f>
        <v/>
      </c>
      <c r="O1099" s="54">
        <f>(M1103-M1099)/M1099</f>
        <v/>
      </c>
      <c r="P1099" s="4">
        <f>B1099-D1099</f>
        <v/>
      </c>
      <c r="Q1099" s="4">
        <f>AVERAGE(P1096:P1099)</f>
        <v/>
      </c>
      <c r="R1099" s="54">
        <f>(M1100-M1099)/M1099</f>
        <v/>
      </c>
      <c r="S1099" s="54">
        <f>(M1103-M1099)/M1099</f>
        <v/>
      </c>
      <c r="T1099" s="63">
        <f>IF(R1099&gt;0,1,"")</f>
        <v/>
      </c>
      <c r="U1099" s="63">
        <f>IF(S1099&gt;0,1,"")</f>
        <v/>
      </c>
    </row>
    <row r="1100">
      <c r="A1100" s="35" t="n">
        <v>39590</v>
      </c>
      <c r="B1100" s="4" t="n">
        <v>0.463</v>
      </c>
      <c r="C1100" s="4" t="n">
        <v>0.1944</v>
      </c>
      <c r="D1100" s="4" t="n">
        <v>0.3426</v>
      </c>
      <c r="E1100" s="63" t="n">
        <v>1</v>
      </c>
      <c r="F1100" s="63" t="n">
        <v>0.446325</v>
      </c>
      <c r="G1100" s="63" t="n">
        <v>0.1204</v>
      </c>
      <c r="H1100" s="63" t="n">
        <v>0.384907436629</v>
      </c>
      <c r="I1100" s="63" t="n">
        <v>0.48829287048</v>
      </c>
      <c r="J1100" s="63" t="n">
        <v>0.281522002778</v>
      </c>
      <c r="K1100" s="63" t="n">
        <v>1396.2</v>
      </c>
      <c r="L1100" s="63" t="n">
        <v>1390.7</v>
      </c>
      <c r="M1100" s="63" t="n">
        <v>1390.71</v>
      </c>
      <c r="N1100" s="54">
        <f>(M1101-M1100)/M1100</f>
        <v/>
      </c>
      <c r="O1100" s="54">
        <f>(M1104-M1100)/M1100</f>
        <v/>
      </c>
      <c r="P1100" s="4">
        <f>B1100-D1100</f>
        <v/>
      </c>
      <c r="Q1100" s="4">
        <f>AVERAGE(P1097:P1100)</f>
        <v/>
      </c>
      <c r="R1100" s="54">
        <f>(M1101-M1100)/M1100</f>
        <v/>
      </c>
      <c r="S1100" s="54">
        <f>(M1104-M1100)/M1100</f>
        <v/>
      </c>
      <c r="T1100" s="63">
        <f>IF(R1100&gt;0,1,"")</f>
        <v/>
      </c>
      <c r="U1100" s="63">
        <f>IF(S1100&gt;0,1,"")</f>
        <v/>
      </c>
    </row>
    <row r="1101">
      <c r="A1101" s="35" t="n">
        <v>39597</v>
      </c>
      <c r="B1101" s="4" t="n">
        <v>0.3136</v>
      </c>
      <c r="C1101" s="4" t="n">
        <v>0.2288</v>
      </c>
      <c r="D1101" s="4" t="n">
        <v>0.4576</v>
      </c>
      <c r="E1101" s="63" t="n">
        <v>1</v>
      </c>
      <c r="F1101" s="63" t="n">
        <v>0.43965</v>
      </c>
      <c r="G1101" s="63" t="n">
        <v>-0.144</v>
      </c>
      <c r="H1101" s="63" t="n">
        <v>0.384907436629</v>
      </c>
      <c r="I1101" s="63" t="n">
        <v>0.48829287048</v>
      </c>
      <c r="J1101" s="63" t="n">
        <v>0.281522002778</v>
      </c>
      <c r="K1101" s="63" t="n">
        <v>1393.49</v>
      </c>
      <c r="L1101" s="63" t="n">
        <v>1388.59</v>
      </c>
      <c r="M1101" s="63" t="n">
        <v>1390.84</v>
      </c>
      <c r="N1101" s="54">
        <f>(M1102-M1101)/M1101</f>
        <v/>
      </c>
      <c r="O1101" s="54">
        <f>(M1105-M1101)/M1101</f>
        <v/>
      </c>
      <c r="P1101" s="4">
        <f>B1101-D1101</f>
        <v/>
      </c>
      <c r="Q1101" s="4">
        <f>AVERAGE(P1098:P1101)</f>
        <v/>
      </c>
      <c r="R1101" s="54">
        <f>(M1102-M1101)/M1101</f>
        <v/>
      </c>
      <c r="S1101" s="54">
        <f>(M1105-M1101)/M1101</f>
        <v/>
      </c>
      <c r="T1101" s="63">
        <f>IF(R1101&gt;0,1,"")</f>
        <v/>
      </c>
      <c r="U1101" s="63">
        <f>IF(S1101&gt;0,1,"")</f>
        <v/>
      </c>
    </row>
    <row r="1102">
      <c r="A1102" s="35" t="n">
        <v>39604</v>
      </c>
      <c r="B1102" s="4" t="n">
        <v>0.4348</v>
      </c>
      <c r="C1102" s="4" t="n">
        <v>0.1848</v>
      </c>
      <c r="D1102" s="4" t="n">
        <v>0.3804</v>
      </c>
      <c r="E1102" s="63" t="n">
        <v>1</v>
      </c>
      <c r="F1102" s="63" t="n">
        <v>0.4368</v>
      </c>
      <c r="G1102" s="63" t="n">
        <v>0.0544</v>
      </c>
      <c r="H1102" s="63" t="n">
        <v>0.384907436629</v>
      </c>
      <c r="I1102" s="63" t="n">
        <v>0.48829287048</v>
      </c>
      <c r="J1102" s="63" t="n">
        <v>0.281522002778</v>
      </c>
      <c r="K1102" s="63" t="n">
        <v>1393.32</v>
      </c>
      <c r="L1102" s="63" t="n">
        <v>1377.48</v>
      </c>
      <c r="M1102" s="63" t="n">
        <v>1377.2</v>
      </c>
      <c r="N1102" s="54">
        <f>(M1103-M1102)/M1102</f>
        <v/>
      </c>
      <c r="O1102" s="54">
        <f>(M1106-M1102)/M1102</f>
        <v/>
      </c>
      <c r="P1102" s="4">
        <f>B1102-D1102</f>
        <v/>
      </c>
      <c r="Q1102" s="4">
        <f>AVERAGE(P1099:P1102)</f>
        <v/>
      </c>
      <c r="R1102" s="54">
        <f>(M1103-M1102)/M1102</f>
        <v/>
      </c>
      <c r="S1102" s="54">
        <f>(M1106-M1102)/M1102</f>
        <v/>
      </c>
      <c r="T1102" s="63">
        <f>IF(R1102&gt;0,1,"")</f>
        <v/>
      </c>
      <c r="U1102" s="63">
        <f>IF(S1102&gt;0,1,"")</f>
        <v/>
      </c>
    </row>
    <row r="1103">
      <c r="A1103" s="35" t="n">
        <v>39611</v>
      </c>
      <c r="B1103" s="4" t="n">
        <v>0.3125</v>
      </c>
      <c r="C1103" s="4" t="n">
        <v>0.1518</v>
      </c>
      <c r="D1103" s="4" t="n">
        <v>0.5357</v>
      </c>
      <c r="E1103" s="63" t="n">
        <v>1</v>
      </c>
      <c r="F1103" s="63" t="n">
        <v>0.4379</v>
      </c>
      <c r="G1103" s="63" t="n">
        <v>-0.2232</v>
      </c>
      <c r="H1103" s="63" t="n">
        <v>0.384907436629</v>
      </c>
      <c r="I1103" s="63" t="n">
        <v>0.48829287048</v>
      </c>
      <c r="J1103" s="63" t="n">
        <v>0.281522002778</v>
      </c>
      <c r="K1103" s="63" t="n">
        <v>1353.03</v>
      </c>
      <c r="L1103" s="63" t="n">
        <v>1335.78</v>
      </c>
      <c r="M1103" s="63" t="n">
        <v>1335.49</v>
      </c>
      <c r="N1103" s="54">
        <f>(M1104-M1103)/M1103</f>
        <v/>
      </c>
      <c r="O1103" s="54">
        <f>(M1107-M1103)/M1103</f>
        <v/>
      </c>
      <c r="P1103" s="4">
        <f>B1103-D1103</f>
        <v/>
      </c>
      <c r="Q1103" s="4">
        <f>AVERAGE(P1100:P1103)</f>
        <v/>
      </c>
      <c r="R1103" s="54">
        <f>(M1104-M1103)/M1103</f>
        <v/>
      </c>
      <c r="S1103" s="54">
        <f>(M1107-M1103)/M1103</f>
        <v/>
      </c>
      <c r="T1103" s="63">
        <f>IF(R1103&gt;0,1,"")</f>
        <v/>
      </c>
      <c r="U1103" s="63">
        <f>IF(S1103&gt;0,1,"")</f>
        <v/>
      </c>
    </row>
    <row r="1104">
      <c r="A1104" s="35" t="n">
        <v>39618</v>
      </c>
      <c r="B1104" s="4" t="n">
        <v>0.3298</v>
      </c>
      <c r="C1104" s="4" t="n">
        <v>0.2128</v>
      </c>
      <c r="D1104" s="4" t="n">
        <v>0.4574</v>
      </c>
      <c r="E1104" s="63" t="n">
        <v>1</v>
      </c>
      <c r="F1104" s="63" t="n">
        <v>0.4207875</v>
      </c>
      <c r="G1104" s="63" t="n">
        <v>-0.1276</v>
      </c>
      <c r="H1104" s="63" t="n">
        <v>0.384907436629</v>
      </c>
      <c r="I1104" s="63" t="n">
        <v>0.48829287048</v>
      </c>
      <c r="J1104" s="63" t="n">
        <v>0.281522002778</v>
      </c>
      <c r="K1104" s="63" t="n">
        <v>1341.27</v>
      </c>
      <c r="L1104" s="63" t="n">
        <v>1334.04</v>
      </c>
      <c r="M1104" s="63" t="n">
        <v>1337.81</v>
      </c>
      <c r="N1104" s="54">
        <f>(M1105-M1104)/M1104</f>
        <v/>
      </c>
      <c r="O1104" s="54">
        <f>(M1108-M1104)/M1104</f>
        <v/>
      </c>
      <c r="P1104" s="4">
        <f>B1104-D1104</f>
        <v/>
      </c>
      <c r="Q1104" s="4">
        <f>AVERAGE(P1101:P1104)</f>
        <v/>
      </c>
      <c r="R1104" s="54">
        <f>(M1105-M1104)/M1104</f>
        <v/>
      </c>
      <c r="S1104" s="54">
        <f>(M1108-M1104)/M1104</f>
        <v/>
      </c>
      <c r="T1104" s="63">
        <f>IF(R1104&gt;0,1,"")</f>
        <v/>
      </c>
      <c r="U1104" s="63">
        <f>IF(S1104&gt;0,1,"")</f>
        <v/>
      </c>
    </row>
    <row r="1105">
      <c r="A1105" s="35" t="n">
        <v>39625</v>
      </c>
      <c r="B1105" s="4" t="n">
        <v>0.3125</v>
      </c>
      <c r="C1105" s="4" t="n">
        <v>0.1648</v>
      </c>
      <c r="D1105" s="4" t="n">
        <v>0.5227000000000001</v>
      </c>
      <c r="E1105" s="63" t="n">
        <v>1</v>
      </c>
      <c r="F1105" s="63" t="n">
        <v>0.3932375</v>
      </c>
      <c r="G1105" s="63" t="n">
        <v>-0.2102</v>
      </c>
      <c r="H1105" s="63" t="n">
        <v>0.384907436629</v>
      </c>
      <c r="I1105" s="63" t="n">
        <v>0.48829287048</v>
      </c>
      <c r="J1105" s="63" t="n">
        <v>0.281522002778</v>
      </c>
      <c r="K1105" s="63" t="n">
        <v>1316.29</v>
      </c>
      <c r="L1105" s="63" t="n">
        <v>1306.14</v>
      </c>
      <c r="M1105" s="63" t="n">
        <v>1321.97</v>
      </c>
      <c r="N1105" s="54">
        <f>(M1106-M1105)/M1105</f>
        <v/>
      </c>
      <c r="O1105" s="54">
        <f>(M1109-M1105)/M1105</f>
        <v/>
      </c>
      <c r="P1105" s="4">
        <f>B1105-D1105</f>
        <v/>
      </c>
      <c r="Q1105" s="4">
        <f>AVERAGE(P1102:P1105)</f>
        <v/>
      </c>
      <c r="R1105" s="54">
        <f>(M1106-M1105)/M1105</f>
        <v/>
      </c>
      <c r="S1105" s="54">
        <f>(M1109-M1105)/M1105</f>
        <v/>
      </c>
      <c r="T1105" s="63">
        <f>IF(R1105&gt;0,1,"")</f>
        <v/>
      </c>
      <c r="U1105" s="63">
        <f>IF(S1105&gt;0,1,"")</f>
        <v/>
      </c>
    </row>
    <row r="1106">
      <c r="A1106" s="35" t="n">
        <v>39632</v>
      </c>
      <c r="B1106" s="4" t="n">
        <v>0.2393</v>
      </c>
      <c r="C1106" s="4" t="n">
        <v>0.2393</v>
      </c>
      <c r="D1106" s="4" t="n">
        <v>0.5214</v>
      </c>
      <c r="E1106" s="63" t="n">
        <v>1</v>
      </c>
      <c r="F1106" s="63" t="n">
        <v>0.3571375</v>
      </c>
      <c r="G1106" s="63" t="n">
        <v>-0.2821</v>
      </c>
      <c r="H1106" s="63" t="n">
        <v>0.384907436629</v>
      </c>
      <c r="I1106" s="63" t="n">
        <v>0.48829287048</v>
      </c>
      <c r="J1106" s="63" t="n">
        <v>0.281522002778</v>
      </c>
      <c r="K1106" s="63" t="n">
        <v>1269.81</v>
      </c>
      <c r="L1106" s="63" t="n">
        <v>1255.69</v>
      </c>
      <c r="M1106" s="63" t="n">
        <v>1261.52</v>
      </c>
      <c r="N1106" s="54">
        <f>(M1107-M1106)/M1106</f>
        <v/>
      </c>
      <c r="O1106" s="54">
        <f>(M1110-M1106)/M1106</f>
        <v/>
      </c>
      <c r="P1106" s="4">
        <f>B1106-D1106</f>
        <v/>
      </c>
      <c r="Q1106" s="4">
        <f>AVERAGE(P1103:P1106)</f>
        <v/>
      </c>
      <c r="R1106" s="54">
        <f>(M1107-M1106)/M1106</f>
        <v/>
      </c>
      <c r="S1106" s="54">
        <f>(M1110-M1106)/M1106</f>
        <v/>
      </c>
      <c r="T1106" s="63">
        <f>IF(R1106&gt;0,1,"")</f>
        <v/>
      </c>
      <c r="U1106" s="63">
        <f>IF(S1106&gt;0,1,"")</f>
        <v/>
      </c>
    </row>
    <row r="1107">
      <c r="A1107" s="35" t="n">
        <v>39639</v>
      </c>
      <c r="B1107" s="4" t="n">
        <v>0.2217</v>
      </c>
      <c r="C1107" s="4" t="n">
        <v>0.2266</v>
      </c>
      <c r="D1107" s="4" t="n">
        <v>0.5517</v>
      </c>
      <c r="E1107" s="63" t="n">
        <v>1</v>
      </c>
      <c r="F1107" s="63" t="n">
        <v>0.3284</v>
      </c>
      <c r="G1107" s="63" t="n">
        <v>-0.33</v>
      </c>
      <c r="H1107" s="63" t="n">
        <v>0.384907436629</v>
      </c>
      <c r="I1107" s="63" t="n">
        <v>0.48829287048</v>
      </c>
      <c r="J1107" s="63" t="n">
        <v>0.281522002778</v>
      </c>
      <c r="K1107" s="63" t="n">
        <v>1252.39</v>
      </c>
      <c r="L1107" s="63" t="n">
        <v>1243.32</v>
      </c>
      <c r="M1107" s="63" t="n">
        <v>1244.69</v>
      </c>
      <c r="N1107" s="54">
        <f>(M1108-M1107)/M1107</f>
        <v/>
      </c>
      <c r="O1107" s="54">
        <f>(M1111-M1107)/M1107</f>
        <v/>
      </c>
      <c r="P1107" s="4">
        <f>B1107-D1107</f>
        <v/>
      </c>
      <c r="Q1107" s="4">
        <f>AVERAGE(P1104:P1107)</f>
        <v/>
      </c>
      <c r="R1107" s="54">
        <f>(M1108-M1107)/M1107</f>
        <v/>
      </c>
      <c r="S1107" s="54">
        <f>(M1111-M1107)/M1107</f>
        <v/>
      </c>
      <c r="T1107" s="63">
        <f>IF(R1107&gt;0,1,"")</f>
        <v/>
      </c>
      <c r="U1107" s="63">
        <f>IF(S1107&gt;0,1,"")</f>
        <v/>
      </c>
    </row>
    <row r="1108">
      <c r="A1108" s="35" t="n">
        <v>39646</v>
      </c>
      <c r="B1108" s="4" t="n">
        <v>0.25</v>
      </c>
      <c r="C1108" s="4" t="n">
        <v>0.1686</v>
      </c>
      <c r="D1108" s="4" t="n">
        <v>0.5814</v>
      </c>
      <c r="E1108" s="63" t="n">
        <v>1</v>
      </c>
      <c r="F1108" s="63" t="n">
        <v>0.301775</v>
      </c>
      <c r="G1108" s="63" t="n">
        <v>-0.3314</v>
      </c>
      <c r="H1108" s="63" t="n">
        <v>0.384907436629</v>
      </c>
      <c r="I1108" s="63" t="n">
        <v>0.48829287048</v>
      </c>
      <c r="J1108" s="63" t="n">
        <v>0.281522002778</v>
      </c>
      <c r="K1108" s="63" t="n">
        <v>1258.72</v>
      </c>
      <c r="L1108" s="63" t="n">
        <v>1246.31</v>
      </c>
      <c r="M1108" s="63" t="n">
        <v>1245.36</v>
      </c>
      <c r="N1108" s="54">
        <f>(M1109-M1108)/M1108</f>
        <v/>
      </c>
      <c r="O1108" s="54">
        <f>(M1112-M1108)/M1108</f>
        <v/>
      </c>
      <c r="P1108" s="4">
        <f>B1108-D1108</f>
        <v/>
      </c>
      <c r="Q1108" s="4">
        <f>AVERAGE(P1105:P1108)</f>
        <v/>
      </c>
      <c r="R1108" s="54">
        <f>(M1109-M1108)/M1108</f>
        <v/>
      </c>
      <c r="S1108" s="54">
        <f>(M1112-M1108)/M1108</f>
        <v/>
      </c>
      <c r="T1108" s="63">
        <f>IF(R1108&gt;0,1,"")</f>
        <v/>
      </c>
      <c r="U1108" s="63">
        <f>IF(S1108&gt;0,1,"")</f>
        <v/>
      </c>
    </row>
    <row r="1109">
      <c r="A1109" s="35" t="n">
        <v>39653</v>
      </c>
      <c r="B1109" s="4" t="n">
        <v>0.3582</v>
      </c>
      <c r="C1109" s="4" t="n">
        <v>0.2014</v>
      </c>
      <c r="D1109" s="4" t="n">
        <v>0.4403</v>
      </c>
      <c r="E1109" s="63" t="n">
        <v>0.9999</v>
      </c>
      <c r="F1109" s="63" t="n">
        <v>0.30735</v>
      </c>
      <c r="G1109" s="63" t="n">
        <v>-0.08210000000000001</v>
      </c>
      <c r="H1109" s="63" t="n">
        <v>0.384907436629</v>
      </c>
      <c r="I1109" s="63" t="n">
        <v>0.48829287048</v>
      </c>
      <c r="J1109" s="63" t="n">
        <v>0.281522002778</v>
      </c>
      <c r="K1109" s="63" t="n">
        <v>1283.22</v>
      </c>
      <c r="L1109" s="63" t="n">
        <v>1276.01</v>
      </c>
      <c r="M1109" s="63" t="n">
        <v>1282.19</v>
      </c>
      <c r="N1109" s="54">
        <f>(M1110-M1109)/M1109</f>
        <v/>
      </c>
      <c r="O1109" s="54">
        <f>(M1113-M1109)/M1109</f>
        <v/>
      </c>
      <c r="P1109" s="4">
        <f>B1109-D1109</f>
        <v/>
      </c>
      <c r="Q1109" s="4">
        <f>AVERAGE(P1106:P1109)</f>
        <v/>
      </c>
      <c r="R1109" s="54">
        <f>(M1110-M1109)/M1109</f>
        <v/>
      </c>
      <c r="S1109" s="54">
        <f>(M1113-M1109)/M1109</f>
        <v/>
      </c>
      <c r="T1109" s="63">
        <f>IF(R1109&gt;0,1,"")</f>
        <v/>
      </c>
      <c r="U1109" s="63">
        <f>IF(S1109&gt;0,1,"")</f>
        <v/>
      </c>
    </row>
    <row r="1110">
      <c r="A1110" s="35" t="n">
        <v>39660</v>
      </c>
      <c r="B1110" s="4" t="n">
        <v>0.4</v>
      </c>
      <c r="C1110" s="4" t="n">
        <v>0.1882</v>
      </c>
      <c r="D1110" s="4" t="n">
        <v>0.4118</v>
      </c>
      <c r="E1110" s="63" t="n">
        <v>1</v>
      </c>
      <c r="F1110" s="63" t="n">
        <v>0.303</v>
      </c>
      <c r="G1110" s="63" t="n">
        <v>-0.0118</v>
      </c>
      <c r="H1110" s="63" t="n">
        <v>0.384907436629</v>
      </c>
      <c r="I1110" s="63" t="n">
        <v>0.48829287048</v>
      </c>
      <c r="J1110" s="63" t="n">
        <v>0.281522002778</v>
      </c>
      <c r="K1110" s="63" t="n">
        <v>1281.59</v>
      </c>
      <c r="L1110" s="63" t="n">
        <v>1273.5</v>
      </c>
      <c r="M1110" s="63" t="n">
        <v>1284.26</v>
      </c>
      <c r="N1110" s="54">
        <f>(M1111-M1110)/M1110</f>
        <v/>
      </c>
      <c r="O1110" s="54">
        <f>(M1114-M1110)/M1110</f>
        <v/>
      </c>
      <c r="P1110" s="4">
        <f>B1110-D1110</f>
        <v/>
      </c>
      <c r="Q1110" s="4">
        <f>AVERAGE(P1107:P1110)</f>
        <v/>
      </c>
      <c r="R1110" s="54">
        <f>(M1111-M1110)/M1110</f>
        <v/>
      </c>
      <c r="S1110" s="54">
        <f>(M1114-M1110)/M1110</f>
        <v/>
      </c>
      <c r="T1110" s="63">
        <f>IF(R1110&gt;0,1,"")</f>
        <v/>
      </c>
      <c r="U1110" s="63">
        <f>IF(S1110&gt;0,1,"")</f>
        <v/>
      </c>
    </row>
    <row r="1111">
      <c r="A1111" s="35" t="n">
        <v>39667</v>
      </c>
      <c r="B1111" s="4" t="n">
        <v>0.3561</v>
      </c>
      <c r="C1111" s="4" t="n">
        <v>0.2197</v>
      </c>
      <c r="D1111" s="4" t="n">
        <v>0.4242</v>
      </c>
      <c r="E1111" s="63" t="n">
        <v>1</v>
      </c>
      <c r="F1111" s="63" t="n">
        <v>0.30845</v>
      </c>
      <c r="G1111" s="63" t="n">
        <v>-0.06809999999999999</v>
      </c>
      <c r="H1111" s="63" t="n">
        <v>0.384907436629</v>
      </c>
      <c r="I1111" s="63" t="n">
        <v>0.48829287048</v>
      </c>
      <c r="J1111" s="63" t="n">
        <v>0.281522002778</v>
      </c>
      <c r="K1111" s="63" t="n">
        <v>1278.81</v>
      </c>
      <c r="L1111" s="63" t="n">
        <v>1273.06</v>
      </c>
      <c r="M1111" s="63" t="n">
        <v>1289.19</v>
      </c>
      <c r="N1111" s="54">
        <f>(M1112-M1111)/M1111</f>
        <v/>
      </c>
      <c r="O1111" s="54">
        <f>(M1115-M1111)/M1111</f>
        <v/>
      </c>
      <c r="P1111" s="4">
        <f>B1111-D1111</f>
        <v/>
      </c>
      <c r="Q1111" s="4">
        <f>AVERAGE(P1108:P1111)</f>
        <v/>
      </c>
      <c r="R1111" s="54">
        <f>(M1112-M1111)/M1111</f>
        <v/>
      </c>
      <c r="S1111" s="54">
        <f>(M1115-M1111)/M1111</f>
        <v/>
      </c>
      <c r="T1111" s="63">
        <f>IF(R1111&gt;0,1,"")</f>
        <v/>
      </c>
      <c r="U1111" s="63">
        <f>IF(S1111&gt;0,1,"")</f>
        <v/>
      </c>
    </row>
    <row r="1112">
      <c r="A1112" s="35" t="n">
        <v>39674</v>
      </c>
      <c r="B1112" s="4" t="n">
        <v>0.4286</v>
      </c>
      <c r="C1112" s="4" t="n">
        <v>0.1818</v>
      </c>
      <c r="D1112" s="4" t="n">
        <v>0.3896</v>
      </c>
      <c r="E1112" s="63" t="n">
        <v>1</v>
      </c>
      <c r="F1112" s="63" t="n">
        <v>0.3208</v>
      </c>
      <c r="G1112" s="63" t="n">
        <v>0.039</v>
      </c>
      <c r="H1112" s="63" t="n">
        <v>0.384907436629</v>
      </c>
      <c r="I1112" s="63" t="n">
        <v>0.48829287048</v>
      </c>
      <c r="J1112" s="63" t="n">
        <v>0.281522002778</v>
      </c>
      <c r="K1112" s="63" t="n">
        <v>1285.58</v>
      </c>
      <c r="L1112" s="63" t="n">
        <v>1276.84</v>
      </c>
      <c r="M1112" s="63" t="n">
        <v>1285.83</v>
      </c>
      <c r="N1112" s="54">
        <f>(M1113-M1112)/M1112</f>
        <v/>
      </c>
      <c r="O1112" s="54">
        <f>(M1116-M1112)/M1112</f>
        <v/>
      </c>
      <c r="P1112" s="4">
        <f>B1112-D1112</f>
        <v/>
      </c>
      <c r="Q1112" s="4">
        <f>AVERAGE(P1109:P1112)</f>
        <v/>
      </c>
      <c r="R1112" s="54">
        <f>(M1113-M1112)/M1112</f>
        <v/>
      </c>
      <c r="S1112" s="54">
        <f>(M1116-M1112)/M1112</f>
        <v/>
      </c>
      <c r="T1112" s="63">
        <f>IF(R1112&gt;0,1,"")</f>
        <v/>
      </c>
      <c r="U1112" s="63">
        <f>IF(S1112&gt;0,1,"")</f>
        <v/>
      </c>
    </row>
    <row r="1113">
      <c r="A1113" s="35" t="n">
        <v>39681</v>
      </c>
      <c r="B1113" s="4" t="n">
        <v>0.381</v>
      </c>
      <c r="C1113" s="4" t="n">
        <v>0.246</v>
      </c>
      <c r="D1113" s="4" t="n">
        <v>0.373</v>
      </c>
      <c r="E1113" s="63" t="n">
        <v>1</v>
      </c>
      <c r="F1113" s="63" t="n">
        <v>0.3293625</v>
      </c>
      <c r="G1113" s="63" t="n">
        <v>0.008</v>
      </c>
      <c r="H1113" s="63" t="n">
        <v>0.384907436629</v>
      </c>
      <c r="I1113" s="63" t="n">
        <v>0.48829287048</v>
      </c>
      <c r="J1113" s="63" t="n">
        <v>0.281522002778</v>
      </c>
      <c r="K1113" s="63" t="n">
        <v>1300.15</v>
      </c>
      <c r="L1113" s="63" t="n">
        <v>1261.31</v>
      </c>
      <c r="M1113" s="63" t="n">
        <v>1274.54</v>
      </c>
      <c r="N1113" s="54">
        <f>(M1114-M1113)/M1113</f>
        <v/>
      </c>
      <c r="O1113" s="54">
        <f>(M1117-M1113)/M1113</f>
        <v/>
      </c>
      <c r="P1113" s="4">
        <f>B1113-D1113</f>
        <v/>
      </c>
      <c r="Q1113" s="4">
        <f>AVERAGE(P1110:P1113)</f>
        <v/>
      </c>
      <c r="R1113" s="54">
        <f>(M1114-M1113)/M1113</f>
        <v/>
      </c>
      <c r="S1113" s="54">
        <f>(M1117-M1113)/M1113</f>
        <v/>
      </c>
      <c r="T1113" s="63">
        <f>IF(R1113&gt;0,1,"")</f>
        <v/>
      </c>
      <c r="U1113" s="63">
        <f>IF(S1113&gt;0,1,"")</f>
        <v/>
      </c>
    </row>
    <row r="1114">
      <c r="A1114" s="35" t="n">
        <v>39688</v>
      </c>
      <c r="B1114" s="4" t="n">
        <v>0.3068</v>
      </c>
      <c r="C1114" s="4" t="n">
        <v>0.2386</v>
      </c>
      <c r="D1114" s="4" t="n">
        <v>0.4545</v>
      </c>
      <c r="E1114" s="63" t="n">
        <v>0.9999</v>
      </c>
      <c r="F1114" s="63" t="n">
        <v>0.3378</v>
      </c>
      <c r="G1114" s="63" t="n">
        <v>-0.1477</v>
      </c>
      <c r="H1114" s="63" t="n">
        <v>0.384907436629</v>
      </c>
      <c r="I1114" s="63" t="n">
        <v>0.48829287048</v>
      </c>
      <c r="J1114" s="63" t="n">
        <v>0.281522002778</v>
      </c>
      <c r="K1114" s="63" t="n">
        <v>1291.7</v>
      </c>
      <c r="L1114" s="63" t="n">
        <v>1283.79</v>
      </c>
      <c r="M1114" s="63" t="n">
        <v>1281.66</v>
      </c>
      <c r="N1114" s="54">
        <f>(M1115-M1114)/M1114</f>
        <v/>
      </c>
      <c r="O1114" s="54">
        <f>(M1118-M1114)/M1114</f>
        <v/>
      </c>
      <c r="P1114" s="4">
        <f>B1114-D1114</f>
        <v/>
      </c>
      <c r="Q1114" s="4">
        <f>AVERAGE(P1111:P1114)</f>
        <v/>
      </c>
      <c r="R1114" s="54">
        <f>(M1115-M1114)/M1114</f>
        <v/>
      </c>
      <c r="S1114" s="54">
        <f>(M1118-M1114)/M1114</f>
        <v/>
      </c>
      <c r="T1114" s="63">
        <f>IF(R1114&gt;0,1,"")</f>
        <v/>
      </c>
      <c r="U1114" s="63">
        <f>IF(S1114&gt;0,1,"")</f>
        <v/>
      </c>
    </row>
    <row r="1115">
      <c r="A1115" s="35" t="n">
        <v>39695</v>
      </c>
      <c r="B1115" s="4" t="n">
        <v>0.3704</v>
      </c>
      <c r="C1115" s="4" t="n">
        <v>0.1975</v>
      </c>
      <c r="D1115" s="4" t="n">
        <v>0.4321</v>
      </c>
      <c r="E1115" s="63" t="n">
        <v>1</v>
      </c>
      <c r="F1115" s="63" t="n">
        <v>0.3563875</v>
      </c>
      <c r="G1115" s="63" t="n">
        <v>-0.0617</v>
      </c>
      <c r="H1115" s="63" t="n">
        <v>0.384907436629</v>
      </c>
      <c r="I1115" s="63" t="n">
        <v>0.48829287048</v>
      </c>
      <c r="J1115" s="63" t="n">
        <v>0.281522002778</v>
      </c>
      <c r="K1115" s="63" t="n">
        <v>1271.8</v>
      </c>
      <c r="L1115" s="63" t="n">
        <v>1253.12</v>
      </c>
      <c r="M1115" s="63" t="n">
        <v>1274.98</v>
      </c>
      <c r="N1115" s="54">
        <f>(M1116-M1115)/M1115</f>
        <v/>
      </c>
      <c r="O1115" s="54">
        <f>(M1119-M1115)/M1115</f>
        <v/>
      </c>
      <c r="P1115" s="4">
        <f>B1115-D1115</f>
        <v/>
      </c>
      <c r="Q1115" s="4">
        <f>AVERAGE(P1112:P1115)</f>
        <v/>
      </c>
      <c r="R1115" s="54">
        <f>(M1116-M1115)/M1115</f>
        <v/>
      </c>
      <c r="S1115" s="54">
        <f>(M1119-M1115)/M1115</f>
        <v/>
      </c>
      <c r="T1115" s="63">
        <f>IF(R1115&gt;0,1,"")</f>
        <v/>
      </c>
      <c r="U1115" s="63">
        <f>IF(S1115&gt;0,1,"")</f>
        <v/>
      </c>
    </row>
    <row r="1116">
      <c r="A1116" s="35" t="n">
        <v>39702</v>
      </c>
      <c r="B1116" s="4" t="n">
        <v>0.2927</v>
      </c>
      <c r="C1116" s="4" t="n">
        <v>0.1585</v>
      </c>
      <c r="D1116" s="4" t="n">
        <v>0.5488</v>
      </c>
      <c r="E1116" s="63" t="n">
        <v>1</v>
      </c>
      <c r="F1116" s="63" t="n">
        <v>0.361725</v>
      </c>
      <c r="G1116" s="63" t="n">
        <v>-0.2561</v>
      </c>
      <c r="H1116" s="63" t="n">
        <v>0.384907436629</v>
      </c>
      <c r="I1116" s="63" t="n">
        <v>0.48829287048</v>
      </c>
      <c r="J1116" s="63" t="n">
        <v>0.281522002778</v>
      </c>
      <c r="K1116" s="63" t="n">
        <v>1274.66</v>
      </c>
      <c r="L1116" s="63" t="n">
        <v>1221.73</v>
      </c>
      <c r="M1116" s="63" t="n">
        <v>1232.04</v>
      </c>
      <c r="N1116" s="54">
        <f>(M1117-M1116)/M1116</f>
        <v/>
      </c>
      <c r="O1116" s="54">
        <f>(M1120-M1116)/M1116</f>
        <v/>
      </c>
      <c r="P1116" s="4">
        <f>B1116-D1116</f>
        <v/>
      </c>
      <c r="Q1116" s="4">
        <f>AVERAGE(P1113:P1116)</f>
        <v/>
      </c>
      <c r="R1116" s="54">
        <f>(M1117-M1116)/M1116</f>
        <v/>
      </c>
      <c r="S1116" s="54">
        <f>(M1120-M1116)/M1116</f>
        <v/>
      </c>
      <c r="T1116" s="63">
        <f>IF(R1116&gt;0,1,"")</f>
        <v/>
      </c>
      <c r="U1116" s="63">
        <f>IF(S1116&gt;0,1,"")</f>
        <v/>
      </c>
    </row>
    <row r="1117">
      <c r="A1117" s="35" t="n">
        <v>39709</v>
      </c>
      <c r="B1117" s="4" t="n">
        <v>0.2721</v>
      </c>
      <c r="C1117" s="4" t="n">
        <v>0.1837</v>
      </c>
      <c r="D1117" s="4" t="n">
        <v>0.5442</v>
      </c>
      <c r="E1117" s="63" t="n">
        <v>1</v>
      </c>
      <c r="F1117" s="63" t="n">
        <v>0.3509625</v>
      </c>
      <c r="G1117" s="63" t="n">
        <v>-0.2721</v>
      </c>
      <c r="H1117" s="63" t="n">
        <v>0.384907436629</v>
      </c>
      <c r="I1117" s="63" t="n">
        <v>0.48829287048</v>
      </c>
      <c r="J1117" s="63" t="n">
        <v>0.281522002778</v>
      </c>
      <c r="K1117" s="63" t="n">
        <v>1184.22</v>
      </c>
      <c r="L1117" s="63" t="n">
        <v>1157.08</v>
      </c>
      <c r="M1117" s="63" t="n">
        <v>1156.39</v>
      </c>
      <c r="N1117" s="54">
        <f>(M1118-M1117)/M1117</f>
        <v/>
      </c>
      <c r="O1117" s="54">
        <f>(M1121-M1117)/M1117</f>
        <v/>
      </c>
      <c r="P1117" s="4">
        <f>B1117-D1117</f>
        <v/>
      </c>
      <c r="Q1117" s="4">
        <f>AVERAGE(P1114:P1117)</f>
        <v/>
      </c>
      <c r="R1117" s="54">
        <f>(M1118-M1117)/M1117</f>
        <v/>
      </c>
      <c r="S1117" s="54">
        <f>(M1121-M1117)/M1117</f>
        <v/>
      </c>
      <c r="T1117" s="63">
        <f>IF(R1117&gt;0,1,"")</f>
        <v/>
      </c>
      <c r="U1117" s="63">
        <f>IF(S1117&gt;0,1,"")</f>
        <v/>
      </c>
    </row>
    <row r="1118">
      <c r="A1118" s="35" t="n">
        <v>39716</v>
      </c>
      <c r="B1118" s="4" t="n">
        <v>0.3404</v>
      </c>
      <c r="C1118" s="4" t="n">
        <v>0.2021</v>
      </c>
      <c r="D1118" s="4" t="n">
        <v>0.4574</v>
      </c>
      <c r="E1118" s="63" t="n">
        <v>0.9999</v>
      </c>
      <c r="F1118" s="63" t="n">
        <v>0.3435125</v>
      </c>
      <c r="G1118" s="63" t="n">
        <v>-0.117</v>
      </c>
      <c r="H1118" s="63" t="n">
        <v>0.384907436629</v>
      </c>
      <c r="I1118" s="63" t="n">
        <v>0.48829287048</v>
      </c>
      <c r="J1118" s="63" t="n">
        <v>0.281522002778</v>
      </c>
      <c r="K1118" s="63" t="n">
        <v>1212.77</v>
      </c>
      <c r="L1118" s="63" t="n">
        <v>1187.87</v>
      </c>
      <c r="M1118" s="63" t="n">
        <v>1185.87</v>
      </c>
      <c r="N1118" s="54">
        <f>(M1119-M1118)/M1118</f>
        <v/>
      </c>
      <c r="O1118" s="54">
        <f>(M1122-M1118)/M1118</f>
        <v/>
      </c>
      <c r="P1118" s="4">
        <f>B1118-D1118</f>
        <v/>
      </c>
      <c r="Q1118" s="4">
        <f>AVERAGE(P1115:P1118)</f>
        <v/>
      </c>
      <c r="R1118" s="54">
        <f>(M1119-M1118)/M1118</f>
        <v/>
      </c>
      <c r="S1118" s="54">
        <f>(M1122-M1118)/M1118</f>
        <v/>
      </c>
      <c r="T1118" s="63">
        <f>IF(R1118&gt;0,1,"")</f>
        <v/>
      </c>
      <c r="U1118" s="63">
        <f>IF(S1118&gt;0,1,"")</f>
        <v/>
      </c>
    </row>
    <row r="1119">
      <c r="A1119" s="35" t="n">
        <v>39723</v>
      </c>
      <c r="B1119" s="4" t="n">
        <v>0.3333</v>
      </c>
      <c r="C1119" s="4" t="n">
        <v>0.1167</v>
      </c>
      <c r="D1119" s="4" t="n">
        <v>0.55</v>
      </c>
      <c r="E1119" s="63" t="n">
        <v>1</v>
      </c>
      <c r="F1119" s="63" t="n">
        <v>0.3406625</v>
      </c>
      <c r="G1119" s="63" t="n">
        <v>-0.2167</v>
      </c>
      <c r="H1119" s="63" t="n">
        <v>0.384907436629</v>
      </c>
      <c r="I1119" s="63" t="n">
        <v>0.48829287048</v>
      </c>
      <c r="J1119" s="63" t="n">
        <v>0.281522002778</v>
      </c>
      <c r="K1119" s="63" t="n">
        <v>1160.64</v>
      </c>
      <c r="L1119" s="63" t="n">
        <v>1132.46</v>
      </c>
      <c r="M1119" s="63" t="n">
        <v>1161.06</v>
      </c>
      <c r="N1119" s="54">
        <f>(M1120-M1119)/M1119</f>
        <v/>
      </c>
      <c r="O1119" s="54">
        <f>(M1123-M1119)/M1119</f>
        <v/>
      </c>
      <c r="P1119" s="4">
        <f>B1119-D1119</f>
        <v/>
      </c>
      <c r="Q1119" s="4">
        <f>AVERAGE(P1116:P1119)</f>
        <v/>
      </c>
      <c r="R1119" s="54">
        <f>(M1120-M1119)/M1119</f>
        <v/>
      </c>
      <c r="S1119" s="54">
        <f>(M1123-M1119)/M1119</f>
        <v/>
      </c>
      <c r="T1119" s="63">
        <f>IF(R1119&gt;0,1,"")</f>
        <v/>
      </c>
      <c r="U1119" s="63">
        <f>IF(S1119&gt;0,1,"")</f>
        <v/>
      </c>
    </row>
    <row r="1120">
      <c r="A1120" s="35" t="n">
        <v>39730</v>
      </c>
      <c r="B1120" s="4" t="n">
        <v>0.3147</v>
      </c>
      <c r="C1120" s="4" t="n">
        <v>0.0769</v>
      </c>
      <c r="D1120" s="4" t="n">
        <v>0.6084000000000001</v>
      </c>
      <c r="E1120" s="63" t="n">
        <v>1</v>
      </c>
      <c r="F1120" s="63" t="n">
        <v>0.326425</v>
      </c>
      <c r="G1120" s="63" t="n">
        <v>-0.2937</v>
      </c>
      <c r="H1120" s="63" t="n">
        <v>0.384907436629</v>
      </c>
      <c r="I1120" s="63" t="n">
        <v>0.48829287048</v>
      </c>
      <c r="J1120" s="63" t="n">
        <v>0.281522002778</v>
      </c>
      <c r="K1120" s="63" t="n">
        <v>1005.25</v>
      </c>
      <c r="L1120" s="63" t="n">
        <v>986.53</v>
      </c>
      <c r="M1120" s="63" t="n">
        <v>984.9400000000001</v>
      </c>
      <c r="N1120" s="54">
        <f>(M1121-M1120)/M1120</f>
        <v/>
      </c>
      <c r="O1120" s="54">
        <f>(M1124-M1120)/M1120</f>
        <v/>
      </c>
      <c r="P1120" s="4">
        <f>B1120-D1120</f>
        <v/>
      </c>
      <c r="Q1120" s="4">
        <f>AVERAGE(P1117:P1120)</f>
        <v/>
      </c>
      <c r="R1120" s="54">
        <f>(M1121-M1120)/M1120</f>
        <v/>
      </c>
      <c r="S1120" s="54">
        <f>(M1124-M1120)/M1120</f>
        <v/>
      </c>
      <c r="T1120" s="63">
        <f>IF(R1120&gt;0,1,"")</f>
        <v/>
      </c>
      <c r="U1120" s="63">
        <f>IF(S1120&gt;0,1,"")</f>
        <v/>
      </c>
    </row>
    <row r="1121">
      <c r="A1121" s="35" t="n">
        <v>39737</v>
      </c>
      <c r="B1121" s="4" t="n">
        <v>0.4094</v>
      </c>
      <c r="C1121" s="4" t="n">
        <v>0.193</v>
      </c>
      <c r="D1121" s="4" t="n">
        <v>0.3977</v>
      </c>
      <c r="E1121" s="63" t="n">
        <v>1.0001</v>
      </c>
      <c r="F1121" s="63" t="n">
        <v>0.329975</v>
      </c>
      <c r="G1121" s="63" t="n">
        <v>0.0117</v>
      </c>
      <c r="H1121" s="63" t="n">
        <v>0.384907436629</v>
      </c>
      <c r="I1121" s="63" t="n">
        <v>0.48829287048</v>
      </c>
      <c r="J1121" s="63" t="n">
        <v>0.281522002778</v>
      </c>
      <c r="K1121" s="63" t="n">
        <v>924.87</v>
      </c>
      <c r="L1121" s="63" t="n">
        <v>888.17</v>
      </c>
      <c r="M1121" s="63" t="n">
        <v>907.84</v>
      </c>
      <c r="N1121" s="54">
        <f>(M1122-M1121)/M1121</f>
        <v/>
      </c>
      <c r="O1121" s="54">
        <f>(M1125-M1121)/M1121</f>
        <v/>
      </c>
      <c r="P1121" s="4">
        <f>B1121-D1121</f>
        <v/>
      </c>
      <c r="Q1121" s="4">
        <f>AVERAGE(P1118:P1121)</f>
        <v/>
      </c>
      <c r="R1121" s="54">
        <f>(M1122-M1121)/M1121</f>
        <v/>
      </c>
      <c r="S1121" s="54">
        <f>(M1125-M1121)/M1121</f>
        <v/>
      </c>
      <c r="T1121" s="63">
        <f>IF(R1121&gt;0,1,"")</f>
        <v/>
      </c>
      <c r="U1121" s="63">
        <f>IF(S1121&gt;0,1,"")</f>
        <v/>
      </c>
    </row>
    <row r="1122">
      <c r="A1122" s="35" t="n">
        <v>39744</v>
      </c>
      <c r="B1122" s="4" t="n">
        <v>0.3874</v>
      </c>
      <c r="C1122" s="4" t="n">
        <v>0.2252</v>
      </c>
      <c r="D1122" s="4" t="n">
        <v>0.3874</v>
      </c>
      <c r="E1122" s="63" t="n">
        <v>1</v>
      </c>
      <c r="F1122" s="63" t="n">
        <v>0.34005</v>
      </c>
      <c r="G1122" s="63" t="n">
        <v>0</v>
      </c>
      <c r="H1122" s="63" t="n">
        <v>0.384907436629</v>
      </c>
      <c r="I1122" s="63" t="n">
        <v>0.48829287048</v>
      </c>
      <c r="J1122" s="63" t="n">
        <v>0.281522002778</v>
      </c>
      <c r="K1122" s="63" t="n">
        <v>909.8</v>
      </c>
      <c r="L1122" s="63" t="n">
        <v>883.8</v>
      </c>
      <c r="M1122" s="63" t="n">
        <v>896.78</v>
      </c>
      <c r="N1122" s="54">
        <f>(M1123-M1122)/M1122</f>
        <v/>
      </c>
      <c r="O1122" s="54">
        <f>(M1126-M1122)/M1122</f>
        <v/>
      </c>
      <c r="P1122" s="4">
        <f>B1122-D1122</f>
        <v/>
      </c>
      <c r="Q1122" s="4">
        <f>AVERAGE(P1119:P1122)</f>
        <v/>
      </c>
      <c r="R1122" s="54">
        <f>(M1123-M1122)/M1122</f>
        <v/>
      </c>
      <c r="S1122" s="54">
        <f>(M1126-M1122)/M1122</f>
        <v/>
      </c>
      <c r="T1122" s="63">
        <f>IF(R1122&gt;0,1,"")</f>
        <v/>
      </c>
      <c r="U1122" s="63">
        <f>IF(S1122&gt;0,1,"")</f>
        <v/>
      </c>
    </row>
    <row r="1123">
      <c r="A1123" s="35" t="n">
        <v>39751</v>
      </c>
      <c r="B1123" s="4" t="n">
        <v>0.3714</v>
      </c>
      <c r="C1123" s="4" t="n">
        <v>0.2229</v>
      </c>
      <c r="D1123" s="4" t="n">
        <v>0.4057</v>
      </c>
      <c r="E1123" s="63" t="n">
        <v>1</v>
      </c>
      <c r="F1123" s="63" t="n">
        <v>0.340175</v>
      </c>
      <c r="G1123" s="63" t="n">
        <v>-0.0343</v>
      </c>
      <c r="H1123" s="63" t="n">
        <v>0.384907436629</v>
      </c>
      <c r="I1123" s="63" t="n">
        <v>0.48829287048</v>
      </c>
      <c r="J1123" s="63" t="n">
        <v>0.281522002778</v>
      </c>
      <c r="K1123" s="63" t="n">
        <v>963.23</v>
      </c>
      <c r="L1123" s="63" t="n">
        <v>939.38</v>
      </c>
      <c r="M1123" s="63" t="n">
        <v>930.09</v>
      </c>
      <c r="N1123" s="54">
        <f>(M1124-M1123)/M1123</f>
        <v/>
      </c>
      <c r="O1123" s="54">
        <f>(M1127-M1123)/M1123</f>
        <v/>
      </c>
      <c r="P1123" s="4">
        <f>B1123-D1123</f>
        <v/>
      </c>
      <c r="Q1123" s="4">
        <f>AVERAGE(P1120:P1123)</f>
        <v/>
      </c>
      <c r="R1123" s="54">
        <f>(M1124-M1123)/M1123</f>
        <v/>
      </c>
      <c r="S1123" s="54">
        <f>(M1127-M1123)/M1123</f>
        <v/>
      </c>
      <c r="T1123" s="63">
        <f>IF(R1123&gt;0,1,"")</f>
        <v/>
      </c>
      <c r="U1123" s="63">
        <f>IF(S1123&gt;0,1,"")</f>
        <v/>
      </c>
    </row>
    <row r="1124">
      <c r="A1124" s="35" t="n">
        <v>39758</v>
      </c>
      <c r="B1124" s="4" t="n">
        <v>0.4483</v>
      </c>
      <c r="C1124" s="4" t="n">
        <v>0.2184</v>
      </c>
      <c r="D1124" s="4" t="n">
        <v>0.3333</v>
      </c>
      <c r="E1124" s="63" t="n">
        <v>1</v>
      </c>
      <c r="F1124" s="63" t="n">
        <v>0.359625</v>
      </c>
      <c r="G1124" s="63" t="n">
        <v>0.115</v>
      </c>
      <c r="H1124" s="63" t="n">
        <v>0.384907436629</v>
      </c>
      <c r="I1124" s="63" t="n">
        <v>0.48829287048</v>
      </c>
      <c r="J1124" s="63" t="n">
        <v>0.281522002778</v>
      </c>
      <c r="K1124" s="63" t="n">
        <v>952.4</v>
      </c>
      <c r="L1124" s="63" t="n">
        <v>934.13</v>
      </c>
      <c r="M1124" s="63" t="n">
        <v>952.77</v>
      </c>
      <c r="N1124" s="54">
        <f>(M1125-M1124)/M1124</f>
        <v/>
      </c>
      <c r="O1124" s="54">
        <f>(M1128-M1124)/M1124</f>
        <v/>
      </c>
      <c r="P1124" s="4">
        <f>B1124-D1124</f>
        <v/>
      </c>
      <c r="Q1124" s="4">
        <f>AVERAGE(P1121:P1124)</f>
        <v/>
      </c>
      <c r="R1124" s="54">
        <f>(M1125-M1124)/M1124</f>
        <v/>
      </c>
      <c r="S1124" s="54">
        <f>(M1128-M1124)/M1124</f>
        <v/>
      </c>
      <c r="T1124" s="63">
        <f>IF(R1124&gt;0,1,"")</f>
        <v/>
      </c>
      <c r="U1124" s="63">
        <f>IF(S1124&gt;0,1,"")</f>
        <v/>
      </c>
    </row>
    <row r="1125">
      <c r="A1125" s="35" t="n">
        <v>39765</v>
      </c>
      <c r="B1125" s="4" t="n">
        <v>0.3833</v>
      </c>
      <c r="C1125" s="4" t="n">
        <v>0.1917</v>
      </c>
      <c r="D1125" s="4" t="n">
        <v>0.425</v>
      </c>
      <c r="E1125" s="63" t="n">
        <v>1</v>
      </c>
      <c r="F1125" s="63" t="n">
        <v>0.373525</v>
      </c>
      <c r="G1125" s="63" t="n">
        <v>-0.0417</v>
      </c>
      <c r="H1125" s="63" t="n">
        <v>0.384907436629</v>
      </c>
      <c r="I1125" s="63" t="n">
        <v>0.48829287048</v>
      </c>
      <c r="J1125" s="63" t="n">
        <v>0.281522002778</v>
      </c>
      <c r="K1125" s="63" t="n">
        <v>865.0700000000001</v>
      </c>
      <c r="L1125" s="63" t="n">
        <v>847.4</v>
      </c>
      <c r="M1125" s="63" t="n">
        <v>852.3</v>
      </c>
      <c r="N1125" s="54">
        <f>(M1126-M1125)/M1125</f>
        <v/>
      </c>
      <c r="O1125" s="54">
        <f>(M1129-M1125)/M1125</f>
        <v/>
      </c>
      <c r="P1125" s="4">
        <f>B1125-D1125</f>
        <v/>
      </c>
      <c r="Q1125" s="4">
        <f>AVERAGE(P1122:P1125)</f>
        <v/>
      </c>
      <c r="R1125" s="54">
        <f>(M1126-M1125)/M1125</f>
        <v/>
      </c>
      <c r="S1125" s="54">
        <f>(M1129-M1125)/M1125</f>
        <v/>
      </c>
      <c r="T1125" s="63">
        <f>IF(R1125&gt;0,1,"")</f>
        <v/>
      </c>
      <c r="U1125" s="63">
        <f>IF(S1125&gt;0,1,"")</f>
        <v/>
      </c>
    </row>
    <row r="1126">
      <c r="A1126" s="35" t="n">
        <v>39772</v>
      </c>
      <c r="B1126" s="4" t="n">
        <v>0.2437</v>
      </c>
      <c r="C1126" s="4" t="n">
        <v>0.1849</v>
      </c>
      <c r="D1126" s="4" t="n">
        <v>0.5714</v>
      </c>
      <c r="E1126" s="63" t="n">
        <v>1</v>
      </c>
      <c r="F1126" s="63" t="n">
        <v>0.3614375</v>
      </c>
      <c r="G1126" s="63" t="n">
        <v>-0.3277</v>
      </c>
      <c r="H1126" s="63" t="n">
        <v>0.384907436629</v>
      </c>
      <c r="I1126" s="63" t="n">
        <v>0.48829287048</v>
      </c>
      <c r="J1126" s="63" t="n">
        <v>0.281522002778</v>
      </c>
      <c r="K1126" s="63" t="n">
        <v>805.87</v>
      </c>
      <c r="L1126" s="63" t="n">
        <v>776.79</v>
      </c>
      <c r="M1126" s="63" t="n">
        <v>806.58</v>
      </c>
      <c r="N1126" s="54">
        <f>(M1127-M1126)/M1126</f>
        <v/>
      </c>
      <c r="O1126" s="54">
        <f>(M1130-M1126)/M1126</f>
        <v/>
      </c>
      <c r="P1126" s="4">
        <f>B1126-D1126</f>
        <v/>
      </c>
      <c r="Q1126" s="4">
        <f>AVERAGE(P1123:P1126)</f>
        <v/>
      </c>
      <c r="R1126" s="54">
        <f>(M1127-M1126)/M1126</f>
        <v/>
      </c>
      <c r="S1126" s="54">
        <f>(M1130-M1126)/M1126</f>
        <v/>
      </c>
      <c r="T1126" s="63">
        <f>IF(R1126&gt;0,1,"")</f>
        <v/>
      </c>
      <c r="U1126" s="63">
        <f>IF(S1126&gt;0,1,"")</f>
        <v/>
      </c>
    </row>
    <row r="1127">
      <c r="A1127" s="35" t="n">
        <v>39779</v>
      </c>
      <c r="B1127" s="4" t="n">
        <v>0.3125</v>
      </c>
      <c r="C1127" s="4" t="n">
        <v>0.2386</v>
      </c>
      <c r="D1127" s="4" t="n">
        <v>0.4489</v>
      </c>
      <c r="E1127" s="63" t="n">
        <v>1</v>
      </c>
      <c r="F1127" s="63" t="n">
        <v>0.3588375</v>
      </c>
      <c r="G1127" s="63" t="n">
        <v>-0.1364</v>
      </c>
      <c r="H1127" s="63" t="n">
        <v>0.384907436629</v>
      </c>
      <c r="I1127" s="63" t="n">
        <v>0.48829287048</v>
      </c>
      <c r="J1127" s="63" t="n">
        <v>0.281522002778</v>
      </c>
      <c r="K1127" s="63" t="n">
        <v>896.25</v>
      </c>
      <c r="L1127" s="63" t="n">
        <v>881.21</v>
      </c>
      <c r="M1127" s="63" t="n">
        <v>887.6799999999999</v>
      </c>
      <c r="N1127" s="54">
        <f>(M1128-M1127)/M1127</f>
        <v/>
      </c>
      <c r="O1127" s="54">
        <f>(M1131-M1127)/M1127</f>
        <v/>
      </c>
      <c r="P1127" s="4">
        <f>B1127-D1127</f>
        <v/>
      </c>
      <c r="Q1127" s="4">
        <f>AVERAGE(P1124:P1127)</f>
        <v/>
      </c>
      <c r="R1127" s="54">
        <f>(M1128-M1127)/M1127</f>
        <v/>
      </c>
      <c r="S1127" s="54">
        <f>(M1131-M1127)/M1127</f>
        <v/>
      </c>
      <c r="T1127" s="63">
        <f>IF(R1127&gt;0,1,"")</f>
        <v/>
      </c>
      <c r="U1127" s="63">
        <f>IF(S1127&gt;0,1,"")</f>
        <v/>
      </c>
    </row>
    <row r="1128">
      <c r="A1128" s="35" t="n">
        <v>39786</v>
      </c>
      <c r="B1128" s="4" t="n">
        <v>0.2667</v>
      </c>
      <c r="C1128" s="4" t="n">
        <v>0.2556</v>
      </c>
      <c r="D1128" s="4" t="n">
        <v>0.4778</v>
      </c>
      <c r="E1128" s="63" t="n">
        <v>1.0001</v>
      </c>
      <c r="F1128" s="63" t="n">
        <v>0.3528375</v>
      </c>
      <c r="G1128" s="63" t="n">
        <v>-0.2111</v>
      </c>
      <c r="H1128" s="63" t="n">
        <v>0.384907436629</v>
      </c>
      <c r="I1128" s="63" t="n">
        <v>0.48829287048</v>
      </c>
      <c r="J1128" s="63" t="n">
        <v>0.281522002778</v>
      </c>
      <c r="K1128" s="63" t="n">
        <v>872.89</v>
      </c>
      <c r="L1128" s="63" t="n">
        <v>858.55</v>
      </c>
      <c r="M1128" s="63" t="n">
        <v>870.74</v>
      </c>
      <c r="N1128" s="54">
        <f>(M1129-M1128)/M1128</f>
        <v/>
      </c>
      <c r="O1128" s="54">
        <f>(M1132-M1128)/M1128</f>
        <v/>
      </c>
      <c r="P1128" s="4">
        <f>B1128-D1128</f>
        <v/>
      </c>
      <c r="Q1128" s="4">
        <f>AVERAGE(P1125:P1128)</f>
        <v/>
      </c>
      <c r="R1128" s="54">
        <f>(M1129-M1128)/M1128</f>
        <v/>
      </c>
      <c r="S1128" s="54">
        <f>(M1132-M1128)/M1128</f>
        <v/>
      </c>
      <c r="T1128" s="63">
        <f>IF(R1128&gt;0,1,"")</f>
        <v/>
      </c>
      <c r="U1128" s="63">
        <f>IF(S1128&gt;0,1,"")</f>
        <v/>
      </c>
    </row>
    <row r="1129">
      <c r="A1129" s="35" t="n">
        <v>39793</v>
      </c>
      <c r="B1129" s="4" t="n">
        <v>0.375</v>
      </c>
      <c r="C1129" s="4" t="n">
        <v>0.2266</v>
      </c>
      <c r="D1129" s="4" t="n">
        <v>0.3984</v>
      </c>
      <c r="E1129" s="63" t="n">
        <v>1</v>
      </c>
      <c r="F1129" s="63" t="n">
        <v>0.3485375</v>
      </c>
      <c r="G1129" s="63" t="n">
        <v>-0.0234</v>
      </c>
      <c r="H1129" s="63" t="n">
        <v>0.384907436629</v>
      </c>
      <c r="I1129" s="63" t="n">
        <v>0.48829287048</v>
      </c>
      <c r="J1129" s="63" t="n">
        <v>0.281522002778</v>
      </c>
      <c r="K1129" s="63" t="n">
        <v>899.95</v>
      </c>
      <c r="L1129" s="63" t="n">
        <v>885.9400000000001</v>
      </c>
      <c r="M1129" s="63" t="n">
        <v>899.24</v>
      </c>
      <c r="N1129" s="54">
        <f>(M1130-M1129)/M1129</f>
        <v/>
      </c>
      <c r="O1129" s="54">
        <f>(M1133-M1129)/M1129</f>
        <v/>
      </c>
      <c r="P1129" s="4">
        <f>B1129-D1129</f>
        <v/>
      </c>
      <c r="Q1129" s="4">
        <f>AVERAGE(P1126:P1129)</f>
        <v/>
      </c>
      <c r="R1129" s="54">
        <f>(M1130-M1129)/M1129</f>
        <v/>
      </c>
      <c r="S1129" s="54">
        <f>(M1133-M1129)/M1129</f>
        <v/>
      </c>
      <c r="T1129" s="63">
        <f>IF(R1129&gt;0,1,"")</f>
        <v/>
      </c>
      <c r="U1129" s="63">
        <f>IF(S1129&gt;0,1,"")</f>
        <v/>
      </c>
    </row>
    <row r="1130">
      <c r="A1130" s="35" t="n">
        <v>39800</v>
      </c>
      <c r="B1130" s="4" t="n">
        <v>0.3973</v>
      </c>
      <c r="C1130" s="4" t="n">
        <v>0.2466</v>
      </c>
      <c r="D1130" s="4" t="n">
        <v>0.3562</v>
      </c>
      <c r="E1130" s="63" t="n">
        <v>1.0001</v>
      </c>
      <c r="F1130" s="63" t="n">
        <v>0.349775</v>
      </c>
      <c r="G1130" s="63" t="n">
        <v>0.0411</v>
      </c>
      <c r="H1130" s="63" t="n">
        <v>0.384907436629</v>
      </c>
      <c r="I1130" s="63" t="n">
        <v>0.48829287048</v>
      </c>
      <c r="J1130" s="63" t="n">
        <v>0.281522002778</v>
      </c>
      <c r="K1130" s="63" t="n">
        <v>910.01</v>
      </c>
      <c r="L1130" s="63" t="n">
        <v>900.1</v>
      </c>
      <c r="M1130" s="63" t="n">
        <v>904.42</v>
      </c>
      <c r="N1130" s="54">
        <f>(M1131-M1130)/M1130</f>
        <v/>
      </c>
      <c r="O1130" s="54">
        <f>(M1134-M1130)/M1130</f>
        <v/>
      </c>
      <c r="P1130" s="4">
        <f>B1130-D1130</f>
        <v/>
      </c>
      <c r="Q1130" s="4">
        <f>AVERAGE(P1127:P1130)</f>
        <v/>
      </c>
      <c r="R1130" s="54">
        <f>(M1131-M1130)/M1130</f>
        <v/>
      </c>
      <c r="S1130" s="54">
        <f>(M1134-M1130)/M1130</f>
        <v/>
      </c>
      <c r="T1130" s="63">
        <f>IF(R1130&gt;0,1,"")</f>
        <v/>
      </c>
      <c r="U1130" s="63">
        <f>IF(S1130&gt;0,1,"")</f>
        <v/>
      </c>
    </row>
    <row r="1131">
      <c r="A1131" s="35" t="n">
        <v>39807</v>
      </c>
      <c r="B1131" s="4" t="n">
        <v>0.2895</v>
      </c>
      <c r="C1131" s="4" t="n">
        <v>0.2719</v>
      </c>
      <c r="D1131" s="4" t="n">
        <v>0.4386</v>
      </c>
      <c r="E1131" s="63" t="n">
        <v>1</v>
      </c>
      <c r="F1131" s="63" t="n">
        <v>0.3395375</v>
      </c>
      <c r="G1131" s="63" t="n">
        <v>-0.1491</v>
      </c>
      <c r="H1131" s="63" t="n">
        <v>0.384907436629</v>
      </c>
      <c r="I1131" s="63" t="n">
        <v>0.48829287048</v>
      </c>
      <c r="J1131" s="63" t="n">
        <v>0.281522002778</v>
      </c>
      <c r="K1131" s="63" t="n">
        <v>873.7</v>
      </c>
      <c r="L1131" s="63" t="n">
        <v>868.5</v>
      </c>
      <c r="M1131" s="63" t="n">
        <v>872.8</v>
      </c>
      <c r="N1131" s="54">
        <f>(M1132-M1131)/M1131</f>
        <v/>
      </c>
      <c r="O1131" s="54">
        <f>(M1135-M1131)/M1131</f>
        <v/>
      </c>
      <c r="P1131" s="4">
        <f>B1131-D1131</f>
        <v/>
      </c>
      <c r="Q1131" s="4">
        <f>AVERAGE(P1128:P1131)</f>
        <v/>
      </c>
      <c r="R1131" s="54">
        <f>(M1132-M1131)/M1131</f>
        <v/>
      </c>
      <c r="S1131" s="54">
        <f>(M1135-M1131)/M1131</f>
        <v/>
      </c>
      <c r="T1131" s="63">
        <f>IF(R1131&gt;0,1,"")</f>
        <v/>
      </c>
      <c r="U1131" s="63">
        <f>IF(S1131&gt;0,1,"")</f>
        <v/>
      </c>
    </row>
    <row r="1132">
      <c r="A1132" s="35" t="n">
        <v>39814</v>
      </c>
      <c r="B1132" s="4" t="n">
        <v>0.24</v>
      </c>
      <c r="C1132" s="4" t="n">
        <v>0.2133</v>
      </c>
      <c r="D1132" s="4" t="n">
        <v>0.5467</v>
      </c>
      <c r="E1132" s="63" t="n">
        <v>1</v>
      </c>
      <c r="F1132" s="63" t="n">
        <v>0.3135</v>
      </c>
      <c r="G1132" s="63" t="n">
        <v>-0.3067</v>
      </c>
      <c r="H1132" s="63" t="n">
        <v>0.384907436629</v>
      </c>
      <c r="I1132" s="63" t="n">
        <v>0.48829287048</v>
      </c>
      <c r="J1132" s="63" t="n">
        <v>0.281522002778</v>
      </c>
      <c r="K1132" s="63" t="n">
        <v>934.73</v>
      </c>
      <c r="L1132" s="63" t="n">
        <v>899.35</v>
      </c>
      <c r="M1132" s="63" t="n">
        <v>903.25</v>
      </c>
      <c r="N1132" s="54">
        <f>(M1133-M1132)/M1132</f>
        <v/>
      </c>
      <c r="O1132" s="54">
        <f>(M1136-M1132)/M1132</f>
        <v/>
      </c>
      <c r="P1132" s="4">
        <f>B1132-D1132</f>
        <v/>
      </c>
      <c r="Q1132" s="4">
        <f>AVERAGE(P1129:P1132)</f>
        <v/>
      </c>
      <c r="R1132" s="54">
        <f>(M1133-M1132)/M1132</f>
        <v/>
      </c>
      <c r="S1132" s="54">
        <f>(M1136-M1132)/M1132</f>
        <v/>
      </c>
      <c r="T1132" s="63">
        <f>IF(R1132&gt;0,1,"")</f>
        <v/>
      </c>
      <c r="U1132" s="63">
        <f>IF(S1132&gt;0,1,"")</f>
        <v/>
      </c>
    </row>
    <row r="1133">
      <c r="A1133" s="35" t="n">
        <v>39821</v>
      </c>
      <c r="B1133" s="4" t="n">
        <v>0.487</v>
      </c>
      <c r="C1133" s="4" t="n">
        <v>0.1623</v>
      </c>
      <c r="D1133" s="4" t="n">
        <v>0.3506</v>
      </c>
      <c r="E1133" s="63" t="n">
        <v>0.9999</v>
      </c>
      <c r="F1133" s="63" t="n">
        <v>0.3264625</v>
      </c>
      <c r="G1133" s="63" t="n">
        <v>0.1364</v>
      </c>
      <c r="H1133" s="63" t="n">
        <v>0.384907436629</v>
      </c>
      <c r="I1133" s="63" t="n">
        <v>0.48829287048</v>
      </c>
      <c r="J1133" s="63" t="n">
        <v>0.281522002778</v>
      </c>
      <c r="K1133" s="63" t="n">
        <v>907.64</v>
      </c>
      <c r="L1133" s="63" t="n">
        <v>896.8099999999999</v>
      </c>
      <c r="M1133" s="63" t="n">
        <v>906.65</v>
      </c>
      <c r="N1133" s="54">
        <f>(M1134-M1133)/M1133</f>
        <v/>
      </c>
      <c r="O1133" s="54">
        <f>(M1137-M1133)/M1133</f>
        <v/>
      </c>
      <c r="P1133" s="4">
        <f>B1133-D1133</f>
        <v/>
      </c>
      <c r="Q1133" s="4">
        <f>AVERAGE(P1130:P1133)</f>
        <v/>
      </c>
      <c r="R1133" s="54">
        <f>(M1134-M1133)/M1133</f>
        <v/>
      </c>
      <c r="S1133" s="54">
        <f>(M1137-M1133)/M1133</f>
        <v/>
      </c>
      <c r="T1133" s="63">
        <f>IF(R1133&gt;0,1,"")</f>
        <v/>
      </c>
      <c r="U1133" s="63">
        <f>IF(S1133&gt;0,1,"")</f>
        <v/>
      </c>
    </row>
    <row r="1134">
      <c r="A1134" s="35" t="n">
        <v>39828</v>
      </c>
      <c r="B1134" s="4" t="n">
        <v>0.2763</v>
      </c>
      <c r="C1134" s="4" t="n">
        <v>0.25</v>
      </c>
      <c r="D1134" s="4" t="n">
        <v>0.4737</v>
      </c>
      <c r="E1134" s="63" t="n">
        <v>1</v>
      </c>
      <c r="F1134" s="63" t="n">
        <v>0.3305375</v>
      </c>
      <c r="G1134" s="63" t="n">
        <v>-0.1974</v>
      </c>
      <c r="H1134" s="63" t="n">
        <v>0.384907436629</v>
      </c>
      <c r="I1134" s="63" t="n">
        <v>0.48829287048</v>
      </c>
      <c r="J1134" s="63" t="n">
        <v>0.281522002778</v>
      </c>
      <c r="K1134" s="63" t="n">
        <v>842.05</v>
      </c>
      <c r="L1134" s="63" t="n">
        <v>825.53</v>
      </c>
      <c r="M1134" s="63" t="n">
        <v>842.62</v>
      </c>
      <c r="N1134" s="54">
        <f>(M1135-M1134)/M1134</f>
        <v/>
      </c>
      <c r="O1134" s="54">
        <f>(M1138-M1134)/M1134</f>
        <v/>
      </c>
      <c r="P1134" s="4">
        <f>B1134-D1134</f>
        <v/>
      </c>
      <c r="Q1134" s="4">
        <f>AVERAGE(P1131:P1134)</f>
        <v/>
      </c>
      <c r="R1134" s="54">
        <f>(M1135-M1134)/M1134</f>
        <v/>
      </c>
      <c r="S1134" s="54">
        <f>(M1138-M1134)/M1134</f>
        <v/>
      </c>
      <c r="T1134" s="63">
        <f>IF(R1134&gt;0,1,"")</f>
        <v/>
      </c>
      <c r="U1134" s="63">
        <f>IF(S1134&gt;0,1,"")</f>
        <v/>
      </c>
    </row>
    <row r="1135">
      <c r="A1135" s="35" t="n">
        <v>39835</v>
      </c>
      <c r="B1135" s="4" t="n">
        <v>0.2721</v>
      </c>
      <c r="C1135" s="4" t="n">
        <v>0.2647</v>
      </c>
      <c r="D1135" s="4" t="n">
        <v>0.4632</v>
      </c>
      <c r="E1135" s="63" t="n">
        <v>1</v>
      </c>
      <c r="F1135" s="63" t="n">
        <v>0.3254875</v>
      </c>
      <c r="G1135" s="63" t="n">
        <v>-0.1911</v>
      </c>
      <c r="H1135" s="63" t="n">
        <v>0.384907436629</v>
      </c>
      <c r="I1135" s="63" t="n">
        <v>0.48829287048</v>
      </c>
      <c r="J1135" s="63" t="n">
        <v>0.281522002778</v>
      </c>
      <c r="K1135" s="63" t="n">
        <v>839.74</v>
      </c>
      <c r="L1135" s="63" t="n">
        <v>816.6900000000001</v>
      </c>
      <c r="M1135" s="63" t="n">
        <v>840.24</v>
      </c>
      <c r="N1135" s="54">
        <f>(M1136-M1135)/M1135</f>
        <v/>
      </c>
      <c r="O1135" s="54">
        <f>(M1139-M1135)/M1135</f>
        <v/>
      </c>
      <c r="P1135" s="4">
        <f>B1135-D1135</f>
        <v/>
      </c>
      <c r="Q1135" s="4">
        <f>AVERAGE(P1132:P1135)</f>
        <v/>
      </c>
      <c r="R1135" s="54">
        <f>(M1136-M1135)/M1135</f>
        <v/>
      </c>
      <c r="S1135" s="54">
        <f>(M1139-M1135)/M1135</f>
        <v/>
      </c>
      <c r="T1135" s="63">
        <f>IF(R1135&gt;0,1,"")</f>
        <v/>
      </c>
      <c r="U1135" s="63">
        <f>IF(S1135&gt;0,1,"")</f>
        <v/>
      </c>
    </row>
    <row r="1136">
      <c r="A1136" s="35" t="n">
        <v>39842</v>
      </c>
      <c r="B1136" s="4" t="n">
        <v>0.2527</v>
      </c>
      <c r="C1136" s="4" t="n">
        <v>0.2747</v>
      </c>
      <c r="D1136" s="4" t="n">
        <v>0.4725</v>
      </c>
      <c r="E1136" s="63" t="n">
        <v>0.9999</v>
      </c>
      <c r="F1136" s="63" t="n">
        <v>0.3237375</v>
      </c>
      <c r="G1136" s="63" t="n">
        <v>-0.2198</v>
      </c>
      <c r="H1136" s="63" t="n">
        <v>0.384907436629</v>
      </c>
      <c r="I1136" s="63" t="n">
        <v>0.48829287048</v>
      </c>
      <c r="J1136" s="63" t="n">
        <v>0.281522002778</v>
      </c>
      <c r="K1136" s="63" t="n">
        <v>868.89</v>
      </c>
      <c r="L1136" s="63" t="n">
        <v>854.37</v>
      </c>
      <c r="M1136" s="63" t="n">
        <v>874.09</v>
      </c>
      <c r="N1136" s="54">
        <f>(M1137-M1136)/M1136</f>
        <v/>
      </c>
      <c r="O1136" s="54">
        <f>(M1140-M1136)/M1136</f>
        <v/>
      </c>
      <c r="P1136" s="4">
        <f>B1136-D1136</f>
        <v/>
      </c>
      <c r="Q1136" s="4">
        <f>AVERAGE(P1133:P1136)</f>
        <v/>
      </c>
      <c r="R1136" s="54">
        <f>(M1137-M1136)/M1136</f>
        <v/>
      </c>
      <c r="S1136" s="54">
        <f>(M1140-M1136)/M1136</f>
        <v/>
      </c>
      <c r="T1136" s="63">
        <f>IF(R1136&gt;0,1,"")</f>
        <v/>
      </c>
      <c r="U1136" s="63">
        <f>IF(S1136&gt;0,1,"")</f>
        <v/>
      </c>
    </row>
    <row r="1137">
      <c r="A1137" s="35" t="n">
        <v>39849</v>
      </c>
      <c r="B1137" s="4" t="n">
        <v>0.2463</v>
      </c>
      <c r="C1137" s="4" t="n">
        <v>0.3134</v>
      </c>
      <c r="D1137" s="4" t="n">
        <v>0.4403</v>
      </c>
      <c r="E1137" s="63" t="n">
        <v>1</v>
      </c>
      <c r="F1137" s="63" t="n">
        <v>0.30765</v>
      </c>
      <c r="G1137" s="63" t="n">
        <v>-0.194</v>
      </c>
      <c r="H1137" s="63" t="n">
        <v>0.384907436629</v>
      </c>
      <c r="I1137" s="63" t="n">
        <v>0.48829287048</v>
      </c>
      <c r="J1137" s="63" t="n">
        <v>0.281522002778</v>
      </c>
      <c r="K1137" s="63" t="n">
        <v>832.63</v>
      </c>
      <c r="L1137" s="63" t="n">
        <v>819.91</v>
      </c>
      <c r="M1137" s="63" t="n">
        <v>832.23</v>
      </c>
      <c r="N1137" s="54">
        <f>(M1138-M1137)/M1137</f>
        <v/>
      </c>
      <c r="O1137" s="54">
        <f>(M1141-M1137)/M1137</f>
        <v/>
      </c>
      <c r="P1137" s="4">
        <f>B1137-D1137</f>
        <v/>
      </c>
      <c r="Q1137" s="4">
        <f>AVERAGE(P1134:P1137)</f>
        <v/>
      </c>
      <c r="R1137" s="54">
        <f>(M1138-M1137)/M1137</f>
        <v/>
      </c>
      <c r="S1137" s="54">
        <f>(M1141-M1137)/M1137</f>
        <v/>
      </c>
      <c r="T1137" s="63">
        <f>IF(R1137&gt;0,1,"")</f>
        <v/>
      </c>
      <c r="U1137" s="63">
        <f>IF(S1137&gt;0,1,"")</f>
        <v/>
      </c>
    </row>
    <row r="1138">
      <c r="A1138" s="35" t="n">
        <v>39856</v>
      </c>
      <c r="B1138" s="4" t="n">
        <v>0.3291</v>
      </c>
      <c r="C1138" s="4" t="n">
        <v>0.2785</v>
      </c>
      <c r="D1138" s="4" t="n">
        <v>0.3924</v>
      </c>
      <c r="E1138" s="63" t="n">
        <v>1</v>
      </c>
      <c r="F1138" s="63" t="n">
        <v>0.299125</v>
      </c>
      <c r="G1138" s="63" t="n">
        <v>-0.0633</v>
      </c>
      <c r="H1138" s="63" t="n">
        <v>0.384907436629</v>
      </c>
      <c r="I1138" s="63" t="n">
        <v>0.48829287048</v>
      </c>
      <c r="J1138" s="63" t="n">
        <v>0.281522002778</v>
      </c>
      <c r="K1138" s="63" t="n">
        <v>829.91</v>
      </c>
      <c r="L1138" s="63" t="n">
        <v>811.35</v>
      </c>
      <c r="M1138" s="63" t="n">
        <v>833.74</v>
      </c>
      <c r="N1138" s="54">
        <f>(M1139-M1138)/M1138</f>
        <v/>
      </c>
      <c r="O1138" s="54">
        <f>(M1142-M1138)/M1138</f>
        <v/>
      </c>
      <c r="P1138" s="4">
        <f>B1138-D1138</f>
        <v/>
      </c>
      <c r="Q1138" s="4">
        <f>AVERAGE(P1135:P1138)</f>
        <v/>
      </c>
      <c r="R1138" s="54">
        <f>(M1139-M1138)/M1138</f>
        <v/>
      </c>
      <c r="S1138" s="54">
        <f>(M1142-M1138)/M1138</f>
        <v/>
      </c>
      <c r="T1138" s="63">
        <f>IF(R1138&gt;0,1,"")</f>
        <v/>
      </c>
      <c r="U1138" s="63">
        <f>IF(S1138&gt;0,1,"")</f>
        <v/>
      </c>
    </row>
    <row r="1139">
      <c r="A1139" s="35" t="n">
        <v>39863</v>
      </c>
      <c r="B1139" s="4" t="n">
        <v>0.2164</v>
      </c>
      <c r="C1139" s="4" t="n">
        <v>0.2164</v>
      </c>
      <c r="D1139" s="4" t="n">
        <v>0.5672</v>
      </c>
      <c r="E1139" s="63" t="n">
        <v>1</v>
      </c>
      <c r="F1139" s="63" t="n">
        <v>0.2899875</v>
      </c>
      <c r="G1139" s="63" t="n">
        <v>-0.3508</v>
      </c>
      <c r="H1139" s="63" t="n">
        <v>0.384907436629</v>
      </c>
      <c r="I1139" s="63" t="n">
        <v>0.48829287048</v>
      </c>
      <c r="J1139" s="63" t="n">
        <v>0.281522002778</v>
      </c>
      <c r="K1139" s="63" t="n">
        <v>797.58</v>
      </c>
      <c r="L1139" s="63" t="n">
        <v>787.91</v>
      </c>
      <c r="M1139" s="63" t="n">
        <v>788.42</v>
      </c>
      <c r="N1139" s="54">
        <f>(M1140-M1139)/M1139</f>
        <v/>
      </c>
      <c r="O1139" s="54">
        <f>(M1143-M1139)/M1139</f>
        <v/>
      </c>
      <c r="P1139" s="4">
        <f>B1139-D1139</f>
        <v/>
      </c>
      <c r="Q1139" s="4">
        <f>AVERAGE(P1136:P1139)</f>
        <v/>
      </c>
      <c r="R1139" s="54">
        <f>(M1140-M1139)/M1139</f>
        <v/>
      </c>
      <c r="S1139" s="54">
        <f>(M1143-M1139)/M1139</f>
        <v/>
      </c>
      <c r="T1139" s="63">
        <f>IF(R1139&gt;0,1,"")</f>
        <v/>
      </c>
      <c r="U1139" s="63">
        <f>IF(S1139&gt;0,1,"")</f>
        <v/>
      </c>
    </row>
    <row r="1140">
      <c r="A1140" s="35" t="n">
        <v>39870</v>
      </c>
      <c r="B1140" s="4" t="n">
        <v>0.243</v>
      </c>
      <c r="C1140" s="4" t="n">
        <v>0.2056</v>
      </c>
      <c r="D1140" s="4" t="n">
        <v>0.5514</v>
      </c>
      <c r="E1140" s="63" t="n">
        <v>1</v>
      </c>
      <c r="F1140" s="63" t="n">
        <v>0.2903625</v>
      </c>
      <c r="G1140" s="63" t="n">
        <v>-0.3084</v>
      </c>
      <c r="H1140" s="63" t="n">
        <v>0.384907436629</v>
      </c>
      <c r="I1140" s="63" t="n">
        <v>0.48829287048</v>
      </c>
      <c r="J1140" s="63" t="n">
        <v>0.281522002778</v>
      </c>
      <c r="K1140" s="63" t="n">
        <v>779.42</v>
      </c>
      <c r="L1140" s="63" t="n">
        <v>765.76</v>
      </c>
      <c r="M1140" s="63" t="n">
        <v>764.9</v>
      </c>
      <c r="N1140" s="54">
        <f>(M1141-M1140)/M1140</f>
        <v/>
      </c>
      <c r="O1140" s="54">
        <f>(M1144-M1140)/M1140</f>
        <v/>
      </c>
      <c r="P1140" s="4">
        <f>B1140-D1140</f>
        <v/>
      </c>
      <c r="Q1140" s="4">
        <f>AVERAGE(P1137:P1140)</f>
        <v/>
      </c>
      <c r="R1140" s="54">
        <f>(M1141-M1140)/M1140</f>
        <v/>
      </c>
      <c r="S1140" s="54">
        <f>(M1144-M1140)/M1140</f>
        <v/>
      </c>
      <c r="T1140" s="63">
        <f>IF(R1140&gt;0,1,"")</f>
        <v/>
      </c>
      <c r="U1140" s="63">
        <f>IF(S1140&gt;0,1,"")</f>
        <v/>
      </c>
    </row>
    <row r="1141">
      <c r="A1141" s="35" t="n">
        <v>39877</v>
      </c>
      <c r="B1141" s="4" t="n">
        <v>0.1892</v>
      </c>
      <c r="C1141" s="4" t="n">
        <v>0.1081</v>
      </c>
      <c r="D1141" s="4" t="n">
        <v>0.7027</v>
      </c>
      <c r="E1141" s="63" t="n">
        <v>1</v>
      </c>
      <c r="F1141" s="63" t="n">
        <v>0.2531375</v>
      </c>
      <c r="G1141" s="63" t="n">
        <v>-0.5135</v>
      </c>
      <c r="H1141" s="63" t="n">
        <v>0.384907436629</v>
      </c>
      <c r="I1141" s="63" t="n">
        <v>0.48829287048</v>
      </c>
      <c r="J1141" s="63" t="n">
        <v>0.281522002778</v>
      </c>
      <c r="K1141" s="63" t="n">
        <v>708.27</v>
      </c>
      <c r="L1141" s="63" t="n">
        <v>696.27</v>
      </c>
      <c r="M1141" s="63" t="n">
        <v>712.87</v>
      </c>
      <c r="N1141" s="54">
        <f>(M1142-M1141)/M1141</f>
        <v/>
      </c>
      <c r="O1141" s="54">
        <f>(M1145-M1141)/M1141</f>
        <v/>
      </c>
      <c r="P1141" s="4">
        <f>B1141-D1141</f>
        <v/>
      </c>
      <c r="Q1141" s="4">
        <f>AVERAGE(P1138:P1141)</f>
        <v/>
      </c>
      <c r="R1141" s="54">
        <f>(M1142-M1141)/M1141</f>
        <v/>
      </c>
      <c r="S1141" s="54">
        <f>(M1145-M1141)/M1141</f>
        <v/>
      </c>
      <c r="T1141" s="63">
        <f>IF(R1141&gt;0,1,"")</f>
        <v/>
      </c>
      <c r="U1141" s="63">
        <f>IF(S1141&gt;0,1,"")</f>
        <v/>
      </c>
    </row>
    <row r="1142">
      <c r="A1142" s="35" t="n">
        <v>39884</v>
      </c>
      <c r="B1142" s="4" t="n">
        <v>0.2764</v>
      </c>
      <c r="C1142" s="4" t="n">
        <v>0.1789</v>
      </c>
      <c r="D1142" s="4" t="n">
        <v>0.5447</v>
      </c>
      <c r="E1142" s="63" t="n">
        <v>1</v>
      </c>
      <c r="F1142" s="63" t="n">
        <v>0.25315</v>
      </c>
      <c r="G1142" s="63" t="n">
        <v>-0.2683</v>
      </c>
      <c r="H1142" s="63" t="n">
        <v>0.384907436629</v>
      </c>
      <c r="I1142" s="63" t="n">
        <v>0.48829287048</v>
      </c>
      <c r="J1142" s="63" t="n">
        <v>0.281522002778</v>
      </c>
      <c r="K1142" s="63" t="n">
        <v>727.47</v>
      </c>
      <c r="L1142" s="63" t="n">
        <v>714.76</v>
      </c>
      <c r="M1142" s="63" t="n">
        <v>721.36</v>
      </c>
      <c r="N1142" s="54">
        <f>(M1143-M1142)/M1142</f>
        <v/>
      </c>
      <c r="O1142" s="54">
        <f>(M1146-M1142)/M1142</f>
        <v/>
      </c>
      <c r="P1142" s="4">
        <f>B1142-D1142</f>
        <v/>
      </c>
      <c r="Q1142" s="4">
        <f>AVERAGE(P1139:P1142)</f>
        <v/>
      </c>
      <c r="R1142" s="54">
        <f>(M1143-M1142)/M1142</f>
        <v/>
      </c>
      <c r="S1142" s="54">
        <f>(M1146-M1142)/M1142</f>
        <v/>
      </c>
      <c r="T1142" s="63">
        <f>IF(R1142&gt;0,1,"")</f>
        <v/>
      </c>
      <c r="U1142" s="63">
        <f>IF(S1142&gt;0,1,"")</f>
        <v/>
      </c>
    </row>
    <row r="1143">
      <c r="A1143" s="35" t="n">
        <v>39891</v>
      </c>
      <c r="B1143" s="4" t="n">
        <v>0.4506</v>
      </c>
      <c r="C1143" s="4" t="n">
        <v>0.1667</v>
      </c>
      <c r="D1143" s="4" t="n">
        <v>0.3827</v>
      </c>
      <c r="E1143" s="63" t="n">
        <v>1</v>
      </c>
      <c r="F1143" s="63" t="n">
        <v>0.2754625</v>
      </c>
      <c r="G1143" s="63" t="n">
        <v>0.0679</v>
      </c>
      <c r="H1143" s="63" t="n">
        <v>0.384907436629</v>
      </c>
      <c r="I1143" s="63" t="n">
        <v>0.48829287048</v>
      </c>
      <c r="J1143" s="63" t="n">
        <v>0.281522002778</v>
      </c>
      <c r="K1143" s="63" t="n">
        <v>803.24</v>
      </c>
      <c r="L1143" s="63" t="n">
        <v>788.87</v>
      </c>
      <c r="M1143" s="63" t="n">
        <v>794.35</v>
      </c>
      <c r="N1143" s="54">
        <f>(M1144-M1143)/M1143</f>
        <v/>
      </c>
      <c r="O1143" s="54">
        <f>(M1147-M1143)/M1143</f>
        <v/>
      </c>
      <c r="P1143" s="4">
        <f>B1143-D1143</f>
        <v/>
      </c>
      <c r="Q1143" s="4">
        <f>AVERAGE(P1140:P1143)</f>
        <v/>
      </c>
      <c r="R1143" s="54">
        <f>(M1144-M1143)/M1143</f>
        <v/>
      </c>
      <c r="S1143" s="54">
        <f>(M1147-M1143)/M1143</f>
        <v/>
      </c>
      <c r="T1143" s="63">
        <f>IF(R1143&gt;0,1,"")</f>
        <v/>
      </c>
      <c r="U1143" s="63">
        <f>IF(S1143&gt;0,1,"")</f>
        <v/>
      </c>
    </row>
    <row r="1144">
      <c r="A1144" s="35" t="n">
        <v>39898</v>
      </c>
      <c r="B1144" s="4" t="n">
        <v>0.3913</v>
      </c>
      <c r="C1144" s="4" t="n">
        <v>0.1848</v>
      </c>
      <c r="D1144" s="4" t="n">
        <v>0.4239</v>
      </c>
      <c r="E1144" s="63" t="n">
        <v>1</v>
      </c>
      <c r="F1144" s="63" t="n">
        <v>0.2927875</v>
      </c>
      <c r="G1144" s="63" t="n">
        <v>-0.0326</v>
      </c>
      <c r="H1144" s="63" t="n">
        <v>0.384907436629</v>
      </c>
      <c r="I1144" s="63" t="n">
        <v>0.48829287048</v>
      </c>
      <c r="J1144" s="63" t="n">
        <v>0.281522002778</v>
      </c>
      <c r="K1144" s="63" t="n">
        <v>826.76</v>
      </c>
      <c r="L1144" s="63" t="n">
        <v>814.0599999999999</v>
      </c>
      <c r="M1144" s="63" t="n">
        <v>813.88</v>
      </c>
      <c r="N1144" s="54">
        <f>(M1145-M1144)/M1144</f>
        <v/>
      </c>
      <c r="O1144" s="54">
        <f>(M1148-M1144)/M1144</f>
        <v/>
      </c>
      <c r="P1144" s="4">
        <f>B1144-D1144</f>
        <v/>
      </c>
      <c r="Q1144" s="4">
        <f>AVERAGE(P1141:P1144)</f>
        <v/>
      </c>
      <c r="R1144" s="54">
        <f>(M1145-M1144)/M1144</f>
        <v/>
      </c>
      <c r="S1144" s="54">
        <f>(M1148-M1144)/M1144</f>
        <v/>
      </c>
      <c r="T1144" s="63">
        <f>IF(R1144&gt;0,1,"")</f>
        <v/>
      </c>
      <c r="U1144" s="63">
        <f>IF(S1144&gt;0,1,"")</f>
        <v/>
      </c>
    </row>
    <row r="1145">
      <c r="A1145" s="35" t="n">
        <v>39905</v>
      </c>
      <c r="B1145" s="4" t="n">
        <v>0.4266</v>
      </c>
      <c r="C1145" s="4" t="n">
        <v>0.2028</v>
      </c>
      <c r="D1145" s="4" t="n">
        <v>0.3706</v>
      </c>
      <c r="E1145" s="63" t="n">
        <v>1</v>
      </c>
      <c r="F1145" s="63" t="n">
        <v>0.315325</v>
      </c>
      <c r="G1145" s="63" t="n">
        <v>0.056</v>
      </c>
      <c r="H1145" s="63" t="n">
        <v>0.384907436629</v>
      </c>
      <c r="I1145" s="63" t="n">
        <v>0.48829287048</v>
      </c>
      <c r="J1145" s="63" t="n">
        <v>0.281522002778</v>
      </c>
      <c r="K1145" s="63" t="n">
        <v>835.91</v>
      </c>
      <c r="L1145" s="63" t="n">
        <v>814.53</v>
      </c>
      <c r="M1145" s="63" t="n">
        <v>811.08</v>
      </c>
      <c r="N1145" s="54">
        <f>(M1146-M1145)/M1145</f>
        <v/>
      </c>
      <c r="O1145" s="54">
        <f>(M1149-M1145)/M1145</f>
        <v/>
      </c>
      <c r="P1145" s="4">
        <f>B1145-D1145</f>
        <v/>
      </c>
      <c r="Q1145" s="4">
        <f>AVERAGE(P1142:P1145)</f>
        <v/>
      </c>
      <c r="R1145" s="54">
        <f>(M1146-M1145)/M1145</f>
        <v/>
      </c>
      <c r="S1145" s="54">
        <f>(M1149-M1145)/M1145</f>
        <v/>
      </c>
      <c r="T1145" s="63">
        <f>IF(R1145&gt;0,1,"")</f>
        <v/>
      </c>
      <c r="U1145" s="63">
        <f>IF(S1145&gt;0,1,"")</f>
        <v/>
      </c>
    </row>
    <row r="1146">
      <c r="A1146" s="35" t="n">
        <v>39912</v>
      </c>
      <c r="B1146" s="4" t="n">
        <v>0.3571</v>
      </c>
      <c r="C1146" s="4" t="n">
        <v>0.2</v>
      </c>
      <c r="D1146" s="4" t="n">
        <v>0.4429</v>
      </c>
      <c r="E1146" s="63" t="n">
        <v>1</v>
      </c>
      <c r="F1146" s="63" t="n">
        <v>0.318825</v>
      </c>
      <c r="G1146" s="63" t="n">
        <v>-0.0858</v>
      </c>
      <c r="H1146" s="63" t="n">
        <v>0.384907436629</v>
      </c>
      <c r="I1146" s="63" t="n">
        <v>0.48829287048</v>
      </c>
      <c r="J1146" s="63" t="n">
        <v>0.281522002778</v>
      </c>
      <c r="K1146" s="63" t="n">
        <v>850.8</v>
      </c>
      <c r="L1146" s="63" t="n">
        <v>829.29</v>
      </c>
      <c r="M1146" s="63" t="n">
        <v>825.16</v>
      </c>
      <c r="N1146" s="54">
        <f>(M1147-M1146)/M1146</f>
        <v/>
      </c>
      <c r="O1146" s="54">
        <f>(M1150-M1146)/M1146</f>
        <v/>
      </c>
      <c r="P1146" s="4">
        <f>B1146-D1146</f>
        <v/>
      </c>
      <c r="Q1146" s="4">
        <f>AVERAGE(P1143:P1146)</f>
        <v/>
      </c>
      <c r="R1146" s="54">
        <f>(M1147-M1146)/M1146</f>
        <v/>
      </c>
      <c r="S1146" s="54">
        <f>(M1150-M1146)/M1146</f>
        <v/>
      </c>
      <c r="T1146" s="63">
        <f>IF(R1146&gt;0,1,"")</f>
        <v/>
      </c>
      <c r="U1146" s="63">
        <f>IF(S1146&gt;0,1,"")</f>
        <v/>
      </c>
    </row>
    <row r="1147">
      <c r="A1147" s="35" t="n">
        <v>39919</v>
      </c>
      <c r="B1147" s="4" t="n">
        <v>0.4414</v>
      </c>
      <c r="C1147" s="4" t="n">
        <v>0.2</v>
      </c>
      <c r="D1147" s="4" t="n">
        <v>0.3586</v>
      </c>
      <c r="E1147" s="63" t="n">
        <v>1</v>
      </c>
      <c r="F1147" s="63" t="n">
        <v>0.34695</v>
      </c>
      <c r="G1147" s="63" t="n">
        <v>0.0828</v>
      </c>
      <c r="H1147" s="63" t="n">
        <v>0.384907436629</v>
      </c>
      <c r="I1147" s="63" t="n">
        <v>0.48829287048</v>
      </c>
      <c r="J1147" s="63" t="n">
        <v>0.281522002778</v>
      </c>
      <c r="K1147" s="63" t="n">
        <v>852.9299999999999</v>
      </c>
      <c r="L1147" s="63" t="n">
        <v>835.58</v>
      </c>
      <c r="M1147" s="63" t="n">
        <v>841.5</v>
      </c>
      <c r="N1147" s="54">
        <f>(M1148-M1147)/M1147</f>
        <v/>
      </c>
      <c r="O1147" s="54">
        <f>(M1151-M1147)/M1147</f>
        <v/>
      </c>
      <c r="P1147" s="4">
        <f>B1147-D1147</f>
        <v/>
      </c>
      <c r="Q1147" s="4">
        <f>AVERAGE(P1144:P1147)</f>
        <v/>
      </c>
      <c r="R1147" s="54">
        <f>(M1148-M1147)/M1147</f>
        <v/>
      </c>
      <c r="S1147" s="54">
        <f>(M1151-M1147)/M1147</f>
        <v/>
      </c>
      <c r="T1147" s="63">
        <f>IF(R1147&gt;0,1,"")</f>
        <v/>
      </c>
      <c r="U1147" s="63">
        <f>IF(S1147&gt;0,1,"")</f>
        <v/>
      </c>
    </row>
    <row r="1148">
      <c r="A1148" s="35" t="n">
        <v>39926</v>
      </c>
      <c r="B1148" s="4" t="n">
        <v>0.3182</v>
      </c>
      <c r="C1148" s="4" t="n">
        <v>0.2955</v>
      </c>
      <c r="D1148" s="4" t="n">
        <v>0.3864</v>
      </c>
      <c r="E1148" s="63" t="n">
        <v>1.0001</v>
      </c>
      <c r="F1148" s="63" t="n">
        <v>0.35635</v>
      </c>
      <c r="G1148" s="63" t="n">
        <v>-0.0682</v>
      </c>
      <c r="H1148" s="63" t="n">
        <v>0.384907436629</v>
      </c>
      <c r="I1148" s="63" t="n">
        <v>0.48829287048</v>
      </c>
      <c r="J1148" s="63" t="n">
        <v>0.281522002778</v>
      </c>
      <c r="K1148" s="63" t="n">
        <v>848.22</v>
      </c>
      <c r="L1148" s="63" t="n">
        <v>835.45</v>
      </c>
      <c r="M1148" s="63" t="n">
        <v>843.55</v>
      </c>
      <c r="N1148" s="54">
        <f>(M1149-M1148)/M1148</f>
        <v/>
      </c>
      <c r="O1148" s="54">
        <f>(M1152-M1148)/M1148</f>
        <v/>
      </c>
      <c r="P1148" s="4">
        <f>B1148-D1148</f>
        <v/>
      </c>
      <c r="Q1148" s="4">
        <f>AVERAGE(P1145:P1148)</f>
        <v/>
      </c>
      <c r="R1148" s="54">
        <f>(M1149-M1148)/M1148</f>
        <v/>
      </c>
      <c r="S1148" s="54">
        <f>(M1152-M1148)/M1148</f>
        <v/>
      </c>
      <c r="T1148" s="63">
        <f>IF(R1148&gt;0,1,"")</f>
        <v/>
      </c>
      <c r="U1148" s="63">
        <f>IF(S1148&gt;0,1,"")</f>
        <v/>
      </c>
    </row>
    <row r="1149">
      <c r="A1149" s="35" t="n">
        <v>39933</v>
      </c>
      <c r="B1149" s="4" t="n">
        <v>0.3609</v>
      </c>
      <c r="C1149" s="4" t="n">
        <v>0.203</v>
      </c>
      <c r="D1149" s="4" t="n">
        <v>0.4361</v>
      </c>
      <c r="E1149" s="63" t="n">
        <v>1</v>
      </c>
      <c r="F1149" s="63" t="n">
        <v>0.3778125</v>
      </c>
      <c r="G1149" s="63" t="n">
        <v>-0.0752</v>
      </c>
      <c r="H1149" s="63" t="n">
        <v>0.384907436629</v>
      </c>
      <c r="I1149" s="63" t="n">
        <v>0.48829287048</v>
      </c>
      <c r="J1149" s="63" t="n">
        <v>0.281522002778</v>
      </c>
      <c r="K1149" s="63" t="n">
        <v>887.47</v>
      </c>
      <c r="L1149" s="63" t="n">
        <v>876.59</v>
      </c>
      <c r="M1149" s="63" t="n">
        <v>873.64</v>
      </c>
      <c r="N1149" s="54">
        <f>(M1150-M1149)/M1149</f>
        <v/>
      </c>
      <c r="O1149" s="54">
        <f>(M1153-M1149)/M1149</f>
        <v/>
      </c>
      <c r="P1149" s="4">
        <f>B1149-D1149</f>
        <v/>
      </c>
      <c r="Q1149" s="4">
        <f>AVERAGE(P1146:P1149)</f>
        <v/>
      </c>
      <c r="R1149" s="54">
        <f>(M1150-M1149)/M1149</f>
        <v/>
      </c>
      <c r="S1149" s="54">
        <f>(M1153-M1149)/M1149</f>
        <v/>
      </c>
      <c r="T1149" s="63">
        <f>IF(R1149&gt;0,1,"")</f>
        <v/>
      </c>
      <c r="U1149" s="63">
        <f>IF(S1149&gt;0,1,"")</f>
        <v/>
      </c>
    </row>
    <row r="1150">
      <c r="A1150" s="35" t="n">
        <v>39940</v>
      </c>
      <c r="B1150" s="4" t="n">
        <v>0.4409</v>
      </c>
      <c r="C1150" s="4" t="n">
        <v>0.2258</v>
      </c>
      <c r="D1150" s="4" t="n">
        <v>0.3333</v>
      </c>
      <c r="E1150" s="63" t="n">
        <v>1</v>
      </c>
      <c r="F1150" s="63" t="n">
        <v>0.398375</v>
      </c>
      <c r="G1150" s="63" t="n">
        <v>0.1076</v>
      </c>
      <c r="H1150" s="63" t="n">
        <v>0.384907436629</v>
      </c>
      <c r="I1150" s="63" t="n">
        <v>0.48829287048</v>
      </c>
      <c r="J1150" s="63" t="n">
        <v>0.281522002778</v>
      </c>
      <c r="K1150" s="63" t="n">
        <v>929.58</v>
      </c>
      <c r="L1150" s="63" t="n">
        <v>919.58</v>
      </c>
      <c r="M1150" s="63" t="n">
        <v>919.53</v>
      </c>
      <c r="N1150" s="54">
        <f>(M1151-M1150)/M1150</f>
        <v/>
      </c>
      <c r="O1150" s="54">
        <f>(M1154-M1150)/M1150</f>
        <v/>
      </c>
      <c r="P1150" s="4">
        <f>B1150-D1150</f>
        <v/>
      </c>
      <c r="Q1150" s="4">
        <f>AVERAGE(P1147:P1150)</f>
        <v/>
      </c>
      <c r="R1150" s="54">
        <f>(M1151-M1150)/M1150</f>
        <v/>
      </c>
      <c r="S1150" s="54">
        <f>(M1154-M1150)/M1150</f>
        <v/>
      </c>
      <c r="T1150" s="63">
        <f>IF(R1150&gt;0,1,"")</f>
        <v/>
      </c>
      <c r="U1150" s="63">
        <f>IF(S1150&gt;0,1,"")</f>
        <v/>
      </c>
    </row>
    <row r="1151">
      <c r="A1151" s="35" t="n">
        <v>39947</v>
      </c>
      <c r="B1151" s="4" t="n">
        <v>0.4381</v>
      </c>
      <c r="C1151" s="4" t="n">
        <v>0.2095</v>
      </c>
      <c r="D1151" s="4" t="n">
        <v>0.3524</v>
      </c>
      <c r="E1151" s="63" t="n">
        <v>1</v>
      </c>
      <c r="F1151" s="63" t="n">
        <v>0.3968125</v>
      </c>
      <c r="G1151" s="63" t="n">
        <v>0.0857</v>
      </c>
      <c r="H1151" s="63" t="n">
        <v>0.384907436629</v>
      </c>
      <c r="I1151" s="63" t="n">
        <v>0.48829287048</v>
      </c>
      <c r="J1151" s="63" t="n">
        <v>0.281522002778</v>
      </c>
      <c r="K1151" s="63" t="n">
        <v>890.1</v>
      </c>
      <c r="L1151" s="63" t="n">
        <v>882.52</v>
      </c>
      <c r="M1151" s="63" t="n">
        <v>883.92</v>
      </c>
      <c r="N1151" s="54">
        <f>(M1152-M1151)/M1151</f>
        <v/>
      </c>
      <c r="O1151" s="54">
        <f>(M1155-M1151)/M1151</f>
        <v/>
      </c>
      <c r="P1151" s="4">
        <f>B1151-D1151</f>
        <v/>
      </c>
      <c r="Q1151" s="4">
        <f>AVERAGE(P1148:P1151)</f>
        <v/>
      </c>
      <c r="R1151" s="54">
        <f>(M1152-M1151)/M1151</f>
        <v/>
      </c>
      <c r="S1151" s="54">
        <f>(M1155-M1151)/M1151</f>
        <v/>
      </c>
      <c r="T1151" s="63">
        <f>IF(R1151&gt;0,1,"")</f>
        <v/>
      </c>
      <c r="U1151" s="63">
        <f>IF(S1151&gt;0,1,"")</f>
        <v/>
      </c>
    </row>
    <row r="1152">
      <c r="A1152" s="35" t="n">
        <v>39954</v>
      </c>
      <c r="B1152" s="4" t="n">
        <v>0.3372</v>
      </c>
      <c r="C1152" s="4" t="n">
        <v>0.2093</v>
      </c>
      <c r="D1152" s="4" t="n">
        <v>0.4535</v>
      </c>
      <c r="E1152" s="63" t="n">
        <v>1</v>
      </c>
      <c r="F1152" s="63" t="n">
        <v>0.39005</v>
      </c>
      <c r="G1152" s="63" t="n">
        <v>-0.1163</v>
      </c>
      <c r="H1152" s="63" t="n">
        <v>0.384907436629</v>
      </c>
      <c r="I1152" s="63" t="n">
        <v>0.48829287048</v>
      </c>
      <c r="J1152" s="63" t="n">
        <v>0.281522002778</v>
      </c>
      <c r="K1152" s="63" t="n">
        <v>900.42</v>
      </c>
      <c r="L1152" s="63" t="n">
        <v>884.0599999999999</v>
      </c>
      <c r="M1152" s="63" t="n">
        <v>903.47</v>
      </c>
      <c r="N1152" s="54">
        <f>(M1153-M1152)/M1152</f>
        <v/>
      </c>
      <c r="O1152" s="54">
        <f>(M1156-M1152)/M1152</f>
        <v/>
      </c>
      <c r="P1152" s="4">
        <f>B1152-D1152</f>
        <v/>
      </c>
      <c r="Q1152" s="4">
        <f>AVERAGE(P1149:P1152)</f>
        <v/>
      </c>
      <c r="R1152" s="54">
        <f>(M1153-M1152)/M1152</f>
        <v/>
      </c>
      <c r="S1152" s="54">
        <f>(M1156-M1152)/M1152</f>
        <v/>
      </c>
      <c r="T1152" s="63">
        <f>IF(R1152&gt;0,1,"")</f>
        <v/>
      </c>
      <c r="U1152" s="63">
        <f>IF(S1152&gt;0,1,"")</f>
        <v/>
      </c>
    </row>
    <row r="1153">
      <c r="A1153" s="35" t="n">
        <v>39961</v>
      </c>
      <c r="B1153" s="4" t="n">
        <v>0.4037</v>
      </c>
      <c r="C1153" s="4" t="n">
        <v>0.1101</v>
      </c>
      <c r="D1153" s="4" t="n">
        <v>0.4862</v>
      </c>
      <c r="E1153" s="63" t="n">
        <v>1</v>
      </c>
      <c r="F1153" s="63" t="n">
        <v>0.3871875</v>
      </c>
      <c r="G1153" s="63" t="n">
        <v>-0.0825</v>
      </c>
      <c r="H1153" s="63" t="n">
        <v>0.384907436629</v>
      </c>
      <c r="I1153" s="63" t="n">
        <v>0.48829287048</v>
      </c>
      <c r="J1153" s="63" t="n">
        <v>0.281522002778</v>
      </c>
      <c r="K1153" s="63" t="n">
        <v>903.0599999999999</v>
      </c>
      <c r="L1153" s="63" t="n">
        <v>887.6</v>
      </c>
      <c r="M1153" s="63" t="n">
        <v>893.0599999999999</v>
      </c>
      <c r="N1153" s="54">
        <f>(M1154-M1153)/M1153</f>
        <v/>
      </c>
      <c r="O1153" s="54">
        <f>(M1157-M1153)/M1153</f>
        <v/>
      </c>
      <c r="P1153" s="4">
        <f>B1153-D1153</f>
        <v/>
      </c>
      <c r="Q1153" s="4">
        <f>AVERAGE(P1150:P1153)</f>
        <v/>
      </c>
      <c r="R1153" s="54">
        <f>(M1154-M1153)/M1153</f>
        <v/>
      </c>
      <c r="S1153" s="54">
        <f>(M1157-M1153)/M1153</f>
        <v/>
      </c>
      <c r="T1153" s="63">
        <f>IF(R1153&gt;0,1,"")</f>
        <v/>
      </c>
      <c r="U1153" s="63">
        <f>IF(S1153&gt;0,1,"")</f>
        <v/>
      </c>
    </row>
    <row r="1154">
      <c r="A1154" s="35" t="n">
        <v>39968</v>
      </c>
      <c r="B1154" s="4" t="n">
        <v>0.4756</v>
      </c>
      <c r="C1154" s="4" t="n">
        <v>0.1585</v>
      </c>
      <c r="D1154" s="4" t="n">
        <v>0.3659</v>
      </c>
      <c r="E1154" s="63" t="n">
        <v>1</v>
      </c>
      <c r="F1154" s="63" t="n">
        <v>0.402</v>
      </c>
      <c r="G1154" s="63" t="n">
        <v>0.1097</v>
      </c>
      <c r="H1154" s="63" t="n">
        <v>0.384907436629</v>
      </c>
      <c r="I1154" s="63" t="n">
        <v>0.48829287048</v>
      </c>
      <c r="J1154" s="63" t="n">
        <v>0.281522002778</v>
      </c>
      <c r="K1154" s="63" t="n">
        <v>936.22</v>
      </c>
      <c r="L1154" s="63" t="n">
        <v>931.29</v>
      </c>
      <c r="M1154" s="63" t="n">
        <v>931.76</v>
      </c>
      <c r="N1154" s="54">
        <f>(M1155-M1154)/M1154</f>
        <v/>
      </c>
      <c r="O1154" s="54">
        <f>(M1158-M1154)/M1154</f>
        <v/>
      </c>
      <c r="P1154" s="4">
        <f>B1154-D1154</f>
        <v/>
      </c>
      <c r="Q1154" s="4">
        <f>AVERAGE(P1151:P1154)</f>
        <v/>
      </c>
      <c r="R1154" s="54">
        <f>(M1155-M1154)/M1154</f>
        <v/>
      </c>
      <c r="S1154" s="54">
        <f>(M1158-M1154)/M1154</f>
        <v/>
      </c>
      <c r="T1154" s="63">
        <f>IF(R1154&gt;0,1,"")</f>
        <v/>
      </c>
      <c r="U1154" s="63">
        <f>IF(S1154&gt;0,1,"")</f>
        <v/>
      </c>
    </row>
    <row r="1155">
      <c r="A1155" s="35" t="n">
        <v>39975</v>
      </c>
      <c r="B1155" s="4" t="n">
        <v>0.3925</v>
      </c>
      <c r="C1155" s="4" t="n">
        <v>0.215</v>
      </c>
      <c r="D1155" s="4" t="n">
        <v>0.3925</v>
      </c>
      <c r="E1155" s="63" t="n">
        <v>1</v>
      </c>
      <c r="F1155" s="63" t="n">
        <v>0.3958875</v>
      </c>
      <c r="G1155" s="63" t="n">
        <v>0</v>
      </c>
      <c r="H1155" s="63" t="n">
        <v>0.384907436629</v>
      </c>
      <c r="I1155" s="63" t="n">
        <v>0.48829287048</v>
      </c>
      <c r="J1155" s="63" t="n">
        <v>0.281522002778</v>
      </c>
      <c r="K1155" s="63" t="n">
        <v>950.13</v>
      </c>
      <c r="L1155" s="63" t="n">
        <v>939.04</v>
      </c>
      <c r="M1155" s="63" t="n">
        <v>939.15</v>
      </c>
      <c r="N1155" s="54">
        <f>(M1156-M1155)/M1155</f>
        <v/>
      </c>
      <c r="O1155" s="54">
        <f>(M1159-M1155)/M1155</f>
        <v/>
      </c>
      <c r="P1155" s="4">
        <f>B1155-D1155</f>
        <v/>
      </c>
      <c r="Q1155" s="4">
        <f>AVERAGE(P1152:P1155)</f>
        <v/>
      </c>
      <c r="R1155" s="54">
        <f>(M1156-M1155)/M1155</f>
        <v/>
      </c>
      <c r="S1155" s="54">
        <f>(M1159-M1155)/M1155</f>
        <v/>
      </c>
      <c r="T1155" s="63">
        <f>IF(R1155&gt;0,1,"")</f>
        <v/>
      </c>
      <c r="U1155" s="63">
        <f>IF(S1155&gt;0,1,"")</f>
        <v/>
      </c>
    </row>
    <row r="1156">
      <c r="A1156" s="35" t="n">
        <v>39982</v>
      </c>
      <c r="B1156" s="4" t="n">
        <v>0.3333</v>
      </c>
      <c r="C1156" s="4" t="n">
        <v>0.2024</v>
      </c>
      <c r="D1156" s="4" t="n">
        <v>0.4643</v>
      </c>
      <c r="E1156" s="63" t="n">
        <v>1</v>
      </c>
      <c r="F1156" s="63" t="n">
        <v>0.397775</v>
      </c>
      <c r="G1156" s="63" t="n">
        <v>-0.131</v>
      </c>
      <c r="H1156" s="63" t="n">
        <v>0.384907436629</v>
      </c>
      <c r="I1156" s="63" t="n">
        <v>0.48829287048</v>
      </c>
      <c r="J1156" s="63" t="n">
        <v>0.281522002778</v>
      </c>
      <c r="K1156" s="63" t="n">
        <v>914.05</v>
      </c>
      <c r="L1156" s="63" t="n">
        <v>907.9400000000001</v>
      </c>
      <c r="M1156" s="63" t="n">
        <v>910.71</v>
      </c>
      <c r="N1156" s="54">
        <f>(M1157-M1156)/M1156</f>
        <v/>
      </c>
      <c r="O1156" s="54">
        <f>(M1160-M1156)/M1156</f>
        <v/>
      </c>
      <c r="P1156" s="4">
        <f>B1156-D1156</f>
        <v/>
      </c>
      <c r="Q1156" s="4">
        <f>AVERAGE(P1153:P1156)</f>
        <v/>
      </c>
      <c r="R1156" s="54">
        <f>(M1157-M1156)/M1156</f>
        <v/>
      </c>
      <c r="S1156" s="54">
        <f>(M1160-M1156)/M1156</f>
        <v/>
      </c>
      <c r="T1156" s="63">
        <f>IF(R1156&gt;0,1,"")</f>
        <v/>
      </c>
      <c r="U1156" s="63">
        <f>IF(S1156&gt;0,1,"")</f>
        <v/>
      </c>
    </row>
    <row r="1157">
      <c r="A1157" s="35" t="n">
        <v>39989</v>
      </c>
      <c r="B1157" s="4" t="n">
        <v>0.28</v>
      </c>
      <c r="C1157" s="4" t="n">
        <v>0.232</v>
      </c>
      <c r="D1157" s="4" t="n">
        <v>0.488</v>
      </c>
      <c r="E1157" s="63" t="n">
        <v>1</v>
      </c>
      <c r="F1157" s="63" t="n">
        <v>0.3876625</v>
      </c>
      <c r="G1157" s="63" t="n">
        <v>-0.208</v>
      </c>
      <c r="H1157" s="63" t="n">
        <v>0.384907436629</v>
      </c>
      <c r="I1157" s="63" t="n">
        <v>0.48829287048</v>
      </c>
      <c r="J1157" s="63" t="n">
        <v>0.281522002778</v>
      </c>
      <c r="K1157" s="63" t="n">
        <v>908.84</v>
      </c>
      <c r="L1157" s="63" t="n">
        <v>896.27</v>
      </c>
      <c r="M1157" s="63" t="n">
        <v>900.9400000000001</v>
      </c>
      <c r="N1157" s="54">
        <f>(M1158-M1157)/M1157</f>
        <v/>
      </c>
      <c r="O1157" s="54">
        <f>(M1161-M1157)/M1157</f>
        <v/>
      </c>
      <c r="P1157" s="4">
        <f>B1157-D1157</f>
        <v/>
      </c>
      <c r="Q1157" s="4">
        <f>AVERAGE(P1154:P1157)</f>
        <v/>
      </c>
      <c r="R1157" s="54">
        <f>(M1158-M1157)/M1157</f>
        <v/>
      </c>
      <c r="S1157" s="54">
        <f>(M1161-M1157)/M1157</f>
        <v/>
      </c>
      <c r="T1157" s="63">
        <f>IF(R1157&gt;0,1,"")</f>
        <v/>
      </c>
      <c r="U1157" s="63">
        <f>IF(S1157&gt;0,1,"")</f>
        <v/>
      </c>
    </row>
    <row r="1158">
      <c r="A1158" s="35" t="n">
        <v>39996</v>
      </c>
      <c r="B1158" s="4" t="n">
        <v>0.3784</v>
      </c>
      <c r="C1158" s="4" t="n">
        <v>0.1757</v>
      </c>
      <c r="D1158" s="4" t="n">
        <v>0.4459</v>
      </c>
      <c r="E1158" s="63" t="n">
        <v>1</v>
      </c>
      <c r="F1158" s="63" t="n">
        <v>0.37985</v>
      </c>
      <c r="G1158" s="63" t="n">
        <v>-0.0675</v>
      </c>
      <c r="H1158" s="63" t="n">
        <v>0.384907436629</v>
      </c>
      <c r="I1158" s="63" t="n">
        <v>0.48829287048</v>
      </c>
      <c r="J1158" s="63" t="n">
        <v>0.281522002778</v>
      </c>
      <c r="K1158" s="63" t="n">
        <v>921.24</v>
      </c>
      <c r="L1158" s="63" t="n">
        <v>903.22</v>
      </c>
      <c r="M1158" s="63" t="n">
        <v>923.33</v>
      </c>
      <c r="N1158" s="54">
        <f>(M1159-M1158)/M1158</f>
        <v/>
      </c>
      <c r="O1158" s="54">
        <f>(M1162-M1158)/M1158</f>
        <v/>
      </c>
      <c r="P1158" s="4">
        <f>B1158-D1158</f>
        <v/>
      </c>
      <c r="Q1158" s="4">
        <f>AVERAGE(P1155:P1158)</f>
        <v/>
      </c>
      <c r="R1158" s="54">
        <f>(M1159-M1158)/M1158</f>
        <v/>
      </c>
      <c r="S1158" s="54">
        <f>(M1162-M1158)/M1158</f>
        <v/>
      </c>
      <c r="T1158" s="63">
        <f>IF(R1158&gt;0,1,"")</f>
        <v/>
      </c>
      <c r="U1158" s="63">
        <f>IF(S1158&gt;0,1,"")</f>
        <v/>
      </c>
    </row>
    <row r="1159">
      <c r="A1159" s="35" t="n">
        <v>40003</v>
      </c>
      <c r="B1159" s="4" t="n">
        <v>0.2791</v>
      </c>
      <c r="C1159" s="4" t="n">
        <v>0.1744</v>
      </c>
      <c r="D1159" s="4" t="n">
        <v>0.5465</v>
      </c>
      <c r="E1159" s="63" t="n">
        <v>1</v>
      </c>
      <c r="F1159" s="63" t="n">
        <v>0.359975</v>
      </c>
      <c r="G1159" s="63" t="n">
        <v>-0.2674</v>
      </c>
      <c r="H1159" s="63" t="n">
        <v>0.384907436629</v>
      </c>
      <c r="I1159" s="63" t="n">
        <v>0.48829287048</v>
      </c>
      <c r="J1159" s="63" t="n">
        <v>0.281522002778</v>
      </c>
      <c r="K1159" s="63" t="n">
        <v>886.01</v>
      </c>
      <c r="L1159" s="63" t="n">
        <v>879.35</v>
      </c>
      <c r="M1159" s="63" t="n">
        <v>879.5599999999999</v>
      </c>
      <c r="N1159" s="54">
        <f>(M1160-M1159)/M1159</f>
        <v/>
      </c>
      <c r="O1159" s="54">
        <f>(M1163-M1159)/M1159</f>
        <v/>
      </c>
      <c r="P1159" s="4">
        <f>B1159-D1159</f>
        <v/>
      </c>
      <c r="Q1159" s="4">
        <f>AVERAGE(P1156:P1159)</f>
        <v/>
      </c>
      <c r="R1159" s="54">
        <f>(M1160-M1159)/M1159</f>
        <v/>
      </c>
      <c r="S1159" s="54">
        <f>(M1163-M1159)/M1159</f>
        <v/>
      </c>
      <c r="T1159" s="63">
        <f>IF(R1159&gt;0,1,"")</f>
        <v/>
      </c>
      <c r="U1159" s="63">
        <f>IF(S1159&gt;0,1,"")</f>
        <v/>
      </c>
    </row>
    <row r="1160">
      <c r="A1160" s="35" t="n">
        <v>40010</v>
      </c>
      <c r="B1160" s="4" t="n">
        <v>0.2868</v>
      </c>
      <c r="C1160" s="4" t="n">
        <v>0.2426</v>
      </c>
      <c r="D1160" s="4" t="n">
        <v>0.4706</v>
      </c>
      <c r="E1160" s="63" t="n">
        <v>1</v>
      </c>
      <c r="F1160" s="63" t="n">
        <v>0.353675</v>
      </c>
      <c r="G1160" s="63" t="n">
        <v>-0.1838</v>
      </c>
      <c r="H1160" s="63" t="n">
        <v>0.384907436629</v>
      </c>
      <c r="I1160" s="63" t="n">
        <v>0.48829287048</v>
      </c>
      <c r="J1160" s="63" t="n">
        <v>0.281522002778</v>
      </c>
      <c r="K1160" s="63" t="n">
        <v>934.3099999999999</v>
      </c>
      <c r="L1160" s="63" t="n">
        <v>928.04</v>
      </c>
      <c r="M1160" s="63" t="n">
        <v>932.6799999999999</v>
      </c>
      <c r="N1160" s="54">
        <f>(M1161-M1160)/M1160</f>
        <v/>
      </c>
      <c r="O1160" s="54">
        <f>(M1164-M1160)/M1160</f>
        <v/>
      </c>
      <c r="P1160" s="4">
        <f>B1160-D1160</f>
        <v/>
      </c>
      <c r="Q1160" s="4">
        <f>AVERAGE(P1157:P1160)</f>
        <v/>
      </c>
      <c r="R1160" s="54">
        <f>(M1161-M1160)/M1160</f>
        <v/>
      </c>
      <c r="S1160" s="54">
        <f>(M1164-M1160)/M1160</f>
        <v/>
      </c>
      <c r="T1160" s="63">
        <f>IF(R1160&gt;0,1,"")</f>
        <v/>
      </c>
      <c r="U1160" s="63">
        <f>IF(S1160&gt;0,1,"")</f>
        <v/>
      </c>
    </row>
    <row r="1161">
      <c r="A1161" s="35" t="n">
        <v>40017</v>
      </c>
      <c r="B1161" s="4" t="n">
        <v>0.376</v>
      </c>
      <c r="C1161" s="4" t="n">
        <v>0.2</v>
      </c>
      <c r="D1161" s="4" t="n">
        <v>0.424</v>
      </c>
      <c r="E1161" s="63" t="n">
        <v>1</v>
      </c>
      <c r="F1161" s="63" t="n">
        <v>0.3502125</v>
      </c>
      <c r="G1161" s="63" t="n">
        <v>-0.048</v>
      </c>
      <c r="H1161" s="63" t="n">
        <v>0.384907436629</v>
      </c>
      <c r="I1161" s="63" t="n">
        <v>0.48829287048</v>
      </c>
      <c r="J1161" s="63" t="n">
        <v>0.281522002778</v>
      </c>
      <c r="K1161" s="63" t="n">
        <v>962.37</v>
      </c>
      <c r="L1161" s="63" t="n">
        <v>953.27</v>
      </c>
      <c r="M1161" s="63" t="n">
        <v>954.0700000000001</v>
      </c>
      <c r="N1161" s="54">
        <f>(M1162-M1161)/M1161</f>
        <v/>
      </c>
      <c r="O1161" s="54">
        <f>(M1165-M1161)/M1161</f>
        <v/>
      </c>
      <c r="P1161" s="4">
        <f>B1161-D1161</f>
        <v/>
      </c>
      <c r="Q1161" s="4">
        <f>AVERAGE(P1158:P1161)</f>
        <v/>
      </c>
      <c r="R1161" s="54">
        <f>(M1162-M1161)/M1161</f>
        <v/>
      </c>
      <c r="S1161" s="54">
        <f>(M1165-M1161)/M1161</f>
        <v/>
      </c>
      <c r="T1161" s="63">
        <f>IF(R1161&gt;0,1,"")</f>
        <v/>
      </c>
      <c r="U1161" s="63">
        <f>IF(S1161&gt;0,1,"")</f>
        <v/>
      </c>
    </row>
    <row r="1162">
      <c r="A1162" s="35" t="n">
        <v>40024</v>
      </c>
      <c r="B1162" s="4" t="n">
        <v>0.4767</v>
      </c>
      <c r="C1162" s="4" t="n">
        <v>0.2093</v>
      </c>
      <c r="D1162" s="4" t="n">
        <v>0.314</v>
      </c>
      <c r="E1162" s="63" t="n">
        <v>1</v>
      </c>
      <c r="F1162" s="63" t="n">
        <v>0.35035</v>
      </c>
      <c r="G1162" s="63" t="n">
        <v>0.1627</v>
      </c>
      <c r="H1162" s="63" t="n">
        <v>0.384907436629</v>
      </c>
      <c r="I1162" s="63" t="n">
        <v>0.48829287048</v>
      </c>
      <c r="J1162" s="63" t="n">
        <v>0.281522002778</v>
      </c>
      <c r="K1162" s="63" t="n">
        <v>994.95</v>
      </c>
      <c r="L1162" s="63" t="n">
        <v>976.01</v>
      </c>
      <c r="M1162" s="63" t="n">
        <v>975.15</v>
      </c>
      <c r="N1162" s="54">
        <f>(M1163-M1162)/M1162</f>
        <v/>
      </c>
      <c r="O1162" s="54">
        <f>(M1166-M1162)/M1162</f>
        <v/>
      </c>
      <c r="P1162" s="4">
        <f>B1162-D1162</f>
        <v/>
      </c>
      <c r="Q1162" s="4">
        <f>AVERAGE(P1159:P1162)</f>
        <v/>
      </c>
      <c r="R1162" s="54">
        <f>(M1163-M1162)/M1162</f>
        <v/>
      </c>
      <c r="S1162" s="54">
        <f>(M1166-M1162)/M1162</f>
        <v/>
      </c>
      <c r="T1162" s="63">
        <f>IF(R1162&gt;0,1,"")</f>
        <v/>
      </c>
      <c r="U1162" s="63">
        <f>IF(S1162&gt;0,1,"")</f>
        <v/>
      </c>
    </row>
    <row r="1163">
      <c r="A1163" s="35" t="n">
        <v>40031</v>
      </c>
      <c r="B1163" s="4" t="n">
        <v>0.5</v>
      </c>
      <c r="C1163" s="4" t="n">
        <v>0.1484</v>
      </c>
      <c r="D1163" s="4" t="n">
        <v>0.3516</v>
      </c>
      <c r="E1163" s="63" t="n">
        <v>1</v>
      </c>
      <c r="F1163" s="63" t="n">
        <v>0.3637875</v>
      </c>
      <c r="G1163" s="63" t="n">
        <v>0.1484</v>
      </c>
      <c r="H1163" s="63" t="n">
        <v>0.384907436629</v>
      </c>
      <c r="I1163" s="63" t="n">
        <v>0.48829287048</v>
      </c>
      <c r="J1163" s="63" t="n">
        <v>0.281522002778</v>
      </c>
      <c r="K1163" s="63" t="n">
        <v>1008</v>
      </c>
      <c r="L1163" s="63" t="n">
        <v>997.59</v>
      </c>
      <c r="M1163" s="63" t="n">
        <v>1002.72</v>
      </c>
      <c r="N1163" s="54">
        <f>(M1164-M1163)/M1163</f>
        <v/>
      </c>
      <c r="O1163" s="54">
        <f>(M1167-M1163)/M1163</f>
        <v/>
      </c>
      <c r="P1163" s="4">
        <f>B1163-D1163</f>
        <v/>
      </c>
      <c r="Q1163" s="4">
        <f>AVERAGE(P1160:P1163)</f>
        <v/>
      </c>
      <c r="R1163" s="54">
        <f>(M1164-M1163)/M1163</f>
        <v/>
      </c>
      <c r="S1163" s="54">
        <f>(M1167-M1163)/M1163</f>
        <v/>
      </c>
      <c r="T1163" s="63">
        <f>IF(R1163&gt;0,1,"")</f>
        <v/>
      </c>
      <c r="U1163" s="63">
        <f>IF(S1163&gt;0,1,"")</f>
        <v/>
      </c>
    </row>
    <row r="1164">
      <c r="A1164" s="35" t="n">
        <v>40038</v>
      </c>
      <c r="B1164" s="4" t="n">
        <v>0.51</v>
      </c>
      <c r="C1164" s="4" t="n">
        <v>0.16</v>
      </c>
      <c r="D1164" s="4" t="n">
        <v>0.33</v>
      </c>
      <c r="E1164" s="63" t="n">
        <v>1</v>
      </c>
      <c r="F1164" s="63" t="n">
        <v>0.385875</v>
      </c>
      <c r="G1164" s="63" t="n">
        <v>0.18</v>
      </c>
      <c r="H1164" s="63" t="n">
        <v>0.384907436629</v>
      </c>
      <c r="I1164" s="63" t="n">
        <v>0.48829287048</v>
      </c>
      <c r="J1164" s="63" t="n">
        <v>0.281522002778</v>
      </c>
      <c r="K1164" s="63" t="n">
        <v>1009.54</v>
      </c>
      <c r="L1164" s="63" t="n">
        <v>1000.82</v>
      </c>
      <c r="M1164" s="63" t="n">
        <v>1005.81</v>
      </c>
      <c r="N1164" s="54">
        <f>(M1165-M1164)/M1164</f>
        <v/>
      </c>
      <c r="O1164" s="54">
        <f>(M1168-M1164)/M1164</f>
        <v/>
      </c>
      <c r="P1164" s="4">
        <f>B1164-D1164</f>
        <v/>
      </c>
      <c r="Q1164" s="4">
        <f>AVERAGE(P1161:P1164)</f>
        <v/>
      </c>
      <c r="R1164" s="54">
        <f>(M1165-M1164)/M1164</f>
        <v/>
      </c>
      <c r="S1164" s="54">
        <f>(M1168-M1164)/M1164</f>
        <v/>
      </c>
      <c r="T1164" s="63">
        <f>IF(R1164&gt;0,1,"")</f>
        <v/>
      </c>
      <c r="U1164" s="63">
        <f>IF(S1164&gt;0,1,"")</f>
        <v/>
      </c>
    </row>
    <row r="1165">
      <c r="A1165" s="35" t="n">
        <v>40045</v>
      </c>
      <c r="B1165" s="4" t="n">
        <v>0.3407</v>
      </c>
      <c r="C1165" s="4" t="n">
        <v>0.2593</v>
      </c>
      <c r="D1165" s="4" t="n">
        <v>0.4</v>
      </c>
      <c r="E1165" s="63" t="n">
        <v>1</v>
      </c>
      <c r="F1165" s="63" t="n">
        <v>0.3934625</v>
      </c>
      <c r="G1165" s="63" t="n">
        <v>-0.0593</v>
      </c>
      <c r="H1165" s="63" t="n">
        <v>0.384907436629</v>
      </c>
      <c r="I1165" s="63" t="n">
        <v>0.48829287048</v>
      </c>
      <c r="J1165" s="63" t="n">
        <v>0.281522002778</v>
      </c>
      <c r="K1165" s="63" t="n">
        <v>1004.08</v>
      </c>
      <c r="L1165" s="63" t="n">
        <v>996.39</v>
      </c>
      <c r="M1165" s="63" t="n">
        <v>996.46</v>
      </c>
      <c r="N1165" s="54">
        <f>(M1166-M1165)/M1165</f>
        <v/>
      </c>
      <c r="O1165" s="54">
        <f>(M1169-M1165)/M1165</f>
        <v/>
      </c>
      <c r="P1165" s="4">
        <f>B1165-D1165</f>
        <v/>
      </c>
      <c r="Q1165" s="4">
        <f>AVERAGE(P1162:P1165)</f>
        <v/>
      </c>
      <c r="R1165" s="54">
        <f>(M1166-M1165)/M1165</f>
        <v/>
      </c>
      <c r="S1165" s="54">
        <f>(M1169-M1165)/M1165</f>
        <v/>
      </c>
      <c r="T1165" s="63">
        <f>IF(R1165&gt;0,1,"")</f>
        <v/>
      </c>
      <c r="U1165" s="63">
        <f>IF(S1165&gt;0,1,"")</f>
        <v/>
      </c>
    </row>
    <row r="1166">
      <c r="A1166" s="35" t="n">
        <v>40052</v>
      </c>
      <c r="B1166" s="4" t="n">
        <v>0.3398</v>
      </c>
      <c r="C1166" s="4" t="n">
        <v>0.1748</v>
      </c>
      <c r="D1166" s="4" t="n">
        <v>0.4854</v>
      </c>
      <c r="E1166" s="63" t="n">
        <v>1</v>
      </c>
      <c r="F1166" s="63" t="n">
        <v>0.3886375</v>
      </c>
      <c r="G1166" s="63" t="n">
        <v>-0.1456</v>
      </c>
      <c r="H1166" s="63" t="n">
        <v>0.384907436629</v>
      </c>
      <c r="I1166" s="63" t="n">
        <v>0.48829287048</v>
      </c>
      <c r="J1166" s="63" t="n">
        <v>0.281522002778</v>
      </c>
      <c r="K1166" s="63" t="n">
        <v>1027.81</v>
      </c>
      <c r="L1166" s="63" t="n">
        <v>1016.83</v>
      </c>
      <c r="M1166" s="63" t="n">
        <v>1028.12</v>
      </c>
      <c r="N1166" s="54">
        <f>(M1167-M1166)/M1166</f>
        <v/>
      </c>
      <c r="O1166" s="54">
        <f>(M1170-M1166)/M1166</f>
        <v/>
      </c>
      <c r="P1166" s="4">
        <f>B1166-D1166</f>
        <v/>
      </c>
      <c r="Q1166" s="4">
        <f>AVERAGE(P1163:P1166)</f>
        <v/>
      </c>
      <c r="R1166" s="54">
        <f>(M1167-M1166)/M1166</f>
        <v/>
      </c>
      <c r="S1166" s="54">
        <f>(M1170-M1166)/M1166</f>
        <v/>
      </c>
      <c r="T1166" s="63">
        <f>IF(R1166&gt;0,1,"")</f>
        <v/>
      </c>
      <c r="U1166" s="63">
        <f>IF(S1166&gt;0,1,"")</f>
        <v/>
      </c>
    </row>
    <row r="1167">
      <c r="A1167" s="35" t="n">
        <v>40059</v>
      </c>
      <c r="B1167" s="4" t="n">
        <v>0.3797</v>
      </c>
      <c r="C1167" s="4" t="n">
        <v>0.2405</v>
      </c>
      <c r="D1167" s="4" t="n">
        <v>0.3797</v>
      </c>
      <c r="E1167" s="63" t="n">
        <v>0.9999</v>
      </c>
      <c r="F1167" s="63" t="n">
        <v>0.4012125</v>
      </c>
      <c r="G1167" s="63" t="n">
        <v>0</v>
      </c>
      <c r="H1167" s="63" t="n">
        <v>0.384907436629</v>
      </c>
      <c r="I1167" s="63" t="n">
        <v>0.48829287048</v>
      </c>
      <c r="J1167" s="63" t="n">
        <v>0.281522002778</v>
      </c>
      <c r="K1167" s="63" t="n">
        <v>1001.46</v>
      </c>
      <c r="L1167" s="63" t="n">
        <v>996.12</v>
      </c>
      <c r="M1167" s="63" t="n">
        <v>994.75</v>
      </c>
      <c r="N1167" s="54">
        <f>(M1168-M1167)/M1167</f>
        <v/>
      </c>
      <c r="O1167" s="54">
        <f>(M1171-M1167)/M1167</f>
        <v/>
      </c>
      <c r="P1167" s="4">
        <f>B1167-D1167</f>
        <v/>
      </c>
      <c r="Q1167" s="4">
        <f>AVERAGE(P1164:P1167)</f>
        <v/>
      </c>
      <c r="R1167" s="54">
        <f>(M1168-M1167)/M1167</f>
        <v/>
      </c>
      <c r="S1167" s="54">
        <f>(M1171-M1167)/M1167</f>
        <v/>
      </c>
      <c r="T1167" s="63">
        <f>IF(R1167&gt;0,1,"")</f>
        <v/>
      </c>
      <c r="U1167" s="63">
        <f>IF(S1167&gt;0,1,"")</f>
        <v/>
      </c>
    </row>
    <row r="1168">
      <c r="A1168" s="35" t="n">
        <v>40066</v>
      </c>
      <c r="B1168" s="4" t="n">
        <v>0.3733</v>
      </c>
      <c r="C1168" s="4" t="n">
        <v>0.1867</v>
      </c>
      <c r="D1168" s="4" t="n">
        <v>0.44</v>
      </c>
      <c r="E1168" s="63" t="n">
        <v>1</v>
      </c>
      <c r="F1168" s="63" t="n">
        <v>0.412025</v>
      </c>
      <c r="G1168" s="63" t="n">
        <v>-0.0667</v>
      </c>
      <c r="H1168" s="63" t="n">
        <v>0.384907436629</v>
      </c>
      <c r="I1168" s="63" t="n">
        <v>0.48829287048</v>
      </c>
      <c r="J1168" s="63" t="n">
        <v>0.281522002778</v>
      </c>
      <c r="K1168" s="63" t="n">
        <v>1033.94</v>
      </c>
      <c r="L1168" s="63" t="n">
        <v>1028.04</v>
      </c>
      <c r="M1168" s="63" t="n">
        <v>1033.37</v>
      </c>
      <c r="N1168" s="54">
        <f>(M1169-M1168)/M1168</f>
        <v/>
      </c>
      <c r="O1168" s="54">
        <f>(M1172-M1168)/M1168</f>
        <v/>
      </c>
      <c r="P1168" s="4">
        <f>B1168-D1168</f>
        <v/>
      </c>
      <c r="Q1168" s="4">
        <f>AVERAGE(P1165:P1168)</f>
        <v/>
      </c>
      <c r="R1168" s="54">
        <f>(M1169-M1168)/M1168</f>
        <v/>
      </c>
      <c r="S1168" s="54">
        <f>(M1172-M1168)/M1168</f>
        <v/>
      </c>
      <c r="T1168" s="63">
        <f>IF(R1168&gt;0,1,"")</f>
        <v/>
      </c>
      <c r="U1168" s="63">
        <f>IF(S1168&gt;0,1,"")</f>
        <v/>
      </c>
    </row>
    <row r="1169">
      <c r="A1169" s="35" t="n">
        <v>40073</v>
      </c>
      <c r="B1169" s="4" t="n">
        <v>0.4214</v>
      </c>
      <c r="C1169" s="4" t="n">
        <v>0.1786</v>
      </c>
      <c r="D1169" s="4" t="n">
        <v>0.4</v>
      </c>
      <c r="E1169" s="63" t="n">
        <v>1</v>
      </c>
      <c r="F1169" s="63" t="n">
        <v>0.4177</v>
      </c>
      <c r="G1169" s="63" t="n">
        <v>0.0214</v>
      </c>
      <c r="H1169" s="63" t="n">
        <v>0.384907436629</v>
      </c>
      <c r="I1169" s="63" t="n">
        <v>0.48829287048</v>
      </c>
      <c r="J1169" s="63" t="n">
        <v>0.281522002778</v>
      </c>
      <c r="K1169" s="63" t="n">
        <v>1074.77</v>
      </c>
      <c r="L1169" s="63" t="n">
        <v>1066.93</v>
      </c>
      <c r="M1169" s="63" t="n">
        <v>1068.76</v>
      </c>
      <c r="N1169" s="54">
        <f>(M1170-M1169)/M1169</f>
        <v/>
      </c>
      <c r="O1169" s="54">
        <f>(M1173-M1169)/M1169</f>
        <v/>
      </c>
      <c r="P1169" s="4">
        <f>B1169-D1169</f>
        <v/>
      </c>
      <c r="Q1169" s="4">
        <f>AVERAGE(P1166:P1169)</f>
        <v/>
      </c>
      <c r="R1169" s="54">
        <f>(M1170-M1169)/M1169</f>
        <v/>
      </c>
      <c r="S1169" s="54">
        <f>(M1173-M1169)/M1169</f>
        <v/>
      </c>
      <c r="T1169" s="63">
        <f>IF(R1169&gt;0,1,"")</f>
        <v/>
      </c>
      <c r="U1169" s="63">
        <f>IF(S1169&gt;0,1,"")</f>
        <v/>
      </c>
    </row>
    <row r="1170">
      <c r="A1170" s="35" t="n">
        <v>40080</v>
      </c>
      <c r="B1170" s="4" t="n">
        <v>0.3909</v>
      </c>
      <c r="C1170" s="4" t="n">
        <v>0.1636</v>
      </c>
      <c r="D1170" s="4" t="n">
        <v>0.4455</v>
      </c>
      <c r="E1170" s="63" t="n">
        <v>1</v>
      </c>
      <c r="F1170" s="63" t="n">
        <v>0.406975</v>
      </c>
      <c r="G1170" s="63" t="n">
        <v>-0.0546</v>
      </c>
      <c r="H1170" s="63" t="n">
        <v>0.384907436629</v>
      </c>
      <c r="I1170" s="63" t="n">
        <v>0.48829287048</v>
      </c>
      <c r="J1170" s="63" t="n">
        <v>0.281522002778</v>
      </c>
      <c r="K1170" s="63" t="n">
        <v>1066.29</v>
      </c>
      <c r="L1170" s="63" t="n">
        <v>1051.04</v>
      </c>
      <c r="M1170" s="63" t="n">
        <v>1060.87</v>
      </c>
      <c r="N1170" s="54">
        <f>(M1171-M1170)/M1170</f>
        <v/>
      </c>
      <c r="O1170" s="54">
        <f>(M1174-M1170)/M1170</f>
        <v/>
      </c>
      <c r="P1170" s="4">
        <f>B1170-D1170</f>
        <v/>
      </c>
      <c r="Q1170" s="4">
        <f>AVERAGE(P1167:P1170)</f>
        <v/>
      </c>
      <c r="R1170" s="54">
        <f>(M1171-M1170)/M1170</f>
        <v/>
      </c>
      <c r="S1170" s="54">
        <f>(M1174-M1170)/M1170</f>
        <v/>
      </c>
      <c r="T1170" s="63">
        <f>IF(R1170&gt;0,1,"")</f>
        <v/>
      </c>
      <c r="U1170" s="63">
        <f>IF(S1170&gt;0,1,"")</f>
        <v/>
      </c>
    </row>
    <row r="1171">
      <c r="A1171" s="35" t="n">
        <v>40087</v>
      </c>
      <c r="B1171" s="4" t="n">
        <v>0.4355</v>
      </c>
      <c r="C1171" s="4" t="n">
        <v>0.2097</v>
      </c>
      <c r="D1171" s="4" t="n">
        <v>0.3548</v>
      </c>
      <c r="E1171" s="63" t="n">
        <v>1</v>
      </c>
      <c r="F1171" s="63" t="n">
        <v>0.3989125</v>
      </c>
      <c r="G1171" s="63" t="n">
        <v>0.08069999999999999</v>
      </c>
      <c r="H1171" s="63" t="n">
        <v>0.384907436629</v>
      </c>
      <c r="I1171" s="63" t="n">
        <v>0.48829287048</v>
      </c>
      <c r="J1171" s="63" t="n">
        <v>0.281522002778</v>
      </c>
      <c r="K1171" s="63" t="n">
        <v>1054.91</v>
      </c>
      <c r="L1171" s="63" t="n">
        <v>1043.65</v>
      </c>
      <c r="M1171" s="63" t="n">
        <v>1057.08</v>
      </c>
      <c r="N1171" s="54">
        <f>(M1172-M1171)/M1171</f>
        <v/>
      </c>
      <c r="O1171" s="54">
        <f>(M1175-M1171)/M1171</f>
        <v/>
      </c>
      <c r="P1171" s="4">
        <f>B1171-D1171</f>
        <v/>
      </c>
      <c r="Q1171" s="4">
        <f>AVERAGE(P1168:P1171)</f>
        <v/>
      </c>
      <c r="R1171" s="54">
        <f>(M1172-M1171)/M1171</f>
        <v/>
      </c>
      <c r="S1171" s="54">
        <f>(M1175-M1171)/M1171</f>
        <v/>
      </c>
      <c r="T1171" s="63">
        <f>IF(R1171&gt;0,1,"")</f>
        <v/>
      </c>
      <c r="U1171" s="63">
        <f>IF(S1171&gt;0,1,"")</f>
        <v/>
      </c>
    </row>
    <row r="1172">
      <c r="A1172" s="35" t="n">
        <v>40094</v>
      </c>
      <c r="B1172" s="4" t="n">
        <v>0.3509</v>
      </c>
      <c r="C1172" s="4" t="n">
        <v>0.2368</v>
      </c>
      <c r="D1172" s="4" t="n">
        <v>0.4123</v>
      </c>
      <c r="E1172" s="63" t="n">
        <v>1</v>
      </c>
      <c r="F1172" s="63" t="n">
        <v>0.379025</v>
      </c>
      <c r="G1172" s="63" t="n">
        <v>-0.0614</v>
      </c>
      <c r="H1172" s="63" t="n">
        <v>0.384907436629</v>
      </c>
      <c r="I1172" s="63" t="n">
        <v>0.48829287048</v>
      </c>
      <c r="J1172" s="63" t="n">
        <v>0.281522002778</v>
      </c>
      <c r="K1172" s="63" t="n">
        <v>1066.86</v>
      </c>
      <c r="L1172" s="63" t="n">
        <v>1060.03</v>
      </c>
      <c r="M1172" s="63" t="n">
        <v>1057.58</v>
      </c>
      <c r="N1172" s="54">
        <f>(M1173-M1172)/M1172</f>
        <v/>
      </c>
      <c r="O1172" s="54">
        <f>(M1176-M1172)/M1172</f>
        <v/>
      </c>
      <c r="P1172" s="4">
        <f>B1172-D1172</f>
        <v/>
      </c>
      <c r="Q1172" s="4">
        <f>AVERAGE(P1169:P1172)</f>
        <v/>
      </c>
      <c r="R1172" s="54">
        <f>(M1173-M1172)/M1172</f>
        <v/>
      </c>
      <c r="S1172" s="54">
        <f>(M1176-M1172)/M1172</f>
        <v/>
      </c>
      <c r="T1172" s="63">
        <f>IF(R1172&gt;0,1,"")</f>
        <v/>
      </c>
      <c r="U1172" s="63">
        <f>IF(S1172&gt;0,1,"")</f>
        <v/>
      </c>
    </row>
    <row r="1173">
      <c r="A1173" s="35" t="n">
        <v>40101</v>
      </c>
      <c r="B1173" s="4" t="n">
        <v>0.473</v>
      </c>
      <c r="C1173" s="4" t="n">
        <v>0.1892</v>
      </c>
      <c r="D1173" s="4" t="n">
        <v>0.3378</v>
      </c>
      <c r="E1173" s="63" t="n">
        <v>1</v>
      </c>
      <c r="F1173" s="63" t="n">
        <v>0.3955625</v>
      </c>
      <c r="G1173" s="63" t="n">
        <v>0.1352</v>
      </c>
      <c r="H1173" s="63" t="n">
        <v>0.384907436629</v>
      </c>
      <c r="I1173" s="63" t="n">
        <v>0.48829287048</v>
      </c>
      <c r="J1173" s="63" t="n">
        <v>0.281522002778</v>
      </c>
      <c r="K1173" s="63" t="n">
        <v>1090.89</v>
      </c>
      <c r="L1173" s="63" t="n">
        <v>1086.88</v>
      </c>
      <c r="M1173" s="63" t="n">
        <v>1092.02</v>
      </c>
      <c r="N1173" s="54">
        <f>(M1174-M1173)/M1173</f>
        <v/>
      </c>
      <c r="O1173" s="54">
        <f>(M1177-M1173)/M1173</f>
        <v/>
      </c>
      <c r="P1173" s="4">
        <f>B1173-D1173</f>
        <v/>
      </c>
      <c r="Q1173" s="4">
        <f>AVERAGE(P1170:P1173)</f>
        <v/>
      </c>
      <c r="R1173" s="54">
        <f>(M1174-M1173)/M1173</f>
        <v/>
      </c>
      <c r="S1173" s="54">
        <f>(M1177-M1173)/M1173</f>
        <v/>
      </c>
      <c r="T1173" s="63">
        <f>IF(R1173&gt;0,1,"")</f>
        <v/>
      </c>
      <c r="U1173" s="63">
        <f>IF(S1173&gt;0,1,"")</f>
        <v/>
      </c>
    </row>
    <row r="1174">
      <c r="A1174" s="35" t="n">
        <v>40108</v>
      </c>
      <c r="B1174" s="4" t="n">
        <v>0.4048</v>
      </c>
      <c r="C1174" s="4" t="n">
        <v>0.2381</v>
      </c>
      <c r="D1174" s="4" t="n">
        <v>0.3571</v>
      </c>
      <c r="E1174" s="63" t="n">
        <v>1</v>
      </c>
      <c r="F1174" s="63" t="n">
        <v>0.4036875</v>
      </c>
      <c r="G1174" s="63" t="n">
        <v>0.0477</v>
      </c>
      <c r="H1174" s="63" t="n">
        <v>0.384907436629</v>
      </c>
      <c r="I1174" s="63" t="n">
        <v>0.48829287048</v>
      </c>
      <c r="J1174" s="63" t="n">
        <v>0.281522002778</v>
      </c>
      <c r="K1174" s="63" t="n">
        <v>1101.36</v>
      </c>
      <c r="L1174" s="63" t="n">
        <v>1080.77</v>
      </c>
      <c r="M1174" s="63" t="n">
        <v>1081.4</v>
      </c>
      <c r="N1174" s="54">
        <f>(M1175-M1174)/M1174</f>
        <v/>
      </c>
      <c r="O1174" s="54">
        <f>(M1178-M1174)/M1174</f>
        <v/>
      </c>
      <c r="P1174" s="4">
        <f>B1174-D1174</f>
        <v/>
      </c>
      <c r="Q1174" s="4">
        <f>AVERAGE(P1171:P1174)</f>
        <v/>
      </c>
      <c r="R1174" s="54">
        <f>(M1175-M1174)/M1174</f>
        <v/>
      </c>
      <c r="S1174" s="54">
        <f>(M1178-M1174)/M1174</f>
        <v/>
      </c>
      <c r="T1174" s="63">
        <f>IF(R1174&gt;0,1,"")</f>
        <v/>
      </c>
      <c r="U1174" s="63">
        <f>IF(S1174&gt;0,1,"")</f>
        <v/>
      </c>
    </row>
    <row r="1175">
      <c r="A1175" s="35" t="n">
        <v>40115</v>
      </c>
      <c r="B1175" s="4" t="n">
        <v>0.3365</v>
      </c>
      <c r="C1175" s="4" t="n">
        <v>0.2404</v>
      </c>
      <c r="D1175" s="4" t="n">
        <v>0.4231</v>
      </c>
      <c r="E1175" s="63" t="n">
        <v>1</v>
      </c>
      <c r="F1175" s="63" t="n">
        <v>0.3982875</v>
      </c>
      <c r="G1175" s="63" t="n">
        <v>-0.0866</v>
      </c>
      <c r="H1175" s="63" t="n">
        <v>0.384907436629</v>
      </c>
      <c r="I1175" s="63" t="n">
        <v>0.48829287048</v>
      </c>
      <c r="J1175" s="63" t="n">
        <v>0.281522002778</v>
      </c>
      <c r="K1175" s="63" t="n">
        <v>1056.01</v>
      </c>
      <c r="L1175" s="63" t="n">
        <v>1043.69</v>
      </c>
      <c r="M1175" s="63" t="n">
        <v>1042.63</v>
      </c>
      <c r="N1175" s="54">
        <f>(M1176-M1175)/M1175</f>
        <v/>
      </c>
      <c r="O1175" s="54">
        <f>(M1179-M1175)/M1175</f>
        <v/>
      </c>
      <c r="P1175" s="4">
        <f>B1175-D1175</f>
        <v/>
      </c>
      <c r="Q1175" s="4">
        <f>AVERAGE(P1172:P1175)</f>
        <v/>
      </c>
      <c r="R1175" s="54">
        <f>(M1176-M1175)/M1175</f>
        <v/>
      </c>
      <c r="S1175" s="54">
        <f>(M1179-M1175)/M1175</f>
        <v/>
      </c>
      <c r="T1175" s="63">
        <f>IF(R1175&gt;0,1,"")</f>
        <v/>
      </c>
      <c r="U1175" s="63">
        <f>IF(S1175&gt;0,1,"")</f>
        <v/>
      </c>
    </row>
    <row r="1176">
      <c r="A1176" s="35" t="n">
        <v>40122</v>
      </c>
      <c r="B1176" s="4" t="n">
        <v>0.2222</v>
      </c>
      <c r="C1176" s="4" t="n">
        <v>0.2222</v>
      </c>
      <c r="D1176" s="4" t="n">
        <v>0.5556</v>
      </c>
      <c r="E1176" s="63" t="n">
        <v>1</v>
      </c>
      <c r="F1176" s="63" t="n">
        <v>0.3794</v>
      </c>
      <c r="G1176" s="63" t="n">
        <v>-0.3334</v>
      </c>
      <c r="H1176" s="63" t="n">
        <v>0.384907436629</v>
      </c>
      <c r="I1176" s="63" t="n">
        <v>0.48829287048</v>
      </c>
      <c r="J1176" s="63" t="n">
        <v>0.281522002778</v>
      </c>
      <c r="K1176" s="63" t="n">
        <v>1060.98</v>
      </c>
      <c r="L1176" s="63" t="n">
        <v>1047.3</v>
      </c>
      <c r="M1176" s="63" t="n">
        <v>1046.5</v>
      </c>
      <c r="N1176" s="54">
        <f>(M1177-M1176)/M1176</f>
        <v/>
      </c>
      <c r="O1176" s="54">
        <f>(M1180-M1176)/M1176</f>
        <v/>
      </c>
      <c r="P1176" s="4">
        <f>B1176-D1176</f>
        <v/>
      </c>
      <c r="Q1176" s="4">
        <f>AVERAGE(P1173:P1176)</f>
        <v/>
      </c>
      <c r="R1176" s="54">
        <f>(M1177-M1176)/M1176</f>
        <v/>
      </c>
      <c r="S1176" s="54">
        <f>(M1180-M1176)/M1176</f>
        <v/>
      </c>
      <c r="T1176" s="63">
        <f>IF(R1176&gt;0,1,"")</f>
        <v/>
      </c>
      <c r="U1176" s="63">
        <f>IF(S1176&gt;0,1,"")</f>
        <v/>
      </c>
    </row>
    <row r="1177">
      <c r="A1177" s="35" t="n">
        <v>40129</v>
      </c>
      <c r="B1177" s="4" t="n">
        <v>0.386</v>
      </c>
      <c r="C1177" s="4" t="n">
        <v>0.228</v>
      </c>
      <c r="D1177" s="4" t="n">
        <v>0.386</v>
      </c>
      <c r="E1177" s="63" t="n">
        <v>1</v>
      </c>
      <c r="F1177" s="63" t="n">
        <v>0.374975</v>
      </c>
      <c r="G1177" s="63" t="n">
        <v>0</v>
      </c>
      <c r="H1177" s="63" t="n">
        <v>0.384907436629</v>
      </c>
      <c r="I1177" s="63" t="n">
        <v>0.48829287048</v>
      </c>
      <c r="J1177" s="63" t="n">
        <v>0.281522002778</v>
      </c>
      <c r="K1177" s="63" t="n">
        <v>1105.37</v>
      </c>
      <c r="L1177" s="63" t="n">
        <v>1063.21</v>
      </c>
      <c r="M1177" s="63" t="n">
        <v>1098.51</v>
      </c>
      <c r="N1177" s="54">
        <f>(M1178-M1177)/M1177</f>
        <v/>
      </c>
      <c r="O1177" s="54">
        <f>(M1181-M1177)/M1177</f>
        <v/>
      </c>
      <c r="P1177" s="4">
        <f>B1177-D1177</f>
        <v/>
      </c>
      <c r="Q1177" s="4">
        <f>AVERAGE(P1174:P1177)</f>
        <v/>
      </c>
      <c r="R1177" s="54">
        <f>(M1178-M1177)/M1177</f>
        <v/>
      </c>
      <c r="S1177" s="54">
        <f>(M1181-M1177)/M1177</f>
        <v/>
      </c>
      <c r="T1177" s="63">
        <f>IF(R1177&gt;0,1,"")</f>
        <v/>
      </c>
      <c r="U1177" s="63">
        <f>IF(S1177&gt;0,1,"")</f>
        <v/>
      </c>
    </row>
    <row r="1178">
      <c r="A1178" s="35" t="n">
        <v>40136</v>
      </c>
      <c r="B1178" s="4" t="n">
        <v>0.4273</v>
      </c>
      <c r="C1178" s="4" t="n">
        <v>0.2545</v>
      </c>
      <c r="D1178" s="4" t="n">
        <v>0.3182</v>
      </c>
      <c r="E1178" s="63" t="n">
        <v>1</v>
      </c>
      <c r="F1178" s="63" t="n">
        <v>0.379525</v>
      </c>
      <c r="G1178" s="63" t="n">
        <v>0.1091</v>
      </c>
      <c r="H1178" s="63" t="n">
        <v>0.384907436629</v>
      </c>
      <c r="I1178" s="63" t="n">
        <v>0.48829287048</v>
      </c>
      <c r="J1178" s="63" t="n">
        <v>0.281522002778</v>
      </c>
      <c r="K1178" s="63" t="n">
        <v>1106.44</v>
      </c>
      <c r="L1178" s="63" t="n">
        <v>1089.84</v>
      </c>
      <c r="M1178" s="63" t="n">
        <v>1109.8</v>
      </c>
      <c r="N1178" s="54">
        <f>(M1179-M1178)/M1178</f>
        <v/>
      </c>
      <c r="O1178" s="54">
        <f>(M1182-M1178)/M1178</f>
        <v/>
      </c>
      <c r="P1178" s="4">
        <f>B1178-D1178</f>
        <v/>
      </c>
      <c r="Q1178" s="4">
        <f>AVERAGE(P1175:P1178)</f>
        <v/>
      </c>
      <c r="R1178" s="54">
        <f>(M1179-M1178)/M1178</f>
        <v/>
      </c>
      <c r="S1178" s="54">
        <f>(M1182-M1178)/M1178</f>
        <v/>
      </c>
      <c r="T1178" s="63">
        <f>IF(R1178&gt;0,1,"")</f>
        <v/>
      </c>
      <c r="U1178" s="63">
        <f>IF(S1178&gt;0,1,"")</f>
        <v/>
      </c>
    </row>
    <row r="1179">
      <c r="A1179" s="35" t="n">
        <v>40143</v>
      </c>
      <c r="B1179" s="4" t="n">
        <v>0.4166</v>
      </c>
      <c r="C1179" s="4" t="n">
        <v>0.1666</v>
      </c>
      <c r="D1179" s="4" t="n">
        <v>0.4166</v>
      </c>
      <c r="E1179" s="63" t="n">
        <v>0.9998</v>
      </c>
      <c r="F1179" s="63" t="n">
        <v>0.3771625</v>
      </c>
      <c r="G1179" s="63" t="n">
        <v>0</v>
      </c>
      <c r="H1179" s="63" t="n">
        <v>0.384907436629</v>
      </c>
      <c r="I1179" s="63" t="n">
        <v>0.48829287048</v>
      </c>
      <c r="J1179" s="63" t="n">
        <v>0.281522002778</v>
      </c>
      <c r="K1179" s="63" t="n">
        <v>1105.47</v>
      </c>
      <c r="L1179" s="63" t="n">
        <v>1083.74</v>
      </c>
      <c r="M1179" s="63" t="n">
        <v>1110.63</v>
      </c>
      <c r="N1179" s="54">
        <f>(M1180-M1179)/M1179</f>
        <v/>
      </c>
      <c r="O1179" s="54">
        <f>(M1183-M1179)/M1179</f>
        <v/>
      </c>
      <c r="P1179" s="4">
        <f>B1179-D1179</f>
        <v/>
      </c>
      <c r="Q1179" s="4">
        <f>AVERAGE(P1176:P1179)</f>
        <v/>
      </c>
      <c r="R1179" s="54">
        <f>(M1180-M1179)/M1179</f>
        <v/>
      </c>
      <c r="S1179" s="54">
        <f>(M1183-M1179)/M1179</f>
        <v/>
      </c>
      <c r="T1179" s="63">
        <f>IF(R1179&gt;0,1,"")</f>
        <v/>
      </c>
      <c r="U1179" s="63">
        <f>IF(S1179&gt;0,1,"")</f>
        <v/>
      </c>
    </row>
    <row r="1180">
      <c r="A1180" s="35" t="n">
        <v>40150</v>
      </c>
      <c r="B1180" s="4" t="n">
        <v>0.4158</v>
      </c>
      <c r="C1180" s="4" t="n">
        <v>0.2475</v>
      </c>
      <c r="D1180" s="4" t="n">
        <v>0.3366</v>
      </c>
      <c r="E1180" s="63" t="n">
        <v>0.9999</v>
      </c>
      <c r="F1180" s="63" t="n">
        <v>0.385275</v>
      </c>
      <c r="G1180" s="63" t="n">
        <v>0.07920000000000001</v>
      </c>
      <c r="H1180" s="63" t="n">
        <v>0.384907436629</v>
      </c>
      <c r="I1180" s="63" t="n">
        <v>0.48829287048</v>
      </c>
      <c r="J1180" s="63" t="n">
        <v>0.281522002778</v>
      </c>
      <c r="K1180" s="63" t="n">
        <v>1117.28</v>
      </c>
      <c r="L1180" s="63" t="n">
        <v>1109.24</v>
      </c>
      <c r="M1180" s="63" t="n">
        <v>1109.24</v>
      </c>
      <c r="N1180" s="54">
        <f>(M1181-M1180)/M1180</f>
        <v/>
      </c>
      <c r="O1180" s="54">
        <f>(M1184-M1180)/M1180</f>
        <v/>
      </c>
      <c r="P1180" s="4">
        <f>B1180-D1180</f>
        <v/>
      </c>
      <c r="Q1180" s="4">
        <f>AVERAGE(P1177:P1180)</f>
        <v/>
      </c>
      <c r="R1180" s="54">
        <f>(M1181-M1180)/M1180</f>
        <v/>
      </c>
      <c r="S1180" s="54">
        <f>(M1184-M1180)/M1180</f>
        <v/>
      </c>
      <c r="T1180" s="63">
        <f>IF(R1180&gt;0,1,"")</f>
        <v/>
      </c>
      <c r="U1180" s="63">
        <f>IF(S1180&gt;0,1,"")</f>
        <v/>
      </c>
    </row>
    <row r="1181">
      <c r="A1181" s="35" t="n">
        <v>40157</v>
      </c>
      <c r="B1181" s="4" t="n">
        <v>0.4268</v>
      </c>
      <c r="C1181" s="4" t="n">
        <v>0.2195</v>
      </c>
      <c r="D1181" s="4" t="n">
        <v>0.3537</v>
      </c>
      <c r="E1181" s="63" t="n">
        <v>1</v>
      </c>
      <c r="F1181" s="63" t="n">
        <v>0.3795</v>
      </c>
      <c r="G1181" s="63" t="n">
        <v>0.0731</v>
      </c>
      <c r="H1181" s="63" t="n">
        <v>0.384907436629</v>
      </c>
      <c r="I1181" s="63" t="n">
        <v>0.48829287048</v>
      </c>
      <c r="J1181" s="63" t="n">
        <v>0.281522002778</v>
      </c>
      <c r="K1181" s="63" t="n">
        <v>1106.25</v>
      </c>
      <c r="L1181" s="63" t="n">
        <v>1098.69</v>
      </c>
      <c r="M1181" s="63" t="n">
        <v>1095.95</v>
      </c>
      <c r="N1181" s="54">
        <f>(M1182-M1181)/M1181</f>
        <v/>
      </c>
      <c r="O1181" s="54">
        <f>(M1185-M1181)/M1181</f>
        <v/>
      </c>
      <c r="P1181" s="4">
        <f>B1181-D1181</f>
        <v/>
      </c>
      <c r="Q1181" s="4">
        <f>AVERAGE(P1178:P1181)</f>
        <v/>
      </c>
      <c r="R1181" s="54">
        <f>(M1182-M1181)/M1181</f>
        <v/>
      </c>
      <c r="S1181" s="54">
        <f>(M1185-M1181)/M1181</f>
        <v/>
      </c>
      <c r="T1181" s="63">
        <f>IF(R1181&gt;0,1,"")</f>
        <v/>
      </c>
      <c r="U1181" s="63">
        <f>IF(S1181&gt;0,1,"")</f>
        <v/>
      </c>
    </row>
    <row r="1182">
      <c r="A1182" s="35" t="n">
        <v>40164</v>
      </c>
      <c r="B1182" s="4" t="n">
        <v>0.4211</v>
      </c>
      <c r="C1182" s="4" t="n">
        <v>0.2947</v>
      </c>
      <c r="D1182" s="4" t="n">
        <v>0.2842</v>
      </c>
      <c r="E1182" s="63" t="n">
        <v>1</v>
      </c>
      <c r="F1182" s="63" t="n">
        <v>0.3815375</v>
      </c>
      <c r="G1182" s="63" t="n">
        <v>0.1369</v>
      </c>
      <c r="H1182" s="63" t="n">
        <v>0.384907436629</v>
      </c>
      <c r="I1182" s="63" t="n">
        <v>0.48829287048</v>
      </c>
      <c r="J1182" s="63" t="n">
        <v>0.281522002778</v>
      </c>
      <c r="K1182" s="63" t="n">
        <v>1106.36</v>
      </c>
      <c r="L1182" s="63" t="n">
        <v>1098.16</v>
      </c>
      <c r="M1182" s="63" t="n">
        <v>1109.18</v>
      </c>
      <c r="N1182" s="54">
        <f>(M1183-M1182)/M1182</f>
        <v/>
      </c>
      <c r="O1182" s="54">
        <f>(M1186-M1182)/M1182</f>
        <v/>
      </c>
      <c r="P1182" s="4">
        <f>B1182-D1182</f>
        <v/>
      </c>
      <c r="Q1182" s="4">
        <f>AVERAGE(P1179:P1182)</f>
        <v/>
      </c>
      <c r="R1182" s="54">
        <f>(M1183-M1182)/M1182</f>
        <v/>
      </c>
      <c r="S1182" s="54">
        <f>(M1186-M1182)/M1182</f>
        <v/>
      </c>
      <c r="T1182" s="63">
        <f>IF(R1182&gt;0,1,"")</f>
        <v/>
      </c>
      <c r="U1182" s="63">
        <f>IF(S1182&gt;0,1,"")</f>
        <v/>
      </c>
    </row>
    <row r="1183">
      <c r="A1183" s="35" t="n">
        <v>40171</v>
      </c>
      <c r="B1183" s="4" t="n">
        <v>0.3768</v>
      </c>
      <c r="C1183" s="4" t="n">
        <v>0.2464</v>
      </c>
      <c r="D1183" s="4" t="n">
        <v>0.3768</v>
      </c>
      <c r="E1183" s="63" t="n">
        <v>1</v>
      </c>
      <c r="F1183" s="63" t="n">
        <v>0.386575</v>
      </c>
      <c r="G1183" s="63" t="n">
        <v>0</v>
      </c>
      <c r="H1183" s="63" t="n">
        <v>0.384907436629</v>
      </c>
      <c r="I1183" s="63" t="n">
        <v>0.48829287048</v>
      </c>
      <c r="J1183" s="63" t="n">
        <v>0.281522002778</v>
      </c>
      <c r="K1183" s="63" t="n">
        <v>1130.38</v>
      </c>
      <c r="L1183" s="63" t="n">
        <v>1126.17</v>
      </c>
      <c r="M1183" s="63" t="n">
        <v>1127.78</v>
      </c>
      <c r="N1183" s="54">
        <f>(M1184-M1183)/M1183</f>
        <v/>
      </c>
      <c r="O1183" s="54">
        <f>(M1187-M1183)/M1183</f>
        <v/>
      </c>
      <c r="P1183" s="4">
        <f>B1183-D1183</f>
        <v/>
      </c>
      <c r="Q1183" s="4">
        <f>AVERAGE(P1180:P1183)</f>
        <v/>
      </c>
      <c r="R1183" s="54">
        <f>(M1184-M1183)/M1183</f>
        <v/>
      </c>
      <c r="S1183" s="54">
        <f>(M1187-M1183)/M1183</f>
        <v/>
      </c>
      <c r="T1183" s="63">
        <f>IF(R1183&gt;0,1,"")</f>
        <v/>
      </c>
      <c r="U1183" s="63">
        <f>IF(S1183&gt;0,1,"")</f>
        <v/>
      </c>
    </row>
    <row r="1184">
      <c r="A1184" s="35" t="n">
        <v>40178</v>
      </c>
      <c r="B1184" s="4" t="n">
        <v>0.4918</v>
      </c>
      <c r="C1184" s="4" t="n">
        <v>0.2787</v>
      </c>
      <c r="D1184" s="4" t="n">
        <v>0.2295</v>
      </c>
      <c r="E1184" s="63" t="n">
        <v>1</v>
      </c>
      <c r="F1184" s="63" t="n">
        <v>0.420275</v>
      </c>
      <c r="G1184" s="63" t="n">
        <v>0.2623</v>
      </c>
      <c r="H1184" s="63" t="n">
        <v>0.384907436629</v>
      </c>
      <c r="I1184" s="63" t="n">
        <v>0.48829287048</v>
      </c>
      <c r="J1184" s="63" t="n">
        <v>0.281522002778</v>
      </c>
      <c r="K1184" s="63" t="n">
        <v>1129.43</v>
      </c>
      <c r="L1184" s="63" t="n">
        <v>1116.56</v>
      </c>
      <c r="M1184" s="63" t="n">
        <v>1115.1</v>
      </c>
      <c r="N1184" s="54">
        <f>(M1185-M1184)/M1184</f>
        <v/>
      </c>
      <c r="O1184" s="54">
        <f>(M1188-M1184)/M1184</f>
        <v/>
      </c>
      <c r="P1184" s="4">
        <f>B1184-D1184</f>
        <v/>
      </c>
      <c r="Q1184" s="4">
        <f>AVERAGE(P1181:P1184)</f>
        <v/>
      </c>
      <c r="R1184" s="54">
        <f>(M1185-M1184)/M1184</f>
        <v/>
      </c>
      <c r="S1184" s="54">
        <f>(M1188-M1184)/M1184</f>
        <v/>
      </c>
      <c r="T1184" s="63">
        <f>IF(R1184&gt;0,1,"")</f>
        <v/>
      </c>
      <c r="U1184" s="63">
        <f>IF(S1184&gt;0,1,"")</f>
        <v/>
      </c>
    </row>
    <row r="1185">
      <c r="A1185" s="35" t="n">
        <v>40185</v>
      </c>
      <c r="B1185" s="4" t="n">
        <v>0.41</v>
      </c>
      <c r="C1185" s="4" t="n">
        <v>0.33</v>
      </c>
      <c r="D1185" s="4" t="n">
        <v>0.26</v>
      </c>
      <c r="E1185" s="63" t="n">
        <v>1</v>
      </c>
      <c r="F1185" s="63" t="n">
        <v>0.423275</v>
      </c>
      <c r="G1185" s="63" t="n">
        <v>0.15</v>
      </c>
      <c r="H1185" s="63" t="n">
        <v>0.384907436629</v>
      </c>
      <c r="I1185" s="63" t="n">
        <v>0.48829287048</v>
      </c>
      <c r="J1185" s="63" t="n">
        <v>0.281522002778</v>
      </c>
      <c r="K1185" s="63" t="n">
        <v>1136.27</v>
      </c>
      <c r="L1185" s="63" t="n">
        <v>1131.32</v>
      </c>
      <c r="M1185" s="63" t="n">
        <v>1137.14</v>
      </c>
      <c r="N1185" s="54">
        <f>(M1186-M1185)/M1185</f>
        <v/>
      </c>
      <c r="O1185" s="54">
        <f>(M1189-M1185)/M1185</f>
        <v/>
      </c>
      <c r="P1185" s="4">
        <f>B1185-D1185</f>
        <v/>
      </c>
      <c r="Q1185" s="4">
        <f>AVERAGE(P1182:P1185)</f>
        <v/>
      </c>
      <c r="R1185" s="54">
        <f>(M1186-M1185)/M1185</f>
        <v/>
      </c>
      <c r="S1185" s="54">
        <f>(M1189-M1185)/M1185</f>
        <v/>
      </c>
      <c r="T1185" s="63">
        <f>IF(R1185&gt;0,1,"")</f>
        <v/>
      </c>
      <c r="U1185" s="63">
        <f>IF(S1185&gt;0,1,"")</f>
        <v/>
      </c>
    </row>
    <row r="1186">
      <c r="A1186" s="35" t="n">
        <v>40192</v>
      </c>
      <c r="B1186" s="4" t="n">
        <v>0.4744</v>
      </c>
      <c r="C1186" s="4" t="n">
        <v>0.2564</v>
      </c>
      <c r="D1186" s="4" t="n">
        <v>0.2692</v>
      </c>
      <c r="E1186" s="63" t="n">
        <v>1</v>
      </c>
      <c r="F1186" s="63" t="n">
        <v>0.4291625</v>
      </c>
      <c r="G1186" s="63" t="n">
        <v>0.2052</v>
      </c>
      <c r="H1186" s="63" t="n">
        <v>0.384907436629</v>
      </c>
      <c r="I1186" s="63" t="n">
        <v>0.48829287048</v>
      </c>
      <c r="J1186" s="63" t="n">
        <v>0.281522002778</v>
      </c>
      <c r="K1186" s="63" t="n">
        <v>1147.93</v>
      </c>
      <c r="L1186" s="63" t="n">
        <v>1143.8</v>
      </c>
      <c r="M1186" s="63" t="n">
        <v>1145.68</v>
      </c>
      <c r="N1186" s="54">
        <f>(M1187-M1186)/M1186</f>
        <v/>
      </c>
      <c r="O1186" s="54">
        <f>(M1190-M1186)/M1186</f>
        <v/>
      </c>
      <c r="P1186" s="4">
        <f>B1186-D1186</f>
        <v/>
      </c>
      <c r="Q1186" s="4">
        <f>AVERAGE(P1183:P1186)</f>
        <v/>
      </c>
      <c r="R1186" s="54">
        <f>(M1187-M1186)/M1186</f>
        <v/>
      </c>
      <c r="S1186" s="54">
        <f>(M1190-M1186)/M1186</f>
        <v/>
      </c>
      <c r="T1186" s="63">
        <f>IF(R1186&gt;0,1,"")</f>
        <v/>
      </c>
      <c r="U1186" s="63">
        <f>IF(S1186&gt;0,1,"")</f>
        <v/>
      </c>
    </row>
    <row r="1187">
      <c r="A1187" s="35" t="n">
        <v>40199</v>
      </c>
      <c r="B1187" s="4" t="n">
        <v>0.4</v>
      </c>
      <c r="C1187" s="4" t="n">
        <v>0.2526</v>
      </c>
      <c r="D1187" s="4" t="n">
        <v>0.3474</v>
      </c>
      <c r="E1187" s="63" t="n">
        <v>1</v>
      </c>
      <c r="F1187" s="63" t="n">
        <v>0.4270875</v>
      </c>
      <c r="G1187" s="63" t="n">
        <v>0.0526</v>
      </c>
      <c r="H1187" s="63" t="n">
        <v>0.384907436629</v>
      </c>
      <c r="I1187" s="63" t="n">
        <v>0.48829287048</v>
      </c>
      <c r="J1187" s="63" t="n">
        <v>0.281522002778</v>
      </c>
      <c r="K1187" s="63" t="n">
        <v>1141.58</v>
      </c>
      <c r="L1187" s="63" t="n">
        <v>1136.52</v>
      </c>
      <c r="M1187" s="63" t="n">
        <v>1138.04</v>
      </c>
      <c r="N1187" s="54">
        <f>(M1188-M1187)/M1187</f>
        <v/>
      </c>
      <c r="O1187" s="54">
        <f>(M1191-M1187)/M1187</f>
        <v/>
      </c>
      <c r="P1187" s="4">
        <f>B1187-D1187</f>
        <v/>
      </c>
      <c r="Q1187" s="4">
        <f>AVERAGE(P1184:P1187)</f>
        <v/>
      </c>
      <c r="R1187" s="54">
        <f>(M1188-M1187)/M1187</f>
        <v/>
      </c>
      <c r="S1187" s="54">
        <f>(M1191-M1187)/M1187</f>
        <v/>
      </c>
      <c r="T1187" s="63">
        <f>IF(R1187&gt;0,1,"")</f>
        <v/>
      </c>
      <c r="U1187" s="63">
        <f>IF(S1187&gt;0,1,"")</f>
        <v/>
      </c>
    </row>
    <row r="1188">
      <c r="A1188" s="35" t="n">
        <v>40206</v>
      </c>
      <c r="B1188" s="4" t="n">
        <v>0.35</v>
      </c>
      <c r="C1188" s="4" t="n">
        <v>0.2833</v>
      </c>
      <c r="D1188" s="4" t="n">
        <v>0.3667</v>
      </c>
      <c r="E1188" s="63" t="n">
        <v>1</v>
      </c>
      <c r="F1188" s="63" t="n">
        <v>0.4188625</v>
      </c>
      <c r="G1188" s="63" t="n">
        <v>-0.0167</v>
      </c>
      <c r="H1188" s="63" t="n">
        <v>0.384907436629</v>
      </c>
      <c r="I1188" s="63" t="n">
        <v>0.48829287048</v>
      </c>
      <c r="J1188" s="63" t="n">
        <v>0.281522002778</v>
      </c>
      <c r="K1188" s="63" t="n">
        <v>1100.22</v>
      </c>
      <c r="L1188" s="63" t="n">
        <v>1092.63</v>
      </c>
      <c r="M1188" s="63" t="n">
        <v>1097.5</v>
      </c>
      <c r="N1188" s="54">
        <f>(M1189-M1188)/M1188</f>
        <v/>
      </c>
      <c r="O1188" s="54">
        <f>(M1192-M1188)/M1188</f>
        <v/>
      </c>
      <c r="P1188" s="4">
        <f>B1188-D1188</f>
        <v/>
      </c>
      <c r="Q1188" s="4">
        <f>AVERAGE(P1185:P1188)</f>
        <v/>
      </c>
      <c r="R1188" s="54">
        <f>(M1189-M1188)/M1188</f>
        <v/>
      </c>
      <c r="S1188" s="54">
        <f>(M1192-M1188)/M1188</f>
        <v/>
      </c>
      <c r="T1188" s="63">
        <f>IF(R1188&gt;0,1,"")</f>
        <v/>
      </c>
      <c r="U1188" s="63">
        <f>IF(S1188&gt;0,1,"")</f>
        <v/>
      </c>
    </row>
    <row r="1189">
      <c r="A1189" s="35" t="n">
        <v>40213</v>
      </c>
      <c r="B1189" s="4" t="n">
        <v>0.2923</v>
      </c>
      <c r="C1189" s="4" t="n">
        <v>0.2769</v>
      </c>
      <c r="D1189" s="4" t="n">
        <v>0.4308</v>
      </c>
      <c r="E1189" s="63" t="n">
        <v>1</v>
      </c>
      <c r="F1189" s="63" t="n">
        <v>0.40205</v>
      </c>
      <c r="G1189" s="63" t="n">
        <v>-0.1385</v>
      </c>
      <c r="H1189" s="63" t="n">
        <v>0.384907436629</v>
      </c>
      <c r="I1189" s="63" t="n">
        <v>0.48829287048</v>
      </c>
      <c r="J1189" s="63" t="n">
        <v>0.281522002778</v>
      </c>
      <c r="K1189" s="63" t="n">
        <v>1097.25</v>
      </c>
      <c r="L1189" s="63" t="n">
        <v>1074.86</v>
      </c>
      <c r="M1189" s="63" t="n">
        <v>1097.28</v>
      </c>
      <c r="N1189" s="54">
        <f>(M1190-M1189)/M1189</f>
        <v/>
      </c>
      <c r="O1189" s="54">
        <f>(M1193-M1189)/M1189</f>
        <v/>
      </c>
      <c r="P1189" s="4">
        <f>B1189-D1189</f>
        <v/>
      </c>
      <c r="Q1189" s="4">
        <f>AVERAGE(P1186:P1189)</f>
        <v/>
      </c>
      <c r="R1189" s="54">
        <f>(M1190-M1189)/M1189</f>
        <v/>
      </c>
      <c r="S1189" s="54">
        <f>(M1193-M1189)/M1189</f>
        <v/>
      </c>
      <c r="T1189" s="63">
        <f>IF(R1189&gt;0,1,"")</f>
        <v/>
      </c>
      <c r="U1189" s="63">
        <f>IF(S1189&gt;0,1,"")</f>
        <v/>
      </c>
    </row>
    <row r="1190">
      <c r="A1190" s="35" t="n">
        <v>40220</v>
      </c>
      <c r="B1190" s="4" t="n">
        <v>0.3675</v>
      </c>
      <c r="C1190" s="4" t="n">
        <v>0.2137</v>
      </c>
      <c r="D1190" s="4" t="n">
        <v>0.4188</v>
      </c>
      <c r="E1190" s="63" t="n">
        <v>1</v>
      </c>
      <c r="F1190" s="63" t="n">
        <v>0.39535</v>
      </c>
      <c r="G1190" s="63" t="n">
        <v>-0.0513</v>
      </c>
      <c r="H1190" s="63" t="n">
        <v>0.384907436629</v>
      </c>
      <c r="I1190" s="63" t="n">
        <v>0.48829287048</v>
      </c>
      <c r="J1190" s="63" t="n">
        <v>0.281522002778</v>
      </c>
      <c r="K1190" s="63" t="n">
        <v>1069.05</v>
      </c>
      <c r="L1190" s="63" t="n">
        <v>1060.59</v>
      </c>
      <c r="M1190" s="63" t="n">
        <v>1068.13</v>
      </c>
      <c r="N1190" s="54">
        <f>(M1191-M1190)/M1190</f>
        <v/>
      </c>
      <c r="O1190" s="54">
        <f>(M1194-M1190)/M1190</f>
        <v/>
      </c>
      <c r="P1190" s="4">
        <f>B1190-D1190</f>
        <v/>
      </c>
      <c r="Q1190" s="4">
        <f>AVERAGE(P1187:P1190)</f>
        <v/>
      </c>
      <c r="R1190" s="54">
        <f>(M1191-M1190)/M1190</f>
        <v/>
      </c>
      <c r="S1190" s="54">
        <f>(M1194-M1190)/M1190</f>
        <v/>
      </c>
      <c r="T1190" s="63">
        <f>IF(R1190&gt;0,1,"")</f>
        <v/>
      </c>
      <c r="U1190" s="63">
        <f>IF(S1190&gt;0,1,"")</f>
        <v/>
      </c>
    </row>
    <row r="1191">
      <c r="A1191" s="35" t="n">
        <v>40227</v>
      </c>
      <c r="B1191" s="4" t="n">
        <v>0.3585</v>
      </c>
      <c r="C1191" s="4" t="n">
        <v>0.2893</v>
      </c>
      <c r="D1191" s="4" t="n">
        <v>0.3522</v>
      </c>
      <c r="E1191" s="63" t="n">
        <v>1</v>
      </c>
      <c r="F1191" s="63" t="n">
        <v>0.3930625</v>
      </c>
      <c r="G1191" s="63" t="n">
        <v>0.0063</v>
      </c>
      <c r="H1191" s="63" t="n">
        <v>0.384907436629</v>
      </c>
      <c r="I1191" s="63" t="n">
        <v>0.48829287048</v>
      </c>
      <c r="J1191" s="63" t="n">
        <v>0.281522002778</v>
      </c>
      <c r="K1191" s="63" t="n">
        <v>1102.4</v>
      </c>
      <c r="L1191" s="63" t="n">
        <v>1097.48</v>
      </c>
      <c r="M1191" s="63" t="n">
        <v>1099.51</v>
      </c>
      <c r="N1191" s="54">
        <f>(M1192-M1191)/M1191</f>
        <v/>
      </c>
      <c r="O1191" s="54">
        <f>(M1195-M1191)/M1191</f>
        <v/>
      </c>
      <c r="P1191" s="4">
        <f>B1191-D1191</f>
        <v/>
      </c>
      <c r="Q1191" s="4">
        <f>AVERAGE(P1188:P1191)</f>
        <v/>
      </c>
      <c r="R1191" s="54">
        <f>(M1192-M1191)/M1191</f>
        <v/>
      </c>
      <c r="S1191" s="54">
        <f>(M1195-M1191)/M1191</f>
        <v/>
      </c>
      <c r="T1191" s="63">
        <f>IF(R1191&gt;0,1,"")</f>
        <v/>
      </c>
      <c r="U1191" s="63">
        <f>IF(S1191&gt;0,1,"")</f>
        <v/>
      </c>
    </row>
    <row r="1192">
      <c r="A1192" s="35" t="n">
        <v>40234</v>
      </c>
      <c r="B1192" s="4" t="n">
        <v>0.3489</v>
      </c>
      <c r="C1192" s="4" t="n">
        <v>0.3557</v>
      </c>
      <c r="D1192" s="4" t="n">
        <v>0.2953</v>
      </c>
      <c r="E1192" s="63" t="n">
        <v>0.9999</v>
      </c>
      <c r="F1192" s="63" t="n">
        <v>0.3752</v>
      </c>
      <c r="G1192" s="63" t="n">
        <v>0.0536</v>
      </c>
      <c r="H1192" s="63" t="n">
        <v>0.384907436629</v>
      </c>
      <c r="I1192" s="63" t="n">
        <v>0.48829287048</v>
      </c>
      <c r="J1192" s="63" t="n">
        <v>0.281522002778</v>
      </c>
      <c r="K1192" s="63" t="n">
        <v>1106.42</v>
      </c>
      <c r="L1192" s="63" t="n">
        <v>1106.42</v>
      </c>
      <c r="M1192" s="63" t="n">
        <v>1094.6</v>
      </c>
      <c r="N1192" s="54">
        <f>(M1193-M1192)/M1192</f>
        <v/>
      </c>
      <c r="O1192" s="54">
        <f>(M1196-M1192)/M1192</f>
        <v/>
      </c>
      <c r="P1192" s="4">
        <f>B1192-D1192</f>
        <v/>
      </c>
      <c r="Q1192" s="4">
        <f>AVERAGE(P1189:P1192)</f>
        <v/>
      </c>
      <c r="R1192" s="54">
        <f>(M1193-M1192)/M1192</f>
        <v/>
      </c>
      <c r="S1192" s="54">
        <f>(M1196-M1192)/M1192</f>
        <v/>
      </c>
      <c r="T1192" s="63">
        <f>IF(R1192&gt;0,1,"")</f>
        <v/>
      </c>
      <c r="U1192" s="63">
        <f>IF(S1192&gt;0,1,"")</f>
        <v/>
      </c>
    </row>
    <row r="1193">
      <c r="A1193" s="35" t="n">
        <v>40241</v>
      </c>
      <c r="B1193" s="4" t="n">
        <v>0.3586</v>
      </c>
      <c r="C1193" s="4" t="n">
        <v>0.3793</v>
      </c>
      <c r="D1193" s="4" t="n">
        <v>0.2621</v>
      </c>
      <c r="E1193" s="63" t="n">
        <v>1</v>
      </c>
      <c r="F1193" s="63" t="n">
        <v>0.368775</v>
      </c>
      <c r="G1193" s="63" t="n">
        <v>0.0965</v>
      </c>
      <c r="H1193" s="63" t="n">
        <v>0.384907436629</v>
      </c>
      <c r="I1193" s="63" t="n">
        <v>0.48829287048</v>
      </c>
      <c r="J1193" s="63" t="n">
        <v>0.281522002778</v>
      </c>
      <c r="K1193" s="63" t="n">
        <v>1121.67</v>
      </c>
      <c r="L1193" s="63" t="n">
        <v>1119.12</v>
      </c>
      <c r="M1193" s="63" t="n">
        <v>1118.79</v>
      </c>
      <c r="N1193" s="54">
        <f>(M1194-M1193)/M1193</f>
        <v/>
      </c>
      <c r="O1193" s="54">
        <f>(M1197-M1193)/M1193</f>
        <v/>
      </c>
      <c r="P1193" s="4">
        <f>B1193-D1193</f>
        <v/>
      </c>
      <c r="Q1193" s="4">
        <f>AVERAGE(P1190:P1193)</f>
        <v/>
      </c>
      <c r="R1193" s="54">
        <f>(M1194-M1193)/M1193</f>
        <v/>
      </c>
      <c r="S1193" s="54">
        <f>(M1197-M1193)/M1193</f>
        <v/>
      </c>
      <c r="T1193" s="63">
        <f>IF(R1193&gt;0,1,"")</f>
        <v/>
      </c>
      <c r="U1193" s="63">
        <f>IF(S1193&gt;0,1,"")</f>
        <v/>
      </c>
    </row>
    <row r="1194">
      <c r="A1194" s="35" t="n">
        <v>40248</v>
      </c>
      <c r="B1194" s="4" t="n">
        <v>0.4529</v>
      </c>
      <c r="C1194" s="4" t="n">
        <v>0.2941</v>
      </c>
      <c r="D1194" s="4" t="n">
        <v>0.2529</v>
      </c>
      <c r="E1194" s="63" t="n">
        <v>0.9999</v>
      </c>
      <c r="F1194" s="63" t="n">
        <v>0.3660875</v>
      </c>
      <c r="G1194" s="63" t="n">
        <v>0.2</v>
      </c>
      <c r="H1194" s="63" t="n">
        <v>0.384907436629</v>
      </c>
      <c r="I1194" s="63" t="n">
        <v>0.48829287048</v>
      </c>
      <c r="J1194" s="63" t="n">
        <v>0.281522002778</v>
      </c>
      <c r="K1194" s="63" t="n">
        <v>1143.96</v>
      </c>
      <c r="L1194" s="63" t="n">
        <v>1139.99</v>
      </c>
      <c r="M1194" s="63" t="n">
        <v>1145.61</v>
      </c>
      <c r="N1194" s="54">
        <f>(M1195-M1194)/M1194</f>
        <v/>
      </c>
      <c r="O1194" s="54">
        <f>(M1198-M1194)/M1194</f>
        <v/>
      </c>
      <c r="P1194" s="4">
        <f>B1194-D1194</f>
        <v/>
      </c>
      <c r="Q1194" s="4">
        <f>AVERAGE(P1191:P1194)</f>
        <v/>
      </c>
      <c r="R1194" s="54">
        <f>(M1195-M1194)/M1194</f>
        <v/>
      </c>
      <c r="S1194" s="54">
        <f>(M1198-M1194)/M1194</f>
        <v/>
      </c>
      <c r="T1194" s="63">
        <f>IF(R1194&gt;0,1,"")</f>
        <v/>
      </c>
      <c r="U1194" s="63">
        <f>IF(S1194&gt;0,1,"")</f>
        <v/>
      </c>
    </row>
    <row r="1195">
      <c r="A1195" s="35" t="n">
        <v>40255</v>
      </c>
      <c r="B1195" s="4" t="n">
        <v>0.3537</v>
      </c>
      <c r="C1195" s="4" t="n">
        <v>0.3476</v>
      </c>
      <c r="D1195" s="4" t="n">
        <v>0.2988</v>
      </c>
      <c r="E1195" s="63" t="n">
        <v>1.0001</v>
      </c>
      <c r="F1195" s="63" t="n">
        <v>0.3603</v>
      </c>
      <c r="G1195" s="63" t="n">
        <v>0.0549</v>
      </c>
      <c r="H1195" s="63" t="n">
        <v>0.384907436629</v>
      </c>
      <c r="I1195" s="63" t="n">
        <v>0.48829287048</v>
      </c>
      <c r="J1195" s="63" t="n">
        <v>0.281522002778</v>
      </c>
      <c r="K1195" s="63" t="n">
        <v>1167.77</v>
      </c>
      <c r="L1195" s="63" t="n">
        <v>1165.07</v>
      </c>
      <c r="M1195" s="63" t="n">
        <v>1166.21</v>
      </c>
      <c r="N1195" s="54">
        <f>(M1196-M1195)/M1195</f>
        <v/>
      </c>
      <c r="O1195" s="54">
        <f>(M1199-M1195)/M1195</f>
        <v/>
      </c>
      <c r="P1195" s="4">
        <f>B1195-D1195</f>
        <v/>
      </c>
      <c r="Q1195" s="4">
        <f>AVERAGE(P1192:P1195)</f>
        <v/>
      </c>
      <c r="R1195" s="54">
        <f>(M1196-M1195)/M1195</f>
        <v/>
      </c>
      <c r="S1195" s="54">
        <f>(M1199-M1195)/M1195</f>
        <v/>
      </c>
      <c r="T1195" s="63">
        <f>IF(R1195&gt;0,1,"")</f>
        <v/>
      </c>
      <c r="U1195" s="63">
        <f>IF(S1195&gt;0,1,"")</f>
        <v/>
      </c>
    </row>
    <row r="1196">
      <c r="A1196" s="35" t="n">
        <v>40262</v>
      </c>
      <c r="B1196" s="4" t="n">
        <v>0.3239</v>
      </c>
      <c r="C1196" s="4" t="n">
        <v>0.3295</v>
      </c>
      <c r="D1196" s="4" t="n">
        <v>0.3466</v>
      </c>
      <c r="E1196" s="63" t="n">
        <v>1</v>
      </c>
      <c r="F1196" s="63" t="n">
        <v>0.3570375</v>
      </c>
      <c r="G1196" s="63" t="n">
        <v>-0.0227</v>
      </c>
      <c r="H1196" s="63" t="n">
        <v>0.384907436629</v>
      </c>
      <c r="I1196" s="63" t="n">
        <v>0.48829287048</v>
      </c>
      <c r="J1196" s="63" t="n">
        <v>0.281522002778</v>
      </c>
      <c r="K1196" s="63" t="n">
        <v>1176.71</v>
      </c>
      <c r="L1196" s="63" t="n">
        <v>1170.03</v>
      </c>
      <c r="M1196" s="63" t="n">
        <v>1167.72</v>
      </c>
      <c r="N1196" s="54">
        <f>(M1197-M1196)/M1196</f>
        <v/>
      </c>
      <c r="O1196" s="54">
        <f>(M1200-M1196)/M1196</f>
        <v/>
      </c>
      <c r="P1196" s="4">
        <f>B1196-D1196</f>
        <v/>
      </c>
      <c r="Q1196" s="4">
        <f>AVERAGE(P1193:P1196)</f>
        <v/>
      </c>
      <c r="R1196" s="54">
        <f>(M1197-M1196)/M1196</f>
        <v/>
      </c>
      <c r="S1196" s="54">
        <f>(M1200-M1196)/M1196</f>
        <v/>
      </c>
      <c r="T1196" s="63">
        <f>IF(R1196&gt;0,1,"")</f>
        <v/>
      </c>
      <c r="U1196" s="63">
        <f>IF(S1196&gt;0,1,"")</f>
        <v/>
      </c>
    </row>
    <row r="1197">
      <c r="A1197" s="35" t="n">
        <v>40269</v>
      </c>
      <c r="B1197" s="4" t="n">
        <v>0.413</v>
      </c>
      <c r="C1197" s="4" t="n">
        <v>0.2754</v>
      </c>
      <c r="D1197" s="4" t="n">
        <v>0.3116</v>
      </c>
      <c r="E1197" s="63" t="n">
        <v>1</v>
      </c>
      <c r="F1197" s="63" t="n">
        <v>0.372125</v>
      </c>
      <c r="G1197" s="63" t="n">
        <v>0.1014</v>
      </c>
      <c r="H1197" s="63" t="n">
        <v>0.384907436629</v>
      </c>
      <c r="I1197" s="63" t="n">
        <v>0.48829287048</v>
      </c>
      <c r="J1197" s="63" t="n">
        <v>0.281522002778</v>
      </c>
      <c r="K1197" s="63" t="n">
        <v>1181.43</v>
      </c>
      <c r="L1197" s="63" t="n">
        <v>1171.23</v>
      </c>
      <c r="M1197" s="63" t="n">
        <v>1169.43</v>
      </c>
      <c r="N1197" s="54">
        <f>(M1198-M1197)/M1197</f>
        <v/>
      </c>
      <c r="O1197" s="54">
        <f>(M1201-M1197)/M1197</f>
        <v/>
      </c>
      <c r="P1197" s="4">
        <f>B1197-D1197</f>
        <v/>
      </c>
      <c r="Q1197" s="4">
        <f>AVERAGE(P1194:P1197)</f>
        <v/>
      </c>
      <c r="R1197" s="54">
        <f>(M1198-M1197)/M1197</f>
        <v/>
      </c>
      <c r="S1197" s="54">
        <f>(M1201-M1197)/M1197</f>
        <v/>
      </c>
      <c r="T1197" s="63">
        <f>IF(R1197&gt;0,1,"")</f>
        <v/>
      </c>
      <c r="U1197" s="63">
        <f>IF(S1197&gt;0,1,"")</f>
        <v/>
      </c>
    </row>
    <row r="1198">
      <c r="A1198" s="35" t="n">
        <v>40276</v>
      </c>
      <c r="B1198" s="4" t="n">
        <v>0.4286</v>
      </c>
      <c r="C1198" s="4" t="n">
        <v>0.2679</v>
      </c>
      <c r="D1198" s="4" t="n">
        <v>0.3036</v>
      </c>
      <c r="E1198" s="63" t="n">
        <v>1.0001</v>
      </c>
      <c r="F1198" s="63" t="n">
        <v>0.3797625</v>
      </c>
      <c r="G1198" s="63" t="n">
        <v>0.125</v>
      </c>
      <c r="H1198" s="63" t="n">
        <v>0.384907436629</v>
      </c>
      <c r="I1198" s="63" t="n">
        <v>0.48829287048</v>
      </c>
      <c r="J1198" s="63" t="n">
        <v>0.281522002778</v>
      </c>
      <c r="K1198" s="63" t="n">
        <v>1181.75</v>
      </c>
      <c r="L1198" s="63" t="n">
        <v>1175.12</v>
      </c>
      <c r="M1198" s="63" t="n">
        <v>1182.45</v>
      </c>
      <c r="N1198" s="54">
        <f>(M1199-M1198)/M1198</f>
        <v/>
      </c>
      <c r="O1198" s="54">
        <f>(M1202-M1198)/M1198</f>
        <v/>
      </c>
      <c r="P1198" s="4">
        <f>B1198-D1198</f>
        <v/>
      </c>
      <c r="Q1198" s="4">
        <f>AVERAGE(P1195:P1198)</f>
        <v/>
      </c>
      <c r="R1198" s="54">
        <f>(M1199-M1198)/M1198</f>
        <v/>
      </c>
      <c r="S1198" s="54">
        <f>(M1202-M1198)/M1198</f>
        <v/>
      </c>
      <c r="T1198" s="63">
        <f>IF(R1198&gt;0,1,"")</f>
        <v/>
      </c>
      <c r="U1198" s="63">
        <f>IF(S1198&gt;0,1,"")</f>
        <v/>
      </c>
    </row>
    <row r="1199">
      <c r="A1199" s="35" t="n">
        <v>40283</v>
      </c>
      <c r="B1199" s="4" t="n">
        <v>0.4848</v>
      </c>
      <c r="C1199" s="4" t="n">
        <v>0.2182</v>
      </c>
      <c r="D1199" s="4" t="n">
        <v>0.297</v>
      </c>
      <c r="E1199" s="63" t="n">
        <v>1</v>
      </c>
      <c r="F1199" s="63" t="n">
        <v>0.39555</v>
      </c>
      <c r="G1199" s="63" t="n">
        <v>0.1878</v>
      </c>
      <c r="H1199" s="63" t="n">
        <v>0.384907436629</v>
      </c>
      <c r="I1199" s="63" t="n">
        <v>0.48829287048</v>
      </c>
      <c r="J1199" s="63" t="n">
        <v>0.281522002778</v>
      </c>
      <c r="K1199" s="63" t="n">
        <v>1210.77</v>
      </c>
      <c r="L1199" s="63" t="n">
        <v>1208.64</v>
      </c>
      <c r="M1199" s="63" t="n">
        <v>1210.65</v>
      </c>
      <c r="N1199" s="54">
        <f>(M1200-M1199)/M1199</f>
        <v/>
      </c>
      <c r="O1199" s="54">
        <f>(M1203-M1199)/M1199</f>
        <v/>
      </c>
      <c r="P1199" s="4">
        <f>B1199-D1199</f>
        <v/>
      </c>
      <c r="Q1199" s="4">
        <f>AVERAGE(P1196:P1199)</f>
        <v/>
      </c>
      <c r="R1199" s="54">
        <f>(M1200-M1199)/M1199</f>
        <v/>
      </c>
      <c r="S1199" s="54">
        <f>(M1203-M1199)/M1199</f>
        <v/>
      </c>
      <c r="T1199" s="63">
        <f>IF(R1199&gt;0,1,"")</f>
        <v/>
      </c>
      <c r="U1199" s="63">
        <f>IF(S1199&gt;0,1,"")</f>
        <v/>
      </c>
    </row>
    <row r="1200">
      <c r="A1200" s="35" t="n">
        <v>40290</v>
      </c>
      <c r="B1200" s="4" t="n">
        <v>0.3812</v>
      </c>
      <c r="C1200" s="4" t="n">
        <v>0.2762</v>
      </c>
      <c r="D1200" s="4" t="n">
        <v>0.3425</v>
      </c>
      <c r="E1200" s="63" t="n">
        <v>0.9999</v>
      </c>
      <c r="F1200" s="63" t="n">
        <v>0.3995875</v>
      </c>
      <c r="G1200" s="63" t="n">
        <v>0.0387</v>
      </c>
      <c r="H1200" s="63" t="n">
        <v>0.384907436629</v>
      </c>
      <c r="I1200" s="63" t="n">
        <v>0.48829287048</v>
      </c>
      <c r="J1200" s="63" t="n">
        <v>0.281522002778</v>
      </c>
      <c r="K1200" s="63" t="n">
        <v>1202.52</v>
      </c>
      <c r="L1200" s="63" t="n">
        <v>1190.19</v>
      </c>
      <c r="M1200" s="63" t="n">
        <v>1205.94</v>
      </c>
      <c r="N1200" s="54">
        <f>(M1201-M1200)/M1200</f>
        <v/>
      </c>
      <c r="O1200" s="54">
        <f>(M1204-M1200)/M1200</f>
        <v/>
      </c>
      <c r="P1200" s="4">
        <f>B1200-D1200</f>
        <v/>
      </c>
      <c r="Q1200" s="4">
        <f>AVERAGE(P1197:P1200)</f>
        <v/>
      </c>
      <c r="R1200" s="54">
        <f>(M1201-M1200)/M1200</f>
        <v/>
      </c>
      <c r="S1200" s="54">
        <f>(M1204-M1200)/M1200</f>
        <v/>
      </c>
      <c r="T1200" s="63">
        <f>IF(R1200&gt;0,1,"")</f>
        <v/>
      </c>
      <c r="U1200" s="63">
        <f>IF(S1200&gt;0,1,"")</f>
        <v/>
      </c>
    </row>
    <row r="1201">
      <c r="A1201" s="35" t="n">
        <v>40297</v>
      </c>
      <c r="B1201" s="4" t="n">
        <v>0.4136</v>
      </c>
      <c r="C1201" s="4" t="n">
        <v>0.3</v>
      </c>
      <c r="D1201" s="4" t="n">
        <v>0.2864</v>
      </c>
      <c r="E1201" s="63" t="n">
        <v>1</v>
      </c>
      <c r="F1201" s="63" t="n">
        <v>0.4064625</v>
      </c>
      <c r="G1201" s="63" t="n">
        <v>0.1272</v>
      </c>
      <c r="H1201" s="63" t="n">
        <v>0.384907436629</v>
      </c>
      <c r="I1201" s="63" t="n">
        <v>0.48829287048</v>
      </c>
      <c r="J1201" s="63" t="n">
        <v>0.281522002778</v>
      </c>
      <c r="K1201" s="63" t="n">
        <v>1202.59</v>
      </c>
      <c r="L1201" s="63" t="n">
        <v>1193.3</v>
      </c>
      <c r="M1201" s="63" t="n">
        <v>1191.36</v>
      </c>
      <c r="N1201" s="54">
        <f>(M1202-M1201)/M1201</f>
        <v/>
      </c>
      <c r="O1201" s="54">
        <f>(M1205-M1201)/M1201</f>
        <v/>
      </c>
      <c r="P1201" s="4">
        <f>B1201-D1201</f>
        <v/>
      </c>
      <c r="Q1201" s="4">
        <f>AVERAGE(P1198:P1201)</f>
        <v/>
      </c>
      <c r="R1201" s="54">
        <f>(M1202-M1201)/M1201</f>
        <v/>
      </c>
      <c r="S1201" s="54">
        <f>(M1205-M1201)/M1201</f>
        <v/>
      </c>
      <c r="T1201" s="63">
        <f>IF(R1201&gt;0,1,"")</f>
        <v/>
      </c>
      <c r="U1201" s="63">
        <f>IF(S1201&gt;0,1,"")</f>
        <v/>
      </c>
    </row>
    <row r="1202">
      <c r="A1202" s="35" t="n">
        <v>40304</v>
      </c>
      <c r="B1202" s="4" t="n">
        <v>0.3913</v>
      </c>
      <c r="C1202" s="4" t="n">
        <v>0.323</v>
      </c>
      <c r="D1202" s="4" t="n">
        <v>0.2857</v>
      </c>
      <c r="E1202" s="63" t="n">
        <v>1</v>
      </c>
      <c r="F1202" s="63" t="n">
        <v>0.3987625</v>
      </c>
      <c r="G1202" s="63" t="n">
        <v>0.1056</v>
      </c>
      <c r="H1202" s="63" t="n">
        <v>0.384907436629</v>
      </c>
      <c r="I1202" s="63" t="n">
        <v>0.48829287048</v>
      </c>
      <c r="J1202" s="63" t="n">
        <v>0.281522002778</v>
      </c>
      <c r="K1202" s="63" t="n">
        <v>1166.65</v>
      </c>
      <c r="L1202" s="63" t="n">
        <v>1161.74</v>
      </c>
      <c r="M1202" s="63" t="n">
        <v>1165.87</v>
      </c>
      <c r="N1202" s="54">
        <f>(M1203-M1202)/M1202</f>
        <v/>
      </c>
      <c r="O1202" s="54">
        <f>(M1206-M1202)/M1202</f>
        <v/>
      </c>
      <c r="P1202" s="4">
        <f>B1202-D1202</f>
        <v/>
      </c>
      <c r="Q1202" s="4">
        <f>AVERAGE(P1199:P1202)</f>
        <v/>
      </c>
      <c r="R1202" s="54">
        <f>(M1203-M1202)/M1202</f>
        <v/>
      </c>
      <c r="S1202" s="54">
        <f>(M1206-M1202)/M1202</f>
        <v/>
      </c>
      <c r="T1202" s="63">
        <f>IF(R1202&gt;0,1,"")</f>
        <v/>
      </c>
      <c r="U1202" s="63">
        <f>IF(S1202&gt;0,1,"")</f>
        <v/>
      </c>
    </row>
    <row r="1203">
      <c r="A1203" s="35" t="n">
        <v>40311</v>
      </c>
      <c r="B1203" s="4" t="n">
        <v>0.366</v>
      </c>
      <c r="C1203" s="4" t="n">
        <v>0.268</v>
      </c>
      <c r="D1203" s="4" t="n">
        <v>0.366</v>
      </c>
      <c r="E1203" s="63" t="n">
        <v>1</v>
      </c>
      <c r="F1203" s="63" t="n">
        <v>0.4003</v>
      </c>
      <c r="G1203" s="63" t="n">
        <v>0</v>
      </c>
      <c r="H1203" s="63" t="n">
        <v>0.384907436629</v>
      </c>
      <c r="I1203" s="63" t="n">
        <v>0.48829287048</v>
      </c>
      <c r="J1203" s="63" t="n">
        <v>0.281522002778</v>
      </c>
      <c r="K1203" s="63" t="n">
        <v>1170.61</v>
      </c>
      <c r="L1203" s="63" t="n">
        <v>1164.48</v>
      </c>
      <c r="M1203" s="63" t="n">
        <v>1171.67</v>
      </c>
      <c r="N1203" s="54">
        <f>(M1204-M1203)/M1203</f>
        <v/>
      </c>
      <c r="O1203" s="54">
        <f>(M1207-M1203)/M1203</f>
        <v/>
      </c>
      <c r="P1203" s="4">
        <f>B1203-D1203</f>
        <v/>
      </c>
      <c r="Q1203" s="4">
        <f>AVERAGE(P1200:P1203)</f>
        <v/>
      </c>
      <c r="R1203" s="54">
        <f>(M1204-M1203)/M1203</f>
        <v/>
      </c>
      <c r="S1203" s="54">
        <f>(M1207-M1203)/M1203</f>
        <v/>
      </c>
      <c r="T1203" s="63">
        <f>IF(R1203&gt;0,1,"")</f>
        <v/>
      </c>
      <c r="U1203" s="63">
        <f>IF(S1203&gt;0,1,"")</f>
        <v/>
      </c>
    </row>
    <row r="1204">
      <c r="A1204" s="35" t="n">
        <v>40318</v>
      </c>
      <c r="B1204" s="4" t="n">
        <v>0.413</v>
      </c>
      <c r="C1204" s="4" t="n">
        <v>0.25</v>
      </c>
      <c r="D1204" s="4" t="n">
        <v>0.337</v>
      </c>
      <c r="E1204" s="63" t="n">
        <v>1</v>
      </c>
      <c r="F1204" s="63" t="n">
        <v>0.4114375</v>
      </c>
      <c r="G1204" s="63" t="n">
        <v>0.076</v>
      </c>
      <c r="H1204" s="63" t="n">
        <v>0.384907436629</v>
      </c>
      <c r="I1204" s="63" t="n">
        <v>0.48829287048</v>
      </c>
      <c r="J1204" s="63" t="n">
        <v>0.281522002778</v>
      </c>
      <c r="K1204" s="63" t="n">
        <v>1107.34</v>
      </c>
      <c r="L1204" s="63" t="n">
        <v>1088.33</v>
      </c>
      <c r="M1204" s="63" t="n">
        <v>1115.05</v>
      </c>
      <c r="N1204" s="54">
        <f>(M1205-M1204)/M1204</f>
        <v/>
      </c>
      <c r="O1204" s="54">
        <f>(M1208-M1204)/M1204</f>
        <v/>
      </c>
      <c r="P1204" s="4">
        <f>B1204-D1204</f>
        <v/>
      </c>
      <c r="Q1204" s="4">
        <f>AVERAGE(P1201:P1204)</f>
        <v/>
      </c>
      <c r="R1204" s="54">
        <f>(M1205-M1204)/M1204</f>
        <v/>
      </c>
      <c r="S1204" s="54">
        <f>(M1208-M1204)/M1204</f>
        <v/>
      </c>
      <c r="T1204" s="63">
        <f>IF(R1204&gt;0,1,"")</f>
        <v/>
      </c>
      <c r="U1204" s="63">
        <f>IF(S1204&gt;0,1,"")</f>
        <v/>
      </c>
    </row>
    <row r="1205">
      <c r="A1205" s="35" t="n">
        <v>40325</v>
      </c>
      <c r="B1205" s="4" t="n">
        <v>0.2983</v>
      </c>
      <c r="C1205" s="4" t="n">
        <v>0.193</v>
      </c>
      <c r="D1205" s="4" t="n">
        <v>0.5088</v>
      </c>
      <c r="E1205" s="63" t="n">
        <v>1.0001</v>
      </c>
      <c r="F1205" s="63" t="n">
        <v>0.3971</v>
      </c>
      <c r="G1205" s="63" t="n">
        <v>-0.2105</v>
      </c>
      <c r="H1205" s="63" t="n">
        <v>0.384907436629</v>
      </c>
      <c r="I1205" s="63" t="n">
        <v>0.48829287048</v>
      </c>
      <c r="J1205" s="63" t="n">
        <v>0.281522002778</v>
      </c>
      <c r="K1205" s="63" t="n">
        <v>1089.6</v>
      </c>
      <c r="L1205" s="63" t="n">
        <v>1074.27</v>
      </c>
      <c r="M1205" s="63" t="n">
        <v>1067.95</v>
      </c>
      <c r="N1205" s="54">
        <f>(M1206-M1205)/M1205</f>
        <v/>
      </c>
      <c r="O1205" s="54">
        <f>(M1209-M1205)/M1205</f>
        <v/>
      </c>
      <c r="P1205" s="4">
        <f>B1205-D1205</f>
        <v/>
      </c>
      <c r="Q1205" s="4">
        <f>AVERAGE(P1202:P1205)</f>
        <v/>
      </c>
      <c r="R1205" s="54">
        <f>(M1206-M1205)/M1205</f>
        <v/>
      </c>
      <c r="S1205" s="54">
        <f>(M1209-M1205)/M1205</f>
        <v/>
      </c>
      <c r="T1205" s="63">
        <f>IF(R1205&gt;0,1,"")</f>
        <v/>
      </c>
      <c r="U1205" s="63">
        <f>IF(S1205&gt;0,1,"")</f>
        <v/>
      </c>
    </row>
    <row r="1206">
      <c r="A1206" s="35" t="n">
        <v>40332</v>
      </c>
      <c r="B1206" s="4" t="n">
        <v>0.3709</v>
      </c>
      <c r="C1206" s="4" t="n">
        <v>0.2207</v>
      </c>
      <c r="D1206" s="4" t="n">
        <v>0.4085</v>
      </c>
      <c r="E1206" s="63" t="n">
        <v>1.0001</v>
      </c>
      <c r="F1206" s="63" t="n">
        <v>0.3898875</v>
      </c>
      <c r="G1206" s="63" t="n">
        <v>-0.0376</v>
      </c>
      <c r="H1206" s="63" t="n">
        <v>0.384907436629</v>
      </c>
      <c r="I1206" s="63" t="n">
        <v>0.48829287048</v>
      </c>
      <c r="J1206" s="63" t="n">
        <v>0.281522002778</v>
      </c>
      <c r="K1206" s="63" t="n">
        <v>1105.67</v>
      </c>
      <c r="L1206" s="63" t="n">
        <v>1098.82</v>
      </c>
      <c r="M1206" s="63" t="n">
        <v>1098.38</v>
      </c>
      <c r="N1206" s="54">
        <f>(M1207-M1206)/M1206</f>
        <v/>
      </c>
      <c r="O1206" s="54">
        <f>(M1210-M1206)/M1206</f>
        <v/>
      </c>
      <c r="P1206" s="4">
        <f>B1206-D1206</f>
        <v/>
      </c>
      <c r="Q1206" s="4">
        <f>AVERAGE(P1203:P1206)</f>
        <v/>
      </c>
      <c r="R1206" s="54">
        <f>(M1207-M1206)/M1206</f>
        <v/>
      </c>
      <c r="S1206" s="54">
        <f>(M1210-M1206)/M1206</f>
        <v/>
      </c>
      <c r="T1206" s="63">
        <f>IF(R1206&gt;0,1,"")</f>
        <v/>
      </c>
      <c r="U1206" s="63">
        <f>IF(S1206&gt;0,1,"")</f>
        <v/>
      </c>
    </row>
    <row r="1207">
      <c r="A1207" s="35" t="n">
        <v>40339</v>
      </c>
      <c r="B1207" s="4" t="n">
        <v>0.3448</v>
      </c>
      <c r="C1207" s="4" t="n">
        <v>0.2241</v>
      </c>
      <c r="D1207" s="4" t="n">
        <v>0.431</v>
      </c>
      <c r="E1207" s="63" t="n">
        <v>0.9999</v>
      </c>
      <c r="F1207" s="63" t="n">
        <v>0.3723875</v>
      </c>
      <c r="G1207" s="63" t="n">
        <v>-0.0862</v>
      </c>
      <c r="H1207" s="63" t="n">
        <v>0.384907436629</v>
      </c>
      <c r="I1207" s="63" t="n">
        <v>0.48829287048</v>
      </c>
      <c r="J1207" s="63" t="n">
        <v>0.281522002778</v>
      </c>
      <c r="K1207" s="63" t="n">
        <v>1083.05</v>
      </c>
      <c r="L1207" s="63" t="n">
        <v>1058.77</v>
      </c>
      <c r="M1207" s="63" t="n">
        <v>1055.69</v>
      </c>
      <c r="N1207" s="54">
        <f>(M1208-M1207)/M1207</f>
        <v/>
      </c>
      <c r="O1207" s="54">
        <f>(M1211-M1207)/M1207</f>
        <v/>
      </c>
      <c r="P1207" s="4">
        <f>B1207-D1207</f>
        <v/>
      </c>
      <c r="Q1207" s="4">
        <f>AVERAGE(P1204:P1207)</f>
        <v/>
      </c>
      <c r="R1207" s="54">
        <f>(M1208-M1207)/M1207</f>
        <v/>
      </c>
      <c r="S1207" s="54">
        <f>(M1211-M1207)/M1207</f>
        <v/>
      </c>
      <c r="T1207" s="63">
        <f>IF(R1207&gt;0,1,"")</f>
        <v/>
      </c>
      <c r="U1207" s="63">
        <f>IF(S1207&gt;0,1,"")</f>
        <v/>
      </c>
    </row>
    <row r="1208">
      <c r="A1208" s="35" t="n">
        <v>40346</v>
      </c>
      <c r="B1208" s="4" t="n">
        <v>0.4245</v>
      </c>
      <c r="C1208" s="4" t="n">
        <v>0.2689</v>
      </c>
      <c r="D1208" s="4" t="n">
        <v>0.3066</v>
      </c>
      <c r="E1208" s="63" t="n">
        <v>1</v>
      </c>
      <c r="F1208" s="63" t="n">
        <v>0.3778</v>
      </c>
      <c r="G1208" s="63" t="n">
        <v>0.1179</v>
      </c>
      <c r="H1208" s="63" t="n">
        <v>0.384907436629</v>
      </c>
      <c r="I1208" s="63" t="n">
        <v>0.48829287048</v>
      </c>
      <c r="J1208" s="63" t="n">
        <v>0.281522002778</v>
      </c>
      <c r="K1208" s="63" t="n">
        <v>1117.72</v>
      </c>
      <c r="L1208" s="63" t="n">
        <v>1106.38</v>
      </c>
      <c r="M1208" s="63" t="n">
        <v>1114.61</v>
      </c>
      <c r="N1208" s="54">
        <f>(M1209-M1208)/M1208</f>
        <v/>
      </c>
      <c r="O1208" s="54">
        <f>(M1212-M1208)/M1208</f>
        <v/>
      </c>
      <c r="P1208" s="4">
        <f>B1208-D1208</f>
        <v/>
      </c>
      <c r="Q1208" s="4">
        <f>AVERAGE(P1205:P1208)</f>
        <v/>
      </c>
      <c r="R1208" s="54">
        <f>(M1209-M1208)/M1208</f>
        <v/>
      </c>
      <c r="S1208" s="54">
        <f>(M1212-M1208)/M1208</f>
        <v/>
      </c>
      <c r="T1208" s="63">
        <f>IF(R1208&gt;0,1,"")</f>
        <v/>
      </c>
      <c r="U1208" s="63">
        <f>IF(S1208&gt;0,1,"")</f>
        <v/>
      </c>
    </row>
    <row r="1209">
      <c r="A1209" s="35" t="n">
        <v>40353</v>
      </c>
      <c r="B1209" s="4" t="n">
        <v>0.3446</v>
      </c>
      <c r="C1209" s="4" t="n">
        <v>0.3311</v>
      </c>
      <c r="D1209" s="4" t="n">
        <v>0.3243</v>
      </c>
      <c r="E1209" s="63" t="n">
        <v>1</v>
      </c>
      <c r="F1209" s="63" t="n">
        <v>0.369175</v>
      </c>
      <c r="G1209" s="63" t="n">
        <v>0.0203</v>
      </c>
      <c r="H1209" s="63" t="n">
        <v>0.384907436629</v>
      </c>
      <c r="I1209" s="63" t="n">
        <v>0.48829287048</v>
      </c>
      <c r="J1209" s="63" t="n">
        <v>0.281522002778</v>
      </c>
      <c r="K1209" s="63" t="n">
        <v>1090.93</v>
      </c>
      <c r="L1209" s="63" t="n">
        <v>1079.17</v>
      </c>
      <c r="M1209" s="63" t="n">
        <v>1092.04</v>
      </c>
      <c r="N1209" s="54">
        <f>(M1210-M1209)/M1209</f>
        <v/>
      </c>
      <c r="O1209" s="54">
        <f>(M1213-M1209)/M1209</f>
        <v/>
      </c>
      <c r="P1209" s="4">
        <f>B1209-D1209</f>
        <v/>
      </c>
      <c r="Q1209" s="4">
        <f>AVERAGE(P1206:P1209)</f>
        <v/>
      </c>
      <c r="R1209" s="54">
        <f>(M1210-M1209)/M1209</f>
        <v/>
      </c>
      <c r="S1209" s="54">
        <f>(M1213-M1209)/M1209</f>
        <v/>
      </c>
      <c r="T1209" s="63">
        <f>IF(R1209&gt;0,1,"")</f>
        <v/>
      </c>
      <c r="U1209" s="63">
        <f>IF(S1209&gt;0,1,"")</f>
        <v/>
      </c>
    </row>
    <row r="1210">
      <c r="A1210" s="35" t="n">
        <v>40360</v>
      </c>
      <c r="B1210" s="4" t="n">
        <v>0.2468</v>
      </c>
      <c r="C1210" s="4" t="n">
        <v>0.3333</v>
      </c>
      <c r="D1210" s="4" t="n">
        <v>0.4199</v>
      </c>
      <c r="E1210" s="63" t="n">
        <v>1</v>
      </c>
      <c r="F1210" s="63" t="n">
        <v>0.3511125</v>
      </c>
      <c r="G1210" s="63" t="n">
        <v>-0.1731</v>
      </c>
      <c r="H1210" s="63" t="n">
        <v>0.384907436629</v>
      </c>
      <c r="I1210" s="63" t="n">
        <v>0.48829287048</v>
      </c>
      <c r="J1210" s="63" t="n">
        <v>0.281522002778</v>
      </c>
      <c r="K1210" s="63" t="n">
        <v>1033.58</v>
      </c>
      <c r="L1210" s="63" t="n">
        <v>1021.65</v>
      </c>
      <c r="M1210" s="63" t="n">
        <v>1030.71</v>
      </c>
      <c r="N1210" s="54">
        <f>(M1211-M1210)/M1210</f>
        <v/>
      </c>
      <c r="O1210" s="54">
        <f>(M1214-M1210)/M1210</f>
        <v/>
      </c>
      <c r="P1210" s="4">
        <f>B1210-D1210</f>
        <v/>
      </c>
      <c r="Q1210" s="4">
        <f>AVERAGE(P1207:P1210)</f>
        <v/>
      </c>
      <c r="R1210" s="54">
        <f>(M1211-M1210)/M1210</f>
        <v/>
      </c>
      <c r="S1210" s="54">
        <f>(M1214-M1210)/M1210</f>
        <v/>
      </c>
      <c r="T1210" s="63">
        <f>IF(R1210&gt;0,1,"")</f>
        <v/>
      </c>
      <c r="U1210" s="63">
        <f>IF(S1210&gt;0,1,"")</f>
        <v/>
      </c>
    </row>
    <row r="1211">
      <c r="A1211" s="35" t="n">
        <v>40367</v>
      </c>
      <c r="B1211" s="4" t="n">
        <v>0.2094</v>
      </c>
      <c r="C1211" s="4" t="n">
        <v>0.2199</v>
      </c>
      <c r="D1211" s="4" t="n">
        <v>0.5707</v>
      </c>
      <c r="E1211" s="63" t="n">
        <v>1</v>
      </c>
      <c r="F1211" s="63" t="n">
        <v>0.3315375</v>
      </c>
      <c r="G1211" s="63" t="n">
        <v>-0.3613</v>
      </c>
      <c r="H1211" s="63" t="n">
        <v>0.384907436629</v>
      </c>
      <c r="I1211" s="63" t="n">
        <v>0.48829287048</v>
      </c>
      <c r="J1211" s="63" t="n">
        <v>0.281522002778</v>
      </c>
      <c r="K1211" s="63" t="n">
        <v>1071.25</v>
      </c>
      <c r="L1211" s="63" t="n">
        <v>1062.92</v>
      </c>
      <c r="M1211" s="63" t="n">
        <v>1060.27</v>
      </c>
      <c r="N1211" s="54">
        <f>(M1212-M1211)/M1211</f>
        <v/>
      </c>
      <c r="O1211" s="54">
        <f>(M1215-M1211)/M1211</f>
        <v/>
      </c>
      <c r="P1211" s="4">
        <f>B1211-D1211</f>
        <v/>
      </c>
      <c r="Q1211" s="4">
        <f>AVERAGE(P1208:P1211)</f>
        <v/>
      </c>
      <c r="R1211" s="54">
        <f>(M1212-M1211)/M1211</f>
        <v/>
      </c>
      <c r="S1211" s="54">
        <f>(M1215-M1211)/M1211</f>
        <v/>
      </c>
      <c r="T1211" s="63">
        <f>IF(R1211&gt;0,1,"")</f>
        <v/>
      </c>
      <c r="U1211" s="63">
        <f>IF(S1211&gt;0,1,"")</f>
        <v/>
      </c>
    </row>
    <row r="1212">
      <c r="A1212" s="35" t="n">
        <v>40374</v>
      </c>
      <c r="B1212" s="4" t="n">
        <v>0.3937</v>
      </c>
      <c r="C1212" s="4" t="n">
        <v>0.2284</v>
      </c>
      <c r="D1212" s="4" t="n">
        <v>0.378</v>
      </c>
      <c r="E1212" s="63" t="n">
        <v>1.0001</v>
      </c>
      <c r="F1212" s="63" t="n">
        <v>0.329125</v>
      </c>
      <c r="G1212" s="63" t="n">
        <v>0.0157</v>
      </c>
      <c r="H1212" s="63" t="n">
        <v>0.384907436629</v>
      </c>
      <c r="I1212" s="63" t="n">
        <v>0.48829287048</v>
      </c>
      <c r="J1212" s="63" t="n">
        <v>0.281522002778</v>
      </c>
      <c r="K1212" s="63" t="n">
        <v>1095.17</v>
      </c>
      <c r="L1212" s="63" t="n">
        <v>1080.53</v>
      </c>
      <c r="M1212" s="63" t="n">
        <v>1095.17</v>
      </c>
      <c r="N1212" s="54">
        <f>(M1213-M1212)/M1212</f>
        <v/>
      </c>
      <c r="O1212" s="54">
        <f>(M1216-M1212)/M1212</f>
        <v/>
      </c>
      <c r="P1212" s="4">
        <f>B1212-D1212</f>
        <v/>
      </c>
      <c r="Q1212" s="4">
        <f>AVERAGE(P1209:P1212)</f>
        <v/>
      </c>
      <c r="R1212" s="54">
        <f>(M1213-M1212)/M1212</f>
        <v/>
      </c>
      <c r="S1212" s="54">
        <f>(M1216-M1212)/M1212</f>
        <v/>
      </c>
      <c r="T1212" s="63">
        <f>IF(R1212&gt;0,1,"")</f>
        <v/>
      </c>
      <c r="U1212" s="63">
        <f>IF(S1212&gt;0,1,"")</f>
        <v/>
      </c>
    </row>
    <row r="1213">
      <c r="A1213" s="35" t="n">
        <v>40381</v>
      </c>
      <c r="B1213" s="4" t="n">
        <v>0.3216</v>
      </c>
      <c r="C1213" s="4" t="n">
        <v>0.2281</v>
      </c>
      <c r="D1213" s="4" t="n">
        <v>0.4503</v>
      </c>
      <c r="E1213" s="63" t="n">
        <v>1</v>
      </c>
      <c r="F1213" s="63" t="n">
        <v>0.3320375</v>
      </c>
      <c r="G1213" s="63" t="n">
        <v>-0.1287</v>
      </c>
      <c r="H1213" s="63" t="n">
        <v>0.384907436629</v>
      </c>
      <c r="I1213" s="63" t="n">
        <v>0.48829287048</v>
      </c>
      <c r="J1213" s="63" t="n">
        <v>0.281522002778</v>
      </c>
      <c r="K1213" s="63" t="n">
        <v>1094.59</v>
      </c>
      <c r="L1213" s="63" t="n">
        <v>1072.14</v>
      </c>
      <c r="M1213" s="63" t="n">
        <v>1069.59</v>
      </c>
      <c r="N1213" s="54">
        <f>(M1214-M1213)/M1213</f>
        <v/>
      </c>
      <c r="O1213" s="54">
        <f>(M1217-M1213)/M1213</f>
        <v/>
      </c>
      <c r="P1213" s="4">
        <f>B1213-D1213</f>
        <v/>
      </c>
      <c r="Q1213" s="4">
        <f>AVERAGE(P1210:P1213)</f>
        <v/>
      </c>
      <c r="R1213" s="54">
        <f>(M1214-M1213)/M1213</f>
        <v/>
      </c>
      <c r="S1213" s="54">
        <f>(M1217-M1213)/M1213</f>
        <v/>
      </c>
      <c r="T1213" s="63">
        <f>IF(R1213&gt;0,1,"")</f>
        <v/>
      </c>
      <c r="U1213" s="63">
        <f>IF(S1213&gt;0,1,"")</f>
        <v/>
      </c>
    </row>
    <row r="1214">
      <c r="A1214" s="35" t="n">
        <v>40388</v>
      </c>
      <c r="B1214" s="4" t="n">
        <v>0.4</v>
      </c>
      <c r="C1214" s="4" t="n">
        <v>0.2667</v>
      </c>
      <c r="D1214" s="4" t="n">
        <v>0.3333</v>
      </c>
      <c r="E1214" s="63" t="n">
        <v>1</v>
      </c>
      <c r="F1214" s="63" t="n">
        <v>0.335675</v>
      </c>
      <c r="G1214" s="63" t="n">
        <v>0.0667</v>
      </c>
      <c r="H1214" s="63" t="n">
        <v>0.384907436629</v>
      </c>
      <c r="I1214" s="63" t="n">
        <v>0.48829287048</v>
      </c>
      <c r="J1214" s="63" t="n">
        <v>0.281522002778</v>
      </c>
      <c r="K1214" s="63" t="n">
        <v>1115.9</v>
      </c>
      <c r="L1214" s="63" t="n">
        <v>1109.63</v>
      </c>
      <c r="M1214" s="63" t="n">
        <v>1106.13</v>
      </c>
      <c r="N1214" s="54">
        <f>(M1215-M1214)/M1214</f>
        <v/>
      </c>
      <c r="O1214" s="54">
        <f>(M1218-M1214)/M1214</f>
        <v/>
      </c>
      <c r="P1214" s="4">
        <f>B1214-D1214</f>
        <v/>
      </c>
      <c r="Q1214" s="4">
        <f>AVERAGE(P1211:P1214)</f>
        <v/>
      </c>
      <c r="R1214" s="54">
        <f>(M1215-M1214)/M1214</f>
        <v/>
      </c>
      <c r="S1214" s="54">
        <f>(M1218-M1214)/M1214</f>
        <v/>
      </c>
      <c r="T1214" s="63">
        <f>IF(R1214&gt;0,1,"")</f>
        <v/>
      </c>
      <c r="U1214" s="63">
        <f>IF(S1214&gt;0,1,"")</f>
        <v/>
      </c>
    </row>
    <row r="1215">
      <c r="A1215" s="35" t="n">
        <v>40395</v>
      </c>
      <c r="B1215" s="4" t="n">
        <v>0.3039</v>
      </c>
      <c r="C1215" s="4" t="n">
        <v>0.3137</v>
      </c>
      <c r="D1215" s="4" t="n">
        <v>0.3824</v>
      </c>
      <c r="E1215" s="63" t="n">
        <v>1</v>
      </c>
      <c r="F1215" s="63" t="n">
        <v>0.3305625</v>
      </c>
      <c r="G1215" s="63" t="n">
        <v>-0.0785</v>
      </c>
      <c r="H1215" s="63" t="n">
        <v>0.384907436629</v>
      </c>
      <c r="I1215" s="63" t="n">
        <v>0.48829287048</v>
      </c>
      <c r="J1215" s="63" t="n">
        <v>0.281522002778</v>
      </c>
      <c r="K1215" s="63" t="n">
        <v>1124.75</v>
      </c>
      <c r="L1215" s="63" t="n">
        <v>1118.81</v>
      </c>
      <c r="M1215" s="63" t="n">
        <v>1127.24</v>
      </c>
      <c r="N1215" s="54">
        <f>(M1216-M1215)/M1215</f>
        <v/>
      </c>
      <c r="O1215" s="54">
        <f>(M1219-M1215)/M1215</f>
        <v/>
      </c>
      <c r="P1215" s="4">
        <f>B1215-D1215</f>
        <v/>
      </c>
      <c r="Q1215" s="4">
        <f>AVERAGE(P1212:P1215)</f>
        <v/>
      </c>
      <c r="R1215" s="54">
        <f>(M1216-M1215)/M1215</f>
        <v/>
      </c>
      <c r="S1215" s="54">
        <f>(M1219-M1215)/M1215</f>
        <v/>
      </c>
      <c r="T1215" s="63">
        <f>IF(R1215&gt;0,1,"")</f>
        <v/>
      </c>
      <c r="U1215" s="63">
        <f>IF(S1215&gt;0,1,"")</f>
        <v/>
      </c>
    </row>
    <row r="1216">
      <c r="A1216" s="35" t="n">
        <v>40402</v>
      </c>
      <c r="B1216" s="4" t="n">
        <v>0.3976</v>
      </c>
      <c r="C1216" s="4" t="n">
        <v>0.3012</v>
      </c>
      <c r="D1216" s="4" t="n">
        <v>0.3012</v>
      </c>
      <c r="E1216" s="63" t="n">
        <v>1</v>
      </c>
      <c r="F1216" s="63" t="n">
        <v>0.3272</v>
      </c>
      <c r="G1216" s="63" t="n">
        <v>0.0964</v>
      </c>
      <c r="H1216" s="63" t="n">
        <v>0.384907436629</v>
      </c>
      <c r="I1216" s="63" t="n">
        <v>0.48829287048</v>
      </c>
      <c r="J1216" s="63" t="n">
        <v>0.281522002778</v>
      </c>
      <c r="K1216" s="63" t="n">
        <v>1083.88</v>
      </c>
      <c r="L1216" s="63" t="n">
        <v>1076.69</v>
      </c>
      <c r="M1216" s="63" t="n">
        <v>1089.47</v>
      </c>
      <c r="N1216" s="54">
        <f>(M1217-M1216)/M1216</f>
        <v/>
      </c>
      <c r="O1216" s="54">
        <f>(M1220-M1216)/M1216</f>
        <v/>
      </c>
      <c r="P1216" s="4">
        <f>B1216-D1216</f>
        <v/>
      </c>
      <c r="Q1216" s="4">
        <f>AVERAGE(P1213:P1216)</f>
        <v/>
      </c>
      <c r="R1216" s="54">
        <f>(M1217-M1216)/M1216</f>
        <v/>
      </c>
      <c r="S1216" s="54">
        <f>(M1220-M1216)/M1216</f>
        <v/>
      </c>
      <c r="T1216" s="63">
        <f>IF(R1216&gt;0,1,"")</f>
        <v/>
      </c>
      <c r="U1216" s="63">
        <f>IF(S1216&gt;0,1,"")</f>
        <v/>
      </c>
    </row>
    <row r="1217">
      <c r="A1217" s="35" t="n">
        <v>40409</v>
      </c>
      <c r="B1217" s="4" t="n">
        <v>0.3011</v>
      </c>
      <c r="C1217" s="4" t="n">
        <v>0.2742</v>
      </c>
      <c r="D1217" s="4" t="n">
        <v>0.4247</v>
      </c>
      <c r="E1217" s="63" t="n">
        <v>1</v>
      </c>
      <c r="F1217" s="63" t="n">
        <v>0.3217625</v>
      </c>
      <c r="G1217" s="63" t="n">
        <v>-0.1236</v>
      </c>
      <c r="H1217" s="63" t="n">
        <v>0.384907436629</v>
      </c>
      <c r="I1217" s="63" t="n">
        <v>0.48829287048</v>
      </c>
      <c r="J1217" s="63" t="n">
        <v>0.281522002778</v>
      </c>
      <c r="K1217" s="63" t="n">
        <v>1092.44</v>
      </c>
      <c r="L1217" s="63" t="n">
        <v>1077.35</v>
      </c>
      <c r="M1217" s="63" t="n">
        <v>1094.16</v>
      </c>
      <c r="N1217" s="54">
        <f>(M1218-M1217)/M1217</f>
        <v/>
      </c>
      <c r="O1217" s="54">
        <f>(M1221-M1217)/M1217</f>
        <v/>
      </c>
      <c r="P1217" s="4">
        <f>B1217-D1217</f>
        <v/>
      </c>
      <c r="Q1217" s="4">
        <f>AVERAGE(P1214:P1217)</f>
        <v/>
      </c>
      <c r="R1217" s="54">
        <f>(M1218-M1217)/M1217</f>
        <v/>
      </c>
      <c r="S1217" s="54">
        <f>(M1221-M1217)/M1217</f>
        <v/>
      </c>
      <c r="T1217" s="63">
        <f>IF(R1217&gt;0,1,"")</f>
        <v/>
      </c>
      <c r="U1217" s="63">
        <f>IF(S1217&gt;0,1,"")</f>
        <v/>
      </c>
    </row>
    <row r="1218">
      <c r="A1218" s="35" t="n">
        <v>40416</v>
      </c>
      <c r="B1218" s="4" t="n">
        <v>0.2074</v>
      </c>
      <c r="C1218" s="4" t="n">
        <v>0.2979</v>
      </c>
      <c r="D1218" s="4" t="n">
        <v>0.4947</v>
      </c>
      <c r="E1218" s="63" t="n">
        <v>1</v>
      </c>
      <c r="F1218" s="63" t="n">
        <v>0.3168375</v>
      </c>
      <c r="G1218" s="63" t="n">
        <v>-0.2873</v>
      </c>
      <c r="H1218" s="63" t="n">
        <v>0.384907436629</v>
      </c>
      <c r="I1218" s="63" t="n">
        <v>0.48829287048</v>
      </c>
      <c r="J1218" s="63" t="n">
        <v>0.281522002778</v>
      </c>
      <c r="K1218" s="63" t="n">
        <v>1060.25</v>
      </c>
      <c r="L1218" s="63" t="n">
        <v>1055.38</v>
      </c>
      <c r="M1218" s="63" t="n">
        <v>1055.33</v>
      </c>
      <c r="N1218" s="54">
        <f>(M1219-M1218)/M1218</f>
        <v/>
      </c>
      <c r="O1218" s="54">
        <f>(M1222-M1218)/M1218</f>
        <v/>
      </c>
      <c r="P1218" s="4">
        <f>B1218-D1218</f>
        <v/>
      </c>
      <c r="Q1218" s="4">
        <f>AVERAGE(P1215:P1218)</f>
        <v/>
      </c>
      <c r="R1218" s="54">
        <f>(M1219-M1218)/M1218</f>
        <v/>
      </c>
      <c r="S1218" s="54">
        <f>(M1222-M1218)/M1218</f>
        <v/>
      </c>
      <c r="T1218" s="63">
        <f>IF(R1218&gt;0,1,"")</f>
        <v/>
      </c>
      <c r="U1218" s="63">
        <f>IF(S1218&gt;0,1,"")</f>
        <v/>
      </c>
    </row>
    <row r="1219">
      <c r="A1219" s="35" t="n">
        <v>40423</v>
      </c>
      <c r="B1219" s="4" t="n">
        <v>0.308</v>
      </c>
      <c r="C1219" s="4" t="n">
        <v>0.27</v>
      </c>
      <c r="D1219" s="4" t="n">
        <v>0.4221</v>
      </c>
      <c r="E1219" s="63" t="n">
        <v>1.0001</v>
      </c>
      <c r="F1219" s="63" t="n">
        <v>0.3291625</v>
      </c>
      <c r="G1219" s="63" t="n">
        <v>-0.1141</v>
      </c>
      <c r="H1219" s="63" t="n">
        <v>0.384907436629</v>
      </c>
      <c r="I1219" s="63" t="n">
        <v>0.48829287048</v>
      </c>
      <c r="J1219" s="63" t="n">
        <v>0.281522002778</v>
      </c>
      <c r="K1219" s="63" t="n">
        <v>1086.55</v>
      </c>
      <c r="L1219" s="63" t="n">
        <v>1080.39</v>
      </c>
      <c r="M1219" s="63" t="n">
        <v>1080.29</v>
      </c>
      <c r="N1219" s="54">
        <f>(M1220-M1219)/M1219</f>
        <v/>
      </c>
      <c r="O1219" s="54">
        <f>(M1223-M1219)/M1219</f>
        <v/>
      </c>
      <c r="P1219" s="4">
        <f>B1219-D1219</f>
        <v/>
      </c>
      <c r="Q1219" s="4">
        <f>AVERAGE(P1216:P1219)</f>
        <v/>
      </c>
      <c r="R1219" s="54">
        <f>(M1220-M1219)/M1219</f>
        <v/>
      </c>
      <c r="S1219" s="54">
        <f>(M1223-M1219)/M1219</f>
        <v/>
      </c>
      <c r="T1219" s="63">
        <f>IF(R1219&gt;0,1,"")</f>
        <v/>
      </c>
      <c r="U1219" s="63">
        <f>IF(S1219&gt;0,1,"")</f>
        <v/>
      </c>
    </row>
    <row r="1220">
      <c r="A1220" s="35" t="n">
        <v>40430</v>
      </c>
      <c r="B1220" s="4" t="n">
        <v>0.4387</v>
      </c>
      <c r="C1220" s="4" t="n">
        <v>0.2451</v>
      </c>
      <c r="D1220" s="4" t="n">
        <v>0.3161</v>
      </c>
      <c r="E1220" s="63" t="n">
        <v>0.9999</v>
      </c>
      <c r="F1220" s="63" t="n">
        <v>0.3347875</v>
      </c>
      <c r="G1220" s="63" t="n">
        <v>0.1226</v>
      </c>
      <c r="H1220" s="63" t="n">
        <v>0.384907436629</v>
      </c>
      <c r="I1220" s="63" t="n">
        <v>0.48829287048</v>
      </c>
      <c r="J1220" s="63" t="n">
        <v>0.281522002778</v>
      </c>
      <c r="K1220" s="63" t="n">
        <v>1103.26</v>
      </c>
      <c r="L1220" s="63" t="n">
        <v>1092.36</v>
      </c>
      <c r="M1220" s="63" t="n">
        <v>1091.84</v>
      </c>
      <c r="N1220" s="54">
        <f>(M1221-M1220)/M1220</f>
        <v/>
      </c>
      <c r="O1220" s="54">
        <f>(M1224-M1220)/M1220</f>
        <v/>
      </c>
      <c r="P1220" s="4">
        <f>B1220-D1220</f>
        <v/>
      </c>
      <c r="Q1220" s="4">
        <f>AVERAGE(P1217:P1220)</f>
        <v/>
      </c>
      <c r="R1220" s="54">
        <f>(M1221-M1220)/M1220</f>
        <v/>
      </c>
      <c r="S1220" s="54">
        <f>(M1224-M1220)/M1220</f>
        <v/>
      </c>
      <c r="T1220" s="63">
        <f>IF(R1220&gt;0,1,"")</f>
        <v/>
      </c>
      <c r="U1220" s="63">
        <f>IF(S1220&gt;0,1,"")</f>
        <v/>
      </c>
    </row>
    <row r="1221">
      <c r="A1221" s="35" t="n">
        <v>40437</v>
      </c>
      <c r="B1221" s="4" t="n">
        <v>0.5089</v>
      </c>
      <c r="C1221" s="4" t="n">
        <v>0.2485</v>
      </c>
      <c r="D1221" s="4" t="n">
        <v>0.2426</v>
      </c>
      <c r="E1221" s="63" t="n">
        <v>1</v>
      </c>
      <c r="F1221" s="63" t="n">
        <v>0.3582</v>
      </c>
      <c r="G1221" s="63" t="n">
        <v>0.2663</v>
      </c>
      <c r="H1221" s="63" t="n">
        <v>0.384907436629</v>
      </c>
      <c r="I1221" s="63" t="n">
        <v>0.48829287048</v>
      </c>
      <c r="J1221" s="63" t="n">
        <v>0.281522002778</v>
      </c>
      <c r="K1221" s="63" t="n">
        <v>1123.89</v>
      </c>
      <c r="L1221" s="63" t="n">
        <v>1118.9</v>
      </c>
      <c r="M1221" s="63" t="n">
        <v>1125.07</v>
      </c>
      <c r="N1221" s="54">
        <f>(M1222-M1221)/M1221</f>
        <v/>
      </c>
      <c r="O1221" s="54">
        <f>(M1225-M1221)/M1221</f>
        <v/>
      </c>
      <c r="P1221" s="4">
        <f>B1221-D1221</f>
        <v/>
      </c>
      <c r="Q1221" s="4">
        <f>AVERAGE(P1218:P1221)</f>
        <v/>
      </c>
      <c r="R1221" s="54">
        <f>(M1222-M1221)/M1221</f>
        <v/>
      </c>
      <c r="S1221" s="54">
        <f>(M1225-M1221)/M1221</f>
        <v/>
      </c>
      <c r="T1221" s="63">
        <f>IF(R1221&gt;0,1,"")</f>
        <v/>
      </c>
      <c r="U1221" s="63">
        <f>IF(S1221&gt;0,1,"")</f>
        <v/>
      </c>
    </row>
    <row r="1222">
      <c r="A1222" s="35" t="n">
        <v>40444</v>
      </c>
      <c r="B1222" s="4" t="n">
        <v>0.4497</v>
      </c>
      <c r="C1222" s="4" t="n">
        <v>0.2963</v>
      </c>
      <c r="D1222" s="4" t="n">
        <v>0.254</v>
      </c>
      <c r="E1222" s="63" t="n">
        <v>1</v>
      </c>
      <c r="F1222" s="63" t="n">
        <v>0.3644125</v>
      </c>
      <c r="G1222" s="63" t="n">
        <v>0.1957</v>
      </c>
      <c r="H1222" s="63" t="n">
        <v>0.384907436629</v>
      </c>
      <c r="I1222" s="63" t="n">
        <v>0.48829287048</v>
      </c>
      <c r="J1222" s="63" t="n">
        <v>0.281522002778</v>
      </c>
      <c r="K1222" s="63" t="n">
        <v>1132.97</v>
      </c>
      <c r="L1222" s="63" t="n">
        <v>1123.46</v>
      </c>
      <c r="M1222" s="63" t="n">
        <v>1134.24</v>
      </c>
      <c r="N1222" s="54">
        <f>(M1223-M1222)/M1222</f>
        <v/>
      </c>
      <c r="O1222" s="54">
        <f>(M1226-M1222)/M1222</f>
        <v/>
      </c>
      <c r="P1222" s="4">
        <f>B1222-D1222</f>
        <v/>
      </c>
      <c r="Q1222" s="4">
        <f>AVERAGE(P1219:P1222)</f>
        <v/>
      </c>
      <c r="R1222" s="54">
        <f>(M1223-M1222)/M1222</f>
        <v/>
      </c>
      <c r="S1222" s="54">
        <f>(M1226-M1222)/M1222</f>
        <v/>
      </c>
      <c r="T1222" s="63">
        <f>IF(R1222&gt;0,1,"")</f>
        <v/>
      </c>
      <c r="U1222" s="63">
        <f>IF(S1222&gt;0,1,"")</f>
        <v/>
      </c>
    </row>
    <row r="1223">
      <c r="A1223" s="35" t="n">
        <v>40451</v>
      </c>
      <c r="B1223" s="4" t="n">
        <v>0.4253</v>
      </c>
      <c r="C1223" s="4" t="n">
        <v>0.2586</v>
      </c>
      <c r="D1223" s="4" t="n">
        <v>0.3161</v>
      </c>
      <c r="E1223" s="63" t="n">
        <v>1</v>
      </c>
      <c r="F1223" s="63" t="n">
        <v>0.3795875</v>
      </c>
      <c r="G1223" s="63" t="n">
        <v>0.1092</v>
      </c>
      <c r="H1223" s="63" t="n">
        <v>0.384907436629</v>
      </c>
      <c r="I1223" s="63" t="n">
        <v>0.48829287048</v>
      </c>
      <c r="J1223" s="63" t="n">
        <v>0.281522002778</v>
      </c>
      <c r="K1223" s="63" t="n">
        <v>1157.16</v>
      </c>
      <c r="L1223" s="63" t="n">
        <v>1145.97</v>
      </c>
      <c r="M1223" s="63" t="n">
        <v>1144.73</v>
      </c>
      <c r="N1223" s="54">
        <f>(M1224-M1223)/M1223</f>
        <v/>
      </c>
      <c r="O1223" s="54">
        <f>(M1227-M1223)/M1223</f>
        <v/>
      </c>
      <c r="P1223" s="4">
        <f>B1223-D1223</f>
        <v/>
      </c>
      <c r="Q1223" s="4">
        <f>AVERAGE(P1220:P1223)</f>
        <v/>
      </c>
      <c r="R1223" s="54">
        <f>(M1224-M1223)/M1223</f>
        <v/>
      </c>
      <c r="S1223" s="54">
        <f>(M1227-M1223)/M1223</f>
        <v/>
      </c>
      <c r="T1223" s="63">
        <f>IF(R1223&gt;0,1,"")</f>
        <v/>
      </c>
      <c r="U1223" s="63">
        <f>IF(S1223&gt;0,1,"")</f>
        <v/>
      </c>
    </row>
    <row r="1224">
      <c r="A1224" s="35" t="n">
        <v>40458</v>
      </c>
      <c r="B1224" s="4" t="n">
        <v>0.4903</v>
      </c>
      <c r="C1224" s="4" t="n">
        <v>0.2323</v>
      </c>
      <c r="D1224" s="4" t="n">
        <v>0.2774</v>
      </c>
      <c r="E1224" s="63" t="n">
        <v>1</v>
      </c>
      <c r="F1224" s="63" t="n">
        <v>0.391175</v>
      </c>
      <c r="G1224" s="63" t="n">
        <v>0.2129</v>
      </c>
      <c r="H1224" s="63" t="n">
        <v>0.384907436629</v>
      </c>
      <c r="I1224" s="63" t="n">
        <v>0.48829287048</v>
      </c>
      <c r="J1224" s="63" t="n">
        <v>0.281522002778</v>
      </c>
      <c r="K1224" s="63" t="n">
        <v>1163.87</v>
      </c>
      <c r="L1224" s="63" t="n">
        <v>1156.5</v>
      </c>
      <c r="M1224" s="63" t="n">
        <v>1159.97</v>
      </c>
      <c r="N1224" s="54">
        <f>(M1225-M1224)/M1224</f>
        <v/>
      </c>
      <c r="O1224" s="54">
        <f>(M1228-M1224)/M1224</f>
        <v/>
      </c>
      <c r="P1224" s="4">
        <f>B1224-D1224</f>
        <v/>
      </c>
      <c r="Q1224" s="4">
        <f>AVERAGE(P1221:P1224)</f>
        <v/>
      </c>
      <c r="R1224" s="54">
        <f>(M1225-M1224)/M1224</f>
        <v/>
      </c>
      <c r="S1224" s="54">
        <f>(M1228-M1224)/M1224</f>
        <v/>
      </c>
      <c r="T1224" s="63">
        <f>IF(R1224&gt;0,1,"")</f>
        <v/>
      </c>
      <c r="U1224" s="63">
        <f>IF(S1224&gt;0,1,"")</f>
        <v/>
      </c>
    </row>
    <row r="1225">
      <c r="A1225" s="35" t="n">
        <v>40465</v>
      </c>
      <c r="B1225" s="4" t="n">
        <v>0.471</v>
      </c>
      <c r="C1225" s="4" t="n">
        <v>0.2609</v>
      </c>
      <c r="D1225" s="4" t="n">
        <v>0.2681</v>
      </c>
      <c r="E1225" s="63" t="n">
        <v>1</v>
      </c>
      <c r="F1225" s="63" t="n">
        <v>0.4124125</v>
      </c>
      <c r="G1225" s="63" t="n">
        <v>0.2029</v>
      </c>
      <c r="H1225" s="63" t="n">
        <v>0.384907436629</v>
      </c>
      <c r="I1225" s="63" t="n">
        <v>0.48829287048</v>
      </c>
      <c r="J1225" s="63" t="n">
        <v>0.281522002778</v>
      </c>
      <c r="K1225" s="63" t="n">
        <v>1177.95</v>
      </c>
      <c r="L1225" s="63" t="n">
        <v>1174.04</v>
      </c>
      <c r="M1225" s="63" t="n">
        <v>1178.1</v>
      </c>
      <c r="N1225" s="54">
        <f>(M1226-M1225)/M1225</f>
        <v/>
      </c>
      <c r="O1225" s="54">
        <f>(M1229-M1225)/M1225</f>
        <v/>
      </c>
      <c r="P1225" s="4">
        <f>B1225-D1225</f>
        <v/>
      </c>
      <c r="Q1225" s="4">
        <f>AVERAGE(P1222:P1225)</f>
        <v/>
      </c>
      <c r="R1225" s="54">
        <f>(M1226-M1225)/M1225</f>
        <v/>
      </c>
      <c r="S1225" s="54">
        <f>(M1229-M1225)/M1225</f>
        <v/>
      </c>
      <c r="T1225" s="63">
        <f>IF(R1225&gt;0,1,"")</f>
        <v/>
      </c>
      <c r="U1225" s="63">
        <f>IF(S1225&gt;0,1,"")</f>
        <v/>
      </c>
    </row>
    <row r="1226">
      <c r="A1226" s="35" t="n">
        <v>40472</v>
      </c>
      <c r="B1226" s="4" t="n">
        <v>0.4962</v>
      </c>
      <c r="C1226" s="4" t="n">
        <v>0.2519</v>
      </c>
      <c r="D1226" s="4" t="n">
        <v>0.2519</v>
      </c>
      <c r="E1226" s="63" t="n">
        <v>1</v>
      </c>
      <c r="F1226" s="63" t="n">
        <v>0.4485125</v>
      </c>
      <c r="G1226" s="63" t="n">
        <v>0.2443</v>
      </c>
      <c r="H1226" s="63" t="n">
        <v>0.384907436629</v>
      </c>
      <c r="I1226" s="63" t="n">
        <v>0.48829287048</v>
      </c>
      <c r="J1226" s="63" t="n">
        <v>0.281522002778</v>
      </c>
      <c r="K1226" s="63" t="n">
        <v>1188.52</v>
      </c>
      <c r="L1226" s="63" t="n">
        <v>1179.82</v>
      </c>
      <c r="M1226" s="63" t="n">
        <v>1178.17</v>
      </c>
      <c r="N1226" s="54">
        <f>(M1227-M1226)/M1226</f>
        <v/>
      </c>
      <c r="O1226" s="54">
        <f>(M1230-M1226)/M1226</f>
        <v/>
      </c>
      <c r="P1226" s="4">
        <f>B1226-D1226</f>
        <v/>
      </c>
      <c r="Q1226" s="4">
        <f>AVERAGE(P1223:P1226)</f>
        <v/>
      </c>
      <c r="R1226" s="54">
        <f>(M1227-M1226)/M1226</f>
        <v/>
      </c>
      <c r="S1226" s="54">
        <f>(M1230-M1226)/M1226</f>
        <v/>
      </c>
      <c r="T1226" s="63">
        <f>IF(R1226&gt;0,1,"")</f>
        <v/>
      </c>
      <c r="U1226" s="63">
        <f>IF(S1226&gt;0,1,"")</f>
        <v/>
      </c>
    </row>
    <row r="1227">
      <c r="A1227" s="35" t="n">
        <v>40479</v>
      </c>
      <c r="B1227" s="4" t="n">
        <v>0.5123</v>
      </c>
      <c r="C1227" s="4" t="n">
        <v>0.2716</v>
      </c>
      <c r="D1227" s="4" t="n">
        <v>0.216</v>
      </c>
      <c r="E1227" s="63" t="n">
        <v>0.9999</v>
      </c>
      <c r="F1227" s="63" t="n">
        <v>0.47405</v>
      </c>
      <c r="G1227" s="63" t="n">
        <v>0.2963</v>
      </c>
      <c r="H1227" s="63" t="n">
        <v>0.384907436629</v>
      </c>
      <c r="I1227" s="63" t="n">
        <v>0.48829287048</v>
      </c>
      <c r="J1227" s="63" t="n">
        <v>0.281522002778</v>
      </c>
      <c r="K1227" s="63" t="n">
        <v>1189.53</v>
      </c>
      <c r="L1227" s="63" t="n">
        <v>1184.47</v>
      </c>
      <c r="M1227" s="63" t="n">
        <v>1182.45</v>
      </c>
      <c r="N1227" s="54">
        <f>(M1228-M1227)/M1227</f>
        <v/>
      </c>
      <c r="O1227" s="54">
        <f>(M1231-M1227)/M1227</f>
        <v/>
      </c>
      <c r="P1227" s="4">
        <f>B1227-D1227</f>
        <v/>
      </c>
      <c r="Q1227" s="4">
        <f>AVERAGE(P1224:P1227)</f>
        <v/>
      </c>
      <c r="R1227" s="54">
        <f>(M1228-M1227)/M1227</f>
        <v/>
      </c>
      <c r="S1227" s="54">
        <f>(M1231-M1227)/M1227</f>
        <v/>
      </c>
      <c r="T1227" s="63">
        <f>IF(R1227&gt;0,1,"")</f>
        <v/>
      </c>
      <c r="U1227" s="63">
        <f>IF(S1227&gt;0,1,"")</f>
        <v/>
      </c>
    </row>
    <row r="1228">
      <c r="A1228" s="35" t="n">
        <v>40486</v>
      </c>
      <c r="B1228" s="4" t="n">
        <v>0.4823</v>
      </c>
      <c r="C1228" s="4" t="n">
        <v>0.2199</v>
      </c>
      <c r="D1228" s="4" t="n">
        <v>0.2979</v>
      </c>
      <c r="E1228" s="63" t="n">
        <v>1.0001</v>
      </c>
      <c r="F1228" s="63" t="n">
        <v>0.4795</v>
      </c>
      <c r="G1228" s="63" t="n">
        <v>0.1844</v>
      </c>
      <c r="H1228" s="63" t="n">
        <v>0.384907436629</v>
      </c>
      <c r="I1228" s="63" t="n">
        <v>0.48829287048</v>
      </c>
      <c r="J1228" s="63" t="n">
        <v>0.281522002778</v>
      </c>
      <c r="K1228" s="63" t="n">
        <v>1213.05</v>
      </c>
      <c r="L1228" s="63" t="n">
        <v>1198.34</v>
      </c>
      <c r="M1228" s="63" t="n">
        <v>1197.96</v>
      </c>
      <c r="N1228" s="54">
        <f>(M1229-M1228)/M1228</f>
        <v/>
      </c>
      <c r="O1228" s="54">
        <f>(M1232-M1228)/M1228</f>
        <v/>
      </c>
      <c r="P1228" s="4">
        <f>B1228-D1228</f>
        <v/>
      </c>
      <c r="Q1228" s="4">
        <f>AVERAGE(P1225:P1228)</f>
        <v/>
      </c>
      <c r="R1228" s="54">
        <f>(M1229-M1228)/M1228</f>
        <v/>
      </c>
      <c r="S1228" s="54">
        <f>(M1232-M1228)/M1228</f>
        <v/>
      </c>
      <c r="T1228" s="63">
        <f>IF(R1228&gt;0,1,"")</f>
        <v/>
      </c>
      <c r="U1228" s="63">
        <f>IF(S1228&gt;0,1,"")</f>
        <v/>
      </c>
    </row>
    <row r="1229">
      <c r="A1229" s="35" t="n">
        <v>40493</v>
      </c>
      <c r="B1229" s="4" t="n">
        <v>0.5756</v>
      </c>
      <c r="C1229" s="4" t="n">
        <v>0.1395</v>
      </c>
      <c r="D1229" s="4" t="n">
        <v>0.2849</v>
      </c>
      <c r="E1229" s="63" t="n">
        <v>1</v>
      </c>
      <c r="F1229" s="63" t="n">
        <v>0.4878375</v>
      </c>
      <c r="G1229" s="63" t="n">
        <v>0.2907</v>
      </c>
      <c r="H1229" s="63" t="n">
        <v>0.384907436629</v>
      </c>
      <c r="I1229" s="63" t="n">
        <v>0.48829287048</v>
      </c>
      <c r="J1229" s="63" t="n">
        <v>0.281522002778</v>
      </c>
      <c r="K1229" s="63" t="n">
        <v>1227.08</v>
      </c>
      <c r="L1229" s="63" t="n">
        <v>1220.29</v>
      </c>
      <c r="M1229" s="63" t="n">
        <v>1225.85</v>
      </c>
      <c r="N1229" s="54">
        <f>(M1230-M1229)/M1229</f>
        <v/>
      </c>
      <c r="O1229" s="54">
        <f>(M1233-M1229)/M1229</f>
        <v/>
      </c>
      <c r="P1229" s="4">
        <f>B1229-D1229</f>
        <v/>
      </c>
      <c r="Q1229" s="4">
        <f>AVERAGE(P1226:P1229)</f>
        <v/>
      </c>
      <c r="R1229" s="54">
        <f>(M1230-M1229)/M1229</f>
        <v/>
      </c>
      <c r="S1229" s="54">
        <f>(M1233-M1229)/M1229</f>
        <v/>
      </c>
      <c r="T1229" s="63">
        <f>IF(R1229&gt;0,1,"")</f>
        <v/>
      </c>
      <c r="U1229" s="63">
        <f>IF(S1229&gt;0,1,"")</f>
        <v/>
      </c>
    </row>
    <row r="1230">
      <c r="A1230" s="35" t="n">
        <v>40500</v>
      </c>
      <c r="B1230" s="4" t="n">
        <v>0.4</v>
      </c>
      <c r="C1230" s="4" t="n">
        <v>0.275</v>
      </c>
      <c r="D1230" s="4" t="n">
        <v>0.325</v>
      </c>
      <c r="E1230" s="63" t="n">
        <v>1</v>
      </c>
      <c r="F1230" s="63" t="n">
        <v>0.481625</v>
      </c>
      <c r="G1230" s="63" t="n">
        <v>0.075</v>
      </c>
      <c r="H1230" s="63" t="n">
        <v>0.384907436629</v>
      </c>
      <c r="I1230" s="63" t="n">
        <v>0.48829287048</v>
      </c>
      <c r="J1230" s="63" t="n">
        <v>0.281522002778</v>
      </c>
      <c r="K1230" s="63" t="n">
        <v>1226.84</v>
      </c>
      <c r="L1230" s="63" t="n">
        <v>1173</v>
      </c>
      <c r="M1230" s="63" t="n">
        <v>1223.25</v>
      </c>
      <c r="N1230" s="54">
        <f>(M1231-M1230)/M1230</f>
        <v/>
      </c>
      <c r="O1230" s="54">
        <f>(M1234-M1230)/M1230</f>
        <v/>
      </c>
      <c r="P1230" s="4">
        <f>B1230-D1230</f>
        <v/>
      </c>
      <c r="Q1230" s="4">
        <f>AVERAGE(P1227:P1230)</f>
        <v/>
      </c>
      <c r="R1230" s="54">
        <f>(M1231-M1230)/M1230</f>
        <v/>
      </c>
      <c r="S1230" s="54">
        <f>(M1234-M1230)/M1230</f>
        <v/>
      </c>
      <c r="T1230" s="63">
        <f>IF(R1230&gt;0,1,"")</f>
        <v/>
      </c>
      <c r="U1230" s="63">
        <f>IF(S1230&gt;0,1,"")</f>
        <v/>
      </c>
    </row>
    <row r="1231">
      <c r="A1231" s="35" t="n">
        <v>40507</v>
      </c>
      <c r="B1231" s="4" t="n">
        <v>0.474</v>
      </c>
      <c r="C1231" s="4" t="n">
        <v>0.2792</v>
      </c>
      <c r="D1231" s="4" t="n">
        <v>0.2468</v>
      </c>
      <c r="E1231" s="63" t="n">
        <v>1</v>
      </c>
      <c r="F1231" s="63" t="n">
        <v>0.4877125</v>
      </c>
      <c r="G1231" s="63" t="n">
        <v>0.2272</v>
      </c>
      <c r="H1231" s="63" t="n">
        <v>0.384907436629</v>
      </c>
      <c r="I1231" s="63" t="n">
        <v>0.48829287048</v>
      </c>
      <c r="J1231" s="63" t="n">
        <v>0.281522002778</v>
      </c>
      <c r="K1231" s="63" t="n">
        <v>1200.29</v>
      </c>
      <c r="L1231" s="63" t="n">
        <v>1198.35</v>
      </c>
      <c r="M1231" s="63" t="n">
        <v>1199.73</v>
      </c>
      <c r="N1231" s="54">
        <f>(M1232-M1231)/M1231</f>
        <v/>
      </c>
      <c r="O1231" s="54">
        <f>(M1235-M1231)/M1231</f>
        <v/>
      </c>
      <c r="P1231" s="4">
        <f>B1231-D1231</f>
        <v/>
      </c>
      <c r="Q1231" s="4">
        <f>AVERAGE(P1228:P1231)</f>
        <v/>
      </c>
      <c r="R1231" s="54">
        <f>(M1232-M1231)/M1231</f>
        <v/>
      </c>
      <c r="S1231" s="54">
        <f>(M1235-M1231)/M1231</f>
        <v/>
      </c>
      <c r="T1231" s="63">
        <f>IF(R1231&gt;0,1,"")</f>
        <v/>
      </c>
      <c r="U1231" s="63">
        <f>IF(S1231&gt;0,1,"")</f>
        <v/>
      </c>
    </row>
    <row r="1232">
      <c r="A1232" s="35" t="n">
        <v>40514</v>
      </c>
      <c r="B1232" s="4" t="n">
        <v>0.4966</v>
      </c>
      <c r="C1232" s="4" t="n">
        <v>0.2414</v>
      </c>
      <c r="D1232" s="4" t="n">
        <v>0.2621</v>
      </c>
      <c r="E1232" s="63" t="n">
        <v>1.0001</v>
      </c>
      <c r="F1232" s="63" t="n">
        <v>0.4885</v>
      </c>
      <c r="G1232" s="63" t="n">
        <v>0.2345</v>
      </c>
      <c r="H1232" s="63" t="n">
        <v>0.384907436629</v>
      </c>
      <c r="I1232" s="63" t="n">
        <v>0.48829287048</v>
      </c>
      <c r="J1232" s="63" t="n">
        <v>0.281522002778</v>
      </c>
      <c r="K1232" s="63" t="n">
        <v>1207.61</v>
      </c>
      <c r="L1232" s="63" t="n">
        <v>1186.93</v>
      </c>
      <c r="M1232" s="63" t="n">
        <v>1206.07</v>
      </c>
      <c r="N1232" s="54">
        <f>(M1233-M1232)/M1232</f>
        <v/>
      </c>
      <c r="O1232" s="54">
        <f>(M1236-M1232)/M1232</f>
        <v/>
      </c>
      <c r="P1232" s="4">
        <f>B1232-D1232</f>
        <v/>
      </c>
      <c r="Q1232" s="4">
        <f>AVERAGE(P1229:P1232)</f>
        <v/>
      </c>
      <c r="R1232" s="54">
        <f>(M1233-M1232)/M1232</f>
        <v/>
      </c>
      <c r="S1232" s="54">
        <f>(M1236-M1232)/M1232</f>
        <v/>
      </c>
      <c r="T1232" s="63">
        <f>IF(R1232&gt;0,1,"")</f>
        <v/>
      </c>
      <c r="U1232" s="63">
        <f>IF(S1232&gt;0,1,"")</f>
        <v/>
      </c>
    </row>
    <row r="1233">
      <c r="A1233" s="35" t="n">
        <v>40521</v>
      </c>
      <c r="B1233" s="4" t="n">
        <v>0.5305</v>
      </c>
      <c r="C1233" s="4" t="n">
        <v>0.2439</v>
      </c>
      <c r="D1233" s="4" t="n">
        <v>0.2256</v>
      </c>
      <c r="E1233" s="63" t="n">
        <v>1</v>
      </c>
      <c r="F1233" s="63" t="n">
        <v>0.4959375</v>
      </c>
      <c r="G1233" s="63" t="n">
        <v>0.3049</v>
      </c>
      <c r="H1233" s="63" t="n">
        <v>0.384907436629</v>
      </c>
      <c r="I1233" s="63" t="n">
        <v>0.48829287048</v>
      </c>
      <c r="J1233" s="63" t="n">
        <v>0.281522002778</v>
      </c>
      <c r="K1233" s="63" t="n">
        <v>1235.05</v>
      </c>
      <c r="L1233" s="63" t="n">
        <v>1186.6</v>
      </c>
      <c r="M1233" s="63" t="n">
        <v>1228.28</v>
      </c>
      <c r="N1233" s="54">
        <f>(M1234-M1233)/M1233</f>
        <v/>
      </c>
      <c r="O1233" s="54">
        <f>(M1237-M1233)/M1233</f>
        <v/>
      </c>
      <c r="P1233" s="4">
        <f>B1233-D1233</f>
        <v/>
      </c>
      <c r="Q1233" s="4">
        <f>AVERAGE(P1230:P1233)</f>
        <v/>
      </c>
      <c r="R1233" s="54">
        <f>(M1234-M1233)/M1233</f>
        <v/>
      </c>
      <c r="S1233" s="54">
        <f>(M1237-M1233)/M1233</f>
        <v/>
      </c>
      <c r="T1233" s="63">
        <f>IF(R1233&gt;0,1,"")</f>
        <v/>
      </c>
      <c r="U1233" s="63">
        <f>IF(S1233&gt;0,1,"")</f>
        <v/>
      </c>
    </row>
    <row r="1234">
      <c r="A1234" s="35" t="n">
        <v>40528</v>
      </c>
      <c r="B1234" s="4" t="n">
        <v>0.5023</v>
      </c>
      <c r="C1234" s="4" t="n">
        <v>0.2262</v>
      </c>
      <c r="D1234" s="4" t="n">
        <v>0.2715</v>
      </c>
      <c r="E1234" s="63" t="n">
        <v>1</v>
      </c>
      <c r="F1234" s="63" t="n">
        <v>0.4967</v>
      </c>
      <c r="G1234" s="63" t="n">
        <v>0.2308</v>
      </c>
      <c r="H1234" s="63" t="n">
        <v>0.384907436629</v>
      </c>
      <c r="I1234" s="63" t="n">
        <v>0.48829287048</v>
      </c>
      <c r="J1234" s="63" t="n">
        <v>0.281522002778</v>
      </c>
      <c r="K1234" s="63" t="n">
        <v>1246.72</v>
      </c>
      <c r="L1234" s="63" t="n">
        <v>1240.34</v>
      </c>
      <c r="M1234" s="63" t="n">
        <v>1241.59</v>
      </c>
      <c r="N1234" s="54">
        <f>(M1235-M1234)/M1234</f>
        <v/>
      </c>
      <c r="O1234" s="54">
        <f>(M1238-M1234)/M1234</f>
        <v/>
      </c>
      <c r="P1234" s="4">
        <f>B1234-D1234</f>
        <v/>
      </c>
      <c r="Q1234" s="4">
        <f>AVERAGE(P1231:P1234)</f>
        <v/>
      </c>
      <c r="R1234" s="54">
        <f>(M1235-M1234)/M1234</f>
        <v/>
      </c>
      <c r="S1234" s="54">
        <f>(M1238-M1234)/M1234</f>
        <v/>
      </c>
      <c r="T1234" s="63">
        <f>IF(R1234&gt;0,1,"")</f>
        <v/>
      </c>
      <c r="U1234" s="63">
        <f>IF(S1234&gt;0,1,"")</f>
        <v/>
      </c>
    </row>
    <row r="1235">
      <c r="A1235" s="35" t="n">
        <v>40535</v>
      </c>
      <c r="B1235" s="4" t="n">
        <v>0.6328</v>
      </c>
      <c r="C1235" s="4" t="n">
        <v>0.2031</v>
      </c>
      <c r="D1235" s="4" t="n">
        <v>0.164</v>
      </c>
      <c r="E1235" s="63" t="n">
        <v>0.9999</v>
      </c>
      <c r="F1235" s="63" t="n">
        <v>0.5117625</v>
      </c>
      <c r="G1235" s="63" t="n">
        <v>0.4688</v>
      </c>
      <c r="H1235" s="63" t="n">
        <v>0.384907436629</v>
      </c>
      <c r="I1235" s="63" t="n">
        <v>0.48829287048</v>
      </c>
      <c r="J1235" s="63" t="n">
        <v>0.281522002778</v>
      </c>
      <c r="K1235" s="63" t="n">
        <v>1259.39</v>
      </c>
      <c r="L1235" s="63" t="n">
        <v>1254.94</v>
      </c>
      <c r="M1235" s="63" t="n">
        <v>1258.84</v>
      </c>
      <c r="N1235" s="54">
        <f>(M1236-M1235)/M1235</f>
        <v/>
      </c>
      <c r="O1235" s="54">
        <f>(M1239-M1235)/M1235</f>
        <v/>
      </c>
      <c r="P1235" s="4">
        <f>B1235-D1235</f>
        <v/>
      </c>
      <c r="Q1235" s="4">
        <f>AVERAGE(P1232:P1235)</f>
        <v/>
      </c>
      <c r="R1235" s="54">
        <f>(M1236-M1235)/M1235</f>
        <v/>
      </c>
      <c r="S1235" s="54">
        <f>(M1239-M1235)/M1235</f>
        <v/>
      </c>
      <c r="T1235" s="63">
        <f>IF(R1235&gt;0,1,"")</f>
        <v/>
      </c>
      <c r="U1235" s="63">
        <f>IF(S1235&gt;0,1,"")</f>
        <v/>
      </c>
    </row>
    <row r="1236">
      <c r="A1236" s="35" t="n">
        <v>40542</v>
      </c>
      <c r="B1236" s="4" t="n">
        <v>0.5161</v>
      </c>
      <c r="C1236" s="4" t="n">
        <v>0.2834</v>
      </c>
      <c r="D1236" s="4" t="n">
        <v>0.2005</v>
      </c>
      <c r="E1236" s="63" t="n">
        <v>1</v>
      </c>
      <c r="F1236" s="63" t="n">
        <v>0.5159875</v>
      </c>
      <c r="G1236" s="63" t="n">
        <v>0.3156</v>
      </c>
      <c r="H1236" s="63" t="n">
        <v>0.384907436629</v>
      </c>
      <c r="I1236" s="63" t="n">
        <v>0.48829287048</v>
      </c>
      <c r="J1236" s="63" t="n">
        <v>0.281522002778</v>
      </c>
      <c r="K1236" s="63" t="n">
        <v>1262.6</v>
      </c>
      <c r="L1236" s="63" t="n">
        <v>1258.78</v>
      </c>
      <c r="M1236" s="63" t="n">
        <v>1259.78</v>
      </c>
      <c r="N1236" s="54">
        <f>(M1237-M1236)/M1236</f>
        <v/>
      </c>
      <c r="O1236" s="54">
        <f>(M1240-M1236)/M1236</f>
        <v/>
      </c>
      <c r="P1236" s="4">
        <f>B1236-D1236</f>
        <v/>
      </c>
      <c r="Q1236" s="4">
        <f>AVERAGE(P1233:P1236)</f>
        <v/>
      </c>
      <c r="R1236" s="54">
        <f>(M1237-M1236)/M1236</f>
        <v/>
      </c>
      <c r="S1236" s="54">
        <f>(M1240-M1236)/M1236</f>
        <v/>
      </c>
      <c r="T1236" s="63">
        <f>IF(R1236&gt;0,1,"")</f>
        <v/>
      </c>
      <c r="U1236" s="63">
        <f>IF(S1236&gt;0,1,"")</f>
        <v/>
      </c>
    </row>
    <row r="1237">
      <c r="A1237" s="35" t="n">
        <v>40549</v>
      </c>
      <c r="B1237" s="4" t="n">
        <v>0.5588</v>
      </c>
      <c r="C1237" s="4" t="n">
        <v>0.2586</v>
      </c>
      <c r="D1237" s="4" t="n">
        <v>0.1825</v>
      </c>
      <c r="E1237" s="63" t="n">
        <v>0.9999</v>
      </c>
      <c r="F1237" s="63" t="n">
        <v>0.5138875000000001</v>
      </c>
      <c r="G1237" s="63" t="n">
        <v>0.3763</v>
      </c>
      <c r="H1237" s="63" t="n">
        <v>0.384907436629</v>
      </c>
      <c r="I1237" s="63" t="n">
        <v>0.48829287048</v>
      </c>
      <c r="J1237" s="63" t="n">
        <v>0.281522002778</v>
      </c>
      <c r="K1237" s="63" t="n">
        <v>1277.63</v>
      </c>
      <c r="L1237" s="63" t="n">
        <v>1254.19</v>
      </c>
      <c r="M1237" s="63" t="n">
        <v>1276.56</v>
      </c>
      <c r="N1237" s="54">
        <f>(M1238-M1237)/M1237</f>
        <v/>
      </c>
      <c r="O1237" s="54">
        <f>(M1241-M1237)/M1237</f>
        <v/>
      </c>
      <c r="P1237" s="4">
        <f>B1237-D1237</f>
        <v/>
      </c>
      <c r="Q1237" s="4">
        <f>AVERAGE(P1234:P1237)</f>
        <v/>
      </c>
      <c r="R1237" s="54">
        <f>(M1238-M1237)/M1237</f>
        <v/>
      </c>
      <c r="S1237" s="54">
        <f>(M1241-M1237)/M1237</f>
        <v/>
      </c>
      <c r="T1237" s="63">
        <f>IF(R1237&gt;0,1,"")</f>
        <v/>
      </c>
      <c r="U1237" s="63">
        <f>IF(S1237&gt;0,1,"")</f>
        <v/>
      </c>
    </row>
    <row r="1238">
      <c r="A1238" s="35" t="n">
        <v>40556</v>
      </c>
      <c r="B1238" s="4" t="n">
        <v>0.5234</v>
      </c>
      <c r="C1238" s="4" t="n">
        <v>0.2422</v>
      </c>
      <c r="D1238" s="4" t="n">
        <v>0.2344</v>
      </c>
      <c r="E1238" s="63" t="n">
        <v>1</v>
      </c>
      <c r="F1238" s="63" t="n">
        <v>0.5293125</v>
      </c>
      <c r="G1238" s="63" t="n">
        <v>0.289</v>
      </c>
      <c r="H1238" s="63" t="n">
        <v>0.384907436629</v>
      </c>
      <c r="I1238" s="63" t="n">
        <v>0.48829287048</v>
      </c>
      <c r="J1238" s="63" t="n">
        <v>0.281522002778</v>
      </c>
      <c r="K1238" s="63" t="n">
        <v>1286.87</v>
      </c>
      <c r="L1238" s="63" t="n">
        <v>1275.65</v>
      </c>
      <c r="M1238" s="63" t="n">
        <v>1285.96</v>
      </c>
      <c r="N1238" s="54">
        <f>(M1239-M1238)/M1238</f>
        <v/>
      </c>
      <c r="O1238" s="54">
        <f>(M1242-M1238)/M1238</f>
        <v/>
      </c>
      <c r="P1238" s="4">
        <f>B1238-D1238</f>
        <v/>
      </c>
      <c r="Q1238" s="4">
        <f>AVERAGE(P1235:P1238)</f>
        <v/>
      </c>
      <c r="R1238" s="54">
        <f>(M1239-M1238)/M1238</f>
        <v/>
      </c>
      <c r="S1238" s="54">
        <f>(M1242-M1238)/M1238</f>
        <v/>
      </c>
      <c r="T1238" s="63">
        <f>IF(R1238&gt;0,1,"")</f>
        <v/>
      </c>
      <c r="U1238" s="63">
        <f>IF(S1238&gt;0,1,"")</f>
        <v/>
      </c>
    </row>
    <row r="1239">
      <c r="A1239" s="35" t="n">
        <v>40563</v>
      </c>
      <c r="B1239" s="4" t="n">
        <v>0.5075</v>
      </c>
      <c r="C1239" s="4" t="n">
        <v>0.2015</v>
      </c>
      <c r="D1239" s="4" t="n">
        <v>0.291</v>
      </c>
      <c r="E1239" s="63" t="n">
        <v>1</v>
      </c>
      <c r="F1239" s="63" t="n">
        <v>0.5335</v>
      </c>
      <c r="G1239" s="63" t="n">
        <v>0.2165</v>
      </c>
      <c r="H1239" s="63" t="n">
        <v>0.384907436629</v>
      </c>
      <c r="I1239" s="63" t="n">
        <v>0.48829287048</v>
      </c>
      <c r="J1239" s="63" t="n">
        <v>0.281522002778</v>
      </c>
      <c r="K1239" s="63" t="n">
        <v>1296.06</v>
      </c>
      <c r="L1239" s="63" t="n">
        <v>1290.16</v>
      </c>
      <c r="M1239" s="63" t="n">
        <v>1295.02</v>
      </c>
      <c r="N1239" s="54">
        <f>(M1240-M1239)/M1239</f>
        <v/>
      </c>
      <c r="O1239" s="54">
        <f>(M1243-M1239)/M1239</f>
        <v/>
      </c>
      <c r="P1239" s="4">
        <f>B1239-D1239</f>
        <v/>
      </c>
      <c r="Q1239" s="4">
        <f>AVERAGE(P1236:P1239)</f>
        <v/>
      </c>
      <c r="R1239" s="54">
        <f>(M1240-M1239)/M1239</f>
        <v/>
      </c>
      <c r="S1239" s="54">
        <f>(M1243-M1239)/M1239</f>
        <v/>
      </c>
      <c r="T1239" s="63">
        <f>IF(R1239&gt;0,1,"")</f>
        <v/>
      </c>
      <c r="U1239" s="63">
        <f>IF(S1239&gt;0,1,"")</f>
        <v/>
      </c>
    </row>
    <row r="1240">
      <c r="A1240" s="35" t="n">
        <v>40570</v>
      </c>
      <c r="B1240" s="4" t="n">
        <v>0.4204</v>
      </c>
      <c r="C1240" s="4" t="n">
        <v>0.2367</v>
      </c>
      <c r="D1240" s="4" t="n">
        <v>0.3429</v>
      </c>
      <c r="E1240" s="63" t="n">
        <v>1</v>
      </c>
      <c r="F1240" s="63" t="n">
        <v>0.523975</v>
      </c>
      <c r="G1240" s="63" t="n">
        <v>0.0775</v>
      </c>
      <c r="H1240" s="63" t="n">
        <v>0.384907436629</v>
      </c>
      <c r="I1240" s="63" t="n">
        <v>0.48829287048</v>
      </c>
      <c r="J1240" s="63" t="n">
        <v>0.281522002778</v>
      </c>
      <c r="K1240" s="63" t="n">
        <v>1299.74</v>
      </c>
      <c r="L1240" s="63" t="n">
        <v>1291.97</v>
      </c>
      <c r="M1240" s="63" t="n">
        <v>1296.63</v>
      </c>
      <c r="N1240" s="54">
        <f>(M1241-M1240)/M1240</f>
        <v/>
      </c>
      <c r="O1240" s="54">
        <f>(M1244-M1240)/M1240</f>
        <v/>
      </c>
      <c r="P1240" s="4">
        <f>B1240-D1240</f>
        <v/>
      </c>
      <c r="Q1240" s="4">
        <f>AVERAGE(P1237:P1240)</f>
        <v/>
      </c>
      <c r="R1240" s="54">
        <f>(M1241-M1240)/M1240</f>
        <v/>
      </c>
      <c r="S1240" s="54">
        <f>(M1244-M1240)/M1240</f>
        <v/>
      </c>
      <c r="T1240" s="63">
        <f>IF(R1240&gt;0,1,"")</f>
        <v/>
      </c>
      <c r="U1240" s="63">
        <f>IF(S1240&gt;0,1,"")</f>
        <v/>
      </c>
    </row>
    <row r="1241">
      <c r="A1241" s="35" t="n">
        <v>40577</v>
      </c>
      <c r="B1241" s="4" t="n">
        <v>0.5154</v>
      </c>
      <c r="C1241" s="4" t="n">
        <v>0.2159</v>
      </c>
      <c r="D1241" s="4" t="n">
        <v>0.2687</v>
      </c>
      <c r="E1241" s="63" t="n">
        <v>1</v>
      </c>
      <c r="F1241" s="63" t="n">
        <v>0.5220875</v>
      </c>
      <c r="G1241" s="63" t="n">
        <v>0.2467</v>
      </c>
      <c r="H1241" s="63" t="n">
        <v>0.384907436629</v>
      </c>
      <c r="I1241" s="63" t="n">
        <v>0.48829287048</v>
      </c>
      <c r="J1241" s="63" t="n">
        <v>0.281522002778</v>
      </c>
      <c r="K1241" s="63" t="n">
        <v>1308.86</v>
      </c>
      <c r="L1241" s="63" t="n">
        <v>1275.1</v>
      </c>
      <c r="M1241" s="63" t="n">
        <v>1304.03</v>
      </c>
      <c r="N1241" s="54">
        <f>(M1242-M1241)/M1241</f>
        <v/>
      </c>
      <c r="O1241" s="54">
        <f>(M1245-M1241)/M1241</f>
        <v/>
      </c>
      <c r="P1241" s="4">
        <f>B1241-D1241</f>
        <v/>
      </c>
      <c r="Q1241" s="4">
        <f>AVERAGE(P1238:P1241)</f>
        <v/>
      </c>
      <c r="R1241" s="54">
        <f>(M1242-M1241)/M1241</f>
        <v/>
      </c>
      <c r="S1241" s="54">
        <f>(M1245-M1241)/M1241</f>
        <v/>
      </c>
      <c r="T1241" s="63">
        <f>IF(R1241&gt;0,1,"")</f>
        <v/>
      </c>
      <c r="U1241" s="63">
        <f>IF(S1241&gt;0,1,"")</f>
        <v/>
      </c>
    </row>
    <row r="1242">
      <c r="A1242" s="35" t="n">
        <v>40584</v>
      </c>
      <c r="B1242" s="4" t="n">
        <v>0.494</v>
      </c>
      <c r="C1242" s="4" t="n">
        <v>0.2369</v>
      </c>
      <c r="D1242" s="4" t="n">
        <v>0.2691</v>
      </c>
      <c r="E1242" s="63" t="n">
        <v>1</v>
      </c>
      <c r="F1242" s="63" t="n">
        <v>0.52105</v>
      </c>
      <c r="G1242" s="63" t="n">
        <v>0.2249</v>
      </c>
      <c r="H1242" s="63" t="n">
        <v>0.384907436629</v>
      </c>
      <c r="I1242" s="63" t="n">
        <v>0.48829287048</v>
      </c>
      <c r="J1242" s="63" t="n">
        <v>0.281522002778</v>
      </c>
      <c r="K1242" s="63" t="n">
        <v>1324.87</v>
      </c>
      <c r="L1242" s="63" t="n">
        <v>1316.03</v>
      </c>
      <c r="M1242" s="63" t="n">
        <v>1324.57</v>
      </c>
      <c r="N1242" s="54">
        <f>(M1243-M1242)/M1242</f>
        <v/>
      </c>
      <c r="O1242" s="54">
        <f>(M1246-M1242)/M1242</f>
        <v/>
      </c>
      <c r="P1242" s="4">
        <f>B1242-D1242</f>
        <v/>
      </c>
      <c r="Q1242" s="4">
        <f>AVERAGE(P1239:P1242)</f>
        <v/>
      </c>
      <c r="R1242" s="54">
        <f>(M1243-M1242)/M1242</f>
        <v/>
      </c>
      <c r="S1242" s="54">
        <f>(M1246-M1242)/M1242</f>
        <v/>
      </c>
      <c r="T1242" s="63">
        <f>IF(R1242&gt;0,1,"")</f>
        <v/>
      </c>
      <c r="U1242" s="63">
        <f>IF(S1242&gt;0,1,"")</f>
        <v/>
      </c>
    </row>
    <row r="1243">
      <c r="A1243" s="35" t="n">
        <v>40591</v>
      </c>
      <c r="B1243" s="4" t="n">
        <v>0.4658</v>
      </c>
      <c r="C1243" s="4" t="n">
        <v>0.2785</v>
      </c>
      <c r="D1243" s="4" t="n">
        <v>0.2557</v>
      </c>
      <c r="E1243" s="63" t="n">
        <v>1</v>
      </c>
      <c r="F1243" s="63" t="n">
        <v>0.500175</v>
      </c>
      <c r="G1243" s="63" t="n">
        <v>0.2101</v>
      </c>
      <c r="H1243" s="63" t="n">
        <v>0.384907436629</v>
      </c>
      <c r="I1243" s="63" t="n">
        <v>0.48829287048</v>
      </c>
      <c r="J1243" s="63" t="n">
        <v>0.281522002778</v>
      </c>
      <c r="K1243" s="63" t="n">
        <v>1337.61</v>
      </c>
      <c r="L1243" s="63" t="n">
        <v>1329.51</v>
      </c>
      <c r="M1243" s="63" t="n">
        <v>1336.32</v>
      </c>
      <c r="N1243" s="54">
        <f>(M1244-M1243)/M1243</f>
        <v/>
      </c>
      <c r="O1243" s="54">
        <f>(M1247-M1243)/M1243</f>
        <v/>
      </c>
      <c r="P1243" s="4">
        <f>B1243-D1243</f>
        <v/>
      </c>
      <c r="Q1243" s="4">
        <f>AVERAGE(P1240:P1243)</f>
        <v/>
      </c>
      <c r="R1243" s="54">
        <f>(M1244-M1243)/M1243</f>
        <v/>
      </c>
      <c r="S1243" s="54">
        <f>(M1247-M1243)/M1243</f>
        <v/>
      </c>
      <c r="T1243" s="63">
        <f>IF(R1243&gt;0,1,"")</f>
        <v/>
      </c>
      <c r="U1243" s="63">
        <f>IF(S1243&gt;0,1,"")</f>
        <v/>
      </c>
    </row>
    <row r="1244">
      <c r="A1244" s="35" t="n">
        <v>40598</v>
      </c>
      <c r="B1244" s="4" t="n">
        <v>0.3663</v>
      </c>
      <c r="C1244" s="4" t="n">
        <v>0.2723</v>
      </c>
      <c r="D1244" s="4" t="n">
        <v>0.3614</v>
      </c>
      <c r="E1244" s="63" t="n">
        <v>1</v>
      </c>
      <c r="F1244" s="63" t="n">
        <v>0.48145</v>
      </c>
      <c r="G1244" s="63" t="n">
        <v>0.0049</v>
      </c>
      <c r="H1244" s="63" t="n">
        <v>0.384907436629</v>
      </c>
      <c r="I1244" s="63" t="n">
        <v>0.48829287048</v>
      </c>
      <c r="J1244" s="63" t="n">
        <v>0.281522002778</v>
      </c>
      <c r="K1244" s="63" t="n">
        <v>1344.07</v>
      </c>
      <c r="L1244" s="63" t="n">
        <v>1338.12</v>
      </c>
      <c r="M1244" s="63" t="n">
        <v>1343.01</v>
      </c>
      <c r="N1244" s="54">
        <f>(M1245-M1244)/M1244</f>
        <v/>
      </c>
      <c r="O1244" s="54">
        <f>(M1248-M1244)/M1244</f>
        <v/>
      </c>
      <c r="P1244" s="4">
        <f>B1244-D1244</f>
        <v/>
      </c>
      <c r="Q1244" s="4">
        <f>AVERAGE(P1241:P1244)</f>
        <v/>
      </c>
      <c r="R1244" s="54">
        <f>(M1245-M1244)/M1244</f>
        <v/>
      </c>
      <c r="S1244" s="54">
        <f>(M1248-M1244)/M1244</f>
        <v/>
      </c>
      <c r="T1244" s="63">
        <f>IF(R1244&gt;0,1,"")</f>
        <v/>
      </c>
      <c r="U1244" s="63">
        <f>IF(S1244&gt;0,1,"")</f>
        <v/>
      </c>
    </row>
    <row r="1245">
      <c r="A1245" s="35" t="n">
        <v>40605</v>
      </c>
      <c r="B1245" s="4" t="n">
        <v>0.3679</v>
      </c>
      <c r="C1245" s="4" t="n">
        <v>0.3005</v>
      </c>
      <c r="D1245" s="4" t="n">
        <v>0.3316</v>
      </c>
      <c r="E1245" s="63" t="n">
        <v>1</v>
      </c>
      <c r="F1245" s="63" t="n">
        <v>0.4575875</v>
      </c>
      <c r="G1245" s="63" t="n">
        <v>0.0363</v>
      </c>
      <c r="H1245" s="63" t="n">
        <v>0.384907436629</v>
      </c>
      <c r="I1245" s="63" t="n">
        <v>0.48829287048</v>
      </c>
      <c r="J1245" s="63" t="n">
        <v>0.281522002778</v>
      </c>
      <c r="K1245" s="63" t="n">
        <v>1332.09</v>
      </c>
      <c r="L1245" s="63" t="n">
        <v>1320.55</v>
      </c>
      <c r="M1245" s="63" t="n">
        <v>1327.22</v>
      </c>
      <c r="N1245" s="54">
        <f>(M1246-M1245)/M1245</f>
        <v/>
      </c>
      <c r="O1245" s="54">
        <f>(M1249-M1245)/M1245</f>
        <v/>
      </c>
      <c r="P1245" s="4">
        <f>B1245-D1245</f>
        <v/>
      </c>
      <c r="Q1245" s="4">
        <f>AVERAGE(P1242:P1245)</f>
        <v/>
      </c>
      <c r="R1245" s="54">
        <f>(M1246-M1245)/M1245</f>
        <v/>
      </c>
      <c r="S1245" s="54">
        <f>(M1249-M1245)/M1245</f>
        <v/>
      </c>
      <c r="T1245" s="63">
        <f>IF(R1245&gt;0,1,"")</f>
        <v/>
      </c>
      <c r="U1245" s="63">
        <f>IF(S1245&gt;0,1,"")</f>
        <v/>
      </c>
    </row>
    <row r="1246">
      <c r="A1246" s="35" t="n">
        <v>40612</v>
      </c>
      <c r="B1246" s="4" t="n">
        <v>0.3597</v>
      </c>
      <c r="C1246" s="4" t="n">
        <v>0.3171</v>
      </c>
      <c r="D1246" s="4" t="n">
        <v>0.3232</v>
      </c>
      <c r="E1246" s="63" t="n">
        <v>1</v>
      </c>
      <c r="F1246" s="63" t="n">
        <v>0.437125</v>
      </c>
      <c r="G1246" s="63" t="n">
        <v>0.0365</v>
      </c>
      <c r="H1246" s="63" t="n">
        <v>0.384907436629</v>
      </c>
      <c r="I1246" s="63" t="n">
        <v>0.48829287048</v>
      </c>
      <c r="J1246" s="63" t="n">
        <v>0.281522002778</v>
      </c>
      <c r="K1246" s="63" t="n">
        <v>1332.28</v>
      </c>
      <c r="L1246" s="63" t="n">
        <v>1312.59</v>
      </c>
      <c r="M1246" s="63" t="n">
        <v>1321.82</v>
      </c>
      <c r="N1246" s="54">
        <f>(M1247-M1246)/M1246</f>
        <v/>
      </c>
      <c r="O1246" s="54">
        <f>(M1250-M1246)/M1246</f>
        <v/>
      </c>
      <c r="P1246" s="4">
        <f>B1246-D1246</f>
        <v/>
      </c>
      <c r="Q1246" s="4">
        <f>AVERAGE(P1243:P1246)</f>
        <v/>
      </c>
      <c r="R1246" s="54">
        <f>(M1247-M1246)/M1246</f>
        <v/>
      </c>
      <c r="S1246" s="54">
        <f>(M1250-M1246)/M1246</f>
        <v/>
      </c>
      <c r="T1246" s="63">
        <f>IF(R1246&gt;0,1,"")</f>
        <v/>
      </c>
      <c r="U1246" s="63">
        <f>IF(S1246&gt;0,1,"")</f>
        <v/>
      </c>
    </row>
    <row r="1247">
      <c r="A1247" s="35" t="n">
        <v>40619</v>
      </c>
      <c r="B1247" s="4" t="n">
        <v>0.2849</v>
      </c>
      <c r="C1247" s="4" t="n">
        <v>0.3139</v>
      </c>
      <c r="D1247" s="4" t="n">
        <v>0.4012</v>
      </c>
      <c r="E1247" s="63" t="n">
        <v>1</v>
      </c>
      <c r="F1247" s="63" t="n">
        <v>0.4093</v>
      </c>
      <c r="G1247" s="63" t="n">
        <v>-0.1163</v>
      </c>
      <c r="H1247" s="63" t="n">
        <v>0.384907436629</v>
      </c>
      <c r="I1247" s="63" t="n">
        <v>0.48829287048</v>
      </c>
      <c r="J1247" s="63" t="n">
        <v>0.281522002778</v>
      </c>
      <c r="K1247" s="63" t="n">
        <v>1315.72</v>
      </c>
      <c r="L1247" s="63" t="n">
        <v>1294.21</v>
      </c>
      <c r="M1247" s="63" t="n">
        <v>1304.28</v>
      </c>
      <c r="N1247" s="54">
        <f>(M1248-M1247)/M1247</f>
        <v/>
      </c>
      <c r="O1247" s="54">
        <f>(M1251-M1247)/M1247</f>
        <v/>
      </c>
      <c r="P1247" s="4">
        <f>B1247-D1247</f>
        <v/>
      </c>
      <c r="Q1247" s="4">
        <f>AVERAGE(P1244:P1247)</f>
        <v/>
      </c>
      <c r="R1247" s="54">
        <f>(M1248-M1247)/M1247</f>
        <v/>
      </c>
      <c r="S1247" s="54">
        <f>(M1251-M1247)/M1247</f>
        <v/>
      </c>
      <c r="T1247" s="63">
        <f>IF(R1247&gt;0,1,"")</f>
        <v/>
      </c>
      <c r="U1247" s="63">
        <f>IF(S1247&gt;0,1,"")</f>
        <v/>
      </c>
    </row>
    <row r="1248">
      <c r="A1248" s="35" t="n">
        <v>40626</v>
      </c>
      <c r="B1248" s="4" t="n">
        <v>0.3774</v>
      </c>
      <c r="C1248" s="4" t="n">
        <v>0.2727</v>
      </c>
      <c r="D1248" s="4" t="n">
        <v>0.3497</v>
      </c>
      <c r="E1248" s="63" t="n">
        <v>0.9998</v>
      </c>
      <c r="F1248" s="63" t="n">
        <v>0.403925</v>
      </c>
      <c r="G1248" s="63" t="n">
        <v>0.0277</v>
      </c>
      <c r="H1248" s="63" t="n">
        <v>0.384907436629</v>
      </c>
      <c r="I1248" s="63" t="n">
        <v>0.48829287048</v>
      </c>
      <c r="J1248" s="63" t="n">
        <v>0.281522002778</v>
      </c>
      <c r="K1248" s="63" t="n">
        <v>1300.58</v>
      </c>
      <c r="L1248" s="63" t="n">
        <v>1292.7</v>
      </c>
      <c r="M1248" s="63" t="n">
        <v>1298.38</v>
      </c>
      <c r="N1248" s="54">
        <f>(M1249-M1248)/M1248</f>
        <v/>
      </c>
      <c r="O1248" s="54">
        <f>(M1252-M1248)/M1248</f>
        <v/>
      </c>
      <c r="P1248" s="4">
        <f>B1248-D1248</f>
        <v/>
      </c>
      <c r="Q1248" s="4">
        <f>AVERAGE(P1245:P1248)</f>
        <v/>
      </c>
      <c r="R1248" s="54">
        <f>(M1249-M1248)/M1248</f>
        <v/>
      </c>
      <c r="S1248" s="54">
        <f>(M1252-M1248)/M1248</f>
        <v/>
      </c>
      <c r="T1248" s="63">
        <f>IF(R1248&gt;0,1,"")</f>
        <v/>
      </c>
      <c r="U1248" s="63">
        <f>IF(S1248&gt;0,1,"")</f>
        <v/>
      </c>
    </row>
    <row r="1249">
      <c r="A1249" s="35" t="n">
        <v>40633</v>
      </c>
      <c r="B1249" s="4" t="n">
        <v>0.4181</v>
      </c>
      <c r="C1249" s="4" t="n">
        <v>0.2712</v>
      </c>
      <c r="D1249" s="4" t="n">
        <v>0.3107</v>
      </c>
      <c r="E1249" s="63" t="n">
        <v>1</v>
      </c>
      <c r="F1249" s="63" t="n">
        <v>0.3917625</v>
      </c>
      <c r="G1249" s="63" t="n">
        <v>0.1074</v>
      </c>
      <c r="H1249" s="63" t="n">
        <v>0.384907436629</v>
      </c>
      <c r="I1249" s="63" t="n">
        <v>0.48829287048</v>
      </c>
      <c r="J1249" s="63" t="n">
        <v>0.281522002778</v>
      </c>
      <c r="K1249" s="63" t="n">
        <v>1331.74</v>
      </c>
      <c r="L1249" s="63" t="n">
        <v>1321.89</v>
      </c>
      <c r="M1249" s="63" t="n">
        <v>1328.26</v>
      </c>
      <c r="N1249" s="54">
        <f>(M1250-M1249)/M1249</f>
        <v/>
      </c>
      <c r="O1249" s="54">
        <f>(M1253-M1249)/M1249</f>
        <v/>
      </c>
      <c r="P1249" s="4">
        <f>B1249-D1249</f>
        <v/>
      </c>
      <c r="Q1249" s="4">
        <f>AVERAGE(P1246:P1249)</f>
        <v/>
      </c>
      <c r="R1249" s="54">
        <f>(M1250-M1249)/M1249</f>
        <v/>
      </c>
      <c r="S1249" s="54">
        <f>(M1253-M1249)/M1249</f>
        <v/>
      </c>
      <c r="T1249" s="63">
        <f>IF(R1249&gt;0,1,"")</f>
        <v/>
      </c>
      <c r="U1249" s="63">
        <f>IF(S1249&gt;0,1,"")</f>
        <v/>
      </c>
    </row>
    <row r="1250">
      <c r="A1250" s="35" t="n">
        <v>40640</v>
      </c>
      <c r="B1250" s="4" t="n">
        <v>0.4359</v>
      </c>
      <c r="C1250" s="4" t="n">
        <v>0.2756</v>
      </c>
      <c r="D1250" s="4" t="n">
        <v>0.2885</v>
      </c>
      <c r="E1250" s="63" t="n">
        <v>1</v>
      </c>
      <c r="F1250" s="63" t="n">
        <v>0.3845</v>
      </c>
      <c r="G1250" s="63" t="n">
        <v>0.1474</v>
      </c>
      <c r="H1250" s="63" t="n">
        <v>0.384907436629</v>
      </c>
      <c r="I1250" s="63" t="n">
        <v>0.48829287048</v>
      </c>
      <c r="J1250" s="63" t="n">
        <v>0.281522002778</v>
      </c>
      <c r="K1250" s="63" t="n">
        <v>1339.38</v>
      </c>
      <c r="L1250" s="63" t="n">
        <v>1328.89</v>
      </c>
      <c r="M1250" s="63" t="n">
        <v>1335.54</v>
      </c>
      <c r="N1250" s="54">
        <f>(M1251-M1250)/M1250</f>
        <v/>
      </c>
      <c r="O1250" s="54">
        <f>(M1254-M1250)/M1250</f>
        <v/>
      </c>
      <c r="P1250" s="4">
        <f>B1250-D1250</f>
        <v/>
      </c>
      <c r="Q1250" s="4">
        <f>AVERAGE(P1247:P1250)</f>
        <v/>
      </c>
      <c r="R1250" s="54">
        <f>(M1251-M1250)/M1250</f>
        <v/>
      </c>
      <c r="S1250" s="54">
        <f>(M1254-M1250)/M1250</f>
        <v/>
      </c>
      <c r="T1250" s="63">
        <f>IF(R1250&gt;0,1,"")</f>
        <v/>
      </c>
      <c r="U1250" s="63">
        <f>IF(S1250&gt;0,1,"")</f>
        <v/>
      </c>
    </row>
    <row r="1251">
      <c r="A1251" s="35" t="n">
        <v>40647</v>
      </c>
      <c r="B1251" s="4" t="n">
        <v>0.4225</v>
      </c>
      <c r="C1251" s="4" t="n">
        <v>0.2676</v>
      </c>
      <c r="D1251" s="4" t="n">
        <v>0.3099</v>
      </c>
      <c r="E1251" s="63" t="n">
        <v>1</v>
      </c>
      <c r="F1251" s="63" t="n">
        <v>0.3790875</v>
      </c>
      <c r="G1251" s="63" t="n">
        <v>0.1126</v>
      </c>
      <c r="H1251" s="63" t="n">
        <v>0.384907436629</v>
      </c>
      <c r="I1251" s="63" t="n">
        <v>0.48829287048</v>
      </c>
      <c r="J1251" s="63" t="n">
        <v>0.281522002778</v>
      </c>
      <c r="K1251" s="63" t="n">
        <v>1339.46</v>
      </c>
      <c r="L1251" s="63" t="n">
        <v>1309.19</v>
      </c>
      <c r="M1251" s="63" t="n">
        <v>1314.41</v>
      </c>
      <c r="N1251" s="54">
        <f>(M1252-M1251)/M1251</f>
        <v/>
      </c>
      <c r="O1251" s="54">
        <f>(M1255-M1251)/M1251</f>
        <v/>
      </c>
      <c r="P1251" s="4">
        <f>B1251-D1251</f>
        <v/>
      </c>
      <c r="Q1251" s="4">
        <f>AVERAGE(P1248:P1251)</f>
        <v/>
      </c>
      <c r="R1251" s="54">
        <f>(M1252-M1251)/M1251</f>
        <v/>
      </c>
      <c r="S1251" s="54">
        <f>(M1255-M1251)/M1251</f>
        <v/>
      </c>
      <c r="T1251" s="63">
        <f>IF(R1251&gt;0,1,"")</f>
        <v/>
      </c>
      <c r="U1251" s="63">
        <f>IF(S1251&gt;0,1,"")</f>
        <v/>
      </c>
    </row>
    <row r="1252">
      <c r="A1252" s="35" t="n">
        <v>40654</v>
      </c>
      <c r="B1252" s="4" t="n">
        <v>0.3216</v>
      </c>
      <c r="C1252" s="4" t="n">
        <v>0.3684</v>
      </c>
      <c r="D1252" s="4" t="n">
        <v>0.3099</v>
      </c>
      <c r="E1252" s="63" t="n">
        <v>0.9999</v>
      </c>
      <c r="F1252" s="63" t="n">
        <v>0.3735</v>
      </c>
      <c r="G1252" s="63" t="n">
        <v>0.0117</v>
      </c>
      <c r="H1252" s="63" t="n">
        <v>0.384907436629</v>
      </c>
      <c r="I1252" s="63" t="n">
        <v>0.48829287048</v>
      </c>
      <c r="J1252" s="63" t="n">
        <v>0.281522002778</v>
      </c>
      <c r="K1252" s="63" t="n">
        <v>1332.66</v>
      </c>
      <c r="L1252" s="63" t="n">
        <v>1319.12</v>
      </c>
      <c r="M1252" s="63" t="n">
        <v>1330.36</v>
      </c>
      <c r="N1252" s="54">
        <f>(M1253-M1252)/M1252</f>
        <v/>
      </c>
      <c r="O1252" s="54">
        <f>(M1256-M1252)/M1252</f>
        <v/>
      </c>
      <c r="P1252" s="4">
        <f>B1252-D1252</f>
        <v/>
      </c>
      <c r="Q1252" s="4">
        <f>AVERAGE(P1249:P1252)</f>
        <v/>
      </c>
      <c r="R1252" s="54">
        <f>(M1253-M1252)/M1252</f>
        <v/>
      </c>
      <c r="S1252" s="54">
        <f>(M1256-M1252)/M1252</f>
        <v/>
      </c>
      <c r="T1252" s="63">
        <f>IF(R1252&gt;0,1,"")</f>
        <v/>
      </c>
      <c r="U1252" s="63">
        <f>IF(S1252&gt;0,1,"")</f>
        <v/>
      </c>
    </row>
    <row r="1253">
      <c r="A1253" s="35" t="n">
        <v>40661</v>
      </c>
      <c r="B1253" s="4" t="n">
        <v>0.379</v>
      </c>
      <c r="C1253" s="4" t="n">
        <v>0.3145</v>
      </c>
      <c r="D1253" s="4" t="n">
        <v>0.3065</v>
      </c>
      <c r="E1253" s="63" t="n">
        <v>1</v>
      </c>
      <c r="F1253" s="63" t="n">
        <v>0.3748875</v>
      </c>
      <c r="G1253" s="63" t="n">
        <v>0.0725</v>
      </c>
      <c r="H1253" s="63" t="n">
        <v>0.384907436629</v>
      </c>
      <c r="I1253" s="63" t="n">
        <v>0.48829287048</v>
      </c>
      <c r="J1253" s="63" t="n">
        <v>0.281522002778</v>
      </c>
      <c r="K1253" s="63" t="n">
        <v>1349.55</v>
      </c>
      <c r="L1253" s="63" t="n">
        <v>1336.75</v>
      </c>
      <c r="M1253" s="63" t="n">
        <v>1347.24</v>
      </c>
      <c r="N1253" s="54">
        <f>(M1254-M1253)/M1253</f>
        <v/>
      </c>
      <c r="O1253" s="54">
        <f>(M1257-M1253)/M1253</f>
        <v/>
      </c>
      <c r="P1253" s="4">
        <f>B1253-D1253</f>
        <v/>
      </c>
      <c r="Q1253" s="4">
        <f>AVERAGE(P1250:P1253)</f>
        <v/>
      </c>
      <c r="R1253" s="54">
        <f>(M1254-M1253)/M1253</f>
        <v/>
      </c>
      <c r="S1253" s="54">
        <f>(M1257-M1253)/M1253</f>
        <v/>
      </c>
      <c r="T1253" s="63">
        <f>IF(R1253&gt;0,1,"")</f>
        <v/>
      </c>
      <c r="U1253" s="63">
        <f>IF(S1253&gt;0,1,"")</f>
        <v/>
      </c>
    </row>
    <row r="1254">
      <c r="A1254" s="35" t="n">
        <v>40668</v>
      </c>
      <c r="B1254" s="4" t="n">
        <v>0.3546</v>
      </c>
      <c r="C1254" s="4" t="n">
        <v>0.3267</v>
      </c>
      <c r="D1254" s="4" t="n">
        <v>0.3187</v>
      </c>
      <c r="E1254" s="63" t="n">
        <v>1</v>
      </c>
      <c r="F1254" s="63" t="n">
        <v>0.37425</v>
      </c>
      <c r="G1254" s="63" t="n">
        <v>0.0359</v>
      </c>
      <c r="H1254" s="63" t="n">
        <v>0.384907436629</v>
      </c>
      <c r="I1254" s="63" t="n">
        <v>0.48829287048</v>
      </c>
      <c r="J1254" s="63" t="n">
        <v>0.281522002778</v>
      </c>
      <c r="K1254" s="63" t="n">
        <v>1370.58</v>
      </c>
      <c r="L1254" s="63" t="n">
        <v>1358.69</v>
      </c>
      <c r="M1254" s="63" t="n">
        <v>1363.61</v>
      </c>
      <c r="N1254" s="54">
        <f>(M1255-M1254)/M1254</f>
        <v/>
      </c>
      <c r="O1254" s="54">
        <f>(M1258-M1254)/M1254</f>
        <v/>
      </c>
      <c r="P1254" s="4">
        <f>B1254-D1254</f>
        <v/>
      </c>
      <c r="Q1254" s="4">
        <f>AVERAGE(P1251:P1254)</f>
        <v/>
      </c>
      <c r="R1254" s="54">
        <f>(M1255-M1254)/M1254</f>
        <v/>
      </c>
      <c r="S1254" s="54">
        <f>(M1258-M1254)/M1254</f>
        <v/>
      </c>
      <c r="T1254" s="63">
        <f>IF(R1254&gt;0,1,"")</f>
        <v/>
      </c>
      <c r="U1254" s="63">
        <f>IF(S1254&gt;0,1,"")</f>
        <v/>
      </c>
    </row>
    <row r="1255">
      <c r="A1255" s="35" t="n">
        <v>40675</v>
      </c>
      <c r="B1255" s="4" t="n">
        <v>0.3077</v>
      </c>
      <c r="C1255" s="4" t="n">
        <v>0.3373</v>
      </c>
      <c r="D1255" s="4" t="n">
        <v>0.355</v>
      </c>
      <c r="E1255" s="63" t="n">
        <v>1</v>
      </c>
      <c r="F1255" s="63" t="n">
        <v>0.3771</v>
      </c>
      <c r="G1255" s="63" t="n">
        <v>-0.0473</v>
      </c>
      <c r="H1255" s="63" t="n">
        <v>0.384907436629</v>
      </c>
      <c r="I1255" s="63" t="n">
        <v>0.48829287048</v>
      </c>
      <c r="J1255" s="63" t="n">
        <v>0.281522002778</v>
      </c>
      <c r="K1255" s="63" t="n">
        <v>1359.44</v>
      </c>
      <c r="L1255" s="63" t="n">
        <v>1348.34</v>
      </c>
      <c r="M1255" s="63" t="n">
        <v>1357.16</v>
      </c>
      <c r="N1255" s="54">
        <f>(M1256-M1255)/M1255</f>
        <v/>
      </c>
      <c r="O1255" s="54">
        <f>(M1259-M1255)/M1255</f>
        <v/>
      </c>
      <c r="P1255" s="4">
        <f>B1255-D1255</f>
        <v/>
      </c>
      <c r="Q1255" s="4">
        <f>AVERAGE(P1252:P1255)</f>
        <v/>
      </c>
      <c r="R1255" s="54">
        <f>(M1256-M1255)/M1255</f>
        <v/>
      </c>
      <c r="S1255" s="54">
        <f>(M1259-M1255)/M1255</f>
        <v/>
      </c>
      <c r="T1255" s="63">
        <f>IF(R1255&gt;0,1,"")</f>
        <v/>
      </c>
      <c r="U1255" s="63">
        <f>IF(S1255&gt;0,1,"")</f>
        <v/>
      </c>
    </row>
    <row r="1256">
      <c r="A1256" s="35" t="n">
        <v>40682</v>
      </c>
      <c r="B1256" s="4" t="n">
        <v>0.2669</v>
      </c>
      <c r="C1256" s="4" t="n">
        <v>0.3202</v>
      </c>
      <c r="D1256" s="4" t="n">
        <v>0.4129</v>
      </c>
      <c r="E1256" s="63" t="n">
        <v>1</v>
      </c>
      <c r="F1256" s="63" t="n">
        <v>0.3632875</v>
      </c>
      <c r="G1256" s="63" t="n">
        <v>-0.146</v>
      </c>
      <c r="H1256" s="63" t="n">
        <v>0.384907436629</v>
      </c>
      <c r="I1256" s="63" t="n">
        <v>0.48829287048</v>
      </c>
      <c r="J1256" s="63" t="n">
        <v>0.281522002778</v>
      </c>
      <c r="K1256" s="63" t="n">
        <v>1351.05</v>
      </c>
      <c r="L1256" s="63" t="n">
        <v>1333.36</v>
      </c>
      <c r="M1256" s="63" t="n">
        <v>1348.65</v>
      </c>
      <c r="N1256" s="54">
        <f>(M1257-M1256)/M1256</f>
        <v/>
      </c>
      <c r="O1256" s="54">
        <f>(M1260-M1256)/M1256</f>
        <v/>
      </c>
      <c r="P1256" s="4">
        <f>B1256-D1256</f>
        <v/>
      </c>
      <c r="Q1256" s="4">
        <f>AVERAGE(P1253:P1256)</f>
        <v/>
      </c>
      <c r="R1256" s="54">
        <f>(M1257-M1256)/M1256</f>
        <v/>
      </c>
      <c r="S1256" s="54">
        <f>(M1260-M1256)/M1256</f>
        <v/>
      </c>
      <c r="T1256" s="63">
        <f>IF(R1256&gt;0,1,"")</f>
        <v/>
      </c>
      <c r="U1256" s="63">
        <f>IF(S1256&gt;0,1,"")</f>
        <v/>
      </c>
    </row>
    <row r="1257">
      <c r="A1257" s="35" t="n">
        <v>40689</v>
      </c>
      <c r="B1257" s="4" t="n">
        <v>0.2561</v>
      </c>
      <c r="C1257" s="4" t="n">
        <v>0.3297</v>
      </c>
      <c r="D1257" s="4" t="n">
        <v>0.4142</v>
      </c>
      <c r="E1257" s="63" t="n">
        <v>1</v>
      </c>
      <c r="F1257" s="63" t="n">
        <v>0.3430375</v>
      </c>
      <c r="G1257" s="63" t="n">
        <v>-0.1581</v>
      </c>
      <c r="H1257" s="63" t="n">
        <v>0.384907436629</v>
      </c>
      <c r="I1257" s="63" t="n">
        <v>0.48829287048</v>
      </c>
      <c r="J1257" s="63" t="n">
        <v>0.281522002778</v>
      </c>
      <c r="K1257" s="63" t="n">
        <v>1346.82</v>
      </c>
      <c r="L1257" s="63" t="n">
        <v>1336.36</v>
      </c>
      <c r="M1257" s="63" t="n">
        <v>1343.6</v>
      </c>
      <c r="N1257" s="54">
        <f>(M1258-M1257)/M1257</f>
        <v/>
      </c>
      <c r="O1257" s="54">
        <f>(M1261-M1257)/M1257</f>
        <v/>
      </c>
      <c r="P1257" s="4">
        <f>B1257-D1257</f>
        <v/>
      </c>
      <c r="Q1257" s="4">
        <f>AVERAGE(P1254:P1257)</f>
        <v/>
      </c>
      <c r="R1257" s="54">
        <f>(M1258-M1257)/M1257</f>
        <v/>
      </c>
      <c r="S1257" s="54">
        <f>(M1261-M1257)/M1257</f>
        <v/>
      </c>
      <c r="T1257" s="63">
        <f>IF(R1257&gt;0,1,"")</f>
        <v/>
      </c>
      <c r="U1257" s="63">
        <f>IF(S1257&gt;0,1,"")</f>
        <v/>
      </c>
    </row>
    <row r="1258">
      <c r="A1258" s="35" t="n">
        <v>40696</v>
      </c>
      <c r="B1258" s="4" t="n">
        <v>0.3018</v>
      </c>
      <c r="C1258" s="4" t="n">
        <v>0.3639</v>
      </c>
      <c r="D1258" s="4" t="n">
        <v>0.3343</v>
      </c>
      <c r="E1258" s="63" t="n">
        <v>1</v>
      </c>
      <c r="F1258" s="63" t="n">
        <v>0.326275</v>
      </c>
      <c r="G1258" s="63" t="n">
        <v>-0.0325</v>
      </c>
      <c r="H1258" s="63" t="n">
        <v>0.384907436629</v>
      </c>
      <c r="I1258" s="63" t="n">
        <v>0.48829287048</v>
      </c>
      <c r="J1258" s="63" t="n">
        <v>0.281522002778</v>
      </c>
      <c r="K1258" s="63" t="n">
        <v>1345.2</v>
      </c>
      <c r="L1258" s="63" t="n">
        <v>1314.41</v>
      </c>
      <c r="M1258" s="63" t="n">
        <v>1314.55</v>
      </c>
      <c r="N1258" s="54">
        <f>(M1259-M1258)/M1258</f>
        <v/>
      </c>
      <c r="O1258" s="54">
        <f>(M1262-M1258)/M1258</f>
        <v/>
      </c>
      <c r="P1258" s="4">
        <f>B1258-D1258</f>
        <v/>
      </c>
      <c r="Q1258" s="4">
        <f>AVERAGE(P1255:P1258)</f>
        <v/>
      </c>
      <c r="R1258" s="54">
        <f>(M1259-M1258)/M1258</f>
        <v/>
      </c>
      <c r="S1258" s="54">
        <f>(M1262-M1258)/M1258</f>
        <v/>
      </c>
      <c r="T1258" s="63">
        <f>IF(R1258&gt;0,1,"")</f>
        <v/>
      </c>
      <c r="U1258" s="63">
        <f>IF(S1258&gt;0,1,"")</f>
        <v/>
      </c>
    </row>
    <row r="1259">
      <c r="A1259" s="35" t="n">
        <v>40703</v>
      </c>
      <c r="B1259" s="4" t="n">
        <v>0.2442</v>
      </c>
      <c r="C1259" s="4" t="n">
        <v>0.2791</v>
      </c>
      <c r="D1259" s="4" t="n">
        <v>0.4767</v>
      </c>
      <c r="E1259" s="63" t="n">
        <v>1</v>
      </c>
      <c r="F1259" s="63" t="n">
        <v>0.3039875</v>
      </c>
      <c r="G1259" s="63" t="n">
        <v>-0.2325</v>
      </c>
      <c r="H1259" s="63" t="n">
        <v>0.384907436629</v>
      </c>
      <c r="I1259" s="63" t="n">
        <v>0.48829287048</v>
      </c>
      <c r="J1259" s="63" t="n">
        <v>0.281522002778</v>
      </c>
      <c r="K1259" s="63" t="n">
        <v>1312.94</v>
      </c>
      <c r="L1259" s="63" t="n">
        <v>1297.9</v>
      </c>
      <c r="M1259" s="63" t="n">
        <v>1300.16</v>
      </c>
      <c r="N1259" s="54">
        <f>(M1260-M1259)/M1259</f>
        <v/>
      </c>
      <c r="O1259" s="54">
        <f>(M1263-M1259)/M1259</f>
        <v/>
      </c>
      <c r="P1259" s="4">
        <f>B1259-D1259</f>
        <v/>
      </c>
      <c r="Q1259" s="4">
        <f>AVERAGE(P1256:P1259)</f>
        <v/>
      </c>
      <c r="R1259" s="54">
        <f>(M1260-M1259)/M1259</f>
        <v/>
      </c>
      <c r="S1259" s="54">
        <f>(M1263-M1259)/M1259</f>
        <v/>
      </c>
      <c r="T1259" s="63">
        <f>IF(R1259&gt;0,1,"")</f>
        <v/>
      </c>
      <c r="U1259" s="63">
        <f>IF(S1259&gt;0,1,"")</f>
        <v/>
      </c>
    </row>
    <row r="1260">
      <c r="A1260" s="35" t="n">
        <v>40710</v>
      </c>
      <c r="B1260" s="4" t="n">
        <v>0.29</v>
      </c>
      <c r="C1260" s="4" t="n">
        <v>0.2825</v>
      </c>
      <c r="D1260" s="4" t="n">
        <v>0.4275</v>
      </c>
      <c r="E1260" s="63" t="n">
        <v>1</v>
      </c>
      <c r="F1260" s="63" t="n">
        <v>0.3000375</v>
      </c>
      <c r="G1260" s="63" t="n">
        <v>-0.1375</v>
      </c>
      <c r="H1260" s="63" t="n">
        <v>0.384907436629</v>
      </c>
      <c r="I1260" s="63" t="n">
        <v>0.48829287048</v>
      </c>
      <c r="J1260" s="63" t="n">
        <v>0.281522002778</v>
      </c>
      <c r="K1260" s="63" t="n">
        <v>1294.54</v>
      </c>
      <c r="L1260" s="63" t="n">
        <v>1279.63</v>
      </c>
      <c r="M1260" s="63" t="n">
        <v>1289</v>
      </c>
      <c r="N1260" s="54">
        <f>(M1261-M1260)/M1260</f>
        <v/>
      </c>
      <c r="O1260" s="54">
        <f>(M1264-M1260)/M1260</f>
        <v/>
      </c>
      <c r="P1260" s="4">
        <f>B1260-D1260</f>
        <v/>
      </c>
      <c r="Q1260" s="4">
        <f>AVERAGE(P1257:P1260)</f>
        <v/>
      </c>
      <c r="R1260" s="54">
        <f>(M1261-M1260)/M1260</f>
        <v/>
      </c>
      <c r="S1260" s="54">
        <f>(M1264-M1260)/M1260</f>
        <v/>
      </c>
      <c r="T1260" s="63">
        <f>IF(R1260&gt;0,1,"")</f>
        <v/>
      </c>
      <c r="U1260" s="63">
        <f>IF(S1260&gt;0,1,"")</f>
        <v/>
      </c>
    </row>
    <row r="1261">
      <c r="A1261" s="35" t="n">
        <v>40717</v>
      </c>
      <c r="B1261" s="4" t="n">
        <v>0.3746</v>
      </c>
      <c r="C1261" s="4" t="n">
        <v>0.268</v>
      </c>
      <c r="D1261" s="4" t="n">
        <v>0.3574</v>
      </c>
      <c r="E1261" s="63" t="n">
        <v>1</v>
      </c>
      <c r="F1261" s="63" t="n">
        <v>0.2994875</v>
      </c>
      <c r="G1261" s="63" t="n">
        <v>0.0172</v>
      </c>
      <c r="H1261" s="63" t="n">
        <v>0.384907436629</v>
      </c>
      <c r="I1261" s="63" t="n">
        <v>0.48829287048</v>
      </c>
      <c r="J1261" s="63" t="n">
        <v>0.281522002778</v>
      </c>
      <c r="K1261" s="63" t="n">
        <v>1298.61</v>
      </c>
      <c r="L1261" s="63" t="n">
        <v>1286.79</v>
      </c>
      <c r="M1261" s="63" t="n">
        <v>1295.52</v>
      </c>
      <c r="N1261" s="54">
        <f>(M1262-M1261)/M1261</f>
        <v/>
      </c>
      <c r="O1261" s="54">
        <f>(M1265-M1261)/M1261</f>
        <v/>
      </c>
      <c r="P1261" s="4">
        <f>B1261-D1261</f>
        <v/>
      </c>
      <c r="Q1261" s="4">
        <f>AVERAGE(P1258:P1261)</f>
        <v/>
      </c>
      <c r="R1261" s="54">
        <f>(M1262-M1261)/M1261</f>
        <v/>
      </c>
      <c r="S1261" s="54">
        <f>(M1265-M1261)/M1261</f>
        <v/>
      </c>
      <c r="T1261" s="63">
        <f>IF(R1261&gt;0,1,"")</f>
        <v/>
      </c>
      <c r="U1261" s="63">
        <f>IF(S1261&gt;0,1,"")</f>
        <v/>
      </c>
    </row>
    <row r="1262">
      <c r="A1262" s="35" t="n">
        <v>40724</v>
      </c>
      <c r="B1262" s="4" t="n">
        <v>0.3831</v>
      </c>
      <c r="C1262" s="4" t="n">
        <v>0.3149</v>
      </c>
      <c r="D1262" s="4" t="n">
        <v>0.3019</v>
      </c>
      <c r="E1262" s="63" t="n">
        <v>0.9999</v>
      </c>
      <c r="F1262" s="63" t="n">
        <v>0.30305</v>
      </c>
      <c r="G1262" s="63" t="n">
        <v>0.08119999999999999</v>
      </c>
      <c r="H1262" s="63" t="n">
        <v>0.384907436629</v>
      </c>
      <c r="I1262" s="63" t="n">
        <v>0.48829287048</v>
      </c>
      <c r="J1262" s="63" t="n">
        <v>0.281522002778</v>
      </c>
      <c r="K1262" s="63" t="n">
        <v>1309.21</v>
      </c>
      <c r="L1262" s="63" t="n">
        <v>1296.85</v>
      </c>
      <c r="M1262" s="63" t="n">
        <v>1307.41</v>
      </c>
      <c r="N1262" s="54">
        <f>(M1263-M1262)/M1262</f>
        <v/>
      </c>
      <c r="O1262" s="54">
        <f>(M1266-M1262)/M1262</f>
        <v/>
      </c>
      <c r="P1262" s="4">
        <f>B1262-D1262</f>
        <v/>
      </c>
      <c r="Q1262" s="4">
        <f>AVERAGE(P1259:P1262)</f>
        <v/>
      </c>
      <c r="R1262" s="54">
        <f>(M1263-M1262)/M1262</f>
        <v/>
      </c>
      <c r="S1262" s="54">
        <f>(M1266-M1262)/M1262</f>
        <v/>
      </c>
      <c r="T1262" s="63">
        <f>IF(R1262&gt;0,1,"")</f>
        <v/>
      </c>
      <c r="U1262" s="63">
        <f>IF(S1262&gt;0,1,"")</f>
        <v/>
      </c>
    </row>
    <row r="1263">
      <c r="A1263" s="35" t="n">
        <v>40731</v>
      </c>
      <c r="B1263" s="4" t="n">
        <v>0.4177</v>
      </c>
      <c r="C1263" s="4" t="n">
        <v>0.3354</v>
      </c>
      <c r="D1263" s="4" t="n">
        <v>0.2468</v>
      </c>
      <c r="E1263" s="63" t="n">
        <v>0.9999</v>
      </c>
      <c r="F1263" s="63" t="n">
        <v>0.3168</v>
      </c>
      <c r="G1263" s="63" t="n">
        <v>0.1709</v>
      </c>
      <c r="H1263" s="63" t="n">
        <v>0.384907436629</v>
      </c>
      <c r="I1263" s="63" t="n">
        <v>0.48829287048</v>
      </c>
      <c r="J1263" s="63" t="n">
        <v>0.281522002778</v>
      </c>
      <c r="K1263" s="63" t="n">
        <v>1341.01</v>
      </c>
      <c r="L1263" s="63" t="n">
        <v>1334.3</v>
      </c>
      <c r="M1263" s="63" t="n">
        <v>1339.67</v>
      </c>
      <c r="N1263" s="54">
        <f>(M1264-M1263)/M1263</f>
        <v/>
      </c>
      <c r="O1263" s="54">
        <f>(M1267-M1263)/M1263</f>
        <v/>
      </c>
      <c r="P1263" s="4">
        <f>B1263-D1263</f>
        <v/>
      </c>
      <c r="Q1263" s="4">
        <f>AVERAGE(P1260:P1263)</f>
        <v/>
      </c>
      <c r="R1263" s="54">
        <f>(M1264-M1263)/M1263</f>
        <v/>
      </c>
      <c r="S1263" s="54">
        <f>(M1267-M1263)/M1263</f>
        <v/>
      </c>
      <c r="T1263" s="63">
        <f>IF(R1263&gt;0,1,"")</f>
        <v/>
      </c>
      <c r="U1263" s="63">
        <f>IF(S1263&gt;0,1,"")</f>
        <v/>
      </c>
    </row>
    <row r="1264">
      <c r="A1264" s="35" t="n">
        <v>40738</v>
      </c>
      <c r="B1264" s="4" t="n">
        <v>0.3931</v>
      </c>
      <c r="C1264" s="4" t="n">
        <v>0.3145</v>
      </c>
      <c r="D1264" s="4" t="n">
        <v>0.2925</v>
      </c>
      <c r="E1264" s="63" t="n">
        <v>1.0001</v>
      </c>
      <c r="F1264" s="63" t="n">
        <v>0.332575</v>
      </c>
      <c r="G1264" s="63" t="n">
        <v>0.1006</v>
      </c>
      <c r="H1264" s="63" t="n">
        <v>0.384907436629</v>
      </c>
      <c r="I1264" s="63" t="n">
        <v>0.48829287048</v>
      </c>
      <c r="J1264" s="63" t="n">
        <v>0.281522002778</v>
      </c>
      <c r="K1264" s="63" t="n">
        <v>1356.48</v>
      </c>
      <c r="L1264" s="63" t="n">
        <v>1313.33</v>
      </c>
      <c r="M1264" s="63" t="n">
        <v>1317.72</v>
      </c>
      <c r="N1264" s="54">
        <f>(M1265-M1264)/M1264</f>
        <v/>
      </c>
      <c r="O1264" s="54">
        <f>(M1268-M1264)/M1264</f>
        <v/>
      </c>
      <c r="P1264" s="4">
        <f>B1264-D1264</f>
        <v/>
      </c>
      <c r="Q1264" s="4">
        <f>AVERAGE(P1261:P1264)</f>
        <v/>
      </c>
      <c r="R1264" s="54">
        <f>(M1265-M1264)/M1264</f>
        <v/>
      </c>
      <c r="S1264" s="54">
        <f>(M1268-M1264)/M1264</f>
        <v/>
      </c>
      <c r="T1264" s="63">
        <f>IF(R1264&gt;0,1,"")</f>
        <v/>
      </c>
      <c r="U1264" s="63">
        <f>IF(S1264&gt;0,1,"")</f>
        <v/>
      </c>
    </row>
    <row r="1265">
      <c r="A1265" s="35" t="n">
        <v>40745</v>
      </c>
      <c r="B1265" s="4" t="n">
        <v>0.3986</v>
      </c>
      <c r="C1265" s="4" t="n">
        <v>0.2954</v>
      </c>
      <c r="D1265" s="4" t="n">
        <v>0.3061</v>
      </c>
      <c r="E1265" s="63" t="n">
        <v>1.0001</v>
      </c>
      <c r="F1265" s="63" t="n">
        <v>0.3503875</v>
      </c>
      <c r="G1265" s="63" t="n">
        <v>0.0925</v>
      </c>
      <c r="H1265" s="63" t="n">
        <v>0.384907436629</v>
      </c>
      <c r="I1265" s="63" t="n">
        <v>0.48829287048</v>
      </c>
      <c r="J1265" s="63" t="n">
        <v>0.281522002778</v>
      </c>
      <c r="K1265" s="63" t="n">
        <v>1330.43</v>
      </c>
      <c r="L1265" s="63" t="n">
        <v>1295.92</v>
      </c>
      <c r="M1265" s="63" t="n">
        <v>1325.84</v>
      </c>
      <c r="N1265" s="54">
        <f>(M1266-M1265)/M1265</f>
        <v/>
      </c>
      <c r="O1265" s="54">
        <f>(M1269-M1265)/M1265</f>
        <v/>
      </c>
      <c r="P1265" s="4">
        <f>B1265-D1265</f>
        <v/>
      </c>
      <c r="Q1265" s="4">
        <f>AVERAGE(P1262:P1265)</f>
        <v/>
      </c>
      <c r="R1265" s="54">
        <f>(M1266-M1265)/M1265</f>
        <v/>
      </c>
      <c r="S1265" s="54">
        <f>(M1269-M1265)/M1265</f>
        <v/>
      </c>
      <c r="T1265" s="63">
        <f>IF(R1265&gt;0,1,"")</f>
        <v/>
      </c>
      <c r="U1265" s="63">
        <f>IF(S1265&gt;0,1,"")</f>
        <v/>
      </c>
    </row>
    <row r="1266">
      <c r="A1266" s="35" t="n">
        <v>40752</v>
      </c>
      <c r="B1266" s="4" t="n">
        <v>0.3784</v>
      </c>
      <c r="C1266" s="4" t="n">
        <v>0.3074</v>
      </c>
      <c r="D1266" s="4" t="n">
        <v>0.3142</v>
      </c>
      <c r="E1266" s="63" t="n">
        <v>1</v>
      </c>
      <c r="F1266" s="63" t="n">
        <v>0.3599625</v>
      </c>
      <c r="G1266" s="63" t="n">
        <v>0.06419999999999999</v>
      </c>
      <c r="H1266" s="63" t="n">
        <v>0.384907436629</v>
      </c>
      <c r="I1266" s="63" t="n">
        <v>0.48829287048</v>
      </c>
      <c r="J1266" s="63" t="n">
        <v>0.281522002778</v>
      </c>
      <c r="K1266" s="63" t="n">
        <v>1347</v>
      </c>
      <c r="L1266" s="63" t="n">
        <v>1303.49</v>
      </c>
      <c r="M1266" s="63" t="n">
        <v>1304.89</v>
      </c>
      <c r="N1266" s="54">
        <f>(M1267-M1266)/M1266</f>
        <v/>
      </c>
      <c r="O1266" s="54">
        <f>(M1270-M1266)/M1266</f>
        <v/>
      </c>
      <c r="P1266" s="4">
        <f>B1266-D1266</f>
        <v/>
      </c>
      <c r="Q1266" s="4">
        <f>AVERAGE(P1263:P1266)</f>
        <v/>
      </c>
      <c r="R1266" s="54">
        <f>(M1267-M1266)/M1266</f>
        <v/>
      </c>
      <c r="S1266" s="54">
        <f>(M1270-M1266)/M1266</f>
        <v/>
      </c>
      <c r="T1266" s="63">
        <f>IF(R1266&gt;0,1,"")</f>
        <v/>
      </c>
      <c r="U1266" s="63">
        <f>IF(S1266&gt;0,1,"")</f>
        <v/>
      </c>
    </row>
    <row r="1267">
      <c r="A1267" s="35" t="n">
        <v>40759</v>
      </c>
      <c r="B1267" s="4" t="n">
        <v>0.2716</v>
      </c>
      <c r="C1267" s="4" t="n">
        <v>0.2299</v>
      </c>
      <c r="D1267" s="4" t="n">
        <v>0.4985</v>
      </c>
      <c r="E1267" s="63" t="n">
        <v>1</v>
      </c>
      <c r="F1267" s="63" t="n">
        <v>0.3633875</v>
      </c>
      <c r="G1267" s="63" t="n">
        <v>-0.2269</v>
      </c>
      <c r="H1267" s="63" t="n">
        <v>0.384907436629</v>
      </c>
      <c r="I1267" s="63" t="n">
        <v>0.48829287048</v>
      </c>
      <c r="J1267" s="63" t="n">
        <v>0.281522002778</v>
      </c>
      <c r="K1267" s="63" t="n">
        <v>1316.32</v>
      </c>
      <c r="L1267" s="63" t="n">
        <v>1234.56</v>
      </c>
      <c r="M1267" s="63" t="n">
        <v>1260.34</v>
      </c>
      <c r="N1267" s="54">
        <f>(M1268-M1267)/M1267</f>
        <v/>
      </c>
      <c r="O1267" s="54">
        <f>(M1271-M1267)/M1267</f>
        <v/>
      </c>
      <c r="P1267" s="4">
        <f>B1267-D1267</f>
        <v/>
      </c>
      <c r="Q1267" s="4">
        <f>AVERAGE(P1264:P1267)</f>
        <v/>
      </c>
      <c r="R1267" s="54">
        <f>(M1268-M1267)/M1267</f>
        <v/>
      </c>
      <c r="S1267" s="54">
        <f>(M1271-M1267)/M1267</f>
        <v/>
      </c>
      <c r="T1267" s="63">
        <f>IF(R1267&gt;0,1,"")</f>
        <v/>
      </c>
      <c r="U1267" s="63">
        <f>IF(S1267&gt;0,1,"")</f>
        <v/>
      </c>
    </row>
    <row r="1268">
      <c r="A1268" s="35" t="n">
        <v>40766</v>
      </c>
      <c r="B1268" s="4" t="n">
        <v>0.3343</v>
      </c>
      <c r="C1268" s="4" t="n">
        <v>0.2179</v>
      </c>
      <c r="D1268" s="4" t="n">
        <v>0.4478</v>
      </c>
      <c r="E1268" s="63" t="n">
        <v>1</v>
      </c>
      <c r="F1268" s="63" t="n">
        <v>0.368925</v>
      </c>
      <c r="G1268" s="63" t="n">
        <v>-0.1135</v>
      </c>
      <c r="H1268" s="63" t="n">
        <v>0.384907436629</v>
      </c>
      <c r="I1268" s="63" t="n">
        <v>0.48829287048</v>
      </c>
      <c r="J1268" s="63" t="n">
        <v>0.281522002778</v>
      </c>
      <c r="K1268" s="63" t="n">
        <v>1260.23</v>
      </c>
      <c r="L1268" s="63" t="n">
        <v>1101.54</v>
      </c>
      <c r="M1268" s="63" t="n">
        <v>1120.76</v>
      </c>
      <c r="N1268" s="54">
        <f>(M1269-M1268)/M1268</f>
        <v/>
      </c>
      <c r="O1268" s="54">
        <f>(M1272-M1268)/M1268</f>
        <v/>
      </c>
      <c r="P1268" s="4">
        <f>B1268-D1268</f>
        <v/>
      </c>
      <c r="Q1268" s="4">
        <f>AVERAGE(P1265:P1268)</f>
        <v/>
      </c>
      <c r="R1268" s="54">
        <f>(M1269-M1268)/M1268</f>
        <v/>
      </c>
      <c r="S1268" s="54">
        <f>(M1272-M1268)/M1268</f>
        <v/>
      </c>
      <c r="T1268" s="63">
        <f>IF(R1268&gt;0,1,"")</f>
        <v/>
      </c>
      <c r="U1268" s="63">
        <f>IF(S1268&gt;0,1,"")</f>
        <v/>
      </c>
    </row>
    <row r="1269">
      <c r="A1269" s="35" t="n">
        <v>40773</v>
      </c>
      <c r="B1269" s="4" t="n">
        <v>0.3556</v>
      </c>
      <c r="C1269" s="4" t="n">
        <v>0.2462</v>
      </c>
      <c r="D1269" s="4" t="n">
        <v>0.3982</v>
      </c>
      <c r="E1269" s="63" t="n">
        <v>1</v>
      </c>
      <c r="F1269" s="63" t="n">
        <v>0.36655</v>
      </c>
      <c r="G1269" s="63" t="n">
        <v>-0.0426</v>
      </c>
      <c r="H1269" s="63" t="n">
        <v>0.384907436629</v>
      </c>
      <c r="I1269" s="63" t="n">
        <v>0.48829287048</v>
      </c>
      <c r="J1269" s="63" t="n">
        <v>0.281522002778</v>
      </c>
      <c r="K1269" s="63" t="n">
        <v>1208.47</v>
      </c>
      <c r="L1269" s="63" t="n">
        <v>1121.3</v>
      </c>
      <c r="M1269" s="63" t="n">
        <v>1193.88</v>
      </c>
      <c r="N1269" s="54">
        <f>(M1270-M1269)/M1269</f>
        <v/>
      </c>
      <c r="O1269" s="54">
        <f>(M1273-M1269)/M1269</f>
        <v/>
      </c>
      <c r="P1269" s="4">
        <f>B1269-D1269</f>
        <v/>
      </c>
      <c r="Q1269" s="4">
        <f>AVERAGE(P1266:P1269)</f>
        <v/>
      </c>
      <c r="R1269" s="54">
        <f>(M1270-M1269)/M1269</f>
        <v/>
      </c>
      <c r="S1269" s="54">
        <f>(M1273-M1269)/M1269</f>
        <v/>
      </c>
      <c r="T1269" s="63">
        <f>IF(R1269&gt;0,1,"")</f>
        <v/>
      </c>
      <c r="U1269" s="63">
        <f>IF(S1269&gt;0,1,"")</f>
        <v/>
      </c>
    </row>
    <row r="1270">
      <c r="A1270" s="35" t="n">
        <v>40780</v>
      </c>
      <c r="B1270" s="4" t="n">
        <v>0.3644</v>
      </c>
      <c r="C1270" s="4" t="n">
        <v>0.226</v>
      </c>
      <c r="D1270" s="4" t="n">
        <v>0.4096</v>
      </c>
      <c r="E1270" s="63" t="n">
        <v>1</v>
      </c>
      <c r="F1270" s="63" t="n">
        <v>0.3642125</v>
      </c>
      <c r="G1270" s="63" t="n">
        <v>-0.0452</v>
      </c>
      <c r="H1270" s="63" t="n">
        <v>0.384907436629</v>
      </c>
      <c r="I1270" s="63" t="n">
        <v>0.48829287048</v>
      </c>
      <c r="J1270" s="63" t="n">
        <v>0.281522002778</v>
      </c>
      <c r="K1270" s="63" t="n">
        <v>1190.68</v>
      </c>
      <c r="L1270" s="63" t="n">
        <v>1121.09</v>
      </c>
      <c r="M1270" s="63" t="n">
        <v>1159.27</v>
      </c>
      <c r="N1270" s="54">
        <f>(M1271-M1270)/M1270</f>
        <v/>
      </c>
      <c r="O1270" s="54">
        <f>(M1274-M1270)/M1270</f>
        <v/>
      </c>
      <c r="P1270" s="4">
        <f>B1270-D1270</f>
        <v/>
      </c>
      <c r="Q1270" s="4">
        <f>AVERAGE(P1267:P1270)</f>
        <v/>
      </c>
      <c r="R1270" s="54">
        <f>(M1271-M1270)/M1270</f>
        <v/>
      </c>
      <c r="S1270" s="54">
        <f>(M1274-M1270)/M1270</f>
        <v/>
      </c>
      <c r="T1270" s="63">
        <f>IF(R1270&gt;0,1,"")</f>
        <v/>
      </c>
      <c r="U1270" s="63">
        <f>IF(S1270&gt;0,1,"")</f>
        <v/>
      </c>
    </row>
    <row r="1271">
      <c r="A1271" s="35" t="n">
        <v>40787</v>
      </c>
      <c r="B1271" s="4" t="n">
        <v>0.3862</v>
      </c>
      <c r="C1271" s="4" t="n">
        <v>0.2904</v>
      </c>
      <c r="D1271" s="4" t="n">
        <v>0.3234</v>
      </c>
      <c r="E1271" s="63" t="n">
        <v>1</v>
      </c>
      <c r="F1271" s="63" t="n">
        <v>0.360275</v>
      </c>
      <c r="G1271" s="63" t="n">
        <v>0.06279999999999999</v>
      </c>
      <c r="H1271" s="63" t="n">
        <v>0.384907436629</v>
      </c>
      <c r="I1271" s="63" t="n">
        <v>0.48829287048</v>
      </c>
      <c r="J1271" s="63" t="n">
        <v>0.281522002778</v>
      </c>
      <c r="K1271" s="63" t="n">
        <v>1230.71</v>
      </c>
      <c r="L1271" s="63" t="n">
        <v>1135.91</v>
      </c>
      <c r="M1271" s="63" t="n">
        <v>1218.89</v>
      </c>
      <c r="N1271" s="54">
        <f>(M1272-M1271)/M1271</f>
        <v/>
      </c>
      <c r="O1271" s="54">
        <f>(M1275-M1271)/M1271</f>
        <v/>
      </c>
      <c r="P1271" s="4">
        <f>B1271-D1271</f>
        <v/>
      </c>
      <c r="Q1271" s="4">
        <f>AVERAGE(P1268:P1271)</f>
        <v/>
      </c>
      <c r="R1271" s="54">
        <f>(M1272-M1271)/M1271</f>
        <v/>
      </c>
      <c r="S1271" s="54">
        <f>(M1275-M1271)/M1271</f>
        <v/>
      </c>
      <c r="T1271" s="63">
        <f>IF(R1271&gt;0,1,"")</f>
        <v/>
      </c>
      <c r="U1271" s="63">
        <f>IF(S1271&gt;0,1,"")</f>
        <v/>
      </c>
    </row>
    <row r="1272">
      <c r="A1272" s="35" t="n">
        <v>40794</v>
      </c>
      <c r="B1272" s="4" t="n">
        <v>0.3022</v>
      </c>
      <c r="C1272" s="4" t="n">
        <v>0.295</v>
      </c>
      <c r="D1272" s="4" t="n">
        <v>0.4029</v>
      </c>
      <c r="E1272" s="63" t="n">
        <v>1.0001</v>
      </c>
      <c r="F1272" s="63" t="n">
        <v>0.3489125</v>
      </c>
      <c r="G1272" s="63" t="n">
        <v>-0.1007</v>
      </c>
      <c r="H1272" s="63" t="n">
        <v>0.384907436629</v>
      </c>
      <c r="I1272" s="63" t="n">
        <v>0.48829287048</v>
      </c>
      <c r="J1272" s="63" t="n">
        <v>0.281522002778</v>
      </c>
      <c r="K1272" s="63" t="n">
        <v>1229.29</v>
      </c>
      <c r="L1272" s="63" t="n">
        <v>1140.13</v>
      </c>
      <c r="M1272" s="63" t="n">
        <v>1198.62</v>
      </c>
      <c r="N1272" s="54">
        <f>(M1273-M1272)/M1272</f>
        <v/>
      </c>
      <c r="O1272" s="54">
        <f>(M1276-M1272)/M1272</f>
        <v/>
      </c>
      <c r="P1272" s="4">
        <f>B1272-D1272</f>
        <v/>
      </c>
      <c r="Q1272" s="4">
        <f>AVERAGE(P1269:P1272)</f>
        <v/>
      </c>
      <c r="R1272" s="54">
        <f>(M1273-M1272)/M1272</f>
        <v/>
      </c>
      <c r="S1272" s="54">
        <f>(M1276-M1272)/M1272</f>
        <v/>
      </c>
      <c r="T1272" s="63">
        <f>IF(R1272&gt;0,1,"")</f>
        <v/>
      </c>
      <c r="U1272" s="63">
        <f>IF(S1272&gt;0,1,"")</f>
        <v/>
      </c>
    </row>
    <row r="1273">
      <c r="A1273" s="35" t="n">
        <v>40801</v>
      </c>
      <c r="B1273" s="4" t="n">
        <v>0.305</v>
      </c>
      <c r="C1273" s="4" t="n">
        <v>0.2815</v>
      </c>
      <c r="D1273" s="4" t="n">
        <v>0.4135</v>
      </c>
      <c r="E1273" s="63" t="n">
        <v>1</v>
      </c>
      <c r="F1273" s="63" t="n">
        <v>0.3372125</v>
      </c>
      <c r="G1273" s="63" t="n">
        <v>-0.1085</v>
      </c>
      <c r="H1273" s="63" t="n">
        <v>0.384907436629</v>
      </c>
      <c r="I1273" s="63" t="n">
        <v>0.48829287048</v>
      </c>
      <c r="J1273" s="63" t="n">
        <v>0.281522002778</v>
      </c>
      <c r="K1273" s="63" t="n">
        <v>1204.4</v>
      </c>
      <c r="L1273" s="63" t="n">
        <v>1136.07</v>
      </c>
      <c r="M1273" s="63" t="n">
        <v>1188.68</v>
      </c>
      <c r="N1273" s="54">
        <f>(M1274-M1273)/M1273</f>
        <v/>
      </c>
      <c r="O1273" s="54">
        <f>(M1277-M1273)/M1273</f>
        <v/>
      </c>
      <c r="P1273" s="4">
        <f>B1273-D1273</f>
        <v/>
      </c>
      <c r="Q1273" s="4">
        <f>AVERAGE(P1270:P1273)</f>
        <v/>
      </c>
      <c r="R1273" s="54">
        <f>(M1274-M1273)/M1273</f>
        <v/>
      </c>
      <c r="S1273" s="54">
        <f>(M1277-M1273)/M1273</f>
        <v/>
      </c>
      <c r="T1273" s="63">
        <f>IF(R1273&gt;0,1,"")</f>
        <v/>
      </c>
      <c r="U1273" s="63">
        <f>IF(S1273&gt;0,1,"")</f>
        <v/>
      </c>
    </row>
    <row r="1274">
      <c r="A1274" s="35" t="n">
        <v>40808</v>
      </c>
      <c r="B1274" s="4" t="n">
        <v>0.2533</v>
      </c>
      <c r="C1274" s="4" t="n">
        <v>0.2667</v>
      </c>
      <c r="D1274" s="4" t="n">
        <v>0.48</v>
      </c>
      <c r="E1274" s="63" t="n">
        <v>1</v>
      </c>
      <c r="F1274" s="63" t="n">
        <v>0.321575</v>
      </c>
      <c r="G1274" s="63" t="n">
        <v>-0.2267</v>
      </c>
      <c r="H1274" s="63" t="n">
        <v>0.384907436629</v>
      </c>
      <c r="I1274" s="63" t="n">
        <v>0.48829287048</v>
      </c>
      <c r="J1274" s="63" t="n">
        <v>0.281522002778</v>
      </c>
      <c r="K1274" s="63" t="n">
        <v>1220.39</v>
      </c>
      <c r="L1274" s="63" t="n">
        <v>1157.44</v>
      </c>
      <c r="M1274" s="63" t="n">
        <v>1166.76</v>
      </c>
      <c r="N1274" s="54">
        <f>(M1275-M1274)/M1274</f>
        <v/>
      </c>
      <c r="O1274" s="54">
        <f>(M1278-M1274)/M1274</f>
        <v/>
      </c>
      <c r="P1274" s="4">
        <f>B1274-D1274</f>
        <v/>
      </c>
      <c r="Q1274" s="4">
        <f>AVERAGE(P1271:P1274)</f>
        <v/>
      </c>
      <c r="R1274" s="54">
        <f>(M1275-M1274)/M1274</f>
        <v/>
      </c>
      <c r="S1274" s="54">
        <f>(M1278-M1274)/M1274</f>
        <v/>
      </c>
      <c r="T1274" s="63">
        <f>IF(R1274&gt;0,1,"")</f>
        <v/>
      </c>
      <c r="U1274" s="63">
        <f>IF(S1274&gt;0,1,"")</f>
        <v/>
      </c>
    </row>
    <row r="1275">
      <c r="A1275" s="35" t="n">
        <v>40815</v>
      </c>
      <c r="B1275" s="4" t="n">
        <v>0.3251</v>
      </c>
      <c r="C1275" s="4" t="n">
        <v>0.2068</v>
      </c>
      <c r="D1275" s="4" t="n">
        <v>0.4679</v>
      </c>
      <c r="E1275" s="63" t="n">
        <v>0.9998</v>
      </c>
      <c r="F1275" s="63" t="n">
        <v>0.3282625</v>
      </c>
      <c r="G1275" s="63" t="n">
        <v>-0.1428</v>
      </c>
      <c r="H1275" s="63" t="n">
        <v>0.384907436629</v>
      </c>
      <c r="I1275" s="63" t="n">
        <v>0.48829287048</v>
      </c>
      <c r="J1275" s="63" t="n">
        <v>0.281522002778</v>
      </c>
      <c r="K1275" s="63" t="n">
        <v>1220.39</v>
      </c>
      <c r="L1275" s="63" t="n">
        <v>1114.22</v>
      </c>
      <c r="M1275" s="63" t="n">
        <v>1151.06</v>
      </c>
      <c r="N1275" s="54">
        <f>(M1276-M1275)/M1275</f>
        <v/>
      </c>
      <c r="O1275" s="54">
        <f>(M1279-M1275)/M1275</f>
        <v/>
      </c>
      <c r="P1275" s="4">
        <f>B1275-D1275</f>
        <v/>
      </c>
      <c r="Q1275" s="4">
        <f>AVERAGE(P1272:P1275)</f>
        <v/>
      </c>
      <c r="R1275" s="54">
        <f>(M1276-M1275)/M1275</f>
        <v/>
      </c>
      <c r="S1275" s="54">
        <f>(M1279-M1275)/M1275</f>
        <v/>
      </c>
      <c r="T1275" s="63">
        <f>IF(R1275&gt;0,1,"")</f>
        <v/>
      </c>
      <c r="U1275" s="63">
        <f>IF(S1275&gt;0,1,"")</f>
        <v/>
      </c>
    </row>
    <row r="1276">
      <c r="A1276" s="35" t="n">
        <v>40822</v>
      </c>
      <c r="B1276" s="4" t="n">
        <v>0.3523</v>
      </c>
      <c r="C1276" s="4" t="n">
        <v>0.1904</v>
      </c>
      <c r="D1276" s="4" t="n">
        <v>0.4571</v>
      </c>
      <c r="E1276" s="63" t="n">
        <v>0.9998</v>
      </c>
      <c r="F1276" s="63" t="n">
        <v>0.3305125</v>
      </c>
      <c r="G1276" s="63" t="n">
        <v>-0.1048</v>
      </c>
      <c r="H1276" s="63" t="n">
        <v>0.384907436629</v>
      </c>
      <c r="I1276" s="63" t="n">
        <v>0.48829287048</v>
      </c>
      <c r="J1276" s="63" t="n">
        <v>0.281522002778</v>
      </c>
      <c r="K1276" s="63" t="n">
        <v>1195.86</v>
      </c>
      <c r="L1276" s="63" t="n">
        <v>1074.77</v>
      </c>
      <c r="M1276" s="63" t="n">
        <v>1144.04</v>
      </c>
      <c r="N1276" s="54">
        <f>(M1277-M1276)/M1276</f>
        <v/>
      </c>
      <c r="O1276" s="54">
        <f>(M1280-M1276)/M1276</f>
        <v/>
      </c>
      <c r="P1276" s="4">
        <f>B1276-D1276</f>
        <v/>
      </c>
      <c r="Q1276" s="4">
        <f>AVERAGE(P1273:P1276)</f>
        <v/>
      </c>
      <c r="R1276" s="54">
        <f>(M1277-M1276)/M1276</f>
        <v/>
      </c>
      <c r="S1276" s="54">
        <f>(M1280-M1276)/M1276</f>
        <v/>
      </c>
      <c r="T1276" s="63">
        <f>IF(R1276&gt;0,1,"")</f>
        <v/>
      </c>
      <c r="U1276" s="63">
        <f>IF(S1276&gt;0,1,"")</f>
        <v/>
      </c>
    </row>
    <row r="1277">
      <c r="A1277" s="35" t="n">
        <v>40829</v>
      </c>
      <c r="B1277" s="4" t="n">
        <v>0.3977</v>
      </c>
      <c r="C1277" s="4" t="n">
        <v>0.2386</v>
      </c>
      <c r="D1277" s="4" t="n">
        <v>0.3636</v>
      </c>
      <c r="E1277" s="63" t="n">
        <v>0.9999</v>
      </c>
      <c r="F1277" s="63" t="n">
        <v>0.335775</v>
      </c>
      <c r="G1277" s="63" t="n">
        <v>0.0341</v>
      </c>
      <c r="H1277" s="63" t="n">
        <v>0.384907436629</v>
      </c>
      <c r="I1277" s="63" t="n">
        <v>0.48829287048</v>
      </c>
      <c r="J1277" s="63" t="n">
        <v>0.281522002778</v>
      </c>
      <c r="K1277" s="63" t="n">
        <v>1220.25</v>
      </c>
      <c r="L1277" s="63" t="n">
        <v>1074.77</v>
      </c>
      <c r="M1277" s="63" t="n">
        <v>1207.25</v>
      </c>
      <c r="N1277" s="54">
        <f>(M1278-M1277)/M1277</f>
        <v/>
      </c>
      <c r="O1277" s="54">
        <f>(M1281-M1277)/M1277</f>
        <v/>
      </c>
      <c r="P1277" s="4">
        <f>B1277-D1277</f>
        <v/>
      </c>
      <c r="Q1277" s="4">
        <f>AVERAGE(P1274:P1277)</f>
        <v/>
      </c>
      <c r="R1277" s="54">
        <f>(M1278-M1277)/M1277</f>
        <v/>
      </c>
      <c r="S1277" s="54">
        <f>(M1281-M1277)/M1277</f>
        <v/>
      </c>
      <c r="T1277" s="63">
        <f>IF(R1277&gt;0,1,"")</f>
        <v/>
      </c>
      <c r="U1277" s="63">
        <f>IF(S1277&gt;0,1,"")</f>
        <v/>
      </c>
    </row>
    <row r="1278">
      <c r="A1278" s="35" t="n">
        <v>40836</v>
      </c>
      <c r="B1278" s="4" t="n">
        <v>0.3598</v>
      </c>
      <c r="C1278" s="4" t="n">
        <v>0.2941</v>
      </c>
      <c r="D1278" s="4" t="n">
        <v>0.346</v>
      </c>
      <c r="E1278" s="63" t="n">
        <v>0.9999</v>
      </c>
      <c r="F1278" s="63" t="n">
        <v>0.3352</v>
      </c>
      <c r="G1278" s="63" t="n">
        <v>0.0138</v>
      </c>
      <c r="H1278" s="63" t="n">
        <v>0.384907436629</v>
      </c>
      <c r="I1278" s="63" t="n">
        <v>0.48829287048</v>
      </c>
      <c r="J1278" s="63" t="n">
        <v>0.281522002778</v>
      </c>
      <c r="K1278" s="63" t="n">
        <v>1233.1</v>
      </c>
      <c r="L1278" s="63" t="n">
        <v>1187.3</v>
      </c>
      <c r="M1278" s="63" t="n">
        <v>1209.88</v>
      </c>
      <c r="N1278" s="54">
        <f>(M1279-M1278)/M1278</f>
        <v/>
      </c>
      <c r="O1278" s="54">
        <f>(M1282-M1278)/M1278</f>
        <v/>
      </c>
      <c r="P1278" s="4">
        <f>B1278-D1278</f>
        <v/>
      </c>
      <c r="Q1278" s="4">
        <f>AVERAGE(P1275:P1278)</f>
        <v/>
      </c>
      <c r="R1278" s="54">
        <f>(M1279-M1278)/M1278</f>
        <v/>
      </c>
      <c r="S1278" s="54">
        <f>(M1282-M1278)/M1278</f>
        <v/>
      </c>
      <c r="T1278" s="63">
        <f>IF(R1278&gt;0,1,"")</f>
        <v/>
      </c>
      <c r="U1278" s="63">
        <f>IF(S1278&gt;0,1,"")</f>
        <v/>
      </c>
    </row>
    <row r="1279">
      <c r="A1279" s="35" t="n">
        <v>40843</v>
      </c>
      <c r="B1279" s="4" t="n">
        <v>0.43</v>
      </c>
      <c r="C1279" s="4" t="n">
        <v>0.32</v>
      </c>
      <c r="D1279" s="4" t="n">
        <v>0.25</v>
      </c>
      <c r="E1279" s="63" t="n">
        <v>1</v>
      </c>
      <c r="F1279" s="63" t="n">
        <v>0.340675</v>
      </c>
      <c r="G1279" s="63" t="n">
        <v>0.18</v>
      </c>
      <c r="H1279" s="63" t="n">
        <v>0.384907436629</v>
      </c>
      <c r="I1279" s="63" t="n">
        <v>0.48829287048</v>
      </c>
      <c r="J1279" s="63" t="n">
        <v>0.281522002778</v>
      </c>
      <c r="K1279" s="63" t="n">
        <v>1256.55</v>
      </c>
      <c r="L1279" s="63" t="n">
        <v>1191.48</v>
      </c>
      <c r="M1279" s="63" t="n">
        <v>1242</v>
      </c>
      <c r="N1279" s="54">
        <f>(M1280-M1279)/M1279</f>
        <v/>
      </c>
      <c r="O1279" s="54">
        <f>(M1283-M1279)/M1279</f>
        <v/>
      </c>
      <c r="P1279" s="4">
        <f>B1279-D1279</f>
        <v/>
      </c>
      <c r="Q1279" s="4">
        <f>AVERAGE(P1276:P1279)</f>
        <v/>
      </c>
      <c r="R1279" s="54">
        <f>(M1280-M1279)/M1279</f>
        <v/>
      </c>
      <c r="S1279" s="54">
        <f>(M1283-M1279)/M1279</f>
        <v/>
      </c>
      <c r="T1279" s="63">
        <f>IF(R1279&gt;0,1,"")</f>
        <v/>
      </c>
      <c r="U1279" s="63">
        <f>IF(S1279&gt;0,1,"")</f>
        <v/>
      </c>
    </row>
    <row r="1280">
      <c r="A1280" s="35" t="n">
        <v>40850</v>
      </c>
      <c r="B1280" s="4" t="n">
        <v>0.4018</v>
      </c>
      <c r="C1280" s="4" t="n">
        <v>0.302</v>
      </c>
      <c r="D1280" s="4" t="n">
        <v>0.2962</v>
      </c>
      <c r="E1280" s="63" t="n">
        <v>1</v>
      </c>
      <c r="F1280" s="63" t="n">
        <v>0.353125</v>
      </c>
      <c r="G1280" s="63" t="n">
        <v>0.1056</v>
      </c>
      <c r="H1280" s="63" t="n">
        <v>0.384907436629</v>
      </c>
      <c r="I1280" s="63" t="n">
        <v>0.48829287048</v>
      </c>
      <c r="J1280" s="63" t="n">
        <v>0.281522002778</v>
      </c>
      <c r="K1280" s="63" t="n">
        <v>1292.66</v>
      </c>
      <c r="L1280" s="63" t="n">
        <v>1215.42</v>
      </c>
      <c r="M1280" s="63" t="n">
        <v>1237.9</v>
      </c>
      <c r="N1280" s="54">
        <f>(M1281-M1280)/M1280</f>
        <v/>
      </c>
      <c r="O1280" s="54">
        <f>(M1284-M1280)/M1280</f>
        <v/>
      </c>
      <c r="P1280" s="4">
        <f>B1280-D1280</f>
        <v/>
      </c>
      <c r="Q1280" s="4">
        <f>AVERAGE(P1277:P1280)</f>
        <v/>
      </c>
      <c r="R1280" s="54">
        <f>(M1281-M1280)/M1280</f>
        <v/>
      </c>
      <c r="S1280" s="54">
        <f>(M1284-M1280)/M1280</f>
        <v/>
      </c>
      <c r="T1280" s="63">
        <f>IF(R1280&gt;0,1,"")</f>
        <v/>
      </c>
      <c r="U1280" s="63">
        <f>IF(S1280&gt;0,1,"")</f>
        <v/>
      </c>
    </row>
    <row r="1281">
      <c r="A1281" s="35" t="n">
        <v>40857</v>
      </c>
      <c r="B1281" s="4" t="n">
        <v>0.4473</v>
      </c>
      <c r="C1281" s="4" t="n">
        <v>0.307</v>
      </c>
      <c r="D1281" s="4" t="n">
        <v>0.2456</v>
      </c>
      <c r="E1281" s="63" t="n">
        <v>0.9999</v>
      </c>
      <c r="F1281" s="63" t="n">
        <v>0.3709125</v>
      </c>
      <c r="G1281" s="63" t="n">
        <v>0.2017</v>
      </c>
      <c r="H1281" s="63" t="n">
        <v>0.384907436629</v>
      </c>
      <c r="I1281" s="63" t="n">
        <v>0.48829287048</v>
      </c>
      <c r="J1281" s="63" t="n">
        <v>0.281522002778</v>
      </c>
      <c r="K1281" s="63" t="n">
        <v>1277.55</v>
      </c>
      <c r="L1281" s="63" t="n">
        <v>1215.42</v>
      </c>
      <c r="M1281" s="63" t="n">
        <v>1229.1</v>
      </c>
      <c r="N1281" s="54">
        <f>(M1282-M1281)/M1281</f>
        <v/>
      </c>
      <c r="O1281" s="54">
        <f>(M1285-M1281)/M1281</f>
        <v/>
      </c>
      <c r="P1281" s="4">
        <f>B1281-D1281</f>
        <v/>
      </c>
      <c r="Q1281" s="4">
        <f>AVERAGE(P1278:P1281)</f>
        <v/>
      </c>
      <c r="R1281" s="54">
        <f>(M1282-M1281)/M1281</f>
        <v/>
      </c>
      <c r="S1281" s="54">
        <f>(M1285-M1281)/M1281</f>
        <v/>
      </c>
      <c r="T1281" s="63">
        <f>IF(R1281&gt;0,1,"")</f>
        <v/>
      </c>
      <c r="U1281" s="63">
        <f>IF(S1281&gt;0,1,"")</f>
        <v/>
      </c>
    </row>
    <row r="1282">
      <c r="A1282" s="35" t="n">
        <v>40864</v>
      </c>
      <c r="B1282" s="4" t="n">
        <v>0.4193</v>
      </c>
      <c r="C1282" s="4" t="n">
        <v>0.2701</v>
      </c>
      <c r="D1282" s="4" t="n">
        <v>0.3104</v>
      </c>
      <c r="E1282" s="63" t="n">
        <v>0.9998</v>
      </c>
      <c r="F1282" s="63" t="n">
        <v>0.3916625</v>
      </c>
      <c r="G1282" s="63" t="n">
        <v>0.1089</v>
      </c>
      <c r="H1282" s="63" t="n">
        <v>0.384907436629</v>
      </c>
      <c r="I1282" s="63" t="n">
        <v>0.48829287048</v>
      </c>
      <c r="J1282" s="63" t="n">
        <v>0.281522002778</v>
      </c>
      <c r="K1282" s="63" t="n">
        <v>1277.55</v>
      </c>
      <c r="L1282" s="63" t="n">
        <v>1226.64</v>
      </c>
      <c r="M1282" s="63" t="n">
        <v>1236.91</v>
      </c>
      <c r="N1282" s="54">
        <f>(M1283-M1282)/M1282</f>
        <v/>
      </c>
      <c r="O1282" s="54">
        <f>(M1286-M1282)/M1282</f>
        <v/>
      </c>
      <c r="P1282" s="4">
        <f>B1282-D1282</f>
        <v/>
      </c>
      <c r="Q1282" s="4">
        <f>AVERAGE(P1279:P1282)</f>
        <v/>
      </c>
      <c r="R1282" s="54">
        <f>(M1283-M1282)/M1282</f>
        <v/>
      </c>
      <c r="S1282" s="54">
        <f>(M1286-M1282)/M1282</f>
        <v/>
      </c>
      <c r="T1282" s="63">
        <f>IF(R1282&gt;0,1,"")</f>
        <v/>
      </c>
      <c r="U1282" s="63">
        <f>IF(S1282&gt;0,1,"")</f>
        <v/>
      </c>
    </row>
    <row r="1283">
      <c r="A1283" s="35" t="n">
        <v>40871</v>
      </c>
      <c r="B1283" s="4" t="n">
        <v>0.3271</v>
      </c>
      <c r="C1283" s="4" t="n">
        <v>0.2901</v>
      </c>
      <c r="D1283" s="4" t="n">
        <v>0.3827</v>
      </c>
      <c r="E1283" s="63" t="n">
        <v>0.9999</v>
      </c>
      <c r="F1283" s="63" t="n">
        <v>0.3919125</v>
      </c>
      <c r="G1283" s="63" t="n">
        <v>-0.0556</v>
      </c>
      <c r="H1283" s="63" t="n">
        <v>0.384907436629</v>
      </c>
      <c r="I1283" s="63" t="n">
        <v>0.48829287048</v>
      </c>
      <c r="J1283" s="63" t="n">
        <v>0.281522002778</v>
      </c>
      <c r="K1283" s="63" t="n">
        <v>1259.61</v>
      </c>
      <c r="L1283" s="63" t="n">
        <v>1158.66</v>
      </c>
      <c r="M1283" s="63" t="n">
        <v>1158.67</v>
      </c>
      <c r="N1283" s="54">
        <f>(M1284-M1283)/M1283</f>
        <v/>
      </c>
      <c r="O1283" s="54">
        <f>(M1287-M1283)/M1283</f>
        <v/>
      </c>
      <c r="P1283" s="4">
        <f>B1283-D1283</f>
        <v/>
      </c>
      <c r="Q1283" s="4">
        <f>AVERAGE(P1280:P1283)</f>
        <v/>
      </c>
      <c r="R1283" s="54">
        <f>(M1284-M1283)/M1283</f>
        <v/>
      </c>
      <c r="S1283" s="54">
        <f>(M1287-M1283)/M1283</f>
        <v/>
      </c>
      <c r="T1283" s="63">
        <f>IF(R1283&gt;0,1,"")</f>
        <v/>
      </c>
      <c r="U1283" s="63">
        <f>IF(S1283&gt;0,1,"")</f>
        <v/>
      </c>
    </row>
    <row r="1284">
      <c r="A1284" s="35" t="n">
        <v>40878</v>
      </c>
      <c r="B1284" s="4" t="n">
        <v>0.3304</v>
      </c>
      <c r="C1284" s="4" t="n">
        <v>0.2753</v>
      </c>
      <c r="D1284" s="4" t="n">
        <v>0.3942</v>
      </c>
      <c r="E1284" s="63" t="n">
        <v>0.9999</v>
      </c>
      <c r="F1284" s="63" t="n">
        <v>0.389175</v>
      </c>
      <c r="G1284" s="63" t="n">
        <v>-0.0638</v>
      </c>
      <c r="H1284" s="63" t="n">
        <v>0.384907436629</v>
      </c>
      <c r="I1284" s="63" t="n">
        <v>0.48829287048</v>
      </c>
      <c r="J1284" s="63" t="n">
        <v>0.281522002778</v>
      </c>
      <c r="K1284" s="63" t="n">
        <v>1247.11</v>
      </c>
      <c r="L1284" s="63" t="n">
        <v>1158.66</v>
      </c>
      <c r="M1284" s="63" t="n">
        <v>1246.96</v>
      </c>
      <c r="N1284" s="54">
        <f>(M1285-M1284)/M1284</f>
        <v/>
      </c>
      <c r="O1284" s="54">
        <f>(M1288-M1284)/M1284</f>
        <v/>
      </c>
      <c r="P1284" s="4">
        <f>B1284-D1284</f>
        <v/>
      </c>
      <c r="Q1284" s="4">
        <f>AVERAGE(P1281:P1284)</f>
        <v/>
      </c>
      <c r="R1284" s="54">
        <f>(M1285-M1284)/M1284</f>
        <v/>
      </c>
      <c r="S1284" s="54">
        <f>(M1288-M1284)/M1284</f>
        <v/>
      </c>
      <c r="T1284" s="63">
        <f>IF(R1284&gt;0,1,"")</f>
        <v/>
      </c>
      <c r="U1284" s="63">
        <f>IF(S1284&gt;0,1,"")</f>
        <v/>
      </c>
    </row>
    <row r="1285">
      <c r="A1285" s="35" t="n">
        <v>40885</v>
      </c>
      <c r="B1285" s="4" t="n">
        <v>0.3857</v>
      </c>
      <c r="C1285" s="4" t="n">
        <v>0.2666</v>
      </c>
      <c r="D1285" s="4" t="n">
        <v>0.3476</v>
      </c>
      <c r="E1285" s="63" t="n">
        <v>0.9999</v>
      </c>
      <c r="F1285" s="63" t="n">
        <v>0.387675</v>
      </c>
      <c r="G1285" s="63" t="n">
        <v>0.0381</v>
      </c>
      <c r="H1285" s="63" t="n">
        <v>0.384907436629</v>
      </c>
      <c r="I1285" s="63" t="n">
        <v>0.48829287048</v>
      </c>
      <c r="J1285" s="63" t="n">
        <v>0.281522002778</v>
      </c>
      <c r="K1285" s="63" t="n">
        <v>1267.06</v>
      </c>
      <c r="L1285" s="63" t="n">
        <v>1191.8</v>
      </c>
      <c r="M1285" s="63" t="n">
        <v>1261.01</v>
      </c>
      <c r="N1285" s="54">
        <f>(M1286-M1285)/M1285</f>
        <v/>
      </c>
      <c r="O1285" s="54">
        <f>(M1289-M1285)/M1285</f>
        <v/>
      </c>
      <c r="P1285" s="4">
        <f>B1285-D1285</f>
        <v/>
      </c>
      <c r="Q1285" s="4">
        <f>AVERAGE(P1282:P1285)</f>
        <v/>
      </c>
      <c r="R1285" s="54">
        <f>(M1286-M1285)/M1285</f>
        <v/>
      </c>
      <c r="S1285" s="54">
        <f>(M1289-M1285)/M1285</f>
        <v/>
      </c>
      <c r="T1285" s="63">
        <f>IF(R1285&gt;0,1,"")</f>
        <v/>
      </c>
      <c r="U1285" s="63">
        <f>IF(S1285&gt;0,1,"")</f>
        <v/>
      </c>
    </row>
    <row r="1286">
      <c r="A1286" s="35" t="n">
        <v>40892</v>
      </c>
      <c r="B1286" s="4" t="n">
        <v>0.4018</v>
      </c>
      <c r="C1286" s="4" t="n">
        <v>0.2616</v>
      </c>
      <c r="D1286" s="4" t="n">
        <v>0.3364</v>
      </c>
      <c r="E1286" s="63" t="n">
        <v>0.9998</v>
      </c>
      <c r="F1286" s="63" t="n">
        <v>0.392925</v>
      </c>
      <c r="G1286" s="63" t="n">
        <v>0.0654</v>
      </c>
      <c r="H1286" s="63" t="n">
        <v>0.384907436629</v>
      </c>
      <c r="I1286" s="63" t="n">
        <v>0.48829287048</v>
      </c>
      <c r="J1286" s="63" t="n">
        <v>0.281522002778</v>
      </c>
      <c r="K1286" s="63" t="n">
        <v>1267.06</v>
      </c>
      <c r="L1286" s="63" t="n">
        <v>1209.47</v>
      </c>
      <c r="M1286" s="63" t="n">
        <v>1211.82</v>
      </c>
      <c r="N1286" s="54">
        <f>(M1287-M1286)/M1286</f>
        <v/>
      </c>
      <c r="O1286" s="54">
        <f>(M1290-M1286)/M1286</f>
        <v/>
      </c>
      <c r="P1286" s="4">
        <f>B1286-D1286</f>
        <v/>
      </c>
      <c r="Q1286" s="4">
        <f>AVERAGE(P1283:P1286)</f>
        <v/>
      </c>
      <c r="R1286" s="54">
        <f>(M1287-M1286)/M1286</f>
        <v/>
      </c>
      <c r="S1286" s="54">
        <f>(M1290-M1286)/M1286</f>
        <v/>
      </c>
      <c r="T1286" s="63">
        <f>IF(R1286&gt;0,1,"")</f>
        <v/>
      </c>
      <c r="U1286" s="63">
        <f>IF(S1286&gt;0,1,"")</f>
        <v/>
      </c>
    </row>
    <row r="1287">
      <c r="A1287" s="35" t="n">
        <v>40899</v>
      </c>
      <c r="B1287" s="4" t="n">
        <v>0.33725</v>
      </c>
      <c r="C1287" s="4" t="n">
        <v>0.38039</v>
      </c>
      <c r="D1287" s="4" t="n">
        <v>0.28235</v>
      </c>
      <c r="E1287" s="63" t="n">
        <v>0.99999</v>
      </c>
      <c r="F1287" s="63" t="n">
        <v>0.38133125</v>
      </c>
      <c r="G1287" s="63" t="n">
        <v>0.0549</v>
      </c>
      <c r="H1287" s="63" t="n">
        <v>0.384907436629</v>
      </c>
      <c r="I1287" s="63" t="n">
        <v>0.48829287048</v>
      </c>
      <c r="J1287" s="63" t="n">
        <v>0.281522002778</v>
      </c>
      <c r="K1287" s="63" t="n">
        <v>1249.86</v>
      </c>
      <c r="L1287" s="63" t="n">
        <v>1202.37</v>
      </c>
      <c r="M1287" s="63" t="n">
        <v>1243.72</v>
      </c>
      <c r="N1287" s="54">
        <f>(M1288-M1287)/M1287</f>
        <v/>
      </c>
      <c r="O1287" s="54">
        <f>(M1291-M1287)/M1287</f>
        <v/>
      </c>
      <c r="P1287" s="4">
        <f>B1287-D1287</f>
        <v/>
      </c>
      <c r="Q1287" s="4">
        <f>AVERAGE(P1284:P1287)</f>
        <v/>
      </c>
      <c r="R1287" s="54">
        <f>(M1288-M1287)/M1287</f>
        <v/>
      </c>
      <c r="S1287" s="54">
        <f>(M1291-M1287)/M1287</f>
        <v/>
      </c>
      <c r="T1287" s="63">
        <f>IF(R1287&gt;0,1,"")</f>
        <v/>
      </c>
      <c r="U1287" s="63">
        <f>IF(S1287&gt;0,1,"")</f>
        <v/>
      </c>
    </row>
    <row r="1288">
      <c r="A1288" s="35" t="n">
        <v>40906</v>
      </c>
      <c r="B1288" s="4" t="n">
        <v>0.406</v>
      </c>
      <c r="C1288" s="4" t="n">
        <v>0.2857</v>
      </c>
      <c r="D1288" s="4" t="n">
        <v>0.30827</v>
      </c>
      <c r="E1288" s="63" t="n">
        <v>0.99997</v>
      </c>
      <c r="F1288" s="63" t="n">
        <v>0.38185625</v>
      </c>
      <c r="G1288" s="63" t="n">
        <v>0.09773</v>
      </c>
      <c r="H1288" s="63" t="n">
        <v>0.384907436629</v>
      </c>
      <c r="I1288" s="63" t="n">
        <v>0.48829287048</v>
      </c>
      <c r="J1288" s="63" t="n">
        <v>0.281522002778</v>
      </c>
      <c r="K1288" s="63" t="n">
        <v>1269.37</v>
      </c>
      <c r="L1288" s="63" t="n">
        <v>1202.37</v>
      </c>
      <c r="M1288" s="63" t="n">
        <v>1249.64</v>
      </c>
      <c r="N1288" s="54">
        <f>(M1289-M1288)/M1288</f>
        <v/>
      </c>
      <c r="O1288" s="54">
        <f>(M1292-M1288)/M1288</f>
        <v/>
      </c>
      <c r="P1288" s="4">
        <f>B1288-D1288</f>
        <v/>
      </c>
      <c r="Q1288" s="4">
        <f>AVERAGE(P1285:P1288)</f>
        <v/>
      </c>
      <c r="R1288" s="54">
        <f>(M1289-M1288)/M1288</f>
        <v/>
      </c>
      <c r="S1288" s="54">
        <f>(M1292-M1288)/M1288</f>
        <v/>
      </c>
      <c r="T1288" s="63">
        <f>IF(R1288&gt;0,1,"")</f>
        <v/>
      </c>
      <c r="U1288" s="63">
        <f>IF(S1288&gt;0,1,"")</f>
        <v/>
      </c>
    </row>
    <row r="1289">
      <c r="A1289" s="35" t="n">
        <v>40913</v>
      </c>
      <c r="B1289" s="4" t="n">
        <v>0.4888</v>
      </c>
      <c r="C1289" s="4" t="n">
        <v>0.3395</v>
      </c>
      <c r="D1289" s="4" t="n">
        <v>0.1716</v>
      </c>
      <c r="E1289" s="63" t="n">
        <v>0.9999</v>
      </c>
      <c r="F1289" s="63" t="n">
        <v>0.38704375</v>
      </c>
      <c r="G1289" s="63" t="n">
        <v>0.3172</v>
      </c>
      <c r="H1289" s="63" t="n">
        <v>0.384907436629</v>
      </c>
      <c r="I1289" s="63" t="n">
        <v>0.48829287048</v>
      </c>
      <c r="J1289" s="63" t="n">
        <v>0.281522002778</v>
      </c>
      <c r="K1289" s="63" t="n">
        <v>1284.62</v>
      </c>
      <c r="L1289" s="63" t="n">
        <v>1248.64</v>
      </c>
      <c r="M1289" s="63" t="n">
        <v>1277.3</v>
      </c>
      <c r="N1289" s="54">
        <f>(M1290-M1289)/M1289</f>
        <v/>
      </c>
      <c r="O1289" s="54">
        <f>(M1293-M1289)/M1289</f>
        <v/>
      </c>
      <c r="P1289" s="4">
        <f>B1289-D1289</f>
        <v/>
      </c>
      <c r="Q1289" s="4">
        <f>AVERAGE(P1286:P1289)</f>
        <v/>
      </c>
      <c r="R1289" s="54">
        <f>(M1290-M1289)/M1289</f>
        <v/>
      </c>
      <c r="S1289" s="54">
        <f>(M1293-M1289)/M1289</f>
        <v/>
      </c>
      <c r="T1289" s="63">
        <f>IF(R1289&gt;0,1,"")</f>
        <v/>
      </c>
      <c r="U1289" s="63">
        <f>IF(S1289&gt;0,1,"")</f>
        <v/>
      </c>
    </row>
    <row r="1290">
      <c r="A1290" s="35" t="n">
        <v>40920</v>
      </c>
      <c r="B1290" s="4" t="n">
        <v>0.4914</v>
      </c>
      <c r="C1290" s="4" t="n">
        <v>0.3368</v>
      </c>
      <c r="D1290" s="4" t="n">
        <v>0.1718</v>
      </c>
      <c r="E1290" s="63" t="n">
        <v>1</v>
      </c>
      <c r="F1290" s="63" t="n">
        <v>0.39605625</v>
      </c>
      <c r="G1290" s="63" t="n">
        <v>0.3196</v>
      </c>
      <c r="H1290" s="63" t="n">
        <v>0.384907436629</v>
      </c>
      <c r="I1290" s="63" t="n">
        <v>0.48829287048</v>
      </c>
      <c r="J1290" s="63" t="n">
        <v>0.281522002778</v>
      </c>
      <c r="K1290" s="63" t="n">
        <v>1296.82</v>
      </c>
      <c r="L1290" s="63" t="n">
        <v>1265.26</v>
      </c>
      <c r="M1290" s="63" t="n">
        <v>1295.5</v>
      </c>
      <c r="N1290" s="54">
        <f>(M1291-M1290)/M1290</f>
        <v/>
      </c>
      <c r="O1290" s="54">
        <f>(M1294-M1290)/M1290</f>
        <v/>
      </c>
      <c r="P1290" s="4">
        <f>B1290-D1290</f>
        <v/>
      </c>
      <c r="Q1290" s="4">
        <f>AVERAGE(P1287:P1290)</f>
        <v/>
      </c>
      <c r="R1290" s="54">
        <f>(M1291-M1290)/M1290</f>
        <v/>
      </c>
      <c r="S1290" s="54">
        <f>(M1294-M1290)/M1290</f>
        <v/>
      </c>
      <c r="T1290" s="63">
        <f>IF(R1290&gt;0,1,"")</f>
        <v/>
      </c>
      <c r="U1290" s="63">
        <f>IF(S1290&gt;0,1,"")</f>
        <v/>
      </c>
    </row>
    <row r="1291">
      <c r="A1291" s="35" t="n">
        <v>40927</v>
      </c>
      <c r="B1291" s="4" t="n">
        <v>0.4723</v>
      </c>
      <c r="C1291" s="4" t="n">
        <v>0.2915</v>
      </c>
      <c r="D1291" s="4" t="n">
        <v>0.2361</v>
      </c>
      <c r="E1291" s="63" t="n">
        <v>0.9999</v>
      </c>
      <c r="F1291" s="63" t="n">
        <v>0.41420625</v>
      </c>
      <c r="G1291" s="63" t="n">
        <v>0.2362</v>
      </c>
      <c r="H1291" s="63" t="n">
        <v>0.384907436629</v>
      </c>
      <c r="I1291" s="63" t="n">
        <v>0.48829287048</v>
      </c>
      <c r="J1291" s="63" t="n">
        <v>0.281522002778</v>
      </c>
      <c r="K1291" s="63" t="n">
        <v>1308.11</v>
      </c>
      <c r="L1291" s="63" t="n">
        <v>1274.55</v>
      </c>
      <c r="M1291" s="63" t="n">
        <v>1308.04</v>
      </c>
      <c r="N1291" s="54">
        <f>(M1292-M1291)/M1291</f>
        <v/>
      </c>
      <c r="O1291" s="54">
        <f>(M1295-M1291)/M1291</f>
        <v/>
      </c>
      <c r="P1291" s="4">
        <f>B1291-D1291</f>
        <v/>
      </c>
      <c r="Q1291" s="4">
        <f>AVERAGE(P1288:P1291)</f>
        <v/>
      </c>
      <c r="R1291" s="54">
        <f>(M1292-M1291)/M1291</f>
        <v/>
      </c>
      <c r="S1291" s="54">
        <f>(M1295-M1291)/M1291</f>
        <v/>
      </c>
      <c r="T1291" s="63">
        <f>IF(R1291&gt;0,1,"")</f>
        <v/>
      </c>
      <c r="U1291" s="63">
        <f>IF(S1291&gt;0,1,"")</f>
        <v/>
      </c>
    </row>
    <row r="1292">
      <c r="A1292" s="35" t="n">
        <v>40934</v>
      </c>
      <c r="B1292" s="4" t="n">
        <v>0.483974</v>
      </c>
      <c r="C1292" s="4" t="n">
        <v>0.32692</v>
      </c>
      <c r="D1292" s="4" t="n">
        <v>0.1891</v>
      </c>
      <c r="E1292" s="63" t="n">
        <v>0.999994</v>
      </c>
      <c r="F1292" s="63" t="n">
        <v>0.433403</v>
      </c>
      <c r="G1292" s="63" t="n">
        <v>0.294874</v>
      </c>
      <c r="H1292" s="63" t="n">
        <v>0.384907436629</v>
      </c>
      <c r="I1292" s="63" t="n">
        <v>0.48829287048</v>
      </c>
      <c r="J1292" s="63" t="n">
        <v>0.281522002778</v>
      </c>
      <c r="K1292" s="63" t="n">
        <v>1328.3</v>
      </c>
      <c r="L1292" s="63" t="n">
        <v>1290.22</v>
      </c>
      <c r="M1292" s="63" t="n">
        <v>1326.06</v>
      </c>
      <c r="N1292" s="54">
        <f>(M1293-M1292)/M1292</f>
        <v/>
      </c>
      <c r="O1292" s="54">
        <f>(M1296-M1292)/M1292</f>
        <v/>
      </c>
      <c r="P1292" s="4">
        <f>B1292-D1292</f>
        <v/>
      </c>
      <c r="Q1292" s="4">
        <f>AVERAGE(P1289:P1292)</f>
        <v/>
      </c>
      <c r="R1292" s="54">
        <f>(M1293-M1292)/M1292</f>
        <v/>
      </c>
      <c r="S1292" s="54">
        <f>(M1296-M1292)/M1292</f>
        <v/>
      </c>
      <c r="T1292" s="63">
        <f>IF(R1292&gt;0,1,"")</f>
        <v/>
      </c>
      <c r="U1292" s="63">
        <f>IF(S1292&gt;0,1,"")</f>
        <v/>
      </c>
    </row>
    <row r="1293">
      <c r="A1293" s="35" t="n">
        <v>40941</v>
      </c>
      <c r="B1293" s="4" t="n">
        <v>0.43806</v>
      </c>
      <c r="C1293" s="4" t="n">
        <v>0.31117</v>
      </c>
      <c r="D1293" s="4" t="n">
        <v>0.25075</v>
      </c>
      <c r="E1293" s="63" t="n">
        <v>0.99998</v>
      </c>
      <c r="F1293" s="63" t="n">
        <v>0.439948</v>
      </c>
      <c r="G1293" s="63" t="n">
        <v>0.18731</v>
      </c>
      <c r="H1293" s="63" t="n">
        <v>0.384907436629</v>
      </c>
      <c r="I1293" s="63" t="n">
        <v>0.48829287048</v>
      </c>
      <c r="J1293" s="63" t="n">
        <v>0.281522002778</v>
      </c>
      <c r="K1293" s="63" t="n">
        <v>1333.47</v>
      </c>
      <c r="L1293" s="63" t="n">
        <v>1300.49</v>
      </c>
      <c r="M1293" s="63" t="n">
        <v>1324.09</v>
      </c>
      <c r="N1293" s="54">
        <f>(M1294-M1293)/M1293</f>
        <v/>
      </c>
      <c r="O1293" s="54">
        <f>(M1297-M1293)/M1293</f>
        <v/>
      </c>
      <c r="P1293" s="4">
        <f>B1293-D1293</f>
        <v/>
      </c>
      <c r="Q1293" s="4">
        <f>AVERAGE(P1290:P1293)</f>
        <v/>
      </c>
      <c r="R1293" s="54">
        <f>(M1294-M1293)/M1293</f>
        <v/>
      </c>
      <c r="S1293" s="54">
        <f>(M1297-M1293)/M1293</f>
        <v/>
      </c>
      <c r="T1293" s="63">
        <f>IF(R1293&gt;0,1,"")</f>
        <v/>
      </c>
      <c r="U1293" s="63">
        <f>IF(S1293&gt;0,1,"")</f>
        <v/>
      </c>
    </row>
    <row r="1294">
      <c r="A1294" s="35" t="n">
        <v>40948</v>
      </c>
      <c r="B1294" s="4" t="n">
        <v>0.5164299999999999</v>
      </c>
      <c r="C1294" s="4" t="n">
        <v>0.28169</v>
      </c>
      <c r="D1294" s="4" t="n">
        <v>0.20187</v>
      </c>
      <c r="E1294" s="63" t="n">
        <v>0.99999</v>
      </c>
      <c r="F1294" s="63" t="n">
        <v>0.45427675</v>
      </c>
      <c r="G1294" s="63" t="n">
        <v>0.31456</v>
      </c>
      <c r="H1294" s="63" t="n">
        <v>0.384907436629</v>
      </c>
      <c r="I1294" s="63" t="n">
        <v>0.48829287048</v>
      </c>
      <c r="J1294" s="63" t="n">
        <v>0.281522002778</v>
      </c>
      <c r="K1294" s="63" t="n">
        <v>1351</v>
      </c>
      <c r="L1294" s="63" t="n">
        <v>1306.69</v>
      </c>
      <c r="M1294" s="63" t="n">
        <v>1349.96</v>
      </c>
      <c r="N1294" s="54">
        <f>(M1295-M1294)/M1294</f>
        <v/>
      </c>
      <c r="O1294" s="54">
        <f>(M1298-M1294)/M1294</f>
        <v/>
      </c>
      <c r="P1294" s="4">
        <f>B1294-D1294</f>
        <v/>
      </c>
      <c r="Q1294" s="4">
        <f>AVERAGE(P1291:P1294)</f>
        <v/>
      </c>
      <c r="R1294" s="54">
        <f>(M1295-M1294)/M1294</f>
        <v/>
      </c>
      <c r="S1294" s="54">
        <f>(M1298-M1294)/M1294</f>
        <v/>
      </c>
      <c r="T1294" s="63">
        <f>IF(R1294&gt;0,1,"")</f>
        <v/>
      </c>
      <c r="U1294" s="63">
        <f>IF(S1294&gt;0,1,"")</f>
        <v/>
      </c>
    </row>
    <row r="1295">
      <c r="A1295" s="35" t="n">
        <v>40955</v>
      </c>
      <c r="B1295" s="4" t="n">
        <v>0.42713</v>
      </c>
      <c r="C1295" s="4" t="n">
        <v>0.30653</v>
      </c>
      <c r="D1295" s="4" t="n">
        <v>0.26633</v>
      </c>
      <c r="E1295" s="63" t="n">
        <v>0.99999</v>
      </c>
      <c r="F1295" s="63" t="n">
        <v>0.46551175</v>
      </c>
      <c r="G1295" s="63" t="n">
        <v>0.1608</v>
      </c>
      <c r="H1295" s="63" t="n">
        <v>0.384907436629</v>
      </c>
      <c r="I1295" s="63" t="n">
        <v>0.48829287048</v>
      </c>
      <c r="J1295" s="63" t="n">
        <v>0.281522002778</v>
      </c>
      <c r="K1295" s="63" t="n">
        <v>1355.87</v>
      </c>
      <c r="L1295" s="63" t="n">
        <v>1335.92</v>
      </c>
      <c r="M1295" s="63" t="n">
        <v>1343.23</v>
      </c>
      <c r="N1295" s="54">
        <f>(M1296-M1295)/M1295</f>
        <v/>
      </c>
      <c r="O1295" s="54">
        <f>(M1299-M1295)/M1295</f>
        <v/>
      </c>
      <c r="P1295" s="4">
        <f>B1295-D1295</f>
        <v/>
      </c>
      <c r="Q1295" s="4">
        <f>AVERAGE(P1292:P1295)</f>
        <v/>
      </c>
      <c r="R1295" s="54">
        <f>(M1296-M1295)/M1295</f>
        <v/>
      </c>
      <c r="S1295" s="54">
        <f>(M1299-M1295)/M1295</f>
        <v/>
      </c>
      <c r="T1295" s="63">
        <f>IF(R1295&gt;0,1,"")</f>
        <v/>
      </c>
      <c r="U1295" s="63">
        <f>IF(S1295&gt;0,1,"")</f>
        <v/>
      </c>
    </row>
    <row r="1296">
      <c r="A1296" s="35" t="n">
        <v>40962</v>
      </c>
      <c r="B1296" s="4" t="n">
        <v>0.43689</v>
      </c>
      <c r="C1296" s="4" t="n">
        <v>0.28802</v>
      </c>
      <c r="D1296" s="4" t="n">
        <v>0.27508</v>
      </c>
      <c r="E1296" s="63" t="n">
        <v>0.99999</v>
      </c>
      <c r="F1296" s="63" t="n">
        <v>0.469373</v>
      </c>
      <c r="G1296" s="63" t="n">
        <v>0.16181</v>
      </c>
      <c r="H1296" s="63" t="n">
        <v>0.384907436629</v>
      </c>
      <c r="I1296" s="63" t="n">
        <v>0.48829287048</v>
      </c>
      <c r="J1296" s="63" t="n">
        <v>0.281522002778</v>
      </c>
      <c r="K1296" s="63" t="n">
        <v>1367.76</v>
      </c>
      <c r="L1296" s="63" t="n">
        <v>1340.8</v>
      </c>
      <c r="M1296" s="63" t="n">
        <v>1357.66</v>
      </c>
      <c r="N1296" s="54">
        <f>(M1297-M1296)/M1296</f>
        <v/>
      </c>
      <c r="O1296" s="54">
        <f>(M1300-M1296)/M1296</f>
        <v/>
      </c>
      <c r="P1296" s="4">
        <f>B1296-D1296</f>
        <v/>
      </c>
      <c r="Q1296" s="4">
        <f>AVERAGE(P1293:P1296)</f>
        <v/>
      </c>
      <c r="R1296" s="54">
        <f>(M1297-M1296)/M1296</f>
        <v/>
      </c>
      <c r="S1296" s="54">
        <f>(M1300-M1296)/M1296</f>
        <v/>
      </c>
      <c r="T1296" s="63">
        <f>IF(R1296&gt;0,1,"")</f>
        <v/>
      </c>
      <c r="U1296" s="63">
        <f>IF(S1296&gt;0,1,"")</f>
        <v/>
      </c>
    </row>
    <row r="1297">
      <c r="A1297" s="35" t="n">
        <v>40969</v>
      </c>
      <c r="B1297" s="4" t="n">
        <v>0.44512</v>
      </c>
      <c r="C1297" s="4" t="n">
        <v>0.28658</v>
      </c>
      <c r="D1297" s="4" t="n">
        <v>0.26829</v>
      </c>
      <c r="E1297" s="63" t="n">
        <v>0.99999</v>
      </c>
      <c r="F1297" s="63" t="n">
        <v>0.463913</v>
      </c>
      <c r="G1297" s="63" t="n">
        <v>0.17683</v>
      </c>
      <c r="H1297" s="63" t="n">
        <v>0.384907436629</v>
      </c>
      <c r="I1297" s="63" t="n">
        <v>0.48829287048</v>
      </c>
      <c r="J1297" s="63" t="n">
        <v>0.281522002778</v>
      </c>
      <c r="K1297" s="63" t="n">
        <v>1378.04</v>
      </c>
      <c r="L1297" s="63" t="n">
        <v>1352.28</v>
      </c>
      <c r="M1297" s="63" t="n">
        <v>1365.68</v>
      </c>
      <c r="N1297" s="54">
        <f>(M1298-M1297)/M1297</f>
        <v/>
      </c>
      <c r="O1297" s="54">
        <f>(M1301-M1297)/M1297</f>
        <v/>
      </c>
      <c r="P1297" s="4">
        <f>B1297-D1297</f>
        <v/>
      </c>
      <c r="Q1297" s="4">
        <f>AVERAGE(P1294:P1297)</f>
        <v/>
      </c>
      <c r="R1297" s="54">
        <f>(M1298-M1297)/M1297</f>
        <v/>
      </c>
      <c r="S1297" s="54">
        <f>(M1301-M1297)/M1297</f>
        <v/>
      </c>
      <c r="T1297" s="63">
        <f>IF(R1297&gt;0,1,"")</f>
        <v/>
      </c>
      <c r="U1297" s="63">
        <f>IF(S1297&gt;0,1,"")</f>
        <v/>
      </c>
    </row>
    <row r="1298">
      <c r="A1298" s="35" t="n">
        <v>40976</v>
      </c>
      <c r="B1298" s="4" t="n">
        <v>0.42379</v>
      </c>
      <c r="C1298" s="4" t="n">
        <v>0.28624</v>
      </c>
      <c r="D1298" s="4" t="n">
        <v>0.28996</v>
      </c>
      <c r="E1298" s="63" t="n">
        <v>0.99999</v>
      </c>
      <c r="F1298" s="63" t="n">
        <v>0.45546175</v>
      </c>
      <c r="G1298" s="63" t="n">
        <v>0.13383</v>
      </c>
      <c r="H1298" s="63" t="n">
        <v>0.384907436629</v>
      </c>
      <c r="I1298" s="63" t="n">
        <v>0.48829287048</v>
      </c>
      <c r="J1298" s="63" t="n">
        <v>0.281522002778</v>
      </c>
      <c r="K1298" s="63" t="n">
        <v>1378.04</v>
      </c>
      <c r="L1298" s="63" t="n">
        <v>1340.03</v>
      </c>
      <c r="M1298" s="63" t="n">
        <v>1352.63</v>
      </c>
      <c r="N1298" s="54">
        <f>(M1299-M1298)/M1298</f>
        <v/>
      </c>
      <c r="O1298" s="54">
        <f>(M1302-M1298)/M1298</f>
        <v/>
      </c>
      <c r="P1298" s="4">
        <f>B1298-D1298</f>
        <v/>
      </c>
      <c r="Q1298" s="4">
        <f>AVERAGE(P1295:P1298)</f>
        <v/>
      </c>
      <c r="R1298" s="54">
        <f>(M1299-M1298)/M1298</f>
        <v/>
      </c>
      <c r="S1298" s="54">
        <f>(M1302-M1298)/M1298</f>
        <v/>
      </c>
      <c r="T1298" s="63">
        <f>IF(R1298&gt;0,1,"")</f>
        <v/>
      </c>
      <c r="U1298" s="63">
        <f>IF(S1298&gt;0,1,"")</f>
        <v/>
      </c>
    </row>
    <row r="1299">
      <c r="A1299" s="35" t="n">
        <v>40983</v>
      </c>
      <c r="B1299" s="4" t="n">
        <v>0.456067</v>
      </c>
      <c r="C1299" s="4" t="n">
        <v>0.271967</v>
      </c>
      <c r="D1299" s="4" t="n">
        <v>0.271967</v>
      </c>
      <c r="E1299" s="63" t="n">
        <v>1.000001</v>
      </c>
      <c r="F1299" s="63" t="n">
        <v>0.453432625</v>
      </c>
      <c r="G1299" s="63" t="n">
        <v>0.1841</v>
      </c>
      <c r="H1299" s="63" t="n">
        <v>0.384907436629</v>
      </c>
      <c r="I1299" s="63" t="n">
        <v>0.48829287048</v>
      </c>
      <c r="J1299" s="63" t="n">
        <v>0.281522002778</v>
      </c>
      <c r="K1299" s="63" t="n">
        <v>1399.42</v>
      </c>
      <c r="L1299" s="63" t="n">
        <v>1340.03</v>
      </c>
      <c r="M1299" s="63" t="n">
        <v>1394.28</v>
      </c>
      <c r="N1299" s="54">
        <f>(M1300-M1299)/M1299</f>
        <v/>
      </c>
      <c r="O1299" s="54">
        <f>(M1303-M1299)/M1299</f>
        <v/>
      </c>
      <c r="P1299" s="4">
        <f>B1299-D1299</f>
        <v/>
      </c>
      <c r="Q1299" s="4">
        <f>AVERAGE(P1296:P1299)</f>
        <v/>
      </c>
      <c r="R1299" s="54">
        <f>(M1300-M1299)/M1299</f>
        <v/>
      </c>
      <c r="S1299" s="54">
        <f>(M1303-M1299)/M1299</f>
        <v/>
      </c>
      <c r="T1299" s="63">
        <f>IF(R1299&gt;0,1,"")</f>
        <v/>
      </c>
      <c r="U1299" s="63">
        <f>IF(S1299&gt;0,1,"")</f>
        <v/>
      </c>
    </row>
    <row r="1300">
      <c r="A1300" s="35" t="n">
        <v>40990</v>
      </c>
      <c r="B1300" s="4" t="n">
        <v>0.423841</v>
      </c>
      <c r="C1300" s="4" t="n">
        <v>0.298013</v>
      </c>
      <c r="D1300" s="4" t="n">
        <v>0.278146</v>
      </c>
      <c r="E1300" s="63" t="n">
        <v>1</v>
      </c>
      <c r="F1300" s="63" t="n">
        <v>0.445916</v>
      </c>
      <c r="G1300" s="63" t="n">
        <v>0.145695</v>
      </c>
      <c r="H1300" s="63" t="n">
        <v>0.384907436629</v>
      </c>
      <c r="I1300" s="63" t="n">
        <v>0.48829287048</v>
      </c>
      <c r="J1300" s="63" t="n">
        <v>0.281522002778</v>
      </c>
      <c r="K1300" s="63" t="n">
        <v>1414</v>
      </c>
      <c r="L1300" s="63" t="n">
        <v>1371.92</v>
      </c>
      <c r="M1300" s="63" t="n">
        <v>1402.89</v>
      </c>
      <c r="N1300" s="54">
        <f>(M1301-M1300)/M1300</f>
        <v/>
      </c>
      <c r="O1300" s="54">
        <f>(M1304-M1300)/M1300</f>
        <v/>
      </c>
      <c r="P1300" s="4">
        <f>B1300-D1300</f>
        <v/>
      </c>
      <c r="Q1300" s="4">
        <f>AVERAGE(P1297:P1300)</f>
        <v/>
      </c>
      <c r="R1300" s="54">
        <f>(M1301-M1300)/M1300</f>
        <v/>
      </c>
      <c r="S1300" s="54">
        <f>(M1304-M1300)/M1300</f>
        <v/>
      </c>
      <c r="T1300" s="63">
        <f>IF(R1300&gt;0,1,"")</f>
        <v/>
      </c>
      <c r="U1300" s="63">
        <f>IF(S1300&gt;0,1,"")</f>
        <v/>
      </c>
    </row>
    <row r="1301">
      <c r="A1301" s="35" t="n">
        <v>40997</v>
      </c>
      <c r="B1301" s="4" t="n">
        <v>0.4247</v>
      </c>
      <c r="C1301" s="4" t="n">
        <v>0.3205</v>
      </c>
      <c r="D1301" s="4" t="n">
        <v>0.2548</v>
      </c>
      <c r="E1301" s="63" t="n">
        <v>1</v>
      </c>
      <c r="F1301" s="63" t="n">
        <v>0.444246</v>
      </c>
      <c r="G1301" s="63" t="n">
        <v>0.1699</v>
      </c>
      <c r="H1301" s="63" t="n">
        <v>0.384907436629</v>
      </c>
      <c r="I1301" s="63" t="n">
        <v>0.48829287048</v>
      </c>
      <c r="J1301" s="63" t="n">
        <v>0.281522002778</v>
      </c>
      <c r="K1301" s="63" t="n">
        <v>1419.15</v>
      </c>
      <c r="L1301" s="63" t="n">
        <v>1386.87</v>
      </c>
      <c r="M1301" s="63" t="n">
        <v>1405.54</v>
      </c>
      <c r="N1301" s="54">
        <f>(M1302-M1301)/M1301</f>
        <v/>
      </c>
      <c r="O1301" s="54">
        <f>(M1305-M1301)/M1301</f>
        <v/>
      </c>
      <c r="P1301" s="4">
        <f>B1301-D1301</f>
        <v/>
      </c>
      <c r="Q1301" s="4">
        <f>AVERAGE(P1298:P1301)</f>
        <v/>
      </c>
      <c r="R1301" s="54">
        <f>(M1302-M1301)/M1301</f>
        <v/>
      </c>
      <c r="S1301" s="54">
        <f>(M1305-M1301)/M1301</f>
        <v/>
      </c>
      <c r="T1301" s="63">
        <f>IF(R1301&gt;0,1,"")</f>
        <v/>
      </c>
      <c r="U1301" s="63">
        <f>IF(S1301&gt;0,1,"")</f>
        <v/>
      </c>
    </row>
    <row r="1302">
      <c r="A1302" s="35" t="n">
        <v>41004</v>
      </c>
      <c r="B1302" s="4" t="n">
        <v>0.381743</v>
      </c>
      <c r="C1302" s="4" t="n">
        <v>0.340249</v>
      </c>
      <c r="D1302" s="4" t="n">
        <v>0.278008</v>
      </c>
      <c r="E1302" s="63" t="n">
        <v>1</v>
      </c>
      <c r="F1302" s="63" t="n">
        <v>0.427410125</v>
      </c>
      <c r="G1302" s="63" t="n">
        <v>0.103735</v>
      </c>
      <c r="H1302" s="63" t="n">
        <v>0.384907436629</v>
      </c>
      <c r="I1302" s="63" t="n">
        <v>0.48829287048</v>
      </c>
      <c r="J1302" s="63" t="n">
        <v>0.281522002778</v>
      </c>
      <c r="K1302" s="63" t="n">
        <v>1422.38</v>
      </c>
      <c r="L1302" s="63" t="n">
        <v>1391.56</v>
      </c>
      <c r="M1302" s="63" t="n">
        <v>1398.96</v>
      </c>
      <c r="N1302" s="54">
        <f>(M1303-M1302)/M1302</f>
        <v/>
      </c>
      <c r="O1302" s="54">
        <f>(M1306-M1302)/M1302</f>
        <v/>
      </c>
      <c r="P1302" s="4">
        <f>B1302-D1302</f>
        <v/>
      </c>
      <c r="Q1302" s="4">
        <f>AVERAGE(P1299:P1302)</f>
        <v/>
      </c>
      <c r="R1302" s="54">
        <f>(M1303-M1302)/M1302</f>
        <v/>
      </c>
      <c r="S1302" s="54">
        <f>(M1306-M1302)/M1302</f>
        <v/>
      </c>
      <c r="T1302" s="63">
        <f>IF(R1302&gt;0,1,"")</f>
        <v/>
      </c>
      <c r="U1302" s="63">
        <f>IF(S1302&gt;0,1,"")</f>
        <v/>
      </c>
    </row>
    <row r="1303">
      <c r="A1303" s="35" t="n">
        <v>41011</v>
      </c>
      <c r="B1303" s="4" t="n">
        <v>0.281385</v>
      </c>
      <c r="C1303" s="4" t="n">
        <v>0.30303</v>
      </c>
      <c r="D1303" s="4" t="n">
        <v>0.415584</v>
      </c>
      <c r="E1303" s="63" t="n">
        <v>0.999999</v>
      </c>
      <c r="F1303" s="63" t="n">
        <v>0.409192</v>
      </c>
      <c r="G1303" s="63" t="n">
        <v>-0.134199</v>
      </c>
      <c r="H1303" s="63" t="n">
        <v>0.384907436629</v>
      </c>
      <c r="I1303" s="63" t="n">
        <v>0.48829287048</v>
      </c>
      <c r="J1303" s="63" t="n">
        <v>0.281522002778</v>
      </c>
      <c r="K1303" s="63" t="n">
        <v>1422.38</v>
      </c>
      <c r="L1303" s="63" t="n">
        <v>1357.38</v>
      </c>
      <c r="M1303" s="63" t="n">
        <v>1368.71</v>
      </c>
      <c r="N1303" s="54">
        <f>(M1304-M1303)/M1303</f>
        <v/>
      </c>
      <c r="O1303" s="54">
        <f>(M1307-M1303)/M1303</f>
        <v/>
      </c>
      <c r="P1303" s="4">
        <f>B1303-D1303</f>
        <v/>
      </c>
      <c r="Q1303" s="4">
        <f>AVERAGE(P1300:P1303)</f>
        <v/>
      </c>
      <c r="R1303" s="54">
        <f>(M1304-M1303)/M1303</f>
        <v/>
      </c>
      <c r="S1303" s="54">
        <f>(M1307-M1303)/M1303</f>
        <v/>
      </c>
      <c r="T1303" s="63">
        <f>IF(R1303&gt;0,1,"")</f>
        <v/>
      </c>
      <c r="U1303" s="63">
        <f>IF(S1303&gt;0,1,"")</f>
        <v/>
      </c>
    </row>
    <row r="1304">
      <c r="A1304" s="35" t="n">
        <v>41018</v>
      </c>
      <c r="B1304" s="4" t="n">
        <v>0.311787</v>
      </c>
      <c r="C1304" s="4" t="n">
        <v>0.34981</v>
      </c>
      <c r="D1304" s="4" t="n">
        <v>0.338403</v>
      </c>
      <c r="E1304" s="63" t="n">
        <v>1</v>
      </c>
      <c r="F1304" s="63" t="n">
        <v>0.393554125</v>
      </c>
      <c r="G1304" s="63" t="n">
        <v>-0.026616</v>
      </c>
      <c r="H1304" s="63" t="n">
        <v>0.384907436629</v>
      </c>
      <c r="I1304" s="63" t="n">
        <v>0.48829287048</v>
      </c>
      <c r="J1304" s="63" t="n">
        <v>0.281522002778</v>
      </c>
      <c r="K1304" s="63" t="n">
        <v>1392.76</v>
      </c>
      <c r="L1304" s="63" t="n">
        <v>1357.38</v>
      </c>
      <c r="M1304" s="63" t="n">
        <v>1385.14</v>
      </c>
      <c r="N1304" s="54">
        <f>(M1305-M1304)/M1304</f>
        <v/>
      </c>
      <c r="O1304" s="54">
        <f>(M1308-M1304)/M1304</f>
        <v/>
      </c>
      <c r="P1304" s="4">
        <f>B1304-D1304</f>
        <v/>
      </c>
      <c r="Q1304" s="4">
        <f>AVERAGE(P1301:P1304)</f>
        <v/>
      </c>
      <c r="R1304" s="54">
        <f>(M1305-M1304)/M1304</f>
        <v/>
      </c>
      <c r="S1304" s="54">
        <f>(M1308-M1304)/M1304</f>
        <v/>
      </c>
      <c r="T1304" s="63">
        <f>IF(R1304&gt;0,1,"")</f>
        <v/>
      </c>
      <c r="U1304" s="63">
        <f>IF(S1304&gt;0,1,"")</f>
        <v/>
      </c>
    </row>
    <row r="1305">
      <c r="A1305" s="35" t="n">
        <v>41025</v>
      </c>
      <c r="B1305" s="4" t="n">
        <v>0.276423</v>
      </c>
      <c r="C1305" s="4" t="n">
        <v>0.349593</v>
      </c>
      <c r="D1305" s="4" t="n">
        <v>0.373984</v>
      </c>
      <c r="E1305" s="63" t="n">
        <v>1</v>
      </c>
      <c r="F1305" s="63" t="n">
        <v>0.372467</v>
      </c>
      <c r="G1305" s="63" t="n">
        <v>-0.09756099999999999</v>
      </c>
      <c r="H1305" s="63" t="n">
        <v>0.384907436629</v>
      </c>
      <c r="I1305" s="63" t="n">
        <v>0.48829287048</v>
      </c>
      <c r="J1305" s="63" t="n">
        <v>0.281522002778</v>
      </c>
      <c r="K1305" s="63" t="n">
        <v>1392.76</v>
      </c>
      <c r="L1305" s="63" t="n">
        <v>1358.79</v>
      </c>
      <c r="M1305" s="63" t="n">
        <v>1390.69</v>
      </c>
      <c r="N1305" s="54">
        <f>(M1306-M1305)/M1305</f>
        <v/>
      </c>
      <c r="O1305" s="54">
        <f>(M1309-M1305)/M1305</f>
        <v/>
      </c>
      <c r="P1305" s="4">
        <f>B1305-D1305</f>
        <v/>
      </c>
      <c r="Q1305" s="4">
        <f>AVERAGE(P1302:P1305)</f>
        <v/>
      </c>
      <c r="R1305" s="54">
        <f>(M1306-M1305)/M1305</f>
        <v/>
      </c>
      <c r="S1305" s="54">
        <f>(M1309-M1305)/M1305</f>
        <v/>
      </c>
      <c r="T1305" s="63">
        <f>IF(R1305&gt;0,1,"")</f>
        <v/>
      </c>
      <c r="U1305" s="63">
        <f>IF(S1305&gt;0,1,"")</f>
        <v/>
      </c>
    </row>
    <row r="1306">
      <c r="A1306" s="35" t="n">
        <v>41032</v>
      </c>
      <c r="B1306" s="4" t="n">
        <v>0.354015</v>
      </c>
      <c r="C1306" s="4" t="n">
        <v>0.361314</v>
      </c>
      <c r="D1306" s="4" t="n">
        <v>0.284672</v>
      </c>
      <c r="E1306" s="63" t="n">
        <v>1.000001</v>
      </c>
      <c r="F1306" s="63" t="n">
        <v>0.363745125</v>
      </c>
      <c r="G1306" s="63" t="n">
        <v>0.069343</v>
      </c>
      <c r="H1306" s="63" t="n">
        <v>0.384907436629</v>
      </c>
      <c r="I1306" s="63" t="n">
        <v>0.48829287048</v>
      </c>
      <c r="J1306" s="63" t="n">
        <v>0.281522002778</v>
      </c>
      <c r="K1306" s="63" t="n">
        <v>1415.32</v>
      </c>
      <c r="L1306" s="63" t="n">
        <v>1366.82</v>
      </c>
      <c r="M1306" s="63" t="n">
        <v>1402.31</v>
      </c>
      <c r="N1306" s="54">
        <f>(M1307-M1306)/M1306</f>
        <v/>
      </c>
      <c r="O1306" s="54">
        <f>(M1310-M1306)/M1306</f>
        <v/>
      </c>
      <c r="P1306" s="4">
        <f>B1306-D1306</f>
        <v/>
      </c>
      <c r="Q1306" s="4">
        <f>AVERAGE(P1303:P1306)</f>
        <v/>
      </c>
      <c r="R1306" s="54">
        <f>(M1307-M1306)/M1306</f>
        <v/>
      </c>
      <c r="S1306" s="54">
        <f>(M1310-M1306)/M1306</f>
        <v/>
      </c>
      <c r="T1306" s="63">
        <f>IF(R1306&gt;0,1,"")</f>
        <v/>
      </c>
      <c r="U1306" s="63">
        <f>IF(S1306&gt;0,1,"")</f>
        <v/>
      </c>
    </row>
    <row r="1307">
      <c r="A1307" s="35" t="n">
        <v>41039</v>
      </c>
      <c r="B1307" s="4" t="n">
        <v>0.253968</v>
      </c>
      <c r="C1307" s="4" t="n">
        <v>0.325397</v>
      </c>
      <c r="D1307" s="4" t="n">
        <v>0.420635</v>
      </c>
      <c r="E1307" s="63" t="n">
        <v>1</v>
      </c>
      <c r="F1307" s="63" t="n">
        <v>0.33848275</v>
      </c>
      <c r="G1307" s="63" t="n">
        <v>-0.166667</v>
      </c>
      <c r="H1307" s="63" t="n">
        <v>0.384907436629</v>
      </c>
      <c r="I1307" s="63" t="n">
        <v>0.48829287048</v>
      </c>
      <c r="J1307" s="63" t="n">
        <v>0.281522002778</v>
      </c>
      <c r="K1307" s="63" t="n">
        <v>1415.32</v>
      </c>
      <c r="L1307" s="63" t="n">
        <v>1343.13</v>
      </c>
      <c r="M1307" s="63" t="n">
        <v>1354.58</v>
      </c>
      <c r="N1307" s="54">
        <f>(M1308-M1307)/M1307</f>
        <v/>
      </c>
      <c r="O1307" s="54">
        <f>(M1311-M1307)/M1307</f>
        <v/>
      </c>
      <c r="P1307" s="4">
        <f>B1307-D1307</f>
        <v/>
      </c>
      <c r="Q1307" s="4">
        <f>AVERAGE(P1304:P1307)</f>
        <v/>
      </c>
      <c r="R1307" s="54">
        <f>(M1308-M1307)/M1307</f>
        <v/>
      </c>
      <c r="S1307" s="54">
        <f>(M1311-M1307)/M1307</f>
        <v/>
      </c>
      <c r="T1307" s="63">
        <f>IF(R1307&gt;0,1,"")</f>
        <v/>
      </c>
      <c r="U1307" s="63">
        <f>IF(S1307&gt;0,1,"")</f>
        <v/>
      </c>
    </row>
    <row r="1308">
      <c r="A1308" s="35" t="n">
        <v>41046</v>
      </c>
      <c r="B1308" s="4" t="n">
        <v>0.235821</v>
      </c>
      <c r="C1308" s="4" t="n">
        <v>0.304478</v>
      </c>
      <c r="D1308" s="4" t="n">
        <v>0.459701</v>
      </c>
      <c r="E1308" s="63" t="n">
        <v>1</v>
      </c>
      <c r="F1308" s="63" t="n">
        <v>0.31498025</v>
      </c>
      <c r="G1308" s="63" t="n">
        <v>-0.22388</v>
      </c>
      <c r="H1308" s="63" t="n">
        <v>0.384907436629</v>
      </c>
      <c r="I1308" s="63" t="n">
        <v>0.48829287048</v>
      </c>
      <c r="J1308" s="63" t="n">
        <v>0.281522002778</v>
      </c>
      <c r="K1308" s="63" t="n">
        <v>1369.16</v>
      </c>
      <c r="L1308" s="63" t="n">
        <v>1324.79</v>
      </c>
      <c r="M1308" s="63" t="n">
        <v>1324.8</v>
      </c>
      <c r="N1308" s="54">
        <f>(M1309-M1308)/M1308</f>
        <v/>
      </c>
      <c r="O1308" s="54">
        <f>(M1312-M1308)/M1308</f>
        <v/>
      </c>
      <c r="P1308" s="4">
        <f>B1308-D1308</f>
        <v/>
      </c>
      <c r="Q1308" s="4">
        <f>AVERAGE(P1305:P1308)</f>
        <v/>
      </c>
      <c r="R1308" s="54">
        <f>(M1309-M1308)/M1308</f>
        <v/>
      </c>
      <c r="S1308" s="54">
        <f>(M1312-M1308)/M1308</f>
        <v/>
      </c>
      <c r="T1308" s="63">
        <f>IF(R1308&gt;0,1,"")</f>
        <v/>
      </c>
      <c r="U1308" s="63">
        <f>IF(S1308&gt;0,1,"")</f>
        <v/>
      </c>
    </row>
    <row r="1309">
      <c r="A1309" s="35" t="n">
        <v>41053</v>
      </c>
      <c r="B1309" s="4" t="n">
        <v>0.304688</v>
      </c>
      <c r="C1309" s="4" t="n">
        <v>0.308594</v>
      </c>
      <c r="D1309" s="4" t="n">
        <v>0.386719</v>
      </c>
      <c r="E1309" s="63" t="n">
        <v>1.000001</v>
      </c>
      <c r="F1309" s="63" t="n">
        <v>0.29997875</v>
      </c>
      <c r="G1309" s="63" t="n">
        <v>-0.08203100000000001</v>
      </c>
      <c r="H1309" s="63" t="n">
        <v>0.384907436629</v>
      </c>
      <c r="I1309" s="63" t="n">
        <v>0.48829287048</v>
      </c>
      <c r="J1309" s="63" t="n">
        <v>0.281522002778</v>
      </c>
      <c r="K1309" s="63" t="n">
        <v>1344.94</v>
      </c>
      <c r="L1309" s="63" t="n">
        <v>1291.98</v>
      </c>
      <c r="M1309" s="63" t="n">
        <v>1318.86</v>
      </c>
      <c r="N1309" s="54">
        <f>(M1310-M1309)/M1309</f>
        <v/>
      </c>
      <c r="O1309" s="54">
        <f>(M1313-M1309)/M1309</f>
        <v/>
      </c>
      <c r="P1309" s="4">
        <f>B1309-D1309</f>
        <v/>
      </c>
      <c r="Q1309" s="4">
        <f>AVERAGE(P1306:P1309)</f>
        <v/>
      </c>
      <c r="R1309" s="54">
        <f>(M1310-M1309)/M1309</f>
        <v/>
      </c>
      <c r="S1309" s="54">
        <f>(M1313-M1309)/M1309</f>
        <v/>
      </c>
      <c r="T1309" s="63">
        <f>IF(R1309&gt;0,1,"")</f>
        <v/>
      </c>
      <c r="U1309" s="63">
        <f>IF(S1309&gt;0,1,"")</f>
        <v/>
      </c>
    </row>
    <row r="1310">
      <c r="A1310" s="35" t="n">
        <v>41060</v>
      </c>
      <c r="B1310" s="4" t="n">
        <v>0.280156</v>
      </c>
      <c r="C1310" s="4" t="n">
        <v>0.299611</v>
      </c>
      <c r="D1310" s="4" t="n">
        <v>0.420233</v>
      </c>
      <c r="E1310" s="63" t="n">
        <v>1</v>
      </c>
      <c r="F1310" s="63" t="n">
        <v>0.287280375</v>
      </c>
      <c r="G1310" s="63" t="n">
        <v>-0.140077</v>
      </c>
      <c r="H1310" s="63" t="n">
        <v>0.384907436629</v>
      </c>
      <c r="I1310" s="63" t="n">
        <v>0.48829287048</v>
      </c>
      <c r="J1310" s="63" t="n">
        <v>0.281522002778</v>
      </c>
      <c r="K1310" s="63" t="n">
        <v>1334.93</v>
      </c>
      <c r="L1310" s="63" t="n">
        <v>1295.73</v>
      </c>
      <c r="M1310" s="63" t="n">
        <v>1313.32</v>
      </c>
      <c r="N1310" s="54">
        <f>(M1311-M1310)/M1310</f>
        <v/>
      </c>
      <c r="O1310" s="54">
        <f>(M1314-M1310)/M1310</f>
        <v/>
      </c>
      <c r="P1310" s="4">
        <f>B1310-D1310</f>
        <v/>
      </c>
      <c r="Q1310" s="4">
        <f>AVERAGE(P1307:P1310)</f>
        <v/>
      </c>
      <c r="R1310" s="54">
        <f>(M1311-M1310)/M1310</f>
        <v/>
      </c>
      <c r="S1310" s="54">
        <f>(M1314-M1310)/M1310</f>
        <v/>
      </c>
      <c r="T1310" s="63">
        <f>IF(R1310&gt;0,1,"")</f>
        <v/>
      </c>
      <c r="U1310" s="63">
        <f>IF(S1310&gt;0,1,"")</f>
        <v/>
      </c>
    </row>
    <row r="1311">
      <c r="A1311" s="35" t="n">
        <v>41067</v>
      </c>
      <c r="B1311" s="4" t="n">
        <v>0.27451</v>
      </c>
      <c r="C1311" s="4" t="n">
        <v>0.267974</v>
      </c>
      <c r="D1311" s="4" t="n">
        <v>0.457516</v>
      </c>
      <c r="E1311" s="63" t="n">
        <v>1</v>
      </c>
      <c r="F1311" s="63" t="n">
        <v>0.286421</v>
      </c>
      <c r="G1311" s="63" t="n">
        <v>-0.183006</v>
      </c>
      <c r="H1311" s="63" t="n">
        <v>0.384907436629</v>
      </c>
      <c r="I1311" s="63" t="n">
        <v>0.48829287048</v>
      </c>
      <c r="J1311" s="63" t="n">
        <v>0.281522002778</v>
      </c>
      <c r="K1311" s="63" t="n">
        <v>1334.93</v>
      </c>
      <c r="L1311" s="63" t="n">
        <v>1266.74</v>
      </c>
      <c r="M1311" s="63" t="n">
        <v>1315.13</v>
      </c>
      <c r="N1311" s="54">
        <f>(M1312-M1311)/M1311</f>
        <v/>
      </c>
      <c r="O1311" s="54">
        <f>(M1315-M1311)/M1311</f>
        <v/>
      </c>
      <c r="P1311" s="4">
        <f>B1311-D1311</f>
        <v/>
      </c>
      <c r="Q1311" s="4">
        <f>AVERAGE(P1308:P1311)</f>
        <v/>
      </c>
      <c r="R1311" s="54">
        <f>(M1312-M1311)/M1311</f>
        <v/>
      </c>
      <c r="S1311" s="54">
        <f>(M1315-M1311)/M1311</f>
        <v/>
      </c>
      <c r="T1311" s="63">
        <f>IF(R1311&gt;0,1,"")</f>
        <v/>
      </c>
      <c r="U1311" s="63">
        <f>IF(S1311&gt;0,1,"")</f>
        <v/>
      </c>
    </row>
    <row r="1312">
      <c r="A1312" s="35" t="n">
        <v>41074</v>
      </c>
      <c r="B1312" s="4" t="n">
        <v>0.340351</v>
      </c>
      <c r="C1312" s="4" t="n">
        <v>0.301754</v>
      </c>
      <c r="D1312" s="4" t="n">
        <v>0.357895</v>
      </c>
      <c r="E1312" s="63" t="n">
        <v>1</v>
      </c>
      <c r="F1312" s="63" t="n">
        <v>0.2899915</v>
      </c>
      <c r="G1312" s="63" t="n">
        <v>-0.017544</v>
      </c>
      <c r="H1312" s="63" t="n">
        <v>0.384907436629</v>
      </c>
      <c r="I1312" s="63" t="n">
        <v>0.48829287048</v>
      </c>
      <c r="J1312" s="63" t="n">
        <v>0.281522002778</v>
      </c>
      <c r="K1312" s="63" t="n">
        <v>1335.52</v>
      </c>
      <c r="L1312" s="63" t="n">
        <v>1274.16</v>
      </c>
      <c r="M1312" s="63" t="n">
        <v>1314.88</v>
      </c>
      <c r="N1312" s="54">
        <f>(M1313-M1312)/M1312</f>
        <v/>
      </c>
      <c r="O1312" s="54">
        <f>(M1316-M1312)/M1312</f>
        <v/>
      </c>
      <c r="P1312" s="4">
        <f>B1312-D1312</f>
        <v/>
      </c>
      <c r="Q1312" s="4">
        <f>AVERAGE(P1309:P1312)</f>
        <v/>
      </c>
      <c r="R1312" s="54">
        <f>(M1313-M1312)/M1312</f>
        <v/>
      </c>
      <c r="S1312" s="54">
        <f>(M1316-M1312)/M1312</f>
        <v/>
      </c>
      <c r="T1312" s="63">
        <f>IF(R1312&gt;0,1,"")</f>
        <v/>
      </c>
      <c r="U1312" s="63">
        <f>IF(S1312&gt;0,1,"")</f>
        <v/>
      </c>
    </row>
    <row r="1313">
      <c r="A1313" s="35" t="n">
        <v>41081</v>
      </c>
      <c r="B1313" s="4" t="n">
        <v>0.328904</v>
      </c>
      <c r="C1313" s="4" t="n">
        <v>0.312292</v>
      </c>
      <c r="D1313" s="4" t="n">
        <v>0.358804</v>
      </c>
      <c r="E1313" s="63" t="n">
        <v>1</v>
      </c>
      <c r="F1313" s="63" t="n">
        <v>0.296551625</v>
      </c>
      <c r="G1313" s="63" t="n">
        <v>-0.0299</v>
      </c>
      <c r="H1313" s="63" t="n">
        <v>0.384907436629</v>
      </c>
      <c r="I1313" s="63" t="n">
        <v>0.48829287048</v>
      </c>
      <c r="J1313" s="63" t="n">
        <v>0.281522002778</v>
      </c>
      <c r="K1313" s="63" t="n">
        <v>1363.46</v>
      </c>
      <c r="L1313" s="63" t="n">
        <v>1306.62</v>
      </c>
      <c r="M1313" s="63" t="n">
        <v>1355.69</v>
      </c>
      <c r="N1313" s="54">
        <f>(M1314-M1313)/M1313</f>
        <v/>
      </c>
      <c r="O1313" s="54">
        <f>(M1317-M1313)/M1313</f>
        <v/>
      </c>
      <c r="P1313" s="4">
        <f>B1313-D1313</f>
        <v/>
      </c>
      <c r="Q1313" s="4">
        <f>AVERAGE(P1310:P1313)</f>
        <v/>
      </c>
      <c r="R1313" s="54">
        <f>(M1314-M1313)/M1313</f>
        <v/>
      </c>
      <c r="S1313" s="54">
        <f>(M1317-M1313)/M1313</f>
        <v/>
      </c>
      <c r="T1313" s="63">
        <f>IF(R1313&gt;0,1,"")</f>
        <v/>
      </c>
      <c r="U1313" s="63">
        <f>IF(S1313&gt;0,1,"")</f>
        <v/>
      </c>
    </row>
    <row r="1314">
      <c r="A1314" s="35" t="n">
        <v>41088</v>
      </c>
      <c r="B1314" s="4" t="n">
        <v>0.286689</v>
      </c>
      <c r="C1314" s="4" t="n">
        <v>0.269625</v>
      </c>
      <c r="D1314" s="4" t="n">
        <v>0.443686</v>
      </c>
      <c r="E1314" s="63" t="n">
        <v>1</v>
      </c>
      <c r="F1314" s="63" t="n">
        <v>0.288135875</v>
      </c>
      <c r="G1314" s="63" t="n">
        <v>-0.156997</v>
      </c>
      <c r="H1314" s="63" t="n">
        <v>0.384907436629</v>
      </c>
      <c r="I1314" s="63" t="n">
        <v>0.48829287048</v>
      </c>
      <c r="J1314" s="63" t="n">
        <v>0.281522002778</v>
      </c>
      <c r="K1314" s="63" t="n">
        <v>1363.46</v>
      </c>
      <c r="L1314" s="63" t="n">
        <v>1309.27</v>
      </c>
      <c r="M1314" s="63" t="n">
        <v>1331.85</v>
      </c>
      <c r="N1314" s="54">
        <f>(M1315-M1314)/M1314</f>
        <v/>
      </c>
      <c r="O1314" s="54">
        <f>(M1318-M1314)/M1314</f>
        <v/>
      </c>
      <c r="P1314" s="4">
        <f>B1314-D1314</f>
        <v/>
      </c>
      <c r="Q1314" s="4">
        <f>AVERAGE(P1311:P1314)</f>
        <v/>
      </c>
      <c r="R1314" s="54">
        <f>(M1315-M1314)/M1314</f>
        <v/>
      </c>
      <c r="S1314" s="54">
        <f>(M1318-M1314)/M1314</f>
        <v/>
      </c>
      <c r="T1314" s="63">
        <f>IF(R1314&gt;0,1,"")</f>
        <v/>
      </c>
      <c r="U1314" s="63">
        <f>IF(S1314&gt;0,1,"")</f>
        <v/>
      </c>
    </row>
    <row r="1315">
      <c r="A1315" s="35" t="n">
        <v>41095</v>
      </c>
      <c r="B1315" s="4" t="n">
        <v>0.3264</v>
      </c>
      <c r="C1315" s="4" t="n">
        <v>0.3403</v>
      </c>
      <c r="D1315" s="4" t="n">
        <v>0.3333</v>
      </c>
      <c r="E1315" s="63" t="n">
        <v>1</v>
      </c>
      <c r="F1315" s="63" t="n">
        <v>0.297189875</v>
      </c>
      <c r="G1315" s="63" t="n">
        <v>-0.0069</v>
      </c>
      <c r="H1315" s="63" t="n">
        <v>0.384907436629</v>
      </c>
      <c r="I1315" s="63" t="n">
        <v>0.48829287048</v>
      </c>
      <c r="J1315" s="63" t="n">
        <v>0.281522002778</v>
      </c>
      <c r="K1315" s="63" t="n">
        <v>1374.81</v>
      </c>
      <c r="L1315" s="63" t="n">
        <v>1313.29</v>
      </c>
      <c r="M1315" s="63" t="n">
        <v>1374.02</v>
      </c>
      <c r="N1315" s="54">
        <f>(M1316-M1315)/M1315</f>
        <v/>
      </c>
      <c r="O1315" s="54">
        <f>(M1319-M1315)/M1315</f>
        <v/>
      </c>
      <c r="P1315" s="4">
        <f>B1315-D1315</f>
        <v/>
      </c>
      <c r="Q1315" s="4">
        <f>AVERAGE(P1312:P1315)</f>
        <v/>
      </c>
      <c r="R1315" s="54">
        <f>(M1316-M1315)/M1315</f>
        <v/>
      </c>
      <c r="S1315" s="54">
        <f>(M1319-M1315)/M1315</f>
        <v/>
      </c>
      <c r="T1315" s="63">
        <f>IF(R1315&gt;0,1,"")</f>
        <v/>
      </c>
      <c r="U1315" s="63">
        <f>IF(S1315&gt;0,1,"")</f>
        <v/>
      </c>
    </row>
    <row r="1316">
      <c r="A1316" s="35" t="n">
        <v>41102</v>
      </c>
      <c r="B1316" s="4" t="n">
        <v>0.302251</v>
      </c>
      <c r="C1316" s="4" t="n">
        <v>0.350482</v>
      </c>
      <c r="D1316" s="4" t="n">
        <v>0.347267</v>
      </c>
      <c r="E1316" s="63" t="n">
        <v>1</v>
      </c>
      <c r="F1316" s="63" t="n">
        <v>0.305493625</v>
      </c>
      <c r="G1316" s="63" t="n">
        <v>-0.045016</v>
      </c>
      <c r="H1316" s="63" t="n">
        <v>0.384907436629</v>
      </c>
      <c r="I1316" s="63" t="n">
        <v>0.48829287048</v>
      </c>
      <c r="J1316" s="63" t="n">
        <v>0.281522002778</v>
      </c>
      <c r="K1316" s="63" t="n">
        <v>1374.81</v>
      </c>
      <c r="L1316" s="63" t="n">
        <v>1333.25</v>
      </c>
      <c r="M1316" s="63" t="n">
        <v>1341.45</v>
      </c>
      <c r="N1316" s="54">
        <f>(M1317-M1316)/M1316</f>
        <v/>
      </c>
      <c r="O1316" s="54">
        <f>(M1320-M1316)/M1316</f>
        <v/>
      </c>
      <c r="P1316" s="4">
        <f>B1316-D1316</f>
        <v/>
      </c>
      <c r="Q1316" s="4">
        <f>AVERAGE(P1313:P1316)</f>
        <v/>
      </c>
      <c r="R1316" s="54">
        <f>(M1317-M1316)/M1316</f>
        <v/>
      </c>
      <c r="S1316" s="54">
        <f>(M1320-M1316)/M1316</f>
        <v/>
      </c>
      <c r="T1316" s="63">
        <f>IF(R1316&gt;0,1,"")</f>
        <v/>
      </c>
      <c r="U1316" s="63">
        <f>IF(S1316&gt;0,1,"")</f>
        <v/>
      </c>
    </row>
    <row r="1317">
      <c r="A1317" s="35" t="n">
        <v>41109</v>
      </c>
      <c r="B1317" s="4" t="n">
        <v>0.2219</v>
      </c>
      <c r="C1317" s="4" t="n">
        <v>0.360231</v>
      </c>
      <c r="D1317" s="4" t="n">
        <v>0.417867</v>
      </c>
      <c r="E1317" s="63" t="n">
        <v>0.9999980000000001</v>
      </c>
      <c r="F1317" s="63" t="n">
        <v>0.295145125</v>
      </c>
      <c r="G1317" s="63" t="n">
        <v>-0.195967</v>
      </c>
      <c r="H1317" s="63" t="n">
        <v>0.384907436629</v>
      </c>
      <c r="I1317" s="63" t="n">
        <v>0.48829287048</v>
      </c>
      <c r="J1317" s="63" t="n">
        <v>0.281522002778</v>
      </c>
      <c r="K1317" s="63" t="n">
        <v>1375.26</v>
      </c>
      <c r="L1317" s="63" t="n">
        <v>1325.41</v>
      </c>
      <c r="M1317" s="63" t="n">
        <v>1372.78</v>
      </c>
      <c r="N1317" s="54">
        <f>(M1318-M1317)/M1317</f>
        <v/>
      </c>
      <c r="O1317" s="54">
        <f>(M1321-M1317)/M1317</f>
        <v/>
      </c>
      <c r="P1317" s="4">
        <f>B1317-D1317</f>
        <v/>
      </c>
      <c r="Q1317" s="4">
        <f>AVERAGE(P1314:P1317)</f>
        <v/>
      </c>
      <c r="R1317" s="54">
        <f>(M1318-M1317)/M1317</f>
        <v/>
      </c>
      <c r="S1317" s="54">
        <f>(M1321-M1317)/M1317</f>
        <v/>
      </c>
      <c r="T1317" s="63">
        <f>IF(R1317&gt;0,1,"")</f>
        <v/>
      </c>
      <c r="U1317" s="63">
        <f>IF(S1317&gt;0,1,"")</f>
        <v/>
      </c>
    </row>
    <row r="1318">
      <c r="A1318" s="35" t="n">
        <v>41116</v>
      </c>
      <c r="B1318" s="4" t="n">
        <v>0.28115</v>
      </c>
      <c r="C1318" s="4" t="n">
        <v>0.28754</v>
      </c>
      <c r="D1318" s="4" t="n">
        <v>0.43131</v>
      </c>
      <c r="E1318" s="63" t="n">
        <v>1</v>
      </c>
      <c r="F1318" s="63" t="n">
        <v>0.295269375</v>
      </c>
      <c r="G1318" s="63" t="n">
        <v>-0.15016</v>
      </c>
      <c r="H1318" s="63" t="n">
        <v>0.384907436629</v>
      </c>
      <c r="I1318" s="63" t="n">
        <v>0.48829287048</v>
      </c>
      <c r="J1318" s="63" t="n">
        <v>0.281522002778</v>
      </c>
      <c r="K1318" s="63" t="n">
        <v>1380.39</v>
      </c>
      <c r="L1318" s="63" t="n">
        <v>1329.24</v>
      </c>
      <c r="M1318" s="63" t="n">
        <v>1337.89</v>
      </c>
      <c r="N1318" s="54">
        <f>(M1319-M1318)/M1318</f>
        <v/>
      </c>
      <c r="O1318" s="54">
        <f>(M1322-M1318)/M1318</f>
        <v/>
      </c>
      <c r="P1318" s="4">
        <f>B1318-D1318</f>
        <v/>
      </c>
      <c r="Q1318" s="4">
        <f>AVERAGE(P1315:P1318)</f>
        <v/>
      </c>
      <c r="R1318" s="54">
        <f>(M1319-M1318)/M1318</f>
        <v/>
      </c>
      <c r="S1318" s="54">
        <f>(M1322-M1318)/M1318</f>
        <v/>
      </c>
      <c r="T1318" s="63">
        <f>IF(R1318&gt;0,1,"")</f>
        <v/>
      </c>
      <c r="U1318" s="63">
        <f>IF(S1318&gt;0,1,"")</f>
        <v/>
      </c>
    </row>
    <row r="1319">
      <c r="A1319" s="35" t="n">
        <v>41123</v>
      </c>
      <c r="B1319" s="4" t="n">
        <v>0.304478</v>
      </c>
      <c r="C1319" s="4" t="n">
        <v>0.346269</v>
      </c>
      <c r="D1319" s="4" t="n">
        <v>0.349254</v>
      </c>
      <c r="E1319" s="63" t="n">
        <v>1.000001</v>
      </c>
      <c r="F1319" s="63" t="n">
        <v>0.299015375</v>
      </c>
      <c r="G1319" s="63" t="n">
        <v>-0.044776</v>
      </c>
      <c r="H1319" s="63" t="n">
        <v>0.384907436629</v>
      </c>
      <c r="I1319" s="63" t="n">
        <v>0.48829287048</v>
      </c>
      <c r="J1319" s="63" t="n">
        <v>0.281522002778</v>
      </c>
      <c r="K1319" s="63" t="n">
        <v>1391.74</v>
      </c>
      <c r="L1319" s="63" t="n">
        <v>1329.24</v>
      </c>
      <c r="M1319" s="63" t="n">
        <v>1375.14</v>
      </c>
      <c r="N1319" s="54">
        <f>(M1320-M1319)/M1319</f>
        <v/>
      </c>
      <c r="O1319" s="54">
        <f>(M1323-M1319)/M1319</f>
        <v/>
      </c>
      <c r="P1319" s="4">
        <f>B1319-D1319</f>
        <v/>
      </c>
      <c r="Q1319" s="4">
        <f>AVERAGE(P1316:P1319)</f>
        <v/>
      </c>
      <c r="R1319" s="54">
        <f>(M1320-M1319)/M1319</f>
        <v/>
      </c>
      <c r="S1319" s="54">
        <f>(M1323-M1319)/M1319</f>
        <v/>
      </c>
      <c r="T1319" s="63">
        <f>IF(R1319&gt;0,1,"")</f>
        <v/>
      </c>
      <c r="U1319" s="63">
        <f>IF(S1319&gt;0,1,"")</f>
        <v/>
      </c>
    </row>
    <row r="1320">
      <c r="A1320" s="35" t="n">
        <v>41130</v>
      </c>
      <c r="B1320" s="4" t="n">
        <v>0.364706</v>
      </c>
      <c r="C1320" s="4" t="n">
        <v>0.361765</v>
      </c>
      <c r="D1320" s="4" t="n">
        <v>0.273529</v>
      </c>
      <c r="E1320" s="63" t="n">
        <v>1</v>
      </c>
      <c r="F1320" s="63" t="n">
        <v>0.30205975</v>
      </c>
      <c r="G1320" s="63" t="n">
        <v>0.09117699999999999</v>
      </c>
      <c r="H1320" s="63" t="n">
        <v>0.384907436629</v>
      </c>
      <c r="I1320" s="63" t="n">
        <v>0.48829287048</v>
      </c>
      <c r="J1320" s="63" t="n">
        <v>0.281522002778</v>
      </c>
      <c r="K1320" s="63" t="n">
        <v>1407.14</v>
      </c>
      <c r="L1320" s="63" t="n">
        <v>1354.65</v>
      </c>
      <c r="M1320" s="63" t="n">
        <v>1402.22</v>
      </c>
      <c r="N1320" s="54">
        <f>(M1321-M1320)/M1320</f>
        <v/>
      </c>
      <c r="O1320" s="54">
        <f>(M1324-M1320)/M1320</f>
        <v/>
      </c>
      <c r="P1320" s="4">
        <f>B1320-D1320</f>
        <v/>
      </c>
      <c r="Q1320" s="4">
        <f>AVERAGE(P1317:P1320)</f>
        <v/>
      </c>
      <c r="R1320" s="54">
        <f>(M1321-M1320)/M1320</f>
        <v/>
      </c>
      <c r="S1320" s="54">
        <f>(M1324-M1320)/M1320</f>
        <v/>
      </c>
      <c r="T1320" s="63">
        <f>IF(R1320&gt;0,1,"")</f>
        <v/>
      </c>
      <c r="U1320" s="63">
        <f>IF(S1320&gt;0,1,"")</f>
        <v/>
      </c>
    </row>
    <row r="1321">
      <c r="A1321" s="35" t="n">
        <v>41137</v>
      </c>
      <c r="B1321" s="4" t="n">
        <v>0.368421</v>
      </c>
      <c r="C1321" s="4" t="n">
        <v>0.350877</v>
      </c>
      <c r="D1321" s="4" t="n">
        <v>0.280702</v>
      </c>
      <c r="E1321" s="63" t="n">
        <v>1</v>
      </c>
      <c r="F1321" s="63" t="n">
        <v>0.306999375</v>
      </c>
      <c r="G1321" s="63" t="n">
        <v>0.08771900000000001</v>
      </c>
      <c r="H1321" s="63" t="n">
        <v>0.384907436629</v>
      </c>
      <c r="I1321" s="63" t="n">
        <v>0.48829287048</v>
      </c>
      <c r="J1321" s="63" t="n">
        <v>0.281522002778</v>
      </c>
      <c r="K1321" s="63" t="n">
        <v>1410.03</v>
      </c>
      <c r="L1321" s="63" t="n">
        <v>1394.46</v>
      </c>
      <c r="M1321" s="63" t="n">
        <v>1405.53</v>
      </c>
      <c r="N1321" s="54">
        <f>(M1322-M1321)/M1321</f>
        <v/>
      </c>
      <c r="O1321" s="54">
        <f>(M1325-M1321)/M1321</f>
        <v/>
      </c>
      <c r="P1321" s="4">
        <f>B1321-D1321</f>
        <v/>
      </c>
      <c r="Q1321" s="4">
        <f>AVERAGE(P1318:P1321)</f>
        <v/>
      </c>
      <c r="R1321" s="54">
        <f>(M1322-M1321)/M1321</f>
        <v/>
      </c>
      <c r="S1321" s="54">
        <f>(M1325-M1321)/M1321</f>
        <v/>
      </c>
      <c r="T1321" s="63">
        <f>IF(R1321&gt;0,1,"")</f>
        <v/>
      </c>
      <c r="U1321" s="63">
        <f>IF(S1321&gt;0,1,"")</f>
        <v/>
      </c>
    </row>
    <row r="1322">
      <c r="A1322" s="35" t="n">
        <v>41144</v>
      </c>
      <c r="B1322" s="4" t="n">
        <v>0.41958</v>
      </c>
      <c r="C1322" s="4" t="n">
        <v>0.321678</v>
      </c>
      <c r="D1322" s="4" t="n">
        <v>0.258741</v>
      </c>
      <c r="E1322" s="63" t="n">
        <v>0.999999</v>
      </c>
      <c r="F1322" s="63" t="n">
        <v>0.32361075</v>
      </c>
      <c r="G1322" s="63" t="n">
        <v>0.160839</v>
      </c>
      <c r="H1322" s="63" t="n">
        <v>0.384907436629</v>
      </c>
      <c r="I1322" s="63" t="n">
        <v>0.48829287048</v>
      </c>
      <c r="J1322" s="63" t="n">
        <v>0.281522002778</v>
      </c>
      <c r="K1322" s="63" t="n">
        <v>1426.68</v>
      </c>
      <c r="L1322" s="63" t="n">
        <v>1400.6</v>
      </c>
      <c r="M1322" s="63" t="n">
        <v>1413.49</v>
      </c>
      <c r="N1322" s="54">
        <f>(M1323-M1322)/M1322</f>
        <v/>
      </c>
      <c r="O1322" s="54">
        <f>(M1326-M1322)/M1322</f>
        <v/>
      </c>
      <c r="P1322" s="4">
        <f>B1322-D1322</f>
        <v/>
      </c>
      <c r="Q1322" s="4">
        <f>AVERAGE(P1319:P1322)</f>
        <v/>
      </c>
      <c r="R1322" s="54">
        <f>(M1323-M1322)/M1322</f>
        <v/>
      </c>
      <c r="S1322" s="54">
        <f>(M1326-M1322)/M1322</f>
        <v/>
      </c>
      <c r="T1322" s="63">
        <f>IF(R1322&gt;0,1,"")</f>
        <v/>
      </c>
      <c r="U1322" s="63">
        <f>IF(S1322&gt;0,1,"")</f>
        <v/>
      </c>
    </row>
    <row r="1323">
      <c r="A1323" s="35" t="n">
        <v>41151</v>
      </c>
      <c r="B1323" s="4" t="n">
        <v>0.347222</v>
      </c>
      <c r="C1323" s="4" t="n">
        <v>0.326389</v>
      </c>
      <c r="D1323" s="4" t="n">
        <v>0.326389</v>
      </c>
      <c r="E1323" s="63" t="n">
        <v>1</v>
      </c>
      <c r="F1323" s="63" t="n">
        <v>0.3262135</v>
      </c>
      <c r="G1323" s="63" t="n">
        <v>0.020833</v>
      </c>
      <c r="H1323" s="63" t="n">
        <v>0.384907436629</v>
      </c>
      <c r="I1323" s="63" t="n">
        <v>0.48829287048</v>
      </c>
      <c r="J1323" s="63" t="n">
        <v>0.281522002778</v>
      </c>
      <c r="K1323" s="63" t="n">
        <v>1426.68</v>
      </c>
      <c r="L1323" s="63" t="n">
        <v>1398.04</v>
      </c>
      <c r="M1323" s="63" t="n">
        <v>1410.49</v>
      </c>
      <c r="N1323" s="54">
        <f>(M1324-M1323)/M1323</f>
        <v/>
      </c>
      <c r="O1323" s="54">
        <f>(M1327-M1323)/M1323</f>
        <v/>
      </c>
      <c r="P1323" s="4">
        <f>B1323-D1323</f>
        <v/>
      </c>
      <c r="Q1323" s="4">
        <f>AVERAGE(P1320:P1323)</f>
        <v/>
      </c>
      <c r="R1323" s="54">
        <f>(M1324-M1323)/M1323</f>
        <v/>
      </c>
      <c r="S1323" s="54">
        <f>(M1327-M1323)/M1323</f>
        <v/>
      </c>
      <c r="T1323" s="63">
        <f>IF(R1323&gt;0,1,"")</f>
        <v/>
      </c>
      <c r="U1323" s="63">
        <f>IF(S1323&gt;0,1,"")</f>
        <v/>
      </c>
    </row>
    <row r="1324">
      <c r="A1324" s="35" t="n">
        <v>41158</v>
      </c>
      <c r="B1324" s="4" t="n">
        <v>0.330579</v>
      </c>
      <c r="C1324" s="4" t="n">
        <v>0.338843</v>
      </c>
      <c r="D1324" s="4" t="n">
        <v>0.330579</v>
      </c>
      <c r="E1324" s="63" t="n">
        <v>1.000001</v>
      </c>
      <c r="F1324" s="63" t="n">
        <v>0.3297545</v>
      </c>
      <c r="G1324" s="63" t="n">
        <v>0</v>
      </c>
      <c r="H1324" s="63" t="n">
        <v>0.384907436629</v>
      </c>
      <c r="I1324" s="63" t="n">
        <v>0.48829287048</v>
      </c>
      <c r="J1324" s="63" t="n">
        <v>0.281522002778</v>
      </c>
      <c r="K1324" s="63" t="n">
        <v>1416.17</v>
      </c>
      <c r="L1324" s="63" t="n">
        <v>1396.56</v>
      </c>
      <c r="M1324" s="63" t="n">
        <v>1403.44</v>
      </c>
      <c r="N1324" s="54">
        <f>(M1325-M1324)/M1324</f>
        <v/>
      </c>
      <c r="O1324" s="54">
        <f>(M1328-M1324)/M1324</f>
        <v/>
      </c>
      <c r="P1324" s="4">
        <f>B1324-D1324</f>
        <v/>
      </c>
      <c r="Q1324" s="4">
        <f>AVERAGE(P1321:P1324)</f>
        <v/>
      </c>
      <c r="R1324" s="54">
        <f>(M1325-M1324)/M1324</f>
        <v/>
      </c>
      <c r="S1324" s="54">
        <f>(M1328-M1324)/M1324</f>
        <v/>
      </c>
      <c r="T1324" s="63">
        <f>IF(R1324&gt;0,1,"")</f>
        <v/>
      </c>
      <c r="U1324" s="63">
        <f>IF(S1324&gt;0,1,"")</f>
        <v/>
      </c>
    </row>
    <row r="1325">
      <c r="A1325" s="35" t="n">
        <v>41165</v>
      </c>
      <c r="B1325" s="4" t="n">
        <v>0.364583</v>
      </c>
      <c r="C1325" s="4" t="n">
        <v>0.305556</v>
      </c>
      <c r="D1325" s="4" t="n">
        <v>0.329861</v>
      </c>
      <c r="E1325" s="63" t="n">
        <v>1</v>
      </c>
      <c r="F1325" s="63" t="n">
        <v>0.347589875</v>
      </c>
      <c r="G1325" s="63" t="n">
        <v>0.034722</v>
      </c>
      <c r="H1325" s="63" t="n">
        <v>0.384907436629</v>
      </c>
      <c r="I1325" s="63" t="n">
        <v>0.48829287048</v>
      </c>
      <c r="J1325" s="63" t="n">
        <v>0.281522002778</v>
      </c>
      <c r="K1325" s="63" t="n">
        <v>1439.15</v>
      </c>
      <c r="L1325" s="63" t="n">
        <v>1396.56</v>
      </c>
      <c r="M1325" s="63" t="n">
        <v>1436.56</v>
      </c>
      <c r="N1325" s="54">
        <f>(M1326-M1325)/M1325</f>
        <v/>
      </c>
      <c r="O1325" s="54">
        <f>(M1329-M1325)/M1325</f>
        <v/>
      </c>
      <c r="P1325" s="4">
        <f>B1325-D1325</f>
        <v/>
      </c>
      <c r="Q1325" s="4">
        <f>AVERAGE(P1322:P1325)</f>
        <v/>
      </c>
      <c r="R1325" s="54">
        <f>(M1326-M1325)/M1325</f>
        <v/>
      </c>
      <c r="S1325" s="54">
        <f>(M1329-M1325)/M1325</f>
        <v/>
      </c>
      <c r="T1325" s="63">
        <f>IF(R1325&gt;0,1,"")</f>
        <v/>
      </c>
      <c r="U1325" s="63">
        <f>IF(S1325&gt;0,1,"")</f>
        <v/>
      </c>
    </row>
    <row r="1326">
      <c r="A1326" s="35" t="n">
        <v>41172</v>
      </c>
      <c r="B1326" s="4" t="n">
        <v>0.375</v>
      </c>
      <c r="C1326" s="4" t="n">
        <v>0.287162</v>
      </c>
      <c r="D1326" s="4" t="n">
        <v>0.337838</v>
      </c>
      <c r="E1326" s="63" t="n">
        <v>1</v>
      </c>
      <c r="F1326" s="63" t="n">
        <v>0.359321125</v>
      </c>
      <c r="G1326" s="63" t="n">
        <v>0.037162</v>
      </c>
      <c r="H1326" s="63" t="n">
        <v>0.384907436629</v>
      </c>
      <c r="I1326" s="63" t="n">
        <v>0.48829287048</v>
      </c>
      <c r="J1326" s="63" t="n">
        <v>0.281522002778</v>
      </c>
      <c r="K1326" s="63" t="n">
        <v>1474.51</v>
      </c>
      <c r="L1326" s="63" t="n">
        <v>1429.13</v>
      </c>
      <c r="M1326" s="63" t="n">
        <v>1461.05</v>
      </c>
      <c r="N1326" s="54">
        <f>(M1327-M1326)/M1326</f>
        <v/>
      </c>
      <c r="O1326" s="54">
        <f>(M1330-M1326)/M1326</f>
        <v/>
      </c>
      <c r="P1326" s="4">
        <f>B1326-D1326</f>
        <v/>
      </c>
      <c r="Q1326" s="4">
        <f>AVERAGE(P1323:P1326)</f>
        <v/>
      </c>
      <c r="R1326" s="54">
        <f>(M1327-M1326)/M1326</f>
        <v/>
      </c>
      <c r="S1326" s="54">
        <f>(M1330-M1326)/M1326</f>
        <v/>
      </c>
      <c r="T1326" s="63">
        <f>IF(R1326&gt;0,1,"")</f>
        <v/>
      </c>
      <c r="U1326" s="63">
        <f>IF(S1326&gt;0,1,"")</f>
        <v/>
      </c>
    </row>
    <row r="1327">
      <c r="A1327" s="35" t="n">
        <v>41179</v>
      </c>
      <c r="B1327" s="4" t="n">
        <v>0.361011</v>
      </c>
      <c r="C1327" s="4" t="n">
        <v>0.274368</v>
      </c>
      <c r="D1327" s="4" t="n">
        <v>0.364621</v>
      </c>
      <c r="E1327" s="63" t="n">
        <v>1</v>
      </c>
      <c r="F1327" s="63" t="n">
        <v>0.36638775</v>
      </c>
      <c r="G1327" s="63" t="n">
        <v>-0.00361</v>
      </c>
      <c r="H1327" s="63" t="n">
        <v>0.384907436629</v>
      </c>
      <c r="I1327" s="63" t="n">
        <v>0.48829287048</v>
      </c>
      <c r="J1327" s="63" t="n">
        <v>0.281522002778</v>
      </c>
      <c r="K1327" s="63" t="n">
        <v>1467.07</v>
      </c>
      <c r="L1327" s="63" t="n">
        <v>1430.53</v>
      </c>
      <c r="M1327" s="63" t="n">
        <v>1433.32</v>
      </c>
      <c r="N1327" s="54">
        <f>(M1328-M1327)/M1327</f>
        <v/>
      </c>
      <c r="O1327" s="54">
        <f>(M1331-M1327)/M1327</f>
        <v/>
      </c>
      <c r="P1327" s="4">
        <f>B1327-D1327</f>
        <v/>
      </c>
      <c r="Q1327" s="4">
        <f>AVERAGE(P1324:P1327)</f>
        <v/>
      </c>
      <c r="R1327" s="54">
        <f>(M1328-M1327)/M1327</f>
        <v/>
      </c>
      <c r="S1327" s="54">
        <f>(M1331-M1327)/M1327</f>
        <v/>
      </c>
      <c r="T1327" s="63">
        <f>IF(R1327&gt;0,1,"")</f>
        <v/>
      </c>
      <c r="U1327" s="63">
        <f>IF(S1327&gt;0,1,"")</f>
        <v/>
      </c>
    </row>
    <row r="1328">
      <c r="A1328" s="35" t="n">
        <v>41186</v>
      </c>
      <c r="B1328" s="4" t="n">
        <v>0.338608</v>
      </c>
      <c r="C1328" s="4" t="n">
        <v>0.329114</v>
      </c>
      <c r="D1328" s="4" t="n">
        <v>0.332278</v>
      </c>
      <c r="E1328" s="63" t="n">
        <v>1</v>
      </c>
      <c r="F1328" s="63" t="n">
        <v>0.3631255</v>
      </c>
      <c r="G1328" s="63" t="n">
        <v>0.00633</v>
      </c>
      <c r="H1328" s="63" t="n">
        <v>0.384907436629</v>
      </c>
      <c r="I1328" s="63" t="n">
        <v>0.48829287048</v>
      </c>
      <c r="J1328" s="63" t="n">
        <v>0.281522002778</v>
      </c>
      <c r="K1328" s="63" t="n">
        <v>1463.24</v>
      </c>
      <c r="L1328" s="63" t="n">
        <v>1430.53</v>
      </c>
      <c r="M1328" s="63" t="n">
        <v>1450.99</v>
      </c>
      <c r="N1328" s="54">
        <f>(M1329-M1328)/M1328</f>
        <v/>
      </c>
      <c r="O1328" s="54">
        <f>(M1332-M1328)/M1328</f>
        <v/>
      </c>
      <c r="P1328" s="4">
        <f>B1328-D1328</f>
        <v/>
      </c>
      <c r="Q1328" s="4">
        <f>AVERAGE(P1325:P1328)</f>
        <v/>
      </c>
      <c r="R1328" s="54">
        <f>(M1329-M1328)/M1328</f>
        <v/>
      </c>
      <c r="S1328" s="54">
        <f>(M1332-M1328)/M1328</f>
        <v/>
      </c>
      <c r="T1328" s="63">
        <f>IF(R1328&gt;0,1,"")</f>
        <v/>
      </c>
      <c r="U1328" s="63">
        <f>IF(S1328&gt;0,1,"")</f>
        <v/>
      </c>
    </row>
    <row r="1329">
      <c r="A1329" s="35" t="n">
        <v>41193</v>
      </c>
      <c r="B1329" s="4" t="n">
        <v>0.305755</v>
      </c>
      <c r="C1329" s="4" t="n">
        <v>0.305755</v>
      </c>
      <c r="D1329" s="4" t="n">
        <v>0.388489</v>
      </c>
      <c r="E1329" s="63" t="n">
        <v>0.999999</v>
      </c>
      <c r="F1329" s="63" t="n">
        <v>0.35529225</v>
      </c>
      <c r="G1329" s="63" t="n">
        <v>-0.082734</v>
      </c>
      <c r="H1329" s="63" t="n">
        <v>0.384907436629</v>
      </c>
      <c r="I1329" s="63" t="n">
        <v>0.48829287048</v>
      </c>
      <c r="J1329" s="63" t="n">
        <v>0.281522002778</v>
      </c>
      <c r="K1329" s="63" t="n">
        <v>1470.96</v>
      </c>
      <c r="L1329" s="63" t="n">
        <v>1430.64</v>
      </c>
      <c r="M1329" s="63" t="n">
        <v>1432.56</v>
      </c>
      <c r="N1329" s="54">
        <f>(M1330-M1329)/M1329</f>
        <v/>
      </c>
      <c r="O1329" s="54">
        <f>(M1333-M1329)/M1329</f>
        <v/>
      </c>
      <c r="P1329" s="4">
        <f>B1329-D1329</f>
        <v/>
      </c>
      <c r="Q1329" s="4">
        <f>AVERAGE(P1326:P1329)</f>
        <v/>
      </c>
      <c r="R1329" s="54">
        <f>(M1330-M1329)/M1329</f>
        <v/>
      </c>
      <c r="S1329" s="54">
        <f>(M1333-M1329)/M1329</f>
        <v/>
      </c>
      <c r="T1329" s="63">
        <f>IF(R1329&gt;0,1,"")</f>
        <v/>
      </c>
      <c r="U1329" s="63">
        <f>IF(S1329&gt;0,1,"")</f>
        <v/>
      </c>
    </row>
    <row r="1330">
      <c r="A1330" s="35" t="n">
        <v>41200</v>
      </c>
      <c r="B1330" s="4" t="n">
        <v>0.286604</v>
      </c>
      <c r="C1330" s="4" t="n">
        <v>0.267913</v>
      </c>
      <c r="D1330" s="4" t="n">
        <v>0.445483</v>
      </c>
      <c r="E1330" s="63" t="n">
        <v>1</v>
      </c>
      <c r="F1330" s="63" t="n">
        <v>0.33867025</v>
      </c>
      <c r="G1330" s="63" t="n">
        <v>-0.158879</v>
      </c>
      <c r="H1330" s="63" t="n">
        <v>0.384907436629</v>
      </c>
      <c r="I1330" s="63" t="n">
        <v>0.48829287048</v>
      </c>
      <c r="J1330" s="63" t="n">
        <v>0.281522002778</v>
      </c>
      <c r="K1330" s="63" t="n">
        <v>1462.2</v>
      </c>
      <c r="L1330" s="63" t="n">
        <v>1425.53</v>
      </c>
      <c r="M1330" s="63" t="n">
        <v>1460.91</v>
      </c>
      <c r="N1330" s="54">
        <f>(M1331-M1330)/M1330</f>
        <v/>
      </c>
      <c r="O1330" s="54">
        <f>(M1334-M1330)/M1330</f>
        <v/>
      </c>
      <c r="P1330" s="4">
        <f>B1330-D1330</f>
        <v/>
      </c>
      <c r="Q1330" s="4">
        <f>AVERAGE(P1327:P1330)</f>
        <v/>
      </c>
      <c r="R1330" s="54">
        <f>(M1331-M1330)/M1330</f>
        <v/>
      </c>
      <c r="S1330" s="54">
        <f>(M1334-M1330)/M1330</f>
        <v/>
      </c>
      <c r="T1330" s="63">
        <f>IF(R1330&gt;0,1,"")</f>
        <v/>
      </c>
      <c r="U1330" s="63">
        <f>IF(S1330&gt;0,1,"")</f>
        <v/>
      </c>
    </row>
    <row r="1331">
      <c r="A1331" s="35" t="n">
        <v>41207</v>
      </c>
      <c r="B1331" s="4" t="n">
        <v>0.292453</v>
      </c>
      <c r="C1331" s="4" t="n">
        <v>0.27673</v>
      </c>
      <c r="D1331" s="4" t="n">
        <v>0.430818</v>
      </c>
      <c r="E1331" s="63" t="n">
        <v>1.000001</v>
      </c>
      <c r="F1331" s="63" t="n">
        <v>0.331824125</v>
      </c>
      <c r="G1331" s="63" t="n">
        <v>-0.138365</v>
      </c>
      <c r="H1331" s="63" t="n">
        <v>0.384907436629</v>
      </c>
      <c r="I1331" s="63" t="n">
        <v>0.48829287048</v>
      </c>
      <c r="J1331" s="63" t="n">
        <v>0.281522002778</v>
      </c>
      <c r="K1331" s="63" t="n">
        <v>1464.02</v>
      </c>
      <c r="L1331" s="63" t="n">
        <v>1407.1</v>
      </c>
      <c r="M1331" s="63" t="n">
        <v>1408.75</v>
      </c>
      <c r="N1331" s="54">
        <f>(M1332-M1331)/M1331</f>
        <v/>
      </c>
      <c r="O1331" s="54">
        <f>(M1335-M1331)/M1331</f>
        <v/>
      </c>
      <c r="P1331" s="4">
        <f>B1331-D1331</f>
        <v/>
      </c>
      <c r="Q1331" s="4">
        <f>AVERAGE(P1328:P1331)</f>
        <v/>
      </c>
      <c r="R1331" s="54">
        <f>(M1332-M1331)/M1331</f>
        <v/>
      </c>
      <c r="S1331" s="54">
        <f>(M1335-M1331)/M1331</f>
        <v/>
      </c>
      <c r="T1331" s="63">
        <f>IF(R1331&gt;0,1,"")</f>
        <v/>
      </c>
      <c r="U1331" s="63">
        <f>IF(S1331&gt;0,1,"")</f>
        <v/>
      </c>
    </row>
    <row r="1332">
      <c r="A1332" s="35" t="n">
        <v>41214</v>
      </c>
      <c r="B1332" s="4" t="n">
        <v>0.357377</v>
      </c>
      <c r="C1332" s="4" t="n">
        <v>0.232787</v>
      </c>
      <c r="D1332" s="4" t="n">
        <v>0.409836</v>
      </c>
      <c r="E1332" s="63" t="n">
        <v>1</v>
      </c>
      <c r="F1332" s="63" t="n">
        <v>0.335173875</v>
      </c>
      <c r="G1332" s="63" t="n">
        <v>-0.052459</v>
      </c>
      <c r="H1332" s="63" t="n">
        <v>0.384907436629</v>
      </c>
      <c r="I1332" s="63" t="n">
        <v>0.48829287048</v>
      </c>
      <c r="J1332" s="63" t="n">
        <v>0.281522002778</v>
      </c>
      <c r="K1332" s="63" t="n">
        <v>1457.34</v>
      </c>
      <c r="L1332" s="63" t="n">
        <v>1403.28</v>
      </c>
      <c r="M1332" s="63" t="n">
        <v>1412.16</v>
      </c>
      <c r="N1332" s="54">
        <f>(M1333-M1332)/M1332</f>
        <v/>
      </c>
      <c r="O1332" s="54">
        <f>(M1336-M1332)/M1332</f>
        <v/>
      </c>
      <c r="P1332" s="4">
        <f>B1332-D1332</f>
        <v/>
      </c>
      <c r="Q1332" s="4">
        <f>AVERAGE(P1329:P1332)</f>
        <v/>
      </c>
      <c r="R1332" s="54">
        <f>(M1333-M1332)/M1332</f>
        <v/>
      </c>
      <c r="S1332" s="54">
        <f>(M1336-M1332)/M1332</f>
        <v/>
      </c>
      <c r="T1332" s="63">
        <f>IF(R1332&gt;0,1,"")</f>
        <v/>
      </c>
      <c r="U1332" s="63">
        <f>IF(S1332&gt;0,1,"")</f>
        <v/>
      </c>
    </row>
    <row r="1333">
      <c r="A1333" s="35" t="n">
        <v>41221</v>
      </c>
      <c r="B1333" s="4" t="n">
        <v>0.384977</v>
      </c>
      <c r="C1333" s="4" t="n">
        <v>0.215962</v>
      </c>
      <c r="D1333" s="4" t="n">
        <v>0.399061</v>
      </c>
      <c r="E1333" s="63" t="n">
        <v>1</v>
      </c>
      <c r="F1333" s="63" t="n">
        <v>0.337723125</v>
      </c>
      <c r="G1333" s="63" t="n">
        <v>-0.014084</v>
      </c>
      <c r="H1333" s="63" t="n">
        <v>0.384907436629</v>
      </c>
      <c r="I1333" s="63" t="n">
        <v>0.48829287048</v>
      </c>
      <c r="J1333" s="63" t="n">
        <v>0.281522002778</v>
      </c>
      <c r="K1333" s="63" t="n">
        <v>1433.38</v>
      </c>
      <c r="L1333" s="63" t="n">
        <v>1388.14</v>
      </c>
      <c r="M1333" s="63" t="n">
        <v>1394.53</v>
      </c>
      <c r="N1333" s="54">
        <f>(M1334-M1333)/M1333</f>
        <v/>
      </c>
      <c r="O1333" s="54">
        <f>(M1337-M1333)/M1333</f>
        <v/>
      </c>
      <c r="P1333" s="4">
        <f>B1333-D1333</f>
        <v/>
      </c>
      <c r="Q1333" s="4">
        <f>AVERAGE(P1330:P1333)</f>
        <v/>
      </c>
      <c r="R1333" s="54">
        <f>(M1334-M1333)/M1333</f>
        <v/>
      </c>
      <c r="S1333" s="54">
        <f>(M1337-M1333)/M1333</f>
        <v/>
      </c>
      <c r="T1333" s="63">
        <f>IF(R1333&gt;0,1,"")</f>
        <v/>
      </c>
      <c r="U1333" s="63">
        <f>IF(S1333&gt;0,1,"")</f>
        <v/>
      </c>
    </row>
    <row r="1334">
      <c r="A1334" s="35" t="n">
        <v>41228</v>
      </c>
      <c r="B1334" s="4" t="n">
        <v>0.288235</v>
      </c>
      <c r="C1334" s="4" t="n">
        <v>0.223529</v>
      </c>
      <c r="D1334" s="4" t="n">
        <v>0.488235</v>
      </c>
      <c r="E1334" s="63" t="n">
        <v>0.999999</v>
      </c>
      <c r="F1334" s="63" t="n">
        <v>0.3268775</v>
      </c>
      <c r="G1334" s="63" t="n">
        <v>-0.2</v>
      </c>
      <c r="H1334" s="63" t="n">
        <v>0.384907436629</v>
      </c>
      <c r="I1334" s="63" t="n">
        <v>0.48829287048</v>
      </c>
      <c r="J1334" s="63" t="n">
        <v>0.281522002778</v>
      </c>
      <c r="K1334" s="63" t="n">
        <v>1433.38</v>
      </c>
      <c r="L1334" s="63" t="n">
        <v>1352.5</v>
      </c>
      <c r="M1334" s="63" t="n">
        <v>1355.49</v>
      </c>
      <c r="N1334" s="54">
        <f>(M1335-M1334)/M1334</f>
        <v/>
      </c>
      <c r="O1334" s="54">
        <f>(M1338-M1334)/M1334</f>
        <v/>
      </c>
      <c r="P1334" s="4">
        <f>B1334-D1334</f>
        <v/>
      </c>
      <c r="Q1334" s="4">
        <f>AVERAGE(P1331:P1334)</f>
        <v/>
      </c>
      <c r="R1334" s="54">
        <f>(M1335-M1334)/M1334</f>
        <v/>
      </c>
      <c r="S1334" s="54">
        <f>(M1338-M1334)/M1334</f>
        <v/>
      </c>
      <c r="T1334" s="63">
        <f>IF(R1334&gt;0,1,"")</f>
        <v/>
      </c>
      <c r="U1334" s="63">
        <f>IF(S1334&gt;0,1,"")</f>
        <v/>
      </c>
    </row>
    <row r="1335">
      <c r="A1335" s="35" t="n">
        <v>41235</v>
      </c>
      <c r="B1335" s="4" t="n">
        <v>0.358156</v>
      </c>
      <c r="C1335" s="4" t="n">
        <v>0.234043</v>
      </c>
      <c r="D1335" s="4" t="n">
        <v>0.407801</v>
      </c>
      <c r="E1335" s="63" t="n">
        <v>1</v>
      </c>
      <c r="F1335" s="63" t="n">
        <v>0.326520625</v>
      </c>
      <c r="G1335" s="63" t="n">
        <v>-0.049645</v>
      </c>
      <c r="H1335" s="63" t="n">
        <v>0.384907436629</v>
      </c>
      <c r="I1335" s="63" t="n">
        <v>0.48829287048</v>
      </c>
      <c r="J1335" s="63" t="n">
        <v>0.281522002778</v>
      </c>
      <c r="K1335" s="63" t="n">
        <v>1391.25</v>
      </c>
      <c r="L1335" s="63" t="n">
        <v>1343.35</v>
      </c>
      <c r="M1335" s="63" t="n">
        <v>1391.03</v>
      </c>
      <c r="N1335" s="54">
        <f>(M1336-M1335)/M1335</f>
        <v/>
      </c>
      <c r="O1335" s="54">
        <f>(M1339-M1335)/M1335</f>
        <v/>
      </c>
      <c r="P1335" s="4">
        <f>B1335-D1335</f>
        <v/>
      </c>
      <c r="Q1335" s="4">
        <f>AVERAGE(P1332:P1335)</f>
        <v/>
      </c>
      <c r="R1335" s="54">
        <f>(M1336-M1335)/M1335</f>
        <v/>
      </c>
      <c r="S1335" s="54">
        <f>(M1339-M1335)/M1335</f>
        <v/>
      </c>
      <c r="T1335" s="63">
        <f>IF(R1335&gt;0,1,"")</f>
        <v/>
      </c>
      <c r="U1335" s="63">
        <f>IF(S1335&gt;0,1,"")</f>
        <v/>
      </c>
    </row>
    <row r="1336">
      <c r="A1336" s="35" t="n">
        <v>41241</v>
      </c>
      <c r="B1336" s="4" t="n">
        <v>0.409266</v>
      </c>
      <c r="C1336" s="4" t="n">
        <v>0.247104</v>
      </c>
      <c r="D1336" s="4" t="n">
        <v>0.343629</v>
      </c>
      <c r="E1336" s="63" t="n">
        <v>0.999999</v>
      </c>
      <c r="F1336" s="63" t="n">
        <v>0.335352875</v>
      </c>
      <c r="G1336" s="63" t="n">
        <v>0.065637</v>
      </c>
      <c r="H1336" s="63" t="n">
        <v>0.384907436629</v>
      </c>
      <c r="I1336" s="63" t="n">
        <v>0.48829287048</v>
      </c>
      <c r="J1336" s="63" t="n">
        <v>0.281522002778</v>
      </c>
      <c r="K1336" s="63" t="n">
        <v>1409.15</v>
      </c>
      <c r="L1336" s="63" t="n">
        <v>1359.88</v>
      </c>
      <c r="M1336" s="63" t="n">
        <v>1409.93</v>
      </c>
      <c r="N1336" s="54">
        <f>(M1337-M1336)/M1336</f>
        <v/>
      </c>
      <c r="O1336" s="54">
        <f>(M1340-M1336)/M1336</f>
        <v/>
      </c>
      <c r="P1336" s="4">
        <f>B1336-D1336</f>
        <v/>
      </c>
      <c r="Q1336" s="4">
        <f>AVERAGE(P1333:P1336)</f>
        <v/>
      </c>
      <c r="R1336" s="54">
        <f>(M1337-M1336)/M1336</f>
        <v/>
      </c>
      <c r="S1336" s="54">
        <f>(M1340-M1336)/M1336</f>
        <v/>
      </c>
      <c r="T1336" s="63">
        <f>IF(R1336&gt;0,1,"")</f>
        <v/>
      </c>
      <c r="U1336" s="63">
        <f>IF(S1336&gt;0,1,"")</f>
        <v/>
      </c>
    </row>
    <row r="1337">
      <c r="A1337" s="35" t="n">
        <v>41249</v>
      </c>
      <c r="B1337" s="4" t="n">
        <v>0.422222</v>
      </c>
      <c r="C1337" s="4" t="n">
        <v>0.231746</v>
      </c>
      <c r="D1337" s="4" t="n">
        <v>0.346032</v>
      </c>
      <c r="E1337" s="63" t="n">
        <v>1</v>
      </c>
      <c r="F1337" s="63" t="n">
        <v>0.34991125</v>
      </c>
      <c r="G1337" s="63" t="n">
        <v>0.07618999999999999</v>
      </c>
      <c r="H1337" s="63" t="n">
        <v>0.384907436629</v>
      </c>
      <c r="I1337" s="63" t="n">
        <v>0.48829287048</v>
      </c>
      <c r="J1337" s="63" t="n">
        <v>0.281522002778</v>
      </c>
      <c r="K1337" s="63" t="n">
        <v>1416.34</v>
      </c>
      <c r="L1337" s="63" t="n">
        <v>1385.43</v>
      </c>
      <c r="M1337" s="63" t="n">
        <v>1409.28</v>
      </c>
      <c r="N1337" s="54">
        <f>(M1338-M1337)/M1337</f>
        <v/>
      </c>
      <c r="O1337" s="54">
        <f>(M1341-M1337)/M1337</f>
        <v/>
      </c>
      <c r="P1337" s="4">
        <f>B1337-D1337</f>
        <v/>
      </c>
      <c r="Q1337" s="4">
        <f>AVERAGE(P1334:P1337)</f>
        <v/>
      </c>
      <c r="R1337" s="54">
        <f>(M1338-M1337)/M1337</f>
        <v/>
      </c>
      <c r="S1337" s="54">
        <f>(M1341-M1337)/M1337</f>
        <v/>
      </c>
      <c r="T1337" s="63">
        <f>IF(R1337&gt;0,1,"")</f>
        <v/>
      </c>
      <c r="U1337" s="63">
        <f>IF(S1337&gt;0,1,"")</f>
        <v/>
      </c>
    </row>
    <row r="1338">
      <c r="A1338" s="35" t="n">
        <v>41256</v>
      </c>
      <c r="B1338" s="4" t="n">
        <v>0.432331</v>
      </c>
      <c r="C1338" s="4" t="n">
        <v>0.266917</v>
      </c>
      <c r="D1338" s="4" t="n">
        <v>0.300752</v>
      </c>
      <c r="E1338" s="63" t="n">
        <v>1</v>
      </c>
      <c r="F1338" s="63" t="n">
        <v>0.368127125</v>
      </c>
      <c r="G1338" s="63" t="n">
        <v>0.131579</v>
      </c>
      <c r="H1338" s="63" t="n">
        <v>0.384907436629</v>
      </c>
      <c r="I1338" s="63" t="n">
        <v>0.48829287048</v>
      </c>
      <c r="J1338" s="63" t="n">
        <v>0.281522002778</v>
      </c>
      <c r="K1338" s="63" t="n">
        <v>1438.59</v>
      </c>
      <c r="L1338" s="63" t="n">
        <v>1398.23</v>
      </c>
      <c r="M1338" s="63" t="n">
        <v>1428.48</v>
      </c>
      <c r="N1338" s="54">
        <f>(M1339-M1338)/M1338</f>
        <v/>
      </c>
      <c r="O1338" s="54">
        <f>(M1342-M1338)/M1338</f>
        <v/>
      </c>
      <c r="P1338" s="4">
        <f>B1338-D1338</f>
        <v/>
      </c>
      <c r="Q1338" s="4">
        <f>AVERAGE(P1335:P1338)</f>
        <v/>
      </c>
      <c r="R1338" s="54">
        <f>(M1339-M1338)/M1338</f>
        <v/>
      </c>
      <c r="S1338" s="54">
        <f>(M1342-M1338)/M1338</f>
        <v/>
      </c>
      <c r="T1338" s="63">
        <f>IF(R1338&gt;0,1,"")</f>
        <v/>
      </c>
      <c r="U1338" s="63">
        <f>IF(S1338&gt;0,1,"")</f>
        <v/>
      </c>
    </row>
    <row r="1339">
      <c r="A1339" s="35" t="n">
        <v>41263</v>
      </c>
      <c r="B1339" s="4" t="n">
        <v>0.464</v>
      </c>
      <c r="C1339" s="4" t="n">
        <v>0.288</v>
      </c>
      <c r="D1339" s="4" t="n">
        <v>0.248</v>
      </c>
      <c r="E1339" s="63" t="n">
        <v>1</v>
      </c>
      <c r="F1339" s="63" t="n">
        <v>0.3895705</v>
      </c>
      <c r="G1339" s="63" t="n">
        <v>0.216</v>
      </c>
      <c r="H1339" s="63" t="n">
        <v>0.384907436629</v>
      </c>
      <c r="I1339" s="63" t="n">
        <v>0.48829287048</v>
      </c>
      <c r="J1339" s="63" t="n">
        <v>0.281522002778</v>
      </c>
      <c r="K1339" s="63" t="n">
        <v>1448</v>
      </c>
      <c r="L1339" s="63" t="n">
        <v>1411.88</v>
      </c>
      <c r="M1339" s="63" t="n">
        <v>1435.81</v>
      </c>
      <c r="N1339" s="54">
        <f>(M1340-M1339)/M1339</f>
        <v/>
      </c>
      <c r="O1339" s="54">
        <f>(M1343-M1339)/M1339</f>
        <v/>
      </c>
      <c r="P1339" s="4">
        <f>B1339-D1339</f>
        <v/>
      </c>
      <c r="Q1339" s="4">
        <f>AVERAGE(P1336:P1339)</f>
        <v/>
      </c>
      <c r="R1339" s="54">
        <f>(M1340-M1339)/M1339</f>
        <v/>
      </c>
      <c r="S1339" s="54">
        <f>(M1343-M1339)/M1339</f>
        <v/>
      </c>
      <c r="T1339" s="63">
        <f>IF(R1339&gt;0,1,"")</f>
        <v/>
      </c>
      <c r="U1339" s="63">
        <f>IF(S1339&gt;0,1,"")</f>
        <v/>
      </c>
    </row>
    <row r="1340">
      <c r="A1340" s="35" t="n">
        <v>41270</v>
      </c>
      <c r="B1340" s="4" t="n">
        <v>0.44403</v>
      </c>
      <c r="C1340" s="4" t="n">
        <v>0.253731</v>
      </c>
      <c r="D1340" s="4" t="n">
        <v>0.302239</v>
      </c>
      <c r="E1340" s="63" t="n">
        <v>1</v>
      </c>
      <c r="F1340" s="63" t="n">
        <v>0.400402125</v>
      </c>
      <c r="G1340" s="63" t="n">
        <v>0.141791</v>
      </c>
      <c r="H1340" s="63" t="n">
        <v>0.384907436629</v>
      </c>
      <c r="I1340" s="63" t="n">
        <v>0.48829287048</v>
      </c>
      <c r="J1340" s="63" t="n">
        <v>0.281522002778</v>
      </c>
      <c r="K1340" s="63" t="n">
        <v>1443.7</v>
      </c>
      <c r="L1340" s="63" t="n">
        <v>1416.43</v>
      </c>
      <c r="M1340" s="63" t="n">
        <v>1419.83</v>
      </c>
      <c r="N1340" s="54">
        <f>(M1341-M1340)/M1340</f>
        <v/>
      </c>
      <c r="O1340" s="54">
        <f>(M1344-M1340)/M1340</f>
        <v/>
      </c>
      <c r="P1340" s="4">
        <f>B1340-D1340</f>
        <v/>
      </c>
      <c r="Q1340" s="4">
        <f>AVERAGE(P1337:P1340)</f>
        <v/>
      </c>
      <c r="R1340" s="54">
        <f>(M1341-M1340)/M1340</f>
        <v/>
      </c>
      <c r="S1340" s="54">
        <f>(M1344-M1340)/M1340</f>
        <v/>
      </c>
      <c r="T1340" s="63">
        <f>IF(R1340&gt;0,1,"")</f>
        <v/>
      </c>
      <c r="U1340" s="63">
        <f>IF(S1340&gt;0,1,"")</f>
        <v/>
      </c>
    </row>
    <row r="1341">
      <c r="A1341" s="35" t="n">
        <v>41277</v>
      </c>
      <c r="B1341" s="4" t="n">
        <v>0.387097</v>
      </c>
      <c r="C1341" s="4" t="n">
        <v>0.250896</v>
      </c>
      <c r="D1341" s="4" t="n">
        <v>0.362007</v>
      </c>
      <c r="E1341" s="63" t="n">
        <v>1</v>
      </c>
      <c r="F1341" s="63" t="n">
        <v>0.400667125</v>
      </c>
      <c r="G1341" s="63" t="n">
        <v>0.02509</v>
      </c>
      <c r="H1341" s="63" t="n">
        <v>0.384907436629</v>
      </c>
      <c r="I1341" s="63" t="n">
        <v>0.48829287048</v>
      </c>
      <c r="J1341" s="63" t="n">
        <v>0.281522002778</v>
      </c>
      <c r="K1341" s="63" t="n">
        <v>1462.43</v>
      </c>
      <c r="L1341" s="63" t="n">
        <v>1398.11</v>
      </c>
      <c r="M1341" s="63" t="n">
        <v>1462.42</v>
      </c>
      <c r="N1341" s="54">
        <f>(M1342-M1341)/M1341</f>
        <v/>
      </c>
      <c r="O1341" s="54">
        <f>(M1345-M1341)/M1341</f>
        <v/>
      </c>
      <c r="P1341" s="4">
        <f>B1341-D1341</f>
        <v/>
      </c>
      <c r="Q1341" s="4">
        <f>AVERAGE(P1338:P1341)</f>
        <v/>
      </c>
      <c r="R1341" s="54">
        <f>(M1342-M1341)/M1341</f>
        <v/>
      </c>
      <c r="S1341" s="54">
        <f>(M1345-M1341)/M1341</f>
        <v/>
      </c>
      <c r="T1341" s="63">
        <f>IF(R1341&gt;0,1,"")</f>
        <v/>
      </c>
      <c r="U1341" s="63">
        <f>IF(S1341&gt;0,1,"")</f>
        <v/>
      </c>
    </row>
    <row r="1342">
      <c r="A1342" s="35" t="n">
        <v>41284</v>
      </c>
      <c r="B1342" s="4" t="n">
        <v>0.464497</v>
      </c>
      <c r="C1342" s="4" t="n">
        <v>0.266272</v>
      </c>
      <c r="D1342" s="4" t="n">
        <v>0.269231</v>
      </c>
      <c r="E1342" s="63" t="n">
        <v>1</v>
      </c>
      <c r="F1342" s="63" t="n">
        <v>0.422699875</v>
      </c>
      <c r="G1342" s="63" t="n">
        <v>0.195266</v>
      </c>
      <c r="H1342" s="63" t="n">
        <v>0.384907436629</v>
      </c>
      <c r="I1342" s="63" t="n">
        <v>0.48829287048</v>
      </c>
      <c r="J1342" s="63" t="n">
        <v>0.281522002778</v>
      </c>
      <c r="K1342" s="63" t="n">
        <v>1467.94</v>
      </c>
      <c r="L1342" s="63" t="n">
        <v>1398.11</v>
      </c>
      <c r="M1342" s="63" t="n">
        <v>1461.02</v>
      </c>
      <c r="N1342" s="54">
        <f>(M1343-M1342)/M1342</f>
        <v/>
      </c>
      <c r="O1342" s="54">
        <f>(M1346-M1342)/M1342</f>
        <v/>
      </c>
      <c r="P1342" s="4">
        <f>B1342-D1342</f>
        <v/>
      </c>
      <c r="Q1342" s="4">
        <f>AVERAGE(P1339:P1342)</f>
        <v/>
      </c>
      <c r="R1342" s="54">
        <f>(M1343-M1342)/M1342</f>
        <v/>
      </c>
      <c r="S1342" s="54">
        <f>(M1346-M1342)/M1342</f>
        <v/>
      </c>
      <c r="T1342" s="63">
        <f>IF(R1342&gt;0,1,"")</f>
        <v/>
      </c>
      <c r="U1342" s="63">
        <f>IF(S1342&gt;0,1,"")</f>
        <v/>
      </c>
    </row>
    <row r="1343">
      <c r="A1343" s="35" t="n">
        <v>41291</v>
      </c>
      <c r="B1343" s="4" t="n">
        <v>0.439437</v>
      </c>
      <c r="C1343" s="4" t="n">
        <v>0.287324</v>
      </c>
      <c r="D1343" s="4" t="n">
        <v>0.273239</v>
      </c>
      <c r="E1343" s="63" t="n">
        <v>1</v>
      </c>
      <c r="F1343" s="63" t="n">
        <v>0.43286</v>
      </c>
      <c r="G1343" s="63" t="n">
        <v>0.166198</v>
      </c>
      <c r="H1343" s="63" t="n">
        <v>0.384907436629</v>
      </c>
      <c r="I1343" s="63" t="n">
        <v>0.48829287048</v>
      </c>
      <c r="J1343" s="63" t="n">
        <v>0.281522002778</v>
      </c>
      <c r="K1343" s="63" t="n">
        <v>1473.96</v>
      </c>
      <c r="L1343" s="63" t="n">
        <v>1451.64</v>
      </c>
      <c r="M1343" s="63" t="n">
        <v>1472.63</v>
      </c>
      <c r="N1343" s="54">
        <f>(M1344-M1343)/M1343</f>
        <v/>
      </c>
      <c r="O1343" s="54">
        <f>(M1347-M1343)/M1343</f>
        <v/>
      </c>
      <c r="P1343" s="4">
        <f>B1343-D1343</f>
        <v/>
      </c>
      <c r="Q1343" s="4">
        <f>AVERAGE(P1340:P1343)</f>
        <v/>
      </c>
      <c r="R1343" s="54">
        <f>(M1344-M1343)/M1343</f>
        <v/>
      </c>
      <c r="S1343" s="54">
        <f>(M1347-M1343)/M1343</f>
        <v/>
      </c>
      <c r="T1343" s="63">
        <f>IF(R1343&gt;0,1,"")</f>
        <v/>
      </c>
      <c r="U1343" s="63">
        <f>IF(S1343&gt;0,1,"")</f>
        <v/>
      </c>
    </row>
    <row r="1344">
      <c r="A1344" s="35" t="n">
        <v>41298</v>
      </c>
      <c r="B1344" s="4" t="n">
        <v>0.523392</v>
      </c>
      <c r="C1344" s="4" t="n">
        <v>0.233918</v>
      </c>
      <c r="D1344" s="4" t="n">
        <v>0.24269</v>
      </c>
      <c r="E1344" s="63" t="n">
        <v>1</v>
      </c>
      <c r="F1344" s="63" t="n">
        <v>0.44712575</v>
      </c>
      <c r="G1344" s="63" t="n">
        <v>0.280702</v>
      </c>
      <c r="H1344" s="63" t="n">
        <v>0.384907436629</v>
      </c>
      <c r="I1344" s="63" t="n">
        <v>0.48829287048</v>
      </c>
      <c r="J1344" s="63" t="n">
        <v>0.281522002778</v>
      </c>
      <c r="K1344" s="63" t="n">
        <v>1496.13</v>
      </c>
      <c r="L1344" s="63" t="n">
        <v>1463.76</v>
      </c>
      <c r="M1344" s="63" t="n">
        <v>1494.81</v>
      </c>
      <c r="N1344" s="54">
        <f>(M1345-M1344)/M1344</f>
        <v/>
      </c>
      <c r="O1344" s="54">
        <f>(M1348-M1344)/M1344</f>
        <v/>
      </c>
      <c r="P1344" s="4">
        <f>B1344-D1344</f>
        <v/>
      </c>
      <c r="Q1344" s="4">
        <f>AVERAGE(P1341:P1344)</f>
        <v/>
      </c>
      <c r="R1344" s="54">
        <f>(M1345-M1344)/M1344</f>
        <v/>
      </c>
      <c r="S1344" s="54">
        <f>(M1348-M1344)/M1344</f>
        <v/>
      </c>
      <c r="T1344" s="63">
        <f>IF(R1344&gt;0,1,"")</f>
        <v/>
      </c>
      <c r="U1344" s="63">
        <f>IF(S1344&gt;0,1,"")</f>
        <v/>
      </c>
    </row>
    <row r="1345">
      <c r="A1345" s="35" t="n">
        <v>41305</v>
      </c>
      <c r="B1345" s="4" t="n">
        <v>0.480447</v>
      </c>
      <c r="C1345" s="4" t="n">
        <v>0.276536</v>
      </c>
      <c r="D1345" s="4" t="n">
        <v>0.243017</v>
      </c>
      <c r="E1345" s="63" t="n">
        <v>1</v>
      </c>
      <c r="F1345" s="63" t="n">
        <v>0.454403875</v>
      </c>
      <c r="G1345" s="63" t="n">
        <v>0.23743</v>
      </c>
      <c r="H1345" s="63" t="n">
        <v>0.384907436629</v>
      </c>
      <c r="I1345" s="63" t="n">
        <v>0.48829287048</v>
      </c>
      <c r="J1345" s="63" t="n">
        <v>0.281522002778</v>
      </c>
      <c r="K1345" s="63" t="n">
        <v>1509.94</v>
      </c>
      <c r="L1345" s="63" t="n">
        <v>1481.16</v>
      </c>
      <c r="M1345" s="63" t="n">
        <v>1501.96</v>
      </c>
      <c r="N1345" s="54">
        <f>(M1346-M1345)/M1345</f>
        <v/>
      </c>
      <c r="O1345" s="54">
        <f>(M1349-M1345)/M1345</f>
        <v/>
      </c>
      <c r="P1345" s="4">
        <f>B1345-D1345</f>
        <v/>
      </c>
      <c r="Q1345" s="4">
        <f>AVERAGE(P1342:P1345)</f>
        <v/>
      </c>
      <c r="R1345" s="54">
        <f>(M1346-M1345)/M1345</f>
        <v/>
      </c>
      <c r="S1345" s="54">
        <f>(M1349-M1345)/M1345</f>
        <v/>
      </c>
      <c r="T1345" s="63">
        <f>IF(R1345&gt;0,1,"")</f>
        <v/>
      </c>
      <c r="U1345" s="63">
        <f>IF(S1345&gt;0,1,"")</f>
        <v/>
      </c>
    </row>
    <row r="1346">
      <c r="A1346" s="35" t="n">
        <v>41312</v>
      </c>
      <c r="B1346" s="4" t="n">
        <v>0.427673</v>
      </c>
      <c r="C1346" s="4" t="n">
        <v>0.27673</v>
      </c>
      <c r="D1346" s="4" t="n">
        <v>0.295597</v>
      </c>
      <c r="E1346" s="63" t="n">
        <v>1</v>
      </c>
      <c r="F1346" s="63" t="n">
        <v>0.453821625</v>
      </c>
      <c r="G1346" s="63" t="n">
        <v>0.132076</v>
      </c>
      <c r="H1346" s="63" t="n">
        <v>0.384907436629</v>
      </c>
      <c r="I1346" s="63" t="n">
        <v>0.48829287048</v>
      </c>
      <c r="J1346" s="63" t="n">
        <v>0.281522002778</v>
      </c>
      <c r="K1346" s="63" t="n">
        <v>1514.96</v>
      </c>
      <c r="L1346" s="63" t="n">
        <v>1495.02</v>
      </c>
      <c r="M1346" s="63" t="n">
        <v>1512.12</v>
      </c>
      <c r="N1346" s="54">
        <f>(M1347-M1346)/M1346</f>
        <v/>
      </c>
      <c r="O1346" s="54">
        <f>(M1350-M1346)/M1346</f>
        <v/>
      </c>
      <c r="P1346" s="4">
        <f>B1346-D1346</f>
        <v/>
      </c>
      <c r="Q1346" s="4">
        <f>AVERAGE(P1343:P1346)</f>
        <v/>
      </c>
      <c r="R1346" s="54">
        <f>(M1347-M1346)/M1346</f>
        <v/>
      </c>
      <c r="S1346" s="54">
        <f>(M1350-M1346)/M1346</f>
        <v/>
      </c>
      <c r="T1346" s="63">
        <f>IF(R1346&gt;0,1,"")</f>
        <v/>
      </c>
      <c r="U1346" s="63">
        <f>IF(S1346&gt;0,1,"")</f>
        <v/>
      </c>
    </row>
    <row r="1347">
      <c r="A1347" s="35" t="n">
        <v>41319</v>
      </c>
      <c r="B1347" s="4" t="n">
        <v>0.422535</v>
      </c>
      <c r="C1347" s="4" t="n">
        <v>0.290141</v>
      </c>
      <c r="D1347" s="4" t="n">
        <v>0.287324</v>
      </c>
      <c r="E1347" s="63" t="n">
        <v>1</v>
      </c>
      <c r="F1347" s="63" t="n">
        <v>0.4486385</v>
      </c>
      <c r="G1347" s="63" t="n">
        <v>0.135211</v>
      </c>
      <c r="H1347" s="63" t="n">
        <v>0.384907436629</v>
      </c>
      <c r="I1347" s="63" t="n">
        <v>0.48829287048</v>
      </c>
      <c r="J1347" s="63" t="n">
        <v>0.281522002778</v>
      </c>
      <c r="K1347" s="63" t="n">
        <v>1524.69</v>
      </c>
      <c r="L1347" s="63" t="n">
        <v>1495.71</v>
      </c>
      <c r="M1347" s="63" t="n">
        <v>1520.33</v>
      </c>
      <c r="N1347" s="54">
        <f>(M1348-M1347)/M1347</f>
        <v/>
      </c>
      <c r="O1347" s="54">
        <f>(M1351-M1347)/M1347</f>
        <v/>
      </c>
      <c r="P1347" s="4">
        <f>B1347-D1347</f>
        <v/>
      </c>
      <c r="Q1347" s="4">
        <f>AVERAGE(P1344:P1347)</f>
        <v/>
      </c>
      <c r="R1347" s="54">
        <f>(M1348-M1347)/M1347</f>
        <v/>
      </c>
      <c r="S1347" s="54">
        <f>(M1351-M1347)/M1347</f>
        <v/>
      </c>
      <c r="T1347" s="63">
        <f>IF(R1347&gt;0,1,"")</f>
        <v/>
      </c>
      <c r="U1347" s="63">
        <f>IF(S1347&gt;0,1,"")</f>
        <v/>
      </c>
    </row>
    <row r="1348">
      <c r="A1348" s="35" t="n">
        <v>41326</v>
      </c>
      <c r="B1348" s="4" t="n">
        <v>0.417857</v>
      </c>
      <c r="C1348" s="4" t="n">
        <v>0.257143</v>
      </c>
      <c r="D1348" s="4" t="n">
        <v>0.325</v>
      </c>
      <c r="E1348" s="63" t="n">
        <v>1</v>
      </c>
      <c r="F1348" s="63" t="n">
        <v>0.445366875</v>
      </c>
      <c r="G1348" s="63" t="n">
        <v>0.092857</v>
      </c>
      <c r="H1348" s="63" t="n">
        <v>0.384907436629</v>
      </c>
      <c r="I1348" s="63" t="n">
        <v>0.48829287048</v>
      </c>
      <c r="J1348" s="63" t="n">
        <v>0.281522002778</v>
      </c>
      <c r="K1348" s="63" t="n">
        <v>1530.94</v>
      </c>
      <c r="L1348" s="63" t="n">
        <v>1511.41</v>
      </c>
      <c r="M1348" s="63" t="n">
        <v>1511.95</v>
      </c>
      <c r="N1348" s="54">
        <f>(M1349-M1348)/M1348</f>
        <v/>
      </c>
      <c r="O1348" s="54">
        <f>(M1352-M1348)/M1348</f>
        <v/>
      </c>
      <c r="P1348" s="4">
        <f>B1348-D1348</f>
        <v/>
      </c>
      <c r="Q1348" s="4">
        <f>AVERAGE(P1345:P1348)</f>
        <v/>
      </c>
      <c r="R1348" s="54">
        <f>(M1349-M1348)/M1348</f>
        <v/>
      </c>
      <c r="S1348" s="54">
        <f>(M1352-M1348)/M1348</f>
        <v/>
      </c>
      <c r="T1348" s="63">
        <f>IF(R1348&gt;0,1,"")</f>
        <v/>
      </c>
      <c r="U1348" s="63">
        <f>IF(S1348&gt;0,1,"")</f>
        <v/>
      </c>
    </row>
    <row r="1349">
      <c r="A1349" s="35" t="n">
        <v>41333</v>
      </c>
      <c r="B1349" s="4" t="n">
        <v>0.283912</v>
      </c>
      <c r="C1349" s="4" t="n">
        <v>0.350158</v>
      </c>
      <c r="D1349" s="4" t="n">
        <v>0.365931</v>
      </c>
      <c r="E1349" s="63" t="n">
        <v>1.000001</v>
      </c>
      <c r="F1349" s="63" t="n">
        <v>0.43246875</v>
      </c>
      <c r="G1349" s="63" t="n">
        <v>-0.08201899999999999</v>
      </c>
      <c r="H1349" s="63" t="n">
        <v>0.384907436629</v>
      </c>
      <c r="I1349" s="63" t="n">
        <v>0.48829287048</v>
      </c>
      <c r="J1349" s="63" t="n">
        <v>0.281522002778</v>
      </c>
      <c r="K1349" s="63" t="n">
        <v>1530.94</v>
      </c>
      <c r="L1349" s="63" t="n">
        <v>1485.01</v>
      </c>
      <c r="M1349" s="63" t="n">
        <v>1515.99</v>
      </c>
      <c r="N1349" s="54">
        <f>(M1350-M1349)/M1349</f>
        <v/>
      </c>
      <c r="O1349" s="54">
        <f>(M1353-M1349)/M1349</f>
        <v/>
      </c>
      <c r="P1349" s="4">
        <f>B1349-D1349</f>
        <v/>
      </c>
      <c r="Q1349" s="4">
        <f>AVERAGE(P1346:P1349)</f>
        <v/>
      </c>
      <c r="R1349" s="54">
        <f>(M1350-M1349)/M1349</f>
        <v/>
      </c>
      <c r="S1349" s="54">
        <f>(M1353-M1349)/M1349</f>
        <v/>
      </c>
      <c r="T1349" s="63">
        <f>IF(R1349&gt;0,1,"")</f>
        <v/>
      </c>
      <c r="U1349" s="63">
        <f>IF(S1349&gt;0,1,"")</f>
        <v/>
      </c>
    </row>
    <row r="1350">
      <c r="A1350" s="35" t="n">
        <v>41340</v>
      </c>
      <c r="B1350" s="4" t="n">
        <v>0.310559</v>
      </c>
      <c r="C1350" s="4" t="n">
        <v>0.304348</v>
      </c>
      <c r="D1350" s="4" t="n">
        <v>0.385093</v>
      </c>
      <c r="E1350" s="63" t="n">
        <v>1</v>
      </c>
      <c r="F1350" s="63" t="n">
        <v>0.4132265</v>
      </c>
      <c r="G1350" s="63" t="n">
        <v>-0.074534</v>
      </c>
      <c r="H1350" s="63" t="n">
        <v>0.384907436629</v>
      </c>
      <c r="I1350" s="63" t="n">
        <v>0.48829287048</v>
      </c>
      <c r="J1350" s="63" t="n">
        <v>0.281522002778</v>
      </c>
      <c r="K1350" s="63" t="n">
        <v>1545.25</v>
      </c>
      <c r="L1350" s="63" t="n">
        <v>1485.01</v>
      </c>
      <c r="M1350" s="63" t="n">
        <v>1541.46</v>
      </c>
      <c r="N1350" s="54">
        <f>(M1351-M1350)/M1350</f>
        <v/>
      </c>
      <c r="O1350" s="54">
        <f>(M1354-M1350)/M1350</f>
        <v/>
      </c>
      <c r="P1350" s="4">
        <f>B1350-D1350</f>
        <v/>
      </c>
      <c r="Q1350" s="4">
        <f>AVERAGE(P1347:P1350)</f>
        <v/>
      </c>
      <c r="R1350" s="54">
        <f>(M1351-M1350)/M1350</f>
        <v/>
      </c>
      <c r="S1350" s="54">
        <f>(M1354-M1350)/M1350</f>
        <v/>
      </c>
      <c r="T1350" s="63">
        <f>IF(R1350&gt;0,1,"")</f>
        <v/>
      </c>
      <c r="U1350" s="63">
        <f>IF(S1350&gt;0,1,"")</f>
        <v/>
      </c>
    </row>
    <row r="1351">
      <c r="A1351" s="35" t="n">
        <v>41347</v>
      </c>
      <c r="B1351" s="4" t="n">
        <v>0.4542</v>
      </c>
      <c r="C1351" s="4" t="n">
        <v>0.2255</v>
      </c>
      <c r="D1351" s="4" t="n">
        <v>0.3203</v>
      </c>
      <c r="E1351" s="63" t="n">
        <v>1</v>
      </c>
      <c r="F1351" s="63" t="n">
        <v>0.415071875</v>
      </c>
      <c r="G1351" s="63" t="n">
        <v>0.1339</v>
      </c>
      <c r="H1351" s="63" t="n">
        <v>0.384907436629</v>
      </c>
      <c r="I1351" s="63" t="n">
        <v>0.48829287048</v>
      </c>
      <c r="J1351" s="63" t="n">
        <v>0.281522002778</v>
      </c>
      <c r="K1351" s="63" t="n">
        <v>1556.77</v>
      </c>
      <c r="L1351" s="63" t="n">
        <v>1541.46</v>
      </c>
      <c r="M1351" s="63" t="n">
        <v>1554.52</v>
      </c>
      <c r="N1351" s="54">
        <f>(M1352-M1351)/M1351</f>
        <v/>
      </c>
      <c r="O1351" s="54">
        <f>(M1355-M1351)/M1351</f>
        <v/>
      </c>
      <c r="P1351" s="4">
        <f>B1351-D1351</f>
        <v/>
      </c>
      <c r="Q1351" s="4">
        <f>AVERAGE(P1348:P1351)</f>
        <v/>
      </c>
      <c r="R1351" s="54">
        <f>(M1352-M1351)/M1351</f>
        <v/>
      </c>
      <c r="S1351" s="54">
        <f>(M1355-M1351)/M1351</f>
        <v/>
      </c>
      <c r="T1351" s="63">
        <f>IF(R1351&gt;0,1,"")</f>
        <v/>
      </c>
      <c r="U1351" s="63">
        <f>IF(S1351&gt;0,1,"")</f>
        <v/>
      </c>
    </row>
    <row r="1352">
      <c r="A1352" s="35" t="n">
        <v>41354</v>
      </c>
      <c r="B1352" s="4" t="n">
        <v>0.389439</v>
      </c>
      <c r="C1352" s="4" t="n">
        <v>0.277228</v>
      </c>
      <c r="D1352" s="4" t="n">
        <v>0.333333</v>
      </c>
      <c r="E1352" s="63" t="n">
        <v>1</v>
      </c>
      <c r="F1352" s="63" t="n">
        <v>0.39832775</v>
      </c>
      <c r="G1352" s="63" t="n">
        <v>0.056106</v>
      </c>
      <c r="H1352" s="63" t="n">
        <v>0.384907436629</v>
      </c>
      <c r="I1352" s="63" t="n">
        <v>0.48829287048</v>
      </c>
      <c r="J1352" s="63" t="n">
        <v>0.281522002778</v>
      </c>
      <c r="K1352" s="63" t="n">
        <v>1563.62</v>
      </c>
      <c r="L1352" s="63" t="n">
        <v>1538.57</v>
      </c>
      <c r="M1352" s="63" t="n">
        <v>1558.71</v>
      </c>
      <c r="N1352" s="54">
        <f>(M1353-M1352)/M1352</f>
        <v/>
      </c>
      <c r="O1352" s="54">
        <f>(M1356-M1352)/M1352</f>
        <v/>
      </c>
      <c r="P1352" s="4">
        <f>B1352-D1352</f>
        <v/>
      </c>
      <c r="Q1352" s="4">
        <f>AVERAGE(P1349:P1352)</f>
        <v/>
      </c>
      <c r="R1352" s="54">
        <f>(M1353-M1352)/M1352</f>
        <v/>
      </c>
      <c r="S1352" s="54">
        <f>(M1356-M1352)/M1352</f>
        <v/>
      </c>
      <c r="T1352" s="63">
        <f>IF(R1352&gt;0,1,"")</f>
        <v/>
      </c>
      <c r="U1352" s="63">
        <f>IF(S1352&gt;0,1,"")</f>
        <v/>
      </c>
    </row>
    <row r="1353">
      <c r="A1353" s="35" t="n">
        <v>41361</v>
      </c>
      <c r="B1353" s="4" t="n">
        <v>0.383954</v>
      </c>
      <c r="C1353" s="4" t="n">
        <v>0.329513</v>
      </c>
      <c r="D1353" s="4" t="n">
        <v>0.286533</v>
      </c>
      <c r="E1353" s="63" t="n">
        <v>1</v>
      </c>
      <c r="F1353" s="63" t="n">
        <v>0.386266125</v>
      </c>
      <c r="G1353" s="63" t="n">
        <v>0.09742099999999999</v>
      </c>
      <c r="H1353" s="63" t="n">
        <v>0.384907436629</v>
      </c>
      <c r="I1353" s="63" t="n">
        <v>0.48829287048</v>
      </c>
      <c r="J1353" s="63" t="n">
        <v>0.281522002778</v>
      </c>
      <c r="K1353" s="63" t="n">
        <v>1564.91</v>
      </c>
      <c r="L1353" s="63" t="n">
        <v>1538.57</v>
      </c>
      <c r="M1353" s="63" t="n">
        <v>1562.85</v>
      </c>
      <c r="N1353" s="54">
        <f>(M1354-M1353)/M1353</f>
        <v/>
      </c>
      <c r="O1353" s="54">
        <f>(M1357-M1353)/M1353</f>
        <v/>
      </c>
      <c r="P1353" s="4">
        <f>B1353-D1353</f>
        <v/>
      </c>
      <c r="Q1353" s="4">
        <f>AVERAGE(P1350:P1353)</f>
        <v/>
      </c>
      <c r="R1353" s="54">
        <f>(M1354-M1353)/M1353</f>
        <v/>
      </c>
      <c r="S1353" s="54">
        <f>(M1357-M1353)/M1353</f>
        <v/>
      </c>
      <c r="T1353" s="63">
        <f>IF(R1353&gt;0,1,"")</f>
        <v/>
      </c>
      <c r="U1353" s="63">
        <f>IF(S1353&gt;0,1,"")</f>
        <v/>
      </c>
    </row>
    <row r="1354">
      <c r="A1354" s="35" t="n">
        <v>41368</v>
      </c>
      <c r="B1354" s="4" t="n">
        <v>0.35493</v>
      </c>
      <c r="C1354" s="4" t="n">
        <v>0.36338</v>
      </c>
      <c r="D1354" s="4" t="n">
        <v>0.28169</v>
      </c>
      <c r="E1354" s="63" t="n">
        <v>1</v>
      </c>
      <c r="F1354" s="63" t="n">
        <v>0.37717325</v>
      </c>
      <c r="G1354" s="63" t="n">
        <v>0.07324</v>
      </c>
      <c r="H1354" s="63" t="n">
        <v>0.384907436629</v>
      </c>
      <c r="I1354" s="63" t="n">
        <v>0.48829287048</v>
      </c>
      <c r="J1354" s="63" t="n">
        <v>0.281522002778</v>
      </c>
      <c r="K1354" s="63" t="n">
        <v>1573.66</v>
      </c>
      <c r="L1354" s="63" t="n">
        <v>1546.22</v>
      </c>
      <c r="M1354" s="63" t="n">
        <v>1553.69</v>
      </c>
      <c r="N1354" s="54">
        <f>(M1355-M1354)/M1354</f>
        <v/>
      </c>
      <c r="O1354" s="54">
        <f>(M1358-M1354)/M1354</f>
        <v/>
      </c>
      <c r="P1354" s="4">
        <f>B1354-D1354</f>
        <v/>
      </c>
      <c r="Q1354" s="4">
        <f>AVERAGE(P1351:P1354)</f>
        <v/>
      </c>
      <c r="R1354" s="54">
        <f>(M1355-M1354)/M1354</f>
        <v/>
      </c>
      <c r="S1354" s="54">
        <f>(M1358-M1354)/M1354</f>
        <v/>
      </c>
      <c r="T1354" s="63">
        <f>IF(R1354&gt;0,1,"")</f>
        <v/>
      </c>
      <c r="U1354" s="63">
        <f>IF(S1354&gt;0,1,"")</f>
        <v/>
      </c>
    </row>
    <row r="1355">
      <c r="A1355" s="35" t="n">
        <v>41375</v>
      </c>
      <c r="B1355" s="4" t="n">
        <v>0.193103</v>
      </c>
      <c r="C1355" s="4" t="n">
        <v>0.262069</v>
      </c>
      <c r="D1355" s="4" t="n">
        <v>0.544828</v>
      </c>
      <c r="E1355" s="63" t="n">
        <v>1</v>
      </c>
      <c r="F1355" s="63" t="n">
        <v>0.34849425</v>
      </c>
      <c r="G1355" s="63" t="n">
        <v>-0.351725</v>
      </c>
      <c r="H1355" s="63" t="n">
        <v>0.384907436629</v>
      </c>
      <c r="I1355" s="63" t="n">
        <v>0.48829287048</v>
      </c>
      <c r="J1355" s="63" t="n">
        <v>0.281522002778</v>
      </c>
      <c r="K1355" s="63" t="n">
        <v>1589.07</v>
      </c>
      <c r="L1355" s="63" t="n">
        <v>1539.5</v>
      </c>
      <c r="M1355" s="63" t="n">
        <v>1587.73</v>
      </c>
      <c r="N1355" s="54">
        <f>(M1356-M1355)/M1355</f>
        <v/>
      </c>
      <c r="O1355" s="54">
        <f>(M1359-M1355)/M1355</f>
        <v/>
      </c>
      <c r="P1355" s="4">
        <f>B1355-D1355</f>
        <v/>
      </c>
      <c r="Q1355" s="4">
        <f>AVERAGE(P1352:P1355)</f>
        <v/>
      </c>
      <c r="R1355" s="54">
        <f>(M1356-M1355)/M1355</f>
        <v/>
      </c>
      <c r="S1355" s="54">
        <f>(M1359-M1355)/M1355</f>
        <v/>
      </c>
      <c r="T1355" s="63">
        <f>IF(R1355&gt;0,1,"")</f>
        <v/>
      </c>
      <c r="U1355" s="63">
        <f>IF(S1355&gt;0,1,"")</f>
        <v/>
      </c>
    </row>
    <row r="1356">
      <c r="A1356" s="35" t="n">
        <v>41382</v>
      </c>
      <c r="B1356" s="4" t="n">
        <v>0.268493</v>
      </c>
      <c r="C1356" s="4" t="n">
        <v>0.249315</v>
      </c>
      <c r="D1356" s="4" t="n">
        <v>0.482192</v>
      </c>
      <c r="E1356" s="63" t="n">
        <v>1</v>
      </c>
      <c r="F1356" s="63" t="n">
        <v>0.32982375</v>
      </c>
      <c r="G1356" s="63" t="n">
        <v>-0.213699</v>
      </c>
      <c r="H1356" s="63" t="n">
        <v>0.384907436629</v>
      </c>
      <c r="I1356" s="63" t="n">
        <v>0.48829287048</v>
      </c>
      <c r="J1356" s="63" t="n">
        <v>0.281522002778</v>
      </c>
      <c r="K1356" s="63" t="n">
        <v>1597.35</v>
      </c>
      <c r="L1356" s="63" t="n">
        <v>1543.69</v>
      </c>
      <c r="M1356" s="63" t="n">
        <v>1552.01</v>
      </c>
      <c r="N1356" s="54">
        <f>(M1357-M1356)/M1356</f>
        <v/>
      </c>
      <c r="O1356" s="54">
        <f>(M1360-M1356)/M1356</f>
        <v/>
      </c>
      <c r="P1356" s="4">
        <f>B1356-D1356</f>
        <v/>
      </c>
      <c r="Q1356" s="4">
        <f>AVERAGE(P1353:P1356)</f>
        <v/>
      </c>
      <c r="R1356" s="54">
        <f>(M1357-M1356)/M1356</f>
        <v/>
      </c>
      <c r="S1356" s="54">
        <f>(M1360-M1356)/M1356</f>
        <v/>
      </c>
      <c r="T1356" s="63">
        <f>IF(R1356&gt;0,1,"")</f>
        <v/>
      </c>
      <c r="U1356" s="63">
        <f>IF(S1356&gt;0,1,"")</f>
        <v/>
      </c>
    </row>
    <row r="1357">
      <c r="A1357" s="35" t="n">
        <v>41389</v>
      </c>
      <c r="B1357" s="4" t="n">
        <v>0.282895</v>
      </c>
      <c r="C1357" s="4" t="n">
        <v>0.328947</v>
      </c>
      <c r="D1357" s="4" t="n">
        <v>0.388158</v>
      </c>
      <c r="E1357" s="63" t="n">
        <v>1</v>
      </c>
      <c r="F1357" s="63" t="n">
        <v>0.329696625</v>
      </c>
      <c r="G1357" s="63" t="n">
        <v>-0.105263</v>
      </c>
      <c r="H1357" s="63" t="n">
        <v>0.384907436629</v>
      </c>
      <c r="I1357" s="63" t="n">
        <v>0.48829287048</v>
      </c>
      <c r="J1357" s="63" t="n">
        <v>0.281522002778</v>
      </c>
      <c r="K1357" s="63" t="n">
        <v>1583</v>
      </c>
      <c r="L1357" s="63" t="n">
        <v>1536.03</v>
      </c>
      <c r="M1357" s="63" t="n">
        <v>1578.79</v>
      </c>
      <c r="N1357" s="54">
        <f>(M1358-M1357)/M1357</f>
        <v/>
      </c>
      <c r="O1357" s="54">
        <f>(M1361-M1357)/M1357</f>
        <v/>
      </c>
      <c r="P1357" s="4">
        <f>B1357-D1357</f>
        <v/>
      </c>
      <c r="Q1357" s="4">
        <f>AVERAGE(P1354:P1357)</f>
        <v/>
      </c>
      <c r="R1357" s="54">
        <f>(M1358-M1357)/M1357</f>
        <v/>
      </c>
      <c r="S1357" s="54">
        <f>(M1361-M1357)/M1357</f>
        <v/>
      </c>
      <c r="T1357" s="63">
        <f>IF(R1357&gt;0,1,"")</f>
        <v/>
      </c>
      <c r="U1357" s="63">
        <f>IF(S1357&gt;0,1,"")</f>
        <v/>
      </c>
    </row>
    <row r="1358">
      <c r="A1358" s="35" t="n">
        <v>41396</v>
      </c>
      <c r="B1358" s="4" t="n">
        <v>0.309859</v>
      </c>
      <c r="C1358" s="4" t="n">
        <v>0.330986</v>
      </c>
      <c r="D1358" s="4" t="n">
        <v>0.359155</v>
      </c>
      <c r="E1358" s="63" t="n">
        <v>1</v>
      </c>
      <c r="F1358" s="63" t="n">
        <v>0.329609125</v>
      </c>
      <c r="G1358" s="63" t="n">
        <v>-0.049296</v>
      </c>
      <c r="H1358" s="63" t="n">
        <v>0.384907436629</v>
      </c>
      <c r="I1358" s="63" t="n">
        <v>0.48829287048</v>
      </c>
      <c r="J1358" s="63" t="n">
        <v>0.281522002778</v>
      </c>
      <c r="K1358" s="63" t="n">
        <v>1597.57</v>
      </c>
      <c r="L1358" s="63" t="n">
        <v>1562.5</v>
      </c>
      <c r="M1358" s="63" t="n">
        <v>1582.7</v>
      </c>
      <c r="N1358" s="54">
        <f>(M1359-M1358)/M1358</f>
        <v/>
      </c>
      <c r="O1358" s="54">
        <f>(M1362-M1358)/M1358</f>
        <v/>
      </c>
      <c r="P1358" s="4">
        <f>B1358-D1358</f>
        <v/>
      </c>
      <c r="Q1358" s="4">
        <f>AVERAGE(P1355:P1358)</f>
        <v/>
      </c>
      <c r="R1358" s="54">
        <f>(M1359-M1358)/M1358</f>
        <v/>
      </c>
      <c r="S1358" s="54">
        <f>(M1362-M1358)/M1358</f>
        <v/>
      </c>
      <c r="T1358" s="63">
        <f>IF(R1358&gt;0,1,"")</f>
        <v/>
      </c>
      <c r="U1358" s="63">
        <f>IF(S1358&gt;0,1,"")</f>
        <v/>
      </c>
    </row>
    <row r="1359">
      <c r="A1359" s="35" t="n">
        <v>41403</v>
      </c>
      <c r="B1359" s="4" t="n">
        <v>0.407942</v>
      </c>
      <c r="C1359" s="4" t="n">
        <v>0.31769</v>
      </c>
      <c r="D1359" s="4" t="n">
        <v>0.274368</v>
      </c>
      <c r="E1359" s="63" t="n">
        <v>1</v>
      </c>
      <c r="F1359" s="63" t="n">
        <v>0.323826875</v>
      </c>
      <c r="G1359" s="63" t="n">
        <v>0.133574</v>
      </c>
      <c r="H1359" s="63" t="n">
        <v>0.384907436629</v>
      </c>
      <c r="I1359" s="63" t="n">
        <v>0.48829287048</v>
      </c>
      <c r="J1359" s="63" t="n">
        <v>0.281522002778</v>
      </c>
      <c r="K1359" s="63" t="n">
        <v>1632.78</v>
      </c>
      <c r="L1359" s="63" t="n">
        <v>1581.28</v>
      </c>
      <c r="M1359" s="63" t="n">
        <v>1632.69</v>
      </c>
      <c r="N1359" s="54">
        <f>(M1360-M1359)/M1359</f>
        <v/>
      </c>
      <c r="O1359" s="54">
        <f>(M1363-M1359)/M1359</f>
        <v/>
      </c>
      <c r="P1359" s="4">
        <f>B1359-D1359</f>
        <v/>
      </c>
      <c r="Q1359" s="4">
        <f>AVERAGE(P1356:P1359)</f>
        <v/>
      </c>
      <c r="R1359" s="54">
        <f>(M1360-M1359)/M1359</f>
        <v/>
      </c>
      <c r="S1359" s="54">
        <f>(M1363-M1359)/M1359</f>
        <v/>
      </c>
      <c r="T1359" s="63">
        <f>IF(R1359&gt;0,1,"")</f>
        <v/>
      </c>
      <c r="U1359" s="63">
        <f>IF(S1359&gt;0,1,"")</f>
        <v/>
      </c>
    </row>
    <row r="1360">
      <c r="A1360" s="35" t="n">
        <v>41410</v>
      </c>
      <c r="B1360" s="4" t="n">
        <v>0.384858</v>
      </c>
      <c r="C1360" s="4" t="n">
        <v>0.321767</v>
      </c>
      <c r="D1360" s="4" t="n">
        <v>0.293375</v>
      </c>
      <c r="E1360" s="63" t="n">
        <v>1</v>
      </c>
      <c r="F1360" s="63" t="n">
        <v>0.32325425</v>
      </c>
      <c r="G1360" s="63" t="n">
        <v>0.09148299999999999</v>
      </c>
      <c r="H1360" s="63" t="n">
        <v>0.384907436629</v>
      </c>
      <c r="I1360" s="63" t="n">
        <v>0.48829287048</v>
      </c>
      <c r="J1360" s="63" t="n">
        <v>0.281522002778</v>
      </c>
      <c r="K1360" s="63" t="n">
        <v>1661.49</v>
      </c>
      <c r="L1360" s="63" t="n">
        <v>1616.64</v>
      </c>
      <c r="M1360" s="63" t="n">
        <v>1658.78</v>
      </c>
      <c r="N1360" s="54">
        <f>(M1361-M1360)/M1360</f>
        <v/>
      </c>
      <c r="O1360" s="54">
        <f>(M1364-M1360)/M1360</f>
        <v/>
      </c>
      <c r="P1360" s="4">
        <f>B1360-D1360</f>
        <v/>
      </c>
      <c r="Q1360" s="4">
        <f>AVERAGE(P1357:P1360)</f>
        <v/>
      </c>
      <c r="R1360" s="54">
        <f>(M1361-M1360)/M1360</f>
        <v/>
      </c>
      <c r="S1360" s="54">
        <f>(M1364-M1360)/M1360</f>
        <v/>
      </c>
      <c r="T1360" s="63">
        <f>IF(R1360&gt;0,1,"")</f>
        <v/>
      </c>
      <c r="U1360" s="63">
        <f>IF(S1360&gt;0,1,"")</f>
        <v/>
      </c>
    </row>
    <row r="1361">
      <c r="A1361" s="35" t="n">
        <v>41417</v>
      </c>
      <c r="B1361" s="4" t="n">
        <v>0.489726</v>
      </c>
      <c r="C1361" s="4" t="n">
        <v>0.294521</v>
      </c>
      <c r="D1361" s="4" t="n">
        <v>0.215753</v>
      </c>
      <c r="E1361" s="63" t="n">
        <v>1</v>
      </c>
      <c r="F1361" s="63" t="n">
        <v>0.33647575</v>
      </c>
      <c r="G1361" s="63" t="n">
        <v>0.273973</v>
      </c>
      <c r="H1361" s="63" t="n">
        <v>0.384907436629</v>
      </c>
      <c r="I1361" s="63" t="n">
        <v>0.48829287048</v>
      </c>
      <c r="J1361" s="63" t="n">
        <v>0.281522002778</v>
      </c>
      <c r="K1361" s="63" t="n">
        <v>1687.18</v>
      </c>
      <c r="L1361" s="63" t="n">
        <v>1633.75</v>
      </c>
      <c r="M1361" s="63" t="n">
        <v>1655.35</v>
      </c>
      <c r="N1361" s="54">
        <f>(M1362-M1361)/M1361</f>
        <v/>
      </c>
      <c r="O1361" s="54">
        <f>(M1365-M1361)/M1361</f>
        <v/>
      </c>
      <c r="P1361" s="4">
        <f>B1361-D1361</f>
        <v/>
      </c>
      <c r="Q1361" s="4">
        <f>AVERAGE(P1358:P1361)</f>
        <v/>
      </c>
      <c r="R1361" s="54">
        <f>(M1362-M1361)/M1361</f>
        <v/>
      </c>
      <c r="S1361" s="54">
        <f>(M1365-M1361)/M1361</f>
        <v/>
      </c>
      <c r="T1361" s="63">
        <f>IF(R1361&gt;0,1,"")</f>
        <v/>
      </c>
      <c r="U1361" s="63">
        <f>IF(S1361&gt;0,1,"")</f>
        <v/>
      </c>
    </row>
    <row r="1362">
      <c r="A1362" s="35" t="n">
        <v>41424</v>
      </c>
      <c r="B1362" s="4" t="n">
        <v>0.359684</v>
      </c>
      <c r="C1362" s="4" t="n">
        <v>0.343874</v>
      </c>
      <c r="D1362" s="4" t="n">
        <v>0.296443</v>
      </c>
      <c r="E1362" s="63" t="n">
        <v>1.000001</v>
      </c>
      <c r="F1362" s="63" t="n">
        <v>0.33707</v>
      </c>
      <c r="G1362" s="63" t="n">
        <v>0.06324100000000001</v>
      </c>
      <c r="H1362" s="63" t="n">
        <v>0.384907436629</v>
      </c>
      <c r="I1362" s="63" t="n">
        <v>0.48829287048</v>
      </c>
      <c r="J1362" s="63" t="n">
        <v>0.281522002778</v>
      </c>
      <c r="K1362" s="63" t="n">
        <v>1663.52</v>
      </c>
      <c r="L1362" s="63" t="n">
        <v>1636.42</v>
      </c>
      <c r="M1362" s="63" t="n">
        <v>1648.36</v>
      </c>
      <c r="N1362" s="54">
        <f>(M1363-M1362)/M1362</f>
        <v/>
      </c>
      <c r="O1362" s="54">
        <f>(M1366-M1362)/M1362</f>
        <v/>
      </c>
      <c r="P1362" s="4">
        <f>B1362-D1362</f>
        <v/>
      </c>
      <c r="Q1362" s="4">
        <f>AVERAGE(P1359:P1362)</f>
        <v/>
      </c>
      <c r="R1362" s="54">
        <f>(M1363-M1362)/M1362</f>
        <v/>
      </c>
      <c r="S1362" s="54">
        <f>(M1366-M1362)/M1362</f>
        <v/>
      </c>
      <c r="T1362" s="63">
        <f>IF(R1362&gt;0,1,"")</f>
        <v/>
      </c>
      <c r="U1362" s="63">
        <f>IF(S1362&gt;0,1,"")</f>
        <v/>
      </c>
    </row>
    <row r="1363">
      <c r="A1363" s="35" t="n">
        <v>41431</v>
      </c>
      <c r="B1363" s="4" t="n">
        <v>0.294737</v>
      </c>
      <c r="C1363" s="4" t="n">
        <v>0.315789</v>
      </c>
      <c r="D1363" s="4" t="n">
        <v>0.389474</v>
      </c>
      <c r="E1363" s="63" t="n">
        <v>1</v>
      </c>
      <c r="F1363" s="63" t="n">
        <v>0.34977425</v>
      </c>
      <c r="G1363" s="63" t="n">
        <v>-0.094737</v>
      </c>
      <c r="H1363" s="63" t="n">
        <v>0.384907436629</v>
      </c>
      <c r="I1363" s="63" t="n">
        <v>0.48829287048</v>
      </c>
      <c r="J1363" s="63" t="n">
        <v>0.281522002778</v>
      </c>
      <c r="K1363" s="63" t="n">
        <v>1674.21</v>
      </c>
      <c r="L1363" s="63" t="n">
        <v>1607.09</v>
      </c>
      <c r="M1363" s="63" t="n">
        <v>1608.9</v>
      </c>
      <c r="N1363" s="54">
        <f>(M1364-M1363)/M1363</f>
        <v/>
      </c>
      <c r="O1363" s="54">
        <f>(M1367-M1363)/M1363</f>
        <v/>
      </c>
      <c r="P1363" s="4">
        <f>B1363-D1363</f>
        <v/>
      </c>
      <c r="Q1363" s="4">
        <f>AVERAGE(P1360:P1363)</f>
        <v/>
      </c>
      <c r="R1363" s="54">
        <f>(M1364-M1363)/M1363</f>
        <v/>
      </c>
      <c r="S1363" s="54">
        <f>(M1367-M1363)/M1363</f>
        <v/>
      </c>
      <c r="T1363" s="63">
        <f>IF(R1363&gt;0,1,"")</f>
        <v/>
      </c>
      <c r="U1363" s="63">
        <f>IF(S1363&gt;0,1,"")</f>
        <v/>
      </c>
    </row>
    <row r="1364">
      <c r="A1364" s="35" t="n">
        <v>41438</v>
      </c>
      <c r="B1364" s="4" t="n">
        <v>0.32973</v>
      </c>
      <c r="C1364" s="4" t="n">
        <v>0.324324</v>
      </c>
      <c r="D1364" s="4" t="n">
        <v>0.345946</v>
      </c>
      <c r="E1364" s="63" t="n">
        <v>1</v>
      </c>
      <c r="F1364" s="63" t="n">
        <v>0.357428875</v>
      </c>
      <c r="G1364" s="63" t="n">
        <v>-0.016216</v>
      </c>
      <c r="H1364" s="63" t="n">
        <v>0.384907436629</v>
      </c>
      <c r="I1364" s="63" t="n">
        <v>0.48829287048</v>
      </c>
      <c r="J1364" s="63" t="n">
        <v>0.281522002778</v>
      </c>
      <c r="K1364" s="63" t="n">
        <v>1648.69</v>
      </c>
      <c r="L1364" s="63" t="n">
        <v>1598.23</v>
      </c>
      <c r="M1364" s="63" t="n">
        <v>1612.52</v>
      </c>
      <c r="N1364" s="54">
        <f>(M1365-M1364)/M1364</f>
        <v/>
      </c>
      <c r="O1364" s="54">
        <f>(M1368-M1364)/M1364</f>
        <v/>
      </c>
      <c r="P1364" s="4">
        <f>B1364-D1364</f>
        <v/>
      </c>
      <c r="Q1364" s="4">
        <f>AVERAGE(P1361:P1364)</f>
        <v/>
      </c>
      <c r="R1364" s="54">
        <f>(M1365-M1364)/M1364</f>
        <v/>
      </c>
      <c r="S1364" s="54">
        <f>(M1368-M1364)/M1364</f>
        <v/>
      </c>
      <c r="T1364" s="63">
        <f>IF(R1364&gt;0,1,"")</f>
        <v/>
      </c>
      <c r="U1364" s="63">
        <f>IF(S1364&gt;0,1,"")</f>
        <v/>
      </c>
    </row>
    <row r="1365">
      <c r="A1365" s="35" t="n">
        <v>41445</v>
      </c>
      <c r="B1365" s="4" t="n">
        <v>0.374532</v>
      </c>
      <c r="C1365" s="4" t="n">
        <v>0.325843</v>
      </c>
      <c r="D1365" s="4" t="n">
        <v>0.299625</v>
      </c>
      <c r="E1365" s="63" t="n">
        <v>1</v>
      </c>
      <c r="F1365" s="63" t="n">
        <v>0.3688835</v>
      </c>
      <c r="G1365" s="63" t="n">
        <v>0.074907</v>
      </c>
      <c r="H1365" s="63" t="n">
        <v>0.384907436629</v>
      </c>
      <c r="I1365" s="63" t="n">
        <v>0.48829287048</v>
      </c>
      <c r="J1365" s="63" t="n">
        <v>0.281522002778</v>
      </c>
      <c r="K1365" s="63" t="n">
        <v>1654.19</v>
      </c>
      <c r="L1365" s="63" t="n">
        <v>1608.07</v>
      </c>
      <c r="M1365" s="63" t="n">
        <v>1628.93</v>
      </c>
      <c r="N1365" s="54">
        <f>(M1366-M1365)/M1365</f>
        <v/>
      </c>
      <c r="O1365" s="54">
        <f>(M1369-M1365)/M1365</f>
        <v/>
      </c>
      <c r="P1365" s="4">
        <f>B1365-D1365</f>
        <v/>
      </c>
      <c r="Q1365" s="4">
        <f>AVERAGE(P1362:P1365)</f>
        <v/>
      </c>
      <c r="R1365" s="54">
        <f>(M1366-M1365)/M1365</f>
        <v/>
      </c>
      <c r="S1365" s="54">
        <f>(M1369-M1365)/M1365</f>
        <v/>
      </c>
      <c r="T1365" s="63">
        <f>IF(R1365&gt;0,1,"")</f>
        <v/>
      </c>
      <c r="U1365" s="63">
        <f>IF(S1365&gt;0,1,"")</f>
        <v/>
      </c>
    </row>
    <row r="1366">
      <c r="A1366" s="35" t="n">
        <v>41452</v>
      </c>
      <c r="B1366" s="4" t="n">
        <v>0.302752</v>
      </c>
      <c r="C1366" s="4" t="n">
        <v>0.345566</v>
      </c>
      <c r="D1366" s="4" t="n">
        <v>0.351682</v>
      </c>
      <c r="E1366" s="63" t="n">
        <v>1</v>
      </c>
      <c r="F1366" s="63" t="n">
        <v>0.367995125</v>
      </c>
      <c r="G1366" s="63" t="n">
        <v>-0.04893</v>
      </c>
      <c r="H1366" s="63" t="n">
        <v>0.384907436629</v>
      </c>
      <c r="I1366" s="63" t="n">
        <v>0.48829287048</v>
      </c>
      <c r="J1366" s="63" t="n">
        <v>0.281522002778</v>
      </c>
      <c r="K1366" s="63" t="n">
        <v>1654.19</v>
      </c>
      <c r="L1366" s="63" t="n">
        <v>1560.33</v>
      </c>
      <c r="M1366" s="63" t="n">
        <v>1603.26</v>
      </c>
      <c r="N1366" s="54">
        <f>(M1367-M1366)/M1366</f>
        <v/>
      </c>
      <c r="O1366" s="54">
        <f>(M1370-M1366)/M1366</f>
        <v/>
      </c>
      <c r="P1366" s="4">
        <f>B1366-D1366</f>
        <v/>
      </c>
      <c r="Q1366" s="4">
        <f>AVERAGE(P1363:P1366)</f>
        <v/>
      </c>
      <c r="R1366" s="54">
        <f>(M1367-M1366)/M1366</f>
        <v/>
      </c>
      <c r="S1366" s="54">
        <f>(M1370-M1366)/M1366</f>
        <v/>
      </c>
      <c r="T1366" s="63">
        <f>IF(R1366&gt;0,1,"")</f>
        <v/>
      </c>
      <c r="U1366" s="63">
        <f>IF(S1366&gt;0,1,"")</f>
        <v/>
      </c>
    </row>
    <row r="1367">
      <c r="A1367" s="35" t="n">
        <v>41459</v>
      </c>
      <c r="B1367" s="4" t="n">
        <v>0.419929</v>
      </c>
      <c r="C1367" s="4" t="n">
        <v>0.341637</v>
      </c>
      <c r="D1367" s="4" t="n">
        <v>0.238434</v>
      </c>
      <c r="E1367" s="63" t="n">
        <v>1</v>
      </c>
      <c r="F1367" s="63" t="n">
        <v>0.3694935</v>
      </c>
      <c r="G1367" s="63" t="n">
        <v>0.181495</v>
      </c>
      <c r="H1367" s="63" t="n">
        <v>0.384907436629</v>
      </c>
      <c r="I1367" s="63" t="n">
        <v>0.48829287048</v>
      </c>
      <c r="J1367" s="63" t="n">
        <v>0.281522002778</v>
      </c>
      <c r="K1367" s="63" t="n">
        <v>1632.07</v>
      </c>
      <c r="L1367" s="63" t="n">
        <v>1592.27</v>
      </c>
      <c r="M1367" s="63" t="n">
        <v>1631.89</v>
      </c>
      <c r="N1367" s="54">
        <f>(M1368-M1367)/M1367</f>
        <v/>
      </c>
      <c r="O1367" s="54">
        <f>(M1371-M1367)/M1367</f>
        <v/>
      </c>
      <c r="P1367" s="4">
        <f>B1367-D1367</f>
        <v/>
      </c>
      <c r="Q1367" s="4">
        <f>AVERAGE(P1364:P1367)</f>
        <v/>
      </c>
      <c r="R1367" s="54">
        <f>(M1368-M1367)/M1367</f>
        <v/>
      </c>
      <c r="S1367" s="54">
        <f>(M1371-M1367)/M1367</f>
        <v/>
      </c>
      <c r="T1367" s="63">
        <f>IF(R1367&gt;0,1,"")</f>
        <v/>
      </c>
      <c r="U1367" s="63">
        <f>IF(S1367&gt;0,1,"")</f>
        <v/>
      </c>
    </row>
    <row r="1368">
      <c r="A1368" s="35" t="n">
        <v>41466</v>
      </c>
      <c r="B1368" s="4" t="n">
        <v>0.489362</v>
      </c>
      <c r="C1368" s="4" t="n">
        <v>0.32766</v>
      </c>
      <c r="D1368" s="4" t="n">
        <v>0.182979</v>
      </c>
      <c r="E1368" s="63" t="n">
        <v>1.000001</v>
      </c>
      <c r="F1368" s="63" t="n">
        <v>0.3825565</v>
      </c>
      <c r="G1368" s="63" t="n">
        <v>0.306383</v>
      </c>
      <c r="H1368" s="63" t="n">
        <v>0.384907436629</v>
      </c>
      <c r="I1368" s="63" t="n">
        <v>0.48829287048</v>
      </c>
      <c r="J1368" s="63" t="n">
        <v>0.281522002778</v>
      </c>
      <c r="K1368" s="63" t="n">
        <v>1657.92</v>
      </c>
      <c r="L1368" s="63" t="n">
        <v>1604.57</v>
      </c>
      <c r="M1368" s="63" t="n">
        <v>1652.62</v>
      </c>
      <c r="N1368" s="54">
        <f>(M1369-M1368)/M1368</f>
        <v/>
      </c>
      <c r="O1368" s="54">
        <f>(M1372-M1368)/M1368</f>
        <v/>
      </c>
      <c r="P1368" s="4">
        <f>B1368-D1368</f>
        <v/>
      </c>
      <c r="Q1368" s="4">
        <f>AVERAGE(P1365:P1368)</f>
        <v/>
      </c>
      <c r="R1368" s="54">
        <f>(M1369-M1368)/M1368</f>
        <v/>
      </c>
      <c r="S1368" s="54">
        <f>(M1372-M1368)/M1368</f>
        <v/>
      </c>
      <c r="T1368" s="63">
        <f>IF(R1368&gt;0,1,"")</f>
        <v/>
      </c>
      <c r="U1368" s="63">
        <f>IF(S1368&gt;0,1,"")</f>
        <v/>
      </c>
    </row>
    <row r="1369">
      <c r="A1369" s="35" t="n">
        <v>41473</v>
      </c>
      <c r="B1369" s="4" t="n">
        <v>0.477352</v>
      </c>
      <c r="C1369" s="4" t="n">
        <v>0.310105</v>
      </c>
      <c r="D1369" s="4" t="n">
        <v>0.212544</v>
      </c>
      <c r="E1369" s="63" t="n">
        <v>1.000001</v>
      </c>
      <c r="F1369" s="63" t="n">
        <v>0.38100975</v>
      </c>
      <c r="G1369" s="63" t="n">
        <v>0.264808</v>
      </c>
      <c r="H1369" s="63" t="n">
        <v>0.384907436629</v>
      </c>
      <c r="I1369" s="63" t="n">
        <v>0.48829287048</v>
      </c>
      <c r="J1369" s="63" t="n">
        <v>0.281522002778</v>
      </c>
      <c r="K1369" s="63" t="n">
        <v>1684.75</v>
      </c>
      <c r="L1369" s="63" t="n">
        <v>1642.89</v>
      </c>
      <c r="M1369" s="63" t="n">
        <v>1680.91</v>
      </c>
      <c r="N1369" s="54">
        <f>(M1370-M1369)/M1369</f>
        <v/>
      </c>
      <c r="O1369" s="54">
        <f>(M1373-M1369)/M1369</f>
        <v/>
      </c>
      <c r="P1369" s="4">
        <f>B1369-D1369</f>
        <v/>
      </c>
      <c r="Q1369" s="4">
        <f>AVERAGE(P1366:P1369)</f>
        <v/>
      </c>
      <c r="R1369" s="54">
        <f>(M1370-M1369)/M1369</f>
        <v/>
      </c>
      <c r="S1369" s="54">
        <f>(M1373-M1369)/M1369</f>
        <v/>
      </c>
      <c r="T1369" s="63">
        <f>IF(R1369&gt;0,1,"")</f>
        <v/>
      </c>
      <c r="U1369" s="63">
        <f>IF(S1369&gt;0,1,"")</f>
        <v/>
      </c>
    </row>
    <row r="1370">
      <c r="A1370" s="35" t="n">
        <v>41480</v>
      </c>
      <c r="B1370" s="4" t="n">
        <v>0.451178</v>
      </c>
      <c r="C1370" s="4" t="n">
        <v>0.323232</v>
      </c>
      <c r="D1370" s="4" t="n">
        <v>0.225589</v>
      </c>
      <c r="E1370" s="63" t="n">
        <v>0.999999</v>
      </c>
      <c r="F1370" s="63" t="n">
        <v>0.3924465</v>
      </c>
      <c r="G1370" s="63" t="n">
        <v>0.225589</v>
      </c>
      <c r="H1370" s="63" t="n">
        <v>0.384907436629</v>
      </c>
      <c r="I1370" s="63" t="n">
        <v>0.48829287048</v>
      </c>
      <c r="J1370" s="63" t="n">
        <v>0.281522002778</v>
      </c>
      <c r="K1370" s="63" t="n">
        <v>1698.78</v>
      </c>
      <c r="L1370" s="63" t="n">
        <v>1671.84</v>
      </c>
      <c r="M1370" s="63" t="n">
        <v>1685.94</v>
      </c>
      <c r="N1370" s="54">
        <f>(M1371-M1370)/M1370</f>
        <v/>
      </c>
      <c r="O1370" s="54">
        <f>(M1374-M1370)/M1370</f>
        <v/>
      </c>
      <c r="P1370" s="4">
        <f>B1370-D1370</f>
        <v/>
      </c>
      <c r="Q1370" s="4">
        <f>AVERAGE(P1367:P1370)</f>
        <v/>
      </c>
      <c r="R1370" s="54">
        <f>(M1371-M1370)/M1370</f>
        <v/>
      </c>
      <c r="S1370" s="54">
        <f>(M1374-M1370)/M1370</f>
        <v/>
      </c>
      <c r="T1370" s="63">
        <f>IF(R1370&gt;0,1,"")</f>
        <v/>
      </c>
      <c r="U1370" s="63">
        <f>IF(S1370&gt;0,1,"")</f>
        <v/>
      </c>
    </row>
    <row r="1371">
      <c r="A1371" s="35" t="n">
        <v>41487</v>
      </c>
      <c r="B1371" s="4" t="n">
        <v>0.356164</v>
      </c>
      <c r="C1371" s="4" t="n">
        <v>0.393836</v>
      </c>
      <c r="D1371" s="4" t="n">
        <v>0.25</v>
      </c>
      <c r="E1371" s="63" t="n">
        <v>1</v>
      </c>
      <c r="F1371" s="63" t="n">
        <v>0.400124875</v>
      </c>
      <c r="G1371" s="63" t="n">
        <v>0.106164</v>
      </c>
      <c r="H1371" s="63" t="n">
        <v>0.384907436629</v>
      </c>
      <c r="I1371" s="63" t="n">
        <v>0.48829287048</v>
      </c>
      <c r="J1371" s="63" t="n">
        <v>0.281522002778</v>
      </c>
      <c r="K1371" s="63" t="n">
        <v>1698.78</v>
      </c>
      <c r="L1371" s="63" t="n">
        <v>1676.03</v>
      </c>
      <c r="M1371" s="63" t="n">
        <v>1685.73</v>
      </c>
      <c r="N1371" s="54">
        <f>(M1372-M1371)/M1371</f>
        <v/>
      </c>
      <c r="O1371" s="54">
        <f>(M1375-M1371)/M1371</f>
        <v/>
      </c>
      <c r="P1371" s="4">
        <f>B1371-D1371</f>
        <v/>
      </c>
      <c r="Q1371" s="4">
        <f>AVERAGE(P1368:P1371)</f>
        <v/>
      </c>
      <c r="R1371" s="54">
        <f>(M1372-M1371)/M1371</f>
        <v/>
      </c>
      <c r="S1371" s="54">
        <f>(M1375-M1371)/M1371</f>
        <v/>
      </c>
      <c r="T1371" s="63">
        <f>IF(R1371&gt;0,1,"")</f>
        <v/>
      </c>
      <c r="U1371" s="63">
        <f>IF(S1371&gt;0,1,"")</f>
        <v/>
      </c>
    </row>
    <row r="1372">
      <c r="A1372" s="35" t="n">
        <v>41494</v>
      </c>
      <c r="B1372" s="4" t="n">
        <v>0.394984</v>
      </c>
      <c r="C1372" s="4" t="n">
        <v>0.338558</v>
      </c>
      <c r="D1372" s="4" t="n">
        <v>0.266458</v>
      </c>
      <c r="E1372" s="63" t="n">
        <v>1</v>
      </c>
      <c r="F1372" s="63" t="n">
        <v>0.408281625</v>
      </c>
      <c r="G1372" s="63" t="n">
        <v>0.128526</v>
      </c>
      <c r="H1372" s="63" t="n">
        <v>0.384907436629</v>
      </c>
      <c r="I1372" s="63" t="n">
        <v>0.48829287048</v>
      </c>
      <c r="J1372" s="63" t="n">
        <v>0.281522002778</v>
      </c>
      <c r="K1372" s="63" t="n">
        <v>1709.67</v>
      </c>
      <c r="L1372" s="63" t="n">
        <v>1682.42</v>
      </c>
      <c r="M1372" s="63" t="n">
        <v>1690.91</v>
      </c>
      <c r="N1372" s="54">
        <f>(M1373-M1372)/M1372</f>
        <v/>
      </c>
      <c r="O1372" s="54">
        <f>(M1376-M1372)/M1372</f>
        <v/>
      </c>
      <c r="P1372" s="4">
        <f>B1372-D1372</f>
        <v/>
      </c>
      <c r="Q1372" s="4">
        <f>AVERAGE(P1369:P1372)</f>
        <v/>
      </c>
      <c r="R1372" s="54">
        <f>(M1373-M1372)/M1372</f>
        <v/>
      </c>
      <c r="S1372" s="54">
        <f>(M1376-M1372)/M1372</f>
        <v/>
      </c>
      <c r="T1372" s="63">
        <f>IF(R1372&gt;0,1,"")</f>
        <v/>
      </c>
      <c r="U1372" s="63">
        <f>IF(S1372&gt;0,1,"")</f>
        <v/>
      </c>
    </row>
    <row r="1373">
      <c r="A1373" s="35" t="n">
        <v>41501</v>
      </c>
      <c r="B1373" s="4" t="n">
        <v>0.34507</v>
      </c>
      <c r="C1373" s="4" t="n">
        <v>0.373239</v>
      </c>
      <c r="D1373" s="4" t="n">
        <v>0.28169</v>
      </c>
      <c r="E1373" s="63" t="n">
        <v>0.999999</v>
      </c>
      <c r="F1373" s="63" t="n">
        <v>0.404598875</v>
      </c>
      <c r="G1373" s="63" t="n">
        <v>0.06338000000000001</v>
      </c>
      <c r="H1373" s="63" t="n">
        <v>0.384907436629</v>
      </c>
      <c r="I1373" s="63" t="n">
        <v>0.48829287048</v>
      </c>
      <c r="J1373" s="63" t="n">
        <v>0.281522002778</v>
      </c>
      <c r="K1373" s="63" t="n">
        <v>1705.79</v>
      </c>
      <c r="L1373" s="63" t="n">
        <v>1682.62</v>
      </c>
      <c r="M1373" s="63" t="n">
        <v>1685.39</v>
      </c>
      <c r="N1373" s="54">
        <f>(M1374-M1373)/M1373</f>
        <v/>
      </c>
      <c r="O1373" s="54">
        <f>(M1377-M1373)/M1373</f>
        <v/>
      </c>
      <c r="P1373" s="4">
        <f>B1373-D1373</f>
        <v/>
      </c>
      <c r="Q1373" s="4">
        <f>AVERAGE(P1370:P1373)</f>
        <v/>
      </c>
      <c r="R1373" s="54">
        <f>(M1374-M1373)/M1373</f>
        <v/>
      </c>
      <c r="S1373" s="54">
        <f>(M1377-M1373)/M1373</f>
        <v/>
      </c>
      <c r="T1373" s="63">
        <f>IF(R1373&gt;0,1,"")</f>
        <v/>
      </c>
      <c r="U1373" s="63">
        <f>IF(S1373&gt;0,1,"")</f>
        <v/>
      </c>
    </row>
    <row r="1374">
      <c r="A1374" s="35" t="n">
        <v>41508</v>
      </c>
      <c r="B1374" s="4" t="n">
        <v>0.289575</v>
      </c>
      <c r="C1374" s="4" t="n">
        <v>0.281853</v>
      </c>
      <c r="D1374" s="4" t="n">
        <v>0.428571</v>
      </c>
      <c r="E1374" s="63" t="n">
        <v>0.999999</v>
      </c>
      <c r="F1374" s="63" t="n">
        <v>0.40295175</v>
      </c>
      <c r="G1374" s="63" t="n">
        <v>-0.138996</v>
      </c>
      <c r="H1374" s="63" t="n">
        <v>0.384907436629</v>
      </c>
      <c r="I1374" s="63" t="n">
        <v>0.48829287048</v>
      </c>
      <c r="J1374" s="63" t="n">
        <v>0.281522002778</v>
      </c>
      <c r="K1374" s="63" t="n">
        <v>1696.81</v>
      </c>
      <c r="L1374" s="63" t="n">
        <v>1639.43</v>
      </c>
      <c r="M1374" s="63" t="n">
        <v>1642.8</v>
      </c>
      <c r="N1374" s="54">
        <f>(M1375-M1374)/M1374</f>
        <v/>
      </c>
      <c r="O1374" s="54">
        <f>(M1378-M1374)/M1374</f>
        <v/>
      </c>
      <c r="P1374" s="4">
        <f>B1374-D1374</f>
        <v/>
      </c>
      <c r="Q1374" s="4">
        <f>AVERAGE(P1371:P1374)</f>
        <v/>
      </c>
      <c r="R1374" s="54">
        <f>(M1375-M1374)/M1374</f>
        <v/>
      </c>
      <c r="S1374" s="54">
        <f>(M1378-M1374)/M1374</f>
        <v/>
      </c>
      <c r="T1374" s="63">
        <f>IF(R1374&gt;0,1,"")</f>
        <v/>
      </c>
      <c r="U1374" s="63">
        <f>IF(S1374&gt;0,1,"")</f>
        <v/>
      </c>
    </row>
    <row r="1375">
      <c r="A1375" s="35" t="n">
        <v>41515</v>
      </c>
      <c r="B1375" s="4" t="n">
        <v>0.335404</v>
      </c>
      <c r="C1375" s="4" t="n">
        <v>0.357143</v>
      </c>
      <c r="D1375" s="4" t="n">
        <v>0.307453</v>
      </c>
      <c r="E1375" s="63" t="n">
        <v>1</v>
      </c>
      <c r="F1375" s="63" t="n">
        <v>0.392386125</v>
      </c>
      <c r="G1375" s="63" t="n">
        <v>0.027951</v>
      </c>
      <c r="H1375" s="63" t="n">
        <v>0.384907436629</v>
      </c>
      <c r="I1375" s="63" t="n">
        <v>0.48829287048</v>
      </c>
      <c r="J1375" s="63" t="n">
        <v>0.281522002778</v>
      </c>
      <c r="K1375" s="63" t="n">
        <v>1669.51</v>
      </c>
      <c r="L1375" s="63" t="n">
        <v>1627.47</v>
      </c>
      <c r="M1375" s="63" t="n">
        <v>1634.96</v>
      </c>
      <c r="N1375" s="54">
        <f>(M1376-M1375)/M1375</f>
        <v/>
      </c>
      <c r="O1375" s="54">
        <f>(M1379-M1375)/M1375</f>
        <v/>
      </c>
      <c r="P1375" s="4">
        <f>B1375-D1375</f>
        <v/>
      </c>
      <c r="Q1375" s="4">
        <f>AVERAGE(P1372:P1375)</f>
        <v/>
      </c>
      <c r="R1375" s="54">
        <f>(M1376-M1375)/M1375</f>
        <v/>
      </c>
      <c r="S1375" s="54">
        <f>(M1379-M1375)/M1375</f>
        <v/>
      </c>
      <c r="T1375" s="63">
        <f>IF(R1375&gt;0,1,"")</f>
        <v/>
      </c>
      <c r="U1375" s="63">
        <f>IF(S1375&gt;0,1,"")</f>
        <v/>
      </c>
    </row>
    <row r="1376">
      <c r="A1376" s="35" t="n">
        <v>41522</v>
      </c>
      <c r="B1376" s="4" t="n">
        <v>0.3553</v>
      </c>
      <c r="C1376" s="4" t="n">
        <v>0.3322</v>
      </c>
      <c r="D1376" s="4" t="n">
        <v>0.3125</v>
      </c>
      <c r="E1376" s="63" t="n">
        <v>1</v>
      </c>
      <c r="F1376" s="63" t="n">
        <v>0.375628375</v>
      </c>
      <c r="G1376" s="63" t="n">
        <v>0.0428</v>
      </c>
      <c r="H1376" s="63" t="n">
        <v>0.384907436629</v>
      </c>
      <c r="I1376" s="63" t="n">
        <v>0.48829287048</v>
      </c>
      <c r="J1376" s="63" t="n">
        <v>0.281522002778</v>
      </c>
      <c r="K1376" s="63" t="n">
        <v>1655.72</v>
      </c>
      <c r="L1376" s="63" t="n">
        <v>1628.05</v>
      </c>
      <c r="M1376" s="63" t="n">
        <v>1653.08</v>
      </c>
      <c r="N1376" s="54">
        <f>(M1377-M1376)/M1376</f>
        <v/>
      </c>
      <c r="O1376" s="54">
        <f>(M1380-M1376)/M1376</f>
        <v/>
      </c>
      <c r="P1376" s="4">
        <f>B1376-D1376</f>
        <v/>
      </c>
      <c r="Q1376" s="4">
        <f>AVERAGE(P1373:P1376)</f>
        <v/>
      </c>
      <c r="R1376" s="54">
        <f>(M1377-M1376)/M1376</f>
        <v/>
      </c>
      <c r="S1376" s="54">
        <f>(M1380-M1376)/M1376</f>
        <v/>
      </c>
      <c r="T1376" s="63">
        <f>IF(R1376&gt;0,1,"")</f>
        <v/>
      </c>
      <c r="U1376" s="63">
        <f>IF(S1376&gt;0,1,"")</f>
        <v/>
      </c>
    </row>
    <row r="1377">
      <c r="A1377" s="35" t="n">
        <v>41529</v>
      </c>
      <c r="B1377" s="4" t="n">
        <v>0.45515</v>
      </c>
      <c r="C1377" s="4" t="n">
        <v>0.299003</v>
      </c>
      <c r="D1377" s="4" t="n">
        <v>0.245847</v>
      </c>
      <c r="E1377" s="63" t="n">
        <v>1</v>
      </c>
      <c r="F1377" s="63" t="n">
        <v>0.372853125</v>
      </c>
      <c r="G1377" s="63" t="n">
        <v>0.209303</v>
      </c>
      <c r="H1377" s="63" t="n">
        <v>0.384907436629</v>
      </c>
      <c r="I1377" s="63" t="n">
        <v>0.48829287048</v>
      </c>
      <c r="J1377" s="63" t="n">
        <v>0.281522002778</v>
      </c>
      <c r="K1377" s="63" t="n">
        <v>1689.13</v>
      </c>
      <c r="L1377" s="63" t="n">
        <v>1633.41</v>
      </c>
      <c r="M1377" s="63" t="n">
        <v>1689.13</v>
      </c>
      <c r="N1377" s="54">
        <f>(M1378-M1377)/M1377</f>
        <v/>
      </c>
      <c r="O1377" s="54">
        <f>(M1381-M1377)/M1377</f>
        <v/>
      </c>
      <c r="P1377" s="4">
        <f>B1377-D1377</f>
        <v/>
      </c>
      <c r="Q1377" s="4">
        <f>AVERAGE(P1374:P1377)</f>
        <v/>
      </c>
      <c r="R1377" s="54">
        <f>(M1378-M1377)/M1377</f>
        <v/>
      </c>
      <c r="S1377" s="54">
        <f>(M1381-M1377)/M1377</f>
        <v/>
      </c>
      <c r="T1377" s="63">
        <f>IF(R1377&gt;0,1,"")</f>
        <v/>
      </c>
      <c r="U1377" s="63">
        <f>IF(S1377&gt;0,1,"")</f>
        <v/>
      </c>
    </row>
    <row r="1378">
      <c r="A1378" s="35" t="n">
        <v>41536</v>
      </c>
      <c r="B1378" s="4" t="n">
        <v>0.451128</v>
      </c>
      <c r="C1378" s="4" t="n">
        <v>0.25188</v>
      </c>
      <c r="D1378" s="4" t="n">
        <v>0.296992</v>
      </c>
      <c r="E1378" s="63" t="n">
        <v>1</v>
      </c>
      <c r="F1378" s="63" t="n">
        <v>0.372846875</v>
      </c>
      <c r="G1378" s="63" t="n">
        <v>0.154136</v>
      </c>
      <c r="H1378" s="63" t="n">
        <v>0.384907436629</v>
      </c>
      <c r="I1378" s="63" t="n">
        <v>0.48829287048</v>
      </c>
      <c r="J1378" s="63" t="n">
        <v>0.281522002778</v>
      </c>
      <c r="K1378" s="63" t="n">
        <v>1729.44</v>
      </c>
      <c r="L1378" s="63" t="n">
        <v>1674.32</v>
      </c>
      <c r="M1378" s="63" t="n">
        <v>1725.52</v>
      </c>
      <c r="N1378" s="54">
        <f>(M1379-M1378)/M1378</f>
        <v/>
      </c>
      <c r="O1378" s="54">
        <f>(M1382-M1378)/M1378</f>
        <v/>
      </c>
      <c r="P1378" s="4">
        <f>B1378-D1378</f>
        <v/>
      </c>
      <c r="Q1378" s="4">
        <f>AVERAGE(P1375:P1378)</f>
        <v/>
      </c>
      <c r="R1378" s="54">
        <f>(M1379-M1378)/M1378</f>
        <v/>
      </c>
      <c r="S1378" s="54">
        <f>(M1382-M1378)/M1378</f>
        <v/>
      </c>
      <c r="T1378" s="63">
        <f>IF(R1378&gt;0,1,"")</f>
        <v/>
      </c>
      <c r="U1378" s="63">
        <f>IF(S1378&gt;0,1,"")</f>
        <v/>
      </c>
    </row>
    <row r="1379">
      <c r="A1379" s="35" t="n">
        <v>41543</v>
      </c>
      <c r="B1379" s="4" t="n">
        <v>0.360544</v>
      </c>
      <c r="C1379" s="4" t="n">
        <v>0.333333</v>
      </c>
      <c r="D1379" s="4" t="n">
        <v>0.306122</v>
      </c>
      <c r="E1379" s="63" t="n">
        <v>0.999999</v>
      </c>
      <c r="F1379" s="63" t="n">
        <v>0.373394375</v>
      </c>
      <c r="G1379" s="63" t="n">
        <v>0.054422</v>
      </c>
      <c r="H1379" s="63" t="n">
        <v>0.384907436629</v>
      </c>
      <c r="I1379" s="63" t="n">
        <v>0.48829287048</v>
      </c>
      <c r="J1379" s="63" t="n">
        <v>0.281522002778</v>
      </c>
      <c r="K1379" s="63" t="n">
        <v>1729.86</v>
      </c>
      <c r="L1379" s="63" t="n">
        <v>1691.7</v>
      </c>
      <c r="M1379" s="63" t="n">
        <v>1692.77</v>
      </c>
      <c r="N1379" s="54">
        <f>(M1380-M1379)/M1379</f>
        <v/>
      </c>
      <c r="O1379" s="54">
        <f>(M1383-M1379)/M1379</f>
        <v/>
      </c>
      <c r="P1379" s="4">
        <f>B1379-D1379</f>
        <v/>
      </c>
      <c r="Q1379" s="4">
        <f>AVERAGE(P1376:P1379)</f>
        <v/>
      </c>
      <c r="R1379" s="54">
        <f>(M1380-M1379)/M1379</f>
        <v/>
      </c>
      <c r="S1379" s="54">
        <f>(M1383-M1379)/M1379</f>
        <v/>
      </c>
      <c r="T1379" s="63">
        <f>IF(R1379&gt;0,1,"")</f>
        <v/>
      </c>
      <c r="U1379" s="63">
        <f>IF(S1379&gt;0,1,"")</f>
        <v/>
      </c>
    </row>
    <row r="1380">
      <c r="A1380" s="35" t="n">
        <v>41550</v>
      </c>
      <c r="B1380" s="4" t="n">
        <v>0.378378</v>
      </c>
      <c r="C1380" s="4" t="n">
        <v>0.320946</v>
      </c>
      <c r="D1380" s="4" t="n">
        <v>0.300676</v>
      </c>
      <c r="E1380" s="63" t="n">
        <v>1</v>
      </c>
      <c r="F1380" s="63" t="n">
        <v>0.371318625</v>
      </c>
      <c r="G1380" s="63" t="n">
        <v>0.07770199999999999</v>
      </c>
      <c r="H1380" s="63" t="n">
        <v>0.384907436629</v>
      </c>
      <c r="I1380" s="63" t="n">
        <v>0.48829287048</v>
      </c>
      <c r="J1380" s="63" t="n">
        <v>0.281522002778</v>
      </c>
      <c r="K1380" s="63" t="n">
        <v>1725.23</v>
      </c>
      <c r="L1380" s="63" t="n">
        <v>1674.99</v>
      </c>
      <c r="M1380" s="63" t="n">
        <v>1693.87</v>
      </c>
      <c r="N1380" s="54">
        <f>(M1381-M1380)/M1380</f>
        <v/>
      </c>
      <c r="O1380" s="54">
        <f>(M1384-M1380)/M1380</f>
        <v/>
      </c>
      <c r="P1380" s="4">
        <f>B1380-D1380</f>
        <v/>
      </c>
      <c r="Q1380" s="4">
        <f>AVERAGE(P1377:P1380)</f>
        <v/>
      </c>
      <c r="R1380" s="54">
        <f>(M1381-M1380)/M1380</f>
        <v/>
      </c>
      <c r="S1380" s="54">
        <f>(M1384-M1380)/M1380</f>
        <v/>
      </c>
      <c r="T1380" s="63">
        <f>IF(R1380&gt;0,1,"")</f>
        <v/>
      </c>
      <c r="U1380" s="63">
        <f>IF(S1380&gt;0,1,"")</f>
        <v/>
      </c>
    </row>
    <row r="1381">
      <c r="A1381" s="35" t="n">
        <v>41557</v>
      </c>
      <c r="B1381" s="4" t="n">
        <v>0.413284</v>
      </c>
      <c r="C1381" s="4" t="n">
        <v>0.250923</v>
      </c>
      <c r="D1381" s="4" t="n">
        <v>0.335793</v>
      </c>
      <c r="E1381" s="63" t="n">
        <v>1</v>
      </c>
      <c r="F1381" s="63" t="n">
        <v>0.379845375</v>
      </c>
      <c r="G1381" s="63" t="n">
        <v>0.077491</v>
      </c>
      <c r="H1381" s="63" t="n">
        <v>0.384907436629</v>
      </c>
      <c r="I1381" s="63" t="n">
        <v>0.48829287048</v>
      </c>
      <c r="J1381" s="63" t="n">
        <v>0.281522002778</v>
      </c>
      <c r="K1381" s="63" t="n">
        <v>1696.55</v>
      </c>
      <c r="L1381" s="63" t="n">
        <v>1646.47</v>
      </c>
      <c r="M1381" s="63" t="n">
        <v>1656.4</v>
      </c>
      <c r="N1381" s="54">
        <f>(M1382-M1381)/M1381</f>
        <v/>
      </c>
      <c r="O1381" s="54">
        <f>(M1385-M1381)/M1381</f>
        <v/>
      </c>
      <c r="P1381" s="4">
        <f>B1381-D1381</f>
        <v/>
      </c>
      <c r="Q1381" s="4">
        <f>AVERAGE(P1378:P1381)</f>
        <v/>
      </c>
      <c r="R1381" s="54">
        <f>(M1382-M1381)/M1381</f>
        <v/>
      </c>
      <c r="S1381" s="54">
        <f>(M1385-M1381)/M1381</f>
        <v/>
      </c>
      <c r="T1381" s="63">
        <f>IF(R1381&gt;0,1,"")</f>
        <v/>
      </c>
      <c r="U1381" s="63">
        <f>IF(S1381&gt;0,1,"")</f>
        <v/>
      </c>
    </row>
    <row r="1382">
      <c r="A1382" s="35" t="n">
        <v>41564</v>
      </c>
      <c r="B1382" s="4" t="n">
        <v>0.462783</v>
      </c>
      <c r="C1382" s="4" t="n">
        <v>0.288026</v>
      </c>
      <c r="D1382" s="4" t="n">
        <v>0.249191</v>
      </c>
      <c r="E1382" s="63" t="n">
        <v>1</v>
      </c>
      <c r="F1382" s="63" t="n">
        <v>0.401496375</v>
      </c>
      <c r="G1382" s="63" t="n">
        <v>0.213592</v>
      </c>
      <c r="H1382" s="63" t="n">
        <v>0.384907436629</v>
      </c>
      <c r="I1382" s="63" t="n">
        <v>0.48829287048</v>
      </c>
      <c r="J1382" s="63" t="n">
        <v>0.281522002778</v>
      </c>
      <c r="K1382" s="63" t="n">
        <v>1721.76</v>
      </c>
      <c r="L1382" s="63" t="n">
        <v>1646.47</v>
      </c>
      <c r="M1382" s="63" t="n">
        <v>1721.54</v>
      </c>
      <c r="N1382" s="54">
        <f>(M1383-M1382)/M1382</f>
        <v/>
      </c>
      <c r="O1382" s="54">
        <f>(M1386-M1382)/M1382</f>
        <v/>
      </c>
      <c r="P1382" s="4">
        <f>B1382-D1382</f>
        <v/>
      </c>
      <c r="Q1382" s="4">
        <f>AVERAGE(P1379:P1382)</f>
        <v/>
      </c>
      <c r="R1382" s="54">
        <f>(M1383-M1382)/M1382</f>
        <v/>
      </c>
      <c r="S1382" s="54">
        <f>(M1386-M1382)/M1382</f>
        <v/>
      </c>
      <c r="T1382" s="63">
        <f>IF(R1382&gt;0,1,"")</f>
        <v/>
      </c>
      <c r="U1382" s="63">
        <f>IF(S1382&gt;0,1,"")</f>
        <v/>
      </c>
    </row>
    <row r="1383">
      <c r="A1383" s="35" t="n">
        <v>41571</v>
      </c>
      <c r="B1383" s="4" t="n">
        <v>0.492013</v>
      </c>
      <c r="C1383" s="4" t="n">
        <v>0.332268</v>
      </c>
      <c r="D1383" s="4" t="n">
        <v>0.175719</v>
      </c>
      <c r="E1383" s="63" t="n">
        <v>1</v>
      </c>
      <c r="F1383" s="63" t="n">
        <v>0.4210725</v>
      </c>
      <c r="G1383" s="63" t="n">
        <v>0.316294</v>
      </c>
      <c r="H1383" s="63" t="n">
        <v>0.384907436629</v>
      </c>
      <c r="I1383" s="63" t="n">
        <v>0.48829287048</v>
      </c>
      <c r="J1383" s="63" t="n">
        <v>0.281522002778</v>
      </c>
      <c r="K1383" s="63" t="n">
        <v>1759.33</v>
      </c>
      <c r="L1383" s="63" t="n">
        <v>1695.93</v>
      </c>
      <c r="M1383" s="63" t="n">
        <v>1746.38</v>
      </c>
      <c r="N1383" s="54">
        <f>(M1384-M1383)/M1383</f>
        <v/>
      </c>
      <c r="O1383" s="54">
        <f>(M1387-M1383)/M1383</f>
        <v/>
      </c>
      <c r="P1383" s="4">
        <f>B1383-D1383</f>
        <v/>
      </c>
      <c r="Q1383" s="4">
        <f>AVERAGE(P1380:P1383)</f>
        <v/>
      </c>
      <c r="R1383" s="54">
        <f>(M1384-M1383)/M1383</f>
        <v/>
      </c>
      <c r="S1383" s="54">
        <f>(M1387-M1383)/M1383</f>
        <v/>
      </c>
      <c r="T1383" s="63">
        <f>IF(R1383&gt;0,1,"")</f>
        <v/>
      </c>
      <c r="U1383" s="63">
        <f>IF(S1383&gt;0,1,"")</f>
        <v/>
      </c>
    </row>
    <row r="1384">
      <c r="A1384" s="35" t="n">
        <v>41578</v>
      </c>
      <c r="B1384" s="4" t="n">
        <v>0.449664</v>
      </c>
      <c r="C1384" s="4" t="n">
        <v>0.33557</v>
      </c>
      <c r="D1384" s="4" t="n">
        <v>0.214765</v>
      </c>
      <c r="E1384" s="63" t="n">
        <v>0.999999</v>
      </c>
      <c r="F1384" s="63" t="n">
        <v>0.432868</v>
      </c>
      <c r="G1384" s="63" t="n">
        <v>0.234899</v>
      </c>
      <c r="H1384" s="63" t="n">
        <v>0.384907436629</v>
      </c>
      <c r="I1384" s="63" t="n">
        <v>0.48829287048</v>
      </c>
      <c r="J1384" s="63" t="n">
        <v>0.281522002778</v>
      </c>
      <c r="K1384" s="63" t="n">
        <v>1775.22</v>
      </c>
      <c r="L1384" s="63" t="n">
        <v>1740.5</v>
      </c>
      <c r="M1384" s="63" t="n">
        <v>1763.31</v>
      </c>
      <c r="N1384" s="54">
        <f>(M1385-M1384)/M1384</f>
        <v/>
      </c>
      <c r="O1384" s="54">
        <f>(M1388-M1384)/M1384</f>
        <v/>
      </c>
      <c r="P1384" s="4">
        <f>B1384-D1384</f>
        <v/>
      </c>
      <c r="Q1384" s="4">
        <f>AVERAGE(P1381:P1384)</f>
        <v/>
      </c>
      <c r="R1384" s="54">
        <f>(M1385-M1384)/M1384</f>
        <v/>
      </c>
      <c r="S1384" s="54">
        <f>(M1388-M1384)/M1384</f>
        <v/>
      </c>
      <c r="T1384" s="63">
        <f>IF(R1384&gt;0,1,"")</f>
        <v/>
      </c>
      <c r="U1384" s="63">
        <f>IF(S1384&gt;0,1,"")</f>
        <v/>
      </c>
    </row>
    <row r="1385">
      <c r="A1385" s="35" t="n">
        <v>41585</v>
      </c>
      <c r="B1385" s="4" t="n">
        <v>0.454829</v>
      </c>
      <c r="C1385" s="4" t="n">
        <v>0.327103</v>
      </c>
      <c r="D1385" s="4" t="n">
        <v>0.218069</v>
      </c>
      <c r="E1385" s="63" t="n">
        <v>1.000001</v>
      </c>
      <c r="F1385" s="63" t="n">
        <v>0.432827875</v>
      </c>
      <c r="G1385" s="63" t="n">
        <v>0.23676</v>
      </c>
      <c r="H1385" s="63" t="n">
        <v>0.384907436629</v>
      </c>
      <c r="I1385" s="63" t="n">
        <v>0.48829287048</v>
      </c>
      <c r="J1385" s="63" t="n">
        <v>0.281522002778</v>
      </c>
      <c r="K1385" s="63" t="n">
        <v>1775.22</v>
      </c>
      <c r="L1385" s="63" t="n">
        <v>1752.7</v>
      </c>
      <c r="M1385" s="63" t="n">
        <v>1770.49</v>
      </c>
      <c r="N1385" s="54">
        <f>(M1386-M1385)/M1385</f>
        <v/>
      </c>
      <c r="O1385" s="54">
        <f>(M1389-M1385)/M1385</f>
        <v/>
      </c>
      <c r="P1385" s="4">
        <f>B1385-D1385</f>
        <v/>
      </c>
      <c r="Q1385" s="4">
        <f>AVERAGE(P1382:P1385)</f>
        <v/>
      </c>
      <c r="R1385" s="54">
        <f>(M1386-M1385)/M1385</f>
        <v/>
      </c>
      <c r="S1385" s="54">
        <f>(M1389-M1385)/M1385</f>
        <v/>
      </c>
      <c r="T1385" s="63">
        <f>IF(R1385&gt;0,1,"")</f>
        <v/>
      </c>
      <c r="U1385" s="63">
        <f>IF(S1385&gt;0,1,"")</f>
        <v/>
      </c>
    </row>
    <row r="1386">
      <c r="A1386" s="35" t="n">
        <v>41592</v>
      </c>
      <c r="B1386" s="4" t="n">
        <v>0.391975</v>
      </c>
      <c r="C1386" s="4" t="n">
        <v>0.333333</v>
      </c>
      <c r="D1386" s="4" t="n">
        <v>0.274691</v>
      </c>
      <c r="E1386" s="63" t="n">
        <v>0.999999</v>
      </c>
      <c r="F1386" s="63" t="n">
        <v>0.42543375</v>
      </c>
      <c r="G1386" s="63" t="n">
        <v>0.117284</v>
      </c>
      <c r="H1386" s="63" t="n">
        <v>0.384907436629</v>
      </c>
      <c r="I1386" s="63" t="n">
        <v>0.48829287048</v>
      </c>
      <c r="J1386" s="63" t="n">
        <v>0.281522002778</v>
      </c>
      <c r="K1386" s="63" t="n">
        <v>1782</v>
      </c>
      <c r="L1386" s="63" t="n">
        <v>1746.2</v>
      </c>
      <c r="M1386" s="63" t="n">
        <v>1782</v>
      </c>
      <c r="N1386" s="54">
        <f>(M1387-M1386)/M1386</f>
        <v/>
      </c>
      <c r="O1386" s="54">
        <f>(M1390-M1386)/M1386</f>
        <v/>
      </c>
      <c r="P1386" s="4">
        <f>B1386-D1386</f>
        <v/>
      </c>
      <c r="Q1386" s="4">
        <f>AVERAGE(P1383:P1386)</f>
        <v/>
      </c>
      <c r="R1386" s="54">
        <f>(M1387-M1386)/M1386</f>
        <v/>
      </c>
      <c r="S1386" s="54">
        <f>(M1390-M1386)/M1386</f>
        <v/>
      </c>
      <c r="T1386" s="63">
        <f>IF(R1386&gt;0,1,"")</f>
        <v/>
      </c>
      <c r="U1386" s="63">
        <f>IF(S1386&gt;0,1,"")</f>
        <v/>
      </c>
    </row>
    <row r="1387">
      <c r="A1387" s="35" t="n">
        <v>41599</v>
      </c>
      <c r="B1387" s="4" t="n">
        <v>0.343931</v>
      </c>
      <c r="C1387" s="4" t="n">
        <v>0.361272</v>
      </c>
      <c r="D1387" s="4" t="n">
        <v>0.294798</v>
      </c>
      <c r="E1387" s="63" t="n">
        <v>1.000001</v>
      </c>
      <c r="F1387" s="63" t="n">
        <v>0.423357125</v>
      </c>
      <c r="G1387" s="63" t="n">
        <v>0.049133</v>
      </c>
      <c r="H1387" s="63" t="n">
        <v>0.384907436629</v>
      </c>
      <c r="I1387" s="63" t="n">
        <v>0.48829287048</v>
      </c>
      <c r="J1387" s="63" t="n">
        <v>0.281522002778</v>
      </c>
      <c r="K1387" s="63" t="n">
        <v>1802.33</v>
      </c>
      <c r="L1387" s="63" t="n">
        <v>1760.64</v>
      </c>
      <c r="M1387" s="63" t="n">
        <v>1781.37</v>
      </c>
      <c r="N1387" s="54">
        <f>(M1388-M1387)/M1387</f>
        <v/>
      </c>
      <c r="O1387" s="54">
        <f>(M1391-M1387)/M1387</f>
        <v/>
      </c>
      <c r="P1387" s="4">
        <f>B1387-D1387</f>
        <v/>
      </c>
      <c r="Q1387" s="4">
        <f>AVERAGE(P1384:P1387)</f>
        <v/>
      </c>
      <c r="R1387" s="54">
        <f>(M1388-M1387)/M1387</f>
        <v/>
      </c>
      <c r="S1387" s="54">
        <f>(M1391-M1387)/M1387</f>
        <v/>
      </c>
      <c r="T1387" s="63">
        <f>IF(R1387&gt;0,1,"")</f>
        <v/>
      </c>
      <c r="U1387" s="63">
        <f>IF(S1387&gt;0,1,"")</f>
        <v/>
      </c>
    </row>
    <row r="1388">
      <c r="A1388" s="35" t="n">
        <v>41606</v>
      </c>
      <c r="B1388" s="4" t="n">
        <v>0.473016</v>
      </c>
      <c r="C1388" s="4" t="n">
        <v>0.244444</v>
      </c>
      <c r="D1388" s="4" t="n">
        <v>0.28254</v>
      </c>
      <c r="E1388" s="63" t="n">
        <v>1</v>
      </c>
      <c r="F1388" s="63" t="n">
        <v>0.435186875</v>
      </c>
      <c r="G1388" s="63" t="n">
        <v>0.190476</v>
      </c>
      <c r="H1388" s="63" t="n">
        <v>0.384907436629</v>
      </c>
      <c r="I1388" s="63" t="n">
        <v>0.48829287048</v>
      </c>
      <c r="J1388" s="63" t="n">
        <v>0.281522002778</v>
      </c>
      <c r="K1388" s="63" t="n">
        <v>1808.42</v>
      </c>
      <c r="L1388" s="63" t="n">
        <v>1777.23</v>
      </c>
      <c r="M1388" s="63" t="n">
        <v>1807.23</v>
      </c>
      <c r="N1388" s="54">
        <f>(M1389-M1388)/M1388</f>
        <v/>
      </c>
      <c r="O1388" s="54">
        <f>(M1392-M1388)/M1388</f>
        <v/>
      </c>
      <c r="P1388" s="4">
        <f>B1388-D1388</f>
        <v/>
      </c>
      <c r="Q1388" s="4">
        <f>AVERAGE(P1385:P1388)</f>
        <v/>
      </c>
      <c r="R1388" s="54">
        <f>(M1389-M1388)/M1388</f>
        <v/>
      </c>
      <c r="S1388" s="54">
        <f>(M1392-M1388)/M1388</f>
        <v/>
      </c>
      <c r="T1388" s="63">
        <f>IF(R1388&gt;0,1,"")</f>
        <v/>
      </c>
      <c r="U1388" s="63">
        <f>IF(S1388&gt;0,1,"")</f>
        <v/>
      </c>
    </row>
    <row r="1389">
      <c r="A1389" s="35" t="n">
        <v>41613</v>
      </c>
      <c r="B1389" s="4" t="n">
        <v>0.426415</v>
      </c>
      <c r="C1389" s="4" t="n">
        <v>0.298113</v>
      </c>
      <c r="D1389" s="4" t="n">
        <v>0.275472</v>
      </c>
      <c r="E1389" s="63" t="n">
        <v>1</v>
      </c>
      <c r="F1389" s="63" t="n">
        <v>0.43682825</v>
      </c>
      <c r="G1389" s="63" t="n">
        <v>0.150943</v>
      </c>
      <c r="H1389" s="63" t="n">
        <v>0.384907436629</v>
      </c>
      <c r="I1389" s="63" t="n">
        <v>0.48829287048</v>
      </c>
      <c r="J1389" s="63" t="n">
        <v>0.281522002778</v>
      </c>
      <c r="K1389" s="63" t="n">
        <v>1813.55</v>
      </c>
      <c r="L1389" s="63" t="n">
        <v>1779.09</v>
      </c>
      <c r="M1389" s="63" t="n">
        <v>1792.81</v>
      </c>
      <c r="N1389" s="54">
        <f>(M1390-M1389)/M1389</f>
        <v/>
      </c>
      <c r="O1389" s="54">
        <f>(M1393-M1389)/M1389</f>
        <v/>
      </c>
      <c r="P1389" s="4">
        <f>B1389-D1389</f>
        <v/>
      </c>
      <c r="Q1389" s="4">
        <f>AVERAGE(P1386:P1389)</f>
        <v/>
      </c>
      <c r="R1389" s="54">
        <f>(M1390-M1389)/M1389</f>
        <v/>
      </c>
      <c r="S1389" s="54">
        <f>(M1393-M1389)/M1389</f>
        <v/>
      </c>
      <c r="T1389" s="63">
        <f>IF(R1389&gt;0,1,"")</f>
        <v/>
      </c>
      <c r="U1389" s="63">
        <f>IF(S1389&gt;0,1,"")</f>
        <v/>
      </c>
    </row>
    <row r="1390">
      <c r="A1390" s="35" t="n">
        <v>41620</v>
      </c>
      <c r="B1390" s="4" t="n">
        <v>0.412651</v>
      </c>
      <c r="C1390" s="4" t="n">
        <v>0.337349</v>
      </c>
      <c r="D1390" s="4" t="n">
        <v>0.25</v>
      </c>
      <c r="E1390" s="63" t="n">
        <v>1</v>
      </c>
      <c r="F1390" s="63" t="n">
        <v>0.43056175</v>
      </c>
      <c r="G1390" s="63" t="n">
        <v>0.162651</v>
      </c>
      <c r="H1390" s="63" t="n">
        <v>0.384907436629</v>
      </c>
      <c r="I1390" s="63" t="n">
        <v>0.48829287048</v>
      </c>
      <c r="J1390" s="63" t="n">
        <v>0.281522002778</v>
      </c>
      <c r="K1390" s="63" t="n">
        <v>1811.52</v>
      </c>
      <c r="L1390" s="63" t="n">
        <v>1779.09</v>
      </c>
      <c r="M1390" s="63" t="n">
        <v>1782.22</v>
      </c>
      <c r="N1390" s="54">
        <f>(M1391-M1390)/M1390</f>
        <v/>
      </c>
      <c r="O1390" s="54">
        <f>(M1394-M1390)/M1390</f>
        <v/>
      </c>
      <c r="P1390" s="4">
        <f>B1390-D1390</f>
        <v/>
      </c>
      <c r="Q1390" s="4">
        <f>AVERAGE(P1387:P1390)</f>
        <v/>
      </c>
      <c r="R1390" s="54">
        <f>(M1391-M1390)/M1390</f>
        <v/>
      </c>
      <c r="S1390" s="54">
        <f>(M1394-M1390)/M1390</f>
        <v/>
      </c>
      <c r="T1390" s="63">
        <f>IF(R1390&gt;0,1,"")</f>
        <v/>
      </c>
      <c r="U1390" s="63">
        <f>IF(S1390&gt;0,1,"")</f>
        <v/>
      </c>
    </row>
    <row r="1391">
      <c r="A1391" s="35" t="n">
        <v>41627</v>
      </c>
      <c r="B1391" s="4" t="n">
        <v>0.474576</v>
      </c>
      <c r="C1391" s="4" t="n">
        <v>0.274576</v>
      </c>
      <c r="D1391" s="4" t="n">
        <v>0.250847</v>
      </c>
      <c r="E1391" s="63" t="n">
        <v>0.999999</v>
      </c>
      <c r="F1391" s="63" t="n">
        <v>0.428382125</v>
      </c>
      <c r="G1391" s="63" t="n">
        <v>0.223729</v>
      </c>
      <c r="H1391" s="63" t="n">
        <v>0.384907436629</v>
      </c>
      <c r="I1391" s="63" t="n">
        <v>0.48829287048</v>
      </c>
      <c r="J1391" s="63" t="n">
        <v>0.281522002778</v>
      </c>
      <c r="K1391" s="63" t="n">
        <v>1811.08</v>
      </c>
      <c r="L1391" s="63" t="n">
        <v>1767.99</v>
      </c>
      <c r="M1391" s="63" t="n">
        <v>1810.65</v>
      </c>
      <c r="N1391" s="54">
        <f>(M1392-M1391)/M1391</f>
        <v/>
      </c>
      <c r="O1391" s="54">
        <f>(M1395-M1391)/M1391</f>
        <v/>
      </c>
      <c r="P1391" s="4">
        <f>B1391-D1391</f>
        <v/>
      </c>
      <c r="Q1391" s="4">
        <f>AVERAGE(P1388:P1391)</f>
        <v/>
      </c>
      <c r="R1391" s="54">
        <f>(M1392-M1391)/M1391</f>
        <v/>
      </c>
      <c r="S1391" s="54">
        <f>(M1395-M1391)/M1391</f>
        <v/>
      </c>
      <c r="T1391" s="63">
        <f>IF(R1391&gt;0,1,"")</f>
        <v/>
      </c>
      <c r="U1391" s="63">
        <f>IF(S1391&gt;0,1,"")</f>
        <v/>
      </c>
    </row>
    <row r="1392">
      <c r="A1392" s="35" t="n">
        <v>41634</v>
      </c>
      <c r="B1392" s="4" t="n">
        <v>0.550562</v>
      </c>
      <c r="C1392" s="4" t="n">
        <v>0.264045</v>
      </c>
      <c r="D1392" s="4" t="n">
        <v>0.185393</v>
      </c>
      <c r="E1392" s="63" t="n">
        <v>1</v>
      </c>
      <c r="F1392" s="63" t="n">
        <v>0.440994375</v>
      </c>
      <c r="G1392" s="63" t="n">
        <v>0.365169</v>
      </c>
      <c r="H1392" s="63" t="n">
        <v>0.384907436629</v>
      </c>
      <c r="I1392" s="63" t="n">
        <v>0.48829287048</v>
      </c>
      <c r="J1392" s="63" t="n">
        <v>0.281522002778</v>
      </c>
      <c r="K1392" s="63" t="n">
        <v>1833.32</v>
      </c>
      <c r="L1392" s="63" t="n">
        <v>1767.99</v>
      </c>
      <c r="M1392" s="63" t="n">
        <v>1833.32</v>
      </c>
      <c r="N1392" s="54">
        <f>(M1393-M1392)/M1392</f>
        <v/>
      </c>
      <c r="O1392" s="54">
        <f>(M1396-M1392)/M1392</f>
        <v/>
      </c>
      <c r="P1392" s="4">
        <f>B1392-D1392</f>
        <v/>
      </c>
      <c r="Q1392" s="4">
        <f>AVERAGE(P1389:P1392)</f>
        <v/>
      </c>
      <c r="R1392" s="54">
        <f>(M1393-M1392)/M1392</f>
        <v/>
      </c>
      <c r="S1392" s="54">
        <f>(M1396-M1392)/M1392</f>
        <v/>
      </c>
      <c r="T1392" s="63">
        <f>IF(R1392&gt;0,1,"")</f>
        <v/>
      </c>
      <c r="U1392" s="63">
        <f>IF(S1392&gt;0,1,"")</f>
        <v/>
      </c>
    </row>
    <row r="1393">
      <c r="A1393" s="35" t="n">
        <v>41641</v>
      </c>
      <c r="B1393" s="4" t="n">
        <v>0.430894</v>
      </c>
      <c r="C1393" s="4" t="n">
        <v>0.276423</v>
      </c>
      <c r="D1393" s="4" t="n">
        <v>0.292683</v>
      </c>
      <c r="E1393" s="63" t="n">
        <v>1</v>
      </c>
      <c r="F1393" s="63" t="n">
        <v>0.4380025</v>
      </c>
      <c r="G1393" s="63" t="n">
        <v>0.138211</v>
      </c>
      <c r="H1393" s="63" t="n">
        <v>0.384907436629</v>
      </c>
      <c r="I1393" s="63" t="n">
        <v>0.48829287048</v>
      </c>
      <c r="J1393" s="63" t="n">
        <v>0.281522002778</v>
      </c>
      <c r="K1393" s="63" t="n">
        <v>1849.44</v>
      </c>
      <c r="L1393" s="63" t="n">
        <v>1810.25</v>
      </c>
      <c r="M1393" s="63" t="n">
        <v>1848.36</v>
      </c>
      <c r="N1393" s="54">
        <f>(M1394-M1393)/M1393</f>
        <v/>
      </c>
      <c r="O1393" s="54">
        <f>(M1397-M1393)/M1393</f>
        <v/>
      </c>
      <c r="P1393" s="4">
        <f>B1393-D1393</f>
        <v/>
      </c>
      <c r="Q1393" s="4">
        <f>AVERAGE(P1390:P1393)</f>
        <v/>
      </c>
      <c r="R1393" s="54">
        <f>(M1394-M1393)/M1393</f>
        <v/>
      </c>
      <c r="S1393" s="54">
        <f>(M1397-M1393)/M1393</f>
        <v/>
      </c>
      <c r="T1393" s="63">
        <f>IF(R1393&gt;0,1,"")</f>
        <v/>
      </c>
      <c r="U1393" s="63">
        <f>IF(S1393&gt;0,1,"")</f>
        <v/>
      </c>
    </row>
    <row r="1394">
      <c r="A1394" s="35" t="n">
        <v>41648</v>
      </c>
      <c r="B1394" s="4" t="n">
        <v>0.43617</v>
      </c>
      <c r="C1394" s="4" t="n">
        <v>0.31383</v>
      </c>
      <c r="D1394" s="4" t="n">
        <v>0.25</v>
      </c>
      <c r="E1394" s="63" t="n">
        <v>1</v>
      </c>
      <c r="F1394" s="63" t="n">
        <v>0.443526875</v>
      </c>
      <c r="G1394" s="63" t="n">
        <v>0.18617</v>
      </c>
      <c r="H1394" s="63" t="n">
        <v>0.384907436629</v>
      </c>
      <c r="I1394" s="63" t="n">
        <v>0.48829287048</v>
      </c>
      <c r="J1394" s="63" t="n">
        <v>0.281522002778</v>
      </c>
      <c r="K1394" s="63" t="n">
        <v>1849.44</v>
      </c>
      <c r="L1394" s="63" t="n">
        <v>1823.73</v>
      </c>
      <c r="M1394" s="63" t="n">
        <v>1837.49</v>
      </c>
      <c r="N1394" s="54">
        <f>(M1395-M1394)/M1394</f>
        <v/>
      </c>
      <c r="O1394" s="54">
        <f>(M1398-M1394)/M1394</f>
        <v/>
      </c>
      <c r="P1394" s="4">
        <f>B1394-D1394</f>
        <v/>
      </c>
      <c r="Q1394" s="4">
        <f>AVERAGE(P1391:P1394)</f>
        <v/>
      </c>
      <c r="R1394" s="54">
        <f>(M1395-M1394)/M1394</f>
        <v/>
      </c>
      <c r="S1394" s="54">
        <f>(M1398-M1394)/M1394</f>
        <v/>
      </c>
      <c r="T1394" s="63">
        <f>IF(R1394&gt;0,1,"")</f>
        <v/>
      </c>
      <c r="U1394" s="63">
        <f>IF(S1394&gt;0,1,"")</f>
        <v/>
      </c>
    </row>
    <row r="1395">
      <c r="A1395" s="35" t="n">
        <v>41655</v>
      </c>
      <c r="B1395" s="4" t="n">
        <v>0.38992</v>
      </c>
      <c r="C1395" s="4" t="n">
        <v>0.395225</v>
      </c>
      <c r="D1395" s="4" t="n">
        <v>0.214854</v>
      </c>
      <c r="E1395" s="63" t="n">
        <v>0.999999</v>
      </c>
      <c r="F1395" s="63" t="n">
        <v>0.4492755</v>
      </c>
      <c r="G1395" s="63" t="n">
        <v>0.175066</v>
      </c>
      <c r="H1395" s="63" t="n">
        <v>0.384907436629</v>
      </c>
      <c r="I1395" s="63" t="n">
        <v>0.48829287048</v>
      </c>
      <c r="J1395" s="63" t="n">
        <v>0.281522002778</v>
      </c>
      <c r="K1395" s="63" t="n">
        <v>1850.84</v>
      </c>
      <c r="L1395" s="63" t="n">
        <v>1815.52</v>
      </c>
      <c r="M1395" s="63" t="n">
        <v>1848.38</v>
      </c>
      <c r="N1395" s="54">
        <f>(M1396-M1395)/M1395</f>
        <v/>
      </c>
      <c r="O1395" s="54">
        <f>(M1399-M1395)/M1395</f>
        <v/>
      </c>
      <c r="P1395" s="4">
        <f>B1395-D1395</f>
        <v/>
      </c>
      <c r="Q1395" s="4">
        <f>AVERAGE(P1392:P1395)</f>
        <v/>
      </c>
      <c r="R1395" s="54">
        <f>(M1396-M1395)/M1395</f>
        <v/>
      </c>
      <c r="S1395" s="54">
        <f>(M1399-M1395)/M1395</f>
        <v/>
      </c>
      <c r="T1395" s="63">
        <f>IF(R1395&gt;0,1,"")</f>
        <v/>
      </c>
      <c r="U1395" s="63">
        <f>IF(S1395&gt;0,1,"")</f>
        <v/>
      </c>
    </row>
    <row r="1396">
      <c r="A1396" s="35" t="n">
        <v>41662</v>
      </c>
      <c r="B1396" s="4" t="n">
        <v>0.381201</v>
      </c>
      <c r="C1396" s="4" t="n">
        <v>0.381201</v>
      </c>
      <c r="D1396" s="4" t="n">
        <v>0.237598</v>
      </c>
      <c r="E1396" s="63" t="n">
        <v>1</v>
      </c>
      <c r="F1396" s="63" t="n">
        <v>0.437798625</v>
      </c>
      <c r="G1396" s="63" t="n">
        <v>0.143603</v>
      </c>
      <c r="H1396" s="63" t="n">
        <v>0.384907436629</v>
      </c>
      <c r="I1396" s="63" t="n">
        <v>0.48829287048</v>
      </c>
      <c r="J1396" s="63" t="n">
        <v>0.281522002778</v>
      </c>
      <c r="K1396" s="63" t="n">
        <v>1850.84</v>
      </c>
      <c r="L1396" s="63" t="n">
        <v>1815.52</v>
      </c>
      <c r="M1396" s="63" t="n">
        <v>1844.86</v>
      </c>
      <c r="N1396" s="54">
        <f>(M1397-M1396)/M1396</f>
        <v/>
      </c>
      <c r="O1396" s="54">
        <f>(M1400-M1396)/M1396</f>
        <v/>
      </c>
      <c r="P1396" s="4">
        <f>B1396-D1396</f>
        <v/>
      </c>
      <c r="Q1396" s="4">
        <f>AVERAGE(P1393:P1396)</f>
        <v/>
      </c>
      <c r="R1396" s="54">
        <f>(M1397-M1396)/M1396</f>
        <v/>
      </c>
      <c r="S1396" s="54">
        <f>(M1400-M1396)/M1396</f>
        <v/>
      </c>
      <c r="T1396" s="63">
        <f>IF(R1396&gt;0,1,"")</f>
        <v/>
      </c>
      <c r="U1396" s="63">
        <f>IF(S1396&gt;0,1,"")</f>
        <v/>
      </c>
    </row>
    <row r="1397">
      <c r="A1397" s="35" t="n">
        <v>41669</v>
      </c>
      <c r="B1397" s="4" t="n">
        <v>0.321839</v>
      </c>
      <c r="C1397" s="4" t="n">
        <v>0.350575</v>
      </c>
      <c r="D1397" s="4" t="n">
        <v>0.327586</v>
      </c>
      <c r="E1397" s="63" t="n">
        <v>1</v>
      </c>
      <c r="F1397" s="63" t="n">
        <v>0.424726625</v>
      </c>
      <c r="G1397" s="63" t="n">
        <v>-0.005747</v>
      </c>
      <c r="H1397" s="63" t="n">
        <v>0.384907436629</v>
      </c>
      <c r="I1397" s="63" t="n">
        <v>0.48829287048</v>
      </c>
      <c r="J1397" s="63" t="n">
        <v>0.281522002778</v>
      </c>
      <c r="K1397" s="63" t="n">
        <v>1850.84</v>
      </c>
      <c r="L1397" s="63" t="n">
        <v>1815.52</v>
      </c>
      <c r="M1397" s="63" t="n">
        <v>1844.86</v>
      </c>
      <c r="N1397" s="54">
        <f>(M1398-M1397)/M1397</f>
        <v/>
      </c>
      <c r="O1397" s="54">
        <f>(M1401-M1397)/M1397</f>
        <v/>
      </c>
      <c r="P1397" s="4">
        <f>B1397-D1397</f>
        <v/>
      </c>
      <c r="Q1397" s="4">
        <f>AVERAGE(P1394:P1397)</f>
        <v/>
      </c>
      <c r="R1397" s="54">
        <f>(M1398-M1397)/M1397</f>
        <v/>
      </c>
      <c r="S1397" s="54">
        <f>(M1401-M1397)/M1397</f>
        <v/>
      </c>
      <c r="T1397" s="63">
        <f>IF(R1397&gt;0,1,"")</f>
        <v/>
      </c>
      <c r="U1397" s="63">
        <f>IF(S1397&gt;0,1,"")</f>
        <v/>
      </c>
    </row>
    <row r="1398">
      <c r="A1398" s="35" t="n">
        <v>41676</v>
      </c>
      <c r="B1398" s="4" t="n">
        <v>0.27896</v>
      </c>
      <c r="C1398" s="4" t="n">
        <v>0.356974</v>
      </c>
      <c r="D1398" s="4" t="n">
        <v>0.364066</v>
      </c>
      <c r="E1398" s="63" t="n">
        <v>1</v>
      </c>
      <c r="F1398" s="63" t="n">
        <v>0.40801525</v>
      </c>
      <c r="G1398" s="63" t="n">
        <v>-0.085106</v>
      </c>
      <c r="H1398" s="63" t="n">
        <v>0.384907436629</v>
      </c>
      <c r="I1398" s="63" t="n">
        <v>0.48829287048</v>
      </c>
      <c r="J1398" s="63" t="n">
        <v>0.281522002778</v>
      </c>
      <c r="K1398" s="63" t="n">
        <v>1798.77</v>
      </c>
      <c r="L1398" s="63" t="n">
        <v>1737.92</v>
      </c>
      <c r="M1398" s="63" t="n">
        <v>1751.64</v>
      </c>
      <c r="N1398" s="54">
        <f>(M1399-M1398)/M1398</f>
        <v/>
      </c>
      <c r="O1398" s="54">
        <f>(M1402-M1398)/M1398</f>
        <v/>
      </c>
      <c r="P1398" s="4">
        <f>B1398-D1398</f>
        <v/>
      </c>
      <c r="Q1398" s="4">
        <f>AVERAGE(P1395:P1398)</f>
        <v/>
      </c>
      <c r="R1398" s="54">
        <f>(M1399-M1398)/M1398</f>
        <v/>
      </c>
      <c r="S1398" s="54">
        <f>(M1402-M1398)/M1398</f>
        <v/>
      </c>
      <c r="T1398" s="63">
        <f>IF(R1398&gt;0,1,"")</f>
        <v/>
      </c>
      <c r="U1398" s="63">
        <f>IF(S1398&gt;0,1,"")</f>
        <v/>
      </c>
    </row>
    <row r="1399">
      <c r="A1399" s="35" t="n">
        <v>41683</v>
      </c>
      <c r="B1399" s="4" t="n">
        <v>0.401478</v>
      </c>
      <c r="C1399" s="4" t="n">
        <v>0.325123</v>
      </c>
      <c r="D1399" s="4" t="n">
        <v>0.273399</v>
      </c>
      <c r="E1399" s="63" t="n">
        <v>1</v>
      </c>
      <c r="F1399" s="63" t="n">
        <v>0.398878</v>
      </c>
      <c r="G1399" s="63" t="n">
        <v>0.128079</v>
      </c>
      <c r="H1399" s="63" t="n">
        <v>0.384907436629</v>
      </c>
      <c r="I1399" s="63" t="n">
        <v>0.48829287048</v>
      </c>
      <c r="J1399" s="63" t="n">
        <v>0.281522002778</v>
      </c>
      <c r="K1399" s="63" t="n">
        <v>1826.55</v>
      </c>
      <c r="L1399" s="63" t="n">
        <v>1737.92</v>
      </c>
      <c r="M1399" s="63" t="n">
        <v>1819.26</v>
      </c>
      <c r="N1399" s="54">
        <f>(M1400-M1399)/M1399</f>
        <v/>
      </c>
      <c r="O1399" s="54">
        <f>(M1403-M1399)/M1399</f>
        <v/>
      </c>
      <c r="P1399" s="4">
        <f>B1399-D1399</f>
        <v/>
      </c>
      <c r="Q1399" s="4">
        <f>AVERAGE(P1396:P1399)</f>
        <v/>
      </c>
      <c r="R1399" s="54">
        <f>(M1400-M1399)/M1399</f>
        <v/>
      </c>
      <c r="S1399" s="54">
        <f>(M1403-M1399)/M1399</f>
        <v/>
      </c>
      <c r="T1399" s="63">
        <f>IF(R1399&gt;0,1,"")</f>
        <v/>
      </c>
      <c r="U1399" s="63">
        <f>IF(S1399&gt;0,1,"")</f>
        <v/>
      </c>
    </row>
    <row r="1400">
      <c r="A1400" s="35" t="n">
        <v>41690</v>
      </c>
      <c r="B1400" s="4" t="n">
        <v>0.422</v>
      </c>
      <c r="C1400" s="4" t="n">
        <v>0.35</v>
      </c>
      <c r="D1400" s="4" t="n">
        <v>0.228</v>
      </c>
      <c r="E1400" s="63" t="n">
        <v>1</v>
      </c>
      <c r="F1400" s="63" t="n">
        <v>0.38280775</v>
      </c>
      <c r="G1400" s="63" t="n">
        <v>0.194</v>
      </c>
      <c r="H1400" s="63" t="n">
        <v>0.384907436629</v>
      </c>
      <c r="I1400" s="63" t="n">
        <v>0.48829287048</v>
      </c>
      <c r="J1400" s="63" t="n">
        <v>0.281522002778</v>
      </c>
      <c r="K1400" s="63" t="n">
        <v>1847.5</v>
      </c>
      <c r="L1400" s="63" t="n">
        <v>1826.99</v>
      </c>
      <c r="M1400" s="63" t="n">
        <v>1828.75</v>
      </c>
      <c r="N1400" s="54">
        <f>(M1401-M1400)/M1400</f>
        <v/>
      </c>
      <c r="O1400" s="54">
        <f>(M1404-M1400)/M1400</f>
        <v/>
      </c>
      <c r="P1400" s="4">
        <f>B1400-D1400</f>
        <v/>
      </c>
      <c r="Q1400" s="4">
        <f>AVERAGE(P1397:P1400)</f>
        <v/>
      </c>
      <c r="R1400" s="54">
        <f>(M1401-M1400)/M1400</f>
        <v/>
      </c>
      <c r="S1400" s="54">
        <f>(M1404-M1400)/M1400</f>
        <v/>
      </c>
      <c r="T1400" s="63">
        <f>IF(R1400&gt;0,1,"")</f>
        <v/>
      </c>
      <c r="U1400" s="63">
        <f>IF(S1400&gt;0,1,"")</f>
        <v/>
      </c>
    </row>
    <row r="1401">
      <c r="A1401" s="35" t="n">
        <v>41697</v>
      </c>
      <c r="B1401" s="4" t="n">
        <v>0.396907</v>
      </c>
      <c r="C1401" s="4" t="n">
        <v>0.391753</v>
      </c>
      <c r="D1401" s="4" t="n">
        <v>0.21134</v>
      </c>
      <c r="E1401" s="63" t="n">
        <v>1</v>
      </c>
      <c r="F1401" s="63" t="n">
        <v>0.378559375</v>
      </c>
      <c r="G1401" s="63" t="n">
        <v>0.185567</v>
      </c>
      <c r="H1401" s="63" t="n">
        <v>0.384907436629</v>
      </c>
      <c r="I1401" s="63" t="n">
        <v>0.48829287048</v>
      </c>
      <c r="J1401" s="63" t="n">
        <v>0.281522002778</v>
      </c>
      <c r="K1401" s="63" t="n">
        <v>1858.71</v>
      </c>
      <c r="L1401" s="63" t="n">
        <v>1824.58</v>
      </c>
      <c r="M1401" s="63" t="n">
        <v>1845.16</v>
      </c>
      <c r="N1401" s="54">
        <f>(M1402-M1401)/M1401</f>
        <v/>
      </c>
      <c r="O1401" s="54">
        <f>(M1405-M1401)/M1401</f>
        <v/>
      </c>
      <c r="P1401" s="4">
        <f>B1401-D1401</f>
        <v/>
      </c>
      <c r="Q1401" s="4">
        <f>AVERAGE(P1398:P1401)</f>
        <v/>
      </c>
      <c r="R1401" s="54">
        <f>(M1402-M1401)/M1401</f>
        <v/>
      </c>
      <c r="S1401" s="54">
        <f>(M1405-M1401)/M1401</f>
        <v/>
      </c>
      <c r="T1401" s="63">
        <f>IF(R1401&gt;0,1,"")</f>
        <v/>
      </c>
      <c r="U1401" s="63">
        <f>IF(S1401&gt;0,1,"")</f>
        <v/>
      </c>
    </row>
    <row r="1402">
      <c r="A1402" s="35" t="n">
        <v>41704</v>
      </c>
      <c r="B1402" s="4" t="n">
        <v>0.405099</v>
      </c>
      <c r="C1402" s="4" t="n">
        <v>0.328612</v>
      </c>
      <c r="D1402" s="4" t="n">
        <v>0.266289</v>
      </c>
      <c r="E1402" s="63" t="n">
        <v>1</v>
      </c>
      <c r="F1402" s="63" t="n">
        <v>0.3746755</v>
      </c>
      <c r="G1402" s="63" t="n">
        <v>0.13881</v>
      </c>
      <c r="H1402" s="63" t="n">
        <v>0.384907436629</v>
      </c>
      <c r="I1402" s="63" t="n">
        <v>0.48829287048</v>
      </c>
      <c r="J1402" s="63" t="n">
        <v>0.281522002778</v>
      </c>
      <c r="K1402" s="63" t="n">
        <v>1876.53</v>
      </c>
      <c r="L1402" s="63" t="n">
        <v>1834.44</v>
      </c>
      <c r="M1402" s="63" t="n">
        <v>1873.81</v>
      </c>
      <c r="N1402" s="54">
        <f>(M1403-M1402)/M1402</f>
        <v/>
      </c>
      <c r="O1402" s="54">
        <f>(M1406-M1402)/M1402</f>
        <v/>
      </c>
      <c r="P1402" s="4">
        <f>B1402-D1402</f>
        <v/>
      </c>
      <c r="Q1402" s="4">
        <f>AVERAGE(P1399:P1402)</f>
        <v/>
      </c>
      <c r="R1402" s="54">
        <f>(M1403-M1402)/M1402</f>
        <v/>
      </c>
      <c r="S1402" s="54">
        <f>(M1406-M1402)/M1402</f>
        <v/>
      </c>
      <c r="T1402" s="63">
        <f>IF(R1402&gt;0,1,"")</f>
        <v/>
      </c>
      <c r="U1402" s="63">
        <f>IF(S1402&gt;0,1,"")</f>
        <v/>
      </c>
    </row>
    <row r="1403">
      <c r="A1403" s="35" t="n">
        <v>41711</v>
      </c>
      <c r="B1403" s="4" t="n">
        <v>0.413408</v>
      </c>
      <c r="C1403" s="4" t="n">
        <v>0.318436</v>
      </c>
      <c r="D1403" s="4" t="n">
        <v>0.268156</v>
      </c>
      <c r="E1403" s="63" t="n">
        <v>1</v>
      </c>
      <c r="F1403" s="63" t="n">
        <v>0.3776115</v>
      </c>
      <c r="G1403" s="63" t="n">
        <v>0.145252</v>
      </c>
      <c r="H1403" s="63" t="n">
        <v>0.384907436629</v>
      </c>
      <c r="I1403" s="63" t="n">
        <v>0.48829287048</v>
      </c>
      <c r="J1403" s="63" t="n">
        <v>0.281522002778</v>
      </c>
      <c r="K1403" s="63" t="n">
        <v>1883.57</v>
      </c>
      <c r="L1403" s="63" t="n">
        <v>1849.23</v>
      </c>
      <c r="M1403" s="63" t="n">
        <v>1868.2</v>
      </c>
      <c r="N1403" s="54">
        <f>(M1404-M1403)/M1403</f>
        <v/>
      </c>
      <c r="O1403" s="54">
        <f>(M1407-M1403)/M1403</f>
        <v/>
      </c>
      <c r="P1403" s="4">
        <f>B1403-D1403</f>
        <v/>
      </c>
      <c r="Q1403" s="4">
        <f>AVERAGE(P1400:P1403)</f>
        <v/>
      </c>
      <c r="R1403" s="54">
        <f>(M1404-M1403)/M1403</f>
        <v/>
      </c>
      <c r="S1403" s="54">
        <f>(M1407-M1403)/M1403</f>
        <v/>
      </c>
      <c r="T1403" s="63">
        <f>IF(R1403&gt;0,1,"")</f>
        <v/>
      </c>
      <c r="U1403" s="63">
        <f>IF(S1403&gt;0,1,"")</f>
        <v/>
      </c>
    </row>
    <row r="1404">
      <c r="A1404" s="35" t="n">
        <v>41718</v>
      </c>
      <c r="B1404" s="4" t="n">
        <v>0.367816</v>
      </c>
      <c r="C1404" s="4" t="n">
        <v>0.37069</v>
      </c>
      <c r="D1404" s="4" t="n">
        <v>0.261494</v>
      </c>
      <c r="E1404" s="63" t="n">
        <v>1</v>
      </c>
      <c r="F1404" s="63" t="n">
        <v>0.375938375</v>
      </c>
      <c r="G1404" s="63" t="n">
        <v>0.106322</v>
      </c>
      <c r="H1404" s="63" t="n">
        <v>0.384907436629</v>
      </c>
      <c r="I1404" s="63" t="n">
        <v>0.48829287048</v>
      </c>
      <c r="J1404" s="63" t="n">
        <v>0.281522002778</v>
      </c>
      <c r="K1404" s="63" t="n">
        <v>1882.35</v>
      </c>
      <c r="L1404" s="63" t="n">
        <v>1839.57</v>
      </c>
      <c r="M1404" s="63" t="n">
        <v>1860.77</v>
      </c>
      <c r="N1404" s="54">
        <f>(M1405-M1404)/M1404</f>
        <v/>
      </c>
      <c r="O1404" s="54">
        <f>(M1408-M1404)/M1404</f>
        <v/>
      </c>
      <c r="P1404" s="4">
        <f>B1404-D1404</f>
        <v/>
      </c>
      <c r="Q1404" s="4">
        <f>AVERAGE(P1401:P1404)</f>
        <v/>
      </c>
      <c r="R1404" s="54">
        <f>(M1405-M1404)/M1404</f>
        <v/>
      </c>
      <c r="S1404" s="54">
        <f>(M1408-M1404)/M1404</f>
        <v/>
      </c>
      <c r="T1404" s="63">
        <f>IF(R1404&gt;0,1,"")</f>
        <v/>
      </c>
      <c r="U1404" s="63">
        <f>IF(S1404&gt;0,1,"")</f>
        <v/>
      </c>
    </row>
    <row r="1405">
      <c r="A1405" s="35" t="n">
        <v>41725</v>
      </c>
      <c r="B1405" s="4" t="n">
        <v>0.311615</v>
      </c>
      <c r="C1405" s="4" t="n">
        <v>0.402266</v>
      </c>
      <c r="D1405" s="4" t="n">
        <v>0.286119</v>
      </c>
      <c r="E1405" s="63" t="n">
        <v>1</v>
      </c>
      <c r="F1405" s="63" t="n">
        <v>0.374660375</v>
      </c>
      <c r="G1405" s="63" t="n">
        <v>0.025496</v>
      </c>
      <c r="H1405" s="63" t="n">
        <v>0.384907436629</v>
      </c>
      <c r="I1405" s="63" t="n">
        <v>0.48829287048</v>
      </c>
      <c r="J1405" s="63" t="n">
        <v>0.281522002778</v>
      </c>
      <c r="K1405" s="63" t="n">
        <v>1883.97</v>
      </c>
      <c r="L1405" s="63" t="n">
        <v>1849.69</v>
      </c>
      <c r="M1405" s="63" t="n">
        <v>1852.56</v>
      </c>
      <c r="N1405" s="54">
        <f>(M1406-M1405)/M1405</f>
        <v/>
      </c>
      <c r="O1405" s="54">
        <f>(M1409-M1405)/M1405</f>
        <v/>
      </c>
      <c r="P1405" s="4">
        <f>B1405-D1405</f>
        <v/>
      </c>
      <c r="Q1405" s="4">
        <f>AVERAGE(P1402:P1405)</f>
        <v/>
      </c>
      <c r="R1405" s="54">
        <f>(M1406-M1405)/M1405</f>
        <v/>
      </c>
      <c r="S1405" s="54">
        <f>(M1409-M1405)/M1405</f>
        <v/>
      </c>
      <c r="T1405" s="63">
        <f>IF(R1405&gt;0,1,"")</f>
        <v/>
      </c>
      <c r="U1405" s="63">
        <f>IF(S1405&gt;0,1,"")</f>
        <v/>
      </c>
    </row>
    <row r="1406">
      <c r="A1406" s="35" t="n">
        <v>41732</v>
      </c>
      <c r="B1406" s="4" t="n">
        <v>0.353571</v>
      </c>
      <c r="C1406" s="4" t="n">
        <v>0.378571</v>
      </c>
      <c r="D1406" s="4" t="n">
        <v>0.267857</v>
      </c>
      <c r="E1406" s="63" t="n">
        <v>0.999999</v>
      </c>
      <c r="F1406" s="63" t="n">
        <v>0.38398675</v>
      </c>
      <c r="G1406" s="63" t="n">
        <v>0.085714</v>
      </c>
      <c r="H1406" s="63" t="n">
        <v>0.384907436629</v>
      </c>
      <c r="I1406" s="63" t="n">
        <v>0.48829287048</v>
      </c>
      <c r="J1406" s="63" t="n">
        <v>0.281522002778</v>
      </c>
      <c r="K1406" s="63" t="n">
        <v>1893.17</v>
      </c>
      <c r="L1406" s="63" t="n">
        <v>1842.11</v>
      </c>
      <c r="M1406" s="63" t="n">
        <v>1890.9</v>
      </c>
      <c r="N1406" s="54">
        <f>(M1407-M1406)/M1406</f>
        <v/>
      </c>
      <c r="O1406" s="54">
        <f>(M1410-M1406)/M1406</f>
        <v/>
      </c>
      <c r="P1406" s="4">
        <f>B1406-D1406</f>
        <v/>
      </c>
      <c r="Q1406" s="4">
        <f>AVERAGE(P1403:P1406)</f>
        <v/>
      </c>
      <c r="R1406" s="54">
        <f>(M1407-M1406)/M1406</f>
        <v/>
      </c>
      <c r="S1406" s="54">
        <f>(M1410-M1406)/M1406</f>
        <v/>
      </c>
      <c r="T1406" s="63">
        <f>IF(R1406&gt;0,1,"")</f>
        <v/>
      </c>
      <c r="U1406" s="63">
        <f>IF(S1406&gt;0,1,"")</f>
        <v/>
      </c>
    </row>
    <row r="1407">
      <c r="A1407" s="35" t="n">
        <v>41739</v>
      </c>
      <c r="B1407" s="4" t="n">
        <v>0.284768</v>
      </c>
      <c r="C1407" s="4" t="n">
        <v>0.374172</v>
      </c>
      <c r="D1407" s="4" t="n">
        <v>0.34106</v>
      </c>
      <c r="E1407" s="63" t="n">
        <v>1</v>
      </c>
      <c r="F1407" s="63" t="n">
        <v>0.369398</v>
      </c>
      <c r="G1407" s="63" t="n">
        <v>-0.056292</v>
      </c>
      <c r="H1407" s="63" t="n">
        <v>0.384907436629</v>
      </c>
      <c r="I1407" s="63" t="n">
        <v>0.48829287048</v>
      </c>
      <c r="J1407" s="63" t="n">
        <v>0.281522002778</v>
      </c>
      <c r="K1407" s="63" t="n">
        <v>1897.28</v>
      </c>
      <c r="L1407" s="63" t="n">
        <v>1837.49</v>
      </c>
      <c r="M1407" s="63" t="n">
        <v>1872.18</v>
      </c>
      <c r="N1407" s="54">
        <f>(M1408-M1407)/M1407</f>
        <v/>
      </c>
      <c r="O1407" s="54">
        <f>(M1411-M1407)/M1407</f>
        <v/>
      </c>
      <c r="P1407" s="4">
        <f>B1407-D1407</f>
        <v/>
      </c>
      <c r="Q1407" s="4">
        <f>AVERAGE(P1404:P1407)</f>
        <v/>
      </c>
      <c r="R1407" s="54">
        <f>(M1408-M1407)/M1407</f>
        <v/>
      </c>
      <c r="S1407" s="54">
        <f>(M1411-M1407)/M1407</f>
        <v/>
      </c>
      <c r="T1407" s="63">
        <f>IF(R1407&gt;0,1,"")</f>
        <v/>
      </c>
      <c r="U1407" s="63">
        <f>IF(S1407&gt;0,1,"")</f>
        <v/>
      </c>
    </row>
    <row r="1408">
      <c r="A1408" s="35" t="n">
        <v>41746</v>
      </c>
      <c r="B1408" s="4" t="n">
        <v>0.272171</v>
      </c>
      <c r="C1408" s="4" t="n">
        <v>0.385321</v>
      </c>
      <c r="D1408" s="4" t="n">
        <v>0.342508</v>
      </c>
      <c r="E1408" s="63" t="n">
        <v>1</v>
      </c>
      <c r="F1408" s="63" t="n">
        <v>0.350669375</v>
      </c>
      <c r="G1408" s="63" t="n">
        <v>-0.070337</v>
      </c>
      <c r="H1408" s="63" t="n">
        <v>0.384907436629</v>
      </c>
      <c r="I1408" s="63" t="n">
        <v>0.48829287048</v>
      </c>
      <c r="J1408" s="63" t="n">
        <v>0.281522002778</v>
      </c>
      <c r="K1408" s="63" t="n">
        <v>1872.53</v>
      </c>
      <c r="L1408" s="63" t="n">
        <v>1814.36</v>
      </c>
      <c r="M1408" s="63" t="n">
        <v>1862.31</v>
      </c>
      <c r="N1408" s="54">
        <f>(M1409-M1408)/M1408</f>
        <v/>
      </c>
      <c r="O1408" s="54">
        <f>(M1412-M1408)/M1408</f>
        <v/>
      </c>
      <c r="P1408" s="4">
        <f>B1408-D1408</f>
        <v/>
      </c>
      <c r="Q1408" s="4">
        <f>AVERAGE(P1405:P1408)</f>
        <v/>
      </c>
      <c r="R1408" s="54">
        <f>(M1409-M1408)/M1408</f>
        <v/>
      </c>
      <c r="S1408" s="54">
        <f>(M1412-M1408)/M1408</f>
        <v/>
      </c>
      <c r="T1408" s="63">
        <f>IF(R1408&gt;0,1,"")</f>
        <v/>
      </c>
      <c r="U1408" s="63">
        <f>IF(S1408&gt;0,1,"")</f>
        <v/>
      </c>
    </row>
    <row r="1409">
      <c r="A1409" s="35" t="n">
        <v>41753</v>
      </c>
      <c r="B1409" s="4" t="n">
        <v>0.345029</v>
      </c>
      <c r="C1409" s="4" t="n">
        <v>0.394737</v>
      </c>
      <c r="D1409" s="4" t="n">
        <v>0.260234</v>
      </c>
      <c r="E1409" s="63" t="n">
        <v>1</v>
      </c>
      <c r="F1409" s="63" t="n">
        <v>0.344184625</v>
      </c>
      <c r="G1409" s="63" t="n">
        <v>0.084795</v>
      </c>
      <c r="H1409" s="63" t="n">
        <v>0.384907436629</v>
      </c>
      <c r="I1409" s="63" t="n">
        <v>0.48829287048</v>
      </c>
      <c r="J1409" s="63" t="n">
        <v>0.281522002778</v>
      </c>
      <c r="K1409" s="63" t="n">
        <v>1884.89</v>
      </c>
      <c r="L1409" s="63" t="n">
        <v>1815.8</v>
      </c>
      <c r="M1409" s="63" t="n">
        <v>1875.39</v>
      </c>
      <c r="N1409" s="54">
        <f>(M1410-M1409)/M1409</f>
        <v/>
      </c>
      <c r="O1409" s="54">
        <f>(M1413-M1409)/M1409</f>
        <v/>
      </c>
      <c r="P1409" s="4">
        <f>B1409-D1409</f>
        <v/>
      </c>
      <c r="Q1409" s="4">
        <f>AVERAGE(P1406:P1409)</f>
        <v/>
      </c>
      <c r="R1409" s="54">
        <f>(M1410-M1409)/M1409</f>
        <v/>
      </c>
      <c r="S1409" s="54">
        <f>(M1413-M1409)/M1409</f>
        <v/>
      </c>
      <c r="T1409" s="63">
        <f>IF(R1409&gt;0,1,"")</f>
        <v/>
      </c>
      <c r="U1409" s="63">
        <f>IF(S1409&gt;0,1,"")</f>
        <v/>
      </c>
    </row>
    <row r="1410">
      <c r="A1410" s="35" t="n">
        <v>41760</v>
      </c>
      <c r="B1410" s="4" t="n">
        <v>0.297735</v>
      </c>
      <c r="C1410" s="4" t="n">
        <v>0.407767</v>
      </c>
      <c r="D1410" s="4" t="n">
        <v>0.294498</v>
      </c>
      <c r="E1410" s="63" t="n">
        <v>1</v>
      </c>
      <c r="F1410" s="63" t="n">
        <v>0.330764125</v>
      </c>
      <c r="G1410" s="63" t="n">
        <v>0.003237</v>
      </c>
      <c r="H1410" s="63" t="n">
        <v>0.384907436629</v>
      </c>
      <c r="I1410" s="63" t="n">
        <v>0.48829287048</v>
      </c>
      <c r="J1410" s="63" t="n">
        <v>0.281522002778</v>
      </c>
      <c r="K1410" s="63" t="n">
        <v>1885.2</v>
      </c>
      <c r="L1410" s="63" t="n">
        <v>1850.61</v>
      </c>
      <c r="M1410" s="63" t="n">
        <v>1883.95</v>
      </c>
      <c r="N1410" s="54">
        <f>(M1411-M1410)/M1410</f>
        <v/>
      </c>
      <c r="O1410" s="54">
        <f>(M1414-M1410)/M1410</f>
        <v/>
      </c>
      <c r="P1410" s="4">
        <f>B1410-D1410</f>
        <v/>
      </c>
      <c r="Q1410" s="4">
        <f>AVERAGE(P1407:P1410)</f>
        <v/>
      </c>
      <c r="R1410" s="54">
        <f>(M1411-M1410)/M1410</f>
        <v/>
      </c>
      <c r="S1410" s="54">
        <f>(M1414-M1410)/M1410</f>
        <v/>
      </c>
      <c r="T1410" s="63">
        <f>IF(R1410&gt;0,1,"")</f>
        <v/>
      </c>
      <c r="U1410" s="63">
        <f>IF(S1410&gt;0,1,"")</f>
        <v/>
      </c>
    </row>
    <row r="1411">
      <c r="A1411" s="35" t="n">
        <v>41767</v>
      </c>
      <c r="B1411" s="4" t="n">
        <v>0.283439</v>
      </c>
      <c r="C1411" s="4" t="n">
        <v>0.429936</v>
      </c>
      <c r="D1411" s="4" t="n">
        <v>0.286624</v>
      </c>
      <c r="E1411" s="63" t="n">
        <v>0.999999</v>
      </c>
      <c r="F1411" s="63" t="n">
        <v>0.314518</v>
      </c>
      <c r="G1411" s="63" t="n">
        <v>-0.003185</v>
      </c>
      <c r="H1411" s="63" t="n">
        <v>0.384907436629</v>
      </c>
      <c r="I1411" s="63" t="n">
        <v>0.48829287048</v>
      </c>
      <c r="J1411" s="63" t="n">
        <v>0.281522002778</v>
      </c>
      <c r="K1411" s="63" t="n">
        <v>1891.33</v>
      </c>
      <c r="L1411" s="63" t="n">
        <v>1859.79</v>
      </c>
      <c r="M1411" s="63" t="n">
        <v>1878.21</v>
      </c>
      <c r="N1411" s="54">
        <f>(M1412-M1411)/M1411</f>
        <v/>
      </c>
      <c r="O1411" s="54">
        <f>(M1415-M1411)/M1411</f>
        <v/>
      </c>
      <c r="P1411" s="4">
        <f>B1411-D1411</f>
        <v/>
      </c>
      <c r="Q1411" s="4">
        <f>AVERAGE(P1408:P1411)</f>
        <v/>
      </c>
      <c r="R1411" s="54">
        <f>(M1412-M1411)/M1411</f>
        <v/>
      </c>
      <c r="S1411" s="54">
        <f>(M1415-M1411)/M1411</f>
        <v/>
      </c>
      <c r="T1411" s="63">
        <f>IF(R1411&gt;0,1,"")</f>
        <v/>
      </c>
      <c r="U1411" s="63">
        <f>IF(S1411&gt;0,1,"")</f>
        <v/>
      </c>
    </row>
    <row r="1412">
      <c r="A1412" s="35" t="n">
        <v>41774</v>
      </c>
      <c r="B1412" s="4" t="n">
        <v>0.33121</v>
      </c>
      <c r="C1412" s="4" t="n">
        <v>0.442675</v>
      </c>
      <c r="D1412" s="4" t="n">
        <v>0.226115</v>
      </c>
      <c r="E1412" s="63" t="n">
        <v>1</v>
      </c>
      <c r="F1412" s="63" t="n">
        <v>0.30994225</v>
      </c>
      <c r="G1412" s="63" t="n">
        <v>0.105095</v>
      </c>
      <c r="H1412" s="63" t="n">
        <v>0.384907436629</v>
      </c>
      <c r="I1412" s="63" t="n">
        <v>0.48829287048</v>
      </c>
      <c r="J1412" s="63" t="n">
        <v>0.281522002778</v>
      </c>
      <c r="K1412" s="63" t="n">
        <v>1902.17</v>
      </c>
      <c r="L1412" s="63" t="n">
        <v>1859.79</v>
      </c>
      <c r="M1412" s="63" t="n">
        <v>1888.53</v>
      </c>
      <c r="N1412" s="54">
        <f>(M1413-M1412)/M1412</f>
        <v/>
      </c>
      <c r="O1412" s="54">
        <f>(M1416-M1412)/M1412</f>
        <v/>
      </c>
      <c r="P1412" s="4">
        <f>B1412-D1412</f>
        <v/>
      </c>
      <c r="Q1412" s="4">
        <f>AVERAGE(P1409:P1412)</f>
        <v/>
      </c>
      <c r="R1412" s="54">
        <f>(M1413-M1412)/M1412</f>
        <v/>
      </c>
      <c r="S1412" s="54">
        <f>(M1416-M1412)/M1412</f>
        <v/>
      </c>
      <c r="T1412" s="63">
        <f>IF(R1412&gt;0,1,"")</f>
        <v/>
      </c>
      <c r="U1412" s="63">
        <f>IF(S1412&gt;0,1,"")</f>
        <v/>
      </c>
    </row>
    <row r="1413">
      <c r="A1413" s="35" t="n">
        <v>41781</v>
      </c>
      <c r="B1413" s="4" t="n">
        <v>0.304348</v>
      </c>
      <c r="C1413" s="4" t="n">
        <v>0.431677</v>
      </c>
      <c r="D1413" s="4" t="n">
        <v>0.263975</v>
      </c>
      <c r="E1413" s="63" t="n">
        <v>1</v>
      </c>
      <c r="F1413" s="63" t="n">
        <v>0.309033875</v>
      </c>
      <c r="G1413" s="63" t="n">
        <v>0.040373</v>
      </c>
      <c r="H1413" s="63" t="n">
        <v>0.384907436629</v>
      </c>
      <c r="I1413" s="63" t="n">
        <v>0.48829287048</v>
      </c>
      <c r="J1413" s="63" t="n">
        <v>0.281522002778</v>
      </c>
      <c r="K1413" s="63" t="n">
        <v>1902.17</v>
      </c>
      <c r="L1413" s="63" t="n">
        <v>1862.36</v>
      </c>
      <c r="M1413" s="63" t="n">
        <v>1888.03</v>
      </c>
      <c r="N1413" s="54">
        <f>(M1414-M1413)/M1413</f>
        <v/>
      </c>
      <c r="O1413" s="54">
        <f>(M1417-M1413)/M1413</f>
        <v/>
      </c>
      <c r="P1413" s="4">
        <f>B1413-D1413</f>
        <v/>
      </c>
      <c r="Q1413" s="4">
        <f>AVERAGE(P1410:P1413)</f>
        <v/>
      </c>
      <c r="R1413" s="54">
        <f>(M1414-M1413)/M1413</f>
        <v/>
      </c>
      <c r="S1413" s="54">
        <f>(M1417-M1413)/M1413</f>
        <v/>
      </c>
      <c r="T1413" s="63">
        <f>IF(R1413&gt;0,1,"")</f>
        <v/>
      </c>
      <c r="U1413" s="63">
        <f>IF(S1413&gt;0,1,"")</f>
        <v/>
      </c>
    </row>
    <row r="1414">
      <c r="A1414" s="35" t="n">
        <v>41788</v>
      </c>
      <c r="B1414" s="4" t="n">
        <v>0.364641</v>
      </c>
      <c r="C1414" s="4" t="n">
        <v>0.403315</v>
      </c>
      <c r="D1414" s="4" t="n">
        <v>0.232044</v>
      </c>
      <c r="E1414" s="63" t="n">
        <v>1</v>
      </c>
      <c r="F1414" s="63" t="n">
        <v>0.310417625</v>
      </c>
      <c r="G1414" s="63" t="n">
        <v>0.132597</v>
      </c>
      <c r="H1414" s="63" t="n">
        <v>0.384907436629</v>
      </c>
      <c r="I1414" s="63" t="n">
        <v>0.48829287048</v>
      </c>
      <c r="J1414" s="63" t="n">
        <v>0.281522002778</v>
      </c>
      <c r="K1414" s="63" t="n">
        <v>1914.46</v>
      </c>
      <c r="L1414" s="63" t="n">
        <v>1868.14</v>
      </c>
      <c r="M1414" s="63" t="n">
        <v>1909.78</v>
      </c>
      <c r="N1414" s="54">
        <f>(M1415-M1414)/M1414</f>
        <v/>
      </c>
      <c r="O1414" s="54">
        <f>(M1418-M1414)/M1414</f>
        <v/>
      </c>
      <c r="P1414" s="4">
        <f>B1414-D1414</f>
        <v/>
      </c>
      <c r="Q1414" s="4">
        <f>AVERAGE(P1411:P1414)</f>
        <v/>
      </c>
      <c r="R1414" s="54">
        <f>(M1415-M1414)/M1414</f>
        <v/>
      </c>
      <c r="S1414" s="54">
        <f>(M1418-M1414)/M1414</f>
        <v/>
      </c>
      <c r="T1414" s="63">
        <f>IF(R1414&gt;0,1,"")</f>
        <v/>
      </c>
      <c r="U1414" s="63">
        <f>IF(S1414&gt;0,1,"")</f>
        <v/>
      </c>
    </row>
    <row r="1415">
      <c r="A1415" s="35" t="n">
        <v>41795</v>
      </c>
      <c r="B1415" s="4" t="n">
        <v>0.395062</v>
      </c>
      <c r="C1415" s="4" t="n">
        <v>0.382716</v>
      </c>
      <c r="D1415" s="4" t="n">
        <v>0.222222</v>
      </c>
      <c r="E1415" s="63" t="n">
        <v>1</v>
      </c>
      <c r="F1415" s="63" t="n">
        <v>0.324204375</v>
      </c>
      <c r="G1415" s="63" t="n">
        <v>0.17284</v>
      </c>
      <c r="H1415" s="63" t="n">
        <v>0.384907436629</v>
      </c>
      <c r="I1415" s="63" t="n">
        <v>0.48829287048</v>
      </c>
      <c r="J1415" s="63" t="n">
        <v>0.281522002778</v>
      </c>
      <c r="K1415" s="63" t="n">
        <v>1928.63</v>
      </c>
      <c r="L1415" s="63" t="n">
        <v>1902.01</v>
      </c>
      <c r="M1415" s="63" t="n">
        <v>1927.88</v>
      </c>
      <c r="N1415" s="54">
        <f>(M1416-M1415)/M1415</f>
        <v/>
      </c>
      <c r="O1415" s="54">
        <f>(M1419-M1415)/M1415</f>
        <v/>
      </c>
      <c r="P1415" s="4">
        <f>B1415-D1415</f>
        <v/>
      </c>
      <c r="Q1415" s="4">
        <f>AVERAGE(P1412:P1415)</f>
        <v/>
      </c>
      <c r="R1415" s="54">
        <f>(M1416-M1415)/M1415</f>
        <v/>
      </c>
      <c r="S1415" s="54">
        <f>(M1419-M1415)/M1415</f>
        <v/>
      </c>
      <c r="T1415" s="63">
        <f>IF(R1415&gt;0,1,"")</f>
        <v/>
      </c>
      <c r="U1415" s="63">
        <f>IF(S1415&gt;0,1,"")</f>
        <v/>
      </c>
    </row>
    <row r="1416">
      <c r="A1416" s="35" t="n">
        <v>41802</v>
      </c>
      <c r="B1416" s="4" t="n">
        <v>0.446875</v>
      </c>
      <c r="C1416" s="4" t="n">
        <v>0.340625</v>
      </c>
      <c r="D1416" s="4" t="n">
        <v>0.2125</v>
      </c>
      <c r="E1416" s="63" t="n">
        <v>1</v>
      </c>
      <c r="F1416" s="63" t="n">
        <v>0.346042375</v>
      </c>
      <c r="G1416" s="63" t="n">
        <v>0.234375</v>
      </c>
      <c r="H1416" s="63" t="n">
        <v>0.384907436629</v>
      </c>
      <c r="I1416" s="63" t="n">
        <v>0.48829287048</v>
      </c>
      <c r="J1416" s="63" t="n">
        <v>0.281522002778</v>
      </c>
      <c r="K1416" s="63" t="n">
        <v>1955.55</v>
      </c>
      <c r="L1416" s="63" t="n">
        <v>1918.6</v>
      </c>
      <c r="M1416" s="63" t="n">
        <v>1943.89</v>
      </c>
      <c r="N1416" s="54">
        <f>(M1417-M1416)/M1416</f>
        <v/>
      </c>
      <c r="O1416" s="54">
        <f>(M1420-M1416)/M1416</f>
        <v/>
      </c>
      <c r="P1416" s="4">
        <f>B1416-D1416</f>
        <v/>
      </c>
      <c r="Q1416" s="4">
        <f>AVERAGE(P1413:P1416)</f>
        <v/>
      </c>
      <c r="R1416" s="54">
        <f>(M1417-M1416)/M1416</f>
        <v/>
      </c>
      <c r="S1416" s="54">
        <f>(M1420-M1416)/M1416</f>
        <v/>
      </c>
      <c r="T1416" s="63">
        <f>IF(R1416&gt;0,1,"")</f>
        <v/>
      </c>
      <c r="U1416" s="63">
        <f>IF(S1416&gt;0,1,"")</f>
        <v/>
      </c>
    </row>
    <row r="1417">
      <c r="A1417" s="35" t="n">
        <v>41809</v>
      </c>
      <c r="B1417" s="4" t="n">
        <v>0.351744</v>
      </c>
      <c r="C1417" s="4" t="n">
        <v>0.406977</v>
      </c>
      <c r="D1417" s="4" t="n">
        <v>0.241279</v>
      </c>
      <c r="E1417" s="63" t="n">
        <v>1</v>
      </c>
      <c r="F1417" s="63" t="n">
        <v>0.34688175</v>
      </c>
      <c r="G1417" s="63" t="n">
        <v>0.110465</v>
      </c>
      <c r="H1417" s="63" t="n">
        <v>0.384907436629</v>
      </c>
      <c r="I1417" s="63" t="n">
        <v>0.48829287048</v>
      </c>
      <c r="J1417" s="63" t="n">
        <v>0.281522002778</v>
      </c>
      <c r="K1417" s="63" t="n">
        <v>1957.74</v>
      </c>
      <c r="L1417" s="63" t="n">
        <v>1925.78</v>
      </c>
      <c r="M1417" s="63" t="n">
        <v>1956.98</v>
      </c>
      <c r="N1417" s="54">
        <f>(M1418-M1417)/M1417</f>
        <v/>
      </c>
      <c r="O1417" s="54">
        <f>(M1421-M1417)/M1417</f>
        <v/>
      </c>
      <c r="P1417" s="4">
        <f>B1417-D1417</f>
        <v/>
      </c>
      <c r="Q1417" s="4">
        <f>AVERAGE(P1414:P1417)</f>
        <v/>
      </c>
      <c r="R1417" s="54">
        <f>(M1418-M1417)/M1417</f>
        <v/>
      </c>
      <c r="S1417" s="54">
        <f>(M1421-M1417)/M1417</f>
        <v/>
      </c>
      <c r="T1417" s="63">
        <f>IF(R1417&gt;0,1,"")</f>
        <v/>
      </c>
      <c r="U1417" s="63">
        <f>IF(S1417&gt;0,1,"")</f>
        <v/>
      </c>
    </row>
    <row r="1418">
      <c r="A1418" s="35" t="n">
        <v>41816</v>
      </c>
      <c r="B1418" s="4" t="n">
        <v>0.372208</v>
      </c>
      <c r="C1418" s="4" t="n">
        <v>0.416873</v>
      </c>
      <c r="D1418" s="4" t="n">
        <v>0.210918</v>
      </c>
      <c r="E1418" s="63" t="n">
        <v>0.999999</v>
      </c>
      <c r="F1418" s="63" t="n">
        <v>0.356190875</v>
      </c>
      <c r="G1418" s="63" t="n">
        <v>0.16129</v>
      </c>
      <c r="H1418" s="63" t="n">
        <v>0.384907436629</v>
      </c>
      <c r="I1418" s="63" t="n">
        <v>0.48829287048</v>
      </c>
      <c r="J1418" s="63" t="n">
        <v>0.281522002778</v>
      </c>
      <c r="K1418" s="63" t="n">
        <v>1968.17</v>
      </c>
      <c r="L1418" s="63" t="n">
        <v>1933.55</v>
      </c>
      <c r="M1418" s="63" t="n">
        <v>1959.53</v>
      </c>
      <c r="N1418" s="54">
        <f>(M1419-M1418)/M1418</f>
        <v/>
      </c>
      <c r="O1418" s="54">
        <f>(M1422-M1418)/M1418</f>
        <v/>
      </c>
      <c r="P1418" s="4">
        <f>B1418-D1418</f>
        <v/>
      </c>
      <c r="Q1418" s="4">
        <f>AVERAGE(P1415:P1418)</f>
        <v/>
      </c>
      <c r="R1418" s="54">
        <f>(M1419-M1418)/M1418</f>
        <v/>
      </c>
      <c r="S1418" s="54">
        <f>(M1422-M1418)/M1418</f>
        <v/>
      </c>
      <c r="T1418" s="63">
        <f>IF(R1418&gt;0,1,"")</f>
        <v/>
      </c>
      <c r="U1418" s="63">
        <f>IF(S1418&gt;0,1,"")</f>
        <v/>
      </c>
    </row>
    <row r="1419">
      <c r="A1419" s="35" t="n">
        <v>41823</v>
      </c>
      <c r="B1419" s="4" t="n">
        <v>0.385075</v>
      </c>
      <c r="C1419" s="4" t="n">
        <v>0.391045</v>
      </c>
      <c r="D1419" s="4" t="n">
        <v>0.223881</v>
      </c>
      <c r="E1419" s="63" t="n">
        <v>1.000001</v>
      </c>
      <c r="F1419" s="63" t="n">
        <v>0.368895375</v>
      </c>
      <c r="G1419" s="63" t="n">
        <v>0.161194</v>
      </c>
      <c r="H1419" s="63" t="n">
        <v>0.384907436629</v>
      </c>
      <c r="I1419" s="63" t="n">
        <v>0.48829287048</v>
      </c>
      <c r="J1419" s="63" t="n">
        <v>0.281522002778</v>
      </c>
      <c r="K1419" s="63" t="n">
        <v>1978.58</v>
      </c>
      <c r="L1419" s="63" t="n">
        <v>1944.69</v>
      </c>
      <c r="M1419" s="63" t="n">
        <v>1974.62</v>
      </c>
      <c r="N1419" s="54">
        <f>(M1420-M1419)/M1419</f>
        <v/>
      </c>
      <c r="O1419" s="54">
        <f>(M1423-M1419)/M1419</f>
        <v/>
      </c>
      <c r="P1419" s="4">
        <f>B1419-D1419</f>
        <v/>
      </c>
      <c r="Q1419" s="4">
        <f>AVERAGE(P1416:P1419)</f>
        <v/>
      </c>
      <c r="R1419" s="54">
        <f>(M1420-M1419)/M1419</f>
        <v/>
      </c>
      <c r="S1419" s="54">
        <f>(M1423-M1419)/M1419</f>
        <v/>
      </c>
      <c r="T1419" s="63">
        <f>IF(R1419&gt;0,1,"")</f>
        <v/>
      </c>
      <c r="U1419" s="63">
        <f>IF(S1419&gt;0,1,"")</f>
        <v/>
      </c>
    </row>
    <row r="1420">
      <c r="A1420" s="35" t="n">
        <v>41830</v>
      </c>
      <c r="B1420" s="4" t="n">
        <v>0.376404</v>
      </c>
      <c r="C1420" s="4" t="n">
        <v>0.337079</v>
      </c>
      <c r="D1420" s="4" t="n">
        <v>0.286517</v>
      </c>
      <c r="E1420" s="63" t="n">
        <v>1</v>
      </c>
      <c r="F1420" s="63" t="n">
        <v>0.374544625</v>
      </c>
      <c r="G1420" s="63" t="n">
        <v>0.08988699999999999</v>
      </c>
      <c r="H1420" s="63" t="n">
        <v>0.384907436629</v>
      </c>
      <c r="I1420" s="63" t="n">
        <v>0.48829287048</v>
      </c>
      <c r="J1420" s="63" t="n">
        <v>0.281522002778</v>
      </c>
      <c r="K1420" s="63" t="n">
        <v>1985.59</v>
      </c>
      <c r="L1420" s="63" t="n">
        <v>1958.22</v>
      </c>
      <c r="M1420" s="63" t="n">
        <v>1972.83</v>
      </c>
      <c r="N1420" s="54">
        <f>(M1421-M1420)/M1420</f>
        <v/>
      </c>
      <c r="O1420" s="54">
        <f>(M1424-M1420)/M1420</f>
        <v/>
      </c>
      <c r="P1420" s="4">
        <f>B1420-D1420</f>
        <v/>
      </c>
      <c r="Q1420" s="4">
        <f>AVERAGE(P1417:P1420)</f>
        <v/>
      </c>
      <c r="R1420" s="54">
        <f>(M1421-M1420)/M1420</f>
        <v/>
      </c>
      <c r="S1420" s="54">
        <f>(M1424-M1420)/M1420</f>
        <v/>
      </c>
      <c r="T1420" s="63">
        <f>IF(R1420&gt;0,1,"")</f>
        <v/>
      </c>
      <c r="U1420" s="63">
        <f>IF(S1420&gt;0,1,"")</f>
        <v/>
      </c>
    </row>
    <row r="1421">
      <c r="A1421" s="35" t="n">
        <v>41837</v>
      </c>
      <c r="B1421" s="4" t="n">
        <v>0.323625</v>
      </c>
      <c r="C1421" s="4" t="n">
        <v>0.391586</v>
      </c>
      <c r="D1421" s="4" t="n">
        <v>0.28479</v>
      </c>
      <c r="E1421" s="63" t="n">
        <v>1.000001</v>
      </c>
      <c r="F1421" s="63" t="n">
        <v>0.37695425</v>
      </c>
      <c r="G1421" s="63" t="n">
        <v>0.038835</v>
      </c>
      <c r="H1421" s="63" t="n">
        <v>0.384907436629</v>
      </c>
      <c r="I1421" s="63" t="n">
        <v>0.48829287048</v>
      </c>
      <c r="J1421" s="63" t="n">
        <v>0.281522002778</v>
      </c>
      <c r="K1421" s="63" t="n">
        <v>1983.94</v>
      </c>
      <c r="L1421" s="63" t="n">
        <v>1952.86</v>
      </c>
      <c r="M1421" s="63" t="n">
        <v>1981.57</v>
      </c>
      <c r="N1421" s="54">
        <f>(M1422-M1421)/M1421</f>
        <v/>
      </c>
      <c r="O1421" s="54">
        <f>(M1425-M1421)/M1421</f>
        <v/>
      </c>
      <c r="P1421" s="4">
        <f>B1421-D1421</f>
        <v/>
      </c>
      <c r="Q1421" s="4">
        <f>AVERAGE(P1418:P1421)</f>
        <v/>
      </c>
      <c r="R1421" s="54">
        <f>(M1422-M1421)/M1421</f>
        <v/>
      </c>
      <c r="S1421" s="54">
        <f>(M1425-M1421)/M1421</f>
        <v/>
      </c>
      <c r="T1421" s="63">
        <f>IF(R1421&gt;0,1,"")</f>
        <v/>
      </c>
      <c r="U1421" s="63">
        <f>IF(S1421&gt;0,1,"")</f>
        <v/>
      </c>
    </row>
    <row r="1422">
      <c r="A1422" s="35" t="n">
        <v>41844</v>
      </c>
      <c r="B1422" s="4" t="n">
        <v>0.296296</v>
      </c>
      <c r="C1422" s="4" t="n">
        <v>0.404321</v>
      </c>
      <c r="D1422" s="4" t="n">
        <v>0.299383</v>
      </c>
      <c r="E1422" s="63" t="n">
        <v>1</v>
      </c>
      <c r="F1422" s="63" t="n">
        <v>0.368411125</v>
      </c>
      <c r="G1422" s="63" t="n">
        <v>-0.003087</v>
      </c>
      <c r="H1422" s="63" t="n">
        <v>0.384907436629</v>
      </c>
      <c r="I1422" s="63" t="n">
        <v>0.48829287048</v>
      </c>
      <c r="J1422" s="63" t="n">
        <v>0.281522002778</v>
      </c>
      <c r="K1422" s="63" t="n">
        <v>1989.23</v>
      </c>
      <c r="L1422" s="63" t="n">
        <v>1955.59</v>
      </c>
      <c r="M1422" s="63" t="n">
        <v>1987.01</v>
      </c>
      <c r="N1422" s="54">
        <f>(M1423-M1422)/M1422</f>
        <v/>
      </c>
      <c r="O1422" s="54">
        <f>(M1426-M1422)/M1422</f>
        <v/>
      </c>
      <c r="P1422" s="4">
        <f>B1422-D1422</f>
        <v/>
      </c>
      <c r="Q1422" s="4">
        <f>AVERAGE(P1419:P1422)</f>
        <v/>
      </c>
      <c r="R1422" s="54">
        <f>(M1423-M1422)/M1422</f>
        <v/>
      </c>
      <c r="S1422" s="54">
        <f>(M1426-M1422)/M1422</f>
        <v/>
      </c>
      <c r="T1422" s="63">
        <f>IF(R1422&gt;0,1,"")</f>
        <v/>
      </c>
      <c r="U1422" s="63">
        <f>IF(S1422&gt;0,1,"")</f>
        <v/>
      </c>
    </row>
    <row r="1423">
      <c r="A1423" s="35" t="n">
        <v>41851</v>
      </c>
      <c r="B1423" s="4" t="n">
        <v>0.311224</v>
      </c>
      <c r="C1423" s="4" t="n">
        <v>0.377551</v>
      </c>
      <c r="D1423" s="4" t="n">
        <v>0.311224</v>
      </c>
      <c r="E1423" s="63" t="n">
        <v>0.999999</v>
      </c>
      <c r="F1423" s="63" t="n">
        <v>0.357931375</v>
      </c>
      <c r="G1423" s="63" t="n">
        <v>0</v>
      </c>
      <c r="H1423" s="63" t="n">
        <v>0.384907436629</v>
      </c>
      <c r="I1423" s="63" t="n">
        <v>0.48829287048</v>
      </c>
      <c r="J1423" s="63" t="n">
        <v>0.281522002778</v>
      </c>
      <c r="K1423" s="63" t="n">
        <v>1991.39</v>
      </c>
      <c r="L1423" s="63" t="n">
        <v>1962.42</v>
      </c>
      <c r="M1423" s="63" t="n">
        <v>1970.07</v>
      </c>
      <c r="N1423" s="54">
        <f>(M1424-M1423)/M1423</f>
        <v/>
      </c>
      <c r="O1423" s="54">
        <f>(M1427-M1423)/M1423</f>
        <v/>
      </c>
      <c r="P1423" s="4">
        <f>B1423-D1423</f>
        <v/>
      </c>
      <c r="Q1423" s="4">
        <f>AVERAGE(P1420:P1423)</f>
        <v/>
      </c>
      <c r="R1423" s="54">
        <f>(M1424-M1423)/M1423</f>
        <v/>
      </c>
      <c r="S1423" s="54">
        <f>(M1427-M1423)/M1423</f>
        <v/>
      </c>
      <c r="T1423" s="63">
        <f>IF(R1423&gt;0,1,"")</f>
        <v/>
      </c>
      <c r="U1423" s="63">
        <f>IF(S1423&gt;0,1,"")</f>
        <v/>
      </c>
    </row>
    <row r="1424">
      <c r="A1424" s="35" t="n">
        <v>41858</v>
      </c>
      <c r="B1424" s="4" t="n">
        <v>0.308869</v>
      </c>
      <c r="C1424" s="4" t="n">
        <v>0.308869</v>
      </c>
      <c r="D1424" s="4" t="n">
        <v>0.382263</v>
      </c>
      <c r="E1424" s="63" t="n">
        <v>1.000001</v>
      </c>
      <c r="F1424" s="63" t="n">
        <v>0.340680625</v>
      </c>
      <c r="G1424" s="63" t="n">
        <v>-0.073394</v>
      </c>
      <c r="H1424" s="63" t="n">
        <v>0.384907436629</v>
      </c>
      <c r="I1424" s="63" t="n">
        <v>0.48829287048</v>
      </c>
      <c r="J1424" s="63" t="n">
        <v>0.281522002778</v>
      </c>
      <c r="K1424" s="63" t="n">
        <v>1984.85</v>
      </c>
      <c r="L1424" s="63" t="n">
        <v>1911.45</v>
      </c>
      <c r="M1424" s="63" t="n">
        <v>1920.24</v>
      </c>
      <c r="N1424" s="54">
        <f>(M1425-M1424)/M1424</f>
        <v/>
      </c>
      <c r="O1424" s="54">
        <f>(M1428-M1424)/M1424</f>
        <v/>
      </c>
      <c r="P1424" s="4">
        <f>B1424-D1424</f>
        <v/>
      </c>
      <c r="Q1424" s="4">
        <f>AVERAGE(P1421:P1424)</f>
        <v/>
      </c>
      <c r="R1424" s="54">
        <f>(M1425-M1424)/M1424</f>
        <v/>
      </c>
      <c r="S1424" s="54">
        <f>(M1428-M1424)/M1424</f>
        <v/>
      </c>
      <c r="T1424" s="63">
        <f>IF(R1424&gt;0,1,"")</f>
        <v/>
      </c>
      <c r="U1424" s="63">
        <f>IF(S1424&gt;0,1,"")</f>
        <v/>
      </c>
    </row>
    <row r="1425">
      <c r="A1425" s="35" t="n">
        <v>41865</v>
      </c>
      <c r="B1425" s="4" t="n">
        <v>0.398119</v>
      </c>
      <c r="C1425" s="4" t="n">
        <v>0.332288</v>
      </c>
      <c r="D1425" s="4" t="n">
        <v>0.269592</v>
      </c>
      <c r="E1425" s="63" t="n">
        <v>0.999999</v>
      </c>
      <c r="F1425" s="63" t="n">
        <v>0.3464775</v>
      </c>
      <c r="G1425" s="63" t="n">
        <v>0.128527</v>
      </c>
      <c r="H1425" s="63" t="n">
        <v>0.384907436629</v>
      </c>
      <c r="I1425" s="63" t="n">
        <v>0.48829287048</v>
      </c>
      <c r="J1425" s="63" t="n">
        <v>0.281522002778</v>
      </c>
      <c r="K1425" s="63" t="n">
        <v>1936.34</v>
      </c>
      <c r="L1425" s="63" t="n">
        <v>1904.78</v>
      </c>
      <c r="M1425" s="63" t="n">
        <v>1946.72</v>
      </c>
      <c r="N1425" s="54">
        <f>(M1426-M1425)/M1425</f>
        <v/>
      </c>
      <c r="O1425" s="54">
        <f>(M1429-M1425)/M1425</f>
        <v/>
      </c>
      <c r="P1425" s="4">
        <f>B1425-D1425</f>
        <v/>
      </c>
      <c r="Q1425" s="4">
        <f>AVERAGE(P1422:P1425)</f>
        <v/>
      </c>
      <c r="R1425" s="54">
        <f>(M1426-M1425)/M1425</f>
        <v/>
      </c>
      <c r="S1425" s="54">
        <f>(M1429-M1425)/M1425</f>
        <v/>
      </c>
      <c r="T1425" s="63">
        <f>IF(R1425&gt;0,1,"")</f>
        <v/>
      </c>
      <c r="U1425" s="63">
        <f>IF(S1425&gt;0,1,"")</f>
        <v/>
      </c>
    </row>
    <row r="1426">
      <c r="A1426" s="35" t="n">
        <v>41872</v>
      </c>
      <c r="B1426" s="4" t="n">
        <v>0.461078</v>
      </c>
      <c r="C1426" s="4" t="n">
        <v>0.302395</v>
      </c>
      <c r="D1426" s="4" t="n">
        <v>0.236527</v>
      </c>
      <c r="E1426" s="63" t="n">
        <v>1</v>
      </c>
      <c r="F1426" s="63" t="n">
        <v>0.35758625</v>
      </c>
      <c r="G1426" s="63" t="n">
        <v>0.224551</v>
      </c>
      <c r="H1426" s="63" t="n">
        <v>0.384907436629</v>
      </c>
      <c r="I1426" s="63" t="n">
        <v>0.48829287048</v>
      </c>
      <c r="J1426" s="63" t="n">
        <v>0.281522002778</v>
      </c>
      <c r="K1426" s="63" t="n">
        <v>1988.57</v>
      </c>
      <c r="L1426" s="63" t="n">
        <v>1928.29</v>
      </c>
      <c r="M1426" s="63" t="n">
        <v>1986.51</v>
      </c>
      <c r="N1426" s="54">
        <f>(M1427-M1426)/M1426</f>
        <v/>
      </c>
      <c r="O1426" s="54">
        <f>(M1430-M1426)/M1426</f>
        <v/>
      </c>
      <c r="P1426" s="4">
        <f>B1426-D1426</f>
        <v/>
      </c>
      <c r="Q1426" s="4">
        <f>AVERAGE(P1423:P1426)</f>
        <v/>
      </c>
      <c r="R1426" s="54">
        <f>(M1427-M1426)/M1426</f>
        <v/>
      </c>
      <c r="S1426" s="54">
        <f>(M1430-M1426)/M1426</f>
        <v/>
      </c>
      <c r="T1426" s="63">
        <f>IF(R1426&gt;0,1,"")</f>
        <v/>
      </c>
      <c r="U1426" s="63">
        <f>IF(S1426&gt;0,1,"")</f>
        <v/>
      </c>
    </row>
    <row r="1427">
      <c r="A1427" s="35" t="n">
        <v>41879</v>
      </c>
      <c r="B1427" s="4" t="n">
        <v>0.519231</v>
      </c>
      <c r="C1427" s="4" t="n">
        <v>0.288462</v>
      </c>
      <c r="D1427" s="4" t="n">
        <v>0.192308</v>
      </c>
      <c r="E1427" s="63" t="n">
        <v>1.000001</v>
      </c>
      <c r="F1427" s="63" t="n">
        <v>0.37435575</v>
      </c>
      <c r="G1427" s="63" t="n">
        <v>0.326923</v>
      </c>
      <c r="H1427" s="63" t="n">
        <v>0.384907436629</v>
      </c>
      <c r="I1427" s="63" t="n">
        <v>0.48829287048</v>
      </c>
      <c r="J1427" s="63" t="n">
        <v>0.281522002778</v>
      </c>
      <c r="K1427" s="63" t="n">
        <v>2005.04</v>
      </c>
      <c r="L1427" s="63" t="n">
        <v>1972.73</v>
      </c>
      <c r="M1427" s="63" t="n">
        <v>2000.12</v>
      </c>
      <c r="N1427" s="54">
        <f>(M1428-M1427)/M1427</f>
        <v/>
      </c>
      <c r="O1427" s="54">
        <f>(M1431-M1427)/M1427</f>
        <v/>
      </c>
      <c r="P1427" s="4">
        <f>B1427-D1427</f>
        <v/>
      </c>
      <c r="Q1427" s="4">
        <f>AVERAGE(P1424:P1427)</f>
        <v/>
      </c>
      <c r="R1427" s="54">
        <f>(M1428-M1427)/M1427</f>
        <v/>
      </c>
      <c r="S1427" s="54">
        <f>(M1431-M1427)/M1427</f>
        <v/>
      </c>
      <c r="T1427" s="63">
        <f>IF(R1427&gt;0,1,"")</f>
        <v/>
      </c>
      <c r="U1427" s="63">
        <f>IF(S1427&gt;0,1,"")</f>
        <v/>
      </c>
    </row>
    <row r="1428">
      <c r="A1428" s="35" t="n">
        <v>41886</v>
      </c>
      <c r="B1428" s="4" t="n">
        <v>0.446746</v>
      </c>
      <c r="C1428" s="4" t="n">
        <v>0.313609</v>
      </c>
      <c r="D1428" s="4" t="n">
        <v>0.239645</v>
      </c>
      <c r="E1428" s="63" t="n">
        <v>1</v>
      </c>
      <c r="F1428" s="63" t="n">
        <v>0.3831485</v>
      </c>
      <c r="G1428" s="63" t="n">
        <v>0.207101</v>
      </c>
      <c r="H1428" s="63" t="n">
        <v>0.384907436629</v>
      </c>
      <c r="I1428" s="63" t="n">
        <v>0.48829287048</v>
      </c>
      <c r="J1428" s="63" t="n">
        <v>0.281522002778</v>
      </c>
      <c r="K1428" s="63" t="n">
        <v>2009.28</v>
      </c>
      <c r="L1428" s="63" t="n">
        <v>1990.52</v>
      </c>
      <c r="M1428" s="63" t="n">
        <v>2000.72</v>
      </c>
      <c r="N1428" s="54">
        <f>(M1429-M1428)/M1428</f>
        <v/>
      </c>
      <c r="O1428" s="54">
        <f>(M1432-M1428)/M1428</f>
        <v/>
      </c>
      <c r="P1428" s="4">
        <f>B1428-D1428</f>
        <v/>
      </c>
      <c r="Q1428" s="4">
        <f>AVERAGE(P1425:P1428)</f>
        <v/>
      </c>
      <c r="R1428" s="54">
        <f>(M1429-M1428)/M1428</f>
        <v/>
      </c>
      <c r="S1428" s="54">
        <f>(M1432-M1428)/M1428</f>
        <v/>
      </c>
      <c r="T1428" s="63">
        <f>IF(R1428&gt;0,1,"")</f>
        <v/>
      </c>
      <c r="U1428" s="63">
        <f>IF(S1428&gt;0,1,"")</f>
        <v/>
      </c>
    </row>
    <row r="1429">
      <c r="A1429" s="35" t="n">
        <v>41893</v>
      </c>
      <c r="B1429" s="4" t="n">
        <v>0.403846</v>
      </c>
      <c r="C1429" s="4" t="n">
        <v>0.330128</v>
      </c>
      <c r="D1429" s="4" t="n">
        <v>0.266026</v>
      </c>
      <c r="E1429" s="63" t="n">
        <v>1</v>
      </c>
      <c r="F1429" s="63" t="n">
        <v>0.393176125</v>
      </c>
      <c r="G1429" s="63" t="n">
        <v>0.13782</v>
      </c>
      <c r="H1429" s="63" t="n">
        <v>0.384907436629</v>
      </c>
      <c r="I1429" s="63" t="n">
        <v>0.48829287048</v>
      </c>
      <c r="J1429" s="63" t="n">
        <v>0.281522002778</v>
      </c>
      <c r="K1429" s="63" t="n">
        <v>2011.17</v>
      </c>
      <c r="L1429" s="63" t="n">
        <v>1982.99</v>
      </c>
      <c r="M1429" s="63" t="n">
        <v>1995.69</v>
      </c>
      <c r="N1429" s="54">
        <f>(M1430-M1429)/M1429</f>
        <v/>
      </c>
      <c r="O1429" s="54">
        <f>(M1433-M1429)/M1429</f>
        <v/>
      </c>
      <c r="P1429" s="4">
        <f>B1429-D1429</f>
        <v/>
      </c>
      <c r="Q1429" s="4">
        <f>AVERAGE(P1426:P1429)</f>
        <v/>
      </c>
      <c r="R1429" s="54">
        <f>(M1430-M1429)/M1429</f>
        <v/>
      </c>
      <c r="S1429" s="54">
        <f>(M1433-M1429)/M1429</f>
        <v/>
      </c>
      <c r="T1429" s="63">
        <f>IF(R1429&gt;0,1,"")</f>
        <v/>
      </c>
      <c r="U1429" s="63">
        <f>IF(S1429&gt;0,1,"")</f>
        <v/>
      </c>
    </row>
    <row r="1430">
      <c r="A1430" s="35" t="n">
        <v>41900</v>
      </c>
      <c r="B1430" s="4" t="n">
        <v>0.42236</v>
      </c>
      <c r="C1430" s="4" t="n">
        <v>0.347826</v>
      </c>
      <c r="D1430" s="4" t="n">
        <v>0.229814</v>
      </c>
      <c r="E1430" s="63" t="n">
        <v>1</v>
      </c>
      <c r="F1430" s="63" t="n">
        <v>0.408934125</v>
      </c>
      <c r="G1430" s="63" t="n">
        <v>0.192546</v>
      </c>
      <c r="H1430" s="63" t="n">
        <v>0.384907436629</v>
      </c>
      <c r="I1430" s="63" t="n">
        <v>0.48829287048</v>
      </c>
      <c r="J1430" s="63" t="n">
        <v>0.281522002778</v>
      </c>
      <c r="K1430" s="63" t="n">
        <v>2010.74</v>
      </c>
      <c r="L1430" s="63" t="n">
        <v>1978.48</v>
      </c>
      <c r="M1430" s="63" t="n">
        <v>2001.57</v>
      </c>
      <c r="N1430" s="54">
        <f>(M1431-M1430)/M1430</f>
        <v/>
      </c>
      <c r="O1430" s="54">
        <f>(M1434-M1430)/M1430</f>
        <v/>
      </c>
      <c r="P1430" s="4">
        <f>B1430-D1430</f>
        <v/>
      </c>
      <c r="Q1430" s="4">
        <f>AVERAGE(P1427:P1430)</f>
        <v/>
      </c>
      <c r="R1430" s="54">
        <f>(M1431-M1430)/M1430</f>
        <v/>
      </c>
      <c r="S1430" s="54">
        <f>(M1434-M1430)/M1430</f>
        <v/>
      </c>
      <c r="T1430" s="63">
        <f>IF(R1430&gt;0,1,"")</f>
        <v/>
      </c>
      <c r="U1430" s="63">
        <f>IF(S1430&gt;0,1,"")</f>
        <v/>
      </c>
    </row>
    <row r="1431">
      <c r="A1431" s="35" t="n">
        <v>41907</v>
      </c>
      <c r="B1431" s="4" t="n">
        <v>0.418367</v>
      </c>
      <c r="C1431" s="4" t="n">
        <v>0.29932</v>
      </c>
      <c r="D1431" s="4" t="n">
        <v>0.282313</v>
      </c>
      <c r="E1431" s="63" t="n">
        <v>1</v>
      </c>
      <c r="F1431" s="63" t="n">
        <v>0.422327</v>
      </c>
      <c r="G1431" s="63" t="n">
        <v>0.136054</v>
      </c>
      <c r="H1431" s="63" t="n">
        <v>0.384907436629</v>
      </c>
      <c r="I1431" s="63" t="n">
        <v>0.48829287048</v>
      </c>
      <c r="J1431" s="63" t="n">
        <v>0.281522002778</v>
      </c>
      <c r="K1431" s="63" t="n">
        <v>2019.26</v>
      </c>
      <c r="L1431" s="63" t="n">
        <v>1978.63</v>
      </c>
      <c r="M1431" s="63" t="n">
        <v>1998.3</v>
      </c>
      <c r="N1431" s="54">
        <f>(M1432-M1431)/M1431</f>
        <v/>
      </c>
      <c r="O1431" s="54">
        <f>(M1435-M1431)/M1431</f>
        <v/>
      </c>
      <c r="P1431" s="4">
        <f>B1431-D1431</f>
        <v/>
      </c>
      <c r="Q1431" s="4">
        <f>AVERAGE(P1428:P1431)</f>
        <v/>
      </c>
      <c r="R1431" s="54">
        <f>(M1432-M1431)/M1431</f>
        <v/>
      </c>
      <c r="S1431" s="54">
        <f>(M1435-M1431)/M1431</f>
        <v/>
      </c>
      <c r="T1431" s="63">
        <f>IF(R1431&gt;0,1,"")</f>
        <v/>
      </c>
      <c r="U1431" s="63">
        <f>IF(S1431&gt;0,1,"")</f>
        <v/>
      </c>
    </row>
    <row r="1432">
      <c r="A1432" s="35" t="n">
        <v>41914</v>
      </c>
      <c r="B1432" s="4" t="n">
        <v>0.354167</v>
      </c>
      <c r="C1432" s="4" t="n">
        <v>0.336806</v>
      </c>
      <c r="D1432" s="4" t="n">
        <v>0.309028</v>
      </c>
      <c r="E1432" s="63" t="n">
        <v>1.000001</v>
      </c>
      <c r="F1432" s="63" t="n">
        <v>0.42798925</v>
      </c>
      <c r="G1432" s="63" t="n">
        <v>0.045139</v>
      </c>
      <c r="H1432" s="63" t="n">
        <v>0.384907436629</v>
      </c>
      <c r="I1432" s="63" t="n">
        <v>0.48829287048</v>
      </c>
      <c r="J1432" s="63" t="n">
        <v>0.281522002778</v>
      </c>
      <c r="K1432" s="63" t="n">
        <v>1999.79</v>
      </c>
      <c r="L1432" s="63" t="n">
        <v>1941.72</v>
      </c>
      <c r="M1432" s="63" t="n">
        <v>1946.16</v>
      </c>
      <c r="N1432" s="54">
        <f>(M1433-M1432)/M1432</f>
        <v/>
      </c>
      <c r="O1432" s="54">
        <f>(M1436-M1432)/M1432</f>
        <v/>
      </c>
      <c r="P1432" s="4">
        <f>B1432-D1432</f>
        <v/>
      </c>
      <c r="Q1432" s="4">
        <f>AVERAGE(P1429:P1432)</f>
        <v/>
      </c>
      <c r="R1432" s="54">
        <f>(M1433-M1432)/M1432</f>
        <v/>
      </c>
      <c r="S1432" s="54">
        <f>(M1436-M1432)/M1432</f>
        <v/>
      </c>
      <c r="T1432" s="63">
        <f>IF(R1432&gt;0,1,"")</f>
        <v/>
      </c>
      <c r="U1432" s="63">
        <f>IF(S1432&gt;0,1,"")</f>
        <v/>
      </c>
    </row>
    <row r="1433">
      <c r="A1433" s="35" t="n">
        <v>41921</v>
      </c>
      <c r="B1433" s="4" t="n">
        <v>0.398773</v>
      </c>
      <c r="C1433" s="4" t="n">
        <v>0.291411</v>
      </c>
      <c r="D1433" s="4" t="n">
        <v>0.309816</v>
      </c>
      <c r="E1433" s="63" t="n">
        <v>1</v>
      </c>
      <c r="F1433" s="63" t="n">
        <v>0.428071</v>
      </c>
      <c r="G1433" s="63" t="n">
        <v>0.08895699999999999</v>
      </c>
      <c r="H1433" s="63" t="n">
        <v>0.384907436629</v>
      </c>
      <c r="I1433" s="63" t="n">
        <v>0.48829287048</v>
      </c>
      <c r="J1433" s="63" t="n">
        <v>0.281522002778</v>
      </c>
      <c r="K1433" s="63" t="n">
        <v>1985.17</v>
      </c>
      <c r="L1433" s="63" t="n">
        <v>1925.25</v>
      </c>
      <c r="M1433" s="63" t="n">
        <v>1968.89</v>
      </c>
      <c r="N1433" s="54">
        <f>(M1434-M1433)/M1433</f>
        <v/>
      </c>
      <c r="O1433" s="54">
        <f>(M1437-M1433)/M1433</f>
        <v/>
      </c>
      <c r="P1433" s="4">
        <f>B1433-D1433</f>
        <v/>
      </c>
      <c r="Q1433" s="4">
        <f>AVERAGE(P1430:P1433)</f>
        <v/>
      </c>
      <c r="R1433" s="54">
        <f>(M1434-M1433)/M1433</f>
        <v/>
      </c>
      <c r="S1433" s="54">
        <f>(M1437-M1433)/M1433</f>
        <v/>
      </c>
      <c r="T1433" s="63">
        <f>IF(R1433&gt;0,1,"")</f>
        <v/>
      </c>
      <c r="U1433" s="63">
        <f>IF(S1433&gt;0,1,"")</f>
        <v/>
      </c>
    </row>
    <row r="1434">
      <c r="A1434" s="35" t="n">
        <v>41928</v>
      </c>
      <c r="B1434" s="4" t="n">
        <v>0.42663</v>
      </c>
      <c r="C1434" s="4" t="n">
        <v>0.236413</v>
      </c>
      <c r="D1434" s="4" t="n">
        <v>0.336957</v>
      </c>
      <c r="E1434" s="63" t="n">
        <v>1</v>
      </c>
      <c r="F1434" s="63" t="n">
        <v>0.423765</v>
      </c>
      <c r="G1434" s="63" t="n">
        <v>0.089673</v>
      </c>
      <c r="H1434" s="63" t="n">
        <v>0.384907436629</v>
      </c>
      <c r="I1434" s="63" t="n">
        <v>0.48829287048</v>
      </c>
      <c r="J1434" s="63" t="n">
        <v>0.281522002778</v>
      </c>
      <c r="K1434" s="63" t="n">
        <v>1970.36</v>
      </c>
      <c r="L1434" s="63" t="n">
        <v>1820.66</v>
      </c>
      <c r="M1434" s="63" t="n">
        <v>1862.49</v>
      </c>
      <c r="N1434" s="54">
        <f>(M1435-M1434)/M1434</f>
        <v/>
      </c>
      <c r="O1434" s="54">
        <f>(M1438-M1434)/M1434</f>
        <v/>
      </c>
      <c r="P1434" s="4">
        <f>B1434-D1434</f>
        <v/>
      </c>
      <c r="Q1434" s="4">
        <f>AVERAGE(P1431:P1434)</f>
        <v/>
      </c>
      <c r="R1434" s="54">
        <f>(M1435-M1434)/M1434</f>
        <v/>
      </c>
      <c r="S1434" s="54">
        <f>(M1438-M1434)/M1434</f>
        <v/>
      </c>
      <c r="T1434" s="63">
        <f>IF(R1434&gt;0,1,"")</f>
        <v/>
      </c>
      <c r="U1434" s="63">
        <f>IF(S1434&gt;0,1,"")</f>
        <v/>
      </c>
    </row>
    <row r="1435">
      <c r="A1435" s="35" t="n">
        <v>41935</v>
      </c>
      <c r="B1435" s="4" t="n">
        <v>0.496875</v>
      </c>
      <c r="C1435" s="4" t="n">
        <v>0.278125</v>
      </c>
      <c r="D1435" s="4" t="n">
        <v>0.225</v>
      </c>
      <c r="E1435" s="63" t="n">
        <v>1</v>
      </c>
      <c r="F1435" s="63" t="n">
        <v>0.4209705</v>
      </c>
      <c r="G1435" s="63" t="n">
        <v>0.271875</v>
      </c>
      <c r="H1435" s="63" t="n">
        <v>0.384907436629</v>
      </c>
      <c r="I1435" s="63" t="n">
        <v>0.48829287048</v>
      </c>
      <c r="J1435" s="63" t="n">
        <v>0.281522002778</v>
      </c>
      <c r="K1435" s="63" t="n">
        <v>1949.31</v>
      </c>
      <c r="L1435" s="63" t="n">
        <v>1820.66</v>
      </c>
      <c r="M1435" s="63" t="n">
        <v>1927.11</v>
      </c>
      <c r="N1435" s="54">
        <f>(M1436-M1435)/M1435</f>
        <v/>
      </c>
      <c r="O1435" s="54">
        <f>(M1439-M1435)/M1435</f>
        <v/>
      </c>
      <c r="P1435" s="4">
        <f>B1435-D1435</f>
        <v/>
      </c>
      <c r="Q1435" s="4">
        <f>AVERAGE(P1432:P1435)</f>
        <v/>
      </c>
      <c r="R1435" s="54">
        <f>(M1436-M1435)/M1435</f>
        <v/>
      </c>
      <c r="S1435" s="54">
        <f>(M1439-M1435)/M1435</f>
        <v/>
      </c>
      <c r="T1435" s="63">
        <f>IF(R1435&gt;0,1,"")</f>
        <v/>
      </c>
      <c r="U1435" s="63">
        <f>IF(S1435&gt;0,1,"")</f>
        <v/>
      </c>
    </row>
    <row r="1436">
      <c r="A1436" s="35" t="n">
        <v>41942</v>
      </c>
      <c r="B1436" s="4" t="n">
        <v>0.493711</v>
      </c>
      <c r="C1436" s="4" t="n">
        <v>0.295597</v>
      </c>
      <c r="D1436" s="4" t="n">
        <v>0.210692</v>
      </c>
      <c r="E1436" s="63" t="n">
        <v>1</v>
      </c>
      <c r="F1436" s="63" t="n">
        <v>0.426841125</v>
      </c>
      <c r="G1436" s="63" t="n">
        <v>0.283019</v>
      </c>
      <c r="H1436" s="63" t="n">
        <v>0.384907436629</v>
      </c>
      <c r="I1436" s="63" t="n">
        <v>0.48829287048</v>
      </c>
      <c r="J1436" s="63" t="n">
        <v>0.281522002778</v>
      </c>
      <c r="K1436" s="63" t="n">
        <v>1991.4</v>
      </c>
      <c r="L1436" s="63" t="n">
        <v>1909.38</v>
      </c>
      <c r="M1436" s="63" t="n">
        <v>1982.3</v>
      </c>
      <c r="N1436" s="54">
        <f>(M1437-M1436)/M1436</f>
        <v/>
      </c>
      <c r="O1436" s="54">
        <f>(M1440-M1436)/M1436</f>
        <v/>
      </c>
      <c r="P1436" s="4">
        <f>B1436-D1436</f>
        <v/>
      </c>
      <c r="Q1436" s="4">
        <f>AVERAGE(P1433:P1436)</f>
        <v/>
      </c>
      <c r="R1436" s="54">
        <f>(M1437-M1436)/M1436</f>
        <v/>
      </c>
      <c r="S1436" s="54">
        <f>(M1440-M1436)/M1436</f>
        <v/>
      </c>
      <c r="T1436" s="63">
        <f>IF(R1436&gt;0,1,"")</f>
        <v/>
      </c>
      <c r="U1436" s="63">
        <f>IF(S1436&gt;0,1,"")</f>
        <v/>
      </c>
    </row>
    <row r="1437">
      <c r="A1437" s="35" t="n">
        <v>41949</v>
      </c>
      <c r="B1437" s="4" t="n">
        <v>0.526882</v>
      </c>
      <c r="C1437" s="4" t="n">
        <v>0.322581</v>
      </c>
      <c r="D1437" s="4" t="n">
        <v>0.150538</v>
      </c>
      <c r="E1437" s="63" t="n">
        <v>1.000001</v>
      </c>
      <c r="F1437" s="63" t="n">
        <v>0.442220625</v>
      </c>
      <c r="G1437" s="63" t="n">
        <v>0.376344</v>
      </c>
      <c r="H1437" s="63" t="n">
        <v>0.384907436629</v>
      </c>
      <c r="I1437" s="63" t="n">
        <v>0.48829287048</v>
      </c>
      <c r="J1437" s="63" t="n">
        <v>0.281522002778</v>
      </c>
      <c r="K1437" s="63" t="n">
        <v>2024.46</v>
      </c>
      <c r="L1437" s="63" t="n">
        <v>1964.14</v>
      </c>
      <c r="M1437" s="63" t="n">
        <v>2023.57</v>
      </c>
      <c r="N1437" s="54">
        <f>(M1438-M1437)/M1437</f>
        <v/>
      </c>
      <c r="O1437" s="54">
        <f>(M1441-M1437)/M1437</f>
        <v/>
      </c>
      <c r="P1437" s="4">
        <f>B1437-D1437</f>
        <v/>
      </c>
      <c r="Q1437" s="4">
        <f>AVERAGE(P1434:P1437)</f>
        <v/>
      </c>
      <c r="R1437" s="54">
        <f>(M1438-M1437)/M1437</f>
        <v/>
      </c>
      <c r="S1437" s="54">
        <f>(M1441-M1437)/M1437</f>
        <v/>
      </c>
      <c r="T1437" s="63">
        <f>IF(R1437&gt;0,1,"")</f>
        <v/>
      </c>
      <c r="U1437" s="63">
        <f>IF(S1437&gt;0,1,"")</f>
        <v/>
      </c>
    </row>
    <row r="1438">
      <c r="A1438" s="35" t="n">
        <v>41956</v>
      </c>
      <c r="B1438" s="4" t="n">
        <v>0.57931</v>
      </c>
      <c r="C1438" s="4" t="n">
        <v>0.227586</v>
      </c>
      <c r="D1438" s="4" t="n">
        <v>0.193103</v>
      </c>
      <c r="E1438" s="63" t="n">
        <v>0.999999</v>
      </c>
      <c r="F1438" s="63" t="n">
        <v>0.461839375</v>
      </c>
      <c r="G1438" s="63" t="n">
        <v>0.386207</v>
      </c>
      <c r="H1438" s="63" t="n">
        <v>0.384907436629</v>
      </c>
      <c r="I1438" s="63" t="n">
        <v>0.48829287048</v>
      </c>
      <c r="J1438" s="63" t="n">
        <v>0.281522002778</v>
      </c>
      <c r="K1438" s="63" t="n">
        <v>2041.28</v>
      </c>
      <c r="L1438" s="63" t="n">
        <v>2001.01</v>
      </c>
      <c r="M1438" s="63" t="n">
        <v>2038.25</v>
      </c>
      <c r="N1438" s="54">
        <f>(M1439-M1438)/M1438</f>
        <v/>
      </c>
      <c r="O1438" s="54">
        <f>(M1442-M1438)/M1438</f>
        <v/>
      </c>
      <c r="P1438" s="4">
        <f>B1438-D1438</f>
        <v/>
      </c>
      <c r="Q1438" s="4">
        <f>AVERAGE(P1435:P1438)</f>
        <v/>
      </c>
      <c r="R1438" s="54">
        <f>(M1439-M1438)/M1438</f>
        <v/>
      </c>
      <c r="S1438" s="54">
        <f>(M1442-M1438)/M1438</f>
        <v/>
      </c>
      <c r="T1438" s="63">
        <f>IF(R1438&gt;0,1,"")</f>
        <v/>
      </c>
      <c r="U1438" s="63">
        <f>IF(S1438&gt;0,1,"")</f>
        <v/>
      </c>
    </row>
    <row r="1439">
      <c r="A1439" s="35" t="n">
        <v>41963</v>
      </c>
      <c r="B1439" s="4" t="n">
        <v>0.491176</v>
      </c>
      <c r="C1439" s="4" t="n">
        <v>0.270588</v>
      </c>
      <c r="D1439" s="4" t="n">
        <v>0.238235</v>
      </c>
      <c r="E1439" s="63" t="n">
        <v>0.999999</v>
      </c>
      <c r="F1439" s="63" t="n">
        <v>0.4709405</v>
      </c>
      <c r="G1439" s="63" t="n">
        <v>0.252941</v>
      </c>
      <c r="H1439" s="63" t="n">
        <v>0.384907436629</v>
      </c>
      <c r="I1439" s="63" t="n">
        <v>0.48829287048</v>
      </c>
      <c r="J1439" s="63" t="n">
        <v>0.281522002778</v>
      </c>
      <c r="K1439" s="63" t="n">
        <v>2056.08</v>
      </c>
      <c r="L1439" s="63" t="n">
        <v>2030.44</v>
      </c>
      <c r="M1439" s="63" t="n">
        <v>2048.72</v>
      </c>
      <c r="N1439" s="54">
        <f>(M1440-M1439)/M1439</f>
        <v/>
      </c>
      <c r="O1439" s="54">
        <f>(M1443-M1439)/M1439</f>
        <v/>
      </c>
      <c r="P1439" s="4">
        <f>B1439-D1439</f>
        <v/>
      </c>
      <c r="Q1439" s="4">
        <f>AVERAGE(P1436:P1439)</f>
        <v/>
      </c>
      <c r="R1439" s="54">
        <f>(M1440-M1439)/M1439</f>
        <v/>
      </c>
      <c r="S1439" s="54">
        <f>(M1443-M1439)/M1439</f>
        <v/>
      </c>
      <c r="T1439" s="63">
        <f>IF(R1439&gt;0,1,"")</f>
        <v/>
      </c>
      <c r="U1439" s="63">
        <f>IF(S1439&gt;0,1,"")</f>
        <v/>
      </c>
    </row>
    <row r="1440">
      <c r="A1440" s="35" t="n">
        <v>41970</v>
      </c>
      <c r="B1440" s="4" t="n">
        <v>0.521452</v>
      </c>
      <c r="C1440" s="4" t="n">
        <v>0.270627</v>
      </c>
      <c r="D1440" s="4" t="n">
        <v>0.207921</v>
      </c>
      <c r="E1440" s="63" t="n">
        <v>1</v>
      </c>
      <c r="F1440" s="63" t="n">
        <v>0.491851125</v>
      </c>
      <c r="G1440" s="63" t="n">
        <v>0.313531</v>
      </c>
      <c r="H1440" s="63" t="n">
        <v>0.384907436629</v>
      </c>
      <c r="I1440" s="63" t="n">
        <v>0.48829287048</v>
      </c>
      <c r="J1440" s="63" t="n">
        <v>0.281522002778</v>
      </c>
      <c r="K1440" s="63" t="n">
        <v>2075.76</v>
      </c>
      <c r="L1440" s="63" t="n">
        <v>2040.37</v>
      </c>
      <c r="M1440" s="63" t="n">
        <v>2067.56</v>
      </c>
      <c r="N1440" s="54">
        <f>(M1441-M1440)/M1440</f>
        <v/>
      </c>
      <c r="O1440" s="54">
        <f>(M1444-M1440)/M1440</f>
        <v/>
      </c>
      <c r="P1440" s="4">
        <f>B1440-D1440</f>
        <v/>
      </c>
      <c r="Q1440" s="4">
        <f>AVERAGE(P1437:P1440)</f>
        <v/>
      </c>
      <c r="R1440" s="54">
        <f>(M1441-M1440)/M1440</f>
        <v/>
      </c>
      <c r="S1440" s="54">
        <f>(M1444-M1440)/M1440</f>
        <v/>
      </c>
      <c r="T1440" s="63">
        <f>IF(R1440&gt;0,1,"")</f>
        <v/>
      </c>
      <c r="U1440" s="63">
        <f>IF(S1440&gt;0,1,"")</f>
        <v/>
      </c>
    </row>
    <row r="1441">
      <c r="A1441" s="35" t="n">
        <v>41977</v>
      </c>
      <c r="B1441" s="4" t="n">
        <v>0.426778</v>
      </c>
      <c r="C1441" s="4" t="n">
        <v>0.313808</v>
      </c>
      <c r="D1441" s="4" t="n">
        <v>0.259414</v>
      </c>
      <c r="E1441" s="63" t="n">
        <v>1</v>
      </c>
      <c r="F1441" s="63" t="n">
        <v>0.49535175</v>
      </c>
      <c r="G1441" s="63" t="n">
        <v>0.167364</v>
      </c>
      <c r="H1441" s="63" t="n">
        <v>0.384907436629</v>
      </c>
      <c r="I1441" s="63" t="n">
        <v>0.48829287048</v>
      </c>
      <c r="J1441" s="63" t="n">
        <v>0.281522002778</v>
      </c>
      <c r="K1441" s="63" t="n">
        <v>2076.28</v>
      </c>
      <c r="L1441" s="63" t="n">
        <v>2049.57</v>
      </c>
      <c r="M1441" s="63" t="n">
        <v>2074.33</v>
      </c>
      <c r="N1441" s="54">
        <f>(M1442-M1441)/M1441</f>
        <v/>
      </c>
      <c r="O1441" s="54">
        <f>(M1445-M1441)/M1441</f>
        <v/>
      </c>
      <c r="P1441" s="4">
        <f>B1441-D1441</f>
        <v/>
      </c>
      <c r="Q1441" s="4">
        <f>AVERAGE(P1438:P1441)</f>
        <v/>
      </c>
      <c r="R1441" s="54">
        <f>(M1442-M1441)/M1441</f>
        <v/>
      </c>
      <c r="S1441" s="54">
        <f>(M1445-M1441)/M1441</f>
        <v/>
      </c>
      <c r="T1441" s="63">
        <f>IF(R1441&gt;0,1,"")</f>
        <v/>
      </c>
      <c r="U1441" s="63">
        <f>IF(S1441&gt;0,1,"")</f>
        <v/>
      </c>
    </row>
    <row r="1442">
      <c r="A1442" s="35" t="n">
        <v>41984</v>
      </c>
      <c r="B1442" s="4" t="n">
        <v>0.450172</v>
      </c>
      <c r="C1442" s="4" t="n">
        <v>0.32646</v>
      </c>
      <c r="D1442" s="4" t="n">
        <v>0.223368</v>
      </c>
      <c r="E1442" s="63" t="n">
        <v>1</v>
      </c>
      <c r="F1442" s="63" t="n">
        <v>0.4982945</v>
      </c>
      <c r="G1442" s="63" t="n">
        <v>0.226804</v>
      </c>
      <c r="H1442" s="63" t="n">
        <v>0.384907436629</v>
      </c>
      <c r="I1442" s="63" t="n">
        <v>0.48829287048</v>
      </c>
      <c r="J1442" s="63" t="n">
        <v>0.281522002778</v>
      </c>
      <c r="K1442" s="63" t="n">
        <v>2079.47</v>
      </c>
      <c r="L1442" s="63" t="n">
        <v>2024.26</v>
      </c>
      <c r="M1442" s="63" t="n">
        <v>2026.14</v>
      </c>
      <c r="N1442" s="54">
        <f>(M1443-M1442)/M1442</f>
        <v/>
      </c>
      <c r="O1442" s="54">
        <f>(M1446-M1442)/M1442</f>
        <v/>
      </c>
      <c r="P1442" s="4">
        <f>B1442-D1442</f>
        <v/>
      </c>
      <c r="Q1442" s="4">
        <f>AVERAGE(P1439:P1442)</f>
        <v/>
      </c>
      <c r="R1442" s="54">
        <f>(M1443-M1442)/M1442</f>
        <v/>
      </c>
      <c r="S1442" s="54">
        <f>(M1446-M1442)/M1442</f>
        <v/>
      </c>
      <c r="T1442" s="63">
        <f>IF(R1442&gt;0,1,"")</f>
        <v/>
      </c>
      <c r="U1442" s="63">
        <f>IF(S1442&gt;0,1,"")</f>
        <v/>
      </c>
    </row>
    <row r="1443">
      <c r="A1443" s="35" t="n">
        <v>41991</v>
      </c>
      <c r="B1443" s="4" t="n">
        <v>0.387352</v>
      </c>
      <c r="C1443" s="4" t="n">
        <v>0.343874</v>
      </c>
      <c r="D1443" s="4" t="n">
        <v>0.268775</v>
      </c>
      <c r="E1443" s="63" t="n">
        <v>1.000001</v>
      </c>
      <c r="F1443" s="63" t="n">
        <v>0.484604125</v>
      </c>
      <c r="G1443" s="63" t="n">
        <v>0.118577</v>
      </c>
      <c r="H1443" s="63" t="n">
        <v>0.384907436629</v>
      </c>
      <c r="I1443" s="63" t="n">
        <v>0.48829287048</v>
      </c>
      <c r="J1443" s="63" t="n">
        <v>0.281522002778</v>
      </c>
      <c r="K1443" s="63" t="n">
        <v>2060.6</v>
      </c>
      <c r="L1443" s="63" t="n">
        <v>2002.33</v>
      </c>
      <c r="M1443" s="63" t="n">
        <v>2012.89</v>
      </c>
      <c r="N1443" s="54">
        <f>(M1444-M1443)/M1443</f>
        <v/>
      </c>
      <c r="O1443" s="54">
        <f>(M1447-M1443)/M1443</f>
        <v/>
      </c>
      <c r="P1443" s="4">
        <f>B1443-D1443</f>
        <v/>
      </c>
      <c r="Q1443" s="4">
        <f>AVERAGE(P1440:P1443)</f>
        <v/>
      </c>
      <c r="R1443" s="54">
        <f>(M1444-M1443)/M1443</f>
        <v/>
      </c>
      <c r="S1443" s="54">
        <f>(M1447-M1443)/M1443</f>
        <v/>
      </c>
      <c r="T1443" s="63">
        <f>IF(R1443&gt;0,1,"")</f>
        <v/>
      </c>
      <c r="U1443" s="63">
        <f>IF(S1443&gt;0,1,"")</f>
        <v/>
      </c>
    </row>
    <row r="1444">
      <c r="A1444" s="35" t="n">
        <v>41998</v>
      </c>
      <c r="B1444" s="4" t="n">
        <v>0.5094340000000001</v>
      </c>
      <c r="C1444" s="4" t="n">
        <v>0.301887</v>
      </c>
      <c r="D1444" s="4" t="n">
        <v>0.188679</v>
      </c>
      <c r="E1444" s="63" t="n">
        <v>1</v>
      </c>
      <c r="F1444" s="63" t="n">
        <v>0.4865695</v>
      </c>
      <c r="G1444" s="63" t="n">
        <v>0.320755</v>
      </c>
      <c r="H1444" s="63" t="n">
        <v>0.384907436629</v>
      </c>
      <c r="I1444" s="63" t="n">
        <v>0.48829287048</v>
      </c>
      <c r="J1444" s="63" t="n">
        <v>0.281522002778</v>
      </c>
      <c r="K1444" s="63" t="n">
        <v>2093.55</v>
      </c>
      <c r="L1444" s="63" t="n">
        <v>2018.98</v>
      </c>
      <c r="M1444" s="63" t="n">
        <v>2090.57</v>
      </c>
      <c r="N1444" s="54">
        <f>(M1445-M1444)/M1444</f>
        <v/>
      </c>
      <c r="O1444" s="54">
        <f>(M1448-M1444)/M1444</f>
        <v/>
      </c>
      <c r="P1444" s="4">
        <f>B1444-D1444</f>
        <v/>
      </c>
      <c r="Q1444" s="4">
        <f>AVERAGE(P1441:P1444)</f>
        <v/>
      </c>
      <c r="R1444" s="54">
        <f>(M1445-M1444)/M1444</f>
        <v/>
      </c>
      <c r="S1444" s="54">
        <f>(M1448-M1444)/M1444</f>
        <v/>
      </c>
      <c r="T1444" s="63">
        <f>IF(R1444&gt;0,1,"")</f>
        <v/>
      </c>
      <c r="U1444" s="63">
        <f>IF(S1444&gt;0,1,"")</f>
        <v/>
      </c>
    </row>
    <row r="1445">
      <c r="A1445" s="35" t="n">
        <v>42005</v>
      </c>
      <c r="B1445" s="4" t="n">
        <v>0.517375</v>
      </c>
      <c r="C1445" s="4" t="n">
        <v>0.289575</v>
      </c>
      <c r="D1445" s="4" t="n">
        <v>0.19305</v>
      </c>
      <c r="E1445" s="63" t="n">
        <v>1</v>
      </c>
      <c r="F1445" s="63" t="n">
        <v>0.485381125</v>
      </c>
      <c r="G1445" s="63" t="n">
        <v>0.324325</v>
      </c>
      <c r="H1445" s="63" t="n">
        <v>0.384907436629</v>
      </c>
      <c r="I1445" s="63" t="n">
        <v>0.48829287048</v>
      </c>
      <c r="J1445" s="63" t="n">
        <v>0.281522002778</v>
      </c>
      <c r="K1445" s="63" t="n">
        <v>2093.55</v>
      </c>
      <c r="L1445" s="63" t="n">
        <v>2017.34</v>
      </c>
      <c r="M1445" s="63" t="n">
        <v>2020.58</v>
      </c>
      <c r="N1445" s="54">
        <f>(M1446-M1445)/M1445</f>
        <v/>
      </c>
      <c r="O1445" s="54">
        <f>(M1449-M1445)/M1445</f>
        <v/>
      </c>
      <c r="P1445" s="4">
        <f>B1445-D1445</f>
        <v/>
      </c>
      <c r="Q1445" s="4">
        <f>AVERAGE(P1442:P1445)</f>
        <v/>
      </c>
      <c r="R1445" s="54">
        <f>(M1446-M1445)/M1445</f>
        <v/>
      </c>
      <c r="S1445" s="54">
        <f>(M1449-M1445)/M1445</f>
        <v/>
      </c>
      <c r="T1445" s="63">
        <f>IF(R1445&gt;0,1,"")</f>
        <v/>
      </c>
      <c r="U1445" s="63">
        <f>IF(S1445&gt;0,1,"")</f>
        <v/>
      </c>
    </row>
    <row r="1446">
      <c r="A1446" s="35" t="n">
        <v>42012</v>
      </c>
      <c r="B1446" s="4" t="n">
        <v>0.410072</v>
      </c>
      <c r="C1446" s="4" t="n">
        <v>0.31295</v>
      </c>
      <c r="D1446" s="4" t="n">
        <v>0.276978</v>
      </c>
      <c r="E1446" s="63" t="n">
        <v>1</v>
      </c>
      <c r="F1446" s="63" t="n">
        <v>0.464226375</v>
      </c>
      <c r="G1446" s="63" t="n">
        <v>0.133094</v>
      </c>
      <c r="H1446" s="63" t="n">
        <v>0.384907436629</v>
      </c>
      <c r="I1446" s="63" t="n">
        <v>0.48829287048</v>
      </c>
      <c r="J1446" s="63" t="n">
        <v>0.281522002778</v>
      </c>
      <c r="K1446" s="63" t="n">
        <v>2093.55</v>
      </c>
      <c r="L1446" s="63" t="n">
        <v>1992.44</v>
      </c>
      <c r="M1446" s="63" t="n">
        <v>2025.9</v>
      </c>
      <c r="N1446" s="54">
        <f>(M1447-M1446)/M1446</f>
        <v/>
      </c>
      <c r="O1446" s="54">
        <f>(M1450-M1446)/M1446</f>
        <v/>
      </c>
      <c r="P1446" s="4">
        <f>B1446-D1446</f>
        <v/>
      </c>
      <c r="Q1446" s="4">
        <f>AVERAGE(P1443:P1446)</f>
        <v/>
      </c>
      <c r="R1446" s="54">
        <f>(M1447-M1446)/M1446</f>
        <v/>
      </c>
      <c r="S1446" s="54">
        <f>(M1450-M1446)/M1446</f>
        <v/>
      </c>
      <c r="T1446" s="63">
        <f>IF(R1446&gt;0,1,"")</f>
        <v/>
      </c>
      <c r="U1446" s="63">
        <f>IF(S1446&gt;0,1,"")</f>
        <v/>
      </c>
    </row>
    <row r="1447">
      <c r="A1447" s="35" t="n">
        <v>42019</v>
      </c>
      <c r="B1447" s="4" t="n">
        <v>0.461059</v>
      </c>
      <c r="C1447" s="4" t="n">
        <v>0.323988</v>
      </c>
      <c r="D1447" s="4" t="n">
        <v>0.214953</v>
      </c>
      <c r="E1447" s="63" t="n">
        <v>1</v>
      </c>
      <c r="F1447" s="63" t="n">
        <v>0.46046175</v>
      </c>
      <c r="G1447" s="63" t="n">
        <v>0.246106</v>
      </c>
      <c r="H1447" s="63" t="n">
        <v>0.384907436629</v>
      </c>
      <c r="I1447" s="63" t="n">
        <v>0.48829287048</v>
      </c>
      <c r="J1447" s="63" t="n">
        <v>0.281522002778</v>
      </c>
      <c r="K1447" s="63" t="n">
        <v>2064.43</v>
      </c>
      <c r="L1447" s="63" t="n">
        <v>1988.44</v>
      </c>
      <c r="M1447" s="63" t="n">
        <v>2011.27</v>
      </c>
      <c r="N1447" s="54">
        <f>(M1448-M1447)/M1447</f>
        <v/>
      </c>
      <c r="O1447" s="54">
        <f>(M1451-M1447)/M1447</f>
        <v/>
      </c>
      <c r="P1447" s="4">
        <f>B1447-D1447</f>
        <v/>
      </c>
      <c r="Q1447" s="4">
        <f>AVERAGE(P1444:P1447)</f>
        <v/>
      </c>
      <c r="R1447" s="54">
        <f>(M1448-M1447)/M1447</f>
        <v/>
      </c>
      <c r="S1447" s="54">
        <f>(M1451-M1447)/M1447</f>
        <v/>
      </c>
      <c r="T1447" s="63">
        <f>IF(R1447&gt;0,1,"")</f>
        <v/>
      </c>
      <c r="U1447" s="63">
        <f>IF(S1447&gt;0,1,"")</f>
        <v/>
      </c>
    </row>
    <row r="1448">
      <c r="A1448" s="35" t="n">
        <v>42026</v>
      </c>
      <c r="B1448" s="4" t="n">
        <v>0.371429</v>
      </c>
      <c r="C1448" s="4" t="n">
        <v>0.320635</v>
      </c>
      <c r="D1448" s="4" t="n">
        <v>0.307937</v>
      </c>
      <c r="E1448" s="63" t="n">
        <v>1.000001</v>
      </c>
      <c r="F1448" s="63" t="n">
        <v>0.441708875</v>
      </c>
      <c r="G1448" s="63" t="n">
        <v>0.06349200000000001</v>
      </c>
      <c r="H1448" s="63" t="n">
        <v>0.384907436629</v>
      </c>
      <c r="I1448" s="63" t="n">
        <v>0.48829287048</v>
      </c>
      <c r="J1448" s="63" t="n">
        <v>0.281522002778</v>
      </c>
      <c r="K1448" s="63" t="n">
        <v>2056.93</v>
      </c>
      <c r="L1448" s="63" t="n">
        <v>1988.12</v>
      </c>
      <c r="M1448" s="63" t="n">
        <v>2032.12</v>
      </c>
      <c r="N1448" s="54">
        <f>(M1449-M1448)/M1448</f>
        <v/>
      </c>
      <c r="O1448" s="54">
        <f>(M1452-M1448)/M1448</f>
        <v/>
      </c>
      <c r="P1448" s="4">
        <f>B1448-D1448</f>
        <v/>
      </c>
      <c r="Q1448" s="4">
        <f>AVERAGE(P1445:P1448)</f>
        <v/>
      </c>
      <c r="R1448" s="54">
        <f>(M1449-M1448)/M1448</f>
        <v/>
      </c>
      <c r="S1448" s="54">
        <f>(M1452-M1448)/M1448</f>
        <v/>
      </c>
      <c r="T1448" s="63">
        <f>IF(R1448&gt;0,1,"")</f>
        <v/>
      </c>
      <c r="U1448" s="63">
        <f>IF(S1448&gt;0,1,"")</f>
        <v/>
      </c>
    </row>
    <row r="1449">
      <c r="A1449" s="35" t="n">
        <v>42033</v>
      </c>
      <c r="B1449" s="4" t="n">
        <v>0.441718</v>
      </c>
      <c r="C1449" s="4" t="n">
        <v>0.334356</v>
      </c>
      <c r="D1449" s="4" t="n">
        <v>0.223926</v>
      </c>
      <c r="E1449" s="63" t="n">
        <v>1</v>
      </c>
      <c r="F1449" s="63" t="n">
        <v>0.443576375</v>
      </c>
      <c r="G1449" s="63" t="n">
        <v>0.217792</v>
      </c>
      <c r="H1449" s="63" t="n">
        <v>0.384907436629</v>
      </c>
      <c r="I1449" s="63" t="n">
        <v>0.48829287048</v>
      </c>
      <c r="J1449" s="63" t="n">
        <v>0.281522002778</v>
      </c>
      <c r="K1449" s="63" t="n">
        <v>2064.62</v>
      </c>
      <c r="L1449" s="63" t="n">
        <v>2001.49</v>
      </c>
      <c r="M1449" s="63" t="n">
        <v>2002.16</v>
      </c>
      <c r="N1449" s="54">
        <f>(M1450-M1449)/M1449</f>
        <v/>
      </c>
      <c r="O1449" s="54">
        <f>(M1453-M1449)/M1449</f>
        <v/>
      </c>
      <c r="P1449" s="4">
        <f>B1449-D1449</f>
        <v/>
      </c>
      <c r="Q1449" s="4">
        <f>AVERAGE(P1446:P1449)</f>
        <v/>
      </c>
      <c r="R1449" s="54">
        <f>(M1450-M1449)/M1449</f>
        <v/>
      </c>
      <c r="S1449" s="54">
        <f>(M1453-M1449)/M1449</f>
        <v/>
      </c>
      <c r="T1449" s="63">
        <f>IF(R1449&gt;0,1,"")</f>
        <v/>
      </c>
      <c r="U1449" s="63">
        <f>IF(S1449&gt;0,1,"")</f>
        <v/>
      </c>
    </row>
    <row r="1450">
      <c r="A1450" s="35" t="n">
        <v>42040</v>
      </c>
      <c r="B1450" s="4" t="n">
        <v>0.354949</v>
      </c>
      <c r="C1450" s="4" t="n">
        <v>0.320819</v>
      </c>
      <c r="D1450" s="4" t="n">
        <v>0.324232</v>
      </c>
      <c r="E1450" s="63" t="n">
        <v>1</v>
      </c>
      <c r="F1450" s="63" t="n">
        <v>0.4316735</v>
      </c>
      <c r="G1450" s="63" t="n">
        <v>0.030717</v>
      </c>
      <c r="H1450" s="63" t="n">
        <v>0.384907436629</v>
      </c>
      <c r="I1450" s="63" t="n">
        <v>0.48829287048</v>
      </c>
      <c r="J1450" s="63" t="n">
        <v>0.281522002778</v>
      </c>
      <c r="K1450" s="63" t="n">
        <v>2057.62</v>
      </c>
      <c r="L1450" s="63" t="n">
        <v>1980.9</v>
      </c>
      <c r="M1450" s="63" t="n">
        <v>2050.03</v>
      </c>
      <c r="N1450" s="54">
        <f>(M1451-M1450)/M1450</f>
        <v/>
      </c>
      <c r="O1450" s="54">
        <f>(M1454-M1450)/M1450</f>
        <v/>
      </c>
      <c r="P1450" s="4">
        <f>B1450-D1450</f>
        <v/>
      </c>
      <c r="Q1450" s="4">
        <f>AVERAGE(P1447:P1450)</f>
        <v/>
      </c>
      <c r="R1450" s="54">
        <f>(M1451-M1450)/M1450</f>
        <v/>
      </c>
      <c r="S1450" s="54">
        <f>(M1454-M1450)/M1450</f>
        <v/>
      </c>
      <c r="T1450" s="63">
        <f>IF(R1450&gt;0,1,"")</f>
        <v/>
      </c>
      <c r="U1450" s="63">
        <f>IF(S1450&gt;0,1,"")</f>
        <v/>
      </c>
    </row>
    <row r="1451">
      <c r="A1451" s="35" t="n">
        <v>42047</v>
      </c>
      <c r="B1451" s="4" t="n">
        <v>0.4</v>
      </c>
      <c r="C1451" s="4" t="n">
        <v>0.396721</v>
      </c>
      <c r="D1451" s="4" t="n">
        <v>0.203279</v>
      </c>
      <c r="E1451" s="63" t="n">
        <v>1</v>
      </c>
      <c r="F1451" s="63" t="n">
        <v>0.4332545</v>
      </c>
      <c r="G1451" s="63" t="n">
        <v>0.196721</v>
      </c>
      <c r="H1451" s="63" t="n">
        <v>0.384907436629</v>
      </c>
      <c r="I1451" s="63" t="n">
        <v>0.48829287048</v>
      </c>
      <c r="J1451" s="63" t="n">
        <v>0.281522002778</v>
      </c>
      <c r="K1451" s="63" t="n">
        <v>2073.48</v>
      </c>
      <c r="L1451" s="63" t="n">
        <v>2022.71</v>
      </c>
      <c r="M1451" s="63" t="n">
        <v>2068.53</v>
      </c>
      <c r="N1451" s="54">
        <f>(M1452-M1451)/M1451</f>
        <v/>
      </c>
      <c r="O1451" s="54">
        <f>(M1455-M1451)/M1451</f>
        <v/>
      </c>
      <c r="P1451" s="4">
        <f>B1451-D1451</f>
        <v/>
      </c>
      <c r="Q1451" s="4">
        <f>AVERAGE(P1448:P1451)</f>
        <v/>
      </c>
      <c r="R1451" s="54">
        <f>(M1452-M1451)/M1451</f>
        <v/>
      </c>
      <c r="S1451" s="54">
        <f>(M1455-M1451)/M1451</f>
        <v/>
      </c>
      <c r="T1451" s="63">
        <f>IF(R1451&gt;0,1,"")</f>
        <v/>
      </c>
      <c r="U1451" s="63">
        <f>IF(S1451&gt;0,1,"")</f>
        <v/>
      </c>
    </row>
    <row r="1452">
      <c r="A1452" s="35" t="n">
        <v>42054</v>
      </c>
      <c r="B1452" s="4" t="n">
        <v>0.470199</v>
      </c>
      <c r="C1452" s="4" t="n">
        <v>0.350993</v>
      </c>
      <c r="D1452" s="4" t="n">
        <v>0.178808</v>
      </c>
      <c r="E1452" s="63" t="n">
        <v>1</v>
      </c>
      <c r="F1452" s="63" t="n">
        <v>0.428350125</v>
      </c>
      <c r="G1452" s="63" t="n">
        <v>0.291391</v>
      </c>
      <c r="H1452" s="63" t="n">
        <v>0.384907436629</v>
      </c>
      <c r="I1452" s="63" t="n">
        <v>0.48829287048</v>
      </c>
      <c r="J1452" s="63" t="n">
        <v>0.281522002778</v>
      </c>
      <c r="K1452" s="63" t="n">
        <v>2101.3</v>
      </c>
      <c r="L1452" s="63" t="n">
        <v>2041.88</v>
      </c>
      <c r="M1452" s="63" t="n">
        <v>2099.68</v>
      </c>
      <c r="N1452" s="54">
        <f>(M1453-M1452)/M1452</f>
        <v/>
      </c>
      <c r="O1452" s="54">
        <f>(M1456-M1452)/M1452</f>
        <v/>
      </c>
      <c r="P1452" s="4">
        <f>B1452-D1452</f>
        <v/>
      </c>
      <c r="Q1452" s="4">
        <f>AVERAGE(P1449:P1452)</f>
        <v/>
      </c>
      <c r="R1452" s="54">
        <f>(M1453-M1452)/M1452</f>
        <v/>
      </c>
      <c r="S1452" s="54">
        <f>(M1456-M1452)/M1452</f>
        <v/>
      </c>
      <c r="T1452" s="63">
        <f>IF(R1452&gt;0,1,"")</f>
        <v/>
      </c>
      <c r="U1452" s="63">
        <f>IF(S1452&gt;0,1,"")</f>
        <v/>
      </c>
    </row>
    <row r="1453">
      <c r="A1453" s="35" t="n">
        <v>42061</v>
      </c>
      <c r="B1453" s="4" t="n">
        <v>0.453731</v>
      </c>
      <c r="C1453" s="4" t="n">
        <v>0.343284</v>
      </c>
      <c r="D1453" s="4" t="n">
        <v>0.202985</v>
      </c>
      <c r="E1453" s="63" t="n">
        <v>1</v>
      </c>
      <c r="F1453" s="63" t="n">
        <v>0.420394625</v>
      </c>
      <c r="G1453" s="63" t="n">
        <v>0.250746</v>
      </c>
      <c r="H1453" s="63" t="n">
        <v>0.384907436629</v>
      </c>
      <c r="I1453" s="63" t="n">
        <v>0.48829287048</v>
      </c>
      <c r="J1453" s="63" t="n">
        <v>0.281522002778</v>
      </c>
      <c r="K1453" s="63" t="n">
        <v>2119.59</v>
      </c>
      <c r="L1453" s="63" t="n">
        <v>2085.44</v>
      </c>
      <c r="M1453" s="63" t="n">
        <v>2113.86</v>
      </c>
      <c r="N1453" s="54">
        <f>(M1454-M1453)/M1453</f>
        <v/>
      </c>
      <c r="O1453" s="54">
        <f>(M1457-M1453)/M1453</f>
        <v/>
      </c>
      <c r="P1453" s="4">
        <f>B1453-D1453</f>
        <v/>
      </c>
      <c r="Q1453" s="4">
        <f>AVERAGE(P1450:P1453)</f>
        <v/>
      </c>
      <c r="R1453" s="54">
        <f>(M1454-M1453)/M1453</f>
        <v/>
      </c>
      <c r="S1453" s="54">
        <f>(M1457-M1453)/M1453</f>
        <v/>
      </c>
      <c r="T1453" s="63">
        <f>IF(R1453&gt;0,1,"")</f>
        <v/>
      </c>
      <c r="U1453" s="63">
        <f>IF(S1453&gt;0,1,"")</f>
        <v/>
      </c>
    </row>
    <row r="1454">
      <c r="A1454" s="35" t="n">
        <v>42068</v>
      </c>
      <c r="B1454" s="4" t="n">
        <v>0.398026</v>
      </c>
      <c r="C1454" s="4" t="n">
        <v>0.368421</v>
      </c>
      <c r="D1454" s="4" t="n">
        <v>0.233553</v>
      </c>
      <c r="E1454" s="63" t="n">
        <v>1</v>
      </c>
      <c r="F1454" s="63" t="n">
        <v>0.418888875</v>
      </c>
      <c r="G1454" s="63" t="n">
        <v>0.164473</v>
      </c>
      <c r="H1454" s="63" t="n">
        <v>0.384907436629</v>
      </c>
      <c r="I1454" s="63" t="n">
        <v>0.48829287048</v>
      </c>
      <c r="J1454" s="63" t="n">
        <v>0.281522002778</v>
      </c>
      <c r="K1454" s="63" t="n">
        <v>2119.59</v>
      </c>
      <c r="L1454" s="63" t="n">
        <v>2087.62</v>
      </c>
      <c r="M1454" s="63" t="n">
        <v>2098.53</v>
      </c>
      <c r="N1454" s="54">
        <f>(M1455-M1454)/M1454</f>
        <v/>
      </c>
      <c r="O1454" s="54">
        <f>(M1458-M1454)/M1454</f>
        <v/>
      </c>
      <c r="P1454" s="4">
        <f>B1454-D1454</f>
        <v/>
      </c>
      <c r="Q1454" s="4">
        <f>AVERAGE(P1451:P1454)</f>
        <v/>
      </c>
      <c r="R1454" s="54">
        <f>(M1455-M1454)/M1454</f>
        <v/>
      </c>
      <c r="S1454" s="54">
        <f>(M1458-M1454)/M1454</f>
        <v/>
      </c>
      <c r="T1454" s="63">
        <f>IF(R1454&gt;0,1,"")</f>
        <v/>
      </c>
      <c r="U1454" s="63">
        <f>IF(S1454&gt;0,1,"")</f>
        <v/>
      </c>
    </row>
    <row r="1455">
      <c r="A1455" s="35" t="n">
        <v>42075</v>
      </c>
      <c r="B1455" s="4" t="n">
        <v>0.315961</v>
      </c>
      <c r="C1455" s="4" t="n">
        <v>0.429967</v>
      </c>
      <c r="D1455" s="4" t="n">
        <v>0.254072</v>
      </c>
      <c r="E1455" s="63" t="n">
        <v>1</v>
      </c>
      <c r="F1455" s="63" t="n">
        <v>0.400751625</v>
      </c>
      <c r="G1455" s="63" t="n">
        <v>0.061889</v>
      </c>
      <c r="H1455" s="63" t="n">
        <v>0.384907436629</v>
      </c>
      <c r="I1455" s="63" t="n">
        <v>0.48829287048</v>
      </c>
      <c r="J1455" s="63" t="n">
        <v>0.281522002778</v>
      </c>
      <c r="K1455" s="63" t="n">
        <v>2115.76</v>
      </c>
      <c r="L1455" s="63" t="n">
        <v>2039.69</v>
      </c>
      <c r="M1455" s="63" t="n">
        <v>2040.24</v>
      </c>
      <c r="N1455" s="54">
        <f>(M1456-M1455)/M1455</f>
        <v/>
      </c>
      <c r="O1455" s="54">
        <f>(M1459-M1455)/M1455</f>
        <v/>
      </c>
      <c r="P1455" s="4">
        <f>B1455-D1455</f>
        <v/>
      </c>
      <c r="Q1455" s="4">
        <f>AVERAGE(P1452:P1455)</f>
        <v/>
      </c>
      <c r="R1455" s="54">
        <f>(M1456-M1455)/M1455</f>
        <v/>
      </c>
      <c r="S1455" s="54">
        <f>(M1459-M1455)/M1455</f>
        <v/>
      </c>
      <c r="T1455" s="63">
        <f>IF(R1455&gt;0,1,"")</f>
        <v/>
      </c>
      <c r="U1455" s="63">
        <f>IF(S1455&gt;0,1,"")</f>
        <v/>
      </c>
    </row>
    <row r="1456">
      <c r="A1456" s="35" t="n">
        <v>42082</v>
      </c>
      <c r="B1456" s="4" t="n">
        <v>0.271605</v>
      </c>
      <c r="C1456" s="4" t="n">
        <v>0.41358</v>
      </c>
      <c r="D1456" s="4" t="n">
        <v>0.314815</v>
      </c>
      <c r="E1456" s="63" t="n">
        <v>1</v>
      </c>
      <c r="F1456" s="63" t="n">
        <v>0.388273625</v>
      </c>
      <c r="G1456" s="63" t="n">
        <v>-0.04321</v>
      </c>
      <c r="H1456" s="63" t="n">
        <v>0.384907436629</v>
      </c>
      <c r="I1456" s="63" t="n">
        <v>0.48829287048</v>
      </c>
      <c r="J1456" s="63" t="n">
        <v>0.281522002778</v>
      </c>
      <c r="K1456" s="63" t="n">
        <v>2106.85</v>
      </c>
      <c r="L1456" s="63" t="n">
        <v>2039.69</v>
      </c>
      <c r="M1456" s="63" t="n">
        <v>2099.5</v>
      </c>
      <c r="N1456" s="54">
        <f>(M1457-M1456)/M1456</f>
        <v/>
      </c>
      <c r="O1456" s="54">
        <f>(M1460-M1456)/M1456</f>
        <v/>
      </c>
      <c r="P1456" s="4">
        <f>B1456-D1456</f>
        <v/>
      </c>
      <c r="Q1456" s="4">
        <f>AVERAGE(P1453:P1456)</f>
        <v/>
      </c>
      <c r="R1456" s="54">
        <f>(M1457-M1456)/M1456</f>
        <v/>
      </c>
      <c r="S1456" s="54">
        <f>(M1460-M1456)/M1456</f>
        <v/>
      </c>
      <c r="T1456" s="63">
        <f>IF(R1456&gt;0,1,"")</f>
        <v/>
      </c>
      <c r="U1456" s="63">
        <f>IF(S1456&gt;0,1,"")</f>
        <v/>
      </c>
    </row>
    <row r="1457">
      <c r="A1457" s="35" t="n">
        <v>42089</v>
      </c>
      <c r="B1457" s="4" t="n">
        <v>0.384298</v>
      </c>
      <c r="C1457" s="4" t="n">
        <v>0.371901</v>
      </c>
      <c r="D1457" s="4" t="n">
        <v>0.243802</v>
      </c>
      <c r="E1457" s="63" t="n">
        <v>1.000001</v>
      </c>
      <c r="F1457" s="63" t="n">
        <v>0.381096125</v>
      </c>
      <c r="G1457" s="63" t="n">
        <v>0.140496</v>
      </c>
      <c r="H1457" s="63" t="n">
        <v>0.384907436629</v>
      </c>
      <c r="I1457" s="63" t="n">
        <v>0.48829287048</v>
      </c>
      <c r="J1457" s="63" t="n">
        <v>0.281522002778</v>
      </c>
      <c r="K1457" s="63" t="n">
        <v>2114.86</v>
      </c>
      <c r="L1457" s="63" t="n">
        <v>2061.05</v>
      </c>
      <c r="M1457" s="63" t="n">
        <v>2061.05</v>
      </c>
      <c r="N1457" s="54">
        <f>(M1458-M1457)/M1457</f>
        <v/>
      </c>
      <c r="O1457" s="54">
        <f>(M1461-M1457)/M1457</f>
        <v/>
      </c>
      <c r="P1457" s="4">
        <f>B1457-D1457</f>
        <v/>
      </c>
      <c r="Q1457" s="4">
        <f>AVERAGE(P1454:P1457)</f>
        <v/>
      </c>
      <c r="R1457" s="54">
        <f>(M1458-M1457)/M1457</f>
        <v/>
      </c>
      <c r="S1457" s="54">
        <f>(M1461-M1457)/M1457</f>
        <v/>
      </c>
      <c r="T1457" s="63">
        <f>IF(R1457&gt;0,1,"")</f>
        <v/>
      </c>
      <c r="U1457" s="63">
        <f>IF(S1457&gt;0,1,"")</f>
        <v/>
      </c>
    </row>
    <row r="1458">
      <c r="A1458" s="35" t="n">
        <v>42096</v>
      </c>
      <c r="B1458" s="4" t="n">
        <v>0.353952</v>
      </c>
      <c r="C1458" s="4" t="n">
        <v>0.32646</v>
      </c>
      <c r="D1458" s="4" t="n">
        <v>0.319588</v>
      </c>
      <c r="E1458" s="63" t="n">
        <v>1</v>
      </c>
      <c r="F1458" s="63" t="n">
        <v>0.3809715</v>
      </c>
      <c r="G1458" s="63" t="n">
        <v>0.034364</v>
      </c>
      <c r="H1458" s="63" t="n">
        <v>0.384907436629</v>
      </c>
      <c r="I1458" s="63" t="n">
        <v>0.48829287048</v>
      </c>
      <c r="J1458" s="63" t="n">
        <v>0.281522002778</v>
      </c>
      <c r="K1458" s="63" t="n">
        <v>2107.63</v>
      </c>
      <c r="L1458" s="63" t="n">
        <v>2045.5</v>
      </c>
      <c r="M1458" s="63" t="n">
        <v>2059.69</v>
      </c>
      <c r="N1458" s="54">
        <f>(M1459-M1458)/M1458</f>
        <v/>
      </c>
      <c r="O1458" s="54">
        <f>(M1462-M1458)/M1458</f>
        <v/>
      </c>
      <c r="P1458" s="4">
        <f>B1458-D1458</f>
        <v/>
      </c>
      <c r="Q1458" s="4">
        <f>AVERAGE(P1455:P1458)</f>
        <v/>
      </c>
      <c r="R1458" s="54">
        <f>(M1459-M1458)/M1458</f>
        <v/>
      </c>
      <c r="S1458" s="54">
        <f>(M1462-M1458)/M1458</f>
        <v/>
      </c>
      <c r="T1458" s="63">
        <f>IF(R1458&gt;0,1,"")</f>
        <v/>
      </c>
      <c r="U1458" s="63">
        <f>IF(S1458&gt;0,1,"")</f>
        <v/>
      </c>
    </row>
    <row r="1459">
      <c r="A1459" s="35" t="n">
        <v>42103</v>
      </c>
      <c r="B1459" s="4" t="n">
        <v>0.287016</v>
      </c>
      <c r="C1459" s="4" t="n">
        <v>0.471526</v>
      </c>
      <c r="D1459" s="4" t="n">
        <v>0.241458</v>
      </c>
      <c r="E1459" s="63" t="n">
        <v>1</v>
      </c>
      <c r="F1459" s="63" t="n">
        <v>0.3668485</v>
      </c>
      <c r="G1459" s="63" t="n">
        <v>0.045558</v>
      </c>
      <c r="H1459" s="63" t="n">
        <v>0.384907436629</v>
      </c>
      <c r="I1459" s="63" t="n">
        <v>0.48829287048</v>
      </c>
      <c r="J1459" s="63" t="n">
        <v>0.281522002778</v>
      </c>
      <c r="K1459" s="63" t="n">
        <v>2089.81</v>
      </c>
      <c r="L1459" s="63" t="n">
        <v>2048.38</v>
      </c>
      <c r="M1459" s="63" t="n">
        <v>2081.9</v>
      </c>
      <c r="N1459" s="54">
        <f>(M1460-M1459)/M1459</f>
        <v/>
      </c>
      <c r="O1459" s="54">
        <f>(M1463-M1459)/M1459</f>
        <v/>
      </c>
      <c r="P1459" s="4">
        <f>B1459-D1459</f>
        <v/>
      </c>
      <c r="Q1459" s="4">
        <f>AVERAGE(P1456:P1459)</f>
        <v/>
      </c>
      <c r="R1459" s="54">
        <f>(M1460-M1459)/M1459</f>
        <v/>
      </c>
      <c r="S1459" s="54">
        <f>(M1463-M1459)/M1459</f>
        <v/>
      </c>
      <c r="T1459" s="63">
        <f>IF(R1459&gt;0,1,"")</f>
        <v/>
      </c>
      <c r="U1459" s="63">
        <f>IF(S1459&gt;0,1,"")</f>
        <v/>
      </c>
    </row>
    <row r="1460">
      <c r="A1460" s="35" t="n">
        <v>42110</v>
      </c>
      <c r="B1460" s="4" t="n">
        <v>0.320675</v>
      </c>
      <c r="C1460" s="4" t="n">
        <v>0.451477</v>
      </c>
      <c r="D1460" s="4" t="n">
        <v>0.227848</v>
      </c>
      <c r="E1460" s="63" t="n">
        <v>1</v>
      </c>
      <c r="F1460" s="63" t="n">
        <v>0.348158</v>
      </c>
      <c r="G1460" s="63" t="n">
        <v>0.09282700000000001</v>
      </c>
      <c r="H1460" s="63" t="n">
        <v>0.384907436629</v>
      </c>
      <c r="I1460" s="63" t="n">
        <v>0.48829287048</v>
      </c>
      <c r="J1460" s="63" t="n">
        <v>0.281522002778</v>
      </c>
      <c r="K1460" s="63" t="n">
        <v>2111.91</v>
      </c>
      <c r="L1460" s="63" t="n">
        <v>2073.3</v>
      </c>
      <c r="M1460" s="63" t="n">
        <v>2106.63</v>
      </c>
      <c r="N1460" s="54">
        <f>(M1461-M1460)/M1460</f>
        <v/>
      </c>
      <c r="O1460" s="54">
        <f>(M1464-M1460)/M1460</f>
        <v/>
      </c>
      <c r="P1460" s="4">
        <f>B1460-D1460</f>
        <v/>
      </c>
      <c r="Q1460" s="4">
        <f>AVERAGE(P1457:P1460)</f>
        <v/>
      </c>
      <c r="R1460" s="54">
        <f>(M1461-M1460)/M1460</f>
        <v/>
      </c>
      <c r="S1460" s="54">
        <f>(M1464-M1460)/M1460</f>
        <v/>
      </c>
      <c r="T1460" s="63">
        <f>IF(R1460&gt;0,1,"")</f>
        <v/>
      </c>
      <c r="U1460" s="63">
        <f>IF(S1460&gt;0,1,"")</f>
        <v/>
      </c>
    </row>
    <row r="1461">
      <c r="A1461" s="35" t="n">
        <v>42117</v>
      </c>
      <c r="B1461" s="4" t="n">
        <v>0.3147</v>
      </c>
      <c r="C1461" s="4" t="n">
        <v>0.453416</v>
      </c>
      <c r="D1461" s="4" t="n">
        <v>0.231884</v>
      </c>
      <c r="E1461" s="63" t="n">
        <v>1</v>
      </c>
      <c r="F1461" s="63" t="n">
        <v>0.330779125</v>
      </c>
      <c r="G1461" s="63" t="n">
        <v>0.082816</v>
      </c>
      <c r="H1461" s="63" t="n">
        <v>0.384907436629</v>
      </c>
      <c r="I1461" s="63" t="n">
        <v>0.48829287048</v>
      </c>
      <c r="J1461" s="63" t="n">
        <v>0.281522002778</v>
      </c>
      <c r="K1461" s="63" t="n">
        <v>2111.91</v>
      </c>
      <c r="L1461" s="63" t="n">
        <v>2072.37</v>
      </c>
      <c r="M1461" s="63" t="n">
        <v>2107.96</v>
      </c>
      <c r="N1461" s="54">
        <f>(M1462-M1461)/M1461</f>
        <v/>
      </c>
      <c r="O1461" s="54">
        <f>(M1465-M1461)/M1461</f>
        <v/>
      </c>
      <c r="P1461" s="4">
        <f>B1461-D1461</f>
        <v/>
      </c>
      <c r="Q1461" s="4">
        <f>AVERAGE(P1458:P1461)</f>
        <v/>
      </c>
      <c r="R1461" s="54">
        <f>(M1462-M1461)/M1461</f>
        <v/>
      </c>
      <c r="S1461" s="54">
        <f>(M1465-M1461)/M1461</f>
        <v/>
      </c>
      <c r="T1461" s="63">
        <f>IF(R1461&gt;0,1,"")</f>
        <v/>
      </c>
      <c r="U1461" s="63">
        <f>IF(S1461&gt;0,1,"")</f>
        <v/>
      </c>
    </row>
    <row r="1462">
      <c r="A1462" s="35" t="n">
        <v>42124</v>
      </c>
      <c r="B1462" s="4" t="n">
        <v>0.308362</v>
      </c>
      <c r="C1462" s="4" t="n">
        <v>0.472125</v>
      </c>
      <c r="D1462" s="4" t="n">
        <v>0.219512</v>
      </c>
      <c r="E1462" s="63" t="n">
        <v>0.999999</v>
      </c>
      <c r="F1462" s="63" t="n">
        <v>0.319571125</v>
      </c>
      <c r="G1462" s="63" t="n">
        <v>0.08885</v>
      </c>
      <c r="H1462" s="63" t="n">
        <v>0.384907436629</v>
      </c>
      <c r="I1462" s="63" t="n">
        <v>0.48829287048</v>
      </c>
      <c r="J1462" s="63" t="n">
        <v>0.281522002778</v>
      </c>
      <c r="K1462" s="63" t="n">
        <v>2125.92</v>
      </c>
      <c r="L1462" s="63" t="n">
        <v>2091.05</v>
      </c>
      <c r="M1462" s="63" t="n">
        <v>2106.85</v>
      </c>
      <c r="N1462" s="54">
        <f>(M1463-M1462)/M1462</f>
        <v/>
      </c>
      <c r="O1462" s="54">
        <f>(M1466-M1462)/M1462</f>
        <v/>
      </c>
      <c r="P1462" s="4">
        <f>B1462-D1462</f>
        <v/>
      </c>
      <c r="Q1462" s="4">
        <f>AVERAGE(P1459:P1462)</f>
        <v/>
      </c>
      <c r="R1462" s="54">
        <f>(M1463-M1462)/M1462</f>
        <v/>
      </c>
      <c r="S1462" s="54">
        <f>(M1466-M1462)/M1462</f>
        <v/>
      </c>
      <c r="T1462" s="63">
        <f>IF(R1462&gt;0,1,"")</f>
        <v/>
      </c>
      <c r="U1462" s="63">
        <f>IF(S1462&gt;0,1,"")</f>
        <v/>
      </c>
    </row>
    <row r="1463">
      <c r="A1463" s="35" t="n">
        <v>42131</v>
      </c>
      <c r="B1463" s="4" t="n">
        <v>0.270563</v>
      </c>
      <c r="C1463" s="4" t="n">
        <v>0.461039</v>
      </c>
      <c r="D1463" s="4" t="n">
        <v>0.268398</v>
      </c>
      <c r="E1463" s="63" t="n">
        <v>1</v>
      </c>
      <c r="F1463" s="63" t="n">
        <v>0.313896375</v>
      </c>
      <c r="G1463" s="63" t="n">
        <v>0.002165</v>
      </c>
      <c r="H1463" s="63" t="n">
        <v>0.384797880637</v>
      </c>
      <c r="I1463" s="63" t="n">
        <v>0.488236534563</v>
      </c>
      <c r="J1463" s="63" t="n">
        <v>0.28135922671</v>
      </c>
      <c r="K1463" s="63" t="n">
        <v>2120.95</v>
      </c>
      <c r="L1463" s="63" t="n">
        <v>2067.93</v>
      </c>
      <c r="M1463" s="63" t="n">
        <v>2080.15</v>
      </c>
      <c r="N1463" s="54">
        <f>(M1464-M1463)/M1463</f>
        <v/>
      </c>
      <c r="O1463" s="54">
        <f>(M1467-M1463)/M1463</f>
        <v/>
      </c>
      <c r="P1463" s="4">
        <f>B1463-D1463</f>
        <v/>
      </c>
      <c r="Q1463" s="4">
        <f>AVERAGE(P1460:P1463)</f>
        <v/>
      </c>
      <c r="R1463" s="54">
        <f>(M1464-M1463)/M1463</f>
        <v/>
      </c>
      <c r="S1463" s="54">
        <f>(M1467-M1463)/M1463</f>
        <v/>
      </c>
      <c r="T1463" s="63">
        <f>IF(R1463&gt;0,1,"")</f>
        <v/>
      </c>
      <c r="U1463" s="63">
        <f>IF(S1463&gt;0,1,"")</f>
        <v/>
      </c>
    </row>
    <row r="1464">
      <c r="A1464" s="35" t="n">
        <v>42138</v>
      </c>
      <c r="B1464" s="4" t="n">
        <v>0.267442</v>
      </c>
      <c r="C1464" s="4" t="n">
        <v>0.468992</v>
      </c>
      <c r="D1464" s="4" t="n">
        <v>0.263566</v>
      </c>
      <c r="E1464" s="63" t="n">
        <v>1</v>
      </c>
      <c r="F1464" s="63" t="n">
        <v>0.313376</v>
      </c>
      <c r="G1464" s="63" t="n">
        <v>0.003876</v>
      </c>
      <c r="H1464" s="63" t="n">
        <v>0.384734479125</v>
      </c>
      <c r="I1464" s="63" t="n">
        <v>0.488168157082</v>
      </c>
      <c r="J1464" s="63" t="n">
        <v>0.281300801169</v>
      </c>
      <c r="K1464" s="63" t="n">
        <v>2117.69</v>
      </c>
      <c r="L1464" s="63" t="n">
        <v>2067.93</v>
      </c>
      <c r="M1464" s="63" t="n">
        <v>2098.48</v>
      </c>
      <c r="N1464" s="54">
        <f>(M1465-M1464)/M1464</f>
        <v/>
      </c>
      <c r="O1464" s="54">
        <f>(M1468-M1464)/M1464</f>
        <v/>
      </c>
      <c r="P1464" s="4">
        <f>B1464-D1464</f>
        <v/>
      </c>
      <c r="Q1464" s="4">
        <f>AVERAGE(P1461:P1464)</f>
        <v/>
      </c>
      <c r="R1464" s="54">
        <f>(M1465-M1464)/M1464</f>
        <v/>
      </c>
      <c r="S1464" s="54">
        <f>(M1468-M1464)/M1464</f>
        <v/>
      </c>
      <c r="T1464" s="63">
        <f>IF(R1464&gt;0,1,"")</f>
        <v/>
      </c>
      <c r="U1464" s="63">
        <f>IF(S1464&gt;0,1,"")</f>
        <v/>
      </c>
    </row>
    <row r="1465">
      <c r="A1465" s="35" t="n">
        <v>42145</v>
      </c>
      <c r="B1465" s="4" t="n">
        <v>0.252119</v>
      </c>
      <c r="C1465" s="4" t="n">
        <v>0.497881</v>
      </c>
      <c r="D1465" s="4" t="n">
        <v>0.25</v>
      </c>
      <c r="E1465" s="63" t="n">
        <v>1</v>
      </c>
      <c r="F1465" s="63" t="n">
        <v>0.296853625</v>
      </c>
      <c r="G1465" s="63" t="n">
        <v>0.002119</v>
      </c>
      <c r="H1465" s="63" t="n">
        <v>0.384685365563</v>
      </c>
      <c r="I1465" s="63" t="n">
        <v>0.488102377019</v>
      </c>
      <c r="J1465" s="63" t="n">
        <v>0.281268354107</v>
      </c>
      <c r="K1465" s="63" t="n">
        <v>2134.72</v>
      </c>
      <c r="L1465" s="63" t="n">
        <v>2085.57</v>
      </c>
      <c r="M1465" s="63" t="n">
        <v>2125.85</v>
      </c>
      <c r="N1465" s="54">
        <f>(M1466-M1465)/M1465</f>
        <v/>
      </c>
      <c r="O1465" s="54">
        <f>(M1469-M1465)/M1465</f>
        <v/>
      </c>
      <c r="P1465" s="4">
        <f>B1465-D1465</f>
        <v/>
      </c>
      <c r="Q1465" s="4">
        <f>AVERAGE(P1462:P1465)</f>
        <v/>
      </c>
      <c r="R1465" s="54">
        <f>(M1466-M1465)/M1465</f>
        <v/>
      </c>
      <c r="S1465" s="54">
        <f>(M1469-M1465)/M1465</f>
        <v/>
      </c>
      <c r="T1465" s="63">
        <f>IF(R1465&gt;0,1,"")</f>
        <v/>
      </c>
      <c r="U1465" s="63">
        <f>IF(S1465&gt;0,1,"")</f>
        <v/>
      </c>
    </row>
    <row r="1466">
      <c r="A1466" s="35" t="n">
        <v>42152</v>
      </c>
      <c r="B1466" s="4" t="n">
        <v>0.270019</v>
      </c>
      <c r="C1466" s="4" t="n">
        <v>0.478585</v>
      </c>
      <c r="D1466" s="4" t="n">
        <v>0.251397</v>
      </c>
      <c r="E1466" s="63" t="n">
        <v>1.000001</v>
      </c>
      <c r="F1466" s="63" t="n">
        <v>0.286362</v>
      </c>
      <c r="G1466" s="63" t="n">
        <v>0.018622</v>
      </c>
      <c r="H1466" s="63" t="n">
        <v>0.384674762409</v>
      </c>
      <c r="I1466" s="63" t="n">
        <v>0.488058345739</v>
      </c>
      <c r="J1466" s="63" t="n">
        <v>0.281291179079</v>
      </c>
      <c r="K1466" s="63" t="n">
        <v>2134.72</v>
      </c>
      <c r="L1466" s="63" t="n">
        <v>2099.18</v>
      </c>
      <c r="M1466" s="63" t="n">
        <v>2123.48</v>
      </c>
      <c r="N1466" s="54">
        <f>(M1467-M1466)/M1466</f>
        <v/>
      </c>
      <c r="O1466" s="54">
        <f>(M1470-M1466)/M1466</f>
        <v/>
      </c>
      <c r="P1466" s="4">
        <f>B1466-D1466</f>
        <v/>
      </c>
      <c r="Q1466" s="4">
        <f>AVERAGE(P1463:P1466)</f>
        <v/>
      </c>
      <c r="R1466" s="54">
        <f>(M1467-M1466)/M1466</f>
        <v/>
      </c>
      <c r="S1466" s="54">
        <f>(M1470-M1466)/M1466</f>
        <v/>
      </c>
      <c r="T1466" s="63">
        <f>IF(R1466&gt;0,1,"")</f>
        <v/>
      </c>
      <c r="U1466" s="63">
        <f>IF(S1466&gt;0,1,"")</f>
        <v/>
      </c>
    </row>
    <row r="1467">
      <c r="A1467" s="35" t="n">
        <v>42159</v>
      </c>
      <c r="B1467" s="4" t="n">
        <v>0.273399</v>
      </c>
      <c r="C1467" s="4" t="n">
        <v>0.480296</v>
      </c>
      <c r="D1467" s="4" t="n">
        <v>0.246305</v>
      </c>
      <c r="E1467" s="63" t="n">
        <v>1</v>
      </c>
      <c r="F1467" s="63" t="n">
        <v>0.284659875</v>
      </c>
      <c r="G1467" s="63" t="n">
        <v>0.027094</v>
      </c>
      <c r="H1467" s="63" t="n">
        <v>0.384654640873</v>
      </c>
      <c r="I1467" s="63" t="n">
        <v>0.488006969847</v>
      </c>
      <c r="J1467" s="63" t="n">
        <v>0.281302311899</v>
      </c>
      <c r="K1467" s="63" t="n">
        <v>2126.22</v>
      </c>
      <c r="L1467" s="63" t="n">
        <v>2099.14</v>
      </c>
      <c r="M1467" s="63" t="n">
        <v>2114.07</v>
      </c>
      <c r="N1467" s="54">
        <f>(M1468-M1467)/M1467</f>
        <v/>
      </c>
      <c r="O1467" s="54">
        <f>(M1471-M1467)/M1467</f>
        <v/>
      </c>
      <c r="P1467" s="4">
        <f>B1467-D1467</f>
        <v/>
      </c>
      <c r="Q1467" s="4">
        <f>AVERAGE(P1464:P1467)</f>
        <v/>
      </c>
      <c r="R1467" s="54">
        <f>(M1468-M1467)/M1467</f>
        <v/>
      </c>
      <c r="S1467" s="54">
        <f>(M1471-M1467)/M1467</f>
        <v/>
      </c>
      <c r="T1467" s="63">
        <f>IF(R1467&gt;0,1,"")</f>
        <v/>
      </c>
      <c r="U1467" s="63">
        <f>IF(S1467&gt;0,1,"")</f>
        <v/>
      </c>
    </row>
    <row r="1468">
      <c r="A1468" s="35" t="n">
        <v>42166</v>
      </c>
      <c r="B1468" s="4" t="n">
        <v>0.200375</v>
      </c>
      <c r="C1468" s="4" t="n">
        <v>0.473783</v>
      </c>
      <c r="D1468" s="4" t="n">
        <v>0.325843</v>
      </c>
      <c r="E1468" s="63" t="n">
        <v>1.000001</v>
      </c>
      <c r="F1468" s="63" t="n">
        <v>0.269622375</v>
      </c>
      <c r="G1468" s="63" t="n">
        <v>-0.125468</v>
      </c>
      <c r="H1468" s="63" t="n">
        <v>0.384606951091</v>
      </c>
      <c r="I1468" s="63" t="n">
        <v>0.487941748349</v>
      </c>
      <c r="J1468" s="63" t="n">
        <v>0.281272153832</v>
      </c>
      <c r="K1468" s="63" t="n">
        <v>2121.92</v>
      </c>
      <c r="L1468" s="63" t="n">
        <v>2072.14</v>
      </c>
      <c r="M1468" s="63" t="n">
        <v>2105.2</v>
      </c>
      <c r="N1468" s="54">
        <f>(M1469-M1468)/M1468</f>
        <v/>
      </c>
      <c r="O1468" s="54">
        <f>(M1472-M1468)/M1468</f>
        <v/>
      </c>
      <c r="P1468" s="4">
        <f>B1468-D1468</f>
        <v/>
      </c>
      <c r="Q1468" s="4">
        <f>AVERAGE(P1465:P1468)</f>
        <v/>
      </c>
      <c r="R1468" s="54">
        <f>(M1469-M1468)/M1468</f>
        <v/>
      </c>
      <c r="S1468" s="54">
        <f>(M1472-M1468)/M1468</f>
        <v/>
      </c>
      <c r="T1468" s="63">
        <f>IF(R1468&gt;0,1,"")</f>
        <v/>
      </c>
      <c r="U1468" s="63">
        <f>IF(S1468&gt;0,1,"")</f>
        <v/>
      </c>
    </row>
    <row r="1469">
      <c r="A1469" s="35" t="n">
        <v>42173</v>
      </c>
      <c r="B1469" s="4" t="n">
        <v>0.254083</v>
      </c>
      <c r="C1469" s="4" t="n">
        <v>0.402904</v>
      </c>
      <c r="D1469" s="4" t="n">
        <v>0.343013</v>
      </c>
      <c r="E1469" s="63" t="n">
        <v>1</v>
      </c>
      <c r="F1469" s="63" t="n">
        <v>0.26204525</v>
      </c>
      <c r="G1469" s="63" t="n">
        <v>-0.08893</v>
      </c>
      <c r="H1469" s="63" t="n">
        <v>0.384606951091</v>
      </c>
      <c r="I1469" s="63" t="n">
        <v>0.487941748349</v>
      </c>
      <c r="J1469" s="63" t="n">
        <v>0.281272153832</v>
      </c>
      <c r="K1469" s="63" t="n">
        <v>2115.02</v>
      </c>
      <c r="L1469" s="63" t="n">
        <v>2072.14</v>
      </c>
      <c r="M1469" s="63" t="n">
        <v>2100.44</v>
      </c>
      <c r="N1469" s="54">
        <f>(M1470-M1469)/M1469</f>
        <v/>
      </c>
      <c r="O1469" s="54">
        <f>(M1473-M1469)/M1469</f>
        <v/>
      </c>
      <c r="P1469" s="4">
        <f>B1469-D1469</f>
        <v/>
      </c>
      <c r="Q1469" s="4">
        <f>AVERAGE(P1466:P1469)</f>
        <v/>
      </c>
      <c r="R1469" s="54">
        <f>(M1470-M1469)/M1469</f>
        <v/>
      </c>
      <c r="S1469" s="54">
        <f>(M1473-M1469)/M1469</f>
        <v/>
      </c>
      <c r="T1469" s="63">
        <f>IF(R1469&gt;0,1,"")</f>
        <v/>
      </c>
      <c r="U1469" s="63">
        <f>IF(S1469&gt;0,1,"")</f>
        <v/>
      </c>
    </row>
    <row r="1470">
      <c r="A1470" s="35" t="n">
        <v>42180</v>
      </c>
      <c r="B1470" s="4" t="n">
        <v>0.355556</v>
      </c>
      <c r="C1470" s="4" t="n">
        <v>0.427778</v>
      </c>
      <c r="D1470" s="4" t="n">
        <v>0.216667</v>
      </c>
      <c r="E1470" s="63" t="n">
        <v>1.000001</v>
      </c>
      <c r="F1470" s="63" t="n">
        <v>0.2679445</v>
      </c>
      <c r="G1470" s="63" t="n">
        <v>0.138889</v>
      </c>
      <c r="H1470" s="63" t="n">
        <v>0.384502385479</v>
      </c>
      <c r="I1470" s="63" t="n">
        <v>0.487809337714</v>
      </c>
      <c r="J1470" s="63" t="n">
        <v>0.281195433244</v>
      </c>
      <c r="K1470" s="63" t="n">
        <v>2129.87</v>
      </c>
      <c r="L1470" s="63" t="n">
        <v>2082.1</v>
      </c>
      <c r="M1470" s="63" t="n">
        <v>2108.58</v>
      </c>
      <c r="N1470" s="54">
        <f>(M1471-M1470)/M1470</f>
        <v/>
      </c>
      <c r="O1470" s="54">
        <f>(M1474-M1470)/M1470</f>
        <v/>
      </c>
      <c r="P1470" s="4">
        <f>B1470-D1470</f>
        <v/>
      </c>
      <c r="Q1470" s="4">
        <f>AVERAGE(P1467:P1470)</f>
        <v/>
      </c>
      <c r="R1470" s="54">
        <f>(M1471-M1470)/M1470</f>
        <v/>
      </c>
      <c r="S1470" s="54">
        <f>(M1474-M1470)/M1470</f>
        <v/>
      </c>
      <c r="T1470" s="63">
        <f>IF(R1470&gt;0,1,"")</f>
        <v/>
      </c>
      <c r="U1470" s="63">
        <f>IF(S1470&gt;0,1,"")</f>
        <v/>
      </c>
    </row>
    <row r="1471">
      <c r="A1471" s="35" t="n">
        <v>42187</v>
      </c>
      <c r="B1471" s="4" t="n">
        <v>0.226121</v>
      </c>
      <c r="C1471" s="4" t="n">
        <v>0.423002</v>
      </c>
      <c r="D1471" s="4" t="n">
        <v>0.350877</v>
      </c>
      <c r="E1471" s="63" t="n">
        <v>1</v>
      </c>
      <c r="F1471" s="63" t="n">
        <v>0.26238925</v>
      </c>
      <c r="G1471" s="63" t="n">
        <v>-0.124756</v>
      </c>
      <c r="H1471" s="63" t="n">
        <v>0.384483352902</v>
      </c>
      <c r="I1471" s="63" t="n">
        <v>0.487758863526</v>
      </c>
      <c r="J1471" s="63" t="n">
        <v>0.281207842279</v>
      </c>
      <c r="K1471" s="63" t="n">
        <v>2128.03</v>
      </c>
      <c r="L1471" s="63" t="n">
        <v>2056.32</v>
      </c>
      <c r="M1471" s="63" t="n">
        <v>2077.42</v>
      </c>
      <c r="N1471" s="54">
        <f>(M1472-M1471)/M1471</f>
        <v/>
      </c>
      <c r="O1471" s="54">
        <f>(M1475-M1471)/M1471</f>
        <v/>
      </c>
      <c r="P1471" s="4">
        <f>B1471-D1471</f>
        <v/>
      </c>
      <c r="Q1471" s="4">
        <f>AVERAGE(P1468:P1471)</f>
        <v/>
      </c>
      <c r="R1471" s="54">
        <f>(M1472-M1471)/M1471</f>
        <v/>
      </c>
      <c r="S1471" s="54">
        <f>(M1475-M1471)/M1471</f>
        <v/>
      </c>
      <c r="T1471" s="63">
        <f>IF(R1471&gt;0,1,"")</f>
        <v/>
      </c>
      <c r="U1471" s="63">
        <f>IF(S1471&gt;0,1,"")</f>
        <v/>
      </c>
    </row>
    <row r="1472">
      <c r="A1472" s="35" t="n">
        <v>42194</v>
      </c>
      <c r="B1472" s="4" t="n">
        <v>0.27907</v>
      </c>
      <c r="C1472" s="4" t="n">
        <v>0.429175</v>
      </c>
      <c r="D1472" s="4" t="n">
        <v>0.291755</v>
      </c>
      <c r="E1472" s="63" t="n">
        <v>1</v>
      </c>
      <c r="F1472" s="63" t="n">
        <v>0.26384275</v>
      </c>
      <c r="G1472" s="63" t="n">
        <v>-0.012685</v>
      </c>
      <c r="H1472" s="63" t="n">
        <v>0.384423866842</v>
      </c>
      <c r="I1472" s="63" t="n">
        <v>0.487691304251</v>
      </c>
      <c r="J1472" s="63" t="n">
        <v>0.281156429434</v>
      </c>
      <c r="K1472" s="63" t="n">
        <v>2098.63</v>
      </c>
      <c r="L1472" s="63" t="n">
        <v>2044.02</v>
      </c>
      <c r="M1472" s="63" t="n">
        <v>2046.68</v>
      </c>
      <c r="N1472" s="54">
        <f>(M1473-M1472)/M1472</f>
        <v/>
      </c>
      <c r="O1472" s="54">
        <f>(M1476-M1472)/M1472</f>
        <v/>
      </c>
      <c r="P1472" s="4">
        <f>B1472-D1472</f>
        <v/>
      </c>
      <c r="Q1472" s="4">
        <f>AVERAGE(P1469:P1472)</f>
        <v/>
      </c>
      <c r="R1472" s="54">
        <f>(M1473-M1472)/M1472</f>
        <v/>
      </c>
      <c r="S1472" s="54">
        <f>(M1476-M1472)/M1472</f>
        <v/>
      </c>
      <c r="T1472" s="63">
        <f>IF(R1472&gt;0,1,"")</f>
        <v/>
      </c>
      <c r="U1472" s="63">
        <f>IF(S1472&gt;0,1,"")</f>
        <v/>
      </c>
    </row>
    <row r="1473">
      <c r="A1473" s="35" t="n">
        <v>42201</v>
      </c>
      <c r="B1473" s="4" t="n">
        <v>0.308108</v>
      </c>
      <c r="C1473" s="4" t="n">
        <v>0.459459</v>
      </c>
      <c r="D1473" s="4" t="n">
        <v>0.232432</v>
      </c>
      <c r="E1473" s="63" t="n">
        <v>0.999999</v>
      </c>
      <c r="F1473" s="63" t="n">
        <v>0.270841375</v>
      </c>
      <c r="G1473" s="63" t="n">
        <v>0.07567599999999999</v>
      </c>
      <c r="H1473" s="63" t="n">
        <v>0.384423866842</v>
      </c>
      <c r="I1473" s="63" t="n">
        <v>0.487691304251</v>
      </c>
      <c r="J1473" s="63" t="n">
        <v>0.281156429434</v>
      </c>
      <c r="K1473" s="63" t="n">
        <v>2114.14</v>
      </c>
      <c r="L1473" s="63" t="n">
        <v>2044.02</v>
      </c>
      <c r="M1473" s="63" t="n">
        <v>2107.4</v>
      </c>
      <c r="N1473" s="54">
        <f>(M1474-M1473)/M1473</f>
        <v/>
      </c>
      <c r="O1473" s="54">
        <f>(M1477-M1473)/M1473</f>
        <v/>
      </c>
      <c r="P1473" s="4">
        <f>B1473-D1473</f>
        <v/>
      </c>
      <c r="Q1473" s="4">
        <f>AVERAGE(P1470:P1473)</f>
        <v/>
      </c>
      <c r="R1473" s="54">
        <f>(M1474-M1473)/M1473</f>
        <v/>
      </c>
      <c r="S1473" s="54">
        <f>(M1477-M1473)/M1473</f>
        <v/>
      </c>
      <c r="T1473" s="63">
        <f>IF(R1473&gt;0,1,"")</f>
        <v/>
      </c>
      <c r="U1473" s="63">
        <f>IF(S1473&gt;0,1,"")</f>
        <v/>
      </c>
    </row>
    <row r="1474">
      <c r="A1474" s="35" t="n">
        <v>42208</v>
      </c>
      <c r="B1474" s="4" t="n">
        <v>0.3254</v>
      </c>
      <c r="C1474" s="4" t="n">
        <v>0.4187</v>
      </c>
      <c r="D1474" s="4" t="n">
        <v>0.256</v>
      </c>
      <c r="E1474" s="63" t="n">
        <v>1.0001</v>
      </c>
      <c r="F1474" s="63" t="n">
        <v>0.277764</v>
      </c>
      <c r="G1474" s="63" t="n">
        <v>0.0694</v>
      </c>
      <c r="H1474" s="63" t="n">
        <v>0.384301826201</v>
      </c>
      <c r="I1474" s="63" t="n">
        <v>0.487556177901</v>
      </c>
      <c r="J1474" s="63" t="n">
        <v>0.281047474502</v>
      </c>
      <c r="K1474" s="63" t="n">
        <v>2132.82</v>
      </c>
      <c r="L1474" s="63" t="n">
        <v>2102.49</v>
      </c>
      <c r="M1474" s="63" t="n">
        <v>2114.15</v>
      </c>
      <c r="N1474" s="54">
        <f>(M1475-M1474)/M1474</f>
        <v/>
      </c>
      <c r="O1474" s="54">
        <f>(M1478-M1474)/M1474</f>
        <v/>
      </c>
      <c r="P1474" s="4">
        <f>B1474-D1474</f>
        <v/>
      </c>
      <c r="Q1474" s="4">
        <f>AVERAGE(P1471:P1474)</f>
        <v/>
      </c>
      <c r="R1474" s="54">
        <f>(M1475-M1474)/M1474</f>
        <v/>
      </c>
      <c r="S1474" s="54">
        <f>(M1478-M1474)/M1474</f>
        <v/>
      </c>
      <c r="T1474" s="63">
        <f>IF(R1474&gt;0,1,"")</f>
        <v/>
      </c>
      <c r="U1474" s="63">
        <f>IF(S1474&gt;0,1,"")</f>
        <v/>
      </c>
    </row>
    <row r="1475">
      <c r="A1475" s="35" t="n">
        <v>42215</v>
      </c>
      <c r="B1475" s="4" t="n">
        <v>0.211055</v>
      </c>
      <c r="C1475" s="4" t="n">
        <v>0.38191</v>
      </c>
      <c r="D1475" s="4" t="n">
        <v>0.407035</v>
      </c>
      <c r="E1475" s="63" t="n">
        <v>1</v>
      </c>
      <c r="F1475" s="63" t="n">
        <v>0.269971</v>
      </c>
      <c r="G1475" s="63" t="n">
        <v>-0.19598</v>
      </c>
      <c r="H1475" s="63" t="n">
        <v>0.384232798026</v>
      </c>
      <c r="I1475" s="63" t="n">
        <v>0.487488233909</v>
      </c>
      <c r="J1475" s="63" t="n">
        <v>0.280977362144</v>
      </c>
      <c r="K1475" s="63" t="n">
        <v>2132.82</v>
      </c>
      <c r="L1475" s="63" t="n">
        <v>2063.52</v>
      </c>
      <c r="M1475" s="63" t="n">
        <v>2108.57</v>
      </c>
      <c r="N1475" s="54">
        <f>(M1476-M1475)/M1475</f>
        <v/>
      </c>
      <c r="O1475" s="54">
        <f>(M1479-M1475)/M1475</f>
        <v/>
      </c>
      <c r="P1475" s="4">
        <f>B1475-D1475</f>
        <v/>
      </c>
      <c r="Q1475" s="4">
        <f>AVERAGE(P1472:P1475)</f>
        <v/>
      </c>
      <c r="R1475" s="54">
        <f>(M1476-M1475)/M1475</f>
        <v/>
      </c>
      <c r="S1475" s="54">
        <f>(M1479-M1475)/M1475</f>
        <v/>
      </c>
      <c r="T1475" s="63">
        <f>IF(R1475&gt;0,1,"")</f>
        <v/>
      </c>
      <c r="U1475" s="63">
        <f>IF(S1475&gt;0,1,"")</f>
        <v/>
      </c>
    </row>
    <row r="1476">
      <c r="A1476" s="35" t="n">
        <v>42222</v>
      </c>
      <c r="B1476" s="4" t="n">
        <v>0.243187</v>
      </c>
      <c r="C1476" s="4" t="n">
        <v>0.440252</v>
      </c>
      <c r="D1476" s="4" t="n">
        <v>0.316562</v>
      </c>
      <c r="E1476" s="63" t="n">
        <v>1.000001</v>
      </c>
      <c r="F1476" s="63" t="n">
        <v>0.2753225</v>
      </c>
      <c r="G1476" s="63" t="n">
        <v>-0.073375</v>
      </c>
      <c r="H1476" s="63" t="n">
        <v>0.384143401052</v>
      </c>
      <c r="I1476" s="63" t="n">
        <v>0.487423729913</v>
      </c>
      <c r="J1476" s="63" t="n">
        <v>0.280863072191</v>
      </c>
      <c r="K1476" s="63" t="n">
        <v>2114.24</v>
      </c>
      <c r="L1476" s="63" t="n">
        <v>2063.52</v>
      </c>
      <c r="M1476" s="63" t="n">
        <v>2099.84</v>
      </c>
      <c r="N1476" s="54">
        <f>(M1477-M1476)/M1476</f>
        <v/>
      </c>
      <c r="O1476" s="54">
        <f>(M1480-M1476)/M1476</f>
        <v/>
      </c>
      <c r="P1476" s="4">
        <f>B1476-D1476</f>
        <v/>
      </c>
      <c r="Q1476" s="4">
        <f>AVERAGE(P1473:P1476)</f>
        <v/>
      </c>
      <c r="R1476" s="54">
        <f>(M1477-M1476)/M1476</f>
        <v/>
      </c>
      <c r="S1476" s="54">
        <f>(M1480-M1476)/M1476</f>
        <v/>
      </c>
      <c r="T1476" s="63">
        <f>IF(R1476&gt;0,1,"")</f>
        <v/>
      </c>
      <c r="U1476" s="63">
        <f>IF(S1476&gt;0,1,"")</f>
        <v/>
      </c>
    </row>
    <row r="1477">
      <c r="A1477" s="35" t="n">
        <v>42229</v>
      </c>
      <c r="B1477" s="4" t="n">
        <v>0.304519</v>
      </c>
      <c r="C1477" s="4" t="n">
        <v>0.333988</v>
      </c>
      <c r="D1477" s="4" t="n">
        <v>0.361493</v>
      </c>
      <c r="E1477" s="63" t="n">
        <v>1</v>
      </c>
      <c r="F1477" s="63" t="n">
        <v>0.281627</v>
      </c>
      <c r="G1477" s="63" t="n">
        <v>-0.056974</v>
      </c>
      <c r="H1477" s="63" t="n">
        <v>0.384048694481</v>
      </c>
      <c r="I1477" s="63" t="n">
        <v>0.487361155596</v>
      </c>
      <c r="J1477" s="63" t="n">
        <v>0.280736233365</v>
      </c>
      <c r="K1477" s="63" t="n">
        <v>2112.66</v>
      </c>
      <c r="L1477" s="63" t="n">
        <v>2052.09</v>
      </c>
      <c r="M1477" s="63" t="n">
        <v>2086.05</v>
      </c>
      <c r="N1477" s="54">
        <f>(M1478-M1477)/M1477</f>
        <v/>
      </c>
      <c r="O1477" s="54">
        <f>(M1481-M1477)/M1477</f>
        <v/>
      </c>
      <c r="P1477" s="4">
        <f>B1477-D1477</f>
        <v/>
      </c>
      <c r="Q1477" s="4">
        <f>AVERAGE(P1474:P1477)</f>
        <v/>
      </c>
      <c r="R1477" s="54">
        <f>(M1478-M1477)/M1477</f>
        <v/>
      </c>
      <c r="S1477" s="54">
        <f>(M1481-M1477)/M1477</f>
        <v/>
      </c>
      <c r="T1477" s="63">
        <f>IF(R1477&gt;0,1,"")</f>
        <v/>
      </c>
      <c r="U1477" s="63">
        <f>IF(S1477&gt;0,1,"")</f>
        <v/>
      </c>
    </row>
    <row r="1478">
      <c r="A1478" s="35" t="n">
        <v>42236</v>
      </c>
      <c r="B1478" s="4" t="n">
        <v>0.268199</v>
      </c>
      <c r="C1478" s="4" t="n">
        <v>0.398467</v>
      </c>
      <c r="D1478" s="4" t="n">
        <v>0.333333</v>
      </c>
      <c r="E1478" s="63" t="n">
        <v>0.999999</v>
      </c>
      <c r="F1478" s="63" t="n">
        <v>0.270707375</v>
      </c>
      <c r="G1478" s="63" t="n">
        <v>-0.065134</v>
      </c>
      <c r="H1478" s="63" t="n">
        <v>0.383985593565</v>
      </c>
      <c r="I1478" s="63" t="n">
        <v>0.487293463551</v>
      </c>
      <c r="J1478" s="63" t="n">
        <v>0.28067772358</v>
      </c>
      <c r="K1478" s="63" t="n">
        <v>2103.47</v>
      </c>
      <c r="L1478" s="63" t="n">
        <v>2052.09</v>
      </c>
      <c r="M1478" s="63" t="n">
        <v>2079.61</v>
      </c>
      <c r="N1478" s="54">
        <f>(M1479-M1478)/M1478</f>
        <v/>
      </c>
      <c r="O1478" s="54">
        <f>(M1482-M1478)/M1478</f>
        <v/>
      </c>
      <c r="P1478" s="4">
        <f>B1478-D1478</f>
        <v/>
      </c>
      <c r="Q1478" s="4">
        <f>AVERAGE(P1475:P1478)</f>
        <v/>
      </c>
      <c r="R1478" s="54">
        <f>(M1479-M1478)/M1478</f>
        <v/>
      </c>
      <c r="S1478" s="54">
        <f>(M1482-M1478)/M1478</f>
        <v/>
      </c>
      <c r="T1478" s="63">
        <f>IF(R1478&gt;0,1,"")</f>
        <v/>
      </c>
      <c r="U1478" s="63">
        <f>IF(S1478&gt;0,1,"")</f>
        <v/>
      </c>
    </row>
    <row r="1479">
      <c r="A1479" s="35" t="n">
        <v>42243</v>
      </c>
      <c r="B1479" s="4" t="n">
        <v>0.325</v>
      </c>
      <c r="C1479" s="4" t="n">
        <v>0.292308</v>
      </c>
      <c r="D1479" s="4" t="n">
        <v>0.382692</v>
      </c>
      <c r="E1479" s="63" t="n">
        <v>1</v>
      </c>
      <c r="F1479" s="63" t="n">
        <v>0.28306725</v>
      </c>
      <c r="G1479" s="63" t="n">
        <v>-0.057692</v>
      </c>
      <c r="H1479" s="63" t="n">
        <v>0.383900771654</v>
      </c>
      <c r="I1479" s="63" t="n">
        <v>0.487227792557</v>
      </c>
      <c r="J1479" s="63" t="n">
        <v>0.28057375075</v>
      </c>
      <c r="K1479" s="63" t="n">
        <v>2103.47</v>
      </c>
      <c r="L1479" s="63" t="n">
        <v>1867.01</v>
      </c>
      <c r="M1479" s="63" t="n">
        <v>1940.51</v>
      </c>
      <c r="N1479" s="54">
        <f>(M1480-M1479)/M1479</f>
        <v/>
      </c>
      <c r="O1479" s="54">
        <f>(M1483-M1479)/M1479</f>
        <v/>
      </c>
      <c r="P1479" s="4">
        <f>B1479-D1479</f>
        <v/>
      </c>
      <c r="Q1479" s="4">
        <f>AVERAGE(P1476:P1479)</f>
        <v/>
      </c>
      <c r="R1479" s="54">
        <f>(M1480-M1479)/M1479</f>
        <v/>
      </c>
      <c r="S1479" s="54">
        <f>(M1483-M1479)/M1479</f>
        <v/>
      </c>
      <c r="T1479" s="63">
        <f>IF(R1479&gt;0,1,"")</f>
        <v/>
      </c>
      <c r="U1479" s="63">
        <f>IF(S1479&gt;0,1,"")</f>
        <v/>
      </c>
    </row>
    <row r="1480">
      <c r="A1480" s="35" t="n">
        <v>42250</v>
      </c>
      <c r="B1480" s="4" t="n">
        <v>0.323843</v>
      </c>
      <c r="C1480" s="4" t="n">
        <v>0.359431</v>
      </c>
      <c r="D1480" s="4" t="n">
        <v>0.316726</v>
      </c>
      <c r="E1480" s="63" t="n">
        <v>1</v>
      </c>
      <c r="F1480" s="63" t="n">
        <v>0.288663875</v>
      </c>
      <c r="G1480" s="63" t="n">
        <v>0.007117</v>
      </c>
      <c r="H1480" s="63" t="n">
        <v>0.383804702295</v>
      </c>
      <c r="I1480" s="63" t="n">
        <v>0.487165925219</v>
      </c>
      <c r="J1480" s="63" t="n">
        <v>0.280443479371</v>
      </c>
      <c r="K1480" s="63" t="n">
        <v>1993.48</v>
      </c>
      <c r="L1480" s="63" t="n">
        <v>1867.08</v>
      </c>
      <c r="M1480" s="63" t="n">
        <v>1948.86</v>
      </c>
      <c r="N1480" s="54">
        <f>(M1481-M1480)/M1480</f>
        <v/>
      </c>
      <c r="O1480" s="54">
        <f>(M1484-M1480)/M1480</f>
        <v/>
      </c>
      <c r="P1480" s="4">
        <f>B1480-D1480</f>
        <v/>
      </c>
      <c r="Q1480" s="4">
        <f>AVERAGE(P1477:P1480)</f>
        <v/>
      </c>
      <c r="R1480" s="54">
        <f>(M1481-M1480)/M1480</f>
        <v/>
      </c>
      <c r="S1480" s="54">
        <f>(M1484-M1480)/M1480</f>
        <v/>
      </c>
      <c r="T1480" s="63">
        <f>IF(R1480&gt;0,1,"")</f>
        <v/>
      </c>
      <c r="U1480" s="63">
        <f>IF(S1480&gt;0,1,"")</f>
        <v/>
      </c>
    </row>
    <row r="1481">
      <c r="A1481" s="35" t="n">
        <v>42257</v>
      </c>
      <c r="B1481" s="4" t="n">
        <v>0.346499</v>
      </c>
      <c r="C1481" s="4" t="n">
        <v>0.303411</v>
      </c>
      <c r="D1481" s="4" t="n">
        <v>0.35009</v>
      </c>
      <c r="E1481" s="63" t="n">
        <v>1</v>
      </c>
      <c r="F1481" s="63" t="n">
        <v>0.29346275</v>
      </c>
      <c r="G1481" s="63" t="n">
        <v>-0.003591</v>
      </c>
      <c r="H1481" s="63" t="n">
        <v>0.383715412844</v>
      </c>
      <c r="I1481" s="63" t="n">
        <v>0.487101596639</v>
      </c>
      <c r="J1481" s="63" t="n">
        <v>0.280329229049</v>
      </c>
      <c r="K1481" s="63" t="n">
        <v>1988.63</v>
      </c>
      <c r="L1481" s="63" t="n">
        <v>1903.07</v>
      </c>
      <c r="M1481" s="63" t="n">
        <v>1942.04</v>
      </c>
      <c r="N1481" s="54">
        <f>(M1482-M1481)/M1481</f>
        <v/>
      </c>
      <c r="O1481" s="54">
        <f>(M1485-M1481)/M1481</f>
        <v/>
      </c>
      <c r="P1481" s="4">
        <f>B1481-D1481</f>
        <v/>
      </c>
      <c r="Q1481" s="4">
        <f>AVERAGE(P1478:P1481)</f>
        <v/>
      </c>
      <c r="R1481" s="54">
        <f>(M1482-M1481)/M1481</f>
        <v/>
      </c>
      <c r="S1481" s="54">
        <f>(M1485-M1481)/M1481</f>
        <v/>
      </c>
      <c r="T1481" s="63">
        <f>IF(R1481&gt;0,1,"")</f>
        <v/>
      </c>
      <c r="U1481" s="63">
        <f>IF(S1481&gt;0,1,"")</f>
        <v/>
      </c>
    </row>
    <row r="1482">
      <c r="A1482" s="35" t="n">
        <v>42264</v>
      </c>
      <c r="B1482" s="4" t="n">
        <v>0.332645</v>
      </c>
      <c r="C1482" s="4" t="n">
        <v>0.376033</v>
      </c>
      <c r="D1482" s="4" t="n">
        <v>0.291322</v>
      </c>
      <c r="E1482" s="63" t="n">
        <v>1</v>
      </c>
      <c r="F1482" s="63" t="n">
        <v>0.294368375</v>
      </c>
      <c r="G1482" s="63" t="n">
        <v>0.041323</v>
      </c>
      <c r="H1482" s="63" t="n">
        <v>0.383618915521</v>
      </c>
      <c r="I1482" s="63" t="n">
        <v>0.487039985057</v>
      </c>
      <c r="J1482" s="63" t="n">
        <v>0.280197845984</v>
      </c>
      <c r="K1482" s="63" t="n">
        <v>1997.26</v>
      </c>
      <c r="L1482" s="63" t="n">
        <v>1927.3</v>
      </c>
      <c r="M1482" s="63" t="n">
        <v>1995.31</v>
      </c>
      <c r="N1482" s="54">
        <f>(M1483-M1482)/M1482</f>
        <v/>
      </c>
      <c r="O1482" s="54">
        <f>(M1486-M1482)/M1482</f>
        <v/>
      </c>
      <c r="P1482" s="4">
        <f>B1482-D1482</f>
        <v/>
      </c>
      <c r="Q1482" s="4">
        <f>AVERAGE(P1479:P1482)</f>
        <v/>
      </c>
      <c r="R1482" s="54">
        <f>(M1483-M1482)/M1482</f>
        <v/>
      </c>
      <c r="S1482" s="54">
        <f>(M1486-M1482)/M1482</f>
        <v/>
      </c>
      <c r="T1482" s="63">
        <f>IF(R1482&gt;0,1,"")</f>
        <v/>
      </c>
      <c r="U1482" s="63">
        <f>IF(S1482&gt;0,1,"")</f>
        <v/>
      </c>
    </row>
    <row r="1483">
      <c r="A1483" s="35" t="n">
        <v>42271</v>
      </c>
      <c r="B1483" s="4" t="n">
        <v>0.321199</v>
      </c>
      <c r="C1483" s="4" t="n">
        <v>0.391863</v>
      </c>
      <c r="D1483" s="4" t="n">
        <v>0.286938</v>
      </c>
      <c r="E1483" s="63" t="n">
        <v>1</v>
      </c>
      <c r="F1483" s="63" t="n">
        <v>0.308136375</v>
      </c>
      <c r="G1483" s="63" t="n">
        <v>0.034261</v>
      </c>
      <c r="H1483" s="63" t="n">
        <v>0.383622364529</v>
      </c>
      <c r="I1483" s="63" t="n">
        <v>0.487009652289</v>
      </c>
      <c r="J1483" s="63" t="n">
        <v>0.280235076768</v>
      </c>
      <c r="K1483" s="63" t="n">
        <v>2020.86</v>
      </c>
      <c r="L1483" s="63" t="n">
        <v>1939.19</v>
      </c>
      <c r="M1483" s="63" t="n">
        <v>1966.97</v>
      </c>
      <c r="N1483" s="54">
        <f>(M1484-M1483)/M1483</f>
        <v/>
      </c>
      <c r="O1483" s="54">
        <f>(M1487-M1483)/M1483</f>
        <v/>
      </c>
      <c r="P1483" s="4">
        <f>B1483-D1483</f>
        <v/>
      </c>
      <c r="Q1483" s="4">
        <f>AVERAGE(P1480:P1483)</f>
        <v/>
      </c>
      <c r="R1483" s="54">
        <f>(M1484-M1483)/M1483</f>
        <v/>
      </c>
      <c r="S1483" s="54">
        <f>(M1487-M1483)/M1483</f>
        <v/>
      </c>
      <c r="T1483" s="63">
        <f>IF(R1483&gt;0,1,"")</f>
        <v/>
      </c>
      <c r="U1483" s="63">
        <f>IF(S1483&gt;0,1,"")</f>
        <v/>
      </c>
    </row>
    <row r="1484">
      <c r="A1484" s="35" t="n">
        <v>42278</v>
      </c>
      <c r="B1484" s="4" t="n">
        <v>0.281059</v>
      </c>
      <c r="C1484" s="4" t="n">
        <v>0.319756</v>
      </c>
      <c r="D1484" s="4" t="n">
        <v>0.399185</v>
      </c>
      <c r="E1484" s="63" t="n">
        <v>1</v>
      </c>
      <c r="F1484" s="63" t="n">
        <v>0.312870375</v>
      </c>
      <c r="G1484" s="63" t="n">
        <v>-0.118126</v>
      </c>
      <c r="H1484" s="63" t="n">
        <v>0.38367658862</v>
      </c>
      <c r="I1484" s="63" t="n">
        <v>0.487051786525</v>
      </c>
      <c r="J1484" s="63" t="n">
        <v>0.280301390715</v>
      </c>
      <c r="K1484" s="63" t="n">
        <v>1979.64</v>
      </c>
      <c r="L1484" s="63" t="n">
        <v>1871.91</v>
      </c>
      <c r="M1484" s="63" t="n">
        <v>1884.09</v>
      </c>
      <c r="N1484" s="54">
        <f>(M1485-M1484)/M1484</f>
        <v/>
      </c>
      <c r="O1484" s="54">
        <f>(M1488-M1484)/M1484</f>
        <v/>
      </c>
      <c r="P1484" s="4">
        <f>B1484-D1484</f>
        <v/>
      </c>
      <c r="Q1484" s="4">
        <f>AVERAGE(P1481:P1484)</f>
        <v/>
      </c>
      <c r="R1484" s="54">
        <f>(M1485-M1484)/M1484</f>
        <v/>
      </c>
      <c r="S1484" s="54">
        <f>(M1488-M1484)/M1484</f>
        <v/>
      </c>
      <c r="T1484" s="63">
        <f>IF(R1484&gt;0,1,"")</f>
        <v/>
      </c>
      <c r="U1484" s="63">
        <f>IF(S1484&gt;0,1,"")</f>
        <v/>
      </c>
    </row>
    <row r="1485">
      <c r="A1485" s="35" t="n">
        <v>42285</v>
      </c>
      <c r="B1485" s="4" t="n">
        <v>0.375238</v>
      </c>
      <c r="C1485" s="4" t="n">
        <v>0.342857</v>
      </c>
      <c r="D1485" s="4" t="n">
        <v>0.281905</v>
      </c>
      <c r="E1485" s="63" t="n">
        <v>1</v>
      </c>
      <c r="F1485" s="63" t="n">
        <v>0.32171025</v>
      </c>
      <c r="G1485" s="63" t="n">
        <v>0.093333</v>
      </c>
      <c r="H1485" s="63" t="n">
        <v>0.38367658862</v>
      </c>
      <c r="I1485" s="63" t="n">
        <v>0.487051786525</v>
      </c>
      <c r="J1485" s="63" t="n">
        <v>0.280301390715</v>
      </c>
      <c r="K1485" s="63" t="n">
        <v>1999.31</v>
      </c>
      <c r="L1485" s="63" t="n">
        <v>1871.91</v>
      </c>
      <c r="M1485" s="63" t="n">
        <v>1995.83</v>
      </c>
      <c r="N1485" s="54">
        <f>(M1486-M1485)/M1485</f>
        <v/>
      </c>
      <c r="O1485" s="54">
        <f>(M1489-M1485)/M1485</f>
        <v/>
      </c>
      <c r="P1485" s="4">
        <f>B1485-D1485</f>
        <v/>
      </c>
      <c r="Q1485" s="4">
        <f>AVERAGE(P1482:P1485)</f>
        <v/>
      </c>
      <c r="R1485" s="54">
        <f>(M1486-M1485)/M1485</f>
        <v/>
      </c>
      <c r="S1485" s="54">
        <f>(M1489-M1485)/M1485</f>
        <v/>
      </c>
      <c r="T1485" s="63">
        <f>IF(R1485&gt;0,1,"")</f>
        <v/>
      </c>
      <c r="U1485" s="63">
        <f>IF(S1485&gt;0,1,"")</f>
        <v/>
      </c>
    </row>
    <row r="1486">
      <c r="A1486" s="35" t="n">
        <v>42292</v>
      </c>
      <c r="B1486" s="4" t="n">
        <v>0.340816</v>
      </c>
      <c r="C1486" s="4" t="n">
        <v>0.387755</v>
      </c>
      <c r="D1486" s="4" t="n">
        <v>0.271429</v>
      </c>
      <c r="E1486" s="63" t="n">
        <v>1</v>
      </c>
      <c r="F1486" s="63" t="n">
        <v>0.330787375</v>
      </c>
      <c r="G1486" s="63" t="n">
        <v>0.069387</v>
      </c>
      <c r="H1486" s="63" t="n">
        <v>0.383787193338</v>
      </c>
      <c r="I1486" s="63" t="n">
        <v>0.48714600709</v>
      </c>
      <c r="J1486" s="63" t="n">
        <v>0.280428379586</v>
      </c>
      <c r="K1486" s="63" t="n">
        <v>2022.34</v>
      </c>
      <c r="L1486" s="63" t="n">
        <v>1971.99</v>
      </c>
      <c r="M1486" s="63" t="n">
        <v>1994.24</v>
      </c>
      <c r="N1486" s="54">
        <f>(M1487-M1486)/M1486</f>
        <v/>
      </c>
      <c r="O1486" s="54">
        <f>(M1490-M1486)/M1486</f>
        <v/>
      </c>
      <c r="P1486" s="4">
        <f>B1486-D1486</f>
        <v/>
      </c>
      <c r="Q1486" s="4">
        <f>AVERAGE(P1483:P1486)</f>
        <v/>
      </c>
      <c r="R1486" s="54">
        <f>(M1487-M1486)/M1486</f>
        <v/>
      </c>
      <c r="S1486" s="54">
        <f>(M1490-M1486)/M1486</f>
        <v/>
      </c>
      <c r="T1486" s="63">
        <f>IF(R1486&gt;0,1,"")</f>
        <v/>
      </c>
      <c r="U1486" s="63">
        <f>IF(S1486&gt;0,1,"")</f>
        <v/>
      </c>
    </row>
    <row r="1487">
      <c r="A1487" s="35" t="n">
        <v>42299</v>
      </c>
      <c r="B1487" s="4" t="n">
        <v>0.347656</v>
      </c>
      <c r="C1487" s="4" t="n">
        <v>0.412109</v>
      </c>
      <c r="D1487" s="4" t="n">
        <v>0.240234</v>
      </c>
      <c r="E1487" s="63" t="n">
        <v>0.999999</v>
      </c>
      <c r="F1487" s="63" t="n">
        <v>0.333619375</v>
      </c>
      <c r="G1487" s="63" t="n">
        <v>0.107422</v>
      </c>
      <c r="H1487" s="63" t="n">
        <v>0.383787193338</v>
      </c>
      <c r="I1487" s="63" t="n">
        <v>0.48714600709</v>
      </c>
      <c r="J1487" s="63" t="n">
        <v>0.280428379586</v>
      </c>
      <c r="K1487" s="63" t="n">
        <v>2039.12</v>
      </c>
      <c r="L1487" s="63" t="n">
        <v>1990.73</v>
      </c>
      <c r="M1487" s="63" t="n">
        <v>2018.94</v>
      </c>
      <c r="N1487" s="54">
        <f>(M1488-M1487)/M1487</f>
        <v/>
      </c>
      <c r="O1487" s="54">
        <f>(M1491-M1487)/M1487</f>
        <v/>
      </c>
      <c r="P1487" s="4">
        <f>B1487-D1487</f>
        <v/>
      </c>
      <c r="Q1487" s="4">
        <f>AVERAGE(P1484:P1487)</f>
        <v/>
      </c>
      <c r="R1487" s="54">
        <f>(M1488-M1487)/M1487</f>
        <v/>
      </c>
      <c r="S1487" s="54">
        <f>(M1491-M1487)/M1487</f>
        <v/>
      </c>
      <c r="T1487" s="63">
        <f>IF(R1487&gt;0,1,"")</f>
        <v/>
      </c>
      <c r="U1487" s="63">
        <f>IF(S1487&gt;0,1,"")</f>
        <v/>
      </c>
    </row>
    <row r="1488">
      <c r="A1488" s="35" t="n">
        <v>42306</v>
      </c>
      <c r="B1488" s="4" t="n">
        <v>0.403922</v>
      </c>
      <c r="C1488" s="4" t="n">
        <v>0.390196</v>
      </c>
      <c r="D1488" s="4" t="n">
        <v>0.205882</v>
      </c>
      <c r="E1488" s="63" t="n">
        <v>1</v>
      </c>
      <c r="F1488" s="63" t="n">
        <v>0.34362925</v>
      </c>
      <c r="G1488" s="63" t="n">
        <v>0.19804</v>
      </c>
      <c r="H1488" s="63" t="n">
        <v>0.383859086106</v>
      </c>
      <c r="I1488" s="63" t="n">
        <v>0.487169947155</v>
      </c>
      <c r="J1488" s="63" t="n">
        <v>0.280548225057</v>
      </c>
      <c r="K1488" s="63" t="n">
        <v>2090.35</v>
      </c>
      <c r="L1488" s="63" t="n">
        <v>2017.22</v>
      </c>
      <c r="M1488" s="63" t="n">
        <v>2090.35</v>
      </c>
      <c r="N1488" s="54">
        <f>(M1489-M1488)/M1488</f>
        <v/>
      </c>
      <c r="O1488" s="54">
        <f>(M1492-M1488)/M1488</f>
        <v/>
      </c>
      <c r="P1488" s="4">
        <f>B1488-D1488</f>
        <v/>
      </c>
      <c r="Q1488" s="4">
        <f>AVERAGE(P1485:P1488)</f>
        <v/>
      </c>
      <c r="R1488" s="54">
        <f>(M1489-M1488)/M1488</f>
        <v/>
      </c>
      <c r="S1488" s="54">
        <f>(M1492-M1488)/M1488</f>
        <v/>
      </c>
      <c r="T1488" s="63">
        <f>IF(R1488&gt;0,1,"")</f>
        <v/>
      </c>
      <c r="U1488" s="63">
        <f>IF(S1488&gt;0,1,"")</f>
        <v/>
      </c>
    </row>
    <row r="1489">
      <c r="A1489" s="35" t="n">
        <v>42313</v>
      </c>
      <c r="B1489" s="4" t="n">
        <v>0.39</v>
      </c>
      <c r="C1489" s="4" t="n">
        <v>0.424</v>
      </c>
      <c r="D1489" s="4" t="n">
        <v>0.186</v>
      </c>
      <c r="E1489" s="63" t="n">
        <v>1</v>
      </c>
      <c r="F1489" s="63" t="n">
        <v>0.349066875</v>
      </c>
      <c r="G1489" s="63" t="n">
        <v>0.204</v>
      </c>
      <c r="H1489" s="63" t="n">
        <v>0.383899636897</v>
      </c>
      <c r="I1489" s="63" t="n">
        <v>0.487189008161</v>
      </c>
      <c r="J1489" s="63" t="n">
        <v>0.280610265633</v>
      </c>
      <c r="K1489" s="63" t="n">
        <v>2116.48</v>
      </c>
      <c r="L1489" s="63" t="n">
        <v>2058.84</v>
      </c>
      <c r="M1489" s="63" t="n">
        <v>2102.31</v>
      </c>
      <c r="N1489" s="54">
        <f>(M1490-M1489)/M1489</f>
        <v/>
      </c>
      <c r="O1489" s="54">
        <f>(M1493-M1489)/M1489</f>
        <v/>
      </c>
      <c r="P1489" s="4">
        <f>B1489-D1489</f>
        <v/>
      </c>
      <c r="Q1489" s="4">
        <f>AVERAGE(P1486:P1489)</f>
        <v/>
      </c>
      <c r="R1489" s="54">
        <f>(M1490-M1489)/M1489</f>
        <v/>
      </c>
      <c r="S1489" s="54">
        <f>(M1493-M1489)/M1489</f>
        <v/>
      </c>
      <c r="T1489" s="63">
        <f>IF(R1489&gt;0,1,"")</f>
        <v/>
      </c>
      <c r="U1489" s="63">
        <f>IF(S1489&gt;0,1,"")</f>
        <v/>
      </c>
    </row>
    <row r="1490">
      <c r="A1490" s="35" t="n">
        <v>42320</v>
      </c>
      <c r="B1490" s="4" t="n">
        <v>0.342723</v>
      </c>
      <c r="C1490" s="4" t="n">
        <v>0.42723</v>
      </c>
      <c r="D1490" s="4" t="n">
        <v>0.230047</v>
      </c>
      <c r="E1490" s="63" t="n">
        <v>1</v>
      </c>
      <c r="F1490" s="63" t="n">
        <v>0.350326625</v>
      </c>
      <c r="G1490" s="63" t="n">
        <v>0.112676</v>
      </c>
      <c r="H1490" s="63" t="n">
        <v>0.383946409772</v>
      </c>
      <c r="I1490" s="63" t="n">
        <v>0.487218368784</v>
      </c>
      <c r="J1490" s="63" t="n">
        <v>0.28067445076</v>
      </c>
      <c r="K1490" s="63" t="n">
        <v>2116.48</v>
      </c>
      <c r="L1490" s="63" t="n">
        <v>2068.24</v>
      </c>
      <c r="M1490" s="63" t="n">
        <v>2075</v>
      </c>
      <c r="N1490" s="54">
        <f>(M1491-M1490)/M1490</f>
        <v/>
      </c>
      <c r="O1490" s="54">
        <f>(M1494-M1490)/M1490</f>
        <v/>
      </c>
      <c r="P1490" s="4">
        <f>B1490-D1490</f>
        <v/>
      </c>
      <c r="Q1490" s="4">
        <f>AVERAGE(P1487:P1490)</f>
        <v/>
      </c>
      <c r="R1490" s="54">
        <f>(M1491-M1490)/M1490</f>
        <v/>
      </c>
      <c r="S1490" s="54">
        <f>(M1494-M1490)/M1490</f>
        <v/>
      </c>
      <c r="T1490" s="63">
        <f>IF(R1490&gt;0,1,"")</f>
        <v/>
      </c>
      <c r="U1490" s="63">
        <f>IF(S1490&gt;0,1,"")</f>
        <v/>
      </c>
    </row>
    <row r="1491">
      <c r="A1491" s="35" t="n">
        <v>42327</v>
      </c>
      <c r="B1491" s="4" t="n">
        <v>0.307692</v>
      </c>
      <c r="C1491" s="4" t="n">
        <v>0.386813</v>
      </c>
      <c r="D1491" s="4" t="n">
        <v>0.305495</v>
      </c>
      <c r="E1491" s="63" t="n">
        <v>1</v>
      </c>
      <c r="F1491" s="63" t="n">
        <v>0.34863825</v>
      </c>
      <c r="G1491" s="63" t="n">
        <v>0.002197</v>
      </c>
      <c r="H1491" s="63" t="n">
        <v>0.383997229818</v>
      </c>
      <c r="I1491" s="63" t="n">
        <v>0.487254755276</v>
      </c>
      <c r="J1491" s="63" t="n">
        <v>0.280739704359</v>
      </c>
      <c r="K1491" s="63" t="n">
        <v>2086.94</v>
      </c>
      <c r="L1491" s="63" t="n">
        <v>2019.39</v>
      </c>
      <c r="M1491" s="63" t="n">
        <v>2083.58</v>
      </c>
      <c r="N1491" s="54">
        <f>(M1492-M1491)/M1491</f>
        <v/>
      </c>
      <c r="O1491" s="54">
        <f>(M1495-M1491)/M1491</f>
        <v/>
      </c>
      <c r="P1491" s="4">
        <f>B1491-D1491</f>
        <v/>
      </c>
      <c r="Q1491" s="4">
        <f>AVERAGE(P1488:P1491)</f>
        <v/>
      </c>
      <c r="R1491" s="54">
        <f>(M1492-M1491)/M1491</f>
        <v/>
      </c>
      <c r="S1491" s="54">
        <f>(M1495-M1491)/M1491</f>
        <v/>
      </c>
      <c r="T1491" s="63">
        <f>IF(R1491&gt;0,1,"")</f>
        <v/>
      </c>
      <c r="U1491" s="63">
        <f>IF(S1491&gt;0,1,"")</f>
        <v/>
      </c>
    </row>
    <row r="1492">
      <c r="A1492" s="35" t="n">
        <v>42334</v>
      </c>
      <c r="B1492" s="4" t="n">
        <v>0.323601</v>
      </c>
      <c r="C1492" s="4" t="n">
        <v>0.416058</v>
      </c>
      <c r="D1492" s="4" t="n">
        <v>0.260341</v>
      </c>
      <c r="E1492" s="63" t="n">
        <v>1</v>
      </c>
      <c r="F1492" s="63" t="n">
        <v>0.353956</v>
      </c>
      <c r="G1492" s="63" t="n">
        <v>0.06326</v>
      </c>
      <c r="H1492" s="63" t="n">
        <v>0.384031300586</v>
      </c>
      <c r="I1492" s="63" t="n">
        <v>0.487263849996</v>
      </c>
      <c r="J1492" s="63" t="n">
        <v>0.280798751175</v>
      </c>
      <c r="K1492" s="63" t="n">
        <v>2097.06</v>
      </c>
      <c r="L1492" s="63" t="n">
        <v>2051.99</v>
      </c>
      <c r="M1492" s="63" t="n">
        <v>2090.11</v>
      </c>
      <c r="N1492" s="54">
        <f>(M1493-M1492)/M1492</f>
        <v/>
      </c>
      <c r="O1492" s="54">
        <f>(M1496-M1492)/M1492</f>
        <v/>
      </c>
      <c r="P1492" s="4">
        <f>B1492-D1492</f>
        <v/>
      </c>
      <c r="Q1492" s="4">
        <f>AVERAGE(P1489:P1492)</f>
        <v/>
      </c>
      <c r="R1492" s="54">
        <f>(M1493-M1492)/M1492</f>
        <v/>
      </c>
      <c r="S1492" s="54">
        <f>(M1496-M1492)/M1492</f>
        <v/>
      </c>
      <c r="T1492" s="63">
        <f>IF(R1492&gt;0,1,"")</f>
        <v/>
      </c>
      <c r="U1492" s="63">
        <f>IF(S1492&gt;0,1,"")</f>
        <v/>
      </c>
    </row>
    <row r="1493">
      <c r="A1493" s="35" t="n">
        <v>42341</v>
      </c>
      <c r="B1493" s="4" t="n">
        <v>0.294931</v>
      </c>
      <c r="C1493" s="4" t="n">
        <v>0.493088</v>
      </c>
      <c r="D1493" s="4" t="n">
        <v>0.211982</v>
      </c>
      <c r="E1493" s="63" t="n">
        <v>1.000001</v>
      </c>
      <c r="F1493" s="63" t="n">
        <v>0.343917625</v>
      </c>
      <c r="G1493" s="63" t="n">
        <v>0.08294899999999999</v>
      </c>
      <c r="H1493" s="63" t="n">
        <v>0.384022228869</v>
      </c>
      <c r="I1493" s="63" t="n">
        <v>0.487221803571</v>
      </c>
      <c r="J1493" s="63" t="n">
        <v>0.280822654167</v>
      </c>
      <c r="K1493" s="63" t="n">
        <v>2104.27</v>
      </c>
      <c r="L1493" s="63" t="n">
        <v>2070.29</v>
      </c>
      <c r="M1493" s="63" t="n">
        <v>2079.51</v>
      </c>
      <c r="N1493" s="54">
        <f>(M1494-M1493)/M1493</f>
        <v/>
      </c>
      <c r="O1493" s="54">
        <f>(M1497-M1493)/M1493</f>
        <v/>
      </c>
      <c r="P1493" s="4">
        <f>B1493-D1493</f>
        <v/>
      </c>
      <c r="Q1493" s="4">
        <f>AVERAGE(P1490:P1493)</f>
        <v/>
      </c>
      <c r="R1493" s="54">
        <f>(M1494-M1493)/M1493</f>
        <v/>
      </c>
      <c r="S1493" s="54">
        <f>(M1497-M1493)/M1493</f>
        <v/>
      </c>
      <c r="T1493" s="63">
        <f>IF(R1493&gt;0,1,"")</f>
        <v/>
      </c>
      <c r="U1493" s="63">
        <f>IF(S1493&gt;0,1,"")</f>
        <v/>
      </c>
    </row>
    <row r="1494">
      <c r="A1494" s="35" t="n">
        <v>42348</v>
      </c>
      <c r="B1494" s="4" t="n">
        <v>0.285057</v>
      </c>
      <c r="C1494" s="4" t="n">
        <v>0.416092</v>
      </c>
      <c r="D1494" s="4" t="n">
        <v>0.298851</v>
      </c>
      <c r="E1494" s="63" t="n">
        <v>1</v>
      </c>
      <c r="F1494" s="63" t="n">
        <v>0.33694775</v>
      </c>
      <c r="G1494" s="63" t="n">
        <v>-0.013794</v>
      </c>
      <c r="H1494" s="63" t="n">
        <v>0.383977892788</v>
      </c>
      <c r="I1494" s="63" t="n">
        <v>0.487158572841</v>
      </c>
      <c r="J1494" s="63" t="n">
        <v>0.280797212734</v>
      </c>
      <c r="K1494" s="63" t="n">
        <v>2104.27</v>
      </c>
      <c r="L1494" s="63" t="n">
        <v>2036.53</v>
      </c>
      <c r="M1494" s="63" t="n">
        <v>2047.62</v>
      </c>
      <c r="N1494" s="54">
        <f>(M1495-M1494)/M1494</f>
        <v/>
      </c>
      <c r="O1494" s="54">
        <f>(M1498-M1494)/M1494</f>
        <v/>
      </c>
      <c r="P1494" s="4">
        <f>B1494-D1494</f>
        <v/>
      </c>
      <c r="Q1494" s="4">
        <f>AVERAGE(P1491:P1494)</f>
        <v/>
      </c>
      <c r="R1494" s="54">
        <f>(M1495-M1494)/M1494</f>
        <v/>
      </c>
      <c r="S1494" s="54">
        <f>(M1498-M1494)/M1494</f>
        <v/>
      </c>
      <c r="T1494" s="63">
        <f>IF(R1494&gt;0,1,"")</f>
        <v/>
      </c>
      <c r="U1494" s="63">
        <f>IF(S1494&gt;0,1,"")</f>
        <v/>
      </c>
    </row>
    <row r="1495">
      <c r="A1495" s="35" t="n">
        <v>42355</v>
      </c>
      <c r="B1495" s="4" t="n">
        <v>0.238663</v>
      </c>
      <c r="C1495" s="4" t="n">
        <v>0.367542</v>
      </c>
      <c r="D1495" s="4" t="n">
        <v>0.393795</v>
      </c>
      <c r="E1495" s="63" t="n">
        <v>1</v>
      </c>
      <c r="F1495" s="63" t="n">
        <v>0.323323625</v>
      </c>
      <c r="G1495" s="63" t="n">
        <v>-0.155132</v>
      </c>
      <c r="H1495" s="63" t="n">
        <v>0.383941531818</v>
      </c>
      <c r="I1495" s="63" t="n">
        <v>0.487098553674</v>
      </c>
      <c r="J1495" s="63" t="n">
        <v>0.280784509962</v>
      </c>
      <c r="K1495" s="63" t="n">
        <v>2080.33</v>
      </c>
      <c r="L1495" s="63" t="n">
        <v>1993.26</v>
      </c>
      <c r="M1495" s="63" t="n">
        <v>2073.07</v>
      </c>
      <c r="N1495" s="54">
        <f>(M1496-M1495)/M1495</f>
        <v/>
      </c>
      <c r="O1495" s="54">
        <f>(M1499-M1495)/M1495</f>
        <v/>
      </c>
      <c r="P1495" s="4">
        <f>B1495-D1495</f>
        <v/>
      </c>
      <c r="Q1495" s="4">
        <f>AVERAGE(P1492:P1495)</f>
        <v/>
      </c>
      <c r="R1495" s="54">
        <f>(M1496-M1495)/M1495</f>
        <v/>
      </c>
      <c r="S1495" s="54">
        <f>(M1499-M1495)/M1495</f>
        <v/>
      </c>
      <c r="T1495" s="63">
        <f>IF(R1495&gt;0,1,"")</f>
        <v/>
      </c>
      <c r="U1495" s="63">
        <f>IF(S1495&gt;0,1,"")</f>
        <v/>
      </c>
    </row>
    <row r="1496">
      <c r="A1496" s="35" t="n">
        <v>42362</v>
      </c>
      <c r="B1496" s="4" t="n">
        <v>0.263804</v>
      </c>
      <c r="C1496" s="4" t="n">
        <v>0.421268</v>
      </c>
      <c r="D1496" s="4" t="n">
        <v>0.314928</v>
      </c>
      <c r="E1496" s="63" t="n">
        <v>1</v>
      </c>
      <c r="F1496" s="63" t="n">
        <v>0.305808875</v>
      </c>
      <c r="G1496" s="63" t="n">
        <v>-0.051124</v>
      </c>
      <c r="H1496" s="63" t="n">
        <v>0.383924713822</v>
      </c>
      <c r="I1496" s="63" t="n">
        <v>0.487050350989</v>
      </c>
      <c r="J1496" s="63" t="n">
        <v>0.280799076656</v>
      </c>
      <c r="K1496" s="63" t="n">
        <v>2076.72</v>
      </c>
      <c r="L1496" s="63" t="n">
        <v>1993.26</v>
      </c>
      <c r="M1496" s="63" t="n">
        <v>2064.29</v>
      </c>
      <c r="N1496" s="54">
        <f>(M1497-M1496)/M1496</f>
        <v/>
      </c>
      <c r="O1496" s="54">
        <f>(M1500-M1496)/M1496</f>
        <v/>
      </c>
      <c r="P1496" s="4">
        <f>B1496-D1496</f>
        <v/>
      </c>
      <c r="Q1496" s="4">
        <f>AVERAGE(P1493:P1496)</f>
        <v/>
      </c>
      <c r="R1496" s="54">
        <f>(M1497-M1496)/M1496</f>
        <v/>
      </c>
      <c r="S1496" s="54">
        <f>(M1500-M1496)/M1496</f>
        <v/>
      </c>
      <c r="T1496" s="63">
        <f>IF(R1496&gt;0,1,"")</f>
        <v/>
      </c>
      <c r="U1496" s="63">
        <f>IF(S1496&gt;0,1,"")</f>
        <v/>
      </c>
    </row>
    <row r="1497">
      <c r="A1497" s="35" t="n">
        <v>42369</v>
      </c>
      <c r="B1497" s="4" t="n">
        <v>0.250729</v>
      </c>
      <c r="C1497" s="4" t="n">
        <v>0.51312</v>
      </c>
      <c r="D1497" s="4" t="n">
        <v>0.236152</v>
      </c>
      <c r="E1497" s="63" t="n">
        <v>1.000001</v>
      </c>
      <c r="F1497" s="63" t="n">
        <v>0.2884</v>
      </c>
      <c r="G1497" s="63" t="n">
        <v>0.014577</v>
      </c>
      <c r="H1497" s="63" t="n">
        <v>0.383924713822</v>
      </c>
      <c r="I1497" s="63" t="n">
        <v>0.487050350989</v>
      </c>
      <c r="J1497" s="63" t="n">
        <v>0.280799076656</v>
      </c>
      <c r="K1497" s="63" t="n">
        <v>2081.56</v>
      </c>
      <c r="L1497" s="63" t="n">
        <v>2005.93</v>
      </c>
      <c r="M1497" s="63" t="n">
        <v>2063.36</v>
      </c>
      <c r="N1497" s="54">
        <f>(M1498-M1497)/M1497</f>
        <v/>
      </c>
      <c r="O1497" s="54">
        <f>(M1501-M1497)/M1497</f>
        <v/>
      </c>
      <c r="P1497" s="4">
        <f>B1497-D1497</f>
        <v/>
      </c>
      <c r="Q1497" s="4">
        <f>AVERAGE(P1494:P1497)</f>
        <v/>
      </c>
      <c r="R1497" s="54">
        <f>(M1498-M1497)/M1497</f>
        <v/>
      </c>
      <c r="S1497" s="54">
        <f>(M1501-M1497)/M1497</f>
        <v/>
      </c>
      <c r="T1497" s="63">
        <f>IF(R1497&gt;0,1,"")</f>
        <v/>
      </c>
      <c r="U1497" s="63">
        <f>IF(S1497&gt;0,1,"")</f>
        <v/>
      </c>
    </row>
    <row r="1498">
      <c r="A1498" s="35" t="n">
        <v>42376</v>
      </c>
      <c r="B1498" s="4" t="n">
        <v>0.221739</v>
      </c>
      <c r="C1498" s="4" t="n">
        <v>0.395652</v>
      </c>
      <c r="D1498" s="4" t="n">
        <v>0.382609</v>
      </c>
      <c r="E1498" s="63" t="n">
        <v>1</v>
      </c>
      <c r="F1498" s="63" t="n">
        <v>0.273277</v>
      </c>
      <c r="G1498" s="63" t="n">
        <v>-0.16087</v>
      </c>
      <c r="H1498" s="63" t="n">
        <v>0.383890802333</v>
      </c>
      <c r="I1498" s="63" t="n">
        <v>0.486958378704</v>
      </c>
      <c r="J1498" s="63" t="n">
        <v>0.280823225962</v>
      </c>
      <c r="K1498" s="63" t="n">
        <v>2081.56</v>
      </c>
      <c r="L1498" s="63" t="n">
        <v>1979.05</v>
      </c>
      <c r="M1498" s="63" t="n">
        <v>1990.26</v>
      </c>
      <c r="N1498" s="54">
        <f>(M1499-M1498)/M1498</f>
        <v/>
      </c>
      <c r="O1498" s="54">
        <f>(M1502-M1498)/M1498</f>
        <v/>
      </c>
      <c r="P1498" s="4">
        <f>B1498-D1498</f>
        <v/>
      </c>
      <c r="Q1498" s="4">
        <f>AVERAGE(P1495:P1498)</f>
        <v/>
      </c>
      <c r="R1498" s="54">
        <f>(M1499-M1498)/M1498</f>
        <v/>
      </c>
      <c r="S1498" s="54">
        <f>(M1502-M1498)/M1498</f>
        <v/>
      </c>
      <c r="T1498" s="63">
        <f>IF(R1498&gt;0,1,"")</f>
        <v/>
      </c>
      <c r="U1498" s="63">
        <f>IF(S1498&gt;0,1,"")</f>
        <v/>
      </c>
    </row>
    <row r="1499">
      <c r="A1499" s="35" t="n">
        <v>42383</v>
      </c>
      <c r="B1499" s="4" t="n">
        <v>0.178988</v>
      </c>
      <c r="C1499" s="4" t="n">
        <v>0.365759</v>
      </c>
      <c r="D1499" s="4" t="n">
        <v>0.455253</v>
      </c>
      <c r="E1499" s="63" t="n">
        <v>1</v>
      </c>
      <c r="F1499" s="63" t="n">
        <v>0.257189</v>
      </c>
      <c r="G1499" s="63" t="n">
        <v>-0.276265</v>
      </c>
      <c r="H1499" s="63" t="n">
        <v>0.383887689767</v>
      </c>
      <c r="I1499" s="63" t="n">
        <v>0.486921934877</v>
      </c>
      <c r="J1499" s="63" t="n">
        <v>0.280853444656</v>
      </c>
      <c r="K1499" s="63" t="n">
        <v>2021.94</v>
      </c>
      <c r="L1499" s="63" t="n">
        <v>1886.41</v>
      </c>
      <c r="M1499" s="63" t="n">
        <v>1890.28</v>
      </c>
      <c r="N1499" s="54">
        <f>(M1500-M1499)/M1499</f>
        <v/>
      </c>
      <c r="O1499" s="54">
        <f>(M1503-M1499)/M1499</f>
        <v/>
      </c>
      <c r="P1499" s="4">
        <f>B1499-D1499</f>
        <v/>
      </c>
      <c r="Q1499" s="4">
        <f>AVERAGE(P1496:P1499)</f>
        <v/>
      </c>
      <c r="R1499" s="54">
        <f>(M1500-M1499)/M1499</f>
        <v/>
      </c>
      <c r="S1499" s="54">
        <f>(M1503-M1499)/M1499</f>
        <v/>
      </c>
      <c r="T1499" s="63">
        <f>IF(R1499&gt;0,1,"")</f>
        <v/>
      </c>
      <c r="U1499" s="63">
        <f>IF(S1499&gt;0,1,"")</f>
        <v/>
      </c>
    </row>
    <row r="1500">
      <c r="A1500" s="35" t="n">
        <v>42390</v>
      </c>
      <c r="B1500" s="4" t="n">
        <v>0.21521</v>
      </c>
      <c r="C1500" s="4" t="n">
        <v>0.297735</v>
      </c>
      <c r="D1500" s="4" t="n">
        <v>0.487055</v>
      </c>
      <c r="E1500" s="63" t="n">
        <v>1</v>
      </c>
      <c r="F1500" s="63" t="n">
        <v>0.243640125</v>
      </c>
      <c r="G1500" s="63" t="n">
        <v>-0.271845</v>
      </c>
      <c r="H1500" s="63" t="n">
        <v>0.383833393528</v>
      </c>
      <c r="I1500" s="63" t="n">
        <v>0.486856375274</v>
      </c>
      <c r="J1500" s="63" t="n">
        <v>0.280810411781</v>
      </c>
      <c r="K1500" s="63" t="n">
        <v>1950.33</v>
      </c>
      <c r="L1500" s="63" t="n">
        <v>1812.29</v>
      </c>
      <c r="M1500" s="63" t="n">
        <v>1859.33</v>
      </c>
      <c r="N1500" s="54">
        <f>(M1501-M1500)/M1500</f>
        <v/>
      </c>
      <c r="O1500" s="54">
        <f>(M1504-M1500)/M1500</f>
        <v/>
      </c>
      <c r="P1500" s="4">
        <f>B1500-D1500</f>
        <v/>
      </c>
      <c r="Q1500" s="4">
        <f>AVERAGE(P1497:P1500)</f>
        <v/>
      </c>
      <c r="R1500" s="54">
        <f>(M1501-M1500)/M1500</f>
        <v/>
      </c>
      <c r="S1500" s="54">
        <f>(M1504-M1500)/M1500</f>
        <v/>
      </c>
      <c r="T1500" s="63">
        <f>IF(R1500&gt;0,1,"")</f>
        <v/>
      </c>
      <c r="U1500" s="63">
        <f>IF(S1500&gt;0,1,"")</f>
        <v/>
      </c>
    </row>
    <row r="1501">
      <c r="A1501" s="35" t="n">
        <v>42397</v>
      </c>
      <c r="B1501" s="4" t="n">
        <v>0.297535</v>
      </c>
      <c r="C1501" s="4" t="n">
        <v>0.302817</v>
      </c>
      <c r="D1501" s="4" t="n">
        <v>0.399648</v>
      </c>
      <c r="E1501" s="63" t="n">
        <v>1</v>
      </c>
      <c r="F1501" s="63" t="n">
        <v>0.243965625</v>
      </c>
      <c r="G1501" s="63" t="n">
        <v>-0.102113</v>
      </c>
      <c r="H1501" s="63" t="n">
        <v>0.383786727684</v>
      </c>
      <c r="I1501" s="63" t="n">
        <v>0.486792706939</v>
      </c>
      <c r="J1501" s="63" t="n">
        <v>0.28078074843</v>
      </c>
      <c r="K1501" s="63" t="n">
        <v>1916.99</v>
      </c>
      <c r="L1501" s="63" t="n">
        <v>1812.29</v>
      </c>
      <c r="M1501" s="63" t="n">
        <v>1882.95</v>
      </c>
      <c r="N1501" s="54">
        <f>(M1502-M1501)/M1501</f>
        <v/>
      </c>
      <c r="O1501" s="54">
        <f>(M1505-M1501)/M1501</f>
        <v/>
      </c>
      <c r="P1501" s="4">
        <f>B1501-D1501</f>
        <v/>
      </c>
      <c r="Q1501" s="4">
        <f>AVERAGE(P1498:P1501)</f>
        <v/>
      </c>
      <c r="R1501" s="54">
        <f>(M1502-M1501)/M1501</f>
        <v/>
      </c>
      <c r="S1501" s="54">
        <f>(M1505-M1501)/M1501</f>
        <v/>
      </c>
      <c r="T1501" s="63">
        <f>IF(R1501&gt;0,1,"")</f>
        <v/>
      </c>
      <c r="U1501" s="63">
        <f>IF(S1501&gt;0,1,"")</f>
        <v/>
      </c>
    </row>
    <row r="1502">
      <c r="A1502" s="35" t="n">
        <v>42404</v>
      </c>
      <c r="B1502" s="4" t="n">
        <v>0.275472</v>
      </c>
      <c r="C1502" s="4" t="n">
        <v>0.377358</v>
      </c>
      <c r="D1502" s="4" t="n">
        <v>0.34717</v>
      </c>
      <c r="E1502" s="63" t="n">
        <v>1</v>
      </c>
      <c r="F1502" s="63" t="n">
        <v>0.2427675</v>
      </c>
      <c r="G1502" s="63" t="n">
        <v>-0.071698</v>
      </c>
      <c r="H1502" s="63" t="n">
        <v>0.383766687783</v>
      </c>
      <c r="I1502" s="63" t="n">
        <v>0.486742364581</v>
      </c>
      <c r="J1502" s="63" t="n">
        <v>0.280791010985</v>
      </c>
      <c r="K1502" s="63" t="n">
        <v>1947.2</v>
      </c>
      <c r="L1502" s="63" t="n">
        <v>1872.23</v>
      </c>
      <c r="M1502" s="63" t="n">
        <v>1912.53</v>
      </c>
      <c r="N1502" s="54">
        <f>(M1503-M1502)/M1502</f>
        <v/>
      </c>
      <c r="O1502" s="54">
        <f>(M1506-M1502)/M1502</f>
        <v/>
      </c>
      <c r="P1502" s="4">
        <f>B1502-D1502</f>
        <v/>
      </c>
      <c r="Q1502" s="4">
        <f>AVERAGE(P1499:P1502)</f>
        <v/>
      </c>
      <c r="R1502" s="54">
        <f>(M1503-M1502)/M1502</f>
        <v/>
      </c>
      <c r="S1502" s="54">
        <f>(M1506-M1502)/M1502</f>
        <v/>
      </c>
      <c r="T1502" s="63">
        <f>IF(R1502&gt;0,1,"")</f>
        <v/>
      </c>
      <c r="U1502" s="63">
        <f>IF(S1502&gt;0,1,"")</f>
        <v/>
      </c>
    </row>
    <row r="1503">
      <c r="A1503" s="35" t="n">
        <v>42411</v>
      </c>
      <c r="B1503" s="4" t="n">
        <v>0.192385</v>
      </c>
      <c r="C1503" s="4" t="n">
        <v>0.320641</v>
      </c>
      <c r="D1503" s="4" t="n">
        <v>0.486974</v>
      </c>
      <c r="E1503" s="63" t="n">
        <v>1</v>
      </c>
      <c r="F1503" s="63" t="n">
        <v>0.23698275</v>
      </c>
      <c r="G1503" s="63" t="n">
        <v>-0.294589</v>
      </c>
      <c r="H1503" s="63" t="n">
        <v>0.38371398385</v>
      </c>
      <c r="I1503" s="63" t="n">
        <v>0.486677255689</v>
      </c>
      <c r="J1503" s="63" t="n">
        <v>0.280750712011</v>
      </c>
      <c r="K1503" s="63" t="n">
        <v>1935.26</v>
      </c>
      <c r="L1503" s="63" t="n">
        <v>1828.46</v>
      </c>
      <c r="M1503" s="63" t="n">
        <v>1851.86</v>
      </c>
      <c r="N1503" s="54">
        <f>(M1504-M1503)/M1503</f>
        <v/>
      </c>
      <c r="O1503" s="54">
        <f>(M1507-M1503)/M1503</f>
        <v/>
      </c>
      <c r="P1503" s="4">
        <f>B1503-D1503</f>
        <v/>
      </c>
      <c r="Q1503" s="4">
        <f>AVERAGE(P1500:P1503)</f>
        <v/>
      </c>
      <c r="R1503" s="54">
        <f>(M1504-M1503)/M1503</f>
        <v/>
      </c>
      <c r="S1503" s="54">
        <f>(M1507-M1503)/M1503</f>
        <v/>
      </c>
      <c r="T1503" s="63">
        <f>IF(R1503&gt;0,1,"")</f>
        <v/>
      </c>
      <c r="U1503" s="63">
        <f>IF(S1503&gt;0,1,"")</f>
        <v/>
      </c>
    </row>
    <row r="1504">
      <c r="A1504" s="35" t="n">
        <v>42418</v>
      </c>
      <c r="B1504" s="4" t="n">
        <v>0.275605</v>
      </c>
      <c r="C1504" s="4" t="n">
        <v>0.346369</v>
      </c>
      <c r="D1504" s="4" t="n">
        <v>0.378026</v>
      </c>
      <c r="E1504" s="63" t="n">
        <v>1</v>
      </c>
      <c r="F1504" s="63" t="n">
        <v>0.238457875</v>
      </c>
      <c r="G1504" s="63" t="n">
        <v>-0.102421</v>
      </c>
      <c r="H1504" s="63" t="n">
        <v>0.38371398385</v>
      </c>
      <c r="I1504" s="63" t="n">
        <v>0.486677255689</v>
      </c>
      <c r="J1504" s="63" t="n">
        <v>0.280750712011</v>
      </c>
      <c r="K1504" s="63" t="n">
        <v>1930.68</v>
      </c>
      <c r="L1504" s="63" t="n">
        <v>1810.1</v>
      </c>
      <c r="M1504" s="63" t="n">
        <v>1926.82</v>
      </c>
      <c r="N1504" s="54">
        <f>(M1505-M1504)/M1504</f>
        <v/>
      </c>
      <c r="O1504" s="54">
        <f>(M1508-M1504)/M1504</f>
        <v/>
      </c>
      <c r="P1504" s="4">
        <f>B1504-D1504</f>
        <v/>
      </c>
      <c r="Q1504" s="4">
        <f>AVERAGE(P1501:P1504)</f>
        <v/>
      </c>
      <c r="R1504" s="54">
        <f>(M1505-M1504)/M1504</f>
        <v/>
      </c>
      <c r="S1504" s="54">
        <f>(M1508-M1504)/M1504</f>
        <v/>
      </c>
      <c r="T1504" s="63">
        <f>IF(R1504&gt;0,1,"")</f>
        <v/>
      </c>
      <c r="U1504" s="63">
        <f>IF(S1504&gt;0,1,"")</f>
        <v/>
      </c>
    </row>
    <row r="1505">
      <c r="A1505" s="35" t="n">
        <v>42425</v>
      </c>
      <c r="B1505" s="4" t="n">
        <v>0.311947</v>
      </c>
      <c r="C1505" s="4" t="n">
        <v>0.373894</v>
      </c>
      <c r="D1505" s="4" t="n">
        <v>0.314159</v>
      </c>
      <c r="E1505" s="63" t="n">
        <v>1</v>
      </c>
      <c r="F1505" s="63" t="n">
        <v>0.246110125</v>
      </c>
      <c r="G1505" s="63" t="n">
        <v>-0.002212</v>
      </c>
      <c r="H1505" s="63" t="n">
        <v>0.383588378065</v>
      </c>
      <c r="I1505" s="63" t="n">
        <v>0.486544586603</v>
      </c>
      <c r="J1505" s="63" t="n">
        <v>0.280632169526</v>
      </c>
      <c r="K1505" s="63" t="n">
        <v>1946.7</v>
      </c>
      <c r="L1505" s="63" t="n">
        <v>1871.44</v>
      </c>
      <c r="M1505" s="63" t="n">
        <v>1929.8</v>
      </c>
      <c r="N1505" s="54">
        <f>(M1506-M1505)/M1505</f>
        <v/>
      </c>
      <c r="O1505" s="54">
        <f>(M1509-M1505)/M1505</f>
        <v/>
      </c>
      <c r="P1505" s="4">
        <f>B1505-D1505</f>
        <v/>
      </c>
      <c r="Q1505" s="4">
        <f>AVERAGE(P1502:P1505)</f>
        <v/>
      </c>
      <c r="R1505" s="54">
        <f>(M1506-M1505)/M1505</f>
        <v/>
      </c>
      <c r="S1505" s="54">
        <f>(M1509-M1505)/M1505</f>
        <v/>
      </c>
      <c r="T1505" s="63">
        <f>IF(R1505&gt;0,1,"")</f>
        <v/>
      </c>
      <c r="U1505" s="63">
        <f>IF(S1505&gt;0,1,"")</f>
        <v/>
      </c>
    </row>
    <row r="1506">
      <c r="A1506" s="35" t="n">
        <v>42432</v>
      </c>
      <c r="B1506" s="4" t="n">
        <v>0.320158</v>
      </c>
      <c r="C1506" s="4" t="n">
        <v>0.387352</v>
      </c>
      <c r="D1506" s="4" t="n">
        <v>0.29249</v>
      </c>
      <c r="E1506" s="63" t="n">
        <v>1</v>
      </c>
      <c r="F1506" s="63" t="n">
        <v>0.2584125</v>
      </c>
      <c r="G1506" s="63" t="n">
        <v>0.027668</v>
      </c>
      <c r="H1506" s="63" t="n">
        <v>0.383506800774</v>
      </c>
      <c r="I1506" s="63" t="n">
        <v>0.486479922793</v>
      </c>
      <c r="J1506" s="63" t="n">
        <v>0.280533678755</v>
      </c>
      <c r="K1506" s="63" t="n">
        <v>1986.51</v>
      </c>
      <c r="L1506" s="63" t="n">
        <v>1891</v>
      </c>
      <c r="M1506" s="63" t="n">
        <v>1986.45</v>
      </c>
      <c r="N1506" s="54">
        <f>(M1507-M1506)/M1506</f>
        <v/>
      </c>
      <c r="O1506" s="54">
        <f>(M1510-M1506)/M1506</f>
        <v/>
      </c>
      <c r="P1506" s="4">
        <f>B1506-D1506</f>
        <v/>
      </c>
      <c r="Q1506" s="4">
        <f>AVERAGE(P1503:P1506)</f>
        <v/>
      </c>
      <c r="R1506" s="54">
        <f>(M1507-M1506)/M1506</f>
        <v/>
      </c>
      <c r="S1506" s="54">
        <f>(M1510-M1506)/M1506</f>
        <v/>
      </c>
      <c r="T1506" s="63">
        <f>IF(R1506&gt;0,1,"")</f>
        <v/>
      </c>
      <c r="U1506" s="63">
        <f>IF(S1506&gt;0,1,"")</f>
        <v/>
      </c>
    </row>
    <row r="1507">
      <c r="A1507" s="35" t="n">
        <v>42439</v>
      </c>
      <c r="B1507" s="4" t="n">
        <v>0.373576</v>
      </c>
      <c r="C1507" s="4" t="n">
        <v>0.382688</v>
      </c>
      <c r="D1507" s="4" t="n">
        <v>0.243736</v>
      </c>
      <c r="E1507" s="63" t="n">
        <v>1</v>
      </c>
      <c r="F1507" s="63" t="n">
        <v>0.282736</v>
      </c>
      <c r="G1507" s="63" t="n">
        <v>0.12984</v>
      </c>
      <c r="H1507" s="63" t="n">
        <v>0.38350485567</v>
      </c>
      <c r="I1507" s="63" t="n">
        <v>0.486444805138</v>
      </c>
      <c r="J1507" s="63" t="n">
        <v>0.280564906202</v>
      </c>
      <c r="K1507" s="63" t="n">
        <v>2009.13</v>
      </c>
      <c r="L1507" s="63" t="n">
        <v>1968.8</v>
      </c>
      <c r="M1507" s="63" t="n">
        <v>1989.26</v>
      </c>
      <c r="N1507" s="54">
        <f>(M1508-M1507)/M1507</f>
        <v/>
      </c>
      <c r="O1507" s="54">
        <f>(M1511-M1507)/M1507</f>
        <v/>
      </c>
      <c r="P1507" s="4">
        <f>B1507-D1507</f>
        <v/>
      </c>
      <c r="Q1507" s="4">
        <f>AVERAGE(P1504:P1507)</f>
        <v/>
      </c>
      <c r="R1507" s="54">
        <f>(M1508-M1507)/M1507</f>
        <v/>
      </c>
      <c r="S1507" s="54">
        <f>(M1511-M1507)/M1507</f>
        <v/>
      </c>
      <c r="T1507" s="63">
        <f>IF(R1507&gt;0,1,"")</f>
        <v/>
      </c>
      <c r="U1507" s="63">
        <f>IF(S1507&gt;0,1,"")</f>
        <v/>
      </c>
    </row>
    <row r="1508">
      <c r="A1508" s="35" t="n">
        <v>42446</v>
      </c>
      <c r="B1508" s="4" t="n">
        <v>0.299587</v>
      </c>
      <c r="C1508" s="4" t="n">
        <v>0.431818</v>
      </c>
      <c r="D1508" s="4" t="n">
        <v>0.268595</v>
      </c>
      <c r="E1508" s="63" t="n">
        <v>1</v>
      </c>
      <c r="F1508" s="63" t="n">
        <v>0.293283125</v>
      </c>
      <c r="G1508" s="63" t="n">
        <v>0.030992</v>
      </c>
      <c r="H1508" s="63" t="n">
        <v>0.383503056665</v>
      </c>
      <c r="I1508" s="63" t="n">
        <v>0.486409861566</v>
      </c>
      <c r="J1508" s="63" t="n">
        <v>0.280596251763</v>
      </c>
      <c r="K1508" s="63" t="n">
        <v>2032.02002</v>
      </c>
      <c r="L1508" s="63" t="n">
        <v>1969.25</v>
      </c>
      <c r="M1508" s="63" t="n">
        <v>2027.219</v>
      </c>
      <c r="N1508" s="54">
        <f>(M1509-M1508)/M1508</f>
        <v/>
      </c>
      <c r="O1508" s="54">
        <f>(M1512-M1508)/M1508</f>
        <v/>
      </c>
      <c r="P1508" s="4">
        <f>B1508-D1508</f>
        <v/>
      </c>
      <c r="Q1508" s="4">
        <f>AVERAGE(P1505:P1508)</f>
        <v/>
      </c>
      <c r="R1508" s="54">
        <f>(M1509-M1508)/M1508</f>
        <v/>
      </c>
      <c r="S1508" s="54">
        <f>(M1512-M1508)/M1508</f>
        <v/>
      </c>
      <c r="T1508" s="63">
        <f>IF(R1508&gt;0,1,"")</f>
        <v/>
      </c>
      <c r="U1508" s="63">
        <f>IF(S1508&gt;0,1,"")</f>
        <v/>
      </c>
    </row>
    <row r="1509">
      <c r="A1509" s="35" t="n">
        <v>42453</v>
      </c>
      <c r="B1509" s="4" t="n">
        <v>0.337808</v>
      </c>
      <c r="C1509" s="4" t="n">
        <v>0.425056</v>
      </c>
      <c r="D1509" s="4" t="n">
        <v>0.237136</v>
      </c>
      <c r="E1509" s="63" t="n">
        <v>1</v>
      </c>
      <c r="F1509" s="63" t="n">
        <v>0.29831725</v>
      </c>
      <c r="G1509" s="63" t="n">
        <v>0.100672</v>
      </c>
      <c r="H1509" s="63" t="n">
        <v>0.383466914414</v>
      </c>
      <c r="I1509" s="63" t="n">
        <v>0.486350448028</v>
      </c>
      <c r="J1509" s="63" t="n">
        <v>0.280583380801</v>
      </c>
      <c r="K1509" s="63" t="n">
        <v>2056.600098</v>
      </c>
      <c r="L1509" s="63" t="n">
        <v>2010.040039</v>
      </c>
      <c r="M1509" s="63" t="n">
        <v>2036.709961</v>
      </c>
      <c r="N1509" s="54">
        <f>(M1510-M1509)/M1509</f>
        <v/>
      </c>
      <c r="O1509" s="54">
        <f>(M1513-M1509)/M1509</f>
        <v/>
      </c>
      <c r="P1509" s="4">
        <f>B1509-D1509</f>
        <v/>
      </c>
      <c r="Q1509" s="4">
        <f>AVERAGE(P1506:P1509)</f>
        <v/>
      </c>
      <c r="R1509" s="54">
        <f>(M1510-M1509)/M1509</f>
        <v/>
      </c>
      <c r="S1509" s="54">
        <f>(M1513-M1509)/M1509</f>
        <v/>
      </c>
      <c r="T1509" s="63">
        <f>IF(R1509&gt;0,1,"")</f>
        <v/>
      </c>
      <c r="U1509" s="63">
        <f>IF(S1509&gt;0,1,"")</f>
        <v/>
      </c>
    </row>
    <row r="1510">
      <c r="A1510" s="35" t="n">
        <v>42460</v>
      </c>
      <c r="B1510" s="4" t="n">
        <v>0.271805</v>
      </c>
      <c r="C1510" s="4" t="n">
        <v>0.470588</v>
      </c>
      <c r="D1510" s="4" t="n">
        <v>0.257606</v>
      </c>
      <c r="E1510" s="63" t="n">
        <v>0.999999</v>
      </c>
      <c r="F1510" s="63" t="n">
        <v>0.297858875</v>
      </c>
      <c r="G1510" s="63" t="n">
        <v>0.014199</v>
      </c>
      <c r="H1510" s="63" t="n">
        <v>0.383373708682</v>
      </c>
      <c r="I1510" s="63" t="n">
        <v>0.486289785101</v>
      </c>
      <c r="J1510" s="63" t="n">
        <v>0.280457632263</v>
      </c>
      <c r="K1510" s="63" t="n">
        <v>2072.209961</v>
      </c>
      <c r="L1510" s="63" t="n">
        <v>2022.48999</v>
      </c>
      <c r="M1510" s="63" t="n">
        <v>2063.949951</v>
      </c>
      <c r="N1510" s="54">
        <f>(M1511-M1510)/M1510</f>
        <v/>
      </c>
      <c r="O1510" s="54">
        <f>(M1514-M1510)/M1510</f>
        <v/>
      </c>
      <c r="P1510" s="4">
        <f>B1510-D1510</f>
        <v/>
      </c>
      <c r="Q1510" s="4">
        <f>AVERAGE(P1507:P1510)</f>
        <v/>
      </c>
      <c r="R1510" s="54">
        <f>(M1511-M1510)/M1510</f>
        <v/>
      </c>
      <c r="S1510" s="54">
        <f>(M1514-M1510)/M1510</f>
        <v/>
      </c>
      <c r="T1510" s="63">
        <f>IF(R1510&gt;0,1,"")</f>
        <v/>
      </c>
      <c r="U1510" s="63">
        <f>IF(S1510&gt;0,1,"")</f>
        <v/>
      </c>
    </row>
    <row r="1511">
      <c r="A1511" s="35" t="n">
        <v>42467</v>
      </c>
      <c r="B1511" s="4" t="n">
        <v>0.321918</v>
      </c>
      <c r="C1511" s="4" t="n">
        <v>0.46347</v>
      </c>
      <c r="D1511" s="4" t="n">
        <v>0.214612</v>
      </c>
      <c r="E1511" s="63" t="n">
        <v>1</v>
      </c>
      <c r="F1511" s="63" t="n">
        <v>0.3140505</v>
      </c>
      <c r="G1511" s="63" t="n">
        <v>0.107306</v>
      </c>
      <c r="H1511" s="63" t="n">
        <v>0.383338488432</v>
      </c>
      <c r="I1511" s="63" t="n">
        <v>0.486230847506</v>
      </c>
      <c r="J1511" s="63" t="n">
        <v>0.280446129358</v>
      </c>
      <c r="K1511" s="63" t="n">
        <v>2075.070068</v>
      </c>
      <c r="L1511" s="63" t="n">
        <v>2042.560059</v>
      </c>
      <c r="M1511" s="63" t="n">
        <v>2066.659912</v>
      </c>
      <c r="N1511" s="54">
        <f>(M1512-M1511)/M1511</f>
        <v/>
      </c>
      <c r="O1511" s="54">
        <f>(M1515-M1511)/M1511</f>
        <v/>
      </c>
      <c r="P1511" s="4">
        <f>B1511-D1511</f>
        <v/>
      </c>
      <c r="Q1511" s="4">
        <f>AVERAGE(P1508:P1511)</f>
        <v/>
      </c>
      <c r="R1511" s="54">
        <f>(M1512-M1511)/M1511</f>
        <v/>
      </c>
      <c r="S1511" s="54">
        <f>(M1515-M1511)/M1511</f>
        <v/>
      </c>
      <c r="T1511" s="63">
        <f>IF(R1511&gt;0,1,"")</f>
        <v/>
      </c>
      <c r="U1511" s="63">
        <f>IF(S1511&gt;0,1,"")</f>
        <v/>
      </c>
    </row>
    <row r="1512">
      <c r="A1512" s="35" t="n">
        <v>42474</v>
      </c>
      <c r="B1512" s="4" t="n">
        <v>0.278481</v>
      </c>
      <c r="C1512" s="4" t="n">
        <v>0.472574</v>
      </c>
      <c r="D1512" s="4" t="n">
        <v>0.248945</v>
      </c>
      <c r="E1512" s="63" t="n">
        <v>1</v>
      </c>
      <c r="F1512" s="63" t="n">
        <v>0.31441</v>
      </c>
      <c r="G1512" s="63" t="n">
        <v>0.029536</v>
      </c>
      <c r="H1512" s="63" t="n">
        <v>0.38326520167</v>
      </c>
      <c r="I1512" s="63" t="n">
        <v>0.486165134828</v>
      </c>
      <c r="J1512" s="63" t="n">
        <v>0.280365268511</v>
      </c>
      <c r="K1512" s="63" t="n">
        <v>2083.179932</v>
      </c>
      <c r="L1512" s="63" t="n">
        <v>2033.800049</v>
      </c>
      <c r="M1512" s="63" t="n">
        <v>2082.419922</v>
      </c>
      <c r="N1512" s="54">
        <f>(M1513-M1512)/M1512</f>
        <v/>
      </c>
      <c r="O1512" s="54">
        <f>(M1516-M1512)/M1512</f>
        <v/>
      </c>
      <c r="P1512" s="4">
        <f>B1512-D1512</f>
        <v/>
      </c>
      <c r="Q1512" s="4">
        <f>AVERAGE(P1509:P1512)</f>
        <v/>
      </c>
      <c r="R1512" s="54">
        <f>(M1513-M1512)/M1512</f>
        <v/>
      </c>
      <c r="S1512" s="54">
        <f>(M1516-M1512)/M1512</f>
        <v/>
      </c>
      <c r="T1512" s="63">
        <f>IF(R1512&gt;0,1,"")</f>
        <v/>
      </c>
      <c r="U1512" s="63">
        <f>IF(S1512&gt;0,1,"")</f>
        <v/>
      </c>
    </row>
    <row r="1513">
      <c r="A1513" s="35" t="n">
        <v>42481</v>
      </c>
      <c r="B1513" s="4" t="n">
        <v>0.334052</v>
      </c>
      <c r="C1513" s="4" t="n">
        <v>0.426724</v>
      </c>
      <c r="D1513" s="4" t="n">
        <v>0.239224</v>
      </c>
      <c r="E1513" s="63" t="n">
        <v>1</v>
      </c>
      <c r="F1513" s="63" t="n">
        <v>0.317173125</v>
      </c>
      <c r="G1513" s="63" t="n">
        <v>0.094828</v>
      </c>
      <c r="H1513" s="63" t="n">
        <v>0.383246630295</v>
      </c>
      <c r="I1513" s="63" t="n">
        <v>0.486116125679</v>
      </c>
      <c r="J1513" s="63" t="n">
        <v>0.280377134911</v>
      </c>
      <c r="K1513" s="63" t="n">
        <v>2111.050049</v>
      </c>
      <c r="L1513" s="63" t="n">
        <v>2065.919922</v>
      </c>
      <c r="M1513" s="63" t="n">
        <v>2102.399902</v>
      </c>
      <c r="N1513" s="54">
        <f>(M1514-M1513)/M1513</f>
        <v/>
      </c>
      <c r="O1513" s="54">
        <f>(M1517-M1513)/M1513</f>
        <v/>
      </c>
      <c r="P1513" s="4">
        <f>B1513-D1513</f>
        <v/>
      </c>
      <c r="Q1513" s="4">
        <f>AVERAGE(P1510:P1513)</f>
        <v/>
      </c>
      <c r="R1513" s="54">
        <f>(M1514-M1513)/M1513</f>
        <v/>
      </c>
      <c r="S1513" s="54">
        <f>(M1517-M1513)/M1513</f>
        <v/>
      </c>
      <c r="T1513" s="63">
        <f>IF(R1513&gt;0,1,"")</f>
        <v/>
      </c>
      <c r="U1513" s="63">
        <f>IF(S1513&gt;0,1,"")</f>
        <v/>
      </c>
    </row>
    <row r="1514">
      <c r="A1514" s="35" t="n">
        <v>42488</v>
      </c>
      <c r="B1514" s="4" t="n">
        <v>0.273663</v>
      </c>
      <c r="C1514" s="4" t="n">
        <v>0.440329</v>
      </c>
      <c r="D1514" s="4" t="n">
        <v>0.286008</v>
      </c>
      <c r="E1514" s="63" t="n">
        <v>1</v>
      </c>
      <c r="F1514" s="63" t="n">
        <v>0.31136125</v>
      </c>
      <c r="G1514" s="63" t="n">
        <v>-0.012345</v>
      </c>
      <c r="H1514" s="63" t="n">
        <v>0.38320779923</v>
      </c>
      <c r="I1514" s="63" t="n">
        <v>0.486055704871</v>
      </c>
      <c r="J1514" s="63" t="n">
        <v>0.280359893589</v>
      </c>
      <c r="K1514" s="63" t="n">
        <v>2111.050049</v>
      </c>
      <c r="L1514" s="63" t="n">
        <v>2077.52002</v>
      </c>
      <c r="M1514" s="63" t="n">
        <v>2095.149902</v>
      </c>
      <c r="N1514" s="54">
        <f>(M1515-M1514)/M1514</f>
        <v/>
      </c>
      <c r="O1514" s="54">
        <f>(M1518-M1514)/M1514</f>
        <v/>
      </c>
      <c r="P1514" s="4">
        <f>B1514-D1514</f>
        <v/>
      </c>
      <c r="Q1514" s="4">
        <f>AVERAGE(P1511:P1514)</f>
        <v/>
      </c>
      <c r="R1514" s="54">
        <f>(M1515-M1514)/M1514</f>
        <v/>
      </c>
      <c r="S1514" s="54">
        <f>(M1518-M1514)/M1514</f>
        <v/>
      </c>
      <c r="T1514" s="63">
        <f>IF(R1514&gt;0,1,"")</f>
        <v/>
      </c>
      <c r="U1514" s="63">
        <f>IF(S1514&gt;0,1,"")</f>
        <v/>
      </c>
    </row>
    <row r="1515">
      <c r="A1515" s="35" t="n">
        <v>42495</v>
      </c>
      <c r="B1515" s="4" t="n">
        <v>0.223301</v>
      </c>
      <c r="C1515" s="4" t="n">
        <v>0.473301</v>
      </c>
      <c r="D1515" s="4" t="n">
        <v>0.303398</v>
      </c>
      <c r="E1515" s="63" t="n">
        <v>1</v>
      </c>
      <c r="F1515" s="63" t="n">
        <v>0.292576875</v>
      </c>
      <c r="G1515" s="63" t="n">
        <v>-0.080097</v>
      </c>
      <c r="H1515" s="63" t="n">
        <v>0.383171467949</v>
      </c>
      <c r="I1515" s="63" t="n">
        <v>0.485996396417</v>
      </c>
      <c r="J1515" s="63" t="n">
        <v>0.28034653948</v>
      </c>
      <c r="K1515" s="63" t="n">
        <v>2099.889893</v>
      </c>
      <c r="L1515" s="63" t="n">
        <v>2045.550049</v>
      </c>
      <c r="M1515" s="63" t="n">
        <v>2051.120117</v>
      </c>
      <c r="N1515" s="54">
        <f>(M1516-M1515)/M1515</f>
        <v/>
      </c>
      <c r="O1515" s="54">
        <f>(M1519-M1515)/M1515</f>
        <v/>
      </c>
      <c r="P1515" s="4">
        <f>B1515-D1515</f>
        <v/>
      </c>
      <c r="Q1515" s="4">
        <f>AVERAGE(P1512:P1515)</f>
        <v/>
      </c>
      <c r="R1515" s="54">
        <f>(M1516-M1515)/M1515</f>
        <v/>
      </c>
      <c r="S1515" s="54">
        <f>(M1519-M1515)/M1515</f>
        <v/>
      </c>
      <c r="T1515" s="63">
        <f>IF(R1515&gt;0,1,"")</f>
        <v/>
      </c>
      <c r="U1515" s="63">
        <f>IF(S1515&gt;0,1,"")</f>
        <v/>
      </c>
    </row>
    <row r="1516">
      <c r="A1516" s="35" t="n">
        <v>42502</v>
      </c>
      <c r="B1516" s="4" t="n">
        <v>0.204082</v>
      </c>
      <c r="C1516" s="4" t="n">
        <v>0.482993</v>
      </c>
      <c r="D1516" s="4" t="n">
        <v>0.312925</v>
      </c>
      <c r="E1516" s="63" t="n">
        <v>1</v>
      </c>
      <c r="F1516" s="63" t="n">
        <v>0.28063875</v>
      </c>
      <c r="G1516" s="63" t="n">
        <v>-0.108843</v>
      </c>
      <c r="H1516" s="63" t="n">
        <v>0.383116356823</v>
      </c>
      <c r="I1516" s="63" t="n">
        <v>0.485931382466</v>
      </c>
      <c r="J1516" s="63" t="n">
        <v>0.280301331179</v>
      </c>
      <c r="K1516" s="63" t="n">
        <v>2084.870117</v>
      </c>
      <c r="L1516" s="63" t="n">
        <v>2039.449951</v>
      </c>
      <c r="M1516" s="63" t="n">
        <v>2064.459961</v>
      </c>
      <c r="N1516" s="54">
        <f>(M1517-M1516)/M1516</f>
        <v/>
      </c>
      <c r="O1516" s="54">
        <f>(M1520-M1516)/M1516</f>
        <v/>
      </c>
      <c r="P1516" s="4">
        <f>B1516-D1516</f>
        <v/>
      </c>
      <c r="Q1516" s="4">
        <f>AVERAGE(P1513:P1516)</f>
        <v/>
      </c>
      <c r="R1516" s="54">
        <f>(M1517-M1516)/M1516</f>
        <v/>
      </c>
      <c r="S1516" s="54">
        <f>(M1520-M1516)/M1516</f>
        <v/>
      </c>
      <c r="T1516" s="63">
        <f>IF(R1516&gt;0,1,"")</f>
        <v/>
      </c>
      <c r="U1516" s="63">
        <f>IF(S1516&gt;0,1,"")</f>
        <v/>
      </c>
    </row>
    <row r="1517">
      <c r="A1517" s="35" t="n">
        <v>42509</v>
      </c>
      <c r="B1517" s="4" t="n">
        <v>0.193384</v>
      </c>
      <c r="C1517" s="4" t="n">
        <v>0.465649</v>
      </c>
      <c r="D1517" s="4" t="n">
        <v>0.340967</v>
      </c>
      <c r="E1517" s="63" t="n">
        <v>1</v>
      </c>
      <c r="F1517" s="63" t="n">
        <v>0.26258575</v>
      </c>
      <c r="G1517" s="63" t="n">
        <v>-0.147583</v>
      </c>
      <c r="H1517" s="63" t="n">
        <v>0.383060440461</v>
      </c>
      <c r="I1517" s="63" t="n">
        <v>0.485866283743</v>
      </c>
      <c r="J1517" s="63" t="n">
        <v>0.280254597178</v>
      </c>
      <c r="K1517" s="63" t="n">
        <v>2083.290039</v>
      </c>
      <c r="L1517" s="63" t="n">
        <v>2034.48999</v>
      </c>
      <c r="M1517" s="63" t="n">
        <v>2047.630005</v>
      </c>
      <c r="N1517" s="54">
        <f>(M1518-M1517)/M1517</f>
        <v/>
      </c>
      <c r="O1517" s="54">
        <f>(M1521-M1517)/M1517</f>
        <v/>
      </c>
      <c r="P1517" s="4">
        <f>B1517-D1517</f>
        <v/>
      </c>
      <c r="Q1517" s="4">
        <f>AVERAGE(P1514:P1517)</f>
        <v/>
      </c>
      <c r="R1517" s="54">
        <f>(M1518-M1517)/M1517</f>
        <v/>
      </c>
      <c r="S1517" s="54">
        <f>(M1521-M1517)/M1517</f>
        <v/>
      </c>
      <c r="T1517" s="63">
        <f>IF(R1517&gt;0,1,"")</f>
        <v/>
      </c>
      <c r="U1517" s="63">
        <f>IF(S1517&gt;0,1,"")</f>
        <v/>
      </c>
    </row>
    <row r="1518">
      <c r="A1518" s="35" t="n">
        <v>42516</v>
      </c>
      <c r="B1518" s="4" t="n">
        <v>0.177515</v>
      </c>
      <c r="C1518" s="4" t="n">
        <v>0.5286</v>
      </c>
      <c r="D1518" s="4" t="n">
        <v>0.293886</v>
      </c>
      <c r="E1518" s="63" t="n">
        <v>1.000001</v>
      </c>
      <c r="F1518" s="63" t="n">
        <v>0.2507995</v>
      </c>
      <c r="G1518" s="63" t="n">
        <v>-0.116371</v>
      </c>
      <c r="H1518" s="63" t="n">
        <v>0.382996042866</v>
      </c>
      <c r="I1518" s="63" t="n">
        <v>0.485800502404</v>
      </c>
      <c r="J1518" s="63" t="n">
        <v>0.280191583329</v>
      </c>
      <c r="K1518" s="63" t="n">
        <v>2094.72998</v>
      </c>
      <c r="L1518" s="63" t="n">
        <v>2025.910034</v>
      </c>
      <c r="M1518" s="63" t="n">
        <v>2090.540039</v>
      </c>
      <c r="N1518" s="54">
        <f>(M1519-M1518)/M1518</f>
        <v/>
      </c>
      <c r="O1518" s="54">
        <f>(M1522-M1518)/M1518</f>
        <v/>
      </c>
      <c r="P1518" s="4">
        <f>B1518-D1518</f>
        <v/>
      </c>
      <c r="Q1518" s="4">
        <f>AVERAGE(P1515:P1518)</f>
        <v/>
      </c>
      <c r="R1518" s="54">
        <f>(M1519-M1518)/M1518</f>
        <v/>
      </c>
      <c r="S1518" s="54">
        <f>(M1522-M1518)/M1518</f>
        <v/>
      </c>
      <c r="T1518" s="63">
        <f>IF(R1518&gt;0,1,"")</f>
        <v/>
      </c>
      <c r="U1518" s="63">
        <f>IF(S1518&gt;0,1,"")</f>
        <v/>
      </c>
    </row>
    <row r="1519">
      <c r="A1519" s="35" t="n">
        <v>42523</v>
      </c>
      <c r="B1519" s="4" t="n">
        <v>0.301676</v>
      </c>
      <c r="C1519" s="4" t="n">
        <v>0.407821</v>
      </c>
      <c r="D1519" s="4" t="n">
        <v>0.290503</v>
      </c>
      <c r="E1519" s="63" t="n">
        <v>1</v>
      </c>
      <c r="F1519" s="63" t="n">
        <v>0.24826925</v>
      </c>
      <c r="G1519" s="63" t="n">
        <v>0.011173</v>
      </c>
      <c r="H1519" s="63" t="n">
        <v>0.382978039642</v>
      </c>
      <c r="I1519" s="63" t="n">
        <v>0.485752073219</v>
      </c>
      <c r="J1519" s="63" t="n">
        <v>0.280204006065</v>
      </c>
      <c r="K1519" s="63" t="n">
        <v>2103.47998</v>
      </c>
      <c r="L1519" s="63" t="n">
        <v>2078.929932</v>
      </c>
      <c r="M1519" s="63" t="n">
        <v>2099.330078</v>
      </c>
      <c r="N1519" s="54">
        <f>(M1520-M1519)/M1519</f>
        <v/>
      </c>
      <c r="O1519" s="54">
        <f>(M1523-M1519)/M1519</f>
        <v/>
      </c>
      <c r="P1519" s="4">
        <f>B1519-D1519</f>
        <v/>
      </c>
      <c r="Q1519" s="4">
        <f>AVERAGE(P1516:P1519)</f>
        <v/>
      </c>
      <c r="R1519" s="54">
        <f>(M1520-M1519)/M1519</f>
        <v/>
      </c>
      <c r="S1519" s="54">
        <f>(M1523-M1519)/M1519</f>
        <v/>
      </c>
      <c r="T1519" s="63">
        <f>IF(R1519&gt;0,1,"")</f>
        <v/>
      </c>
      <c r="U1519" s="63">
        <f>IF(S1519&gt;0,1,"")</f>
        <v/>
      </c>
    </row>
    <row r="1520">
      <c r="A1520" s="35" t="n">
        <v>42530</v>
      </c>
      <c r="B1520" s="4" t="n">
        <v>0.278317</v>
      </c>
      <c r="C1520" s="4" t="n">
        <v>0.443366</v>
      </c>
      <c r="D1520" s="4" t="n">
        <v>0.278317</v>
      </c>
      <c r="E1520" s="63" t="n">
        <v>1</v>
      </c>
      <c r="F1520" s="63" t="n">
        <v>0.24824875</v>
      </c>
      <c r="G1520" s="63" t="n">
        <v>0</v>
      </c>
      <c r="H1520" s="63" t="n">
        <v>0.382953513738</v>
      </c>
      <c r="I1520" s="63" t="n">
        <v>0.485699267122</v>
      </c>
      <c r="J1520" s="63" t="n">
        <v>0.280207760354</v>
      </c>
      <c r="K1520" s="63" t="n">
        <v>2119.219971</v>
      </c>
      <c r="L1520" s="63" t="n">
        <v>2085.100098</v>
      </c>
      <c r="M1520" s="63" t="n">
        <v>2112.129883</v>
      </c>
      <c r="N1520" s="54">
        <f>(M1521-M1520)/M1520</f>
        <v/>
      </c>
      <c r="O1520" s="54">
        <f>(M1524-M1520)/M1520</f>
        <v/>
      </c>
      <c r="P1520" s="4">
        <f>B1520-D1520</f>
        <v/>
      </c>
      <c r="Q1520" s="4">
        <f>AVERAGE(P1517:P1520)</f>
        <v/>
      </c>
      <c r="R1520" s="54">
        <f>(M1521-M1520)/M1520</f>
        <v/>
      </c>
      <c r="S1520" s="54">
        <f>(M1524-M1520)/M1520</f>
        <v/>
      </c>
      <c r="T1520" s="63">
        <f>IF(R1520&gt;0,1,"")</f>
        <v/>
      </c>
      <c r="U1520" s="63">
        <f>IF(S1520&gt;0,1,"")</f>
        <v/>
      </c>
    </row>
    <row r="1521">
      <c r="A1521" s="35" t="n">
        <v>42537</v>
      </c>
      <c r="B1521" s="4" t="n">
        <v>0.253472</v>
      </c>
      <c r="C1521" s="4" t="n">
        <v>0.371528</v>
      </c>
      <c r="D1521" s="4" t="n">
        <v>0.375</v>
      </c>
      <c r="E1521" s="63" t="n">
        <v>1</v>
      </c>
      <c r="F1521" s="63" t="n">
        <v>0.23817625</v>
      </c>
      <c r="G1521" s="63" t="n">
        <v>-0.121528</v>
      </c>
      <c r="H1521" s="63" t="n">
        <v>0.382939565773</v>
      </c>
      <c r="I1521" s="63" t="n">
        <v>0.485653970841</v>
      </c>
      <c r="J1521" s="63" t="n">
        <v>0.280225160705</v>
      </c>
      <c r="K1521" s="63" t="n">
        <v>2120.550049</v>
      </c>
      <c r="L1521" s="63" t="n">
        <v>2064.100098</v>
      </c>
      <c r="M1521" s="63" t="n">
        <v>2071.5</v>
      </c>
      <c r="N1521" s="54">
        <f>(M1522-M1521)/M1521</f>
        <v/>
      </c>
      <c r="O1521" s="54">
        <f>(M1525-M1521)/M1521</f>
        <v/>
      </c>
      <c r="P1521" s="4">
        <f>B1521-D1521</f>
        <v/>
      </c>
      <c r="Q1521" s="4">
        <f>AVERAGE(P1518:P1521)</f>
        <v/>
      </c>
      <c r="R1521" s="54">
        <f>(M1522-M1521)/M1521</f>
        <v/>
      </c>
      <c r="S1521" s="54">
        <f>(M1525-M1521)/M1521</f>
        <v/>
      </c>
      <c r="T1521" s="63">
        <f>IF(R1521&gt;0,1,"")</f>
        <v/>
      </c>
      <c r="U1521" s="63">
        <f>IF(S1521&gt;0,1,"")</f>
        <v/>
      </c>
    </row>
    <row r="1522">
      <c r="A1522" s="35" t="n">
        <v>42544</v>
      </c>
      <c r="B1522" s="4" t="n">
        <v>0.219697</v>
      </c>
      <c r="C1522" s="4" t="n">
        <v>0.42803</v>
      </c>
      <c r="D1522" s="4" t="n">
        <v>0.352273</v>
      </c>
      <c r="E1522" s="63" t="n">
        <v>1</v>
      </c>
      <c r="F1522" s="63" t="n">
        <v>0.2314305</v>
      </c>
      <c r="G1522" s="63" t="n">
        <v>-0.132576</v>
      </c>
      <c r="H1522" s="63" t="n">
        <v>0.382910036375</v>
      </c>
      <c r="I1522" s="63" t="n">
        <v>0.485598294424</v>
      </c>
      <c r="J1522" s="63" t="n">
        <v>0.280221778326</v>
      </c>
      <c r="K1522" s="63" t="n">
        <v>2100.659912</v>
      </c>
      <c r="L1522" s="63" t="n">
        <v>2050.370117</v>
      </c>
      <c r="M1522" s="63" t="n">
        <v>2085.449951</v>
      </c>
      <c r="N1522" s="54">
        <f>(M1523-M1522)/M1522</f>
        <v/>
      </c>
      <c r="O1522" s="54">
        <f>(M1526-M1522)/M1522</f>
        <v/>
      </c>
      <c r="P1522" s="4">
        <f>B1522-D1522</f>
        <v/>
      </c>
      <c r="Q1522" s="4">
        <f>AVERAGE(P1519:P1522)</f>
        <v/>
      </c>
      <c r="R1522" s="54">
        <f>(M1523-M1522)/M1522</f>
        <v/>
      </c>
      <c r="S1522" s="54">
        <f>(M1526-M1522)/M1522</f>
        <v/>
      </c>
      <c r="T1522" s="63">
        <f>IF(R1522&gt;0,1,"")</f>
        <v/>
      </c>
      <c r="U1522" s="63">
        <f>IF(S1522&gt;0,1,"")</f>
        <v/>
      </c>
    </row>
    <row r="1523">
      <c r="A1523" s="35" t="n">
        <v>42551</v>
      </c>
      <c r="B1523" s="4" t="n">
        <v>0.289125</v>
      </c>
      <c r="C1523" s="4" t="n">
        <v>0.376658</v>
      </c>
      <c r="D1523" s="4" t="n">
        <v>0.334218</v>
      </c>
      <c r="E1523" s="63" t="n">
        <v>1.000001</v>
      </c>
      <c r="F1523" s="63" t="n">
        <v>0.2396585</v>
      </c>
      <c r="G1523" s="63" t="n">
        <v>-0.045093</v>
      </c>
      <c r="H1523" s="63" t="n">
        <v>0.382883781888</v>
      </c>
      <c r="I1523" s="63" t="n">
        <v>0.485544533</v>
      </c>
      <c r="J1523" s="63" t="n">
        <v>0.280223030776</v>
      </c>
      <c r="K1523" s="63" t="n">
        <v>2113.32</v>
      </c>
      <c r="L1523" s="63" t="n">
        <v>1991.68</v>
      </c>
      <c r="M1523" s="63" t="n">
        <v>2070.77</v>
      </c>
      <c r="N1523" s="54">
        <f>(M1524-M1523)/M1523</f>
        <v/>
      </c>
      <c r="O1523" s="54">
        <f>(M1527-M1523)/M1523</f>
        <v/>
      </c>
      <c r="P1523" s="4">
        <f>B1523-D1523</f>
        <v/>
      </c>
      <c r="Q1523" s="4">
        <f>AVERAGE(P1520:P1523)</f>
        <v/>
      </c>
      <c r="R1523" s="54">
        <f>(M1524-M1523)/M1523</f>
        <v/>
      </c>
      <c r="S1523" s="54">
        <f>(M1527-M1523)/M1523</f>
        <v/>
      </c>
      <c r="T1523" s="63">
        <f>IF(R1523&gt;0,1,"")</f>
        <v/>
      </c>
      <c r="U1523" s="63">
        <f>IF(S1523&gt;0,1,"")</f>
        <v/>
      </c>
    </row>
    <row r="1524">
      <c r="A1524" s="35" t="n">
        <v>42558</v>
      </c>
      <c r="B1524" s="4" t="n">
        <v>0.310573</v>
      </c>
      <c r="C1524" s="4" t="n">
        <v>0.422907</v>
      </c>
      <c r="D1524" s="4" t="n">
        <v>0.26652</v>
      </c>
      <c r="E1524" s="63" t="n">
        <v>1</v>
      </c>
      <c r="F1524" s="63" t="n">
        <v>0.252969875</v>
      </c>
      <c r="G1524" s="63" t="n">
        <v>0.044053</v>
      </c>
      <c r="H1524" s="63" t="n">
        <v>0.3828188413</v>
      </c>
      <c r="I1524" s="63" t="n">
        <v>0.485479083281</v>
      </c>
      <c r="J1524" s="63" t="n">
        <v>0.28015859932</v>
      </c>
      <c r="K1524" s="63" t="n">
        <v>2108.709961</v>
      </c>
      <c r="L1524" s="63" t="n">
        <v>2042.689941</v>
      </c>
      <c r="M1524" s="63" t="n">
        <v>2099.72998</v>
      </c>
      <c r="N1524" s="54">
        <f>(M1525-M1524)/M1524</f>
        <v/>
      </c>
      <c r="O1524" s="54">
        <f>(M1528-M1524)/M1524</f>
        <v/>
      </c>
      <c r="P1524" s="4">
        <f>B1524-D1524</f>
        <v/>
      </c>
      <c r="Q1524" s="4">
        <f>AVERAGE(P1521:P1524)</f>
        <v/>
      </c>
      <c r="R1524" s="54">
        <f>(M1525-M1524)/M1524</f>
        <v/>
      </c>
      <c r="S1524" s="54">
        <f>(M1528-M1524)/M1524</f>
        <v/>
      </c>
      <c r="T1524" s="63">
        <f>IF(R1524&gt;0,1,"")</f>
        <v/>
      </c>
      <c r="U1524" s="63">
        <f>IF(S1524&gt;0,1,"")</f>
        <v/>
      </c>
    </row>
    <row r="1525">
      <c r="A1525" s="35" t="n">
        <v>42565</v>
      </c>
      <c r="B1525" s="4" t="n">
        <v>0.368664</v>
      </c>
      <c r="C1525" s="4" t="n">
        <v>0.387097</v>
      </c>
      <c r="D1525" s="4" t="n">
        <v>0.24424</v>
      </c>
      <c r="E1525" s="63" t="n">
        <v>1.000001</v>
      </c>
      <c r="F1525" s="63" t="n">
        <v>0.274879875</v>
      </c>
      <c r="G1525" s="63" t="n">
        <v>0.124424</v>
      </c>
      <c r="H1525" s="63" t="n">
        <v>0.382734243312</v>
      </c>
      <c r="I1525" s="63" t="n">
        <v>0.485416492962</v>
      </c>
      <c r="J1525" s="63" t="n">
        <v>0.280051993662</v>
      </c>
      <c r="K1525" s="63" t="n">
        <v>2156.449951</v>
      </c>
      <c r="L1525" s="63" t="n">
        <v>2074.02002</v>
      </c>
      <c r="M1525" s="63" t="n">
        <v>2152.429932</v>
      </c>
      <c r="N1525" s="54">
        <f>(M1526-M1525)/M1525</f>
        <v/>
      </c>
      <c r="O1525" s="54">
        <f>(M1529-M1525)/M1525</f>
        <v/>
      </c>
      <c r="P1525" s="4">
        <f>B1525-D1525</f>
        <v/>
      </c>
      <c r="Q1525" s="4">
        <f>AVERAGE(P1522:P1525)</f>
        <v/>
      </c>
      <c r="R1525" s="54">
        <f>(M1526-M1525)/M1525</f>
        <v/>
      </c>
      <c r="S1525" s="54">
        <f>(M1529-M1525)/M1525</f>
        <v/>
      </c>
      <c r="T1525" s="63">
        <f>IF(R1525&gt;0,1,"")</f>
        <v/>
      </c>
      <c r="U1525" s="63">
        <f>IF(S1525&gt;0,1,"")</f>
        <v/>
      </c>
    </row>
    <row r="1526">
      <c r="A1526" s="35" t="n">
        <v>42572</v>
      </c>
      <c r="B1526" s="4" t="n">
        <v>0.354251</v>
      </c>
      <c r="C1526" s="4" t="n">
        <v>0.378543</v>
      </c>
      <c r="D1526" s="4" t="n">
        <v>0.267206</v>
      </c>
      <c r="E1526" s="63" t="n">
        <v>1</v>
      </c>
      <c r="F1526" s="63" t="n">
        <v>0.296971875</v>
      </c>
      <c r="G1526" s="63" t="n">
        <v>0.087045</v>
      </c>
      <c r="H1526" s="63" t="n">
        <v>0.38267698154</v>
      </c>
      <c r="I1526" s="63" t="n">
        <v>0.485351612606</v>
      </c>
      <c r="J1526" s="63" t="n">
        <v>0.280002350474</v>
      </c>
      <c r="K1526" s="63" t="n">
        <v>2175.63</v>
      </c>
      <c r="L1526" s="63" t="n">
        <v>2146.21</v>
      </c>
      <c r="M1526" s="63" t="n">
        <v>2173.02</v>
      </c>
      <c r="N1526" s="54">
        <f>(M1527-M1526)/M1526</f>
        <v/>
      </c>
      <c r="O1526" s="54">
        <f>(M1530-M1526)/M1526</f>
        <v/>
      </c>
      <c r="P1526" s="4">
        <f>B1526-D1526</f>
        <v/>
      </c>
      <c r="Q1526" s="4">
        <f>AVERAGE(P1523:P1526)</f>
        <v/>
      </c>
      <c r="R1526" s="54">
        <f>(M1527-M1526)/M1526</f>
        <v/>
      </c>
      <c r="S1526" s="54">
        <f>(M1530-M1526)/M1526</f>
        <v/>
      </c>
      <c r="T1526" s="63">
        <f>IF(R1526&gt;0,1,"")</f>
        <v/>
      </c>
      <c r="U1526" s="63">
        <f>IF(S1526&gt;0,1,"")</f>
        <v/>
      </c>
    </row>
    <row r="1527">
      <c r="A1527" s="35" t="n">
        <v>42579</v>
      </c>
      <c r="B1527" s="4" t="n">
        <v>0.3125</v>
      </c>
      <c r="C1527" s="4" t="n">
        <v>0.403409</v>
      </c>
      <c r="D1527" s="4" t="n">
        <v>0.284091</v>
      </c>
      <c r="E1527" s="63" t="n">
        <v>1</v>
      </c>
      <c r="F1527" s="63" t="n">
        <v>0.298324875</v>
      </c>
      <c r="G1527" s="63" t="n">
        <v>0.028409</v>
      </c>
      <c r="H1527" s="63" t="n">
        <v>0.38269619402</v>
      </c>
      <c r="I1527" s="63" t="n">
        <v>0.485340968334</v>
      </c>
      <c r="J1527" s="63" t="n">
        <v>0.280051419707</v>
      </c>
      <c r="K1527" s="63" t="n">
        <v>2175.629883</v>
      </c>
      <c r="L1527" s="63" t="n">
        <v>2159.070068</v>
      </c>
      <c r="M1527" s="63" t="n">
        <v>2166.580078</v>
      </c>
      <c r="N1527" s="54">
        <f>(M1528-M1527)/M1527</f>
        <v/>
      </c>
      <c r="O1527" s="54">
        <f>(M1531-M1527)/M1527</f>
        <v/>
      </c>
      <c r="P1527" s="4">
        <f>B1527-D1527</f>
        <v/>
      </c>
      <c r="Q1527" s="4">
        <f>AVERAGE(P1524:P1527)</f>
        <v/>
      </c>
      <c r="R1527" s="54">
        <f>(M1528-M1527)/M1527</f>
        <v/>
      </c>
      <c r="S1527" s="54">
        <f>(M1531-M1527)/M1527</f>
        <v/>
      </c>
      <c r="T1527" s="63">
        <f>IF(R1527&gt;0,1,"")</f>
        <v/>
      </c>
      <c r="U1527" s="63">
        <f>IF(S1527&gt;0,1,"")</f>
        <v/>
      </c>
    </row>
    <row r="1528">
      <c r="A1528" s="35" t="n">
        <v>42586</v>
      </c>
      <c r="B1528" s="4" t="n">
        <v>0.297872</v>
      </c>
      <c r="C1528" s="4" t="n">
        <v>0.434397</v>
      </c>
      <c r="D1528" s="4" t="n">
        <v>0.26773</v>
      </c>
      <c r="E1528" s="63" t="n">
        <v>0.999999</v>
      </c>
      <c r="F1528" s="63" t="n">
        <v>0.30076925</v>
      </c>
      <c r="G1528" s="63" t="n">
        <v>0.030142</v>
      </c>
      <c r="H1528" s="63" t="n">
        <v>0.382708059758</v>
      </c>
      <c r="I1528" s="63" t="n">
        <v>0.485321260213</v>
      </c>
      <c r="J1528" s="63" t="n">
        <v>0.280094859304</v>
      </c>
      <c r="K1528" s="63" t="n">
        <v>2178.29</v>
      </c>
      <c r="L1528" s="63" t="n">
        <v>2147.58</v>
      </c>
      <c r="M1528" s="63" t="n">
        <v>2163.79</v>
      </c>
      <c r="N1528" s="54">
        <f>(M1529-M1528)/M1528</f>
        <v/>
      </c>
      <c r="O1528" s="54">
        <f>(M1532-M1528)/M1528</f>
        <v/>
      </c>
      <c r="P1528" s="4">
        <f>B1528-D1528</f>
        <v/>
      </c>
      <c r="Q1528" s="4">
        <f>AVERAGE(P1525:P1528)</f>
        <v/>
      </c>
      <c r="R1528" s="54">
        <f>(M1529-M1528)/M1528</f>
        <v/>
      </c>
      <c r="S1528" s="54">
        <f>(M1532-M1528)/M1528</f>
        <v/>
      </c>
      <c r="T1528" s="63">
        <f>IF(R1528&gt;0,1,"")</f>
        <v/>
      </c>
      <c r="U1528" s="63">
        <f>IF(S1528&gt;0,1,"")</f>
        <v/>
      </c>
    </row>
    <row r="1529">
      <c r="A1529" s="35" t="n">
        <v>42593</v>
      </c>
      <c r="B1529" s="4" t="n">
        <v>0.312925</v>
      </c>
      <c r="C1529" s="4" t="n">
        <v>0.419501</v>
      </c>
      <c r="D1529" s="4" t="n">
        <v>0.267574</v>
      </c>
      <c r="E1529" s="63" t="n">
        <v>1</v>
      </c>
      <c r="F1529" s="63" t="n">
        <v>0.308200875</v>
      </c>
      <c r="G1529" s="63" t="n">
        <v>0.045351</v>
      </c>
      <c r="H1529" s="63" t="n">
        <v>0.382676690597</v>
      </c>
      <c r="I1529" s="63" t="n">
        <v>0.485264818002</v>
      </c>
      <c r="J1529" s="63" t="n">
        <v>0.280088563193</v>
      </c>
      <c r="K1529" s="63" t="n">
        <v>2187.66</v>
      </c>
      <c r="L1529" s="63" t="n">
        <v>2152.56</v>
      </c>
      <c r="M1529" s="63" t="n">
        <v>2175.49</v>
      </c>
      <c r="N1529" s="54">
        <f>(M1530-M1529)/M1529</f>
        <v/>
      </c>
      <c r="O1529" s="54">
        <f>(M1533-M1529)/M1529</f>
        <v/>
      </c>
      <c r="P1529" s="4">
        <f>B1529-D1529</f>
        <v/>
      </c>
      <c r="Q1529" s="4">
        <f>AVERAGE(P1526:P1529)</f>
        <v/>
      </c>
      <c r="R1529" s="54">
        <f>(M1530-M1529)/M1529</f>
        <v/>
      </c>
      <c r="S1529" s="54">
        <f>(M1533-M1529)/M1529</f>
        <v/>
      </c>
      <c r="T1529" s="63">
        <f>IF(R1529&gt;0,1,"")</f>
        <v/>
      </c>
      <c r="U1529" s="63">
        <f>IF(S1529&gt;0,1,"")</f>
        <v/>
      </c>
    </row>
    <row r="1530">
      <c r="A1530" s="35" t="n">
        <v>42600</v>
      </c>
      <c r="B1530" s="4" t="n">
        <v>0.355649</v>
      </c>
      <c r="C1530" s="4" t="n">
        <v>0.380753</v>
      </c>
      <c r="D1530" s="4" t="n">
        <v>0.263598</v>
      </c>
      <c r="E1530" s="63" t="n">
        <v>1</v>
      </c>
      <c r="F1530" s="63" t="n">
        <v>0.325194875</v>
      </c>
      <c r="G1530" s="63" t="n">
        <v>0.09205099999999999</v>
      </c>
      <c r="H1530" s="63" t="n">
        <v>0.382659753016</v>
      </c>
      <c r="I1530" s="63" t="n">
        <v>0.485217489766</v>
      </c>
      <c r="J1530" s="63" t="n">
        <v>0.280102016266</v>
      </c>
      <c r="K1530" s="63" t="n">
        <v>2193.81</v>
      </c>
      <c r="L1530" s="63" t="n">
        <v>2168.5</v>
      </c>
      <c r="M1530" s="63" t="n">
        <v>2182.22</v>
      </c>
      <c r="N1530" s="54">
        <f>(M1531-M1530)/M1530</f>
        <v/>
      </c>
      <c r="O1530" s="54">
        <f>(M1534-M1530)/M1530</f>
        <v/>
      </c>
      <c r="P1530" s="4">
        <f>B1530-D1530</f>
        <v/>
      </c>
      <c r="Q1530" s="4">
        <f>AVERAGE(P1527:P1530)</f>
        <v/>
      </c>
      <c r="R1530" s="54">
        <f>(M1531-M1530)/M1530</f>
        <v/>
      </c>
      <c r="S1530" s="54">
        <f>(M1534-M1530)/M1530</f>
        <v/>
      </c>
      <c r="T1530" s="63">
        <f>IF(R1530&gt;0,1,"")</f>
        <v/>
      </c>
      <c r="U1530" s="63">
        <f>IF(S1530&gt;0,1,"")</f>
        <v/>
      </c>
    </row>
    <row r="1531">
      <c r="A1531" s="35" t="n">
        <v>42607</v>
      </c>
      <c r="B1531" s="4" t="n">
        <v>0.294243</v>
      </c>
      <c r="C1531" s="4" t="n">
        <v>0.409382</v>
      </c>
      <c r="D1531" s="4" t="n">
        <v>0.296375</v>
      </c>
      <c r="E1531" s="63" t="n">
        <v>1</v>
      </c>
      <c r="F1531" s="63" t="n">
        <v>0.325834625</v>
      </c>
      <c r="G1531" s="63" t="n">
        <v>-0.002132</v>
      </c>
      <c r="H1531" s="63" t="n">
        <v>0.382669271574</v>
      </c>
      <c r="I1531" s="63" t="n">
        <v>0.485195141507</v>
      </c>
      <c r="J1531" s="63" t="n">
        <v>0.28014340164</v>
      </c>
      <c r="K1531" s="63" t="n">
        <v>2193.42</v>
      </c>
      <c r="L1531" s="63" t="n">
        <v>2168.5</v>
      </c>
      <c r="M1531" s="63" t="n">
        <v>2175.44</v>
      </c>
      <c r="N1531" s="54">
        <f>(M1532-M1531)/M1531</f>
        <v/>
      </c>
      <c r="O1531" s="54">
        <f>(M1535-M1531)/M1531</f>
        <v/>
      </c>
      <c r="P1531" s="4">
        <f>B1531-D1531</f>
        <v/>
      </c>
      <c r="Q1531" s="4">
        <f>AVERAGE(P1528:P1531)</f>
        <v/>
      </c>
      <c r="R1531" s="54">
        <f>(M1532-M1531)/M1531</f>
        <v/>
      </c>
      <c r="S1531" s="54">
        <f>(M1535-M1531)/M1531</f>
        <v/>
      </c>
      <c r="T1531" s="63">
        <f>IF(R1531&gt;0,1,"")</f>
        <v/>
      </c>
      <c r="U1531" s="63">
        <f>IF(S1531&gt;0,1,"")</f>
        <v/>
      </c>
    </row>
    <row r="1532">
      <c r="A1532" s="35" t="n">
        <v>42614</v>
      </c>
      <c r="B1532" s="4" t="n">
        <v>0.286</v>
      </c>
      <c r="C1532" s="4" t="n">
        <v>0.3987</v>
      </c>
      <c r="D1532" s="4" t="n">
        <v>0.3152</v>
      </c>
      <c r="E1532" s="63" t="n">
        <v>0.9999</v>
      </c>
      <c r="F1532" s="63" t="n">
        <v>0.322763</v>
      </c>
      <c r="G1532" s="63" t="n">
        <v>-0.0292</v>
      </c>
      <c r="H1532" s="63" t="n">
        <v>0.382667141408</v>
      </c>
      <c r="I1532" s="63" t="n">
        <v>0.485160513845</v>
      </c>
      <c r="J1532" s="63" t="n">
        <v>0.28017376897</v>
      </c>
      <c r="K1532" s="63" t="n">
        <v>2187.94</v>
      </c>
      <c r="L1532" s="63" t="n">
        <v>2157.09</v>
      </c>
      <c r="M1532" s="63" t="n">
        <v>2170.86</v>
      </c>
      <c r="N1532" s="54">
        <f>(M1533-M1532)/M1532</f>
        <v/>
      </c>
      <c r="O1532" s="54">
        <f>(M1536-M1532)/M1532</f>
        <v/>
      </c>
      <c r="P1532" s="4">
        <f>B1532-D1532</f>
        <v/>
      </c>
      <c r="Q1532" s="4">
        <f>AVERAGE(P1529:P1532)</f>
        <v/>
      </c>
      <c r="R1532" s="54">
        <f>(M1533-M1532)/M1532</f>
        <v/>
      </c>
      <c r="S1532" s="54">
        <f>(M1536-M1532)/M1532</f>
        <v/>
      </c>
      <c r="T1532" s="63">
        <f>IF(R1532&gt;0,1,"")</f>
        <v/>
      </c>
      <c r="U1532" s="63">
        <f>IF(S1532&gt;0,1,"")</f>
        <v/>
      </c>
    </row>
    <row r="1533">
      <c r="A1533" s="35" t="n">
        <v>42621</v>
      </c>
      <c r="B1533" s="4" t="n">
        <v>0.297468</v>
      </c>
      <c r="C1533" s="4" t="n">
        <v>0.417722</v>
      </c>
      <c r="D1533" s="4" t="n">
        <v>0.28481</v>
      </c>
      <c r="E1533" s="63" t="n">
        <v>1</v>
      </c>
      <c r="F1533" s="63" t="n">
        <v>0.3138635</v>
      </c>
      <c r="G1533" s="63" t="n">
        <v>0.012658</v>
      </c>
      <c r="H1533" s="63" t="n">
        <v>0.382675841572</v>
      </c>
      <c r="I1533" s="63" t="n">
        <v>0.485137295414</v>
      </c>
      <c r="J1533" s="63" t="n">
        <v>0.28021438773</v>
      </c>
      <c r="K1533" s="63" t="n">
        <v>2187.870117</v>
      </c>
      <c r="L1533" s="63" t="n">
        <v>2157.090088</v>
      </c>
      <c r="M1533" s="63" t="n">
        <v>2186.159912</v>
      </c>
      <c r="N1533" s="54">
        <f>(M1534-M1533)/M1533</f>
        <v/>
      </c>
      <c r="O1533" s="54">
        <f>(M1537-M1533)/M1533</f>
        <v/>
      </c>
      <c r="P1533" s="4">
        <f>B1533-D1533</f>
        <v/>
      </c>
      <c r="Q1533" s="4">
        <f>AVERAGE(P1530:P1533)</f>
        <v/>
      </c>
      <c r="R1533" s="54">
        <f>(M1534-M1533)/M1533</f>
        <v/>
      </c>
      <c r="S1533" s="54">
        <f>(M1537-M1533)/M1533</f>
        <v/>
      </c>
      <c r="T1533" s="63">
        <f>IF(R1533&gt;0,1,"")</f>
        <v/>
      </c>
      <c r="U1533" s="63">
        <f>IF(S1533&gt;0,1,"")</f>
        <v/>
      </c>
    </row>
    <row r="1534">
      <c r="A1534" s="35" t="n">
        <v>42628</v>
      </c>
      <c r="B1534" s="4" t="n">
        <v>0.279379</v>
      </c>
      <c r="C1534" s="4" t="n">
        <v>0.361419</v>
      </c>
      <c r="D1534" s="4" t="n">
        <v>0.359202</v>
      </c>
      <c r="E1534" s="63" t="n">
        <v>1</v>
      </c>
      <c r="F1534" s="63" t="n">
        <v>0.3045045</v>
      </c>
      <c r="G1534" s="63" t="n">
        <v>-0.07982300000000001</v>
      </c>
      <c r="H1534" s="63" t="n">
        <v>0.382718826472</v>
      </c>
      <c r="I1534" s="63" t="n">
        <v>0.48516205025</v>
      </c>
      <c r="J1534" s="63" t="n">
        <v>0.280275602695</v>
      </c>
      <c r="K1534" s="63" t="n">
        <v>2187.870117</v>
      </c>
      <c r="L1534" s="63" t="n">
        <v>2119.120117</v>
      </c>
      <c r="M1534" s="63" t="n">
        <v>2125.77002</v>
      </c>
      <c r="N1534" s="54">
        <f>(M1535-M1534)/M1534</f>
        <v/>
      </c>
      <c r="O1534" s="54">
        <f>(M1538-M1534)/M1534</f>
        <v/>
      </c>
      <c r="P1534" s="4">
        <f>B1534-D1534</f>
        <v/>
      </c>
      <c r="Q1534" s="4">
        <f>AVERAGE(P1531:P1534)</f>
        <v/>
      </c>
      <c r="R1534" s="54">
        <f>(M1535-M1534)/M1534</f>
        <v/>
      </c>
      <c r="S1534" s="54">
        <f>(M1538-M1534)/M1534</f>
        <v/>
      </c>
      <c r="T1534" s="63">
        <f>IF(R1534&gt;0,1,"")</f>
        <v/>
      </c>
      <c r="U1534" s="63">
        <f>IF(S1534&gt;0,1,"")</f>
        <v/>
      </c>
    </row>
    <row r="1535">
      <c r="A1535" s="35" t="n">
        <v>42635</v>
      </c>
      <c r="B1535" s="4" t="n">
        <v>0.24826</v>
      </c>
      <c r="C1535" s="4" t="n">
        <v>0.36891</v>
      </c>
      <c r="D1535" s="4" t="n">
        <v>0.382831</v>
      </c>
      <c r="E1535" s="63" t="n">
        <v>1.000001</v>
      </c>
      <c r="F1535" s="63" t="n">
        <v>0.2964745</v>
      </c>
      <c r="G1535" s="63" t="n">
        <v>-0.134571</v>
      </c>
      <c r="H1535" s="63" t="n">
        <v>0.382762073418</v>
      </c>
      <c r="I1535" s="63" t="n">
        <v>0.485187279309</v>
      </c>
      <c r="J1535" s="63" t="n">
        <v>0.280336867527</v>
      </c>
      <c r="K1535" s="63" t="n">
        <v>2165.110107</v>
      </c>
      <c r="L1535" s="63" t="n">
        <v>2119.899902</v>
      </c>
      <c r="M1535" s="63" t="n">
        <v>2163.120117</v>
      </c>
      <c r="N1535" s="54">
        <f>(M1536-M1535)/M1535</f>
        <v/>
      </c>
      <c r="O1535" s="54">
        <f>(M1539-M1535)/M1535</f>
        <v/>
      </c>
      <c r="P1535" s="4">
        <f>B1535-D1535</f>
        <v/>
      </c>
      <c r="Q1535" s="4">
        <f>AVERAGE(P1532:P1535)</f>
        <v/>
      </c>
      <c r="R1535" s="54">
        <f>(M1536-M1535)/M1535</f>
        <v/>
      </c>
      <c r="S1535" s="54">
        <f>(M1539-M1535)/M1535</f>
        <v/>
      </c>
      <c r="T1535" s="63">
        <f>IF(R1535&gt;0,1,"")</f>
        <v/>
      </c>
      <c r="U1535" s="63">
        <f>IF(S1535&gt;0,1,"")</f>
        <v/>
      </c>
    </row>
    <row r="1536">
      <c r="A1536" s="35" t="n">
        <v>42642</v>
      </c>
      <c r="B1536" s="4" t="n">
        <v>0.24</v>
      </c>
      <c r="C1536" s="4" t="n">
        <v>0.388889</v>
      </c>
      <c r="D1536" s="4" t="n">
        <v>0.371111</v>
      </c>
      <c r="E1536" s="63" t="n">
        <v>1</v>
      </c>
      <c r="F1536" s="63" t="n">
        <v>0.2892405</v>
      </c>
      <c r="G1536" s="63" t="n">
        <v>-0.131111</v>
      </c>
      <c r="H1536" s="63" t="n">
        <v>0.382705600253</v>
      </c>
      <c r="I1536" s="63" t="n">
        <v>0.485123006642</v>
      </c>
      <c r="J1536" s="63" t="n">
        <v>0.280288193864</v>
      </c>
      <c r="K1536" s="63" t="n">
        <v>2179.98999</v>
      </c>
      <c r="L1536" s="63" t="n">
        <v>2139.570068</v>
      </c>
      <c r="M1536" s="63" t="n">
        <v>2171.370117</v>
      </c>
      <c r="N1536" s="54">
        <f>(M1537-M1536)/M1536</f>
        <v/>
      </c>
      <c r="O1536" s="54">
        <f>(M1540-M1536)/M1536</f>
        <v/>
      </c>
      <c r="P1536" s="4">
        <f>B1536-D1536</f>
        <v/>
      </c>
      <c r="Q1536" s="4">
        <f>AVERAGE(P1533:P1536)</f>
        <v/>
      </c>
      <c r="R1536" s="54">
        <f>(M1537-M1536)/M1536</f>
        <v/>
      </c>
      <c r="S1536" s="54">
        <f>(M1540-M1536)/M1536</f>
        <v/>
      </c>
      <c r="T1536" s="63">
        <f>IF(R1536&gt;0,1,"")</f>
        <v/>
      </c>
      <c r="U1536" s="63">
        <f>IF(S1536&gt;0,1,"")</f>
        <v/>
      </c>
    </row>
    <row r="1537">
      <c r="A1537" s="35" t="n">
        <v>42649</v>
      </c>
      <c r="B1537" s="4" t="n">
        <v>0.287946</v>
      </c>
      <c r="C1537" s="4" t="n">
        <v>0.433036</v>
      </c>
      <c r="D1537" s="4" t="n">
        <v>0.279018</v>
      </c>
      <c r="E1537" s="63" t="n">
        <v>1</v>
      </c>
      <c r="F1537" s="63" t="n">
        <v>0.286118125</v>
      </c>
      <c r="G1537" s="63" t="n">
        <v>0.008928</v>
      </c>
      <c r="H1537" s="63" t="n">
        <v>0.382705600253</v>
      </c>
      <c r="I1537" s="63" t="n">
        <v>0.485123006642</v>
      </c>
      <c r="J1537" s="63" t="n">
        <v>0.280288193864</v>
      </c>
      <c r="K1537" s="63" t="n">
        <v>2175.300049</v>
      </c>
      <c r="L1537" s="63" t="n">
        <v>2144.01001</v>
      </c>
      <c r="M1537" s="63" t="n">
        <v>2159.72998</v>
      </c>
      <c r="N1537" s="54">
        <f>(M1538-M1537)/M1537</f>
        <v/>
      </c>
      <c r="O1537" s="54">
        <f>(M1541-M1537)/M1537</f>
        <v/>
      </c>
      <c r="P1537" s="4">
        <f>B1537-D1537</f>
        <v/>
      </c>
      <c r="Q1537" s="4">
        <f>AVERAGE(P1534:P1537)</f>
        <v/>
      </c>
      <c r="R1537" s="54">
        <f>(M1538-M1537)/M1537</f>
        <v/>
      </c>
      <c r="S1537" s="54">
        <f>(M1541-M1537)/M1537</f>
        <v/>
      </c>
      <c r="T1537" s="63">
        <f>IF(R1537&gt;0,1,"")</f>
        <v/>
      </c>
      <c r="U1537" s="63">
        <f>IF(S1537&gt;0,1,"")</f>
        <v/>
      </c>
    </row>
    <row r="1538">
      <c r="A1538" s="35" t="n">
        <v>42656</v>
      </c>
      <c r="B1538" s="4" t="n">
        <v>0.254717</v>
      </c>
      <c r="C1538" s="4" t="n">
        <v>0.408019</v>
      </c>
      <c r="D1538" s="4" t="n">
        <v>0.337264</v>
      </c>
      <c r="E1538" s="63" t="n">
        <v>1</v>
      </c>
      <c r="F1538" s="63" t="n">
        <v>0.273501625</v>
      </c>
      <c r="G1538" s="63" t="n">
        <v>-0.082547</v>
      </c>
      <c r="H1538" s="63" t="n">
        <v>0.38267336892</v>
      </c>
      <c r="I1538" s="63" t="n">
        <v>0.485030061473</v>
      </c>
      <c r="J1538" s="63" t="n">
        <v>0.280316676366</v>
      </c>
      <c r="K1538" s="63" t="n">
        <v>2169.600098</v>
      </c>
      <c r="L1538" s="63" t="n">
        <v>2128.840088</v>
      </c>
      <c r="M1538" s="63" t="n">
        <v>2139.179932</v>
      </c>
      <c r="N1538" s="54">
        <f>(M1539-M1538)/M1538</f>
        <v/>
      </c>
      <c r="O1538" s="54">
        <f>(M1542-M1538)/M1538</f>
        <v/>
      </c>
      <c r="P1538" s="4">
        <f>B1538-D1538</f>
        <v/>
      </c>
      <c r="Q1538" s="4">
        <f>AVERAGE(P1535:P1538)</f>
        <v/>
      </c>
      <c r="R1538" s="54">
        <f>(M1539-M1538)/M1538</f>
        <v/>
      </c>
      <c r="S1538" s="54">
        <f>(M1542-M1538)/M1538</f>
        <v/>
      </c>
      <c r="T1538" s="63">
        <f>IF(R1538&gt;0,1,"")</f>
        <v/>
      </c>
      <c r="U1538" s="63">
        <f>IF(S1538&gt;0,1,"")</f>
        <v/>
      </c>
    </row>
    <row r="1539">
      <c r="A1539" s="35" t="n">
        <v>42663</v>
      </c>
      <c r="B1539" s="4" t="n">
        <v>0.237395</v>
      </c>
      <c r="C1539" s="4" t="n">
        <v>0.384454</v>
      </c>
      <c r="D1539" s="4" t="n">
        <v>0.378151</v>
      </c>
      <c r="E1539" s="63" t="n">
        <v>1</v>
      </c>
      <c r="F1539" s="63" t="n">
        <v>0.266395625</v>
      </c>
      <c r="G1539" s="63" t="n">
        <v>-0.140756</v>
      </c>
      <c r="H1539" s="63" t="n">
        <v>0.382664592172</v>
      </c>
      <c r="I1539" s="63" t="n">
        <v>0.484989545873</v>
      </c>
      <c r="J1539" s="63" t="n">
        <v>0.28033963847</v>
      </c>
      <c r="K1539" s="63" t="n">
        <v>2149.189941</v>
      </c>
      <c r="L1539" s="63" t="n">
        <v>2114.719971</v>
      </c>
      <c r="M1539" s="63" t="n">
        <v>2144.290039</v>
      </c>
      <c r="N1539" s="54">
        <f>(M1540-M1539)/M1539</f>
        <v/>
      </c>
      <c r="O1539" s="54">
        <f>(M1543-M1539)/M1539</f>
        <v/>
      </c>
      <c r="P1539" s="4">
        <f>B1539-D1539</f>
        <v/>
      </c>
      <c r="Q1539" s="4">
        <f>AVERAGE(P1536:P1539)</f>
        <v/>
      </c>
      <c r="R1539" s="54">
        <f>(M1540-M1539)/M1539</f>
        <v/>
      </c>
      <c r="S1539" s="54">
        <f>(M1543-M1539)/M1539</f>
        <v/>
      </c>
      <c r="T1539" s="63">
        <f>IF(R1539&gt;0,1,"")</f>
        <v/>
      </c>
      <c r="U1539" s="63">
        <f>IF(S1539&gt;0,1,"")</f>
        <v/>
      </c>
    </row>
    <row r="1540">
      <c r="A1540" s="35" t="n">
        <v>42670</v>
      </c>
      <c r="B1540" s="4" t="n">
        <v>0.247549</v>
      </c>
      <c r="C1540" s="4" t="n">
        <v>0.411765</v>
      </c>
      <c r="D1540" s="4" t="n">
        <v>0.340686</v>
      </c>
      <c r="E1540" s="63" t="n">
        <v>1</v>
      </c>
      <c r="F1540" s="63" t="n">
        <v>0.26158925</v>
      </c>
      <c r="G1540" s="63" t="n">
        <v>-0.093137</v>
      </c>
      <c r="H1540" s="63" t="n">
        <v>0.382707075079</v>
      </c>
      <c r="I1540" s="63" t="n">
        <v>0.485013705633</v>
      </c>
      <c r="J1540" s="63" t="n">
        <v>0.280400444525</v>
      </c>
      <c r="K1540" s="63" t="n">
        <v>2154.790039</v>
      </c>
      <c r="L1540" s="63" t="n">
        <v>2130.090088</v>
      </c>
      <c r="M1540" s="63" t="n">
        <v>2139.429932</v>
      </c>
      <c r="N1540" s="54">
        <f>(M1541-M1540)/M1540</f>
        <v/>
      </c>
      <c r="O1540" s="54">
        <f>(M1544-M1540)/M1540</f>
        <v/>
      </c>
      <c r="P1540" s="4">
        <f>B1540-D1540</f>
        <v/>
      </c>
      <c r="Q1540" s="4">
        <f>AVERAGE(P1537:P1540)</f>
        <v/>
      </c>
      <c r="R1540" s="54">
        <f>(M1541-M1540)/M1540</f>
        <v/>
      </c>
      <c r="S1540" s="54">
        <f>(M1544-M1540)/M1540</f>
        <v/>
      </c>
      <c r="T1540" s="63">
        <f>IF(R1540&gt;0,1,"")</f>
        <v/>
      </c>
      <c r="U1540" s="63">
        <f>IF(S1540&gt;0,1,"")</f>
        <v/>
      </c>
    </row>
    <row r="1541">
      <c r="A1541" s="35" t="n">
        <v>42677</v>
      </c>
      <c r="B1541" s="4" t="n">
        <v>0.236364</v>
      </c>
      <c r="C1541" s="4" t="n">
        <v>0.420455</v>
      </c>
      <c r="D1541" s="4" t="n">
        <v>0.343182</v>
      </c>
      <c r="E1541" s="63" t="n">
        <v>1.000001</v>
      </c>
      <c r="F1541" s="63" t="n">
        <v>0.25395125</v>
      </c>
      <c r="G1541" s="63" t="n">
        <v>-0.106818</v>
      </c>
      <c r="H1541" s="63" t="n">
        <v>0.382784167087</v>
      </c>
      <c r="I1541" s="63" t="n">
        <v>0.485104590134</v>
      </c>
      <c r="J1541" s="63" t="n">
        <v>0.28046374404</v>
      </c>
      <c r="K1541" s="63" t="n">
        <v>2147.13</v>
      </c>
      <c r="L1541" s="63" t="n">
        <v>2094</v>
      </c>
      <c r="M1541" s="63" t="n">
        <v>2097.94</v>
      </c>
      <c r="N1541" s="54">
        <f>(M1542-M1541)/M1541</f>
        <v/>
      </c>
      <c r="O1541" s="54">
        <f>(M1545-M1541)/M1541</f>
        <v/>
      </c>
      <c r="P1541" s="4">
        <f>B1541-D1541</f>
        <v/>
      </c>
      <c r="Q1541" s="4">
        <f>AVERAGE(P1538:P1541)</f>
        <v/>
      </c>
      <c r="R1541" s="54">
        <f>(M1542-M1541)/M1541</f>
        <v/>
      </c>
      <c r="S1541" s="54">
        <f>(M1545-M1541)/M1541</f>
        <v/>
      </c>
      <c r="T1541" s="63">
        <f>IF(R1541&gt;0,1,"")</f>
        <v/>
      </c>
      <c r="U1541" s="63">
        <f>IF(S1541&gt;0,1,"")</f>
        <v/>
      </c>
    </row>
    <row r="1542">
      <c r="A1542" s="35" t="n">
        <v>42684</v>
      </c>
      <c r="B1542" s="4" t="n">
        <v>0.388889</v>
      </c>
      <c r="C1542" s="4" t="n">
        <v>0.317778</v>
      </c>
      <c r="D1542" s="4" t="n">
        <v>0.293333</v>
      </c>
      <c r="E1542" s="63" t="n">
        <v>1</v>
      </c>
      <c r="F1542" s="63" t="n">
        <v>0.26764</v>
      </c>
      <c r="G1542" s="63" t="n">
        <v>0.095556</v>
      </c>
      <c r="H1542" s="63" t="n">
        <v>0.382874696912</v>
      </c>
      <c r="I1542" s="63" t="n">
        <v>0.48522641546</v>
      </c>
      <c r="J1542" s="63" t="n">
        <v>0.280522978365</v>
      </c>
      <c r="K1542" s="63" t="n">
        <v>2170.1</v>
      </c>
      <c r="L1542" s="63" t="n">
        <v>2083.79</v>
      </c>
      <c r="M1542" s="63" t="n">
        <v>2163.26</v>
      </c>
      <c r="N1542" s="54">
        <f>(M1543-M1542)/M1542</f>
        <v/>
      </c>
      <c r="O1542" s="54">
        <f>(M1546-M1542)/M1542</f>
        <v/>
      </c>
      <c r="P1542" s="4">
        <f>B1542-D1542</f>
        <v/>
      </c>
      <c r="Q1542" s="4">
        <f>AVERAGE(P1539:P1542)</f>
        <v/>
      </c>
      <c r="R1542" s="54">
        <f>(M1543-M1542)/M1542</f>
        <v/>
      </c>
      <c r="S1542" s="54">
        <f>(M1546-M1542)/M1542</f>
        <v/>
      </c>
      <c r="T1542" s="63">
        <f>IF(R1542&gt;0,1,"")</f>
        <v/>
      </c>
      <c r="U1542" s="63">
        <f>IF(S1542&gt;0,1,"")</f>
        <v/>
      </c>
    </row>
    <row r="1543">
      <c r="A1543" s="35" t="n">
        <v>42691</v>
      </c>
      <c r="B1543" s="4" t="n">
        <v>0.466531</v>
      </c>
      <c r="C1543" s="4" t="n">
        <v>0.267748</v>
      </c>
      <c r="D1543" s="4" t="n">
        <v>0.26572</v>
      </c>
      <c r="E1543" s="63" t="n">
        <v>0.999999</v>
      </c>
      <c r="F1543" s="63" t="n">
        <v>0.294923875</v>
      </c>
      <c r="G1543" s="63" t="n">
        <v>0.200811</v>
      </c>
      <c r="H1543" s="63" t="n">
        <v>0.383009870907</v>
      </c>
      <c r="I1543" s="63" t="n">
        <v>0.485471030301</v>
      </c>
      <c r="J1543" s="63" t="n">
        <v>0.280548711512</v>
      </c>
      <c r="K1543" s="63" t="n">
        <v>2182.3</v>
      </c>
      <c r="L1543" s="63" t="n">
        <v>2100.59</v>
      </c>
      <c r="M1543" s="63" t="n">
        <v>2164.2</v>
      </c>
      <c r="N1543" s="54">
        <f>(M1544-M1543)/M1543</f>
        <v/>
      </c>
      <c r="O1543" s="54">
        <f>(M1547-M1543)/M1543</f>
        <v/>
      </c>
      <c r="P1543" s="4">
        <f>B1543-D1543</f>
        <v/>
      </c>
      <c r="Q1543" s="4">
        <f>AVERAGE(P1540:P1543)</f>
        <v/>
      </c>
      <c r="R1543" s="54">
        <f>(M1544-M1543)/M1543</f>
        <v/>
      </c>
      <c r="S1543" s="54">
        <f>(M1547-M1543)/M1543</f>
        <v/>
      </c>
      <c r="T1543" s="63">
        <f>IF(R1543&gt;0,1,"")</f>
        <v/>
      </c>
      <c r="U1543" s="63">
        <f>IF(S1543&gt;0,1,"")</f>
        <v/>
      </c>
    </row>
    <row r="1544">
      <c r="A1544" s="35" t="n">
        <v>42698</v>
      </c>
      <c r="B1544" s="4" t="n">
        <v>0.498938</v>
      </c>
      <c r="C1544" s="4" t="n">
        <v>0.280255</v>
      </c>
      <c r="D1544" s="4" t="n">
        <v>0.220807</v>
      </c>
      <c r="E1544" s="63" t="n">
        <v>1</v>
      </c>
      <c r="F1544" s="63" t="n">
        <v>0.327291125</v>
      </c>
      <c r="G1544" s="63" t="n">
        <v>0.278131</v>
      </c>
      <c r="H1544" s="63" t="n">
        <v>0.383075142228</v>
      </c>
      <c r="I1544" s="63" t="n">
        <v>0.485537075939</v>
      </c>
      <c r="J1544" s="63" t="n">
        <v>0.280613208516</v>
      </c>
      <c r="K1544" s="63" t="n">
        <v>2204.8</v>
      </c>
      <c r="L1544" s="63" t="n">
        <v>2172.2</v>
      </c>
      <c r="M1544" s="63" t="n">
        <v>2204.72</v>
      </c>
      <c r="N1544" s="54">
        <f>(M1545-M1544)/M1544</f>
        <v/>
      </c>
      <c r="O1544" s="54">
        <f>(M1548-M1544)/M1544</f>
        <v/>
      </c>
      <c r="P1544" s="4">
        <f>B1544-D1544</f>
        <v/>
      </c>
      <c r="Q1544" s="4">
        <f>AVERAGE(P1541:P1544)</f>
        <v/>
      </c>
      <c r="R1544" s="54">
        <f>(M1545-M1544)/M1544</f>
        <v/>
      </c>
      <c r="S1544" s="54">
        <f>(M1548-M1544)/M1544</f>
        <v/>
      </c>
      <c r="T1544" s="63">
        <f>IF(R1544&gt;0,1,"")</f>
        <v/>
      </c>
      <c r="U1544" s="63">
        <f>IF(S1544&gt;0,1,"")</f>
        <v/>
      </c>
    </row>
    <row r="1545">
      <c r="A1545" s="35" t="n">
        <v>42705</v>
      </c>
      <c r="B1545" s="4" t="n">
        <v>0.437751</v>
      </c>
      <c r="C1545" s="4" t="n">
        <v>0.311245</v>
      </c>
      <c r="D1545" s="4" t="n">
        <v>0.251004</v>
      </c>
      <c r="E1545" s="63" t="n">
        <v>1</v>
      </c>
      <c r="F1545" s="63" t="n">
        <v>0.34601675</v>
      </c>
      <c r="G1545" s="63" t="n">
        <v>0.186747</v>
      </c>
      <c r="H1545" s="63" t="n">
        <v>0.383174549686</v>
      </c>
      <c r="I1545" s="63" t="n">
        <v>0.485680905767</v>
      </c>
      <c r="J1545" s="63" t="n">
        <v>0.280668193605</v>
      </c>
      <c r="K1545" s="63" t="n">
        <v>2214.1</v>
      </c>
      <c r="L1545" s="63" t="n">
        <v>2194.51</v>
      </c>
      <c r="M1545" s="63" t="n">
        <v>2198.81</v>
      </c>
      <c r="N1545" s="54">
        <f>(M1546-M1545)/M1545</f>
        <v/>
      </c>
      <c r="O1545" s="54">
        <f>(M1549-M1545)/M1545</f>
        <v/>
      </c>
      <c r="P1545" s="4">
        <f>B1545-D1545</f>
        <v/>
      </c>
      <c r="Q1545" s="4">
        <f>AVERAGE(P1542:P1545)</f>
        <v/>
      </c>
      <c r="R1545" s="54">
        <f>(M1546-M1545)/M1545</f>
        <v/>
      </c>
      <c r="S1545" s="54">
        <f>(M1549-M1545)/M1545</f>
        <v/>
      </c>
      <c r="T1545" s="63">
        <f>IF(R1545&gt;0,1,"")</f>
        <v/>
      </c>
      <c r="U1545" s="63">
        <f>IF(S1545&gt;0,1,"")</f>
        <v/>
      </c>
    </row>
    <row r="1546">
      <c r="A1546" s="35" t="n">
        <v>42712</v>
      </c>
      <c r="B1546" s="4" t="n">
        <v>0.431211</v>
      </c>
      <c r="C1546" s="4" t="n">
        <v>0.303901</v>
      </c>
      <c r="D1546" s="4" t="n">
        <v>0.264887</v>
      </c>
      <c r="E1546" s="63" t="n">
        <v>0.999999</v>
      </c>
      <c r="F1546" s="63" t="n">
        <v>0.3680785</v>
      </c>
      <c r="G1546" s="63" t="n">
        <v>0.166324</v>
      </c>
      <c r="H1546" s="63" t="n">
        <v>0.383219408548</v>
      </c>
      <c r="I1546" s="63" t="n">
        <v>0.485709145158</v>
      </c>
      <c r="J1546" s="63" t="n">
        <v>0.280729671938</v>
      </c>
      <c r="K1546" s="63" t="n">
        <v>2241.63</v>
      </c>
      <c r="L1546" s="63" t="n">
        <v>2187.44</v>
      </c>
      <c r="M1546" s="63" t="n">
        <v>2241.35</v>
      </c>
      <c r="N1546" s="54">
        <f>(M1547-M1546)/M1546</f>
        <v/>
      </c>
      <c r="O1546" s="54">
        <f>(M1550-M1546)/M1546</f>
        <v/>
      </c>
      <c r="P1546" s="4">
        <f>B1546-D1546</f>
        <v/>
      </c>
      <c r="Q1546" s="4">
        <f>AVERAGE(P1543:P1546)</f>
        <v/>
      </c>
      <c r="R1546" s="54">
        <f>(M1547-M1546)/M1546</f>
        <v/>
      </c>
      <c r="S1546" s="54">
        <f>(M1550-M1546)/M1546</f>
        <v/>
      </c>
      <c r="T1546" s="63">
        <f>IF(R1546&gt;0,1,"")</f>
        <v/>
      </c>
      <c r="U1546" s="63">
        <f>IF(S1546&gt;0,1,"")</f>
        <v/>
      </c>
    </row>
    <row r="1547">
      <c r="A1547" s="35" t="n">
        <v>42719</v>
      </c>
      <c r="B1547" s="4" t="n">
        <v>0.446575</v>
      </c>
      <c r="C1547" s="4" t="n">
        <v>0.230137</v>
      </c>
      <c r="D1547" s="4" t="n">
        <v>0.323288</v>
      </c>
      <c r="E1547" s="63" t="n">
        <v>1</v>
      </c>
      <c r="F1547" s="63" t="n">
        <v>0.394226</v>
      </c>
      <c r="G1547" s="63" t="n">
        <v>0.123287</v>
      </c>
      <c r="H1547" s="63" t="n">
        <v>0.38325991897</v>
      </c>
      <c r="I1547" s="63" t="n">
        <v>0.485730190286</v>
      </c>
      <c r="J1547" s="63" t="n">
        <v>0.280789647654</v>
      </c>
      <c r="K1547" s="63" t="n">
        <v>2277.53</v>
      </c>
      <c r="L1547" s="63" t="n">
        <v>2208.93</v>
      </c>
      <c r="M1547" s="63" t="n">
        <v>2253.28</v>
      </c>
      <c r="N1547" s="54">
        <f>(M1548-M1547)/M1547</f>
        <v/>
      </c>
      <c r="O1547" s="54">
        <f>(M1551-M1547)/M1547</f>
        <v/>
      </c>
      <c r="P1547" s="4">
        <f>B1547-D1547</f>
        <v/>
      </c>
      <c r="Q1547" s="4">
        <f>AVERAGE(P1544:P1547)</f>
        <v/>
      </c>
      <c r="R1547" s="54">
        <f>(M1548-M1547)/M1547</f>
        <v/>
      </c>
      <c r="S1547" s="54">
        <f>(M1551-M1547)/M1547</f>
        <v/>
      </c>
      <c r="T1547" s="63">
        <f>IF(R1547&gt;0,1,"")</f>
        <v/>
      </c>
      <c r="U1547" s="63">
        <f>IF(S1547&gt;0,1,"")</f>
        <v/>
      </c>
    </row>
    <row r="1548">
      <c r="A1548" s="35" t="n">
        <v>42726</v>
      </c>
      <c r="B1548" s="4" t="n">
        <v>0.446064</v>
      </c>
      <c r="C1548" s="4" t="n">
        <v>0.262391</v>
      </c>
      <c r="D1548" s="4" t="n">
        <v>0.291545</v>
      </c>
      <c r="E1548" s="63" t="n">
        <v>1</v>
      </c>
      <c r="F1548" s="63" t="n">
        <v>0.419040375</v>
      </c>
      <c r="G1548" s="63" t="n">
        <v>0.154519</v>
      </c>
      <c r="H1548" s="63" t="n">
        <v>0.383251768989</v>
      </c>
      <c r="I1548" s="63" t="n">
        <v>0.485690368835</v>
      </c>
      <c r="J1548" s="63" t="n">
        <v>0.280813169144</v>
      </c>
      <c r="K1548" s="63" t="n">
        <v>2272.56</v>
      </c>
      <c r="L1548" s="63" t="n">
        <v>2253.77</v>
      </c>
      <c r="M1548" s="63" t="n">
        <v>2258.66</v>
      </c>
      <c r="N1548" s="54">
        <f>(M1549-M1548)/M1548</f>
        <v/>
      </c>
      <c r="O1548" s="54">
        <f>(M1552-M1548)/M1548</f>
        <v/>
      </c>
      <c r="P1548" s="4">
        <f>B1548-D1548</f>
        <v/>
      </c>
      <c r="Q1548" s="4">
        <f>AVERAGE(P1545:P1548)</f>
        <v/>
      </c>
      <c r="R1548" s="54">
        <f>(M1549-M1548)/M1548</f>
        <v/>
      </c>
      <c r="S1548" s="54">
        <f>(M1552-M1548)/M1548</f>
        <v/>
      </c>
      <c r="T1548" s="63">
        <f>IF(R1548&gt;0,1,"")</f>
        <v/>
      </c>
      <c r="U1548" s="63">
        <f>IF(S1548&gt;0,1,"")</f>
        <v/>
      </c>
    </row>
    <row r="1549">
      <c r="A1549" s="35" t="n">
        <v>42733</v>
      </c>
      <c r="B1549" s="4" t="n">
        <v>0.455696</v>
      </c>
      <c r="C1549" s="4" t="n">
        <v>0.28692</v>
      </c>
      <c r="D1549" s="4" t="n">
        <v>0.257384</v>
      </c>
      <c r="E1549" s="63" t="n">
        <v>1</v>
      </c>
      <c r="F1549" s="63" t="n">
        <v>0.446456875</v>
      </c>
      <c r="G1549" s="63" t="n">
        <v>0.198312</v>
      </c>
      <c r="H1549" s="63" t="n">
        <v>0.38331572271</v>
      </c>
      <c r="I1549" s="63" t="n">
        <v>0.485753991741</v>
      </c>
      <c r="J1549" s="63" t="n">
        <v>0.28087745368</v>
      </c>
      <c r="K1549" s="63" t="n">
        <v>2273.82</v>
      </c>
      <c r="L1549" s="63" t="n">
        <v>2249.11</v>
      </c>
      <c r="M1549" s="63" t="n">
        <v>2249.92</v>
      </c>
      <c r="N1549" s="54">
        <f>(M1550-M1549)/M1549</f>
        <v/>
      </c>
      <c r="O1549" s="54">
        <f>(M1553-M1549)/M1549</f>
        <v/>
      </c>
      <c r="P1549" s="4">
        <f>B1549-D1549</f>
        <v/>
      </c>
      <c r="Q1549" s="4">
        <f>AVERAGE(P1546:P1549)</f>
        <v/>
      </c>
      <c r="R1549" s="54">
        <f>(M1550-M1549)/M1549</f>
        <v/>
      </c>
      <c r="S1549" s="54">
        <f>(M1553-M1549)/M1549</f>
        <v/>
      </c>
      <c r="T1549" s="63">
        <f>IF(R1549&gt;0,1,"")</f>
        <v/>
      </c>
      <c r="U1549" s="63">
        <f>IF(S1549&gt;0,1,"")</f>
        <v/>
      </c>
    </row>
    <row r="1550">
      <c r="A1550" s="35" t="n">
        <v>42740</v>
      </c>
      <c r="B1550" s="4" t="n">
        <v>0.462006</v>
      </c>
      <c r="C1550" s="4" t="n">
        <v>0.285714</v>
      </c>
      <c r="D1550" s="4" t="n">
        <v>0.25228</v>
      </c>
      <c r="E1550" s="63" t="n">
        <v>1</v>
      </c>
      <c r="F1550" s="63" t="n">
        <v>0.4555965</v>
      </c>
      <c r="G1550" s="63" t="n">
        <v>0.209726</v>
      </c>
      <c r="H1550" s="63" t="n">
        <v>0.383355344201</v>
      </c>
      <c r="I1550" s="63" t="n">
        <v>0.485773700496</v>
      </c>
      <c r="J1550" s="63" t="n">
        <v>0.280936987905</v>
      </c>
      <c r="K1550" s="63" t="n">
        <v>2273.82</v>
      </c>
      <c r="L1550" s="63" t="n">
        <v>2233.62</v>
      </c>
      <c r="M1550" s="63" t="n">
        <v>2270.75</v>
      </c>
      <c r="N1550" s="54">
        <f>(M1551-M1550)/M1550</f>
        <v/>
      </c>
      <c r="O1550" s="54">
        <f>(M1554-M1550)/M1550</f>
        <v/>
      </c>
      <c r="P1550" s="4">
        <f>B1550-D1550</f>
        <v/>
      </c>
      <c r="Q1550" s="4">
        <f>AVERAGE(P1547:P1550)</f>
        <v/>
      </c>
      <c r="R1550" s="54">
        <f>(M1551-M1550)/M1550</f>
        <v/>
      </c>
      <c r="S1550" s="54">
        <f>(M1554-M1550)/M1550</f>
        <v/>
      </c>
      <c r="T1550" s="63">
        <f>IF(R1550&gt;0,1,"")</f>
        <v/>
      </c>
      <c r="U1550" s="63">
        <f>IF(S1550&gt;0,1,"")</f>
        <v/>
      </c>
    </row>
    <row r="1551">
      <c r="A1551" s="35" t="n">
        <v>42747</v>
      </c>
      <c r="B1551" s="4" t="n">
        <v>0.436364</v>
      </c>
      <c r="C1551" s="4" t="n">
        <v>0.293939</v>
      </c>
      <c r="D1551" s="4" t="n">
        <v>0.269697</v>
      </c>
      <c r="E1551" s="63" t="n">
        <v>1</v>
      </c>
      <c r="F1551" s="63" t="n">
        <v>0.451825625</v>
      </c>
      <c r="G1551" s="63" t="n">
        <v>0.166667</v>
      </c>
      <c r="H1551" s="63" t="n">
        <v>0.383348750627</v>
      </c>
      <c r="I1551" s="63" t="n">
        <v>0.485735334667</v>
      </c>
      <c r="J1551" s="63" t="n">
        <v>0.280962166586</v>
      </c>
      <c r="K1551" s="63" t="n">
        <v>2282.1</v>
      </c>
      <c r="L1551" s="63" t="n">
        <v>2260.45</v>
      </c>
      <c r="M1551" s="63" t="n">
        <v>2275.32</v>
      </c>
      <c r="N1551" s="54">
        <f>(M1552-M1551)/M1551</f>
        <v/>
      </c>
      <c r="O1551" s="54">
        <f>(M1555-M1551)/M1551</f>
        <v/>
      </c>
      <c r="P1551" s="4">
        <f>B1551-D1551</f>
        <v/>
      </c>
      <c r="Q1551" s="4">
        <f>AVERAGE(P1548:P1551)</f>
        <v/>
      </c>
      <c r="R1551" s="54">
        <f>(M1552-M1551)/M1551</f>
        <v/>
      </c>
      <c r="S1551" s="54">
        <f>(M1555-M1551)/M1551</f>
        <v/>
      </c>
      <c r="T1551" s="63">
        <f>IF(R1551&gt;0,1,"")</f>
        <v/>
      </c>
      <c r="U1551" s="63">
        <f>IF(S1551&gt;0,1,"")</f>
        <v/>
      </c>
    </row>
    <row r="1552">
      <c r="A1552" s="35" t="n">
        <v>42754</v>
      </c>
      <c r="B1552" s="4" t="n">
        <v>0.370079</v>
      </c>
      <c r="C1552" s="4" t="n">
        <v>0.30315</v>
      </c>
      <c r="D1552" s="4" t="n">
        <v>0.326772</v>
      </c>
      <c r="E1552" s="63" t="n">
        <v>1.000001</v>
      </c>
      <c r="F1552" s="63" t="n">
        <v>0.43571825</v>
      </c>
      <c r="G1552" s="63" t="n">
        <v>0.043307</v>
      </c>
      <c r="H1552" s="63" t="n">
        <v>0.383274033813</v>
      </c>
      <c r="I1552" s="63" t="n">
        <v>0.485672079222</v>
      </c>
      <c r="J1552" s="63" t="n">
        <v>0.280875988405</v>
      </c>
      <c r="K1552" s="63" t="n">
        <v>2279.27</v>
      </c>
      <c r="L1552" s="63" t="n">
        <v>2254.25</v>
      </c>
      <c r="M1552" s="63" t="n">
        <v>2271.89</v>
      </c>
      <c r="N1552" s="54">
        <f>(M1553-M1552)/M1552</f>
        <v/>
      </c>
      <c r="O1552" s="54">
        <f>(M1556-M1552)/M1552</f>
        <v/>
      </c>
      <c r="P1552" s="4">
        <f>B1552-D1552</f>
        <v/>
      </c>
      <c r="Q1552" s="4">
        <f>AVERAGE(P1549:P1552)</f>
        <v/>
      </c>
      <c r="R1552" s="54">
        <f>(M1553-M1552)/M1552</f>
        <v/>
      </c>
      <c r="S1552" s="54">
        <f>(M1556-M1552)/M1552</f>
        <v/>
      </c>
      <c r="T1552" s="63">
        <f>IF(R1552&gt;0,1,"")</f>
        <v/>
      </c>
      <c r="U1552" s="63">
        <f>IF(S1552&gt;0,1,"")</f>
        <v/>
      </c>
    </row>
    <row r="1553">
      <c r="A1553" s="35" t="n">
        <v>42761</v>
      </c>
      <c r="B1553" s="4" t="n">
        <v>0.315789</v>
      </c>
      <c r="C1553" s="4" t="n">
        <v>0.349282</v>
      </c>
      <c r="D1553" s="4" t="n">
        <v>0.334928</v>
      </c>
      <c r="E1553" s="63" t="n">
        <v>0.999999</v>
      </c>
      <c r="F1553" s="63" t="n">
        <v>0.420473</v>
      </c>
      <c r="G1553" s="63" t="n">
        <v>-0.019139</v>
      </c>
      <c r="H1553" s="63" t="n">
        <v>0.383264739049</v>
      </c>
      <c r="I1553" s="63" t="n">
        <v>0.485631394257</v>
      </c>
      <c r="J1553" s="63" t="n">
        <v>0.280898083841</v>
      </c>
      <c r="K1553" s="63" t="n">
        <v>2299.55</v>
      </c>
      <c r="L1553" s="63" t="n">
        <v>2257.02</v>
      </c>
      <c r="M1553" s="63" t="n">
        <v>2298.37</v>
      </c>
      <c r="N1553" s="54">
        <f>(M1554-M1553)/M1553</f>
        <v/>
      </c>
      <c r="O1553" s="54">
        <f>(M1557-M1553)/M1553</f>
        <v/>
      </c>
      <c r="P1553" s="4">
        <f>B1553-D1553</f>
        <v/>
      </c>
      <c r="Q1553" s="4">
        <f>AVERAGE(P1550:P1553)</f>
        <v/>
      </c>
      <c r="R1553" s="54">
        <f>(M1554-M1553)/M1553</f>
        <v/>
      </c>
      <c r="S1553" s="54">
        <f>(M1557-M1553)/M1553</f>
        <v/>
      </c>
      <c r="T1553" s="63">
        <f>IF(R1553&gt;0,1,"")</f>
        <v/>
      </c>
      <c r="U1553" s="63">
        <f>IF(S1553&gt;0,1,"")</f>
        <v/>
      </c>
    </row>
    <row r="1554">
      <c r="A1554" s="35" t="n">
        <v>42768</v>
      </c>
      <c r="B1554" s="4" t="n">
        <v>0.327982</v>
      </c>
      <c r="C1554" s="4" t="n">
        <v>0.330275</v>
      </c>
      <c r="D1554" s="4" t="n">
        <v>0.341743</v>
      </c>
      <c r="E1554" s="63" t="n">
        <v>1</v>
      </c>
      <c r="F1554" s="63" t="n">
        <v>0.407569375</v>
      </c>
      <c r="G1554" s="63" t="n">
        <v>-0.013761</v>
      </c>
      <c r="H1554" s="63" t="n">
        <v>0.383232893684</v>
      </c>
      <c r="I1554" s="63" t="n">
        <v>0.485575436932</v>
      </c>
      <c r="J1554" s="63" t="n">
        <v>0.280890350435</v>
      </c>
      <c r="K1554" s="63" t="n">
        <v>2300.99</v>
      </c>
      <c r="L1554" s="63" t="n">
        <v>2267.21</v>
      </c>
      <c r="M1554" s="63" t="n">
        <v>2279.55</v>
      </c>
      <c r="N1554" s="54">
        <f>(M1555-M1554)/M1554</f>
        <v/>
      </c>
      <c r="O1554" s="54">
        <f>(M1558-M1554)/M1554</f>
        <v/>
      </c>
      <c r="P1554" s="4">
        <f>B1554-D1554</f>
        <v/>
      </c>
      <c r="Q1554" s="4">
        <f>AVERAGE(P1551:P1554)</f>
        <v/>
      </c>
      <c r="R1554" s="54">
        <f>(M1555-M1554)/M1554</f>
        <v/>
      </c>
      <c r="S1554" s="54">
        <f>(M1558-M1554)/M1554</f>
        <v/>
      </c>
      <c r="T1554" s="63">
        <f>IF(R1554&gt;0,1,"")</f>
        <v/>
      </c>
      <c r="U1554" s="63">
        <f>IF(S1554&gt;0,1,"")</f>
        <v/>
      </c>
    </row>
    <row r="1555">
      <c r="A1555" s="35" t="n">
        <v>42775</v>
      </c>
      <c r="B1555" s="4" t="n">
        <v>0.358025</v>
      </c>
      <c r="C1555" s="4" t="n">
        <v>0.365432</v>
      </c>
      <c r="D1555" s="4" t="n">
        <v>0.276543</v>
      </c>
      <c r="E1555" s="63" t="n">
        <v>1</v>
      </c>
      <c r="F1555" s="63" t="n">
        <v>0.396500625</v>
      </c>
      <c r="G1555" s="63" t="n">
        <v>0.081482</v>
      </c>
      <c r="H1555" s="63" t="n">
        <v>0.38319297375</v>
      </c>
      <c r="I1555" s="63" t="n">
        <v>0.485515970084</v>
      </c>
      <c r="J1555" s="63" t="n">
        <v>0.280869977416</v>
      </c>
      <c r="K1555" s="63" t="n">
        <v>2299.4</v>
      </c>
      <c r="L1555" s="63" t="n">
        <v>2271.65</v>
      </c>
      <c r="M1555" s="63" t="n">
        <v>2294.67</v>
      </c>
      <c r="N1555" s="54">
        <f>(M1556-M1555)/M1555</f>
        <v/>
      </c>
      <c r="O1555" s="54">
        <f>(M1559-M1555)/M1555</f>
        <v/>
      </c>
      <c r="P1555" s="4">
        <f>B1555-D1555</f>
        <v/>
      </c>
      <c r="Q1555" s="4">
        <f>AVERAGE(P1552:P1555)</f>
        <v/>
      </c>
      <c r="R1555" s="54">
        <f>(M1556-M1555)/M1555</f>
        <v/>
      </c>
      <c r="S1555" s="54">
        <f>(M1559-M1555)/M1555</f>
        <v/>
      </c>
      <c r="T1555" s="63">
        <f>IF(R1555&gt;0,1,"")</f>
        <v/>
      </c>
      <c r="U1555" s="63">
        <f>IF(S1555&gt;0,1,"")</f>
        <v/>
      </c>
    </row>
    <row r="1556">
      <c r="A1556" s="35" t="n">
        <v>42782</v>
      </c>
      <c r="B1556" s="4" t="n">
        <v>0.330909</v>
      </c>
      <c r="C1556" s="4" t="n">
        <v>0.345455</v>
      </c>
      <c r="D1556" s="4" t="n">
        <v>0.323636</v>
      </c>
      <c r="E1556" s="63" t="n">
        <v>1</v>
      </c>
      <c r="F1556" s="63" t="n">
        <v>0.38210625</v>
      </c>
      <c r="G1556" s="63" t="n">
        <v>0.007273</v>
      </c>
      <c r="H1556" s="63" t="n">
        <v>0.383152856964</v>
      </c>
      <c r="I1556" s="63" t="n">
        <v>0.485456465949</v>
      </c>
      <c r="J1556" s="63" t="n">
        <v>0.28084924798</v>
      </c>
      <c r="K1556" s="63" t="n">
        <v>2351.31</v>
      </c>
      <c r="L1556" s="63" t="n">
        <v>2296.61</v>
      </c>
      <c r="M1556" s="63" t="n">
        <v>2347.22</v>
      </c>
      <c r="N1556" s="54">
        <f>(M1557-M1556)/M1556</f>
        <v/>
      </c>
      <c r="O1556" s="54">
        <f>(M1560-M1556)/M1556</f>
        <v/>
      </c>
      <c r="P1556" s="4">
        <f>B1556-D1556</f>
        <v/>
      </c>
      <c r="Q1556" s="4">
        <f>AVERAGE(P1553:P1556)</f>
        <v/>
      </c>
      <c r="R1556" s="54">
        <f>(M1557-M1556)/M1556</f>
        <v/>
      </c>
      <c r="S1556" s="54">
        <f>(M1560-M1556)/M1556</f>
        <v/>
      </c>
      <c r="T1556" s="63">
        <f>IF(R1556&gt;0,1,"")</f>
        <v/>
      </c>
      <c r="U1556" s="63">
        <f>IF(S1556&gt;0,1,"")</f>
        <v/>
      </c>
    </row>
    <row r="1557">
      <c r="A1557" s="35" t="n">
        <v>42789</v>
      </c>
      <c r="B1557" s="4" t="n">
        <v>0.384615</v>
      </c>
      <c r="C1557" s="4" t="n">
        <v>0.292308</v>
      </c>
      <c r="D1557" s="4" t="n">
        <v>0.323077</v>
      </c>
      <c r="E1557" s="63" t="n">
        <v>1</v>
      </c>
      <c r="F1557" s="63" t="n">
        <v>0.373221125</v>
      </c>
      <c r="G1557" s="63" t="n">
        <v>0.061538</v>
      </c>
      <c r="H1557" s="63" t="n">
        <v>0.383076525593</v>
      </c>
      <c r="I1557" s="63" t="n">
        <v>0.485393802958</v>
      </c>
      <c r="J1557" s="63" t="n">
        <v>0.280759248228</v>
      </c>
      <c r="K1557" s="63" t="n">
        <v>2366.71</v>
      </c>
      <c r="L1557" s="63" t="n">
        <v>2322.17</v>
      </c>
      <c r="M1557" s="63" t="n">
        <v>2362.82</v>
      </c>
      <c r="N1557" s="54">
        <f>(M1558-M1557)/M1557</f>
        <v/>
      </c>
      <c r="O1557" s="54">
        <f>(M1561-M1557)/M1557</f>
        <v/>
      </c>
      <c r="P1557" s="4">
        <f>B1557-D1557</f>
        <v/>
      </c>
      <c r="Q1557" s="4">
        <f>AVERAGE(P1554:P1557)</f>
        <v/>
      </c>
      <c r="R1557" s="54">
        <f>(M1558-M1557)/M1557</f>
        <v/>
      </c>
      <c r="S1557" s="54">
        <f>(M1561-M1557)/M1557</f>
        <v/>
      </c>
      <c r="T1557" s="63">
        <f>IF(R1557&gt;0,1,"")</f>
        <v/>
      </c>
      <c r="U1557" s="63">
        <f>IF(S1557&gt;0,1,"")</f>
        <v/>
      </c>
    </row>
    <row r="1558">
      <c r="A1558" s="35" t="n">
        <v>42796</v>
      </c>
      <c r="B1558" s="4" t="n">
        <v>0.379085</v>
      </c>
      <c r="C1558" s="4" t="n">
        <v>0.264706</v>
      </c>
      <c r="D1558" s="4" t="n">
        <v>0.356209</v>
      </c>
      <c r="E1558" s="63" t="n">
        <v>1</v>
      </c>
      <c r="F1558" s="63" t="n">
        <v>0.362856</v>
      </c>
      <c r="G1558" s="63" t="n">
        <v>0.022876</v>
      </c>
      <c r="H1558" s="63" t="n">
        <v>0.383073255147</v>
      </c>
      <c r="I1558" s="63" t="n">
        <v>0.485358677107</v>
      </c>
      <c r="J1558" s="63" t="n">
        <v>0.280787833187</v>
      </c>
      <c r="K1558" s="63" t="n">
        <v>2400.98</v>
      </c>
      <c r="L1558" s="63" t="n">
        <v>2352.87</v>
      </c>
      <c r="M1558" s="63" t="n">
        <v>2395.96</v>
      </c>
      <c r="N1558" s="54">
        <f>(M1559-M1558)/M1558</f>
        <v/>
      </c>
      <c r="O1558" s="54">
        <f>(M1562-M1558)/M1558</f>
        <v/>
      </c>
      <c r="P1558" s="4">
        <f>B1558-D1558</f>
        <v/>
      </c>
      <c r="Q1558" s="4">
        <f>AVERAGE(P1555:P1558)</f>
        <v/>
      </c>
      <c r="R1558" s="54">
        <f>(M1559-M1558)/M1558</f>
        <v/>
      </c>
      <c r="S1558" s="54">
        <f>(M1562-M1558)/M1558</f>
        <v/>
      </c>
      <c r="T1558" s="63">
        <f>IF(R1558&gt;0,1,"")</f>
        <v/>
      </c>
      <c r="U1558" s="63">
        <f>IF(S1558&gt;0,1,"")</f>
        <v/>
      </c>
    </row>
    <row r="1559">
      <c r="A1559" s="35" t="n">
        <v>42803</v>
      </c>
      <c r="B1559" s="4" t="n">
        <v>0.3</v>
      </c>
      <c r="C1559" s="4" t="n">
        <v>0.235</v>
      </c>
      <c r="D1559" s="4" t="n">
        <v>0.465</v>
      </c>
      <c r="E1559" s="63" t="n">
        <v>1</v>
      </c>
      <c r="F1559" s="63" t="n">
        <v>0.3458105</v>
      </c>
      <c r="G1559" s="63" t="n">
        <v>-0.165</v>
      </c>
      <c r="H1559" s="63" t="n">
        <v>0.383064534289</v>
      </c>
      <c r="I1559" s="63" t="n">
        <v>0.485318643402</v>
      </c>
      <c r="J1559" s="63" t="n">
        <v>0.280810425176</v>
      </c>
      <c r="K1559" s="63" t="n">
        <v>2400.98</v>
      </c>
      <c r="L1559" s="63" t="n">
        <v>2361.01</v>
      </c>
      <c r="M1559" s="63" t="n">
        <v>2362.98</v>
      </c>
      <c r="N1559" s="54">
        <f>(M1560-M1559)/M1559</f>
        <v/>
      </c>
      <c r="O1559" s="54">
        <f>(M1563-M1559)/M1559</f>
        <v/>
      </c>
      <c r="P1559" s="4">
        <f>B1559-D1559</f>
        <v/>
      </c>
      <c r="Q1559" s="4">
        <f>AVERAGE(P1556:P1559)</f>
        <v/>
      </c>
      <c r="R1559" s="54">
        <f>(M1560-M1559)/M1559</f>
        <v/>
      </c>
      <c r="S1559" s="54">
        <f>(M1563-M1559)/M1559</f>
        <v/>
      </c>
      <c r="T1559" s="63">
        <f>IF(R1559&gt;0,1,"")</f>
        <v/>
      </c>
      <c r="U1559" s="63">
        <f>IF(S1559&gt;0,1,"")</f>
        <v/>
      </c>
    </row>
    <row r="1560">
      <c r="A1560" s="35" t="n">
        <v>42810</v>
      </c>
      <c r="B1560" s="4" t="n">
        <v>0.311688</v>
      </c>
      <c r="C1560" s="4" t="n">
        <v>0.301299</v>
      </c>
      <c r="D1560" s="4" t="n">
        <v>0.387013</v>
      </c>
      <c r="E1560" s="63" t="n">
        <v>1</v>
      </c>
      <c r="F1560" s="63" t="n">
        <v>0.338511625</v>
      </c>
      <c r="G1560" s="63" t="n">
        <v>-0.075325</v>
      </c>
      <c r="H1560" s="63" t="n">
        <v>0.383002781308</v>
      </c>
      <c r="I1560" s="63" t="n">
        <v>0.485254943848</v>
      </c>
      <c r="J1560" s="63" t="n">
        <v>0.280750618769</v>
      </c>
      <c r="K1560" s="63" t="n">
        <v>2390.01</v>
      </c>
      <c r="L1560" s="63" t="n">
        <v>2354.54</v>
      </c>
      <c r="M1560" s="63" t="n">
        <v>2385.26</v>
      </c>
      <c r="N1560" s="54">
        <f>(M1561-M1560)/M1560</f>
        <v/>
      </c>
      <c r="O1560" s="54">
        <f>(M1564-M1560)/M1560</f>
        <v/>
      </c>
      <c r="P1560" s="4">
        <f>B1560-D1560</f>
        <v/>
      </c>
      <c r="Q1560" s="4">
        <f>AVERAGE(P1557:P1560)</f>
        <v/>
      </c>
      <c r="R1560" s="54">
        <f>(M1561-M1560)/M1560</f>
        <v/>
      </c>
      <c r="S1560" s="54">
        <f>(M1564-M1560)/M1560</f>
        <v/>
      </c>
      <c r="T1560" s="63">
        <f>IF(R1560&gt;0,1,"")</f>
        <v/>
      </c>
      <c r="U1560" s="63">
        <f>IF(S1560&gt;0,1,"")</f>
        <v/>
      </c>
    </row>
    <row r="1561">
      <c r="A1561" s="35" t="n">
        <v>42817</v>
      </c>
      <c r="B1561" s="4" t="n">
        <v>0.352785</v>
      </c>
      <c r="C1561" s="4" t="n">
        <v>0.342175</v>
      </c>
      <c r="D1561" s="4" t="n">
        <v>0.30504</v>
      </c>
      <c r="E1561" s="63" t="n">
        <v>1</v>
      </c>
      <c r="F1561" s="63" t="n">
        <v>0.343136125</v>
      </c>
      <c r="G1561" s="63" t="n">
        <v>0.047745</v>
      </c>
      <c r="H1561" s="63" t="n">
        <v>0.38297295765878</v>
      </c>
      <c r="I1561" s="63" t="n">
        <v>0.48520024788819</v>
      </c>
      <c r="J1561" s="63" t="n">
        <v>0.28074566742937</v>
      </c>
      <c r="K1561" s="63" t="n">
        <v>2390.01</v>
      </c>
      <c r="L1561" s="63" t="n">
        <v>2336.45</v>
      </c>
      <c r="M1561" s="63" t="n">
        <v>2348.45</v>
      </c>
      <c r="N1561" s="54">
        <f>(M1562-M1561)/M1561</f>
        <v/>
      </c>
      <c r="O1561" s="54">
        <f>(M1565-M1561)/M1561</f>
        <v/>
      </c>
      <c r="P1561" s="4">
        <f>B1561-D1561</f>
        <v/>
      </c>
      <c r="Q1561" s="4">
        <f>AVERAGE(P1558:P1561)</f>
        <v/>
      </c>
      <c r="R1561" s="54">
        <f>(M1562-M1561)/M1561</f>
        <v/>
      </c>
      <c r="S1561" s="54">
        <f>(M1565-M1561)/M1561</f>
        <v/>
      </c>
      <c r="T1561" s="63">
        <f>IF(R1561&gt;0,1,"")</f>
        <v/>
      </c>
      <c r="U1561" s="63">
        <f>IF(S1561&gt;0,1,"")</f>
        <v/>
      </c>
    </row>
    <row r="1562">
      <c r="A1562" s="35" t="n">
        <v>42824</v>
      </c>
      <c r="B1562" s="4" t="n">
        <v>0.302181</v>
      </c>
      <c r="C1562" s="4" t="n">
        <v>0.323988</v>
      </c>
      <c r="D1562" s="4" t="n">
        <v>0.373832</v>
      </c>
      <c r="E1562" s="63" t="n">
        <v>1.000001</v>
      </c>
      <c r="F1562" s="63" t="n">
        <v>0.339911</v>
      </c>
      <c r="G1562" s="63" t="n">
        <v>-0.07165100000000001</v>
      </c>
      <c r="H1562" s="63" t="n">
        <v>0.38296286558805</v>
      </c>
      <c r="I1562" s="63" t="n">
        <v>0.48515912496331</v>
      </c>
      <c r="J1562" s="63" t="n">
        <v>0.2807666062128</v>
      </c>
      <c r="K1562" s="63" t="n">
        <v>2363.78</v>
      </c>
      <c r="L1562" s="63" t="n">
        <v>2322.25</v>
      </c>
      <c r="M1562" s="63" t="n">
        <v>2361.13</v>
      </c>
      <c r="N1562" s="54">
        <f>(M1563-M1562)/M1562</f>
        <v/>
      </c>
      <c r="O1562" s="54">
        <f>(M1566-M1562)/M1562</f>
        <v/>
      </c>
      <c r="P1562" s="4">
        <f>B1562-D1562</f>
        <v/>
      </c>
      <c r="Q1562" s="4">
        <f>AVERAGE(P1559:P1562)</f>
        <v/>
      </c>
      <c r="R1562" s="54">
        <f>(M1563-M1562)/M1562</f>
        <v/>
      </c>
      <c r="S1562" s="54">
        <f>(M1566-M1562)/M1562</f>
        <v/>
      </c>
      <c r="T1562" s="63">
        <f>IF(R1562&gt;0,1,"")</f>
        <v/>
      </c>
      <c r="U1562" s="63">
        <f>IF(S1562&gt;0,1,"")</f>
        <v/>
      </c>
    </row>
    <row r="1563">
      <c r="A1563" s="35" t="n">
        <v>42831</v>
      </c>
      <c r="B1563" s="4" t="n">
        <v>0.283019</v>
      </c>
      <c r="C1563" s="4" t="n">
        <v>0.320755</v>
      </c>
      <c r="D1563" s="4" t="n">
        <v>0.396226</v>
      </c>
      <c r="E1563" s="63" t="n">
        <v>1</v>
      </c>
      <c r="F1563" s="63" t="n">
        <v>0.33053525</v>
      </c>
      <c r="G1563" s="63" t="n">
        <v>-0.113207</v>
      </c>
      <c r="H1563" s="63" t="n">
        <v>0.38296451865672</v>
      </c>
      <c r="I1563" s="63" t="n">
        <v>0.48512899737046</v>
      </c>
      <c r="J1563" s="63" t="n">
        <v>0.28080003994297</v>
      </c>
      <c r="K1563" s="63" t="n">
        <v>2378.36</v>
      </c>
      <c r="L1563" s="63" t="n">
        <v>2344.73</v>
      </c>
      <c r="M1563" s="63" t="n">
        <v>2352.95</v>
      </c>
      <c r="N1563" s="54">
        <f>(M1564-M1563)/M1563</f>
        <v/>
      </c>
      <c r="O1563" s="54">
        <f>(M1567-M1563)/M1563</f>
        <v/>
      </c>
      <c r="P1563" s="4">
        <f>B1563-D1563</f>
        <v/>
      </c>
      <c r="Q1563" s="4">
        <f>AVERAGE(P1560:P1563)</f>
        <v/>
      </c>
      <c r="R1563" s="54">
        <f>(M1564-M1563)/M1563</f>
        <v/>
      </c>
      <c r="S1563" s="54">
        <f>(M1567-M1563)/M1563</f>
        <v/>
      </c>
      <c r="T1563" s="63">
        <f>IF(R1563&gt;0,1,"")</f>
        <v/>
      </c>
      <c r="U1563" s="63">
        <f>IF(S1563&gt;0,1,"")</f>
        <v/>
      </c>
    </row>
    <row r="1564">
      <c r="A1564" s="35" t="n">
        <v>42838</v>
      </c>
      <c r="B1564" s="4" t="n">
        <v>0.28972</v>
      </c>
      <c r="C1564" s="4" t="n">
        <v>0.336449</v>
      </c>
      <c r="D1564" s="4" t="n">
        <v>0.373832</v>
      </c>
      <c r="E1564" s="63" t="n">
        <v>1.000001</v>
      </c>
      <c r="F1564" s="63" t="n">
        <v>0.325386625</v>
      </c>
      <c r="G1564" s="63" t="n">
        <v>-0.08411200000000001</v>
      </c>
      <c r="H1564" s="63" t="n">
        <v>0.38294414356743</v>
      </c>
      <c r="I1564" s="63" t="n">
        <v>0.48508011982062</v>
      </c>
      <c r="J1564" s="63" t="n">
        <v>0.28080816731425</v>
      </c>
      <c r="K1564" s="63" t="n">
        <v>2378.36</v>
      </c>
      <c r="L1564" s="63" t="n">
        <v>2337.25</v>
      </c>
      <c r="M1564" s="63" t="n">
        <v>2344.93</v>
      </c>
      <c r="N1564" s="54">
        <f>(M1565-M1564)/M1564</f>
        <v/>
      </c>
      <c r="O1564" s="54">
        <f>(M1568-M1564)/M1564</f>
        <v/>
      </c>
      <c r="P1564" s="4">
        <f>B1564-D1564</f>
        <v/>
      </c>
      <c r="Q1564" s="4">
        <f>AVERAGE(P1561:P1564)</f>
        <v/>
      </c>
      <c r="R1564" s="54">
        <f>(M1565-M1564)/M1564</f>
        <v/>
      </c>
      <c r="S1564" s="54">
        <f>(M1568-M1564)/M1564</f>
        <v/>
      </c>
      <c r="T1564" s="63">
        <f>IF(R1564&gt;0,1,"")</f>
        <v/>
      </c>
      <c r="U1564" s="63">
        <f>IF(S1564&gt;0,1,"")</f>
        <v/>
      </c>
    </row>
    <row r="1565">
      <c r="A1565" s="35" t="n">
        <v>42845</v>
      </c>
      <c r="B1565" s="4" t="n">
        <v>0.257062</v>
      </c>
      <c r="C1565" s="4" t="n">
        <v>0.355932</v>
      </c>
      <c r="D1565" s="4" t="n">
        <v>0.387006</v>
      </c>
      <c r="E1565" s="63" t="n">
        <v>1</v>
      </c>
      <c r="F1565" s="63" t="n">
        <v>0.3094425</v>
      </c>
      <c r="G1565" s="63" t="n">
        <v>-0.129944</v>
      </c>
      <c r="H1565" s="63" t="n">
        <v>0.38294809937888</v>
      </c>
      <c r="I1565" s="63" t="n">
        <v>0.48505245511196</v>
      </c>
      <c r="J1565" s="63" t="n">
        <v>0.2808437436458</v>
      </c>
      <c r="K1565" s="63" t="n">
        <v>2355.22</v>
      </c>
      <c r="L1565" s="63" t="n">
        <v>2328.95</v>
      </c>
      <c r="M1565" s="63" t="n">
        <v>2338.17</v>
      </c>
      <c r="N1565" s="54">
        <f>(M1566-M1565)/M1565</f>
        <v/>
      </c>
      <c r="O1565" s="54">
        <f>(M1569-M1565)/M1565</f>
        <v/>
      </c>
      <c r="P1565" s="4">
        <f>B1565-D1565</f>
        <v/>
      </c>
      <c r="Q1565" s="4">
        <f>AVERAGE(P1562:P1565)</f>
        <v/>
      </c>
      <c r="R1565" s="54">
        <f>(M1566-M1565)/M1565</f>
        <v/>
      </c>
      <c r="S1565" s="54">
        <f>(M1569-M1565)/M1565</f>
        <v/>
      </c>
      <c r="T1565" s="63">
        <f>IF(R1565&gt;0,1,"")</f>
        <v/>
      </c>
      <c r="U1565" s="63">
        <f>IF(S1565&gt;0,1,"")</f>
        <v/>
      </c>
    </row>
    <row r="1566">
      <c r="A1566" s="35" t="n">
        <v>42852</v>
      </c>
      <c r="B1566" s="4" t="n">
        <v>0.380488</v>
      </c>
      <c r="C1566" s="4" t="n">
        <v>0.302439</v>
      </c>
      <c r="D1566" s="4" t="n">
        <v>0.317073</v>
      </c>
      <c r="E1566" s="63" t="n">
        <v>1</v>
      </c>
      <c r="F1566" s="63" t="n">
        <v>0.309617875</v>
      </c>
      <c r="G1566" s="63" t="n">
        <v>0.063415</v>
      </c>
      <c r="H1566" s="63" t="n">
        <v>0.38298835630044</v>
      </c>
      <c r="I1566" s="63" t="n">
        <v>0.48507378590123</v>
      </c>
      <c r="J1566" s="63" t="n">
        <v>0.28090292669965</v>
      </c>
      <c r="K1566" s="63" t="n">
        <v>2398.16</v>
      </c>
      <c r="L1566" s="63" t="n">
        <v>2335.05</v>
      </c>
      <c r="M1566" s="63" t="n">
        <v>2387.45</v>
      </c>
      <c r="N1566" s="54">
        <f>(M1567-M1566)/M1566</f>
        <v/>
      </c>
      <c r="O1566" s="54">
        <f>(M1570-M1566)/M1566</f>
        <v/>
      </c>
      <c r="P1566" s="4">
        <f>B1566-D1566</f>
        <v/>
      </c>
      <c r="Q1566" s="4">
        <f>AVERAGE(P1563:P1566)</f>
        <v/>
      </c>
      <c r="R1566" s="54">
        <f>(M1567-M1566)/M1566</f>
        <v/>
      </c>
      <c r="S1566" s="54">
        <f>(M1570-M1566)/M1566</f>
        <v/>
      </c>
      <c r="T1566" s="63">
        <f>IF(R1566&gt;0,1,"")</f>
        <v/>
      </c>
      <c r="U1566" s="63">
        <f>IF(S1566&gt;0,1,"")</f>
        <v/>
      </c>
    </row>
    <row r="1567">
      <c r="A1567" s="35" t="n">
        <v>42859</v>
      </c>
      <c r="B1567" s="4" t="n">
        <v>0.380711</v>
      </c>
      <c r="C1567" s="4" t="n">
        <v>0.319797</v>
      </c>
      <c r="D1567" s="4" t="n">
        <v>0.299492</v>
      </c>
      <c r="E1567" s="63" t="n">
        <v>1</v>
      </c>
      <c r="F1567" s="63" t="n">
        <v>0.31970675</v>
      </c>
      <c r="G1567" s="63" t="n">
        <v>0.081219</v>
      </c>
      <c r="H1567" s="63" t="n">
        <v>0.38299096091812</v>
      </c>
      <c r="I1567" s="63" t="n">
        <v>0.48504475530935</v>
      </c>
      <c r="J1567" s="63" t="n">
        <v>0.28093716652688</v>
      </c>
      <c r="K1567" s="63" t="n">
        <v>2398.16</v>
      </c>
      <c r="L1567" s="63" t="n">
        <v>2379.75</v>
      </c>
      <c r="M1567" s="63" t="n">
        <v>2388.13</v>
      </c>
      <c r="N1567" s="54">
        <f>(M1568-M1567)/M1567</f>
        <v/>
      </c>
      <c r="O1567" s="54">
        <f>(M1571-M1567)/M1567</f>
        <v/>
      </c>
      <c r="P1567" s="4">
        <f>B1567-D1567</f>
        <v/>
      </c>
      <c r="Q1567" s="4">
        <f>AVERAGE(P1564:P1567)</f>
        <v/>
      </c>
      <c r="R1567" s="54">
        <f>(M1568-M1567)/M1567</f>
        <v/>
      </c>
      <c r="S1567" s="54">
        <f>(M1571-M1567)/M1567</f>
        <v/>
      </c>
      <c r="T1567" s="63">
        <f>IF(R1567&gt;0,1,"")</f>
        <v/>
      </c>
      <c r="U1567" s="63">
        <f>IF(S1567&gt;0,1,"")</f>
        <v/>
      </c>
    </row>
    <row r="1568">
      <c r="A1568" s="35" t="n">
        <v>42866</v>
      </c>
      <c r="B1568" s="4" t="n">
        <v>0.327338</v>
      </c>
      <c r="C1568" s="4" t="n">
        <v>0.370504</v>
      </c>
      <c r="D1568" s="4" t="n">
        <v>0.302158</v>
      </c>
      <c r="E1568" s="63" t="n">
        <v>1</v>
      </c>
      <c r="F1568" s="63" t="n">
        <v>0.321663</v>
      </c>
      <c r="G1568" s="63" t="n">
        <v>0.02518</v>
      </c>
      <c r="H1568" s="63" t="n">
        <v>0.38292988964662</v>
      </c>
      <c r="I1568" s="63" t="n">
        <v>0.4849815042946</v>
      </c>
      <c r="J1568" s="63" t="n">
        <v>0.28087827499864</v>
      </c>
      <c r="K1568" s="63" t="n">
        <v>2403.87</v>
      </c>
      <c r="L1568" s="63" t="n">
        <v>2379.75</v>
      </c>
      <c r="M1568" s="63" t="n">
        <v>2399.63</v>
      </c>
      <c r="N1568" s="54">
        <f>(M1569-M1568)/M1568</f>
        <v/>
      </c>
      <c r="O1568" s="54">
        <f>(M1572-M1568)/M1568</f>
        <v/>
      </c>
      <c r="P1568" s="4">
        <f>B1568-D1568</f>
        <v/>
      </c>
      <c r="Q1568" s="4">
        <f>AVERAGE(P1565:P1568)</f>
        <v/>
      </c>
      <c r="R1568" s="54">
        <f>(M1569-M1568)/M1568</f>
        <v/>
      </c>
      <c r="S1568" s="54">
        <f>(M1572-M1568)/M1568</f>
        <v/>
      </c>
      <c r="T1568" s="63">
        <f>IF(R1568&gt;0,1,"")</f>
        <v/>
      </c>
      <c r="U1568" s="63">
        <f>IF(S1568&gt;0,1,"")</f>
        <v/>
      </c>
    </row>
    <row r="1569">
      <c r="A1569" s="35" t="n">
        <v>42873</v>
      </c>
      <c r="B1569" s="4" t="n">
        <v>0.238532</v>
      </c>
      <c r="C1569" s="4" t="n">
        <v>0.41896</v>
      </c>
      <c r="D1569" s="4" t="n">
        <v>0.342508</v>
      </c>
      <c r="E1569" s="63" t="n">
        <v>1</v>
      </c>
      <c r="F1569" s="63" t="n">
        <v>0.307381375</v>
      </c>
      <c r="G1569" s="63" t="n">
        <v>-0.103976</v>
      </c>
      <c r="H1569" s="63" t="n">
        <v>0.38286521933086</v>
      </c>
      <c r="I1569" s="63" t="n">
        <v>0.48491827210669</v>
      </c>
      <c r="J1569" s="63" t="n">
        <v>0.28081216655502</v>
      </c>
      <c r="K1569" s="63" t="n">
        <v>2405.77</v>
      </c>
      <c r="L1569" s="63" t="n">
        <v>2356.21</v>
      </c>
      <c r="M1569" s="63" t="n">
        <v>2357.03</v>
      </c>
      <c r="N1569" s="54">
        <f>(M1570-M1569)/M1569</f>
        <v/>
      </c>
      <c r="O1569" s="54">
        <f>(M1573-M1569)/M1569</f>
        <v/>
      </c>
      <c r="P1569" s="4">
        <f>B1569-D1569</f>
        <v/>
      </c>
      <c r="Q1569" s="4">
        <f>AVERAGE(P1566:P1569)</f>
        <v/>
      </c>
      <c r="R1569" s="54">
        <f>(M1570-M1569)/M1569</f>
        <v/>
      </c>
      <c r="S1569" s="54">
        <f>(M1573-M1569)/M1569</f>
        <v/>
      </c>
      <c r="T1569" s="63">
        <f>IF(R1569&gt;0,1,"")</f>
        <v/>
      </c>
      <c r="U1569" s="63">
        <f>IF(S1569&gt;0,1,"")</f>
        <v/>
      </c>
    </row>
    <row r="1570">
      <c r="A1570" s="35" t="n">
        <v>42880</v>
      </c>
      <c r="B1570" s="4" t="n">
        <v>0.328571</v>
      </c>
      <c r="C1570" s="4" t="n">
        <v>0.371429</v>
      </c>
      <c r="D1570" s="4" t="n">
        <v>0.3</v>
      </c>
      <c r="E1570" s="63" t="n">
        <v>1</v>
      </c>
      <c r="F1570" s="63" t="n">
        <v>0.310680125</v>
      </c>
      <c r="G1570" s="63" t="n">
        <v>0.028571</v>
      </c>
      <c r="H1570" s="63" t="n">
        <v>0.38289471950465</v>
      </c>
      <c r="I1570" s="63" t="n">
        <v>0.48492304031423</v>
      </c>
      <c r="J1570" s="63" t="n">
        <v>0.28086639869506</v>
      </c>
      <c r="K1570" s="63" t="n">
        <v>2405.58</v>
      </c>
      <c r="L1570" s="63" t="n">
        <v>2352.72</v>
      </c>
      <c r="M1570" s="63" t="n">
        <v>2404.39</v>
      </c>
      <c r="N1570" s="54">
        <f>(M1571-M1570)/M1570</f>
        <v/>
      </c>
      <c r="O1570" s="54">
        <f>(M1574-M1570)/M1570</f>
        <v/>
      </c>
      <c r="P1570" s="4">
        <f>B1570-D1570</f>
        <v/>
      </c>
      <c r="Q1570" s="4">
        <f>AVERAGE(P1567:P1570)</f>
        <v/>
      </c>
      <c r="R1570" s="54">
        <f>(M1571-M1570)/M1570</f>
        <v/>
      </c>
      <c r="S1570" s="54">
        <f>(M1574-M1570)/M1570</f>
        <v/>
      </c>
      <c r="T1570" s="63">
        <f>IF(R1570&gt;0,1,"")</f>
        <v/>
      </c>
      <c r="U1570" s="63">
        <f>IF(S1570&gt;0,1,"")</f>
        <v/>
      </c>
    </row>
    <row r="1571">
      <c r="A1571" s="35" t="n">
        <v>42887</v>
      </c>
      <c r="B1571" s="4" t="n">
        <v>0.269231</v>
      </c>
      <c r="C1571" s="4" t="n">
        <v>0.415385</v>
      </c>
      <c r="D1571" s="4" t="n">
        <v>0.315385</v>
      </c>
      <c r="E1571" s="63" t="n">
        <v>1.000001</v>
      </c>
      <c r="F1571" s="63" t="n">
        <v>0.308956625</v>
      </c>
      <c r="G1571" s="63" t="n">
        <v>-0.046154</v>
      </c>
      <c r="H1571" s="63" t="n">
        <v>0.38287228032178</v>
      </c>
      <c r="I1571" s="63" t="n">
        <v>0.48487299721854</v>
      </c>
      <c r="J1571" s="63" t="n">
        <v>0.28087156342502</v>
      </c>
      <c r="K1571" s="63" t="n">
        <v>2418.71</v>
      </c>
      <c r="L1571" s="63" t="n">
        <v>2393.88</v>
      </c>
      <c r="M1571" s="63" t="n">
        <v>2411.8</v>
      </c>
      <c r="N1571" s="54">
        <f>(M1572-M1571)/M1571</f>
        <v/>
      </c>
      <c r="O1571" s="54">
        <f>(M1575-M1571)/M1571</f>
        <v/>
      </c>
      <c r="P1571" s="4">
        <f>B1571-D1571</f>
        <v/>
      </c>
      <c r="Q1571" s="4">
        <f>AVERAGE(P1568:P1571)</f>
        <v/>
      </c>
      <c r="R1571" s="54">
        <f>(M1572-M1571)/M1571</f>
        <v/>
      </c>
      <c r="S1571" s="54">
        <f>(M1575-M1571)/M1571</f>
        <v/>
      </c>
      <c r="T1571" s="63">
        <f>IF(R1571&gt;0,1,"")</f>
        <v/>
      </c>
      <c r="U1571" s="63">
        <f>IF(S1571&gt;0,1,"")</f>
        <v/>
      </c>
    </row>
    <row r="1572">
      <c r="A1572" s="35" t="n">
        <v>42894</v>
      </c>
      <c r="B1572" s="4" t="n">
        <v>0.354331</v>
      </c>
      <c r="C1572" s="4" t="n">
        <v>0.350394</v>
      </c>
      <c r="D1572" s="4" t="n">
        <v>0.295276</v>
      </c>
      <c r="E1572" s="63" t="n">
        <v>1.000001</v>
      </c>
      <c r="F1572" s="63" t="n">
        <v>0.317033</v>
      </c>
      <c r="G1572" s="63" t="n">
        <v>0.059055</v>
      </c>
      <c r="H1572" s="63" t="n">
        <v>0.38283044032158</v>
      </c>
      <c r="I1572" s="63" t="n">
        <v>0.4848134719253</v>
      </c>
      <c r="J1572" s="63" t="n">
        <v>0.28084740871787</v>
      </c>
      <c r="K1572" s="63" t="n">
        <v>2440.23</v>
      </c>
      <c r="L1572" s="63" t="n">
        <v>2403.59</v>
      </c>
      <c r="M1572" s="63" t="n">
        <v>2433.14</v>
      </c>
      <c r="N1572" s="54">
        <f>(M1573-M1572)/M1572</f>
        <v/>
      </c>
      <c r="O1572" s="54">
        <f>(M1576-M1572)/M1572</f>
        <v/>
      </c>
      <c r="P1572" s="4">
        <f>B1572-D1572</f>
        <v/>
      </c>
      <c r="Q1572" s="4">
        <f>AVERAGE(P1569:P1572)</f>
        <v/>
      </c>
      <c r="R1572" s="54">
        <f>(M1573-M1572)/M1572</f>
        <v/>
      </c>
      <c r="S1572" s="54">
        <f>(M1576-M1572)/M1572</f>
        <v/>
      </c>
      <c r="T1572" s="63">
        <f>IF(R1572&gt;0,1,"")</f>
        <v/>
      </c>
      <c r="U1572" s="63">
        <f>IF(S1572&gt;0,1,"")</f>
        <v/>
      </c>
    </row>
    <row r="1573">
      <c r="A1573" s="35" t="n">
        <v>42901</v>
      </c>
      <c r="B1573" s="4" t="n">
        <v>0.322709</v>
      </c>
      <c r="C1573" s="4" t="n">
        <v>0.38247</v>
      </c>
      <c r="D1573" s="4" t="n">
        <v>0.294821</v>
      </c>
      <c r="E1573" s="63" t="n">
        <v>1</v>
      </c>
      <c r="F1573" s="63" t="n">
        <v>0.325238875</v>
      </c>
      <c r="G1573" s="63" t="n">
        <v>0.027888</v>
      </c>
      <c r="H1573" s="63" t="n">
        <v>0.38277374969098</v>
      </c>
      <c r="I1573" s="63" t="n">
        <v>0.48475074077914</v>
      </c>
      <c r="J1573" s="63" t="n">
        <v>0.28079675860282</v>
      </c>
      <c r="K1573" s="63" t="n">
        <v>2446.2</v>
      </c>
      <c r="L1573" s="63" t="n">
        <v>2415.7</v>
      </c>
      <c r="M1573" s="63" t="n">
        <v>2437.92</v>
      </c>
      <c r="N1573" s="54">
        <f>(M1574-M1573)/M1573</f>
        <v/>
      </c>
      <c r="O1573" s="54">
        <f>(M1577-M1573)/M1573</f>
        <v/>
      </c>
      <c r="P1573" s="4">
        <f>B1573-D1573</f>
        <v/>
      </c>
      <c r="Q1573" s="4">
        <f>AVERAGE(P1570:P1573)</f>
        <v/>
      </c>
      <c r="R1573" s="54">
        <f>(M1574-M1573)/M1573</f>
        <v/>
      </c>
      <c r="S1573" s="54">
        <f>(M1577-M1573)/M1573</f>
        <v/>
      </c>
      <c r="T1573" s="63">
        <f>IF(R1573&gt;0,1,"")</f>
        <v/>
      </c>
      <c r="U1573" s="63">
        <f>IF(S1573&gt;0,1,"")</f>
        <v/>
      </c>
    </row>
    <row r="1574">
      <c r="A1574" s="35" t="n">
        <v>42908</v>
      </c>
      <c r="B1574" s="4" t="n">
        <v>0.326531</v>
      </c>
      <c r="C1574" s="4" t="n">
        <v>0.384354</v>
      </c>
      <c r="D1574" s="4" t="n">
        <v>0.289116</v>
      </c>
      <c r="E1574" s="63" t="n">
        <v>1.000001</v>
      </c>
      <c r="F1574" s="63" t="n">
        <v>0.31849425</v>
      </c>
      <c r="G1574" s="63" t="n">
        <v>0.037415</v>
      </c>
      <c r="H1574" s="63" t="n">
        <v>0.3827619289685</v>
      </c>
      <c r="I1574" s="63" t="n">
        <v>0.48470851141932</v>
      </c>
      <c r="J1574" s="63" t="n">
        <v>0.28081534651768</v>
      </c>
      <c r="K1574" s="63" t="n">
        <v>2453.82</v>
      </c>
      <c r="L1574" s="63" t="n">
        <v>2418.53</v>
      </c>
      <c r="M1574" s="63" t="n">
        <v>2435.61</v>
      </c>
      <c r="N1574" s="54">
        <f>(M1575-M1574)/M1574</f>
        <v/>
      </c>
      <c r="O1574" s="54">
        <f>(M1578-M1574)/M1574</f>
        <v/>
      </c>
      <c r="P1574" s="4">
        <f>B1574-D1574</f>
        <v/>
      </c>
      <c r="Q1574" s="4">
        <f>AVERAGE(P1571:P1574)</f>
        <v/>
      </c>
      <c r="R1574" s="54">
        <f>(M1575-M1574)/M1574</f>
        <v/>
      </c>
      <c r="S1574" s="54">
        <f>(M1578-M1574)/M1574</f>
        <v/>
      </c>
      <c r="T1574" s="63">
        <f>IF(R1574&gt;0,1,"")</f>
        <v/>
      </c>
      <c r="U1574" s="63">
        <f>IF(S1574&gt;0,1,"")</f>
        <v/>
      </c>
    </row>
    <row r="1575">
      <c r="A1575" s="35" t="n">
        <v>42915</v>
      </c>
      <c r="B1575" s="4" t="n">
        <v>0.297143</v>
      </c>
      <c r="C1575" s="4" t="n">
        <v>0.434286</v>
      </c>
      <c r="D1575" s="4" t="n">
        <v>0.268571</v>
      </c>
      <c r="E1575" s="63" t="n">
        <v>1</v>
      </c>
      <c r="F1575" s="63" t="n">
        <v>0.30804825</v>
      </c>
      <c r="G1575" s="63" t="n">
        <v>0.028572</v>
      </c>
      <c r="H1575" s="63" t="n">
        <v>0.38274892901235</v>
      </c>
      <c r="I1575" s="63" t="n">
        <v>0.48466536532954</v>
      </c>
      <c r="J1575" s="63" t="n">
        <v>0.28083249269515</v>
      </c>
      <c r="K1575" s="63" t="n">
        <v>2450.42</v>
      </c>
      <c r="L1575" s="63" t="n">
        <v>2419.38</v>
      </c>
      <c r="M1575" s="63" t="n">
        <v>2440.69</v>
      </c>
      <c r="N1575" s="54">
        <f>(M1576-M1575)/M1575</f>
        <v/>
      </c>
      <c r="O1575" s="54">
        <f>(M1579-M1575)/M1575</f>
        <v/>
      </c>
      <c r="P1575" s="4">
        <f>B1575-D1575</f>
        <v/>
      </c>
      <c r="Q1575" s="4">
        <f>AVERAGE(P1572:P1575)</f>
        <v/>
      </c>
      <c r="R1575" s="54">
        <f>(M1576-M1575)/M1575</f>
        <v/>
      </c>
      <c r="S1575" s="54">
        <f>(M1579-M1575)/M1575</f>
        <v/>
      </c>
      <c r="T1575" s="63">
        <f>IF(R1575&gt;0,1,"")</f>
        <v/>
      </c>
      <c r="U1575" s="63">
        <f>IF(S1575&gt;0,1,"")</f>
        <v/>
      </c>
    </row>
    <row r="1576">
      <c r="A1576" s="35" t="n">
        <v>42922</v>
      </c>
      <c r="B1576" s="4" t="n">
        <v>0.295775</v>
      </c>
      <c r="C1576" s="4" t="n">
        <v>0.405634</v>
      </c>
      <c r="D1576" s="4" t="n">
        <v>0.298592</v>
      </c>
      <c r="E1576" s="63" t="n">
        <v>1.000001</v>
      </c>
      <c r="F1576" s="63" t="n">
        <v>0.304102875</v>
      </c>
      <c r="G1576" s="63" t="n">
        <v>-0.002817</v>
      </c>
      <c r="H1576" s="63" t="n">
        <v>0.38275008019741</v>
      </c>
      <c r="I1576" s="63" t="n">
        <v>0.48463506651086</v>
      </c>
      <c r="J1576" s="63" t="n">
        <v>0.28086509388396</v>
      </c>
      <c r="K1576" s="63" t="n">
        <v>2442.97</v>
      </c>
      <c r="L1576" s="63" t="n">
        <v>2405.7</v>
      </c>
      <c r="M1576" s="63" t="n">
        <v>2432.54</v>
      </c>
      <c r="N1576" s="54">
        <f>(M1577-M1576)/M1576</f>
        <v/>
      </c>
      <c r="O1576" s="54">
        <f>(M1580-M1576)/M1576</f>
        <v/>
      </c>
      <c r="P1576" s="4">
        <f>B1576-D1576</f>
        <v/>
      </c>
      <c r="Q1576" s="4">
        <f>AVERAGE(P1573:P1576)</f>
        <v/>
      </c>
      <c r="R1576" s="54">
        <f>(M1577-M1576)/M1576</f>
        <v/>
      </c>
      <c r="S1576" s="54">
        <f>(M1580-M1576)/M1576</f>
        <v/>
      </c>
      <c r="T1576" s="63">
        <f>IF(R1576&gt;0,1,"")</f>
        <v/>
      </c>
      <c r="U1576" s="63">
        <f>IF(S1576&gt;0,1,"")</f>
        <v/>
      </c>
    </row>
    <row r="1577">
      <c r="A1577" s="35" t="n">
        <v>42929</v>
      </c>
      <c r="B1577" s="4" t="n">
        <v>0.282407</v>
      </c>
      <c r="C1577" s="4" t="n">
        <v>0.421296</v>
      </c>
      <c r="D1577" s="4" t="n">
        <v>0.296296</v>
      </c>
      <c r="E1577" s="63" t="n">
        <v>0.999999</v>
      </c>
      <c r="F1577" s="63" t="n">
        <v>0.30958725</v>
      </c>
      <c r="G1577" s="63" t="n">
        <v>-0.013889</v>
      </c>
      <c r="H1577" s="63" t="n">
        <v>0.38278226818742</v>
      </c>
      <c r="I1577" s="63" t="n">
        <v>0.48464407232449</v>
      </c>
      <c r="J1577" s="63" t="n">
        <v>0.28092046405036</v>
      </c>
      <c r="K1577" s="63" t="n">
        <v>2445.76</v>
      </c>
      <c r="L1577" s="63" t="n">
        <v>2407.7</v>
      </c>
      <c r="M1577" s="63" t="n">
        <v>2443.25</v>
      </c>
      <c r="N1577" s="54">
        <f>(M1578-M1577)/M1577</f>
        <v/>
      </c>
      <c r="O1577" s="54">
        <f>(M1581-M1577)/M1577</f>
        <v/>
      </c>
      <c r="P1577" s="4">
        <f>B1577-D1577</f>
        <v/>
      </c>
      <c r="Q1577" s="4">
        <f>AVERAGE(P1574:P1577)</f>
        <v/>
      </c>
      <c r="R1577" s="54">
        <f>(M1578-M1577)/M1577</f>
        <v/>
      </c>
      <c r="S1577" s="54">
        <f>(M1581-M1577)/M1577</f>
        <v/>
      </c>
      <c r="T1577" s="63">
        <f>IF(R1577&gt;0,1,"")</f>
        <v/>
      </c>
      <c r="U1577" s="63">
        <f>IF(S1577&gt;0,1,"")</f>
        <v/>
      </c>
    </row>
    <row r="1578">
      <c r="A1578" s="35" t="n">
        <v>42936</v>
      </c>
      <c r="B1578" s="4" t="n">
        <v>0.354839</v>
      </c>
      <c r="C1578" s="4" t="n">
        <v>0.387097</v>
      </c>
      <c r="D1578" s="4" t="n">
        <v>0.258065</v>
      </c>
      <c r="E1578" s="63" t="n">
        <v>1.000001</v>
      </c>
      <c r="F1578" s="63" t="n">
        <v>0.31287075</v>
      </c>
      <c r="G1578" s="63" t="n">
        <v>0.096774</v>
      </c>
      <c r="H1578" s="63" t="n">
        <v>0.38280656869994</v>
      </c>
      <c r="I1578" s="63" t="n">
        <v>0.48464167371601</v>
      </c>
      <c r="J1578" s="63" t="n">
        <v>0.28097146368387</v>
      </c>
      <c r="K1578" s="63" t="n">
        <v>2473.83</v>
      </c>
      <c r="L1578" s="63" t="n">
        <v>2435.75</v>
      </c>
      <c r="M1578" s="63" t="n">
        <v>2473.83</v>
      </c>
      <c r="N1578" s="54">
        <f>(M1579-M1578)/M1578</f>
        <v/>
      </c>
      <c r="O1578" s="54">
        <f>(M1582-M1578)/M1578</f>
        <v/>
      </c>
      <c r="P1578" s="4">
        <f>B1578-D1578</f>
        <v/>
      </c>
      <c r="Q1578" s="4">
        <f>AVERAGE(P1575:P1578)</f>
        <v/>
      </c>
      <c r="R1578" s="54">
        <f>(M1579-M1578)/M1578</f>
        <v/>
      </c>
      <c r="S1578" s="54">
        <f>(M1582-M1578)/M1578</f>
        <v/>
      </c>
      <c r="T1578" s="63">
        <f>IF(R1578&gt;0,1,"")</f>
        <v/>
      </c>
      <c r="U1578" s="63">
        <f>IF(S1578&gt;0,1,"")</f>
        <v/>
      </c>
    </row>
    <row r="1579">
      <c r="A1579" s="35" t="n">
        <v>42943</v>
      </c>
      <c r="B1579" s="4" t="n">
        <v>0.344595</v>
      </c>
      <c r="C1579" s="4" t="n">
        <v>0.412162</v>
      </c>
      <c r="D1579" s="4" t="n">
        <v>0.243243</v>
      </c>
      <c r="E1579" s="63" t="n">
        <v>1</v>
      </c>
      <c r="F1579" s="63" t="n">
        <v>0.32229125</v>
      </c>
      <c r="G1579" s="63" t="n">
        <v>0.101352</v>
      </c>
      <c r="H1579" s="63" t="n">
        <v>0.38276844642857</v>
      </c>
      <c r="I1579" s="63" t="n">
        <v>0.48458376523351</v>
      </c>
      <c r="J1579" s="63" t="n">
        <v>0.28095312762363</v>
      </c>
      <c r="K1579" s="63" t="n">
        <v>2481.69</v>
      </c>
      <c r="L1579" s="63" t="n">
        <v>2463.85</v>
      </c>
      <c r="M1579" s="63" t="n">
        <v>2477.83</v>
      </c>
      <c r="N1579" s="54">
        <f>(M1580-M1579)/M1579</f>
        <v/>
      </c>
      <c r="O1579" s="54">
        <f>(M1583-M1579)/M1579</f>
        <v/>
      </c>
      <c r="P1579" s="4">
        <f>B1579-D1579</f>
        <v/>
      </c>
      <c r="Q1579" s="4">
        <f>AVERAGE(P1576:P1579)</f>
        <v/>
      </c>
      <c r="R1579" s="54">
        <f>(M1580-M1579)/M1579</f>
        <v/>
      </c>
      <c r="S1579" s="54">
        <f>(M1583-M1579)/M1579</f>
        <v/>
      </c>
      <c r="T1579" s="63">
        <f>IF(R1579&gt;0,1,"")</f>
        <v/>
      </c>
      <c r="U1579" s="63">
        <f>IF(S1579&gt;0,1,"")</f>
        <v/>
      </c>
    </row>
    <row r="1580">
      <c r="A1580" s="35" t="n">
        <v>42950</v>
      </c>
      <c r="B1580" s="4" t="n">
        <v>0.361111</v>
      </c>
      <c r="C1580" s="4" t="n">
        <v>0.317901</v>
      </c>
      <c r="D1580" s="4" t="n">
        <v>0.320988</v>
      </c>
      <c r="E1580" s="63" t="n">
        <v>1</v>
      </c>
      <c r="F1580" s="63" t="n">
        <v>0.32313875</v>
      </c>
      <c r="G1580" s="63" t="n">
        <v>0.040123</v>
      </c>
      <c r="H1580" s="63" t="n">
        <v>0.38276844642857</v>
      </c>
      <c r="I1580" s="63" t="n">
        <v>0.48458376523351</v>
      </c>
      <c r="J1580" s="63" t="n">
        <v>0.28095312762363</v>
      </c>
      <c r="K1580" s="63" t="n">
        <v>2484.04</v>
      </c>
      <c r="L1580" s="63" t="n">
        <v>2470.3</v>
      </c>
      <c r="M1580" s="63" t="n">
        <v>2477.57</v>
      </c>
      <c r="N1580" s="54">
        <f>(M1581-M1580)/M1580</f>
        <v/>
      </c>
      <c r="O1580" s="54">
        <f>(M1584-M1580)/M1580</f>
        <v/>
      </c>
      <c r="P1580" s="4">
        <f>B1580-D1580</f>
        <v/>
      </c>
      <c r="Q1580" s="4">
        <f>AVERAGE(P1577:P1580)</f>
        <v/>
      </c>
      <c r="R1580" s="54">
        <f>(M1581-M1580)/M1580</f>
        <v/>
      </c>
      <c r="S1580" s="54">
        <f>(M1584-M1580)/M1580</f>
        <v/>
      </c>
      <c r="T1580" s="63">
        <f>IF(R1580&gt;0,1,"")</f>
        <v/>
      </c>
      <c r="U1580" s="63">
        <f>IF(S1580&gt;0,1,"")</f>
        <v/>
      </c>
    </row>
    <row r="1581">
      <c r="A1581" s="35" t="n">
        <v>42957</v>
      </c>
      <c r="B1581" s="4" t="n">
        <v>0.336667</v>
      </c>
      <c r="C1581" s="4" t="n">
        <v>0.34</v>
      </c>
      <c r="D1581" s="4" t="n">
        <v>0.323333</v>
      </c>
      <c r="E1581" s="63" t="n">
        <v>1</v>
      </c>
      <c r="F1581" s="63" t="n">
        <v>0.3248835</v>
      </c>
      <c r="G1581" s="63" t="n">
        <v>0.013334</v>
      </c>
      <c r="H1581" s="63" t="n">
        <v>0.38271745694957</v>
      </c>
      <c r="I1581" s="63" t="n">
        <v>0.48448311980663</v>
      </c>
      <c r="J1581" s="63" t="n">
        <v>0.28095179409251</v>
      </c>
      <c r="K1581" s="63" t="n">
        <v>2490.87</v>
      </c>
      <c r="L1581" s="63" t="n">
        <v>2462.08</v>
      </c>
      <c r="M1581" s="63" t="n">
        <v>2474.02</v>
      </c>
      <c r="N1581" s="54">
        <f>(M1582-M1581)/M1581</f>
        <v/>
      </c>
      <c r="O1581" s="54">
        <f>(M1585-M1581)/M1581</f>
        <v/>
      </c>
      <c r="P1581" s="4">
        <f>B1581-D1581</f>
        <v/>
      </c>
      <c r="Q1581" s="4">
        <f>AVERAGE(P1578:P1581)</f>
        <v/>
      </c>
      <c r="R1581" s="54">
        <f>(M1582-M1581)/M1581</f>
        <v/>
      </c>
      <c r="S1581" s="54">
        <f>(M1585-M1581)/M1581</f>
        <v/>
      </c>
      <c r="T1581" s="63">
        <f>IF(R1581&gt;0,1,"")</f>
        <v/>
      </c>
      <c r="U1581" s="63">
        <f>IF(S1581&gt;0,1,"")</f>
        <v/>
      </c>
    </row>
    <row r="1582">
      <c r="A1582" s="35" t="n">
        <v>42964</v>
      </c>
      <c r="B1582" s="4" t="n">
        <v>0.341743</v>
      </c>
      <c r="C1582" s="4" t="n">
        <v>0.330275</v>
      </c>
      <c r="D1582" s="4" t="n">
        <v>0.327982</v>
      </c>
      <c r="E1582" s="63" t="n">
        <v>1</v>
      </c>
      <c r="F1582" s="63" t="n">
        <v>0.326785</v>
      </c>
      <c r="G1582" s="63" t="n">
        <v>0.013761</v>
      </c>
      <c r="H1582" s="63" t="n">
        <v>0.38276288014751</v>
      </c>
      <c r="I1582" s="63" t="n">
        <v>0.48451374213146</v>
      </c>
      <c r="J1582" s="63" t="n">
        <v>0.28101201816357</v>
      </c>
      <c r="K1582" s="63" t="n">
        <v>2474.93</v>
      </c>
      <c r="L1582" s="63" t="n">
        <v>2437.75</v>
      </c>
      <c r="M1582" s="63" t="n">
        <v>2468.11</v>
      </c>
      <c r="N1582" s="54">
        <f>(M1583-M1582)/M1582</f>
        <v/>
      </c>
      <c r="O1582" s="54">
        <f>(M1586-M1582)/M1582</f>
        <v/>
      </c>
      <c r="P1582" s="4">
        <f>B1582-D1582</f>
        <v/>
      </c>
      <c r="Q1582" s="4">
        <f>AVERAGE(P1579:P1582)</f>
        <v/>
      </c>
      <c r="R1582" s="54">
        <f>(M1583-M1582)/M1582</f>
        <v/>
      </c>
      <c r="S1582" s="54">
        <f>(M1586-M1582)/M1582</f>
        <v/>
      </c>
      <c r="T1582" s="63">
        <f>IF(R1582&gt;0,1,"")</f>
        <v/>
      </c>
      <c r="U1582" s="63">
        <f>IF(S1582&gt;0,1,"")</f>
        <v/>
      </c>
    </row>
    <row r="1583">
      <c r="A1583" s="35" t="n">
        <v>42971</v>
      </c>
      <c r="B1583" s="4" t="n">
        <v>0.280992</v>
      </c>
      <c r="C1583" s="4" t="n">
        <v>0.336088</v>
      </c>
      <c r="D1583" s="4" t="n">
        <v>0.38292</v>
      </c>
      <c r="E1583" s="63" t="n">
        <v>1</v>
      </c>
      <c r="F1583" s="63" t="n">
        <v>0.324766125</v>
      </c>
      <c r="G1583" s="63" t="n">
        <v>-0.101928</v>
      </c>
      <c r="H1583" s="63" t="n">
        <v>0.38271576597052</v>
      </c>
      <c r="I1583" s="63" t="n">
        <v>0.48445311540015</v>
      </c>
      <c r="J1583" s="63" t="n">
        <v>0.28097841654088</v>
      </c>
      <c r="K1583" s="63" t="n">
        <v>2474.93</v>
      </c>
      <c r="L1583" s="63" t="n">
        <v>2417.35</v>
      </c>
      <c r="M1583" s="63" t="n">
        <v>2444.04</v>
      </c>
      <c r="N1583" s="54">
        <f>(M1584-M1583)/M1583</f>
        <v/>
      </c>
      <c r="O1583" s="54">
        <f>(M1587-M1583)/M1583</f>
        <v/>
      </c>
      <c r="P1583" s="4">
        <f>B1583-D1583</f>
        <v/>
      </c>
      <c r="Q1583" s="4">
        <f>AVERAGE(P1580:P1583)</f>
        <v/>
      </c>
      <c r="R1583" s="54">
        <f>(M1584-M1583)/M1583</f>
        <v/>
      </c>
      <c r="S1583" s="54">
        <f>(M1587-M1583)/M1583</f>
        <v/>
      </c>
      <c r="T1583" s="63">
        <f>IF(R1583&gt;0,1,"")</f>
        <v/>
      </c>
      <c r="U1583" s="63">
        <f>IF(S1583&gt;0,1,"")</f>
        <v/>
      </c>
    </row>
    <row r="1584">
      <c r="A1584" s="35" t="n">
        <v>42978</v>
      </c>
      <c r="B1584" s="4" t="n">
        <v>0.25</v>
      </c>
      <c r="C1584" s="4" t="n">
        <v>0.351064</v>
      </c>
      <c r="D1584" s="4" t="n">
        <v>0.398936</v>
      </c>
      <c r="E1584" s="63" t="n">
        <v>1</v>
      </c>
      <c r="F1584" s="63" t="n">
        <v>0.31904425</v>
      </c>
      <c r="G1584" s="63" t="n">
        <v>-0.148936</v>
      </c>
      <c r="H1584" s="63" t="n">
        <v>0.38268914487416</v>
      </c>
      <c r="I1584" s="63" t="n">
        <v>0.48440091862442</v>
      </c>
      <c r="J1584" s="63" t="n">
        <v>0.28097737112389</v>
      </c>
      <c r="K1584" s="63" t="n">
        <v>2460.31</v>
      </c>
      <c r="L1584" s="63" t="n">
        <v>2428.2</v>
      </c>
      <c r="M1584" s="63" t="n">
        <v>2457.59</v>
      </c>
      <c r="N1584" s="54">
        <f>(M1585-M1584)/M1584</f>
        <v/>
      </c>
      <c r="O1584" s="54">
        <f>(M1588-M1584)/M1584</f>
        <v/>
      </c>
      <c r="P1584" s="4">
        <f>B1584-D1584</f>
        <v/>
      </c>
      <c r="Q1584" s="4">
        <f>AVERAGE(P1581:P1584)</f>
        <v/>
      </c>
      <c r="R1584" s="54">
        <f>(M1585-M1584)/M1584</f>
        <v/>
      </c>
      <c r="S1584" s="54">
        <f>(M1588-M1584)/M1584</f>
        <v/>
      </c>
      <c r="T1584" s="63">
        <f>IF(R1584&gt;0,1,"")</f>
        <v/>
      </c>
      <c r="U1584" s="63">
        <f>IF(S1584&gt;0,1,"")</f>
        <v/>
      </c>
    </row>
    <row r="1585">
      <c r="A1585" s="35" t="n">
        <v>42985</v>
      </c>
      <c r="B1585" s="4" t="n">
        <v>0.292776</v>
      </c>
      <c r="C1585" s="4" t="n">
        <v>0.34981</v>
      </c>
      <c r="D1585" s="4" t="n">
        <v>0.357414</v>
      </c>
      <c r="E1585" s="63" t="n">
        <v>1</v>
      </c>
      <c r="F1585" s="63" t="n">
        <v>0.320340375</v>
      </c>
      <c r="G1585" s="63" t="n">
        <v>-0.064638</v>
      </c>
      <c r="H1585" s="63" t="n">
        <v>0.38262595705522</v>
      </c>
      <c r="I1585" s="63" t="n">
        <v>0.48433850458246</v>
      </c>
      <c r="J1585" s="63" t="n">
        <v>0.28091340952797</v>
      </c>
      <c r="K1585" s="63" t="n">
        <v>2480.38</v>
      </c>
      <c r="L1585" s="63" t="n">
        <v>2428.2</v>
      </c>
      <c r="M1585" s="63" t="n">
        <v>2465.54</v>
      </c>
      <c r="N1585" s="54">
        <f>(M1586-M1585)/M1585</f>
        <v/>
      </c>
      <c r="O1585" s="54">
        <f>(M1589-M1585)/M1585</f>
        <v/>
      </c>
      <c r="P1585" s="4">
        <f>B1585-D1585</f>
        <v/>
      </c>
      <c r="Q1585" s="4">
        <f>AVERAGE(P1582:P1585)</f>
        <v/>
      </c>
      <c r="R1585" s="54">
        <f>(M1586-M1585)/M1585</f>
        <v/>
      </c>
      <c r="S1585" s="54">
        <f>(M1589-M1585)/M1585</f>
        <v/>
      </c>
      <c r="T1585" s="63">
        <f>IF(R1585&gt;0,1,"")</f>
        <v/>
      </c>
      <c r="U1585" s="63">
        <f>IF(S1585&gt;0,1,"")</f>
        <v/>
      </c>
    </row>
    <row r="1586">
      <c r="A1586" s="35" t="n">
        <v>42992</v>
      </c>
      <c r="B1586" s="4" t="n">
        <v>0.412879</v>
      </c>
      <c r="C1586" s="4" t="n">
        <v>0.367424</v>
      </c>
      <c r="D1586" s="4" t="n">
        <v>0.219697</v>
      </c>
      <c r="E1586" s="63" t="n">
        <v>1</v>
      </c>
      <c r="F1586" s="63" t="n">
        <v>0.327595375</v>
      </c>
      <c r="G1586" s="63" t="n">
        <v>0.193182</v>
      </c>
      <c r="H1586" s="63" t="n">
        <v>0.38262392397302</v>
      </c>
      <c r="I1586" s="63" t="n">
        <v>0.48430529969623</v>
      </c>
      <c r="J1586" s="63" t="n">
        <v>0.28094254824982</v>
      </c>
      <c r="K1586" s="63" t="n">
        <v>2498.37</v>
      </c>
      <c r="L1586" s="63" t="n">
        <v>2459.2</v>
      </c>
      <c r="M1586" s="63" t="n">
        <v>2498.37</v>
      </c>
      <c r="N1586" s="54">
        <f>(M1587-M1586)/M1586</f>
        <v/>
      </c>
      <c r="O1586" s="54">
        <f>(M1590-M1586)/M1586</f>
        <v/>
      </c>
      <c r="P1586" s="4">
        <f>B1586-D1586</f>
        <v/>
      </c>
      <c r="Q1586" s="4">
        <f>AVERAGE(P1583:P1586)</f>
        <v/>
      </c>
      <c r="R1586" s="54">
        <f>(M1587-M1586)/M1586</f>
        <v/>
      </c>
      <c r="S1586" s="54">
        <f>(M1590-M1586)/M1586</f>
        <v/>
      </c>
      <c r="T1586" s="63">
        <f>IF(R1586&gt;0,1,"")</f>
        <v/>
      </c>
      <c r="U1586" s="63">
        <f>IF(S1586&gt;0,1,"")</f>
        <v/>
      </c>
    </row>
    <row r="1587">
      <c r="A1587" s="35" t="n">
        <v>42999</v>
      </c>
      <c r="B1587" s="4" t="n">
        <v>0.401361</v>
      </c>
      <c r="C1587" s="4" t="n">
        <v>0.326531</v>
      </c>
      <c r="D1587" s="4" t="n">
        <v>0.272109</v>
      </c>
      <c r="E1587" s="63" t="n">
        <v>1.000001</v>
      </c>
      <c r="F1587" s="63" t="n">
        <v>0.334691125</v>
      </c>
      <c r="G1587" s="63" t="n">
        <v>0.129252</v>
      </c>
      <c r="H1587" s="63" t="n">
        <v>0.38264244117647</v>
      </c>
      <c r="I1587" s="63" t="n">
        <v>0.48429539313471</v>
      </c>
      <c r="J1587" s="63" t="n">
        <v>0.28098948921823</v>
      </c>
      <c r="K1587" s="63" t="n">
        <v>2508.85</v>
      </c>
      <c r="L1587" s="63" t="n">
        <v>2491.35</v>
      </c>
      <c r="M1587" s="63" t="n">
        <v>2508.24</v>
      </c>
      <c r="N1587" s="54">
        <f>(M1588-M1587)/M1587</f>
        <v/>
      </c>
      <c r="O1587" s="54">
        <f>(M1591-M1587)/M1587</f>
        <v/>
      </c>
      <c r="P1587" s="4">
        <f>B1587-D1587</f>
        <v/>
      </c>
      <c r="Q1587" s="4">
        <f>AVERAGE(P1584:P1587)</f>
        <v/>
      </c>
      <c r="R1587" s="54">
        <f>(M1588-M1587)/M1587</f>
        <v/>
      </c>
      <c r="S1587" s="54">
        <f>(M1591-M1587)/M1587</f>
        <v/>
      </c>
      <c r="T1587" s="63">
        <f>IF(R1587&gt;0,1,"")</f>
        <v/>
      </c>
      <c r="U1587" s="63">
        <f>IF(S1587&gt;0,1,"")</f>
        <v/>
      </c>
    </row>
    <row r="1588">
      <c r="A1588" s="35" t="n">
        <v>43006</v>
      </c>
      <c r="B1588" s="4" t="n">
        <v>0.333333</v>
      </c>
      <c r="C1588" s="4" t="n">
        <v>0.37931</v>
      </c>
      <c r="D1588" s="4" t="n">
        <v>0.287356</v>
      </c>
      <c r="E1588" s="63" t="n">
        <v>0.999999</v>
      </c>
      <c r="F1588" s="63" t="n">
        <v>0.331218875</v>
      </c>
      <c r="G1588" s="63" t="n">
        <v>0.045977</v>
      </c>
      <c r="H1588" s="63" t="n">
        <v>0.38262298897734</v>
      </c>
      <c r="I1588" s="63" t="n">
        <v>0.4842478326757</v>
      </c>
      <c r="J1588" s="63" t="n">
        <v>0.28099814527898</v>
      </c>
      <c r="K1588" s="63" t="n">
        <v>2511.75</v>
      </c>
      <c r="L1588" s="63" t="n">
        <v>2488.03</v>
      </c>
      <c r="M1588" s="63" t="n">
        <v>2507.04</v>
      </c>
      <c r="N1588" s="54">
        <f>(M1589-M1588)/M1588</f>
        <v/>
      </c>
      <c r="O1588" s="54">
        <f>(M1592-M1588)/M1588</f>
        <v/>
      </c>
      <c r="P1588" s="4">
        <f>B1588-D1588</f>
        <v/>
      </c>
      <c r="Q1588" s="4">
        <f>AVERAGE(P1585:P1588)</f>
        <v/>
      </c>
      <c r="R1588" s="54">
        <f>(M1589-M1588)/M1588</f>
        <v/>
      </c>
      <c r="S1588" s="54">
        <f>(M1592-M1588)/M1588</f>
        <v/>
      </c>
      <c r="T1588" s="63">
        <f>IF(R1588&gt;0,1,"")</f>
        <v/>
      </c>
      <c r="U1588" s="63">
        <f>IF(S1588&gt;0,1,"")</f>
        <v/>
      </c>
    </row>
    <row r="1589">
      <c r="A1589" s="35" t="n">
        <v>43013</v>
      </c>
      <c r="B1589" s="4" t="n">
        <v>0.356</v>
      </c>
      <c r="C1589" s="4" t="n">
        <v>0.316</v>
      </c>
      <c r="D1589" s="4" t="n">
        <v>0.328</v>
      </c>
      <c r="E1589" s="63" t="n">
        <v>1</v>
      </c>
      <c r="F1589" s="63" t="n">
        <v>0.3336355</v>
      </c>
      <c r="G1589" s="63" t="n">
        <v>0.028</v>
      </c>
      <c r="H1589" s="63" t="n">
        <v>0.38254336964504</v>
      </c>
      <c r="I1589" s="63" t="n">
        <v>0.48418805890732</v>
      </c>
      <c r="J1589" s="63" t="n">
        <v>0.28089868038277</v>
      </c>
      <c r="K1589" s="63" t="n">
        <v>2540.53</v>
      </c>
      <c r="L1589" s="63" t="n">
        <v>2495.91</v>
      </c>
      <c r="M1589" s="63" t="n">
        <v>2537.74</v>
      </c>
      <c r="N1589" s="54">
        <f>(M1590-M1589)/M1589</f>
        <v/>
      </c>
      <c r="O1589" s="54">
        <f>(M1593-M1589)/M1589</f>
        <v/>
      </c>
      <c r="P1589" s="4">
        <f>B1589-D1589</f>
        <v/>
      </c>
      <c r="Q1589" s="4">
        <f>AVERAGE(P1586:P1589)</f>
        <v/>
      </c>
      <c r="R1589" s="54">
        <f>(M1590-M1589)/M1589</f>
        <v/>
      </c>
      <c r="S1589" s="54">
        <f>(M1593-M1589)/M1589</f>
        <v/>
      </c>
      <c r="T1589" s="63">
        <f>IF(R1589&gt;0,1,"")</f>
        <v/>
      </c>
      <c r="U1589" s="63">
        <f>IF(S1589&gt;0,1,"")</f>
        <v/>
      </c>
    </row>
    <row r="1590">
      <c r="A1590" s="35" t="n">
        <v>43020</v>
      </c>
      <c r="B1590" s="4" t="n">
        <v>0.397661</v>
      </c>
      <c r="C1590" s="4" t="n">
        <v>0.333333</v>
      </c>
      <c r="D1590" s="4" t="n">
        <v>0.269006</v>
      </c>
      <c r="E1590" s="63" t="n">
        <v>1</v>
      </c>
      <c r="F1590" s="63" t="n">
        <v>0.34062525</v>
      </c>
      <c r="G1590" s="63" t="n">
        <v>0.128655</v>
      </c>
      <c r="H1590" s="63" t="n">
        <v>0.38254336964504</v>
      </c>
      <c r="I1590" s="63" t="n">
        <v>0.48418805890732</v>
      </c>
      <c r="J1590" s="63" t="n">
        <v>0.28089868038277</v>
      </c>
      <c r="K1590" s="63" t="n">
        <v>2555.24</v>
      </c>
      <c r="L1590" s="63" t="n">
        <v>2531.8</v>
      </c>
      <c r="M1590" s="63" t="n">
        <v>2555.24</v>
      </c>
      <c r="N1590" s="54">
        <f>(M1591-M1590)/M1590</f>
        <v/>
      </c>
      <c r="O1590" s="54">
        <f>(M1594-M1590)/M1590</f>
        <v/>
      </c>
      <c r="P1590" s="4">
        <f>B1590-D1590</f>
        <v/>
      </c>
      <c r="Q1590" s="4">
        <f>AVERAGE(P1587:P1590)</f>
        <v/>
      </c>
      <c r="R1590" s="54">
        <f>(M1591-M1590)/M1590</f>
        <v/>
      </c>
      <c r="S1590" s="54">
        <f>(M1594-M1590)/M1590</f>
        <v/>
      </c>
      <c r="T1590" s="63">
        <f>IF(R1590&gt;0,1,"")</f>
        <v/>
      </c>
      <c r="U1590" s="63">
        <f>IF(S1590&gt;0,1,"")</f>
        <v/>
      </c>
    </row>
    <row r="1591">
      <c r="A1591" s="35" t="n">
        <v>43027</v>
      </c>
      <c r="B1591" s="4" t="n">
        <v>0.37931</v>
      </c>
      <c r="C1591" s="4" t="n">
        <v>0.341379</v>
      </c>
      <c r="D1591" s="4" t="n">
        <v>0.27931</v>
      </c>
      <c r="E1591" s="63" t="n">
        <v>0.999999</v>
      </c>
      <c r="F1591" s="63" t="n">
        <v>0.352915</v>
      </c>
      <c r="G1591" s="63" t="n">
        <v>0.1</v>
      </c>
      <c r="H1591" s="63" t="n">
        <v>0.38251474022005</v>
      </c>
      <c r="I1591" s="63" t="n">
        <v>0.48410302363179</v>
      </c>
      <c r="J1591" s="63" t="n">
        <v>0.28092645680831</v>
      </c>
      <c r="K1591" s="63" t="n">
        <v>2564.11</v>
      </c>
      <c r="L1591" s="63" t="n">
        <v>2547.95</v>
      </c>
      <c r="M1591" s="63" t="n">
        <v>2561.26</v>
      </c>
      <c r="N1591" s="54">
        <f>(M1592-M1591)/M1591</f>
        <v/>
      </c>
      <c r="O1591" s="54">
        <f>(M1595-M1591)/M1591</f>
        <v/>
      </c>
      <c r="P1591" s="4">
        <f>B1591-D1591</f>
        <v/>
      </c>
      <c r="Q1591" s="4">
        <f>AVERAGE(P1588:P1591)</f>
        <v/>
      </c>
      <c r="R1591" s="54">
        <f>(M1592-M1591)/M1591</f>
        <v/>
      </c>
      <c r="S1591" s="54">
        <f>(M1595-M1591)/M1591</f>
        <v/>
      </c>
      <c r="T1591" s="63">
        <f>IF(R1591&gt;0,1,"")</f>
        <v/>
      </c>
      <c r="U1591" s="63">
        <f>IF(S1591&gt;0,1,"")</f>
        <v/>
      </c>
    </row>
    <row r="1592">
      <c r="A1592" s="35" t="n">
        <v>43034</v>
      </c>
      <c r="B1592" s="4" t="n">
        <v>0.396396</v>
      </c>
      <c r="C1592" s="4" t="n">
        <v>0.273273</v>
      </c>
      <c r="D1592" s="4" t="n">
        <v>0.33033</v>
      </c>
      <c r="E1592" s="63" t="n">
        <v>0.999999</v>
      </c>
      <c r="F1592" s="63" t="n">
        <v>0.3712145</v>
      </c>
      <c r="G1592" s="63" t="n">
        <v>0.066066</v>
      </c>
      <c r="H1592" s="63" t="n">
        <v>0.3824087690898</v>
      </c>
      <c r="I1592" s="63" t="n">
        <v>0.48405646686384</v>
      </c>
      <c r="J1592" s="63" t="n">
        <v>0.28076107131576</v>
      </c>
      <c r="K1592" s="63" t="n">
        <v>2578.29</v>
      </c>
      <c r="L1592" s="63" t="n">
        <v>2544</v>
      </c>
      <c r="M1592" s="63" t="n">
        <v>2557.15</v>
      </c>
      <c r="N1592" s="54">
        <f>(M1593-M1592)/M1592</f>
        <v/>
      </c>
      <c r="O1592" s="54">
        <f>(M1596-M1592)/M1592</f>
        <v/>
      </c>
      <c r="P1592" s="4">
        <f>B1592-D1592</f>
        <v/>
      </c>
      <c r="Q1592" s="4">
        <f>AVERAGE(P1589:P1592)</f>
        <v/>
      </c>
      <c r="R1592" s="54">
        <f>(M1593-M1592)/M1592</f>
        <v/>
      </c>
      <c r="S1592" s="54">
        <f>(M1596-M1592)/M1592</f>
        <v/>
      </c>
      <c r="T1592" s="63">
        <f>IF(R1592&gt;0,1,"")</f>
        <v/>
      </c>
      <c r="U1592" s="63">
        <f>IF(S1592&gt;0,1,"")</f>
        <v/>
      </c>
    </row>
    <row r="1593">
      <c r="A1593" s="35" t="n">
        <v>43041</v>
      </c>
      <c r="B1593" s="4" t="n">
        <v>0.450549</v>
      </c>
      <c r="C1593" s="4" t="n">
        <v>0.263736</v>
      </c>
      <c r="D1593" s="4" t="n">
        <v>0.285714</v>
      </c>
      <c r="E1593" s="63" t="n">
        <v>0.999999</v>
      </c>
      <c r="F1593" s="63" t="n">
        <v>0.390936125</v>
      </c>
      <c r="G1593" s="63" t="n">
        <v>0.164835</v>
      </c>
      <c r="H1593" s="63" t="n">
        <v>0.38232710866911</v>
      </c>
      <c r="I1593" s="63" t="n">
        <v>0.48399748606992</v>
      </c>
      <c r="J1593" s="63" t="n">
        <v>0.2806567312683</v>
      </c>
      <c r="K1593" s="63" t="n">
        <v>2588.4</v>
      </c>
      <c r="L1593" s="63" t="n">
        <v>2544</v>
      </c>
      <c r="M1593" s="63" t="n">
        <v>2579.36</v>
      </c>
      <c r="N1593" s="54">
        <f>(M1594-M1593)/M1593</f>
        <v/>
      </c>
      <c r="O1593" s="54">
        <f>(M1597-M1593)/M1593</f>
        <v/>
      </c>
      <c r="P1593" s="4">
        <f>B1593-D1593</f>
        <v/>
      </c>
      <c r="Q1593" s="4">
        <f>AVERAGE(P1590:P1593)</f>
        <v/>
      </c>
      <c r="R1593" s="54">
        <f>(M1594-M1593)/M1593</f>
        <v/>
      </c>
      <c r="S1593" s="54">
        <f>(M1597-M1593)/M1593</f>
        <v/>
      </c>
      <c r="T1593" s="63">
        <f>IF(R1593&gt;0,1,"")</f>
        <v/>
      </c>
      <c r="U1593" s="63">
        <f>IF(S1593&gt;0,1,"")</f>
        <v/>
      </c>
    </row>
    <row r="1594">
      <c r="A1594" s="35" t="n">
        <v>43048</v>
      </c>
      <c r="B1594" s="4" t="n">
        <v>0.451049</v>
      </c>
      <c r="C1594" s="4" t="n">
        <v>0.318182</v>
      </c>
      <c r="D1594" s="4" t="n">
        <v>0.230769</v>
      </c>
      <c r="E1594" s="63" t="n">
        <v>1</v>
      </c>
      <c r="F1594" s="63" t="n">
        <v>0.395707375</v>
      </c>
      <c r="G1594" s="63" t="n">
        <v>0.22028</v>
      </c>
      <c r="H1594" s="63" t="n">
        <v>0.3822863209274</v>
      </c>
      <c r="I1594" s="63" t="n">
        <v>0.48393907142532</v>
      </c>
      <c r="J1594" s="63" t="n">
        <v>0.28063357042948</v>
      </c>
      <c r="K1594" s="63" t="n">
        <v>2597.02</v>
      </c>
      <c r="L1594" s="63" t="n">
        <v>2566.17</v>
      </c>
      <c r="M1594" s="63" t="n">
        <v>2594.38</v>
      </c>
      <c r="N1594" s="54">
        <f>(M1595-M1594)/M1594</f>
        <v/>
      </c>
      <c r="O1594" s="54">
        <f>(M1598-M1594)/M1594</f>
        <v/>
      </c>
      <c r="P1594" s="4">
        <f>B1594-D1594</f>
        <v/>
      </c>
      <c r="Q1594" s="4">
        <f>AVERAGE(P1591:P1594)</f>
        <v/>
      </c>
      <c r="R1594" s="54">
        <f>(M1595-M1594)/M1594</f>
        <v/>
      </c>
      <c r="S1594" s="54">
        <f>(M1598-M1594)/M1594</f>
        <v/>
      </c>
      <c r="T1594" s="63">
        <f>IF(R1594&gt;0,1,"")</f>
        <v/>
      </c>
      <c r="U1594" s="63">
        <f>IF(S1594&gt;0,1,"")</f>
        <v/>
      </c>
    </row>
    <row r="1595">
      <c r="A1595" s="35" t="n">
        <v>43055</v>
      </c>
      <c r="B1595" s="4" t="n">
        <v>0.293478</v>
      </c>
      <c r="C1595" s="4" t="n">
        <v>0.354348</v>
      </c>
      <c r="D1595" s="4" t="n">
        <v>0.352174</v>
      </c>
      <c r="E1595" s="63" t="n">
        <v>1</v>
      </c>
      <c r="F1595" s="63" t="n">
        <v>0.382222</v>
      </c>
      <c r="G1595" s="63" t="n">
        <v>-0.058696</v>
      </c>
      <c r="H1595" s="63" t="n">
        <v>0.38225455426829</v>
      </c>
      <c r="I1595" s="63" t="n">
        <v>0.48388443184289</v>
      </c>
      <c r="J1595" s="63" t="n">
        <v>0.2806246766937</v>
      </c>
      <c r="K1595" s="63" t="n">
        <v>2595.47</v>
      </c>
      <c r="L1595" s="63" t="n">
        <v>2557.45</v>
      </c>
      <c r="M1595" s="63" t="n">
        <v>2564.62</v>
      </c>
      <c r="N1595" s="54">
        <f>(M1596-M1595)/M1595</f>
        <v/>
      </c>
      <c r="O1595" s="54">
        <f>(M1599-M1595)/M1595</f>
        <v/>
      </c>
      <c r="P1595" s="4">
        <f>B1595-D1595</f>
        <v/>
      </c>
      <c r="Q1595" s="4">
        <f>AVERAGE(P1592:P1595)</f>
        <v/>
      </c>
      <c r="R1595" s="54">
        <f>(M1596-M1595)/M1595</f>
        <v/>
      </c>
      <c r="S1595" s="54">
        <f>(M1599-M1595)/M1595</f>
        <v/>
      </c>
      <c r="T1595" s="63">
        <f>IF(R1595&gt;0,1,"")</f>
        <v/>
      </c>
      <c r="U1595" s="63">
        <f>IF(S1595&gt;0,1,"")</f>
        <v/>
      </c>
    </row>
    <row r="1596">
      <c r="A1596" s="35" t="n">
        <v>43062</v>
      </c>
      <c r="B1596" s="4" t="n">
        <v>0.35493</v>
      </c>
      <c r="C1596" s="4" t="n">
        <v>0.35493</v>
      </c>
      <c r="D1596" s="4" t="n">
        <v>0.290141</v>
      </c>
      <c r="E1596" s="63" t="n">
        <v>1.000001</v>
      </c>
      <c r="F1596" s="63" t="n">
        <v>0.384921625</v>
      </c>
      <c r="G1596" s="63" t="n">
        <v>0.064789</v>
      </c>
      <c r="H1596" s="63" t="n">
        <v>0.38225599268739</v>
      </c>
      <c r="I1596" s="63" t="n">
        <v>0.48385489752788</v>
      </c>
      <c r="J1596" s="63" t="n">
        <v>0.2806570878469</v>
      </c>
      <c r="K1596" s="63" t="n">
        <v>2601.19</v>
      </c>
      <c r="L1596" s="63" t="n">
        <v>2557.45</v>
      </c>
      <c r="M1596" s="63" t="n">
        <v>2602.42</v>
      </c>
      <c r="N1596" s="54">
        <f>(M1597-M1596)/M1596</f>
        <v/>
      </c>
      <c r="O1596" s="54">
        <f>(M1600-M1596)/M1596</f>
        <v/>
      </c>
      <c r="P1596" s="4">
        <f>B1596-D1596</f>
        <v/>
      </c>
      <c r="Q1596" s="4">
        <f>AVERAGE(P1593:P1596)</f>
        <v/>
      </c>
      <c r="R1596" s="54">
        <f>(M1597-M1596)/M1596</f>
        <v/>
      </c>
      <c r="S1596" s="54">
        <f>(M1600-M1596)/M1596</f>
        <v/>
      </c>
      <c r="T1596" s="63">
        <f>IF(R1596&gt;0,1,"")</f>
        <v/>
      </c>
      <c r="U1596" s="63">
        <f>IF(S1596&gt;0,1,"")</f>
        <v/>
      </c>
    </row>
    <row r="1597">
      <c r="A1597" s="35" t="n">
        <v>43069</v>
      </c>
      <c r="B1597" s="4" t="n">
        <v>0.359459</v>
      </c>
      <c r="C1597" s="4" t="n">
        <v>0.324324</v>
      </c>
      <c r="D1597" s="4" t="n">
        <v>0.316216</v>
      </c>
      <c r="E1597" s="63" t="n">
        <v>0.999999</v>
      </c>
      <c r="F1597" s="63" t="n">
        <v>0.385354</v>
      </c>
      <c r="G1597" s="63" t="n">
        <v>0.043243</v>
      </c>
      <c r="H1597" s="63" t="n">
        <v>0.38222742448234</v>
      </c>
      <c r="I1597" s="63" t="n">
        <v>0.48380196508101</v>
      </c>
      <c r="J1597" s="63" t="n">
        <v>0.28065288388367</v>
      </c>
      <c r="K1597" s="63" t="n">
        <v>2634.89</v>
      </c>
      <c r="L1597" s="63" t="n">
        <v>2589.17</v>
      </c>
      <c r="M1597" s="63" t="n">
        <v>2626.07</v>
      </c>
      <c r="N1597" s="54">
        <f>(M1598-M1597)/M1597</f>
        <v/>
      </c>
      <c r="O1597" s="54">
        <f>(M1601-M1597)/M1597</f>
        <v/>
      </c>
      <c r="P1597" s="4">
        <f>B1597-D1597</f>
        <v/>
      </c>
      <c r="Q1597" s="4">
        <f>AVERAGE(P1594:P1597)</f>
        <v/>
      </c>
      <c r="R1597" s="54">
        <f>(M1598-M1597)/M1597</f>
        <v/>
      </c>
      <c r="S1597" s="54">
        <f>(M1601-M1597)/M1597</f>
        <v/>
      </c>
      <c r="T1597" s="63">
        <f>IF(R1597&gt;0,1,"")</f>
        <v/>
      </c>
      <c r="U1597" s="63">
        <f>IF(S1597&gt;0,1,"")</f>
        <v/>
      </c>
    </row>
    <row r="1598">
      <c r="A1598" s="35" t="n">
        <v>43076</v>
      </c>
      <c r="B1598" s="4" t="n">
        <v>0.368771</v>
      </c>
      <c r="C1598" s="4" t="n">
        <v>0.289037</v>
      </c>
      <c r="D1598" s="4" t="n">
        <v>0.342193</v>
      </c>
      <c r="E1598" s="63" t="n">
        <v>1.000001</v>
      </c>
      <c r="F1598" s="63" t="n">
        <v>0.38174275</v>
      </c>
      <c r="G1598" s="63" t="n">
        <v>0.026578</v>
      </c>
      <c r="H1598" s="63" t="n">
        <v>0.38222399330493</v>
      </c>
      <c r="I1598" s="63" t="n">
        <v>0.48376769430964</v>
      </c>
      <c r="J1598" s="63" t="n">
        <v>0.28068029230022</v>
      </c>
      <c r="K1598" s="63" t="n">
        <v>2665.19</v>
      </c>
      <c r="L1598" s="63" t="n">
        <v>2620.32</v>
      </c>
      <c r="M1598" s="63" t="n">
        <v>2629.27</v>
      </c>
      <c r="N1598" s="54">
        <f>(M1599-M1598)/M1598</f>
        <v/>
      </c>
      <c r="O1598" s="54">
        <f>(M1602-M1598)/M1598</f>
        <v/>
      </c>
      <c r="P1598" s="4">
        <f>B1598-D1598</f>
        <v/>
      </c>
      <c r="Q1598" s="4">
        <f>AVERAGE(P1595:P1598)</f>
        <v/>
      </c>
      <c r="R1598" s="54">
        <f>(M1599-M1598)/M1598</f>
        <v/>
      </c>
      <c r="S1598" s="54">
        <f>(M1602-M1598)/M1598</f>
        <v/>
      </c>
      <c r="T1598" s="63">
        <f>IF(R1598&gt;0,1,"")</f>
        <v/>
      </c>
      <c r="U1598" s="63">
        <f>IF(S1598&gt;0,1,"")</f>
        <v/>
      </c>
    </row>
    <row r="1599">
      <c r="A1599" s="35" t="n">
        <v>43083</v>
      </c>
      <c r="B1599" s="4" t="n">
        <v>0.45</v>
      </c>
      <c r="C1599" s="4" t="n">
        <v>0.26875</v>
      </c>
      <c r="D1599" s="4" t="n">
        <v>0.28125</v>
      </c>
      <c r="E1599" s="63" t="n">
        <v>1</v>
      </c>
      <c r="F1599" s="63" t="n">
        <v>0.390579</v>
      </c>
      <c r="G1599" s="63" t="n">
        <v>0.16875</v>
      </c>
      <c r="H1599" s="63" t="n">
        <v>0.38218466484185</v>
      </c>
      <c r="I1599" s="63" t="n">
        <v>0.48370998308529</v>
      </c>
      <c r="J1599" s="63" t="n">
        <v>0.28065934659841</v>
      </c>
      <c r="K1599" s="63" t="n">
        <v>2671.88</v>
      </c>
      <c r="L1599" s="63" t="n">
        <v>2624.75</v>
      </c>
      <c r="M1599" s="63" t="n">
        <v>2662.85</v>
      </c>
      <c r="N1599" s="54">
        <f>(M1600-M1599)/M1599</f>
        <v/>
      </c>
      <c r="O1599" s="54">
        <f>(M1603-M1599)/M1599</f>
        <v/>
      </c>
      <c r="P1599" s="4">
        <f>B1599-D1599</f>
        <v/>
      </c>
      <c r="Q1599" s="4">
        <f>AVERAGE(P1596:P1599)</f>
        <v/>
      </c>
      <c r="R1599" s="54">
        <f>(M1600-M1599)/M1599</f>
        <v/>
      </c>
      <c r="S1599" s="54">
        <f>(M1603-M1599)/M1599</f>
        <v/>
      </c>
      <c r="T1599" s="63">
        <f>IF(R1599&gt;0,1,"")</f>
        <v/>
      </c>
      <c r="U1599" s="63">
        <f>IF(S1599&gt;0,1,"")</f>
        <v/>
      </c>
    </row>
    <row r="1600">
      <c r="A1600" s="35" t="n">
        <v>43090</v>
      </c>
      <c r="B1600" s="4" t="n">
        <v>0.504975</v>
      </c>
      <c r="C1600" s="4" t="n">
        <v>0.238806</v>
      </c>
      <c r="D1600" s="4" t="n">
        <v>0.256219</v>
      </c>
      <c r="E1600" s="63" t="n">
        <v>1</v>
      </c>
      <c r="F1600" s="63" t="n">
        <v>0.404151375</v>
      </c>
      <c r="G1600" s="63" t="n">
        <v>0.248756</v>
      </c>
      <c r="H1600" s="63" t="n">
        <v>0.38219472522796</v>
      </c>
      <c r="I1600" s="63" t="n">
        <v>0.48368998144735</v>
      </c>
      <c r="J1600" s="63" t="n">
        <v>0.28069946900858</v>
      </c>
      <c r="K1600" s="63" t="n">
        <v>2694.97</v>
      </c>
      <c r="L1600" s="63" t="n">
        <v>2652.01</v>
      </c>
      <c r="M1600" s="63" t="n">
        <v>2679.25</v>
      </c>
      <c r="N1600" s="54">
        <f>(M1601-M1600)/M1600</f>
        <v/>
      </c>
      <c r="O1600" s="54">
        <f>(M1604-M1600)/M1600</f>
        <v/>
      </c>
      <c r="P1600" s="4">
        <f>B1600-D1600</f>
        <v/>
      </c>
      <c r="Q1600" s="4">
        <f>AVERAGE(P1597:P1600)</f>
        <v/>
      </c>
      <c r="R1600" s="54">
        <f>(M1601-M1600)/M1600</f>
        <v/>
      </c>
      <c r="S1600" s="54">
        <f>(M1604-M1600)/M1600</f>
        <v/>
      </c>
      <c r="T1600" s="63">
        <f>IF(R1600&gt;0,1,"")</f>
        <v/>
      </c>
      <c r="U1600" s="63">
        <f>IF(S1600&gt;0,1,"")</f>
        <v/>
      </c>
    </row>
    <row r="1601">
      <c r="A1601" s="35" t="n">
        <v>43097</v>
      </c>
      <c r="B1601" s="4" t="n">
        <v>0.526455</v>
      </c>
      <c r="C1601" s="4" t="n">
        <v>0.267196</v>
      </c>
      <c r="D1601" s="4" t="n">
        <v>0.206349</v>
      </c>
      <c r="E1601" s="63" t="n">
        <v>1</v>
      </c>
      <c r="F1601" s="63" t="n">
        <v>0.413639625</v>
      </c>
      <c r="G1601" s="63" t="n">
        <v>0.320106</v>
      </c>
      <c r="H1601" s="63" t="n">
        <v>0.38217579283111</v>
      </c>
      <c r="I1601" s="63" t="n">
        <v>0.48364310204718</v>
      </c>
      <c r="J1601" s="63" t="n">
        <v>0.28070848361503</v>
      </c>
      <c r="K1601" s="63" t="n">
        <v>2694.44</v>
      </c>
      <c r="L1601" s="63" t="n">
        <v>2676.11</v>
      </c>
      <c r="M1601" s="63" t="n">
        <v>2682.62</v>
      </c>
      <c r="N1601" s="54">
        <f>(M1602-M1601)/M1601</f>
        <v/>
      </c>
      <c r="O1601" s="54">
        <f>(M1605-M1601)/M1601</f>
        <v/>
      </c>
      <c r="P1601" s="4">
        <f>B1601-D1601</f>
        <v/>
      </c>
      <c r="Q1601" s="4">
        <f>AVERAGE(P1598:P1601)</f>
        <v/>
      </c>
      <c r="R1601" s="54">
        <f>(M1602-M1601)/M1601</f>
        <v/>
      </c>
      <c r="S1601" s="54">
        <f>(M1605-M1601)/M1601</f>
        <v/>
      </c>
      <c r="T1601" s="63">
        <f>IF(R1601&gt;0,1,"")</f>
        <v/>
      </c>
      <c r="U1601" s="63">
        <f>IF(S1601&gt;0,1,"")</f>
        <v/>
      </c>
    </row>
    <row r="1602">
      <c r="A1602" s="35" t="n">
        <v>43104</v>
      </c>
      <c r="B1602" s="4" t="n">
        <v>0.597531</v>
      </c>
      <c r="C1602" s="4" t="n">
        <v>0.246914</v>
      </c>
      <c r="D1602" s="4" t="n">
        <v>0.155556</v>
      </c>
      <c r="E1602" s="63" t="n">
        <v>1.000001</v>
      </c>
      <c r="F1602" s="63" t="n">
        <v>0.431949875</v>
      </c>
      <c r="G1602" s="63" t="n">
        <v>0.441975</v>
      </c>
      <c r="H1602" s="63" t="n">
        <v>0.38218247965999</v>
      </c>
      <c r="I1602" s="63" t="n">
        <v>0.48361932480487</v>
      </c>
      <c r="J1602" s="63" t="n">
        <v>0.28074563451511</v>
      </c>
      <c r="K1602" s="63" t="n">
        <v>2714.37</v>
      </c>
      <c r="L1602" s="63" t="n">
        <v>2673.61</v>
      </c>
      <c r="M1602" s="63" t="n">
        <v>2713.06</v>
      </c>
      <c r="N1602" s="54">
        <f>(M1603-M1602)/M1602</f>
        <v/>
      </c>
      <c r="O1602" s="54">
        <f>(M1606-M1602)/M1602</f>
        <v/>
      </c>
      <c r="P1602" s="4">
        <f>B1602-D1602</f>
        <v/>
      </c>
      <c r="Q1602" s="4">
        <f>AVERAGE(P1599:P1602)</f>
        <v/>
      </c>
      <c r="R1602" s="54">
        <f>(M1603-M1602)/M1602</f>
        <v/>
      </c>
      <c r="S1602" s="54">
        <f>(M1606-M1602)/M1602</f>
        <v/>
      </c>
      <c r="T1602" s="63">
        <f>IF(R1602&gt;0,1,"")</f>
        <v/>
      </c>
      <c r="U1602" s="63">
        <f>IF(S1602&gt;0,1,"")</f>
        <v/>
      </c>
    </row>
    <row r="1603">
      <c r="A1603" s="35" t="n">
        <v>43111</v>
      </c>
      <c r="B1603" s="4" t="n">
        <v>0.486726</v>
      </c>
      <c r="C1603" s="4" t="n">
        <v>0.262537</v>
      </c>
      <c r="D1603" s="4" t="n">
        <v>0.250737</v>
      </c>
      <c r="E1603" s="63" t="n">
        <v>1</v>
      </c>
      <c r="F1603" s="63" t="n">
        <v>0.456105875</v>
      </c>
      <c r="G1603" s="63" t="n">
        <v>0.235989</v>
      </c>
      <c r="H1603" s="63" t="n">
        <v>0.38220319842233</v>
      </c>
      <c r="I1603" s="63" t="n">
        <v>0.48361273252018</v>
      </c>
      <c r="J1603" s="63" t="n">
        <v>0.28079366432449</v>
      </c>
      <c r="K1603" s="63" t="n">
        <v>2759.14</v>
      </c>
      <c r="L1603" s="63" t="n">
        <v>2697.77</v>
      </c>
      <c r="M1603" s="63" t="n">
        <v>2748.23</v>
      </c>
      <c r="N1603" s="54">
        <f>(M1604-M1603)/M1603</f>
        <v/>
      </c>
      <c r="O1603" s="54">
        <f>(M1607-M1603)/M1603</f>
        <v/>
      </c>
      <c r="P1603" s="4">
        <f>B1603-D1603</f>
        <v/>
      </c>
      <c r="Q1603" s="4">
        <f>AVERAGE(P1600:P1603)</f>
        <v/>
      </c>
      <c r="R1603" s="54">
        <f>(M1604-M1603)/M1603</f>
        <v/>
      </c>
      <c r="S1603" s="54">
        <f>(M1607-M1603)/M1603</f>
        <v/>
      </c>
      <c r="T1603" s="63">
        <f>IF(R1603&gt;0,1,"")</f>
        <v/>
      </c>
      <c r="U1603" s="63">
        <f>IF(S1603&gt;0,1,"")</f>
        <v/>
      </c>
    </row>
    <row r="1604">
      <c r="A1604" s="35" t="n">
        <v>43118</v>
      </c>
      <c r="B1604" s="4" t="n">
        <v>0.541133</v>
      </c>
      <c r="C1604" s="4" t="n">
        <v>0.244973</v>
      </c>
      <c r="D1604" s="4" t="n">
        <v>0.213894</v>
      </c>
      <c r="E1604" s="63" t="n">
        <v>1</v>
      </c>
      <c r="F1604" s="63" t="n">
        <v>0.47938125</v>
      </c>
      <c r="G1604" s="63" t="n">
        <v>0.327239</v>
      </c>
      <c r="H1604" s="63" t="n">
        <v>0.38219813887204</v>
      </c>
      <c r="I1604" s="63" t="n">
        <v>0.4835771090388</v>
      </c>
      <c r="J1604" s="63" t="n">
        <v>0.28081916870529</v>
      </c>
      <c r="K1604" s="63" t="n">
        <v>2807.54</v>
      </c>
      <c r="L1604" s="63" t="n">
        <v>2736.06</v>
      </c>
      <c r="M1604" s="63" t="n">
        <v>2802.56</v>
      </c>
      <c r="N1604" s="54">
        <f>(M1605-M1604)/M1604</f>
        <v/>
      </c>
      <c r="O1604" s="54">
        <f>(M1608-M1604)/M1604</f>
        <v/>
      </c>
      <c r="P1604" s="4">
        <f>B1604-D1604</f>
        <v/>
      </c>
      <c r="Q1604" s="4">
        <f>AVERAGE(P1601:P1604)</f>
        <v/>
      </c>
      <c r="R1604" s="54">
        <f>(M1605-M1604)/M1604</f>
        <v/>
      </c>
      <c r="S1604" s="54">
        <f>(M1608-M1604)/M1604</f>
        <v/>
      </c>
      <c r="T1604" s="63">
        <f>IF(R1604&gt;0,1,"")</f>
        <v/>
      </c>
      <c r="U1604" s="63">
        <f>IF(S1604&gt;0,1,"")</f>
        <v/>
      </c>
    </row>
    <row r="1605">
      <c r="A1605" s="35" t="n">
        <v>43125</v>
      </c>
      <c r="B1605" s="4" t="n">
        <v>0.454545</v>
      </c>
      <c r="C1605" s="4" t="n">
        <v>0.305195</v>
      </c>
      <c r="D1605" s="4" t="n">
        <v>0.24026</v>
      </c>
      <c r="E1605" s="63" t="n">
        <v>1</v>
      </c>
      <c r="F1605" s="63" t="n">
        <v>0.491267</v>
      </c>
      <c r="G1605" s="63" t="n">
        <v>0.214285</v>
      </c>
      <c r="H1605" s="63" t="n">
        <v>0.38216300787879</v>
      </c>
      <c r="I1605" s="63" t="n">
        <v>0.48352127994527</v>
      </c>
      <c r="J1605" s="63" t="n">
        <v>0.28080473581231</v>
      </c>
      <c r="K1605" s="63" t="n">
        <v>2852.97</v>
      </c>
      <c r="L1605" s="63" t="n">
        <v>2778.38</v>
      </c>
      <c r="M1605" s="63" t="n">
        <v>2837.54</v>
      </c>
      <c r="N1605" s="54">
        <f>(M1606-M1605)/M1605</f>
        <v/>
      </c>
      <c r="O1605" s="54">
        <f>(M1609-M1605)/M1605</f>
        <v/>
      </c>
      <c r="P1605" s="4">
        <f>B1605-D1605</f>
        <v/>
      </c>
      <c r="Q1605" s="4">
        <f>AVERAGE(P1602:P1605)</f>
        <v/>
      </c>
      <c r="R1605" s="54">
        <f>(M1606-M1605)/M1605</f>
        <v/>
      </c>
      <c r="S1605" s="54">
        <f>(M1609-M1605)/M1605</f>
        <v/>
      </c>
      <c r="T1605" s="63">
        <f>IF(R1605&gt;0,1,"")</f>
        <v/>
      </c>
      <c r="U1605" s="63">
        <f>IF(S1605&gt;0,1,"")</f>
        <v/>
      </c>
    </row>
    <row r="1606">
      <c r="A1606" s="35" t="n">
        <v>43132</v>
      </c>
      <c r="B1606" s="4" t="n">
        <v>0.447712</v>
      </c>
      <c r="C1606" s="4" t="n">
        <v>0.264706</v>
      </c>
      <c r="D1606" s="4" t="n">
        <v>0.287582</v>
      </c>
      <c r="E1606" s="63" t="n">
        <v>1</v>
      </c>
      <c r="F1606" s="63" t="n">
        <v>0.5011346249999999</v>
      </c>
      <c r="G1606" s="63" t="n">
        <v>0.16013</v>
      </c>
      <c r="H1606" s="63" t="n">
        <v>0.3821574675954</v>
      </c>
      <c r="I1606" s="63" t="n">
        <v>0.48348527044385</v>
      </c>
      <c r="J1606" s="63" t="n">
        <v>0.28082966474694</v>
      </c>
      <c r="K1606" s="63" t="n">
        <v>2872.87</v>
      </c>
      <c r="L1606" s="63" t="n">
        <v>2813.04</v>
      </c>
      <c r="M1606" s="63" t="n">
        <v>2823.81</v>
      </c>
      <c r="N1606" s="54">
        <f>(M1607-M1606)/M1606</f>
        <v/>
      </c>
      <c r="O1606" s="54">
        <f>(M1610-M1606)/M1606</f>
        <v/>
      </c>
      <c r="P1606" s="4">
        <f>B1606-D1606</f>
        <v/>
      </c>
      <c r="Q1606" s="4">
        <f>AVERAGE(P1603:P1606)</f>
        <v/>
      </c>
      <c r="R1606" s="54">
        <f>(M1607-M1606)/M1606</f>
        <v/>
      </c>
      <c r="S1606" s="54">
        <f>(M1610-M1606)/M1606</f>
        <v/>
      </c>
      <c r="T1606" s="63">
        <f>IF(R1606&gt;0,1,"")</f>
        <v/>
      </c>
      <c r="U1606" s="63">
        <f>IF(S1606&gt;0,1,"")</f>
        <v/>
      </c>
    </row>
    <row r="1607">
      <c r="A1607" s="35" t="n">
        <v>43139</v>
      </c>
      <c r="B1607" s="4" t="n">
        <v>0.370277</v>
      </c>
      <c r="C1607" s="4" t="n">
        <v>0.279597</v>
      </c>
      <c r="D1607" s="4" t="n">
        <v>0.350126</v>
      </c>
      <c r="E1607" s="63" t="n">
        <v>1</v>
      </c>
      <c r="F1607" s="63" t="n">
        <v>0.49116925</v>
      </c>
      <c r="G1607" s="63" t="n">
        <v>0.020151</v>
      </c>
      <c r="H1607" s="63" t="n">
        <v>0.3821271059322</v>
      </c>
      <c r="I1607" s="63" t="n">
        <v>0.48343173387611</v>
      </c>
      <c r="J1607" s="63" t="n">
        <v>0.2808224779883</v>
      </c>
      <c r="K1607" s="63" t="n">
        <v>2839.26</v>
      </c>
      <c r="L1607" s="63" t="n">
        <v>2593.07</v>
      </c>
      <c r="M1607" s="63" t="n">
        <v>2681.66</v>
      </c>
      <c r="N1607" s="54">
        <f>(M1608-M1607)/M1607</f>
        <v/>
      </c>
      <c r="O1607" s="54">
        <f>(M1611-M1607)/M1607</f>
        <v/>
      </c>
      <c r="P1607" s="4">
        <f>B1607-D1607</f>
        <v/>
      </c>
      <c r="Q1607" s="4">
        <f>AVERAGE(P1604:P1607)</f>
        <v/>
      </c>
      <c r="R1607" s="54">
        <f>(M1608-M1607)/M1607</f>
        <v/>
      </c>
      <c r="S1607" s="54">
        <f>(M1611-M1607)/M1607</f>
        <v/>
      </c>
      <c r="T1607" s="63">
        <f>IF(R1607&gt;0,1,"")</f>
        <v/>
      </c>
      <c r="U1607" s="63">
        <f>IF(S1607&gt;0,1,"")</f>
        <v/>
      </c>
    </row>
    <row r="1608">
      <c r="A1608" s="35" t="n">
        <v>43146</v>
      </c>
      <c r="B1608" s="4" t="n">
        <v>0.485194</v>
      </c>
      <c r="C1608" s="4" t="n">
        <v>0.300683</v>
      </c>
      <c r="D1608" s="4" t="n">
        <v>0.214123</v>
      </c>
      <c r="E1608" s="63" t="n">
        <v>1</v>
      </c>
      <c r="F1608" s="63" t="n">
        <v>0.488696625</v>
      </c>
      <c r="G1608" s="63" t="n">
        <v>0.271071</v>
      </c>
      <c r="H1608" s="63" t="n">
        <v>0.38210779794313</v>
      </c>
      <c r="I1608" s="63" t="n">
        <v>0.48338480241276</v>
      </c>
      <c r="J1608" s="63" t="n">
        <v>0.28083079347351</v>
      </c>
      <c r="K1608" s="63" t="n">
        <v>2727.67</v>
      </c>
      <c r="L1608" s="63" t="n">
        <v>2532.69</v>
      </c>
      <c r="M1608" s="63" t="n">
        <v>2698.63</v>
      </c>
      <c r="N1608" s="54">
        <f>(M1609-M1608)/M1608</f>
        <v/>
      </c>
      <c r="O1608" s="54">
        <f>(M1612-M1608)/M1608</f>
        <v/>
      </c>
      <c r="P1608" s="4">
        <f>B1608-D1608</f>
        <v/>
      </c>
      <c r="Q1608" s="4">
        <f>AVERAGE(P1605:P1608)</f>
        <v/>
      </c>
      <c r="R1608" s="54">
        <f>(M1609-M1608)/M1608</f>
        <v/>
      </c>
      <c r="S1608" s="54">
        <f>(M1612-M1608)/M1608</f>
        <v/>
      </c>
      <c r="T1608" s="63">
        <f>IF(R1608&gt;0,1,"")</f>
        <v/>
      </c>
      <c r="U1608" s="63">
        <f>IF(S1608&gt;0,1,"")</f>
        <v/>
      </c>
    </row>
    <row r="1609">
      <c r="A1609" s="35" t="n">
        <v>43153</v>
      </c>
      <c r="B1609" s="4" t="n">
        <v>0.446512</v>
      </c>
      <c r="C1609" s="4" t="n">
        <v>0.325581</v>
      </c>
      <c r="D1609" s="4" t="n">
        <v>0.227907</v>
      </c>
      <c r="E1609" s="63" t="n">
        <v>1</v>
      </c>
      <c r="F1609" s="63" t="n">
        <v>0.47870375</v>
      </c>
      <c r="G1609" s="63" t="n">
        <v>0.218605</v>
      </c>
      <c r="H1609" s="63" t="n">
        <v>0.38212035550182</v>
      </c>
      <c r="I1609" s="63" t="n">
        <v>0.48336800908729</v>
      </c>
      <c r="J1609" s="63" t="n">
        <v>0.28087270191634</v>
      </c>
      <c r="K1609" s="63" t="n">
        <v>2754.42</v>
      </c>
      <c r="L1609" s="63" t="n">
        <v>2637.08</v>
      </c>
      <c r="M1609" s="63" t="n">
        <v>2701.33</v>
      </c>
      <c r="N1609" s="54">
        <f>(M1610-M1609)/M1609</f>
        <v/>
      </c>
      <c r="O1609" s="54">
        <f>(M1613-M1609)/M1609</f>
        <v/>
      </c>
      <c r="P1609" s="4">
        <f>B1609-D1609</f>
        <v/>
      </c>
      <c r="Q1609" s="4">
        <f>AVERAGE(P1606:P1609)</f>
        <v/>
      </c>
      <c r="R1609" s="54">
        <f>(M1610-M1609)/M1609</f>
        <v/>
      </c>
      <c r="S1609" s="54">
        <f>(M1613-M1609)/M1609</f>
        <v/>
      </c>
      <c r="T1609" s="63">
        <f>IF(R1609&gt;0,1,"")</f>
        <v/>
      </c>
      <c r="U1609" s="63">
        <f>IF(S1609&gt;0,1,"")</f>
        <v/>
      </c>
    </row>
    <row r="1610">
      <c r="A1610" s="35" t="n">
        <v>43160</v>
      </c>
      <c r="B1610" s="4" t="n">
        <v>0.372832</v>
      </c>
      <c r="C1610" s="4" t="n">
        <v>0.393064</v>
      </c>
      <c r="D1610" s="4" t="n">
        <v>0.234104</v>
      </c>
      <c r="E1610" s="63" t="n">
        <v>1</v>
      </c>
      <c r="F1610" s="63" t="n">
        <v>0.450616375</v>
      </c>
      <c r="G1610" s="63" t="n">
        <v>0.138728</v>
      </c>
      <c r="H1610" s="63" t="n">
        <v>0.38211643685801</v>
      </c>
      <c r="I1610" s="63" t="n">
        <v>0.48333360444833</v>
      </c>
      <c r="J1610" s="63" t="n">
        <v>0.28089926926768</v>
      </c>
      <c r="K1610" s="63" t="n">
        <v>2789.15</v>
      </c>
      <c r="L1610" s="63" t="n">
        <v>2697.77</v>
      </c>
      <c r="M1610" s="63" t="n">
        <v>2713.83</v>
      </c>
      <c r="N1610" s="54">
        <f>(M1611-M1610)/M1610</f>
        <v/>
      </c>
      <c r="O1610" s="54">
        <f>(M1614-M1610)/M1610</f>
        <v/>
      </c>
      <c r="P1610" s="4">
        <f>B1610-D1610</f>
        <v/>
      </c>
      <c r="Q1610" s="4">
        <f>AVERAGE(P1607:P1610)</f>
        <v/>
      </c>
      <c r="R1610" s="54">
        <f>(M1611-M1610)/M1610</f>
        <v/>
      </c>
      <c r="S1610" s="54">
        <f>(M1614-M1610)/M1610</f>
        <v/>
      </c>
      <c r="T1610" s="63">
        <f>IF(R1610&gt;0,1,"")</f>
        <v/>
      </c>
      <c r="U1610" s="63">
        <f>IF(S1610&gt;0,1,"")</f>
        <v/>
      </c>
    </row>
    <row r="1611">
      <c r="A1611" s="35" t="n">
        <v>43167</v>
      </c>
      <c r="B1611" s="4" t="n">
        <v>0.264026</v>
      </c>
      <c r="C1611" s="4" t="n">
        <v>0.452145</v>
      </c>
      <c r="D1611" s="4" t="n">
        <v>0.283828</v>
      </c>
      <c r="E1611" s="63" t="n">
        <v>0.999999</v>
      </c>
      <c r="F1611" s="63" t="n">
        <v>0.422778875</v>
      </c>
      <c r="G1611" s="63" t="n">
        <v>-0.019802</v>
      </c>
      <c r="H1611" s="63" t="n">
        <v>0.38208812198068</v>
      </c>
      <c r="I1611" s="63" t="n">
        <v>0.48328126603049</v>
      </c>
      <c r="J1611" s="63" t="n">
        <v>0.28089497793087</v>
      </c>
      <c r="K1611" s="63" t="n">
        <v>2761.52</v>
      </c>
      <c r="L1611" s="63" t="n">
        <v>2647.32</v>
      </c>
      <c r="M1611" s="63" t="n">
        <v>2726.8</v>
      </c>
      <c r="N1611" s="54">
        <f>(M1612-M1611)/M1611</f>
        <v/>
      </c>
      <c r="O1611" s="54">
        <f>(M1615-M1611)/M1611</f>
        <v/>
      </c>
      <c r="P1611" s="4">
        <f>B1611-D1611</f>
        <v/>
      </c>
      <c r="Q1611" s="4">
        <f>AVERAGE(P1608:P1611)</f>
        <v/>
      </c>
      <c r="R1611" s="54">
        <f>(M1612-M1611)/M1611</f>
        <v/>
      </c>
      <c r="S1611" s="54">
        <f>(M1615-M1611)/M1611</f>
        <v/>
      </c>
      <c r="T1611" s="63">
        <f>IF(R1611&gt;0,1,"")</f>
        <v/>
      </c>
      <c r="U1611" s="63">
        <f>IF(S1611&gt;0,1,"")</f>
        <v/>
      </c>
    </row>
    <row r="1612">
      <c r="A1612" s="35" t="n">
        <v>43174</v>
      </c>
      <c r="B1612" s="4" t="n">
        <v>0.368421</v>
      </c>
      <c r="C1612" s="4" t="n">
        <v>0.418283</v>
      </c>
      <c r="D1612" s="4" t="n">
        <v>0.213296</v>
      </c>
      <c r="E1612" s="63" t="n">
        <v>1</v>
      </c>
      <c r="F1612" s="63" t="n">
        <v>0.401189875</v>
      </c>
      <c r="G1612" s="63" t="n">
        <v>0.155125</v>
      </c>
      <c r="H1612" s="63" t="n">
        <v>0.38209304405552</v>
      </c>
      <c r="I1612" s="63" t="n">
        <v>0.48325582841817</v>
      </c>
      <c r="J1612" s="63" t="n">
        <v>0.28093025969287</v>
      </c>
      <c r="K1612" s="63" t="n">
        <v>2801.9</v>
      </c>
      <c r="L1612" s="63" t="n">
        <v>2701.74</v>
      </c>
      <c r="M1612" s="63" t="n">
        <v>2749.48</v>
      </c>
      <c r="N1612" s="54">
        <f>(M1613-M1612)/M1612</f>
        <v/>
      </c>
      <c r="O1612" s="54">
        <f>(M1616-M1612)/M1612</f>
        <v/>
      </c>
      <c r="P1612" s="4">
        <f>B1612-D1612</f>
        <v/>
      </c>
      <c r="Q1612" s="4">
        <f>AVERAGE(P1609:P1612)</f>
        <v/>
      </c>
      <c r="R1612" s="54">
        <f>(M1613-M1612)/M1612</f>
        <v/>
      </c>
      <c r="S1612" s="54">
        <f>(M1616-M1612)/M1612</f>
        <v/>
      </c>
      <c r="T1612" s="63">
        <f>IF(R1612&gt;0,1,"")</f>
        <v/>
      </c>
      <c r="U1612" s="63">
        <f>IF(S1612&gt;0,1,"")</f>
        <v/>
      </c>
    </row>
    <row r="1613">
      <c r="A1613" s="35" t="n">
        <v>43181</v>
      </c>
      <c r="B1613" s="4" t="n">
        <v>0.332344</v>
      </c>
      <c r="C1613" s="4" t="n">
        <v>0.382789</v>
      </c>
      <c r="D1613" s="4" t="n">
        <v>0.284866</v>
      </c>
      <c r="E1613" s="63" t="n">
        <v>0.999999</v>
      </c>
      <c r="F1613" s="63" t="n">
        <v>0.38591475</v>
      </c>
      <c r="G1613" s="63" t="n">
        <v>0.047478</v>
      </c>
      <c r="H1613" s="63" t="n">
        <v>0.38212263751508</v>
      </c>
      <c r="I1613" s="63" t="n">
        <v>0.48326207000436</v>
      </c>
      <c r="J1613" s="63" t="n">
        <v>0.2809832050258</v>
      </c>
      <c r="K1613" s="63" t="n">
        <v>2777.11</v>
      </c>
      <c r="L1613" s="63" t="n">
        <v>2694.59</v>
      </c>
      <c r="M1613" s="63" t="n">
        <v>2711.93</v>
      </c>
      <c r="N1613" s="54">
        <f>(M1614-M1613)/M1613</f>
        <v/>
      </c>
      <c r="O1613" s="54">
        <f>(M1617-M1613)/M1613</f>
        <v/>
      </c>
      <c r="P1613" s="4">
        <f>B1613-D1613</f>
        <v/>
      </c>
      <c r="Q1613" s="4">
        <f>AVERAGE(P1610:P1613)</f>
        <v/>
      </c>
      <c r="R1613" s="54">
        <f>(M1614-M1613)/M1613</f>
        <v/>
      </c>
      <c r="S1613" s="54">
        <f>(M1617-M1613)/M1613</f>
        <v/>
      </c>
      <c r="T1613" s="63">
        <f>IF(R1613&gt;0,1,"")</f>
        <v/>
      </c>
      <c r="U1613" s="63">
        <f>IF(S1613&gt;0,1,"")</f>
        <v/>
      </c>
    </row>
    <row r="1614">
      <c r="A1614" s="35" t="n">
        <v>43188</v>
      </c>
      <c r="B1614" s="4" t="n">
        <v>0.319361</v>
      </c>
      <c r="C1614" s="4" t="n">
        <v>0.327345</v>
      </c>
      <c r="D1614" s="4" t="n">
        <v>0.353293</v>
      </c>
      <c r="E1614" s="63" t="n">
        <v>0.999999</v>
      </c>
      <c r="F1614" s="63" t="n">
        <v>0.369870875</v>
      </c>
      <c r="G1614" s="63" t="n">
        <v>-0.033932</v>
      </c>
      <c r="H1614" s="63" t="n">
        <v>0.38207207896323</v>
      </c>
      <c r="I1614" s="63" t="n">
        <v>0.4832019751009</v>
      </c>
      <c r="J1614" s="63" t="n">
        <v>0.28094218282557</v>
      </c>
      <c r="K1614" s="63" t="n">
        <v>2739.14</v>
      </c>
      <c r="L1614" s="63" t="n">
        <v>2585.89</v>
      </c>
      <c r="M1614" s="63" t="n">
        <v>2605</v>
      </c>
      <c r="N1614" s="54">
        <f>(M1615-M1614)/M1614</f>
        <v/>
      </c>
      <c r="O1614" s="54">
        <f>(M1618-M1614)/M1614</f>
        <v/>
      </c>
      <c r="P1614" s="4">
        <f>B1614-D1614</f>
        <v/>
      </c>
      <c r="Q1614" s="4">
        <f>AVERAGE(P1611:P1614)</f>
        <v/>
      </c>
      <c r="R1614" s="54">
        <f>(M1615-M1614)/M1614</f>
        <v/>
      </c>
      <c r="S1614" s="54">
        <f>(M1618-M1614)/M1614</f>
        <v/>
      </c>
      <c r="T1614" s="63">
        <f>IF(R1614&gt;0,1,"")</f>
        <v/>
      </c>
      <c r="U1614" s="63">
        <f>IF(S1614&gt;0,1,"")</f>
        <v/>
      </c>
    </row>
    <row r="1615">
      <c r="A1615" s="35" t="n">
        <v>43195</v>
      </c>
      <c r="B1615" s="4" t="n">
        <v>0.318966</v>
      </c>
      <c r="C1615" s="4" t="n">
        <v>0.314655</v>
      </c>
      <c r="D1615" s="4" t="n">
        <v>0.366379</v>
      </c>
      <c r="E1615" s="63" t="n">
        <v>1</v>
      </c>
      <c r="F1615" s="63" t="n">
        <v>0.363457</v>
      </c>
      <c r="G1615" s="63" t="n">
        <v>-0.047413</v>
      </c>
      <c r="H1615" s="63" t="n">
        <v>0.38199074578313</v>
      </c>
      <c r="I1615" s="63" t="n">
        <v>0.48314445171957</v>
      </c>
      <c r="J1615" s="63" t="n">
        <v>0.2808370398467</v>
      </c>
      <c r="K1615" s="63" t="n">
        <v>2674.78</v>
      </c>
      <c r="L1615" s="63" t="n">
        <v>2553.8</v>
      </c>
      <c r="M1615" s="63" t="n">
        <v>2644.69</v>
      </c>
      <c r="N1615" s="54">
        <f>(M1616-M1615)/M1615</f>
        <v/>
      </c>
      <c r="O1615" s="54">
        <f>(M1619-M1615)/M1615</f>
        <v/>
      </c>
      <c r="P1615" s="4">
        <f>B1615-D1615</f>
        <v/>
      </c>
      <c r="Q1615" s="4">
        <f>AVERAGE(P1612:P1615)</f>
        <v/>
      </c>
      <c r="R1615" s="54">
        <f>(M1616-M1615)/M1615</f>
        <v/>
      </c>
      <c r="S1615" s="54">
        <f>(M1619-M1615)/M1615</f>
        <v/>
      </c>
      <c r="T1615" s="63">
        <f>IF(R1615&gt;0,1,"")</f>
        <v/>
      </c>
      <c r="U1615" s="63">
        <f>IF(S1615&gt;0,1,"")</f>
        <v/>
      </c>
    </row>
    <row r="1616">
      <c r="A1616" s="35" t="n">
        <v>43202</v>
      </c>
      <c r="B1616" s="4" t="n">
        <v>0.26087</v>
      </c>
      <c r="C1616" s="4" t="n">
        <v>0.311594</v>
      </c>
      <c r="D1616" s="4" t="n">
        <v>0.427536</v>
      </c>
      <c r="E1616" s="63" t="n">
        <v>1</v>
      </c>
      <c r="F1616" s="63" t="n">
        <v>0.3354165</v>
      </c>
      <c r="G1616" s="63" t="n">
        <v>-0.166666</v>
      </c>
      <c r="H1616" s="63" t="n">
        <v>0.38191003732691</v>
      </c>
      <c r="I1616" s="63" t="n">
        <v>0.48308675321917</v>
      </c>
      <c r="J1616" s="63" t="n">
        <v>0.28073332143466</v>
      </c>
      <c r="K1616" s="63" t="n">
        <v>2672.08</v>
      </c>
      <c r="L1616" s="63" t="n">
        <v>2573.61</v>
      </c>
      <c r="M1616" s="63" t="n">
        <v>2642.19</v>
      </c>
      <c r="N1616" s="54">
        <f>(M1617-M1616)/M1616</f>
        <v/>
      </c>
      <c r="O1616" s="54">
        <f>(M1620-M1616)/M1616</f>
        <v/>
      </c>
      <c r="P1616" s="4">
        <f>B1616-D1616</f>
        <v/>
      </c>
      <c r="Q1616" s="4">
        <f>AVERAGE(P1613:P1616)</f>
        <v/>
      </c>
      <c r="R1616" s="54">
        <f>(M1617-M1616)/M1616</f>
        <v/>
      </c>
      <c r="S1616" s="54">
        <f>(M1620-M1616)/M1616</f>
        <v/>
      </c>
      <c r="T1616" s="63">
        <f>IF(R1616&gt;0,1,"")</f>
        <v/>
      </c>
      <c r="U1616" s="63">
        <f>IF(S1616&gt;0,1,"")</f>
        <v/>
      </c>
    </row>
    <row r="1617">
      <c r="A1617" s="35" t="n">
        <v>43209</v>
      </c>
      <c r="B1617" s="4" t="n">
        <v>0.377834</v>
      </c>
      <c r="C1617" s="4" t="n">
        <v>0.329975</v>
      </c>
      <c r="D1617" s="4" t="n">
        <v>0.292191</v>
      </c>
      <c r="E1617" s="63" t="n">
        <v>1</v>
      </c>
      <c r="F1617" s="63" t="n">
        <v>0.32683175</v>
      </c>
      <c r="G1617" s="63" t="n">
        <v>0.085643</v>
      </c>
      <c r="H1617" s="63" t="n">
        <v>0.38181579241877</v>
      </c>
      <c r="I1617" s="63" t="n">
        <v>0.48303499466111</v>
      </c>
      <c r="J1617" s="63" t="n">
        <v>0.28059659017644</v>
      </c>
      <c r="K1617" s="63" t="n">
        <v>2717.49</v>
      </c>
      <c r="L1617" s="63" t="n">
        <v>2639.25</v>
      </c>
      <c r="M1617" s="63" t="n">
        <v>2708.64</v>
      </c>
      <c r="N1617" s="54">
        <f>(M1618-M1617)/M1617</f>
        <v/>
      </c>
      <c r="O1617" s="54">
        <f>(M1621-M1617)/M1617</f>
        <v/>
      </c>
      <c r="P1617" s="4">
        <f>B1617-D1617</f>
        <v/>
      </c>
      <c r="Q1617" s="4">
        <f>AVERAGE(P1614:P1617)</f>
        <v/>
      </c>
      <c r="R1617" s="54">
        <f>(M1618-M1617)/M1617</f>
        <v/>
      </c>
      <c r="S1617" s="54">
        <f>(M1621-M1617)/M1617</f>
        <v/>
      </c>
      <c r="T1617" s="63">
        <f>IF(R1617&gt;0,1,"")</f>
        <v/>
      </c>
      <c r="U1617" s="63">
        <f>IF(S1617&gt;0,1,"")</f>
        <v/>
      </c>
    </row>
    <row r="1618">
      <c r="A1618" s="35" t="n">
        <v>43216</v>
      </c>
      <c r="B1618" s="4" t="n">
        <v>0.369085</v>
      </c>
      <c r="C1618" s="4" t="n">
        <v>0.375394</v>
      </c>
      <c r="D1618" s="4" t="n">
        <v>0.255521</v>
      </c>
      <c r="E1618" s="63" t="n">
        <v>1</v>
      </c>
      <c r="F1618" s="63" t="n">
        <v>0.326363375</v>
      </c>
      <c r="G1618" s="63" t="n">
        <v>0.113564</v>
      </c>
      <c r="H1618" s="63" t="n">
        <v>0.38174759170175</v>
      </c>
      <c r="I1618" s="63" t="n">
        <v>0.48297455263964</v>
      </c>
      <c r="J1618" s="63" t="n">
        <v>0.28052063076386</v>
      </c>
      <c r="K1618" s="63" t="n">
        <v>2717.49</v>
      </c>
      <c r="L1618" s="63" t="n">
        <v>2612.67</v>
      </c>
      <c r="M1618" s="63" t="n">
        <v>2639.4</v>
      </c>
      <c r="N1618" s="54">
        <f>(M1619-M1618)/M1618</f>
        <v/>
      </c>
      <c r="O1618" s="54">
        <f>(M1622-M1618)/M1618</f>
        <v/>
      </c>
      <c r="P1618" s="4">
        <f>B1618-D1618</f>
        <v/>
      </c>
      <c r="Q1618" s="4">
        <f>AVERAGE(P1615:P1618)</f>
        <v/>
      </c>
      <c r="R1618" s="54">
        <f>(M1619-M1618)/M1618</f>
        <v/>
      </c>
      <c r="S1618" s="54">
        <f>(M1622-M1618)/M1618</f>
        <v/>
      </c>
      <c r="T1618" s="63">
        <f>IF(R1618&gt;0,1,"")</f>
        <v/>
      </c>
      <c r="U1618" s="63">
        <f>IF(S1618&gt;0,1,"")</f>
        <v/>
      </c>
    </row>
    <row r="1619">
      <c r="A1619" s="35" t="n">
        <v>43223</v>
      </c>
      <c r="B1619" s="4" t="n">
        <v>0.283951</v>
      </c>
      <c r="C1619" s="4" t="n">
        <v>0.41358</v>
      </c>
      <c r="D1619" s="4" t="n">
        <v>0.302469</v>
      </c>
      <c r="E1619" s="63" t="n">
        <v>1</v>
      </c>
      <c r="F1619" s="63" t="n">
        <v>0.328854</v>
      </c>
      <c r="G1619" s="63" t="n">
        <v>-0.018518</v>
      </c>
      <c r="H1619" s="63" t="n">
        <v>0.38169550901442</v>
      </c>
      <c r="I1619" s="63" t="n">
        <v>0.48291432990923</v>
      </c>
      <c r="J1619" s="63" t="n">
        <v>0.28047668811962</v>
      </c>
      <c r="K1619" s="63" t="n">
        <v>2682.87</v>
      </c>
      <c r="L1619" s="63" t="n">
        <v>2612.67</v>
      </c>
      <c r="M1619" s="63" t="n">
        <v>2635.67</v>
      </c>
      <c r="N1619" s="54">
        <f>(M1620-M1619)/M1619</f>
        <v/>
      </c>
      <c r="O1619" s="54">
        <f>(M1623-M1619)/M1619</f>
        <v/>
      </c>
      <c r="P1619" s="4">
        <f>B1619-D1619</f>
        <v/>
      </c>
      <c r="Q1619" s="4">
        <f>AVERAGE(P1616:P1619)</f>
        <v/>
      </c>
      <c r="R1619" s="54">
        <f>(M1620-M1619)/M1619</f>
        <v/>
      </c>
      <c r="S1619" s="54">
        <f>(M1623-M1619)/M1619</f>
        <v/>
      </c>
      <c r="T1619" s="63">
        <f>IF(R1619&gt;0,1,"")</f>
        <v/>
      </c>
      <c r="U1619" s="63">
        <f>IF(S1619&gt;0,1,"")</f>
        <v/>
      </c>
    </row>
    <row r="1620">
      <c r="A1620" s="35" t="n">
        <v>43230</v>
      </c>
      <c r="B1620" s="4" t="n">
        <v>0.335106</v>
      </c>
      <c r="C1620" s="4" t="n">
        <v>0.409574</v>
      </c>
      <c r="D1620" s="4" t="n">
        <v>0.255319</v>
      </c>
      <c r="E1620" s="63" t="n">
        <v>0.999999</v>
      </c>
      <c r="F1620" s="63" t="n">
        <v>0.324689625</v>
      </c>
      <c r="G1620" s="63" t="n">
        <v>0.079787</v>
      </c>
      <c r="H1620" s="63" t="n">
        <v>0.38164397417418</v>
      </c>
      <c r="I1620" s="63" t="n">
        <v>0.48285422402819</v>
      </c>
      <c r="J1620" s="63" t="n">
        <v>0.28043372432017</v>
      </c>
      <c r="K1620" s="63" t="n">
        <v>2701.27</v>
      </c>
      <c r="L1620" s="63" t="n">
        <v>2594.62</v>
      </c>
      <c r="M1620" s="63" t="n">
        <v>2697.79</v>
      </c>
      <c r="N1620" s="54">
        <f>(M1621-M1620)/M1620</f>
        <v/>
      </c>
      <c r="O1620" s="54">
        <f>(M1624-M1620)/M1620</f>
        <v/>
      </c>
      <c r="P1620" s="4">
        <f>B1620-D1620</f>
        <v/>
      </c>
      <c r="Q1620" s="4">
        <f>AVERAGE(P1617:P1620)</f>
        <v/>
      </c>
      <c r="R1620" s="54">
        <f>(M1621-M1620)/M1620</f>
        <v/>
      </c>
      <c r="S1620" s="54">
        <f>(M1624-M1620)/M1620</f>
        <v/>
      </c>
      <c r="T1620" s="63">
        <f>IF(R1620&gt;0,1,"")</f>
        <v/>
      </c>
      <c r="U1620" s="63">
        <f>IF(S1620&gt;0,1,"")</f>
        <v/>
      </c>
    </row>
    <row r="1621">
      <c r="A1621" s="35" t="n">
        <v>43237</v>
      </c>
      <c r="B1621" s="4" t="n">
        <v>0.366755</v>
      </c>
      <c r="C1621" s="4" t="n">
        <v>0.427441</v>
      </c>
      <c r="D1621" s="4" t="n">
        <v>0.205805</v>
      </c>
      <c r="E1621" s="63" t="n">
        <v>1.000001</v>
      </c>
      <c r="F1621" s="63" t="n">
        <v>0.328991</v>
      </c>
      <c r="G1621" s="63" t="n">
        <v>0.16095</v>
      </c>
      <c r="H1621" s="63" t="n">
        <v>0.38164397417418</v>
      </c>
      <c r="I1621" s="63" t="n">
        <v>0.48285422402819</v>
      </c>
      <c r="J1621" s="63" t="n">
        <v>0.28043372432017</v>
      </c>
      <c r="K1621" s="63" t="n">
        <v>2742.1</v>
      </c>
      <c r="L1621" s="63" t="n">
        <v>2674.14</v>
      </c>
      <c r="M1621" s="63" t="n">
        <v>2722.46</v>
      </c>
      <c r="N1621" s="54">
        <f>(M1622-M1621)/M1621</f>
        <v/>
      </c>
      <c r="O1621" s="54">
        <f>(M1625-M1621)/M1621</f>
        <v/>
      </c>
      <c r="P1621" s="4">
        <f>B1621-D1621</f>
        <v/>
      </c>
      <c r="Q1621" s="4">
        <f>AVERAGE(P1618:P1621)</f>
        <v/>
      </c>
      <c r="R1621" s="54">
        <f>(M1622-M1621)/M1621</f>
        <v/>
      </c>
      <c r="S1621" s="54">
        <f>(M1625-M1621)/M1621</f>
        <v/>
      </c>
      <c r="T1621" s="63">
        <f>IF(R1621&gt;0,1,"")</f>
        <v/>
      </c>
      <c r="U1621" s="63">
        <f>IF(S1621&gt;0,1,"")</f>
        <v/>
      </c>
    </row>
    <row r="1622">
      <c r="A1622" s="35" t="n">
        <v>43244</v>
      </c>
      <c r="B1622" s="4" t="n">
        <v>0.385621</v>
      </c>
      <c r="C1622" s="4" t="n">
        <v>0.362745</v>
      </c>
      <c r="D1622" s="4" t="n">
        <v>0.251634</v>
      </c>
      <c r="E1622" s="63" t="n">
        <v>1</v>
      </c>
      <c r="F1622" s="63" t="n">
        <v>0.3372735</v>
      </c>
      <c r="G1622" s="63" t="n">
        <v>0.133987</v>
      </c>
      <c r="H1622" s="63" t="n">
        <v>0.38158661007799</v>
      </c>
      <c r="I1622" s="63" t="n">
        <v>0.48274967093206</v>
      </c>
      <c r="J1622" s="63" t="n">
        <v>0.28042354922391</v>
      </c>
      <c r="K1622" s="63" t="n">
        <v>2742.24</v>
      </c>
      <c r="L1622" s="63" t="n">
        <v>2709.18</v>
      </c>
      <c r="M1622" s="63" t="n">
        <v>2733.29</v>
      </c>
      <c r="N1622" s="54">
        <f>(M1623-M1622)/M1622</f>
        <v/>
      </c>
      <c r="O1622" s="54">
        <f>(M1626-M1622)/M1622</f>
        <v/>
      </c>
      <c r="P1622" s="4">
        <f>B1622-D1622</f>
        <v/>
      </c>
      <c r="Q1622" s="4">
        <f>AVERAGE(P1619:P1622)</f>
        <v/>
      </c>
      <c r="R1622" s="54">
        <f>(M1623-M1622)/M1622</f>
        <v/>
      </c>
      <c r="S1622" s="54">
        <f>(M1626-M1622)/M1622</f>
        <v/>
      </c>
      <c r="T1622" s="63">
        <f>IF(R1622&gt;0,1,"")</f>
        <v/>
      </c>
      <c r="U1622" s="63">
        <f>IF(S1622&gt;0,1,"")</f>
        <v/>
      </c>
    </row>
    <row r="1623">
      <c r="A1623" s="35" t="n">
        <v>43251</v>
      </c>
      <c r="B1623" s="4" t="n">
        <v>0.350181</v>
      </c>
      <c r="C1623" s="4" t="n">
        <v>0.386282</v>
      </c>
      <c r="D1623" s="4" t="n">
        <v>0.263538</v>
      </c>
      <c r="E1623" s="63" t="n">
        <v>1.000001</v>
      </c>
      <c r="F1623" s="63" t="n">
        <v>0.341175375</v>
      </c>
      <c r="G1623" s="63" t="n">
        <v>0.086643</v>
      </c>
      <c r="H1623" s="63" t="n">
        <v>0.38157324640288</v>
      </c>
      <c r="I1623" s="63" t="n">
        <v>0.48270743258508</v>
      </c>
      <c r="J1623" s="63" t="n">
        <v>0.28043906022067</v>
      </c>
      <c r="K1623" s="63" t="n">
        <v>2742.24</v>
      </c>
      <c r="L1623" s="63" t="n">
        <v>2676.81</v>
      </c>
      <c r="M1623" s="63" t="n">
        <v>2724.01</v>
      </c>
      <c r="N1623" s="54">
        <f>(M1624-M1623)/M1623</f>
        <v/>
      </c>
      <c r="O1623" s="54">
        <f>(M1627-M1623)/M1623</f>
        <v/>
      </c>
      <c r="P1623" s="4">
        <f>B1623-D1623</f>
        <v/>
      </c>
      <c r="Q1623" s="4">
        <f>AVERAGE(P1620:P1623)</f>
        <v/>
      </c>
      <c r="R1623" s="54">
        <f>(M1624-M1623)/M1623</f>
        <v/>
      </c>
      <c r="S1623" s="54">
        <f>(M1627-M1623)/M1623</f>
        <v/>
      </c>
      <c r="T1623" s="63">
        <f>IF(R1623&gt;0,1,"")</f>
        <v/>
      </c>
      <c r="U1623" s="63">
        <f>IF(S1623&gt;0,1,"")</f>
        <v/>
      </c>
    </row>
    <row r="1624">
      <c r="A1624" s="35" t="n">
        <v>43258</v>
      </c>
      <c r="B1624" s="4" t="n">
        <v>0.389313</v>
      </c>
      <c r="C1624" s="4" t="n">
        <v>0.343511</v>
      </c>
      <c r="D1624" s="4" t="n">
        <v>0.267176</v>
      </c>
      <c r="E1624" s="63" t="n">
        <v>1</v>
      </c>
      <c r="F1624" s="63" t="n">
        <v>0.35723075</v>
      </c>
      <c r="G1624" s="63" t="n">
        <v>0.122137</v>
      </c>
      <c r="H1624" s="63" t="n">
        <v>0.38153480587178</v>
      </c>
      <c r="I1624" s="63" t="n">
        <v>0.48265086732973</v>
      </c>
      <c r="J1624" s="63" t="n">
        <v>0.28041874441383</v>
      </c>
      <c r="K1624" s="63" t="n">
        <v>2772.39</v>
      </c>
      <c r="L1624" s="63" t="n">
        <v>2700.68</v>
      </c>
      <c r="M1624" s="63" t="n">
        <v>2772.35</v>
      </c>
      <c r="N1624" s="54">
        <f>(M1625-M1624)/M1624</f>
        <v/>
      </c>
      <c r="O1624" s="54">
        <f>(M1628-M1624)/M1624</f>
        <v/>
      </c>
      <c r="P1624" s="4">
        <f>B1624-D1624</f>
        <v/>
      </c>
      <c r="Q1624" s="4">
        <f>AVERAGE(P1621:P1624)</f>
        <v/>
      </c>
      <c r="R1624" s="54">
        <f>(M1625-M1624)/M1624</f>
        <v/>
      </c>
      <c r="S1624" s="54">
        <f>(M1628-M1624)/M1624</f>
        <v/>
      </c>
      <c r="T1624" s="63">
        <f>IF(R1624&gt;0,1,"")</f>
        <v/>
      </c>
      <c r="U1624" s="63">
        <f>IF(S1624&gt;0,1,"")</f>
        <v/>
      </c>
    </row>
    <row r="1625">
      <c r="A1625" s="35" t="n">
        <v>43265</v>
      </c>
      <c r="B1625" s="4" t="n">
        <v>0.447802</v>
      </c>
      <c r="C1625" s="4" t="n">
        <v>0.335165</v>
      </c>
      <c r="D1625" s="4" t="n">
        <v>0.217033</v>
      </c>
      <c r="E1625" s="63" t="n">
        <v>1</v>
      </c>
      <c r="F1625" s="63" t="n">
        <v>0.36597675</v>
      </c>
      <c r="G1625" s="63" t="n">
        <v>0.230769</v>
      </c>
      <c r="H1625" s="63" t="n">
        <v>0.38153650658683</v>
      </c>
      <c r="I1625" s="63" t="n">
        <v>0.48262229498923</v>
      </c>
      <c r="J1625" s="63" t="n">
        <v>0.28045071818442</v>
      </c>
      <c r="K1625" s="63" t="n">
        <v>2791.47</v>
      </c>
      <c r="L1625" s="63" t="n">
        <v>2748.46</v>
      </c>
      <c r="M1625" s="63" t="n">
        <v>2775.63</v>
      </c>
      <c r="N1625" s="54">
        <f>(M1626-M1625)/M1625</f>
        <v/>
      </c>
      <c r="O1625" s="54">
        <f>(M1629-M1625)/M1625</f>
        <v/>
      </c>
      <c r="P1625" s="4">
        <f>B1625-D1625</f>
        <v/>
      </c>
      <c r="Q1625" s="4">
        <f>AVERAGE(P1622:P1625)</f>
        <v/>
      </c>
      <c r="R1625" s="54">
        <f>(M1626-M1625)/M1625</f>
        <v/>
      </c>
      <c r="S1625" s="54">
        <f>(M1629-M1625)/M1625</f>
        <v/>
      </c>
      <c r="T1625" s="63">
        <f>IF(R1625&gt;0,1,"")</f>
        <v/>
      </c>
      <c r="U1625" s="63">
        <f>IF(S1625&gt;0,1,"")</f>
        <v/>
      </c>
    </row>
    <row r="1626">
      <c r="A1626" s="35" t="n">
        <v>43272</v>
      </c>
      <c r="B1626" s="4" t="n">
        <v>0.387187</v>
      </c>
      <c r="C1626" s="4" t="n">
        <v>0.350975</v>
      </c>
      <c r="D1626" s="4" t="n">
        <v>0.261838</v>
      </c>
      <c r="E1626" s="63" t="n">
        <v>1</v>
      </c>
      <c r="F1626" s="63" t="n">
        <v>0.3682395</v>
      </c>
      <c r="G1626" s="63" t="n">
        <v>0.125349</v>
      </c>
      <c r="H1626" s="63" t="n">
        <v>0.38143777797726</v>
      </c>
      <c r="I1626" s="63" t="n">
        <v>0.48257385292024</v>
      </c>
      <c r="J1626" s="63" t="n">
        <v>0.28030170303428</v>
      </c>
      <c r="K1626" s="63" t="n">
        <v>2791.47</v>
      </c>
      <c r="L1626" s="63" t="n">
        <v>2743.19</v>
      </c>
      <c r="M1626" s="63" t="n">
        <v>2767.32</v>
      </c>
      <c r="N1626" s="54">
        <f>(M1627-M1626)/M1626</f>
        <v/>
      </c>
      <c r="O1626" s="54">
        <f>(M1630-M1626)/M1626</f>
        <v/>
      </c>
      <c r="P1626" s="4">
        <f>B1626-D1626</f>
        <v/>
      </c>
      <c r="Q1626" s="4">
        <f>AVERAGE(P1623:P1626)</f>
        <v/>
      </c>
      <c r="R1626" s="54">
        <f>(M1627-M1626)/M1626</f>
        <v/>
      </c>
      <c r="S1626" s="54">
        <f>(M1630-M1626)/M1626</f>
        <v/>
      </c>
      <c r="T1626" s="63">
        <f>IF(R1626&gt;0,1,"")</f>
        <v/>
      </c>
      <c r="U1626" s="63">
        <f>IF(S1626&gt;0,1,"")</f>
        <v/>
      </c>
    </row>
    <row r="1627">
      <c r="A1627" s="35" t="n">
        <v>43279</v>
      </c>
      <c r="B1627" s="4" t="n">
        <v>0.284483</v>
      </c>
      <c r="C1627" s="4" t="n">
        <v>0.307471</v>
      </c>
      <c r="D1627" s="4" t="n">
        <v>0.408046</v>
      </c>
      <c r="E1627" s="63" t="n">
        <v>1</v>
      </c>
      <c r="F1627" s="63" t="n">
        <v>0.368306</v>
      </c>
      <c r="G1627" s="63" t="n">
        <v>-0.123563</v>
      </c>
      <c r="H1627" s="63" t="n">
        <v>0.38134825777512</v>
      </c>
      <c r="I1627" s="63" t="n">
        <v>0.48252030752954</v>
      </c>
      <c r="J1627" s="63" t="n">
        <v>0.28017620802071</v>
      </c>
      <c r="K1627" s="63" t="n">
        <v>2774.86</v>
      </c>
      <c r="L1627" s="63" t="n">
        <v>2698.67</v>
      </c>
      <c r="M1627" s="63" t="n">
        <v>2699.63</v>
      </c>
      <c r="N1627" s="54">
        <f>(M1628-M1627)/M1627</f>
        <v/>
      </c>
      <c r="O1627" s="54">
        <f>(M1631-M1627)/M1627</f>
        <v/>
      </c>
      <c r="P1627" s="4">
        <f>B1627-D1627</f>
        <v/>
      </c>
      <c r="Q1627" s="4">
        <f>AVERAGE(P1624:P1627)</f>
        <v/>
      </c>
      <c r="R1627" s="54">
        <f>(M1628-M1627)/M1627</f>
        <v/>
      </c>
      <c r="S1627" s="54">
        <f>(M1631-M1627)/M1627</f>
        <v/>
      </c>
      <c r="T1627" s="63">
        <f>IF(R1627&gt;0,1,"")</f>
        <v/>
      </c>
      <c r="U1627" s="63">
        <f>IF(S1627&gt;0,1,"")</f>
        <v/>
      </c>
    </row>
    <row r="1628">
      <c r="A1628" s="35" t="n">
        <v>43286</v>
      </c>
      <c r="B1628" s="4" t="n">
        <v>0.278552</v>
      </c>
      <c r="C1628" s="4" t="n">
        <v>0.328691</v>
      </c>
      <c r="D1628" s="4" t="n">
        <v>0.392758</v>
      </c>
      <c r="E1628" s="63" t="n">
        <v>1.000001</v>
      </c>
      <c r="F1628" s="63" t="n">
        <v>0.36123675</v>
      </c>
      <c r="G1628" s="63" t="n">
        <v>-0.114206</v>
      </c>
      <c r="H1628" s="63" t="n">
        <v>0.38134825777512</v>
      </c>
      <c r="I1628" s="63" t="n">
        <v>0.48252030752954</v>
      </c>
      <c r="J1628" s="63" t="n">
        <v>0.28017620802071</v>
      </c>
      <c r="K1628" s="63" t="n">
        <v>2746.09</v>
      </c>
      <c r="L1628" s="63" t="n">
        <v>2691.99</v>
      </c>
      <c r="M1628" s="63" t="n">
        <v>2713.22</v>
      </c>
      <c r="N1628" s="54">
        <f>(M1629-M1628)/M1628</f>
        <v/>
      </c>
      <c r="O1628" s="54">
        <f>(M1632-M1628)/M1628</f>
        <v/>
      </c>
      <c r="P1628" s="4">
        <f>B1628-D1628</f>
        <v/>
      </c>
      <c r="Q1628" s="4">
        <f>AVERAGE(P1625:P1628)</f>
        <v/>
      </c>
      <c r="R1628" s="54">
        <f>(M1629-M1628)/M1628</f>
        <v/>
      </c>
      <c r="S1628" s="54">
        <f>(M1632-M1628)/M1628</f>
        <v/>
      </c>
      <c r="T1628" s="63">
        <f>IF(R1628&gt;0,1,"")</f>
        <v/>
      </c>
      <c r="U1628" s="63">
        <f>IF(S1628&gt;0,1,"")</f>
        <v/>
      </c>
    </row>
    <row r="1629">
      <c r="A1629" s="35" t="n">
        <v>43293</v>
      </c>
      <c r="B1629" s="4" t="n">
        <v>0.430508</v>
      </c>
      <c r="C1629" s="4" t="n">
        <v>0.277966</v>
      </c>
      <c r="D1629" s="4" t="n">
        <v>0.291525</v>
      </c>
      <c r="E1629" s="63" t="n">
        <v>0.999999</v>
      </c>
      <c r="F1629" s="63" t="n">
        <v>0.369205875</v>
      </c>
      <c r="G1629" s="63" t="n">
        <v>0.138983</v>
      </c>
      <c r="H1629" s="63" t="n">
        <v>0.38134825777512</v>
      </c>
      <c r="I1629" s="63" t="n">
        <v>0.48252030752954</v>
      </c>
      <c r="J1629" s="63" t="n">
        <v>0.28017620802071</v>
      </c>
      <c r="K1629" s="63" t="n">
        <v>2795.58</v>
      </c>
      <c r="L1629" s="63" t="n">
        <v>2711.16</v>
      </c>
      <c r="M1629" s="63" t="n">
        <v>2774.02</v>
      </c>
      <c r="N1629" s="54">
        <f>(M1630-M1629)/M1629</f>
        <v/>
      </c>
      <c r="O1629" s="54">
        <f>(M1633-M1629)/M1629</f>
        <v/>
      </c>
      <c r="P1629" s="4">
        <f>B1629-D1629</f>
        <v/>
      </c>
      <c r="Q1629" s="4">
        <f>AVERAGE(P1626:P1629)</f>
        <v/>
      </c>
      <c r="R1629" s="54">
        <f>(M1630-M1629)/M1629</f>
        <v/>
      </c>
      <c r="S1629" s="54">
        <f>(M1633-M1629)/M1629</f>
        <v/>
      </c>
      <c r="T1629" s="63">
        <f>IF(R1629&gt;0,1,"")</f>
        <v/>
      </c>
      <c r="U1629" s="63">
        <f>IF(S1629&gt;0,1,"")</f>
        <v/>
      </c>
    </row>
    <row r="1630">
      <c r="A1630" s="35" t="n">
        <v>43300</v>
      </c>
      <c r="B1630" s="4" t="n">
        <v>0.346633</v>
      </c>
      <c r="C1630" s="4" t="n">
        <v>0.40399</v>
      </c>
      <c r="D1630" s="4" t="n">
        <v>0.249377</v>
      </c>
      <c r="E1630" s="63" t="n">
        <v>1</v>
      </c>
      <c r="F1630" s="63" t="n">
        <v>0.364332375</v>
      </c>
      <c r="G1630" s="63" t="n">
        <v>0.097256</v>
      </c>
      <c r="H1630" s="63" t="n">
        <v>0.38134825777512</v>
      </c>
      <c r="I1630" s="63" t="n">
        <v>0.48252030752954</v>
      </c>
      <c r="J1630" s="63" t="n">
        <v>0.28017620802071</v>
      </c>
      <c r="K1630" s="63" t="n">
        <v>2816.76</v>
      </c>
      <c r="L1630" s="63" t="n">
        <v>2770.77</v>
      </c>
      <c r="M1630" s="63" t="n">
        <v>2815.62</v>
      </c>
      <c r="N1630" s="54">
        <f>(M1631-M1630)/M1630</f>
        <v/>
      </c>
      <c r="O1630" s="54">
        <f>(M1634-M1630)/M1630</f>
        <v/>
      </c>
      <c r="P1630" s="4">
        <f>B1630-D1630</f>
        <v/>
      </c>
      <c r="Q1630" s="4">
        <f>AVERAGE(P1627:P1630)</f>
        <v/>
      </c>
      <c r="R1630" s="54">
        <f>(M1631-M1630)/M1630</f>
        <v/>
      </c>
      <c r="S1630" s="54">
        <f>(M1634-M1630)/M1630</f>
        <v/>
      </c>
      <c r="T1630" s="63">
        <f>IF(R1630&gt;0,1,"")</f>
        <v/>
      </c>
      <c r="U1630" s="63">
        <f>IF(S1630&gt;0,1,"")</f>
        <v/>
      </c>
    </row>
    <row r="1631">
      <c r="A1631" s="35" t="n">
        <v>43307</v>
      </c>
      <c r="B1631" s="4" t="n">
        <v>0.315217</v>
      </c>
      <c r="C1631" s="4" t="n">
        <v>0.415761</v>
      </c>
      <c r="D1631" s="4" t="n">
        <v>0.269022</v>
      </c>
      <c r="E1631" s="63" t="n">
        <v>1</v>
      </c>
      <c r="F1631" s="63" t="n">
        <v>0.359961875</v>
      </c>
      <c r="G1631" s="63" t="n">
        <v>0.046195</v>
      </c>
      <c r="H1631" s="63" t="n">
        <v>0.38134825777512</v>
      </c>
      <c r="I1631" s="63" t="n">
        <v>0.48252030752954</v>
      </c>
      <c r="J1631" s="63" t="n">
        <v>0.28017620802071</v>
      </c>
      <c r="K1631" s="63" t="n">
        <v>2848.03</v>
      </c>
      <c r="L1631" s="63" t="n">
        <v>2795.14</v>
      </c>
      <c r="M1631" s="63" t="n">
        <v>2846.07</v>
      </c>
      <c r="N1631" s="54">
        <f>(M1632-M1631)/M1631</f>
        <v/>
      </c>
      <c r="O1631" s="54">
        <f>(M1635-M1631)/M1631</f>
        <v/>
      </c>
      <c r="P1631" s="4">
        <f>B1631-D1631</f>
        <v/>
      </c>
      <c r="Q1631" s="4">
        <f>AVERAGE(P1628:P1631)</f>
        <v/>
      </c>
      <c r="R1631" s="54">
        <f>(M1632-M1631)/M1631</f>
        <v/>
      </c>
      <c r="S1631" s="54">
        <f>(M1635-M1631)/M1631</f>
        <v/>
      </c>
      <c r="T1631" s="63">
        <f>IF(R1631&gt;0,1,"")</f>
        <v/>
      </c>
      <c r="U1631" s="63">
        <f>IF(S1631&gt;0,1,"")</f>
        <v/>
      </c>
    </row>
    <row r="1632">
      <c r="A1632" s="35" t="n">
        <v>43314</v>
      </c>
      <c r="B1632" s="4" t="n">
        <v>0.291105</v>
      </c>
      <c r="C1632" s="4" t="n">
        <v>0.38814</v>
      </c>
      <c r="D1632" s="4" t="n">
        <v>0.320755</v>
      </c>
      <c r="E1632" s="63" t="n">
        <v>1</v>
      </c>
      <c r="F1632" s="63" t="n">
        <v>0.347685875</v>
      </c>
      <c r="G1632" s="63" t="n">
        <v>-0.02965</v>
      </c>
      <c r="H1632" s="63" t="n">
        <v>0.38134825777512</v>
      </c>
      <c r="I1632" s="63" t="n">
        <v>0.48252030752954</v>
      </c>
      <c r="J1632" s="63" t="n">
        <v>0.28017620802071</v>
      </c>
      <c r="K1632" s="63" t="n">
        <v>2848.03</v>
      </c>
      <c r="L1632" s="63" t="n">
        <v>2798.11</v>
      </c>
      <c r="M1632" s="63" t="n">
        <v>2813.36</v>
      </c>
      <c r="N1632" s="54">
        <f>(M1633-M1632)/M1632</f>
        <v/>
      </c>
      <c r="O1632" s="54">
        <f>(M1636-M1632)/M1632</f>
        <v/>
      </c>
      <c r="P1632" s="4">
        <f>B1632-D1632</f>
        <v/>
      </c>
      <c r="Q1632" s="4">
        <f>AVERAGE(P1629:P1632)</f>
        <v/>
      </c>
      <c r="R1632" s="54">
        <f>(M1633-M1632)/M1632</f>
        <v/>
      </c>
      <c r="S1632" s="54">
        <f>(M1636-M1632)/M1632</f>
        <v/>
      </c>
      <c r="T1632" s="63">
        <f>IF(R1632&gt;0,1,"")</f>
        <v/>
      </c>
      <c r="U1632" s="63">
        <f>IF(S1632&gt;0,1,"")</f>
        <v/>
      </c>
    </row>
    <row r="1633">
      <c r="A1633" s="35" t="n">
        <v>43321</v>
      </c>
      <c r="B1633" s="4" t="n">
        <v>0.363636</v>
      </c>
      <c r="C1633" s="4" t="n">
        <v>0.326019</v>
      </c>
      <c r="D1633" s="4" t="n">
        <v>0.310345</v>
      </c>
      <c r="E1633" s="63" t="n">
        <v>1</v>
      </c>
      <c r="F1633" s="63" t="n">
        <v>0.337165125</v>
      </c>
      <c r="G1633" s="63" t="n">
        <v>0.053291</v>
      </c>
      <c r="H1633" s="63" t="n">
        <v>0.38134825777512</v>
      </c>
      <c r="I1633" s="63" t="n">
        <v>0.48252030752954</v>
      </c>
      <c r="J1633" s="63" t="n">
        <v>0.28017620802071</v>
      </c>
      <c r="K1633" s="63" t="n">
        <v>2863.43</v>
      </c>
      <c r="L1633" s="63" t="n">
        <v>2796.34</v>
      </c>
      <c r="M1633" s="63" t="n">
        <v>2857.7</v>
      </c>
      <c r="N1633" s="54">
        <f>(M1634-M1633)/M1633</f>
        <v/>
      </c>
      <c r="O1633" s="54">
        <f>(M1637-M1633)/M1633</f>
        <v/>
      </c>
      <c r="P1633" s="4">
        <f>B1633-D1633</f>
        <v/>
      </c>
      <c r="Q1633" s="4">
        <f>AVERAGE(P1630:P1633)</f>
        <v/>
      </c>
      <c r="R1633" s="54">
        <f>(M1634-M1633)/M1633</f>
        <v/>
      </c>
      <c r="S1633" s="54">
        <f>(M1637-M1633)/M1633</f>
        <v/>
      </c>
      <c r="T1633" s="63">
        <f>IF(R1633&gt;0,1,"")</f>
        <v/>
      </c>
      <c r="U1633" s="63">
        <f>IF(S1633&gt;0,1,"")</f>
        <v/>
      </c>
    </row>
    <row r="1634">
      <c r="A1634" s="35" t="n">
        <v>43328</v>
      </c>
      <c r="B1634" s="4" t="n">
        <v>0.361702</v>
      </c>
      <c r="C1634" s="4" t="n">
        <v>0.347518</v>
      </c>
      <c r="D1634" s="4" t="n">
        <v>0.29078</v>
      </c>
      <c r="E1634" s="63" t="n">
        <v>1</v>
      </c>
      <c r="F1634" s="63" t="n">
        <v>0.3339795</v>
      </c>
      <c r="G1634" s="63" t="n">
        <v>0.070922</v>
      </c>
      <c r="H1634" s="63" t="n">
        <v>0.38134825777512</v>
      </c>
      <c r="I1634" s="63" t="n">
        <v>0.48252030752954</v>
      </c>
      <c r="J1634" s="63" t="n">
        <v>0.28017620802071</v>
      </c>
      <c r="K1634" s="63" t="n">
        <v>2862.48</v>
      </c>
      <c r="L1634" s="63" t="n">
        <v>2802.49</v>
      </c>
      <c r="M1634" s="63" t="n">
        <v>2818.37</v>
      </c>
      <c r="N1634" s="54">
        <f>(M1635-M1634)/M1634</f>
        <v/>
      </c>
      <c r="O1634" s="54">
        <f>(M1638-M1634)/M1634</f>
        <v/>
      </c>
      <c r="P1634" s="4">
        <f>B1634-D1634</f>
        <v/>
      </c>
      <c r="Q1634" s="4">
        <f>AVERAGE(P1631:P1634)</f>
        <v/>
      </c>
      <c r="R1634" s="54">
        <f>(M1635-M1634)/M1634</f>
        <v/>
      </c>
      <c r="S1634" s="54">
        <f>(M1638-M1634)/M1634</f>
        <v/>
      </c>
      <c r="T1634" s="63">
        <f>IF(R1634&gt;0,1,"")</f>
        <v/>
      </c>
      <c r="U1634" s="63">
        <f>IF(S1634&gt;0,1,"")</f>
        <v/>
      </c>
    </row>
    <row r="1635">
      <c r="A1635" s="35" t="n">
        <v>43335</v>
      </c>
      <c r="B1635" s="4" t="n">
        <v>0.384615</v>
      </c>
      <c r="C1635" s="4" t="n">
        <v>0.344729</v>
      </c>
      <c r="D1635" s="4" t="n">
        <v>0.270655</v>
      </c>
      <c r="E1635" s="63" t="n">
        <v>0.999999</v>
      </c>
      <c r="F1635" s="63" t="n">
        <v>0.346496</v>
      </c>
      <c r="G1635" s="63" t="n">
        <v>0.11396</v>
      </c>
      <c r="H1635" s="63" t="n">
        <v>0.38134825777512</v>
      </c>
      <c r="I1635" s="63" t="n">
        <v>0.48252030752954</v>
      </c>
      <c r="J1635" s="63" t="n">
        <v>0.28017620802071</v>
      </c>
      <c r="K1635" s="63" t="n">
        <v>2873.23</v>
      </c>
      <c r="L1635" s="63" t="n">
        <v>2802.49</v>
      </c>
      <c r="M1635" s="63" t="n">
        <v>2861.82</v>
      </c>
      <c r="N1635" s="54">
        <f>(M1636-M1635)/M1635</f>
        <v/>
      </c>
      <c r="O1635" s="54">
        <f>(M1639-M1635)/M1635</f>
        <v/>
      </c>
      <c r="P1635" s="4">
        <f>B1635-D1635</f>
        <v/>
      </c>
      <c r="Q1635" s="4">
        <f>AVERAGE(P1632:P1635)</f>
        <v/>
      </c>
      <c r="R1635" s="54">
        <f>(M1636-M1635)/M1635</f>
        <v/>
      </c>
      <c r="S1635" s="54">
        <f>(M1639-M1635)/M1635</f>
        <v/>
      </c>
      <c r="T1635" s="63">
        <f>IF(R1635&gt;0,1,"")</f>
        <v/>
      </c>
      <c r="U1635" s="63">
        <f>IF(S1635&gt;0,1,"")</f>
        <v/>
      </c>
    </row>
    <row r="1636">
      <c r="A1636" s="35" t="n">
        <v>43342</v>
      </c>
      <c r="B1636" s="4" t="n">
        <v>0.434959</v>
      </c>
      <c r="C1636" s="4" t="n">
        <v>0.321138</v>
      </c>
      <c r="D1636" s="4" t="n">
        <v>0.243902</v>
      </c>
      <c r="E1636" s="63" t="n">
        <v>0.999999</v>
      </c>
      <c r="F1636" s="63" t="n">
        <v>0.366046875</v>
      </c>
      <c r="G1636" s="63" t="n">
        <v>0.191057</v>
      </c>
      <c r="H1636" s="63" t="n">
        <v>0.38134825777512</v>
      </c>
      <c r="I1636" s="63" t="n">
        <v>0.48252030752954</v>
      </c>
      <c r="J1636" s="63" t="n">
        <v>0.28017620802071</v>
      </c>
      <c r="K1636" s="63" t="n">
        <v>2916.5</v>
      </c>
      <c r="L1636" s="63" t="n">
        <v>2854.03</v>
      </c>
      <c r="M1636" s="63" t="n">
        <v>2914.04</v>
      </c>
      <c r="N1636" s="54">
        <f>(M1637-M1636)/M1636</f>
        <v/>
      </c>
      <c r="O1636" s="54">
        <f>(M1640-M1636)/M1636</f>
        <v/>
      </c>
      <c r="P1636" s="4">
        <f>B1636-D1636</f>
        <v/>
      </c>
      <c r="Q1636" s="4">
        <f>AVERAGE(P1633:P1636)</f>
        <v/>
      </c>
      <c r="R1636" s="54">
        <f>(M1637-M1636)/M1636</f>
        <v/>
      </c>
      <c r="S1636" s="54">
        <f>(M1640-M1636)/M1636</f>
        <v/>
      </c>
      <c r="T1636" s="63">
        <f>IF(R1636&gt;0,1,"")</f>
        <v/>
      </c>
      <c r="U1636" s="63">
        <f>IF(S1636&gt;0,1,"")</f>
        <v/>
      </c>
    </row>
    <row r="1637">
      <c r="A1637" s="35" t="n">
        <v>43349</v>
      </c>
      <c r="B1637" s="4" t="n">
        <v>0.422222</v>
      </c>
      <c r="C1637" s="4" t="n">
        <v>0.314815</v>
      </c>
      <c r="D1637" s="4" t="n">
        <v>0.262963</v>
      </c>
      <c r="E1637" s="63" t="n">
        <v>1</v>
      </c>
      <c r="F1637" s="63" t="n">
        <v>0.365011125</v>
      </c>
      <c r="G1637" s="63" t="n">
        <v>0.159259</v>
      </c>
      <c r="H1637" s="63" t="n">
        <v>0.38134825777512</v>
      </c>
      <c r="I1637" s="63" t="n">
        <v>0.48252030752954</v>
      </c>
      <c r="J1637" s="63" t="n">
        <v>0.28017620802071</v>
      </c>
      <c r="K1637" s="63" t="n">
        <v>2916.5</v>
      </c>
      <c r="L1637" s="63" t="n">
        <v>2876.92</v>
      </c>
      <c r="M1637" s="63" t="n">
        <v>2888.6</v>
      </c>
      <c r="N1637" s="54">
        <f>(M1638-M1637)/M1637</f>
        <v/>
      </c>
      <c r="O1637" s="54">
        <f>(M1641-M1637)/M1637</f>
        <v/>
      </c>
      <c r="P1637" s="4">
        <f>B1637-D1637</f>
        <v/>
      </c>
      <c r="Q1637" s="4">
        <f>AVERAGE(P1634:P1637)</f>
        <v/>
      </c>
      <c r="R1637" s="54">
        <f>(M1638-M1637)/M1637</f>
        <v/>
      </c>
      <c r="S1637" s="54">
        <f>(M1641-M1637)/M1637</f>
        <v/>
      </c>
      <c r="T1637" s="63">
        <f>IF(R1637&gt;0,1,"")</f>
        <v/>
      </c>
      <c r="U1637" s="63">
        <f>IF(S1637&gt;0,1,"")</f>
        <v/>
      </c>
    </row>
    <row r="1638">
      <c r="A1638" s="35" t="n">
        <v>43356</v>
      </c>
      <c r="B1638" s="4" t="n">
        <v>0.320896</v>
      </c>
      <c r="C1638" s="4" t="n">
        <v>0.350746</v>
      </c>
      <c r="D1638" s="4" t="n">
        <v>0.328358</v>
      </c>
      <c r="E1638" s="63" t="n">
        <v>1</v>
      </c>
      <c r="F1638" s="63" t="n">
        <v>0.361794</v>
      </c>
      <c r="G1638" s="63" t="n">
        <v>-0.007462</v>
      </c>
      <c r="H1638" s="63" t="n">
        <v>0.38134825777512</v>
      </c>
      <c r="I1638" s="63" t="n">
        <v>0.48252030752954</v>
      </c>
      <c r="J1638" s="63" t="n">
        <v>0.28017620802071</v>
      </c>
      <c r="K1638" s="63" t="n">
        <v>2894.65</v>
      </c>
      <c r="L1638" s="63" t="n">
        <v>2864.12</v>
      </c>
      <c r="M1638" s="63" t="n">
        <v>2888.92</v>
      </c>
      <c r="N1638" s="54">
        <f>(M1639-M1638)/M1638</f>
        <v/>
      </c>
      <c r="O1638" s="54">
        <f>(M1642-M1638)/M1638</f>
        <v/>
      </c>
      <c r="P1638" s="4">
        <f>B1638-D1638</f>
        <v/>
      </c>
      <c r="Q1638" s="4">
        <f>AVERAGE(P1635:P1638)</f>
        <v/>
      </c>
      <c r="R1638" s="54">
        <f>(M1639-M1638)/M1638</f>
        <v/>
      </c>
      <c r="S1638" s="54">
        <f>(M1642-M1638)/M1638</f>
        <v/>
      </c>
      <c r="T1638" s="63">
        <f>IF(R1638&gt;0,1,"")</f>
        <v/>
      </c>
      <c r="U1638" s="63">
        <f>IF(S1638&gt;0,1,"")</f>
        <v/>
      </c>
    </row>
    <row r="1639">
      <c r="A1639" s="35" t="n">
        <v>43363</v>
      </c>
      <c r="B1639" s="4" t="n">
        <v>0.320423</v>
      </c>
      <c r="C1639" s="4" t="n">
        <v>0.359155</v>
      </c>
      <c r="D1639" s="4" t="n">
        <v>0.320423</v>
      </c>
      <c r="E1639" s="63" t="n">
        <v>1.000001</v>
      </c>
      <c r="F1639" s="63" t="n">
        <v>0.36244475</v>
      </c>
      <c r="G1639" s="63" t="n">
        <v>0</v>
      </c>
      <c r="H1639" s="63" t="n">
        <v>0.38134825777512</v>
      </c>
      <c r="I1639" s="63" t="n">
        <v>0.48252030752954</v>
      </c>
      <c r="J1639" s="63" t="n">
        <v>0.28017620802071</v>
      </c>
      <c r="K1639" s="63" t="n">
        <v>2912.36</v>
      </c>
      <c r="L1639" s="63" t="n">
        <v>2879.2</v>
      </c>
      <c r="M1639" s="63" t="n">
        <v>2907.95</v>
      </c>
      <c r="N1639" s="54">
        <f>(M1640-M1639)/M1639</f>
        <v/>
      </c>
      <c r="O1639" s="54">
        <f>(M1643-M1639)/M1639</f>
        <v/>
      </c>
      <c r="P1639" s="4">
        <f>B1639-D1639</f>
        <v/>
      </c>
      <c r="Q1639" s="4">
        <f>AVERAGE(P1636:P1639)</f>
        <v/>
      </c>
      <c r="R1639" s="54">
        <f>(M1640-M1639)/M1639</f>
        <v/>
      </c>
      <c r="S1639" s="54">
        <f>(M1643-M1639)/M1639</f>
        <v/>
      </c>
      <c r="T1639" s="63">
        <f>IF(R1639&gt;0,1,"")</f>
        <v/>
      </c>
      <c r="U1639" s="63">
        <f>IF(S1639&gt;0,1,"")</f>
        <v/>
      </c>
    </row>
    <row r="1640">
      <c r="A1640" s="35" t="n">
        <v>43370</v>
      </c>
      <c r="B1640" s="4" t="n">
        <v>0.362205</v>
      </c>
      <c r="C1640" s="4" t="n">
        <v>0.326772</v>
      </c>
      <c r="D1640" s="4" t="n">
        <v>0.311024</v>
      </c>
      <c r="E1640" s="63" t="n">
        <v>1.000001</v>
      </c>
      <c r="F1640" s="63" t="n">
        <v>0.37133225</v>
      </c>
      <c r="G1640" s="63" t="n">
        <v>0.051181</v>
      </c>
      <c r="H1640" s="63" t="n">
        <v>0.38134825777512</v>
      </c>
      <c r="I1640" s="63" t="n">
        <v>0.48252030752954</v>
      </c>
      <c r="J1640" s="63" t="n">
        <v>0.28017620802071</v>
      </c>
      <c r="K1640" s="63" t="n">
        <v>2940.91</v>
      </c>
      <c r="L1640" s="63" t="n">
        <v>2903.28</v>
      </c>
      <c r="M1640" s="63" t="n">
        <v>2905.97</v>
      </c>
      <c r="N1640" s="54">
        <f>(M1641-M1640)/M1640</f>
        <v/>
      </c>
      <c r="O1640" s="54">
        <f>(M1644-M1640)/M1640</f>
        <v/>
      </c>
      <c r="P1640" s="4">
        <f>B1640-D1640</f>
        <v/>
      </c>
      <c r="Q1640" s="4">
        <f>AVERAGE(P1637:P1640)</f>
        <v/>
      </c>
      <c r="R1640" s="54">
        <f>(M1641-M1640)/M1640</f>
        <v/>
      </c>
      <c r="S1640" s="54">
        <f>(M1644-M1640)/M1640</f>
        <v/>
      </c>
      <c r="T1640" s="63">
        <f>IF(R1640&gt;0,1,"")</f>
        <v/>
      </c>
      <c r="U1640" s="63">
        <f>IF(S1640&gt;0,1,"")</f>
        <v/>
      </c>
    </row>
    <row r="1641">
      <c r="A1641" s="35" t="n">
        <v>43377</v>
      </c>
      <c r="B1641" s="4" t="n">
        <v>0.456621</v>
      </c>
      <c r="C1641" s="4" t="n">
        <v>0.292237</v>
      </c>
      <c r="D1641" s="4" t="n">
        <v>0.251142</v>
      </c>
      <c r="E1641" s="63" t="n">
        <v>1</v>
      </c>
      <c r="F1641" s="63" t="n">
        <v>0.382955375</v>
      </c>
      <c r="G1641" s="63" t="n">
        <v>0.205479</v>
      </c>
      <c r="H1641" s="63" t="n">
        <v>0.38134825777512</v>
      </c>
      <c r="I1641" s="63" t="n">
        <v>0.48252030752954</v>
      </c>
      <c r="J1641" s="63" t="n">
        <v>0.28017620802071</v>
      </c>
      <c r="K1641" s="63" t="n">
        <v>2939.86</v>
      </c>
      <c r="L1641" s="63" t="n">
        <v>2903.28</v>
      </c>
      <c r="M1641" s="63" t="n">
        <v>2925.51</v>
      </c>
      <c r="N1641" s="54">
        <f>(M1642-M1641)/M1641</f>
        <v/>
      </c>
      <c r="O1641" s="54">
        <f>(M1645-M1641)/M1641</f>
        <v/>
      </c>
      <c r="P1641" s="4">
        <f>B1641-D1641</f>
        <v/>
      </c>
      <c r="Q1641" s="4">
        <f>AVERAGE(P1638:P1641)</f>
        <v/>
      </c>
      <c r="R1641" s="54">
        <f>(M1642-M1641)/M1641</f>
        <v/>
      </c>
      <c r="S1641" s="54">
        <f>(M1645-M1641)/M1641</f>
        <v/>
      </c>
      <c r="T1641" s="63">
        <f>IF(R1641&gt;0,1,"")</f>
        <v/>
      </c>
      <c r="U1641" s="63">
        <f>IF(S1641&gt;0,1,"")</f>
        <v/>
      </c>
    </row>
    <row r="1642">
      <c r="A1642" s="35" t="n">
        <v>43384</v>
      </c>
      <c r="B1642" s="4" t="n">
        <v>0.306061</v>
      </c>
      <c r="C1642" s="4" t="n">
        <v>0.339394</v>
      </c>
      <c r="D1642" s="4" t="n">
        <v>0.354545</v>
      </c>
      <c r="E1642" s="63" t="n">
        <v>1</v>
      </c>
      <c r="F1642" s="63" t="n">
        <v>0.37600025</v>
      </c>
      <c r="G1642" s="63" t="n">
        <v>-0.048484</v>
      </c>
      <c r="H1642" s="63" t="n">
        <v>0.38134825777512</v>
      </c>
      <c r="I1642" s="63" t="n">
        <v>0.48252030752954</v>
      </c>
      <c r="J1642" s="63" t="n">
        <v>0.28017620802071</v>
      </c>
      <c r="K1642" s="63" t="n">
        <v>2939.86</v>
      </c>
      <c r="L1642" s="63" t="n">
        <v>2784.86</v>
      </c>
      <c r="M1642" s="63" t="n">
        <v>2785.68</v>
      </c>
      <c r="N1642" s="54">
        <f>(M1643-M1642)/M1642</f>
        <v/>
      </c>
      <c r="O1642" s="54">
        <f>(M1646-M1642)/M1642</f>
        <v/>
      </c>
      <c r="P1642" s="4">
        <f>B1642-D1642</f>
        <v/>
      </c>
      <c r="Q1642" s="4">
        <f>AVERAGE(P1639:P1642)</f>
        <v/>
      </c>
      <c r="R1642" s="54">
        <f>(M1643-M1642)/M1642</f>
        <v/>
      </c>
      <c r="S1642" s="54">
        <f>(M1646-M1642)/M1642</f>
        <v/>
      </c>
      <c r="T1642" s="63">
        <f>IF(R1642&gt;0,1,"")</f>
        <v/>
      </c>
      <c r="U1642" s="63">
        <f>IF(S1642&gt;0,1,"")</f>
        <v/>
      </c>
    </row>
    <row r="1643">
      <c r="A1643" s="35" t="n">
        <v>43391</v>
      </c>
      <c r="B1643" s="4" t="n">
        <v>0.33935</v>
      </c>
      <c r="C1643" s="4" t="n">
        <v>0.310469</v>
      </c>
      <c r="D1643" s="4" t="n">
        <v>0.350181</v>
      </c>
      <c r="E1643" s="63" t="n">
        <v>1</v>
      </c>
      <c r="F1643" s="63" t="n">
        <v>0.370342125</v>
      </c>
      <c r="G1643" s="63" t="n">
        <v>-0.010831</v>
      </c>
      <c r="H1643" s="63" t="n">
        <v>0.38134825777512</v>
      </c>
      <c r="I1643" s="63" t="n">
        <v>0.48252030752954</v>
      </c>
      <c r="J1643" s="63" t="n">
        <v>0.28017620802071</v>
      </c>
      <c r="K1643" s="63" t="n">
        <v>2874.02</v>
      </c>
      <c r="L1643" s="63" t="n">
        <v>2710.51</v>
      </c>
      <c r="M1643" s="63" t="n">
        <v>2809.21</v>
      </c>
      <c r="N1643" s="54">
        <f>(M1644-M1643)/M1643</f>
        <v/>
      </c>
      <c r="O1643" s="54">
        <f>(M1647-M1643)/M1643</f>
        <v/>
      </c>
      <c r="P1643" s="4">
        <f>B1643-D1643</f>
        <v/>
      </c>
      <c r="Q1643" s="4">
        <f>AVERAGE(P1640:P1643)</f>
        <v/>
      </c>
      <c r="R1643" s="54">
        <f>(M1644-M1643)/M1643</f>
        <v/>
      </c>
      <c r="S1643" s="54">
        <f>(M1647-M1643)/M1643</f>
        <v/>
      </c>
      <c r="T1643" s="63">
        <f>IF(R1643&gt;0,1,"")</f>
        <v/>
      </c>
      <c r="U1643" s="63">
        <f>IF(S1643&gt;0,1,"")</f>
        <v/>
      </c>
    </row>
    <row r="1644">
      <c r="A1644" s="35" t="n">
        <v>43398</v>
      </c>
      <c r="B1644" s="4" t="n">
        <v>0.279693</v>
      </c>
      <c r="C1644" s="4" t="n">
        <v>0.310345</v>
      </c>
      <c r="D1644" s="4" t="n">
        <v>0.409962</v>
      </c>
      <c r="E1644" s="63" t="n">
        <v>1</v>
      </c>
      <c r="F1644" s="63" t="n">
        <v>0.350933875</v>
      </c>
      <c r="G1644" s="63" t="n">
        <v>-0.130269</v>
      </c>
      <c r="H1644" s="63" t="n">
        <v>0.38134825777512</v>
      </c>
      <c r="I1644" s="63" t="n">
        <v>0.48252030752954</v>
      </c>
      <c r="J1644" s="63" t="n">
        <v>0.28017620802071</v>
      </c>
      <c r="K1644" s="63" t="n">
        <v>2816.94</v>
      </c>
      <c r="L1644" s="63" t="n">
        <v>2651.89</v>
      </c>
      <c r="M1644" s="63" t="n">
        <v>2656.1</v>
      </c>
      <c r="N1644" s="54">
        <f>(M1645-M1644)/M1644</f>
        <v/>
      </c>
      <c r="O1644" s="54">
        <f>(M1648-M1644)/M1644</f>
        <v/>
      </c>
      <c r="P1644" s="4">
        <f>B1644-D1644</f>
        <v/>
      </c>
      <c r="Q1644" s="4">
        <f>AVERAGE(P1641:P1644)</f>
        <v/>
      </c>
      <c r="R1644" s="54">
        <f>(M1645-M1644)/M1644</f>
        <v/>
      </c>
      <c r="S1644" s="54">
        <f>(M1648-M1644)/M1644</f>
        <v/>
      </c>
      <c r="T1644" s="63">
        <f>IF(R1644&gt;0,1,"")</f>
        <v/>
      </c>
      <c r="U1644" s="63">
        <f>IF(S1644&gt;0,1,"")</f>
        <v/>
      </c>
    </row>
    <row r="1645">
      <c r="A1645" s="35" t="n">
        <v>43405</v>
      </c>
      <c r="B1645" s="4" t="n">
        <v>0.37931</v>
      </c>
      <c r="C1645" s="4" t="n">
        <v>0.275862</v>
      </c>
      <c r="D1645" s="4" t="n">
        <v>0.344828</v>
      </c>
      <c r="E1645" s="63" t="n">
        <v>1</v>
      </c>
      <c r="F1645" s="63" t="n">
        <v>0.345569875</v>
      </c>
      <c r="G1645" s="63" t="n">
        <v>0.034482</v>
      </c>
      <c r="H1645" s="63" t="n">
        <v>0.38134825777512</v>
      </c>
      <c r="I1645" s="63" t="n">
        <v>0.48252030752954</v>
      </c>
      <c r="J1645" s="63" t="n">
        <v>0.28017620802071</v>
      </c>
      <c r="K1645" s="63" t="n">
        <v>2742.59</v>
      </c>
      <c r="L1645" s="63" t="n">
        <v>2603.54</v>
      </c>
      <c r="M1645" s="63" t="n">
        <v>2711.74</v>
      </c>
      <c r="N1645" s="54">
        <f>(M1646-M1645)/M1645</f>
        <v/>
      </c>
      <c r="O1645" s="54">
        <f>(M1649-M1645)/M1645</f>
        <v/>
      </c>
      <c r="P1645" s="4">
        <f>B1645-D1645</f>
        <v/>
      </c>
      <c r="Q1645" s="4">
        <f>AVERAGE(P1642:P1645)</f>
        <v/>
      </c>
      <c r="R1645" s="54">
        <f>(M1646-M1645)/M1645</f>
        <v/>
      </c>
      <c r="S1645" s="54">
        <f>(M1649-M1645)/M1645</f>
        <v/>
      </c>
      <c r="T1645" s="63">
        <f>IF(R1645&gt;0,1,"")</f>
        <v/>
      </c>
      <c r="U1645" s="63">
        <f>IF(S1645&gt;0,1,"")</f>
        <v/>
      </c>
    </row>
    <row r="1646">
      <c r="A1646" s="35" t="n">
        <v>43412</v>
      </c>
      <c r="B1646" s="4" t="n">
        <v>0.412844</v>
      </c>
      <c r="C1646" s="4" t="n">
        <v>0.275229</v>
      </c>
      <c r="D1646" s="4" t="n">
        <v>0.311927</v>
      </c>
      <c r="E1646" s="63" t="n">
        <v>1</v>
      </c>
      <c r="F1646" s="63" t="n">
        <v>0.357063375</v>
      </c>
      <c r="G1646" s="63" t="n">
        <v>0.100917</v>
      </c>
      <c r="H1646" s="63" t="n">
        <v>0.38134825777512</v>
      </c>
      <c r="I1646" s="63" t="n">
        <v>0.48252030752954</v>
      </c>
      <c r="J1646" s="63" t="n">
        <v>0.28017620802071</v>
      </c>
      <c r="K1646" s="63" t="n">
        <v>2815.15</v>
      </c>
      <c r="L1646" s="63" t="n">
        <v>2700.44</v>
      </c>
      <c r="M1646" s="63" t="n">
        <v>2813.89</v>
      </c>
      <c r="N1646" s="54">
        <f>(M1647-M1646)/M1646</f>
        <v/>
      </c>
      <c r="O1646" s="54">
        <f>(M1650-M1646)/M1646</f>
        <v/>
      </c>
      <c r="P1646" s="4">
        <f>B1646-D1646</f>
        <v/>
      </c>
      <c r="Q1646" s="4">
        <f>AVERAGE(P1643:P1646)</f>
        <v/>
      </c>
      <c r="R1646" s="54">
        <f>(M1647-M1646)/M1646</f>
        <v/>
      </c>
      <c r="S1646" s="54">
        <f>(M1650-M1646)/M1646</f>
        <v/>
      </c>
      <c r="T1646" s="63">
        <f>IF(R1646&gt;0,1,"")</f>
        <v/>
      </c>
      <c r="U1646" s="63">
        <f>IF(S1646&gt;0,1,"")</f>
        <v/>
      </c>
    </row>
    <row r="1647">
      <c r="A1647" s="35" t="n">
        <v>43419</v>
      </c>
      <c r="B1647" s="4" t="n">
        <v>0.350877</v>
      </c>
      <c r="C1647" s="4" t="n">
        <v>0.289474</v>
      </c>
      <c r="D1647" s="4" t="n">
        <v>0.359649</v>
      </c>
      <c r="E1647" s="63" t="n">
        <v>1</v>
      </c>
      <c r="F1647" s="63" t="n">
        <v>0.360870125</v>
      </c>
      <c r="G1647" s="63" t="n">
        <v>-0.008772</v>
      </c>
      <c r="H1647" s="63" t="n">
        <v>0.38134825777512</v>
      </c>
      <c r="I1647" s="63" t="n">
        <v>0.48252030752954</v>
      </c>
      <c r="J1647" s="63" t="n">
        <v>0.28017620802071</v>
      </c>
      <c r="K1647" s="63" t="n">
        <v>2815.15</v>
      </c>
      <c r="L1647" s="63" t="n">
        <v>2685.75</v>
      </c>
      <c r="M1647" s="63" t="n">
        <v>2701.58</v>
      </c>
      <c r="N1647" s="54">
        <f>(M1648-M1647)/M1647</f>
        <v/>
      </c>
      <c r="O1647" s="54">
        <f>(M1651-M1647)/M1647</f>
        <v/>
      </c>
      <c r="P1647" s="4">
        <f>B1647-D1647</f>
        <v/>
      </c>
      <c r="Q1647" s="4">
        <f>AVERAGE(P1644:P1647)</f>
        <v/>
      </c>
      <c r="R1647" s="54">
        <f>(M1648-M1647)/M1647</f>
        <v/>
      </c>
      <c r="S1647" s="54">
        <f>(M1651-M1647)/M1647</f>
        <v/>
      </c>
      <c r="T1647" s="63">
        <f>IF(R1647&gt;0,1,"")</f>
        <v/>
      </c>
      <c r="U1647" s="63">
        <f>IF(S1647&gt;0,1,"")</f>
        <v/>
      </c>
    </row>
    <row r="1648">
      <c r="A1648" s="35" t="n">
        <v>43426</v>
      </c>
      <c r="B1648" s="4" t="n">
        <v>0.252525</v>
      </c>
      <c r="C1648" s="4" t="n">
        <v>0.276094</v>
      </c>
      <c r="D1648" s="4" t="n">
        <v>0.47138</v>
      </c>
      <c r="E1648" s="63" t="n">
        <v>0.999999</v>
      </c>
      <c r="F1648" s="63" t="n">
        <v>0.347160125</v>
      </c>
      <c r="G1648" s="63" t="n">
        <v>-0.218855</v>
      </c>
      <c r="H1648" s="63" t="n">
        <v>0.38134825777512</v>
      </c>
      <c r="I1648" s="63" t="n">
        <v>0.48252030752954</v>
      </c>
      <c r="J1648" s="63" t="n">
        <v>0.28017620802071</v>
      </c>
      <c r="K1648" s="63" t="n">
        <v>2746.8</v>
      </c>
      <c r="L1648" s="63" t="n">
        <v>2631.52</v>
      </c>
      <c r="M1648" s="63" t="n">
        <v>2649.93</v>
      </c>
      <c r="N1648" s="54">
        <f>(M1649-M1648)/M1648</f>
        <v/>
      </c>
      <c r="O1648" s="54">
        <f>(M1652-M1648)/M1648</f>
        <v/>
      </c>
      <c r="P1648" s="4">
        <f>B1648-D1648</f>
        <v/>
      </c>
      <c r="Q1648" s="4">
        <f>AVERAGE(P1645:P1648)</f>
        <v/>
      </c>
      <c r="R1648" s="54">
        <f>(M1649-M1648)/M1648</f>
        <v/>
      </c>
      <c r="S1648" s="54">
        <f>(M1652-M1648)/M1648</f>
        <v/>
      </c>
      <c r="T1648" s="63">
        <f>IF(R1648&gt;0,1,"")</f>
        <v/>
      </c>
      <c r="U1648" s="63">
        <f>IF(S1648&gt;0,1,"")</f>
        <v/>
      </c>
    </row>
    <row r="1649">
      <c r="A1649" s="35" t="n">
        <v>43433</v>
      </c>
      <c r="B1649" s="4" t="n">
        <v>0.338816</v>
      </c>
      <c r="C1649" s="4" t="n">
        <v>0.266447</v>
      </c>
      <c r="D1649" s="4" t="n">
        <v>0.394737</v>
      </c>
      <c r="E1649" s="63" t="n">
        <v>1</v>
      </c>
      <c r="F1649" s="63" t="n">
        <v>0.3324345</v>
      </c>
      <c r="G1649" s="63" t="n">
        <v>-0.055921</v>
      </c>
      <c r="H1649" s="63" t="n">
        <v>0.38134825777512</v>
      </c>
      <c r="I1649" s="63" t="n">
        <v>0.48252030752954</v>
      </c>
      <c r="J1649" s="63" t="n">
        <v>0.28017620802071</v>
      </c>
      <c r="K1649" s="63" t="n">
        <v>2744</v>
      </c>
      <c r="L1649" s="63" t="n">
        <v>2631.09</v>
      </c>
      <c r="M1649" s="63" t="n">
        <v>2743.79</v>
      </c>
      <c r="N1649" s="54">
        <f>(M1650-M1649)/M1649</f>
        <v/>
      </c>
      <c r="O1649" s="54">
        <f>(M1653-M1649)/M1649</f>
        <v/>
      </c>
      <c r="P1649" s="4">
        <f>B1649-D1649</f>
        <v/>
      </c>
      <c r="Q1649" s="4">
        <f>AVERAGE(P1646:P1649)</f>
        <v/>
      </c>
      <c r="R1649" s="54">
        <f>(M1650-M1649)/M1649</f>
        <v/>
      </c>
      <c r="S1649" s="54">
        <f>(M1653-M1649)/M1649</f>
        <v/>
      </c>
      <c r="T1649" s="63">
        <f>IF(R1649&gt;0,1,"")</f>
        <v/>
      </c>
      <c r="U1649" s="63">
        <f>IF(S1649&gt;0,1,"")</f>
        <v/>
      </c>
    </row>
    <row r="1650">
      <c r="A1650" s="35" t="n">
        <v>43440</v>
      </c>
      <c r="B1650" s="4" t="n">
        <v>0.379433</v>
      </c>
      <c r="C1650" s="4" t="n">
        <v>0.315603</v>
      </c>
      <c r="D1650" s="4" t="n">
        <v>0.304965</v>
      </c>
      <c r="E1650" s="63" t="n">
        <v>1.000001</v>
      </c>
      <c r="F1650" s="63" t="n">
        <v>0.341606</v>
      </c>
      <c r="G1650" s="63" t="n">
        <v>0.07446800000000001</v>
      </c>
      <c r="H1650" s="63" t="n">
        <v>0.38134825777512</v>
      </c>
      <c r="I1650" s="63" t="n">
        <v>0.48252030752954</v>
      </c>
      <c r="J1650" s="63" t="n">
        <v>0.28017620802071</v>
      </c>
      <c r="K1650" s="63" t="n">
        <v>2800.18</v>
      </c>
      <c r="L1650" s="63" t="n">
        <v>2655.89</v>
      </c>
      <c r="M1650" s="63" t="n">
        <v>2700.06</v>
      </c>
      <c r="N1650" s="54">
        <f>(M1651-M1650)/M1650</f>
        <v/>
      </c>
      <c r="O1650" s="54">
        <f>(M1654-M1650)/M1650</f>
        <v/>
      </c>
      <c r="P1650" s="4">
        <f>B1650-D1650</f>
        <v/>
      </c>
      <c r="Q1650" s="4">
        <f>AVERAGE(P1647:P1650)</f>
        <v/>
      </c>
      <c r="R1650" s="54">
        <f>(M1651-M1650)/M1650</f>
        <v/>
      </c>
      <c r="S1650" s="54">
        <f>(M1654-M1650)/M1650</f>
        <v/>
      </c>
      <c r="T1650" s="63">
        <f>IF(R1650&gt;0,1,"")</f>
        <v/>
      </c>
      <c r="U1650" s="63">
        <f>IF(S1650&gt;0,1,"")</f>
        <v/>
      </c>
    </row>
    <row r="1651">
      <c r="A1651" s="35" t="n">
        <v>43447</v>
      </c>
      <c r="B1651" s="4" t="n">
        <v>0.20904</v>
      </c>
      <c r="C1651" s="4" t="n">
        <v>0.30226</v>
      </c>
      <c r="D1651" s="4" t="n">
        <v>0.488701</v>
      </c>
      <c r="E1651" s="63" t="n">
        <v>1.000001</v>
      </c>
      <c r="F1651" s="63" t="n">
        <v>0.32531725</v>
      </c>
      <c r="G1651" s="63" t="n">
        <v>-0.279661</v>
      </c>
      <c r="H1651" s="63" t="n">
        <v>0.38134825777512</v>
      </c>
      <c r="I1651" s="63" t="n">
        <v>0.48252030752954</v>
      </c>
      <c r="J1651" s="63" t="n">
        <v>0.28017620802071</v>
      </c>
      <c r="K1651" s="63" t="n">
        <v>2785.93</v>
      </c>
      <c r="L1651" s="63" t="n">
        <v>2583.23</v>
      </c>
      <c r="M1651" s="63" t="n">
        <v>2651.07</v>
      </c>
      <c r="N1651" s="54">
        <f>(M1652-M1651)/M1651</f>
        <v/>
      </c>
      <c r="O1651" s="54">
        <f>(M1655-M1651)/M1651</f>
        <v/>
      </c>
      <c r="P1651" s="4">
        <f>B1651-D1651</f>
        <v/>
      </c>
      <c r="Q1651" s="4">
        <f>AVERAGE(P1648:P1651)</f>
        <v/>
      </c>
      <c r="R1651" s="54">
        <f>(M1652-M1651)/M1651</f>
        <v/>
      </c>
      <c r="S1651" s="54">
        <f>(M1655-M1651)/M1651</f>
        <v/>
      </c>
      <c r="T1651" s="63">
        <f>IF(R1651&gt;0,1,"")</f>
        <v/>
      </c>
      <c r="U1651" s="63">
        <f>IF(S1651&gt;0,1,"")</f>
        <v/>
      </c>
    </row>
    <row r="1652">
      <c r="A1652" s="35" t="n">
        <v>43454</v>
      </c>
      <c r="B1652" s="4" t="n">
        <v>0.248649</v>
      </c>
      <c r="C1652" s="4" t="n">
        <v>0.278378</v>
      </c>
      <c r="D1652" s="4" t="n">
        <v>0.472973</v>
      </c>
      <c r="E1652" s="63" t="n">
        <v>1</v>
      </c>
      <c r="F1652" s="63" t="n">
        <v>0.32143675</v>
      </c>
      <c r="G1652" s="63" t="n">
        <v>-0.224324</v>
      </c>
      <c r="H1652" s="63" t="n">
        <v>0.38134825777512</v>
      </c>
      <c r="I1652" s="63" t="n">
        <v>0.48252030752954</v>
      </c>
      <c r="J1652" s="63" t="n">
        <v>0.28017620802071</v>
      </c>
      <c r="K1652" s="63" t="n">
        <v>2685.44</v>
      </c>
      <c r="L1652" s="63" t="n">
        <v>2488.96</v>
      </c>
      <c r="M1652" s="63" t="n">
        <v>2506.96</v>
      </c>
      <c r="N1652" s="54">
        <f>(M1653-M1652)/M1652</f>
        <v/>
      </c>
      <c r="O1652" s="54">
        <f>(M1656-M1652)/M1652</f>
        <v/>
      </c>
      <c r="P1652" s="4">
        <f>B1652-D1652</f>
        <v/>
      </c>
      <c r="Q1652" s="4">
        <f>AVERAGE(P1649:P1652)</f>
        <v/>
      </c>
      <c r="R1652" s="54">
        <f>(M1653-M1652)/M1652</f>
        <v/>
      </c>
      <c r="S1652" s="54">
        <f>(M1656-M1652)/M1652</f>
        <v/>
      </c>
      <c r="T1652" s="63">
        <f>IF(R1652&gt;0,1,"")</f>
        <v/>
      </c>
      <c r="U1652" s="63">
        <f>IF(S1652&gt;0,1,"")</f>
        <v/>
      </c>
    </row>
    <row r="1653">
      <c r="A1653" s="35" t="n">
        <v>43461</v>
      </c>
      <c r="B1653" s="4" t="n">
        <v>0.315476</v>
      </c>
      <c r="C1653" s="4" t="n">
        <v>0.181548</v>
      </c>
      <c r="D1653" s="4" t="n">
        <v>0.502976</v>
      </c>
      <c r="E1653" s="63" t="n">
        <v>1</v>
      </c>
      <c r="F1653" s="63" t="n">
        <v>0.3134575</v>
      </c>
      <c r="G1653" s="63" t="n">
        <v>-0.1875</v>
      </c>
      <c r="H1653" s="63" t="n">
        <v>0.38134825777512</v>
      </c>
      <c r="I1653" s="63" t="n">
        <v>0.48252030752954</v>
      </c>
      <c r="J1653" s="63" t="n">
        <v>0.28017620802071</v>
      </c>
      <c r="K1653" s="63" t="n">
        <v>2585.29</v>
      </c>
      <c r="L1653" s="63" t="n">
        <v>2346.58</v>
      </c>
      <c r="M1653" s="63" t="n">
        <v>2467.7</v>
      </c>
      <c r="N1653" s="54">
        <f>(M1654-M1653)/M1653</f>
        <v/>
      </c>
      <c r="O1653" s="54">
        <f>(M1657-M1653)/M1653</f>
        <v/>
      </c>
      <c r="P1653" s="4">
        <f>B1653-D1653</f>
        <v/>
      </c>
      <c r="Q1653" s="4">
        <f>AVERAGE(P1650:P1653)</f>
        <v/>
      </c>
      <c r="R1653" s="54">
        <f>(M1654-M1653)/M1653</f>
        <v/>
      </c>
      <c r="S1653" s="54">
        <f>(M1657-M1653)/M1653</f>
        <v/>
      </c>
      <c r="T1653" s="63">
        <f>IF(R1653&gt;0,1,"")</f>
        <v/>
      </c>
      <c r="U1653" s="63">
        <f>IF(S1653&gt;0,1,"")</f>
        <v/>
      </c>
    </row>
    <row r="1654">
      <c r="A1654" s="35" t="n">
        <v>43468</v>
      </c>
      <c r="B1654" s="4" t="n">
        <v>0.330189</v>
      </c>
      <c r="C1654" s="4" t="n">
        <v>0.242138</v>
      </c>
      <c r="D1654" s="4" t="n">
        <v>0.427673</v>
      </c>
      <c r="E1654" s="63" t="n">
        <v>1</v>
      </c>
      <c r="F1654" s="63" t="n">
        <v>0.303125625</v>
      </c>
      <c r="G1654" s="63" t="n">
        <v>-0.097484</v>
      </c>
      <c r="H1654" s="63" t="n">
        <v>0.38134825777512</v>
      </c>
      <c r="I1654" s="63" t="n">
        <v>0.48252030752954</v>
      </c>
      <c r="J1654" s="63" t="n">
        <v>0.28017620802071</v>
      </c>
      <c r="K1654" s="63" t="n">
        <v>2520.27</v>
      </c>
      <c r="L1654" s="63" t="n">
        <v>2346.58</v>
      </c>
      <c r="M1654" s="63" t="n">
        <v>2510.03</v>
      </c>
      <c r="N1654" s="54">
        <f>(M1655-M1654)/M1654</f>
        <v/>
      </c>
      <c r="O1654" s="54">
        <f>(M1658-M1654)/M1654</f>
        <v/>
      </c>
      <c r="P1654" s="4">
        <f>B1654-D1654</f>
        <v/>
      </c>
      <c r="Q1654" s="4">
        <f>AVERAGE(P1651:P1654)</f>
        <v/>
      </c>
      <c r="R1654" s="54">
        <f>(M1655-M1654)/M1654</f>
        <v/>
      </c>
      <c r="S1654" s="54">
        <f>(M1658-M1654)/M1654</f>
        <v/>
      </c>
      <c r="T1654" s="63">
        <f>IF(R1654&gt;0,1,"")</f>
        <v/>
      </c>
      <c r="U1654" s="63">
        <f>IF(S1654&gt;0,1,"")</f>
        <v/>
      </c>
    </row>
    <row r="1655">
      <c r="A1655" s="35" t="n">
        <v>43475</v>
      </c>
      <c r="B1655" s="4" t="n">
        <v>0.384615</v>
      </c>
      <c r="C1655" s="4" t="n">
        <v>0.321678</v>
      </c>
      <c r="D1655" s="4" t="n">
        <v>0.293706</v>
      </c>
      <c r="E1655" s="63" t="n">
        <v>0.999999</v>
      </c>
      <c r="F1655" s="63" t="n">
        <v>0.307342875</v>
      </c>
      <c r="G1655" s="63" t="n">
        <v>0.090909</v>
      </c>
      <c r="H1655" s="63" t="n">
        <v>0.38134825777512</v>
      </c>
      <c r="I1655" s="63" t="n">
        <v>0.48252030752954</v>
      </c>
      <c r="J1655" s="63" t="n">
        <v>0.28017620802071</v>
      </c>
      <c r="K1655" s="63" t="n">
        <v>2595.32</v>
      </c>
      <c r="L1655" s="63" t="n">
        <v>2443.96</v>
      </c>
      <c r="M1655" s="63" t="n">
        <v>2584.96</v>
      </c>
      <c r="N1655" s="54">
        <f>(M1656-M1655)/M1655</f>
        <v/>
      </c>
      <c r="O1655" s="54">
        <f>(M1659-M1655)/M1655</f>
        <v/>
      </c>
      <c r="P1655" s="4">
        <f>B1655-D1655</f>
        <v/>
      </c>
      <c r="Q1655" s="4">
        <f>AVERAGE(P1652:P1655)</f>
        <v/>
      </c>
      <c r="R1655" s="54">
        <f>(M1656-M1655)/M1655</f>
        <v/>
      </c>
      <c r="S1655" s="54">
        <f>(M1659-M1655)/M1655</f>
        <v/>
      </c>
      <c r="T1655" s="63">
        <f>IF(R1655&gt;0,1,"")</f>
        <v/>
      </c>
      <c r="U1655" s="63">
        <f>IF(S1655&gt;0,1,"")</f>
        <v/>
      </c>
    </row>
    <row r="1656">
      <c r="A1656" s="35" t="n">
        <v>43482</v>
      </c>
      <c r="B1656" s="4" t="n">
        <v>0.335347</v>
      </c>
      <c r="C1656" s="4" t="n">
        <v>0.302115</v>
      </c>
      <c r="D1656" s="4" t="n">
        <v>0.362538</v>
      </c>
      <c r="E1656" s="63" t="n">
        <v>1</v>
      </c>
      <c r="F1656" s="63" t="n">
        <v>0.317695625</v>
      </c>
      <c r="G1656" s="63" t="n">
        <v>-0.027191</v>
      </c>
      <c r="H1656" s="63" t="n">
        <v>0.38134825777512</v>
      </c>
      <c r="I1656" s="63" t="n">
        <v>0.48252030752954</v>
      </c>
      <c r="J1656" s="63" t="n">
        <v>0.28017620802071</v>
      </c>
      <c r="K1656" s="63" t="n">
        <v>2625.76</v>
      </c>
      <c r="L1656" s="63" t="n">
        <v>2562.02</v>
      </c>
      <c r="M1656" s="63" t="n">
        <v>2616.1</v>
      </c>
      <c r="N1656" s="54">
        <f>(M1657-M1656)/M1656</f>
        <v/>
      </c>
      <c r="O1656" s="54">
        <f>(M1660-M1656)/M1656</f>
        <v/>
      </c>
      <c r="P1656" s="4">
        <f>B1656-D1656</f>
        <v/>
      </c>
      <c r="Q1656" s="4">
        <f>AVERAGE(P1653:P1656)</f>
        <v/>
      </c>
      <c r="R1656" s="54">
        <f>(M1657-M1656)/M1656</f>
        <v/>
      </c>
      <c r="S1656" s="54">
        <f>(M1660-M1656)/M1656</f>
        <v/>
      </c>
      <c r="T1656" s="63">
        <f>IF(R1656&gt;0,1,"")</f>
        <v/>
      </c>
      <c r="U1656" s="63">
        <f>IF(S1656&gt;0,1,"")</f>
        <v/>
      </c>
    </row>
    <row r="1657">
      <c r="A1657" s="35" t="n">
        <v>43489</v>
      </c>
      <c r="B1657" s="4" t="n">
        <v>0.37659</v>
      </c>
      <c r="C1657" s="4" t="n">
        <v>0.300254</v>
      </c>
      <c r="D1657" s="4" t="n">
        <v>0.323155</v>
      </c>
      <c r="E1657" s="63" t="n">
        <v>0.999999</v>
      </c>
      <c r="F1657" s="63" t="n">
        <v>0.322417375</v>
      </c>
      <c r="G1657" s="63" t="n">
        <v>0.053435</v>
      </c>
      <c r="H1657" s="63" t="n">
        <v>0.38134825777512</v>
      </c>
      <c r="I1657" s="63" t="n">
        <v>0.48252030752954</v>
      </c>
      <c r="J1657" s="63" t="n">
        <v>0.28017620802071</v>
      </c>
      <c r="K1657" s="63" t="n">
        <v>2675.47</v>
      </c>
      <c r="L1657" s="63" t="n">
        <v>2585.1</v>
      </c>
      <c r="M1657" s="63" t="n">
        <v>2638.7</v>
      </c>
      <c r="N1657" s="54">
        <f>(M1658-M1657)/M1657</f>
        <v/>
      </c>
      <c r="O1657" s="54">
        <f>(M1661-M1657)/M1657</f>
        <v/>
      </c>
      <c r="P1657" s="4">
        <f>B1657-D1657</f>
        <v/>
      </c>
      <c r="Q1657" s="4">
        <f>AVERAGE(P1654:P1657)</f>
        <v/>
      </c>
      <c r="R1657" s="54">
        <f>(M1658-M1657)/M1657</f>
        <v/>
      </c>
      <c r="S1657" s="54">
        <f>(M1661-M1657)/M1657</f>
        <v/>
      </c>
      <c r="T1657" s="63">
        <f>IF(R1657&gt;0,1,"")</f>
        <v/>
      </c>
      <c r="U1657" s="63">
        <f>IF(S1657&gt;0,1,"")</f>
        <v/>
      </c>
    </row>
    <row r="1658">
      <c r="A1658" s="35" t="n">
        <v>43496</v>
      </c>
      <c r="B1658" s="4" t="n">
        <v>0.317568</v>
      </c>
      <c r="C1658" s="4" t="n">
        <v>0.364865</v>
      </c>
      <c r="D1658" s="4" t="n">
        <v>0.317568</v>
      </c>
      <c r="E1658" s="63" t="n">
        <v>1.000001</v>
      </c>
      <c r="F1658" s="63" t="n">
        <v>0.31468425</v>
      </c>
      <c r="G1658" s="63" t="n">
        <v>0</v>
      </c>
      <c r="H1658" s="63" t="n">
        <v>0.38134825777512</v>
      </c>
      <c r="I1658" s="63" t="n">
        <v>0.48252030752954</v>
      </c>
      <c r="J1658" s="63" t="n">
        <v>0.28017620802071</v>
      </c>
      <c r="K1658" s="63" t="n">
        <v>2690.44</v>
      </c>
      <c r="L1658" s="63" t="n">
        <v>2612.86</v>
      </c>
      <c r="M1658" s="63" t="n">
        <v>2681.05</v>
      </c>
      <c r="N1658" s="54">
        <f>(M1659-M1658)/M1658</f>
        <v/>
      </c>
      <c r="O1658" s="54">
        <f>(M1662-M1658)/M1658</f>
        <v/>
      </c>
      <c r="P1658" s="4">
        <f>B1658-D1658</f>
        <v/>
      </c>
      <c r="Q1658" s="4">
        <f>AVERAGE(P1655:P1658)</f>
        <v/>
      </c>
      <c r="R1658" s="54">
        <f>(M1659-M1658)/M1658</f>
        <v/>
      </c>
      <c r="S1658" s="54">
        <f>(M1662-M1658)/M1658</f>
        <v/>
      </c>
      <c r="T1658" s="63">
        <f>IF(R1658&gt;0,1,"")</f>
        <v/>
      </c>
      <c r="U1658" s="63">
        <f>IF(S1658&gt;0,1,"")</f>
        <v/>
      </c>
    </row>
    <row r="1659">
      <c r="A1659" s="35" t="n">
        <v>43503</v>
      </c>
      <c r="B1659" s="4" t="n">
        <v>0.398734</v>
      </c>
      <c r="C1659" s="4" t="n">
        <v>0.373418</v>
      </c>
      <c r="D1659" s="4" t="n">
        <v>0.227848</v>
      </c>
      <c r="E1659" s="63" t="n">
        <v>1</v>
      </c>
      <c r="F1659" s="63" t="n">
        <v>0.338396</v>
      </c>
      <c r="G1659" s="63" t="n">
        <v>0.170886</v>
      </c>
      <c r="H1659" s="63" t="n">
        <v>0.38134825777512</v>
      </c>
      <c r="I1659" s="63" t="n">
        <v>0.48252030752954</v>
      </c>
      <c r="J1659" s="63" t="n">
        <v>0.28017620802071</v>
      </c>
      <c r="K1659" s="63" t="n">
        <v>2738.98</v>
      </c>
      <c r="L1659" s="63" t="n">
        <v>2648.34</v>
      </c>
      <c r="M1659" s="63" t="n">
        <v>2731.61</v>
      </c>
      <c r="N1659" s="54">
        <f>(M1660-M1659)/M1659</f>
        <v/>
      </c>
      <c r="O1659" s="54">
        <f>(M1663-M1659)/M1659</f>
        <v/>
      </c>
      <c r="P1659" s="4">
        <f>B1659-D1659</f>
        <v/>
      </c>
      <c r="Q1659" s="4">
        <f>AVERAGE(P1656:P1659)</f>
        <v/>
      </c>
      <c r="R1659" s="54">
        <f>(M1660-M1659)/M1659</f>
        <v/>
      </c>
      <c r="S1659" s="54">
        <f>(M1663-M1659)/M1659</f>
        <v/>
      </c>
      <c r="T1659" s="63">
        <f>IF(R1659&gt;0,1,"")</f>
        <v/>
      </c>
      <c r="U1659" s="63">
        <f>IF(S1659&gt;0,1,"")</f>
        <v/>
      </c>
    </row>
    <row r="1660">
      <c r="A1660" s="35" t="n">
        <v>43510</v>
      </c>
      <c r="B1660" s="4" t="n">
        <v>0.351032</v>
      </c>
      <c r="C1660" s="4" t="n">
        <v>0.39823</v>
      </c>
      <c r="D1660" s="4" t="n">
        <v>0.250737</v>
      </c>
      <c r="E1660" s="63" t="n">
        <v>0.999999</v>
      </c>
      <c r="F1660" s="63" t="n">
        <v>0.351193875</v>
      </c>
      <c r="G1660" s="63" t="n">
        <v>0.100295</v>
      </c>
      <c r="H1660" s="63" t="n">
        <v>0.38134825777512</v>
      </c>
      <c r="I1660" s="63" t="n">
        <v>0.48252030752954</v>
      </c>
      <c r="J1660" s="63" t="n">
        <v>0.28017620802071</v>
      </c>
      <c r="K1660" s="63" t="n">
        <v>2761.85</v>
      </c>
      <c r="L1660" s="63" t="n">
        <v>2681.83</v>
      </c>
      <c r="M1660" s="63" t="n">
        <v>2753.03</v>
      </c>
      <c r="N1660" s="54">
        <f>(M1661-M1660)/M1660</f>
        <v/>
      </c>
      <c r="O1660" s="54">
        <f>(M1664-M1660)/M1660</f>
        <v/>
      </c>
      <c r="P1660" s="4">
        <f>B1660-D1660</f>
        <v/>
      </c>
      <c r="Q1660" s="4">
        <f>AVERAGE(P1657:P1660)</f>
        <v/>
      </c>
      <c r="R1660" s="54">
        <f>(M1661-M1660)/M1660</f>
        <v/>
      </c>
      <c r="S1660" s="54">
        <f>(M1664-M1660)/M1660</f>
        <v/>
      </c>
      <c r="T1660" s="63">
        <f>IF(R1660&gt;0,1,"")</f>
        <v/>
      </c>
      <c r="U1660" s="63">
        <f>IF(S1660&gt;0,1,"")</f>
        <v/>
      </c>
    </row>
    <row r="1661">
      <c r="A1661" s="35" t="n">
        <v>43517</v>
      </c>
      <c r="B1661" s="4" t="n">
        <v>0.393189</v>
      </c>
      <c r="C1661" s="4" t="n">
        <v>0.352941</v>
      </c>
      <c r="D1661" s="4" t="n">
        <v>0.25387</v>
      </c>
      <c r="E1661" s="63" t="n">
        <v>1</v>
      </c>
      <c r="F1661" s="63" t="n">
        <v>0.360908</v>
      </c>
      <c r="G1661" s="63" t="n">
        <v>0.139319</v>
      </c>
      <c r="H1661" s="63" t="n">
        <v>0.38134825777512</v>
      </c>
      <c r="I1661" s="63" t="n">
        <v>0.48252030752954</v>
      </c>
      <c r="J1661" s="63" t="n">
        <v>0.28017620802071</v>
      </c>
      <c r="K1661" s="63" t="n">
        <v>2787.33</v>
      </c>
      <c r="L1661" s="63" t="n">
        <v>2703.79</v>
      </c>
      <c r="M1661" s="63" t="n">
        <v>2779.76</v>
      </c>
      <c r="N1661" s="54">
        <f>(M1662-M1661)/M1661</f>
        <v/>
      </c>
      <c r="O1661" s="54">
        <f>(M1665-M1661)/M1661</f>
        <v/>
      </c>
      <c r="P1661" s="4">
        <f>B1661-D1661</f>
        <v/>
      </c>
      <c r="Q1661" s="4">
        <f>AVERAGE(P1658:P1661)</f>
        <v/>
      </c>
      <c r="R1661" s="54">
        <f>(M1662-M1661)/M1661</f>
        <v/>
      </c>
      <c r="S1661" s="54">
        <f>(M1665-M1661)/M1661</f>
        <v/>
      </c>
      <c r="T1661" s="63">
        <f>IF(R1661&gt;0,1,"")</f>
        <v/>
      </c>
      <c r="U1661" s="63">
        <f>IF(S1661&gt;0,1,"")</f>
        <v/>
      </c>
    </row>
    <row r="1662">
      <c r="A1662" s="35" t="n">
        <v>43524</v>
      </c>
      <c r="B1662" s="4" t="n">
        <v>0.416327</v>
      </c>
      <c r="C1662" s="4" t="n">
        <v>0.383673</v>
      </c>
      <c r="D1662" s="4" t="n">
        <v>0.2</v>
      </c>
      <c r="E1662" s="63" t="n">
        <v>1</v>
      </c>
      <c r="F1662" s="63" t="n">
        <v>0.37167525</v>
      </c>
      <c r="G1662" s="63" t="n">
        <v>0.216327</v>
      </c>
      <c r="H1662" s="63" t="n">
        <v>0.38134825777512</v>
      </c>
      <c r="I1662" s="63" t="n">
        <v>0.48252030752954</v>
      </c>
      <c r="J1662" s="63" t="n">
        <v>0.28017620802071</v>
      </c>
      <c r="K1662" s="63" t="n">
        <v>2795.76</v>
      </c>
      <c r="L1662" s="63" t="n">
        <v>2764.55</v>
      </c>
      <c r="M1662" s="63" t="n">
        <v>2792.38</v>
      </c>
      <c r="N1662" s="54">
        <f>(M1663-M1662)/M1662</f>
        <v/>
      </c>
      <c r="O1662" s="54">
        <f>(M1666-M1662)/M1662</f>
        <v/>
      </c>
      <c r="P1662" s="4">
        <f>B1662-D1662</f>
        <v/>
      </c>
      <c r="Q1662" s="4">
        <f>AVERAGE(P1659:P1662)</f>
        <v/>
      </c>
      <c r="R1662" s="54">
        <f>(M1663-M1662)/M1662</f>
        <v/>
      </c>
      <c r="S1662" s="54">
        <f>(M1666-M1662)/M1662</f>
        <v/>
      </c>
      <c r="T1662" s="63">
        <f>IF(R1662&gt;0,1,"")</f>
        <v/>
      </c>
      <c r="U1662" s="63">
        <f>IF(S1662&gt;0,1,"")</f>
        <v/>
      </c>
    </row>
    <row r="1663">
      <c r="A1663" s="35" t="n">
        <v>43531</v>
      </c>
      <c r="B1663" s="4" t="n">
        <v>0.37386</v>
      </c>
      <c r="C1663" s="4" t="n">
        <v>0.358663</v>
      </c>
      <c r="D1663" s="4" t="n">
        <v>0.267477</v>
      </c>
      <c r="E1663" s="63" t="n">
        <v>1</v>
      </c>
      <c r="F1663" s="63" t="n">
        <v>0.370330875</v>
      </c>
      <c r="G1663" s="63" t="n">
        <v>0.106383</v>
      </c>
      <c r="H1663" s="63" t="n">
        <v>0.38134825777512</v>
      </c>
      <c r="I1663" s="63" t="n">
        <v>0.48252030752954</v>
      </c>
      <c r="J1663" s="63" t="n">
        <v>0.28017620802071</v>
      </c>
      <c r="K1663" s="63" t="n">
        <v>2816.88</v>
      </c>
      <c r="L1663" s="63" t="n">
        <v>2767.66</v>
      </c>
      <c r="M1663" s="63" t="n">
        <v>2771.45</v>
      </c>
      <c r="N1663" s="54">
        <f>(M1664-M1663)/M1663</f>
        <v/>
      </c>
      <c r="O1663" s="54">
        <f>(M1667-M1663)/M1663</f>
        <v/>
      </c>
      <c r="P1663" s="4">
        <f>B1663-D1663</f>
        <v/>
      </c>
      <c r="Q1663" s="4">
        <f>AVERAGE(P1660:P1663)</f>
        <v/>
      </c>
      <c r="R1663" s="54">
        <f>(M1664-M1663)/M1663</f>
        <v/>
      </c>
      <c r="S1663" s="54">
        <f>(M1667-M1663)/M1663</f>
        <v/>
      </c>
      <c r="T1663" s="63">
        <f>IF(R1663&gt;0,1,"")</f>
        <v/>
      </c>
      <c r="U1663" s="63">
        <f>IF(S1663&gt;0,1,"")</f>
        <v/>
      </c>
    </row>
    <row r="1664">
      <c r="A1664" s="35" t="n">
        <v>43538</v>
      </c>
      <c r="B1664" s="4" t="n">
        <v>0.324232</v>
      </c>
      <c r="C1664" s="4" t="n">
        <v>0.365188</v>
      </c>
      <c r="D1664" s="4" t="n">
        <v>0.31058</v>
      </c>
      <c r="E1664" s="63" t="n">
        <v>1</v>
      </c>
      <c r="F1664" s="63" t="n">
        <v>0.3689415</v>
      </c>
      <c r="G1664" s="63" t="n">
        <v>0.013652</v>
      </c>
      <c r="H1664" s="63" t="n">
        <v>0.38134825777512</v>
      </c>
      <c r="I1664" s="63" t="n">
        <v>0.48252030752954</v>
      </c>
      <c r="J1664" s="63" t="n">
        <v>0.28017620802071</v>
      </c>
      <c r="K1664" s="63" t="n">
        <v>2821.24</v>
      </c>
      <c r="L1664" s="63" t="n">
        <v>2722.27</v>
      </c>
      <c r="M1664" s="63" t="n">
        <v>2810.92</v>
      </c>
      <c r="N1664" s="54">
        <f>(M1665-M1664)/M1664</f>
        <v/>
      </c>
      <c r="O1664" s="54">
        <f>(M1668-M1664)/M1664</f>
        <v/>
      </c>
      <c r="P1664" s="4">
        <f>B1664-D1664</f>
        <v/>
      </c>
      <c r="Q1664" s="4">
        <f>AVERAGE(P1661:P1664)</f>
        <v/>
      </c>
      <c r="R1664" s="54">
        <f>(M1665-M1664)/M1664</f>
        <v/>
      </c>
      <c r="S1664" s="54">
        <f>(M1668-M1664)/M1664</f>
        <v/>
      </c>
      <c r="T1664" s="63">
        <f>IF(R1664&gt;0,1,"")</f>
        <v/>
      </c>
      <c r="U1664" s="63">
        <f>IF(S1664&gt;0,1,"")</f>
        <v/>
      </c>
    </row>
    <row r="1665">
      <c r="A1665" s="35" t="n">
        <v>43545</v>
      </c>
      <c r="B1665" s="4" t="n">
        <v>0.373016</v>
      </c>
      <c r="C1665" s="4" t="n">
        <v>0.392857</v>
      </c>
      <c r="D1665" s="4" t="n">
        <v>0.234127</v>
      </c>
      <c r="E1665" s="63" t="n">
        <v>1</v>
      </c>
      <c r="F1665" s="63" t="n">
        <v>0.36849475</v>
      </c>
      <c r="G1665" s="63" t="n">
        <v>0.138889</v>
      </c>
      <c r="H1665" s="63" t="n">
        <v>0.38134825777512</v>
      </c>
      <c r="I1665" s="63" t="n">
        <v>0.48252030752954</v>
      </c>
      <c r="J1665" s="63" t="n">
        <v>0.28017620802071</v>
      </c>
      <c r="K1665" s="63" t="n">
        <v>2852.42</v>
      </c>
      <c r="L1665" s="63" t="n">
        <v>2799.78</v>
      </c>
      <c r="M1665" s="63" t="n">
        <v>2824.23</v>
      </c>
      <c r="N1665" s="54">
        <f>(M1666-M1665)/M1665</f>
        <v/>
      </c>
      <c r="O1665" s="54">
        <f>(M1669-M1665)/M1665</f>
        <v/>
      </c>
      <c r="P1665" s="4">
        <f>B1665-D1665</f>
        <v/>
      </c>
      <c r="Q1665" s="4">
        <f>AVERAGE(P1662:P1665)</f>
        <v/>
      </c>
      <c r="R1665" s="54">
        <f>(M1666-M1665)/M1665</f>
        <v/>
      </c>
      <c r="S1665" s="54">
        <f>(M1669-M1665)/M1665</f>
        <v/>
      </c>
      <c r="T1665" s="63">
        <f>IF(R1665&gt;0,1,"")</f>
        <v/>
      </c>
      <c r="U1665" s="63">
        <f>IF(S1665&gt;0,1,"")</f>
        <v/>
      </c>
    </row>
    <row r="1666">
      <c r="A1666" s="35" t="n">
        <v>43552</v>
      </c>
      <c r="B1666" s="4" t="n">
        <v>0.332</v>
      </c>
      <c r="C1666" s="4" t="n">
        <v>0.396</v>
      </c>
      <c r="D1666" s="4" t="n">
        <v>0.272</v>
      </c>
      <c r="E1666" s="63" t="n">
        <v>1</v>
      </c>
      <c r="F1666" s="63" t="n">
        <v>0.37029875</v>
      </c>
      <c r="G1666" s="63" t="n">
        <v>0.06</v>
      </c>
      <c r="H1666" s="63" t="n">
        <v>0.38134825777512</v>
      </c>
      <c r="I1666" s="63" t="n">
        <v>0.48252030752954</v>
      </c>
      <c r="J1666" s="63" t="n">
        <v>0.28017620802071</v>
      </c>
      <c r="K1666" s="63" t="n">
        <v>2860.31</v>
      </c>
      <c r="L1666" s="63" t="n">
        <v>2785.02</v>
      </c>
      <c r="M1666" s="63" t="n">
        <v>2805.37</v>
      </c>
      <c r="N1666" s="54">
        <f>(M1667-M1666)/M1666</f>
        <v/>
      </c>
      <c r="O1666" s="54">
        <f>(M1670-M1666)/M1666</f>
        <v/>
      </c>
      <c r="P1666" s="4">
        <f>B1666-D1666</f>
        <v/>
      </c>
      <c r="Q1666" s="4">
        <f>AVERAGE(P1663:P1666)</f>
        <v/>
      </c>
      <c r="R1666" s="54">
        <f>(M1667-M1666)/M1666</f>
        <v/>
      </c>
      <c r="S1666" s="54">
        <f>(M1670-M1666)/M1666</f>
        <v/>
      </c>
      <c r="T1666" s="63">
        <f>IF(R1666&gt;0,1,"")</f>
        <v/>
      </c>
      <c r="U1666" s="63">
        <f>IF(S1666&gt;0,1,"")</f>
        <v/>
      </c>
    </row>
    <row r="1667">
      <c r="A1667" s="35" t="n">
        <v>43559</v>
      </c>
      <c r="B1667" s="4" t="n">
        <v>0.350211</v>
      </c>
      <c r="C1667" s="4" t="n">
        <v>0.367089</v>
      </c>
      <c r="D1667" s="4" t="n">
        <v>0.2827</v>
      </c>
      <c r="E1667" s="63" t="n">
        <v>1</v>
      </c>
      <c r="F1667" s="63" t="n">
        <v>0.364233375</v>
      </c>
      <c r="G1667" s="63" t="n">
        <v>0.067511</v>
      </c>
      <c r="H1667" s="63" t="n">
        <v>0.38134825777512</v>
      </c>
      <c r="I1667" s="63" t="n">
        <v>0.48252030752954</v>
      </c>
      <c r="J1667" s="63" t="n">
        <v>0.28017620802071</v>
      </c>
      <c r="K1667" s="63" t="n">
        <v>2885.25</v>
      </c>
      <c r="L1667" s="63" t="n">
        <v>2787.72</v>
      </c>
      <c r="M1667" s="63" t="n">
        <v>2873.4</v>
      </c>
      <c r="N1667" s="54">
        <f>(M1668-M1667)/M1667</f>
        <v/>
      </c>
      <c r="O1667" s="54">
        <f>(M1671-M1667)/M1667</f>
        <v/>
      </c>
      <c r="P1667" s="4">
        <f>B1667-D1667</f>
        <v/>
      </c>
      <c r="Q1667" s="4">
        <f>AVERAGE(P1664:P1667)</f>
        <v/>
      </c>
      <c r="R1667" s="54">
        <f>(M1668-M1667)/M1667</f>
        <v/>
      </c>
      <c r="S1667" s="54">
        <f>(M1671-M1667)/M1667</f>
        <v/>
      </c>
      <c r="T1667" s="63">
        <f>IF(R1667&gt;0,1,"")</f>
        <v/>
      </c>
      <c r="U1667" s="63">
        <f>IF(S1667&gt;0,1,"")</f>
        <v/>
      </c>
    </row>
    <row r="1668">
      <c r="A1668" s="35" t="n">
        <v>43566</v>
      </c>
      <c r="B1668" s="4" t="n">
        <v>0.402878</v>
      </c>
      <c r="C1668" s="4" t="n">
        <v>0.393285</v>
      </c>
      <c r="D1668" s="4" t="n">
        <v>0.203837</v>
      </c>
      <c r="E1668" s="63" t="n">
        <v>1</v>
      </c>
      <c r="F1668" s="63" t="n">
        <v>0.370714125</v>
      </c>
      <c r="G1668" s="63" t="n">
        <v>0.199041</v>
      </c>
      <c r="H1668" s="63" t="n">
        <v>0.38134825777512</v>
      </c>
      <c r="I1668" s="63" t="n">
        <v>0.48252030752954</v>
      </c>
      <c r="J1668" s="63" t="n">
        <v>0.28017620802071</v>
      </c>
      <c r="K1668" s="63" t="n">
        <v>2895.95</v>
      </c>
      <c r="L1668" s="63" t="n">
        <v>2865.17</v>
      </c>
      <c r="M1668" s="63" t="n">
        <v>2888.21</v>
      </c>
      <c r="N1668" s="54">
        <f>(M1669-M1668)/M1668</f>
        <v/>
      </c>
      <c r="O1668" s="54">
        <f>(M1672-M1668)/M1668</f>
        <v/>
      </c>
      <c r="P1668" s="4">
        <f>B1668-D1668</f>
        <v/>
      </c>
      <c r="Q1668" s="4">
        <f>AVERAGE(P1665:P1668)</f>
        <v/>
      </c>
      <c r="R1668" s="54">
        <f>(M1669-M1668)/M1668</f>
        <v/>
      </c>
      <c r="S1668" s="54">
        <f>(M1672-M1668)/M1668</f>
        <v/>
      </c>
      <c r="T1668" s="63">
        <f>IF(R1668&gt;0,1,"")</f>
        <v/>
      </c>
      <c r="U1668" s="63">
        <f>IF(S1668&gt;0,1,"")</f>
        <v/>
      </c>
    </row>
    <row r="1669">
      <c r="A1669" s="35" t="n">
        <v>43573</v>
      </c>
      <c r="B1669" s="4" t="n">
        <v>0.375635</v>
      </c>
      <c r="C1669" s="4" t="n">
        <v>0.406091</v>
      </c>
      <c r="D1669" s="4" t="n">
        <v>0.218274</v>
      </c>
      <c r="E1669" s="63" t="n">
        <v>1</v>
      </c>
      <c r="F1669" s="63" t="n">
        <v>0.368519875</v>
      </c>
      <c r="G1669" s="63" t="n">
        <v>0.157361</v>
      </c>
      <c r="H1669" s="63" t="n">
        <v>0.38134825777512</v>
      </c>
      <c r="I1669" s="63" t="n">
        <v>0.48252030752954</v>
      </c>
      <c r="J1669" s="63" t="n">
        <v>0.28017620802071</v>
      </c>
      <c r="K1669" s="63" t="n">
        <v>2918</v>
      </c>
      <c r="L1669" s="63" t="n">
        <v>2879.13</v>
      </c>
      <c r="M1669" s="63" t="n">
        <v>2900.45</v>
      </c>
      <c r="N1669" s="54">
        <f>(M1670-M1669)/M1669</f>
        <v/>
      </c>
      <c r="O1669" s="54">
        <f>(M1673-M1669)/M1669</f>
        <v/>
      </c>
      <c r="P1669" s="4">
        <f>B1669-D1669</f>
        <v/>
      </c>
      <c r="Q1669" s="4">
        <f>AVERAGE(P1666:P1669)</f>
        <v/>
      </c>
      <c r="R1669" s="54">
        <f>(M1670-M1669)/M1669</f>
        <v/>
      </c>
      <c r="S1669" s="54">
        <f>(M1673-M1669)/M1669</f>
        <v/>
      </c>
      <c r="T1669" s="63">
        <f>IF(R1669&gt;0,1,"")</f>
        <v/>
      </c>
      <c r="U1669" s="63">
        <f>IF(S1669&gt;0,1,"")</f>
        <v/>
      </c>
    </row>
    <row r="1670">
      <c r="A1670" s="35" t="n">
        <v>43580</v>
      </c>
      <c r="B1670" s="4" t="n">
        <v>0.335227</v>
      </c>
      <c r="C1670" s="4" t="n">
        <v>0.463068</v>
      </c>
      <c r="D1670" s="4" t="n">
        <v>0.201705</v>
      </c>
      <c r="E1670" s="63" t="n">
        <v>1</v>
      </c>
      <c r="F1670" s="63" t="n">
        <v>0.358382375</v>
      </c>
      <c r="G1670" s="63" t="n">
        <v>0.133522</v>
      </c>
      <c r="H1670" s="63" t="n">
        <v>0.38134825777512</v>
      </c>
      <c r="I1670" s="63" t="n">
        <v>0.48252030752954</v>
      </c>
      <c r="J1670" s="63" t="n">
        <v>0.28017620802071</v>
      </c>
      <c r="K1670" s="63" t="n">
        <v>2936.83</v>
      </c>
      <c r="L1670" s="63" t="n">
        <v>2891.9</v>
      </c>
      <c r="M1670" s="63" t="n">
        <v>2927.25</v>
      </c>
      <c r="N1670" s="54">
        <f>(M1671-M1670)/M1670</f>
        <v/>
      </c>
      <c r="O1670" s="54">
        <f>(M1674-M1670)/M1670</f>
        <v/>
      </c>
      <c r="P1670" s="4">
        <f>B1670-D1670</f>
        <v/>
      </c>
      <c r="Q1670" s="4">
        <f>AVERAGE(P1667:P1670)</f>
        <v/>
      </c>
      <c r="R1670" s="54">
        <f>(M1671-M1670)/M1670</f>
        <v/>
      </c>
      <c r="S1670" s="54">
        <f>(M1674-M1670)/M1670</f>
        <v/>
      </c>
      <c r="T1670" s="63">
        <f>IF(R1670&gt;0,1,"")</f>
        <v/>
      </c>
      <c r="U1670" s="63">
        <f>IF(S1670&gt;0,1,"")</f>
        <v/>
      </c>
    </row>
    <row r="1671">
      <c r="A1671" s="35" t="n">
        <v>43587</v>
      </c>
      <c r="B1671" s="4" t="n">
        <v>0.390244</v>
      </c>
      <c r="C1671" s="4" t="n">
        <v>0.396341</v>
      </c>
      <c r="D1671" s="4" t="n">
        <v>0.213415</v>
      </c>
      <c r="E1671" s="63" t="n">
        <v>1</v>
      </c>
      <c r="F1671" s="63" t="n">
        <v>0.360430375</v>
      </c>
      <c r="G1671" s="63" t="n">
        <v>0.176829</v>
      </c>
      <c r="H1671" s="63" t="n">
        <v>0.38134825777512</v>
      </c>
      <c r="I1671" s="63" t="n">
        <v>0.48252030752954</v>
      </c>
      <c r="J1671" s="63" t="n">
        <v>0.28017620802071</v>
      </c>
      <c r="K1671" s="63" t="n">
        <v>2954.13</v>
      </c>
      <c r="L1671" s="63" t="n">
        <v>2912.84</v>
      </c>
      <c r="M1671" s="63" t="n">
        <v>2923.73</v>
      </c>
      <c r="N1671" s="54">
        <f>(M1672-M1671)/M1671</f>
        <v/>
      </c>
      <c r="O1671" s="54">
        <f>(M1675-M1671)/M1671</f>
        <v/>
      </c>
      <c r="P1671" s="4">
        <f>B1671-D1671</f>
        <v/>
      </c>
      <c r="Q1671" s="4">
        <f>AVERAGE(P1668:P1671)</f>
        <v/>
      </c>
      <c r="R1671" s="54">
        <f>(M1672-M1671)/M1671</f>
        <v/>
      </c>
      <c r="S1671" s="54">
        <f>(M1675-M1671)/M1671</f>
        <v/>
      </c>
      <c r="T1671" s="63">
        <f>IF(R1671&gt;0,1,"")</f>
        <v/>
      </c>
      <c r="U1671" s="63">
        <f>IF(S1671&gt;0,1,"")</f>
        <v/>
      </c>
    </row>
    <row r="1672">
      <c r="A1672" s="35" t="n">
        <v>43594</v>
      </c>
      <c r="B1672" s="4" t="n">
        <v>0.431159</v>
      </c>
      <c r="C1672" s="4" t="n">
        <v>0.336957</v>
      </c>
      <c r="D1672" s="4" t="n">
        <v>0.231884</v>
      </c>
      <c r="E1672" s="63" t="n">
        <v>1</v>
      </c>
      <c r="F1672" s="63" t="n">
        <v>0.37379625</v>
      </c>
      <c r="G1672" s="63" t="n">
        <v>0.199275</v>
      </c>
      <c r="H1672" s="63" t="n">
        <v>0.38134825777512</v>
      </c>
      <c r="I1672" s="63" t="n">
        <v>0.48252030752954</v>
      </c>
      <c r="J1672" s="63" t="n">
        <v>0.28017620802071</v>
      </c>
      <c r="K1672" s="63" t="n">
        <v>2954.13</v>
      </c>
      <c r="L1672" s="63" t="n">
        <v>2862.6</v>
      </c>
      <c r="M1672" s="63" t="n">
        <v>2879.42</v>
      </c>
      <c r="N1672" s="54">
        <f>(M1673-M1672)/M1672</f>
        <v/>
      </c>
      <c r="O1672" s="54">
        <f>(M1676-M1672)/M1672</f>
        <v/>
      </c>
      <c r="P1672" s="4">
        <f>B1672-D1672</f>
        <v/>
      </c>
      <c r="Q1672" s="4">
        <f>AVERAGE(P1669:P1672)</f>
        <v/>
      </c>
      <c r="R1672" s="54">
        <f>(M1673-M1672)/M1672</f>
        <v/>
      </c>
      <c r="S1672" s="54">
        <f>(M1676-M1672)/M1672</f>
        <v/>
      </c>
      <c r="T1672" s="63">
        <f>IF(R1672&gt;0,1,"")</f>
        <v/>
      </c>
      <c r="U1672" s="63">
        <f>IF(S1672&gt;0,1,"")</f>
        <v/>
      </c>
    </row>
    <row r="1673">
      <c r="A1673" s="35" t="n">
        <v>43601</v>
      </c>
      <c r="B1673" s="4" t="n">
        <v>0.298246</v>
      </c>
      <c r="C1673" s="4" t="n">
        <v>0.308772</v>
      </c>
      <c r="D1673" s="4" t="n">
        <v>0.392982</v>
      </c>
      <c r="E1673" s="63" t="n">
        <v>1</v>
      </c>
      <c r="F1673" s="63" t="n">
        <v>0.36445</v>
      </c>
      <c r="G1673" s="63" t="n">
        <v>-0.094736</v>
      </c>
      <c r="H1673" s="63" t="n">
        <v>0.38134825777512</v>
      </c>
      <c r="I1673" s="63" t="n">
        <v>0.48252030752954</v>
      </c>
      <c r="J1673" s="63" t="n">
        <v>0.28017620802071</v>
      </c>
      <c r="K1673" s="63" t="n">
        <v>2897.96</v>
      </c>
      <c r="L1673" s="63" t="n">
        <v>2801.43</v>
      </c>
      <c r="M1673" s="63" t="n">
        <v>2850.96</v>
      </c>
      <c r="N1673" s="54">
        <f>(M1674-M1673)/M1673</f>
        <v/>
      </c>
      <c r="O1673" s="54">
        <f>(M1677-M1673)/M1673</f>
        <v/>
      </c>
      <c r="P1673" s="4">
        <f>B1673-D1673</f>
        <v/>
      </c>
      <c r="Q1673" s="4">
        <f>AVERAGE(P1670:P1673)</f>
        <v/>
      </c>
      <c r="R1673" s="54">
        <f>(M1674-M1673)/M1673</f>
        <v/>
      </c>
      <c r="S1673" s="54">
        <f>(M1677-M1673)/M1673</f>
        <v/>
      </c>
      <c r="T1673" s="63">
        <f>IF(R1673&gt;0,1,"")</f>
        <v/>
      </c>
      <c r="U1673" s="63">
        <f>IF(S1673&gt;0,1,"")</f>
        <v/>
      </c>
    </row>
    <row r="1674">
      <c r="A1674" s="35" t="n">
        <v>43608</v>
      </c>
      <c r="B1674" s="4" t="n">
        <v>0.247059</v>
      </c>
      <c r="C1674" s="4" t="n">
        <v>0.392157</v>
      </c>
      <c r="D1674" s="4" t="n">
        <v>0.360784</v>
      </c>
      <c r="E1674" s="63" t="n">
        <v>1</v>
      </c>
      <c r="F1674" s="63" t="n">
        <v>0.353832375</v>
      </c>
      <c r="G1674" s="63" t="n">
        <v>-0.113725</v>
      </c>
      <c r="H1674" s="63" t="n">
        <v>0.38134825777512</v>
      </c>
      <c r="I1674" s="63" t="n">
        <v>0.48252030752954</v>
      </c>
      <c r="J1674" s="63" t="n">
        <v>0.28017620802071</v>
      </c>
      <c r="K1674" s="63" t="n">
        <v>2892.15</v>
      </c>
      <c r="L1674" s="63" t="n">
        <v>2815.08</v>
      </c>
      <c r="M1674" s="63" t="n">
        <v>2856.27</v>
      </c>
      <c r="N1674" s="54">
        <f>(M1675-M1674)/M1674</f>
        <v/>
      </c>
      <c r="O1674" s="54">
        <f>(M1678-M1674)/M1674</f>
        <v/>
      </c>
      <c r="P1674" s="4">
        <f>B1674-D1674</f>
        <v/>
      </c>
      <c r="Q1674" s="4">
        <f>AVERAGE(P1671:P1674)</f>
        <v/>
      </c>
      <c r="R1674" s="54">
        <f>(M1675-M1674)/M1674</f>
        <v/>
      </c>
      <c r="S1674" s="54">
        <f>(M1678-M1674)/M1674</f>
        <v/>
      </c>
      <c r="T1674" s="63">
        <f>IF(R1674&gt;0,1,"")</f>
        <v/>
      </c>
      <c r="U1674" s="63">
        <f>IF(S1674&gt;0,1,"")</f>
        <v/>
      </c>
    </row>
    <row r="1675">
      <c r="A1675" s="35" t="n">
        <v>43615</v>
      </c>
      <c r="B1675" s="4" t="n">
        <v>0.247934</v>
      </c>
      <c r="C1675" s="4" t="n">
        <v>0.35124</v>
      </c>
      <c r="D1675" s="4" t="n">
        <v>0.400826</v>
      </c>
      <c r="E1675" s="63" t="n">
        <v>1</v>
      </c>
      <c r="F1675" s="63" t="n">
        <v>0.34104775</v>
      </c>
      <c r="G1675" s="63" t="n">
        <v>-0.152892</v>
      </c>
      <c r="H1675" s="63" t="n">
        <v>0.38134825777512</v>
      </c>
      <c r="I1675" s="63" t="n">
        <v>0.48252030752954</v>
      </c>
      <c r="J1675" s="63" t="n">
        <v>0.28017620802071</v>
      </c>
      <c r="K1675" s="63" t="n">
        <v>2868.88</v>
      </c>
      <c r="L1675" s="63" t="n">
        <v>2766.06</v>
      </c>
      <c r="M1675" s="63" t="n">
        <v>2783.02</v>
      </c>
      <c r="N1675" s="54">
        <f>(M1676-M1675)/M1675</f>
        <v/>
      </c>
      <c r="O1675" s="54">
        <f>(M1679-M1675)/M1675</f>
        <v/>
      </c>
      <c r="P1675" s="4">
        <f>B1675-D1675</f>
        <v/>
      </c>
      <c r="Q1675" s="4">
        <f>AVERAGE(P1672:P1675)</f>
        <v/>
      </c>
      <c r="R1675" s="54">
        <f>(M1676-M1675)/M1675</f>
        <v/>
      </c>
      <c r="S1675" s="54">
        <f>(M1679-M1675)/M1675</f>
        <v/>
      </c>
      <c r="T1675" s="63">
        <f>IF(R1675&gt;0,1,"")</f>
        <v/>
      </c>
      <c r="U1675" s="63">
        <f>IF(S1675&gt;0,1,"")</f>
        <v/>
      </c>
    </row>
    <row r="1676">
      <c r="A1676" s="35" t="n">
        <v>43622</v>
      </c>
      <c r="B1676" s="4" t="n">
        <v>0.225275</v>
      </c>
      <c r="C1676" s="4" t="n">
        <v>0.348901</v>
      </c>
      <c r="D1676" s="4" t="n">
        <v>0.425824</v>
      </c>
      <c r="E1676" s="63" t="n">
        <v>1</v>
      </c>
      <c r="F1676" s="63" t="n">
        <v>0.318847375</v>
      </c>
      <c r="G1676" s="63" t="n">
        <v>-0.200549</v>
      </c>
      <c r="H1676" s="63" t="n">
        <v>0.38134825777512</v>
      </c>
      <c r="I1676" s="63" t="n">
        <v>0.48252030752954</v>
      </c>
      <c r="J1676" s="63" t="n">
        <v>0.28017620802071</v>
      </c>
      <c r="K1676" s="63" t="n">
        <v>2827.28</v>
      </c>
      <c r="L1676" s="63" t="n">
        <v>2728.81</v>
      </c>
      <c r="M1676" s="63" t="n">
        <v>2826.15</v>
      </c>
      <c r="N1676" s="54">
        <f>(M1677-M1676)/M1676</f>
        <v/>
      </c>
      <c r="O1676" s="54">
        <f>(M1680-M1676)/M1676</f>
        <v/>
      </c>
      <c r="P1676" s="4">
        <f>B1676-D1676</f>
        <v/>
      </c>
      <c r="Q1676" s="4">
        <f>AVERAGE(P1673:P1676)</f>
        <v/>
      </c>
      <c r="R1676" s="54">
        <f>(M1677-M1676)/M1676</f>
        <v/>
      </c>
      <c r="S1676" s="54">
        <f>(M1680-M1676)/M1676</f>
        <v/>
      </c>
      <c r="T1676" s="63">
        <f>IF(R1676&gt;0,1,"")</f>
        <v/>
      </c>
      <c r="U1676" s="63">
        <f>IF(S1676&gt;0,1,"")</f>
        <v/>
      </c>
    </row>
    <row r="1677">
      <c r="A1677" s="35" t="n">
        <v>43629</v>
      </c>
      <c r="B1677" s="4" t="n">
        <v>0.268398</v>
      </c>
      <c r="C1677" s="4" t="n">
        <v>0.38961</v>
      </c>
      <c r="D1677" s="4" t="n">
        <v>0.341991</v>
      </c>
      <c r="E1677" s="63" t="n">
        <v>0.999999</v>
      </c>
      <c r="F1677" s="63" t="n">
        <v>0.30544275</v>
      </c>
      <c r="G1677" s="63" t="n">
        <v>-0.07359300000000001</v>
      </c>
      <c r="H1677" s="63" t="n">
        <v>0.38134825777512</v>
      </c>
      <c r="I1677" s="63" t="n">
        <v>0.48252030752954</v>
      </c>
      <c r="J1677" s="63" t="n">
        <v>0.28017620802071</v>
      </c>
      <c r="K1677" s="63" t="n">
        <v>2910.61</v>
      </c>
      <c r="L1677" s="63" t="n">
        <v>2800.92</v>
      </c>
      <c r="M1677" s="63" t="n">
        <v>2879.84</v>
      </c>
      <c r="N1677" s="54">
        <f>(M1678-M1677)/M1677</f>
        <v/>
      </c>
      <c r="O1677" s="54">
        <f>(M1681-M1677)/M1677</f>
        <v/>
      </c>
      <c r="P1677" s="4">
        <f>B1677-D1677</f>
        <v/>
      </c>
      <c r="Q1677" s="4">
        <f>AVERAGE(P1674:P1677)</f>
        <v/>
      </c>
      <c r="R1677" s="54">
        <f>(M1678-M1677)/M1677</f>
        <v/>
      </c>
      <c r="S1677" s="54">
        <f>(M1681-M1677)/M1677</f>
        <v/>
      </c>
      <c r="T1677" s="63">
        <f>IF(R1677&gt;0,1,"")</f>
        <v/>
      </c>
      <c r="U1677" s="63">
        <f>IF(S1677&gt;0,1,"")</f>
        <v/>
      </c>
    </row>
    <row r="1678">
      <c r="A1678" s="35" t="n">
        <v>43636</v>
      </c>
      <c r="B1678" s="4" t="n">
        <v>0.295082</v>
      </c>
      <c r="C1678" s="4" t="n">
        <v>0.383607</v>
      </c>
      <c r="D1678" s="4" t="n">
        <v>0.321311</v>
      </c>
      <c r="E1678" s="63" t="n">
        <v>1</v>
      </c>
      <c r="F1678" s="63" t="n">
        <v>0.300424625</v>
      </c>
      <c r="G1678" s="63" t="n">
        <v>-0.026229</v>
      </c>
      <c r="H1678" s="63" t="n">
        <v>0.38134825777512</v>
      </c>
      <c r="I1678" s="63" t="n">
        <v>0.48252030752954</v>
      </c>
      <c r="J1678" s="63" t="n">
        <v>0.28017620802071</v>
      </c>
      <c r="K1678" s="63" t="n">
        <v>2931.74</v>
      </c>
      <c r="L1678" s="63" t="n">
        <v>2874.68</v>
      </c>
      <c r="M1678" s="63" t="n">
        <v>2926.46</v>
      </c>
      <c r="N1678" s="54">
        <f>(M1679-M1678)/M1678</f>
        <v/>
      </c>
      <c r="O1678" s="54">
        <f>(M1682-M1678)/M1678</f>
        <v/>
      </c>
      <c r="P1678" s="4">
        <f>B1678-D1678</f>
        <v/>
      </c>
      <c r="Q1678" s="4">
        <f>AVERAGE(P1675:P1678)</f>
        <v/>
      </c>
      <c r="R1678" s="54">
        <f>(M1679-M1678)/M1678</f>
        <v/>
      </c>
      <c r="S1678" s="54">
        <f>(M1682-M1678)/M1678</f>
        <v/>
      </c>
      <c r="T1678" s="63">
        <f>IF(R1678&gt;0,1,"")</f>
        <v/>
      </c>
      <c r="U1678" s="63">
        <f>IF(S1678&gt;0,1,"")</f>
        <v/>
      </c>
    </row>
    <row r="1679">
      <c r="A1679" s="35" t="n">
        <v>43643</v>
      </c>
      <c r="B1679" s="4" t="n">
        <v>0.29589</v>
      </c>
      <c r="C1679" s="4" t="n">
        <v>0.383562</v>
      </c>
      <c r="D1679" s="4" t="n">
        <v>0.320548</v>
      </c>
      <c r="E1679" s="63" t="n">
        <v>1</v>
      </c>
      <c r="F1679" s="63" t="n">
        <v>0.288630375</v>
      </c>
      <c r="G1679" s="63" t="n">
        <v>-0.024658</v>
      </c>
      <c r="H1679" s="63" t="n">
        <v>0.38134825777512</v>
      </c>
      <c r="I1679" s="63" t="n">
        <v>0.48252030752954</v>
      </c>
      <c r="J1679" s="63" t="n">
        <v>0.28017620802071</v>
      </c>
      <c r="K1679" s="63" t="n">
        <v>2964.15</v>
      </c>
      <c r="L1679" s="63" t="n">
        <v>2911.43</v>
      </c>
      <c r="M1679" s="63" t="n">
        <v>2913.78</v>
      </c>
      <c r="N1679" s="54">
        <f>(M1680-M1679)/M1679</f>
        <v/>
      </c>
      <c r="O1679" s="54">
        <f>(M1683-M1679)/M1679</f>
        <v/>
      </c>
      <c r="P1679" s="4">
        <f>B1679-D1679</f>
        <v/>
      </c>
      <c r="Q1679" s="4">
        <f>AVERAGE(P1676:P1679)</f>
        <v/>
      </c>
      <c r="R1679" s="54">
        <f>(M1680-M1679)/M1679</f>
        <v/>
      </c>
      <c r="S1679" s="54">
        <f>(M1683-M1679)/M1679</f>
        <v/>
      </c>
      <c r="T1679" s="63">
        <f>IF(R1679&gt;0,1,"")</f>
        <v/>
      </c>
      <c r="U1679" s="63">
        <f>IF(S1679&gt;0,1,"")</f>
        <v/>
      </c>
    </row>
    <row r="1680">
      <c r="A1680" s="35" t="n">
        <v>43649</v>
      </c>
      <c r="B1680" s="4" t="n">
        <v>0.331551</v>
      </c>
      <c r="C1680" s="4" t="n">
        <v>0.34492</v>
      </c>
      <c r="D1680" s="4" t="n">
        <v>0.323529</v>
      </c>
      <c r="E1680" s="63" t="n">
        <v>1</v>
      </c>
      <c r="F1680" s="63" t="n">
        <v>0.276179375</v>
      </c>
      <c r="G1680" s="63" t="n">
        <v>0.008022</v>
      </c>
      <c r="H1680" s="63" t="n">
        <v>0.38134825777512</v>
      </c>
      <c r="I1680" s="63" t="n">
        <v>0.48252030752954</v>
      </c>
      <c r="J1680" s="63" t="n">
        <v>0.28017620802071</v>
      </c>
      <c r="K1680" s="63" t="n">
        <v>2995.84</v>
      </c>
      <c r="L1680" s="63" t="n">
        <v>2912.99</v>
      </c>
      <c r="M1680" s="63" t="n">
        <v>2995.82</v>
      </c>
      <c r="N1680" s="54">
        <f>(M1681-M1680)/M1680</f>
        <v/>
      </c>
      <c r="O1680" s="54">
        <f>(M1684-M1680)/M1680</f>
        <v/>
      </c>
      <c r="P1680" s="4">
        <f>B1680-D1680</f>
        <v/>
      </c>
      <c r="Q1680" s="4">
        <f>AVERAGE(P1677:P1680)</f>
        <v/>
      </c>
      <c r="R1680" s="54">
        <f>(M1681-M1680)/M1680</f>
        <v/>
      </c>
      <c r="S1680" s="54">
        <f>(M1684-M1680)/M1680</f>
        <v/>
      </c>
      <c r="T1680" s="63">
        <f>IF(R1680&gt;0,1,"")</f>
        <v/>
      </c>
      <c r="U1680" s="63">
        <f>IF(S1680&gt;0,1,"")</f>
        <v/>
      </c>
    </row>
    <row r="1681">
      <c r="A1681" s="35" t="n">
        <v>43657</v>
      </c>
      <c r="B1681" s="4" t="n">
        <v>0.336111</v>
      </c>
      <c r="C1681" s="4" t="n">
        <v>0.388889</v>
      </c>
      <c r="D1681" s="4" t="n">
        <v>0.275</v>
      </c>
      <c r="E1681" s="63" t="n">
        <v>1</v>
      </c>
      <c r="F1681" s="63" t="n">
        <v>0.2809125</v>
      </c>
      <c r="G1681" s="63" t="n">
        <v>0.061111</v>
      </c>
      <c r="H1681" s="63" t="n">
        <v>0.38134825777512</v>
      </c>
      <c r="I1681" s="63" t="n">
        <v>0.48252030752954</v>
      </c>
      <c r="J1681" s="63" t="n">
        <v>0.28017620802071</v>
      </c>
      <c r="K1681" s="63" t="n">
        <v>3002.98</v>
      </c>
      <c r="L1681" s="63" t="n">
        <v>2955.92</v>
      </c>
      <c r="M1681" s="63" t="n">
        <v>2993.07</v>
      </c>
      <c r="N1681" s="54">
        <f>(M1682-M1681)/M1681</f>
        <v/>
      </c>
      <c r="O1681" s="54">
        <f>(M1685-M1681)/M1681</f>
        <v/>
      </c>
      <c r="P1681" s="4">
        <f>B1681-D1681</f>
        <v/>
      </c>
      <c r="Q1681" s="4">
        <f>AVERAGE(P1678:P1681)</f>
        <v/>
      </c>
      <c r="R1681" s="54">
        <f>(M1682-M1681)/M1681</f>
        <v/>
      </c>
      <c r="S1681" s="54">
        <f>(M1685-M1681)/M1681</f>
        <v/>
      </c>
      <c r="T1681" s="63">
        <f>IF(R1681&gt;0,1,"")</f>
        <v/>
      </c>
      <c r="U1681" s="63">
        <f>IF(S1681&gt;0,1,"")</f>
        <v/>
      </c>
    </row>
    <row r="1682">
      <c r="A1682" s="35" t="n">
        <v>43664</v>
      </c>
      <c r="B1682" s="4" t="n">
        <v>0.359296</v>
      </c>
      <c r="C1682" s="4" t="n">
        <v>0.354271</v>
      </c>
      <c r="D1682" s="4" t="n">
        <v>0.286432</v>
      </c>
      <c r="E1682" s="63" t="n">
        <v>0.999999</v>
      </c>
      <c r="F1682" s="63" t="n">
        <v>0.294942125</v>
      </c>
      <c r="G1682" s="63" t="n">
        <v>0.072864</v>
      </c>
      <c r="H1682" s="63" t="n">
        <v>0.38134825777512</v>
      </c>
      <c r="I1682" s="63" t="n">
        <v>0.48252030752954</v>
      </c>
      <c r="J1682" s="63" t="n">
        <v>0.28017620802071</v>
      </c>
      <c r="K1682" s="63" t="n">
        <v>3017.8</v>
      </c>
      <c r="L1682" s="63" t="n">
        <v>2984.25</v>
      </c>
      <c r="M1682" s="63" t="n">
        <v>2984.42</v>
      </c>
      <c r="N1682" s="54">
        <f>(M1683-M1682)/M1682</f>
        <v/>
      </c>
      <c r="O1682" s="54">
        <f>(M1686-M1682)/M1682</f>
        <v/>
      </c>
      <c r="P1682" s="4">
        <f>B1682-D1682</f>
        <v/>
      </c>
      <c r="Q1682" s="4">
        <f>AVERAGE(P1679:P1682)</f>
        <v/>
      </c>
      <c r="R1682" s="54">
        <f>(M1683-M1682)/M1682</f>
        <v/>
      </c>
      <c r="S1682" s="54">
        <f>(M1686-M1682)/M1682</f>
        <v/>
      </c>
      <c r="T1682" s="63">
        <f>IF(R1682&gt;0,1,"")</f>
        <v/>
      </c>
      <c r="U1682" s="63">
        <f>IF(S1682&gt;0,1,"")</f>
        <v/>
      </c>
    </row>
    <row r="1683">
      <c r="A1683" s="35" t="n">
        <v>43671</v>
      </c>
      <c r="B1683" s="4" t="n">
        <v>0.317416</v>
      </c>
      <c r="C1683" s="4" t="n">
        <v>0.36236</v>
      </c>
      <c r="D1683" s="4" t="n">
        <v>0.320225</v>
      </c>
      <c r="E1683" s="63" t="n">
        <v>1.000001</v>
      </c>
      <c r="F1683" s="63" t="n">
        <v>0.303627375</v>
      </c>
      <c r="G1683" s="63" t="n">
        <v>-0.002809</v>
      </c>
      <c r="H1683" s="63" t="n">
        <v>0.38134825777512</v>
      </c>
      <c r="I1683" s="63" t="n">
        <v>0.48252030752954</v>
      </c>
      <c r="J1683" s="63" t="n">
        <v>0.28017620802071</v>
      </c>
      <c r="K1683" s="63" t="n">
        <v>3019.59</v>
      </c>
      <c r="L1683" s="63" t="n">
        <v>2973.09</v>
      </c>
      <c r="M1683" s="63" t="n">
        <v>3019.56</v>
      </c>
      <c r="N1683" s="54">
        <f>(M1684-M1683)/M1683</f>
        <v/>
      </c>
      <c r="O1683" s="54">
        <f>(M1687-M1683)/M1683</f>
        <v/>
      </c>
      <c r="P1683" s="4">
        <f>B1683-D1683</f>
        <v/>
      </c>
      <c r="Q1683" s="4">
        <f>AVERAGE(P1680:P1683)</f>
        <v/>
      </c>
      <c r="R1683" s="54">
        <f>(M1684-M1683)/M1683</f>
        <v/>
      </c>
      <c r="S1683" s="54">
        <f>(M1687-M1683)/M1683</f>
        <v/>
      </c>
      <c r="T1683" s="63">
        <f>IF(R1683&gt;0,1,"")</f>
        <v/>
      </c>
      <c r="U1683" s="63">
        <f>IF(S1683&gt;0,1,"")</f>
        <v/>
      </c>
    </row>
    <row r="1684">
      <c r="A1684" s="35" t="n">
        <v>43678</v>
      </c>
      <c r="B1684" s="4" t="n">
        <v>0.384375</v>
      </c>
      <c r="C1684" s="4" t="n">
        <v>0.375</v>
      </c>
      <c r="D1684" s="4" t="n">
        <v>0.240625</v>
      </c>
      <c r="E1684" s="63" t="n">
        <v>1</v>
      </c>
      <c r="F1684" s="63" t="n">
        <v>0.323514875</v>
      </c>
      <c r="G1684" s="63" t="n">
        <v>0.14375</v>
      </c>
      <c r="H1684" s="63" t="n">
        <v>0.38134825777512</v>
      </c>
      <c r="I1684" s="63" t="n">
        <v>0.48252030752954</v>
      </c>
      <c r="J1684" s="63" t="n">
        <v>0.28017620802071</v>
      </c>
      <c r="K1684" s="63" t="n">
        <v>3027.98</v>
      </c>
      <c r="L1684" s="63" t="n">
        <v>2958.08</v>
      </c>
      <c r="M1684" s="63" t="n">
        <v>2980.38</v>
      </c>
      <c r="N1684" s="54">
        <f>(M1685-M1684)/M1684</f>
        <v/>
      </c>
      <c r="O1684" s="54">
        <f>(M1688-M1684)/M1684</f>
        <v/>
      </c>
      <c r="P1684" s="4">
        <f>B1684-D1684</f>
        <v/>
      </c>
      <c r="Q1684" s="4">
        <f>AVERAGE(P1681:P1684)</f>
        <v/>
      </c>
      <c r="R1684" s="54">
        <f>(M1685-M1684)/M1684</f>
        <v/>
      </c>
      <c r="S1684" s="54">
        <f>(M1688-M1684)/M1684</f>
        <v/>
      </c>
      <c r="T1684" s="63">
        <f>IF(R1684&gt;0,1,"")</f>
        <v/>
      </c>
      <c r="U1684" s="63">
        <f>IF(S1684&gt;0,1,"")</f>
        <v/>
      </c>
    </row>
    <row r="1685">
      <c r="A1685" s="35" t="n">
        <v>43685</v>
      </c>
      <c r="B1685" s="4" t="n">
        <v>0.216561</v>
      </c>
      <c r="C1685" s="4" t="n">
        <v>0.301486</v>
      </c>
      <c r="D1685" s="4" t="n">
        <v>0.481953</v>
      </c>
      <c r="E1685" s="63" t="n">
        <v>1</v>
      </c>
      <c r="F1685" s="63" t="n">
        <v>0.31703525</v>
      </c>
      <c r="G1685" s="63" t="n">
        <v>-0.265392</v>
      </c>
      <c r="H1685" s="63" t="n">
        <v>0.38134825777512</v>
      </c>
      <c r="I1685" s="63" t="n">
        <v>0.48252030752954</v>
      </c>
      <c r="J1685" s="63" t="n">
        <v>0.28017620802071</v>
      </c>
      <c r="K1685" s="63" t="n">
        <v>3017.4</v>
      </c>
      <c r="L1685" s="63" t="n">
        <v>2822.12</v>
      </c>
      <c r="M1685" s="63" t="n">
        <v>2883.98</v>
      </c>
      <c r="N1685" s="54">
        <f>(M1686-M1685)/M1685</f>
        <v/>
      </c>
      <c r="O1685" s="54">
        <f>(M1689-M1685)/M1685</f>
        <v/>
      </c>
      <c r="P1685" s="4">
        <f>B1685-D1685</f>
        <v/>
      </c>
      <c r="Q1685" s="4">
        <f>AVERAGE(P1682:P1685)</f>
        <v/>
      </c>
      <c r="R1685" s="54">
        <f>(M1686-M1685)/M1685</f>
        <v/>
      </c>
      <c r="S1685" s="54">
        <f>(M1689-M1685)/M1685</f>
        <v/>
      </c>
      <c r="T1685" s="63">
        <f>IF(R1685&gt;0,1,"")</f>
        <v/>
      </c>
      <c r="U1685" s="63">
        <f>IF(S1685&gt;0,1,"")</f>
        <v/>
      </c>
    </row>
    <row r="1686">
      <c r="A1686" s="35" t="n">
        <v>43692</v>
      </c>
      <c r="B1686" s="4" t="n">
        <v>0.23176</v>
      </c>
      <c r="C1686" s="4" t="n">
        <v>0.319742</v>
      </c>
      <c r="D1686" s="4" t="n">
        <v>0.448498</v>
      </c>
      <c r="E1686" s="63" t="n">
        <v>1</v>
      </c>
      <c r="F1686" s="63" t="n">
        <v>0.30912</v>
      </c>
      <c r="G1686" s="63" t="n">
        <v>-0.216738</v>
      </c>
      <c r="H1686" s="63" t="n">
        <v>0.38134825777512</v>
      </c>
      <c r="I1686" s="63" t="n">
        <v>0.48252030752954</v>
      </c>
      <c r="J1686" s="63" t="n">
        <v>0.28017620802071</v>
      </c>
      <c r="K1686" s="63" t="n">
        <v>2943.31</v>
      </c>
      <c r="L1686" s="63" t="n">
        <v>2825.71</v>
      </c>
      <c r="M1686" s="63" t="n">
        <v>2840.6</v>
      </c>
      <c r="N1686" s="54">
        <f>(M1687-M1686)/M1686</f>
        <v/>
      </c>
      <c r="O1686" s="54">
        <f>(M1690-M1686)/M1686</f>
        <v/>
      </c>
      <c r="P1686" s="4">
        <f>B1686-D1686</f>
        <v/>
      </c>
      <c r="Q1686" s="4">
        <f>AVERAGE(P1683:P1686)</f>
        <v/>
      </c>
      <c r="R1686" s="54">
        <f>(M1687-M1686)/M1686</f>
        <v/>
      </c>
      <c r="S1686" s="54">
        <f>(M1690-M1686)/M1686</f>
        <v/>
      </c>
      <c r="T1686" s="63">
        <f>IF(R1686&gt;0,1,"")</f>
        <v/>
      </c>
      <c r="U1686" s="63">
        <f>IF(S1686&gt;0,1,"")</f>
        <v/>
      </c>
    </row>
  </sheetData>
  <conditionalFormatting sqref="B14:B168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2018-07-12T06:25:51Z</dcterms:created>
  <dcterms:modified xmlns:dcterms="http://purl.org/dc/terms/" xmlns:xsi="http://www.w3.org/2001/XMLSchema-instance" xsi:type="dcterms:W3CDTF">2023-01-07T03:35:54Z</dcterms:modified>
  <cp:lastModifiedBy>Mark Mukherjee</cp:lastModifiedBy>
</cp:coreProperties>
</file>