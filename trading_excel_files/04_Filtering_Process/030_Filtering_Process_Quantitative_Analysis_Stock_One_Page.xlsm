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FA1B8141-A1B5-BD43-B94A-CB281C2AE267}" xr6:coauthVersionLast="47" xr6:coauthVersionMax="47" xr10:uidLastSave="{00000000-0000-0000-0000-000000000000}"/>
  <bookViews>
    <workbookView xWindow="-29360" yWindow="500" windowWidth="43820" windowHeight="17500" activeTab="6" xr2:uid="{00000000-000D-0000-FFFF-FFFF00000000}"/>
  </bookViews>
  <sheets>
    <sheet name="Note" sheetId="4" r:id="rId1"/>
    <sheet name="Database S&amp;P500" sheetId="31" r:id="rId2"/>
    <sheet name="Database Sectors" sheetId="32" r:id="rId3"/>
    <sheet name="Database US Companies" sheetId="33" r:id="rId4"/>
    <sheet name="Data S&amp;P 500" sheetId="30" r:id="rId5"/>
    <sheet name="Sales Growth" sheetId="25" r:id="rId6"/>
    <sheet name="Earnings Growth" sheetId="24" r:id="rId7"/>
    <sheet name="Dividend Yield" sheetId="26" r:id="rId8"/>
    <sheet name="Margins" sheetId="27" r:id="rId9"/>
    <sheet name="Debt  Balance-Sheet" sheetId="28" r:id="rId10"/>
    <sheet name="Value" sheetId="29" r:id="rId11"/>
    <sheet name="LULU" sheetId="15" r:id="rId12"/>
    <sheet name="GOOS" sheetId="16" r:id="rId13"/>
    <sheet name="RL" sheetId="17" r:id="rId14"/>
    <sheet name="AMZN" sheetId="18" r:id="rId15"/>
    <sheet name="OMC" sheetId="19" r:id="rId16"/>
    <sheet name="KR" sheetId="20" r:id="rId17"/>
    <sheet name="WMT" sheetId="21" r:id="rId18"/>
    <sheet name="XOM" sheetId="22" r:id="rId19"/>
    <sheet name="GE" sheetId="23" r:id="rId20"/>
  </sheets>
  <functionGroups builtInGroupCount="19"/>
  <externalReferences>
    <externalReference r:id="rId21"/>
  </externalReferences>
  <definedNames>
    <definedName name="_xlnm._FilterDatabase" localSheetId="6" hidden="1">'Earnings Growth'!$B$3:$G$3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0" l="1"/>
  <c r="D16" i="30"/>
  <c r="I10" i="30"/>
  <c r="G10" i="30"/>
  <c r="I7" i="30"/>
  <c r="G7" i="30"/>
  <c r="I8" i="30"/>
  <c r="G8" i="30"/>
  <c r="O25" i="23" l="1"/>
  <c r="O18" i="23"/>
  <c r="AE24" i="22"/>
  <c r="AD24" i="22"/>
  <c r="AC24" i="22"/>
  <c r="AB24" i="22"/>
  <c r="AE23" i="22"/>
  <c r="AD23" i="22"/>
  <c r="AC23" i="22"/>
  <c r="AB23" i="22"/>
  <c r="Q2" i="22"/>
  <c r="H47" i="21"/>
  <c r="G47" i="21"/>
  <c r="D47" i="21"/>
  <c r="C47" i="21"/>
  <c r="H46" i="21"/>
  <c r="G46" i="21"/>
  <c r="D46" i="21"/>
  <c r="C46" i="21"/>
  <c r="H45" i="21"/>
  <c r="G45" i="21"/>
  <c r="D45" i="21"/>
  <c r="C45" i="21"/>
  <c r="J44" i="21"/>
  <c r="H44" i="21"/>
  <c r="G44" i="21"/>
  <c r="D44" i="21"/>
  <c r="C44" i="21"/>
  <c r="AE24" i="21"/>
  <c r="AD24" i="21"/>
  <c r="AC24" i="21"/>
  <c r="AB24" i="21"/>
  <c r="AE23" i="21"/>
  <c r="AD23" i="21"/>
  <c r="AC23" i="21"/>
  <c r="AB23" i="21"/>
  <c r="Q2" i="21"/>
  <c r="O25" i="20"/>
  <c r="AE24" i="20"/>
  <c r="AD24" i="20"/>
  <c r="AC24" i="20"/>
  <c r="AB24" i="20"/>
  <c r="O24" i="20"/>
  <c r="AE23" i="20"/>
  <c r="AD23" i="20"/>
  <c r="AC23" i="20"/>
  <c r="AB23" i="20"/>
  <c r="O23" i="20"/>
  <c r="O22" i="20"/>
  <c r="O21" i="20"/>
  <c r="O20" i="20"/>
  <c r="O19" i="20"/>
  <c r="O18" i="20"/>
  <c r="Q2" i="20"/>
  <c r="O27" i="18"/>
  <c r="O25" i="18"/>
  <c r="O24" i="18"/>
  <c r="O23" i="18"/>
  <c r="O22" i="18"/>
  <c r="O21" i="18"/>
  <c r="O20" i="18"/>
  <c r="O19" i="18"/>
  <c r="O18" i="18"/>
  <c r="O17" i="18"/>
  <c r="O16" i="18"/>
  <c r="D7" i="18"/>
  <c r="D6" i="18"/>
  <c r="M27" i="17"/>
  <c r="L27" i="17"/>
  <c r="K27" i="17"/>
  <c r="L26" i="17"/>
  <c r="K26" i="17"/>
  <c r="M25" i="17"/>
  <c r="K25" i="17"/>
  <c r="AE24" i="17"/>
  <c r="AD24" i="17"/>
  <c r="AC24" i="17"/>
  <c r="AB24" i="17"/>
  <c r="M24" i="17"/>
  <c r="L24" i="17"/>
  <c r="K24" i="17"/>
  <c r="O24" i="17" s="1"/>
  <c r="AE23" i="17"/>
  <c r="AD23" i="17"/>
  <c r="AC23" i="17"/>
  <c r="AB23" i="17"/>
  <c r="M23" i="17"/>
  <c r="K23" i="17"/>
  <c r="M22" i="17"/>
  <c r="L22" i="17"/>
  <c r="K22" i="17"/>
  <c r="O22" i="17" s="1"/>
  <c r="M21" i="17"/>
  <c r="K21" i="17"/>
  <c r="O21" i="17" s="1"/>
  <c r="M20" i="17"/>
  <c r="K20" i="17"/>
  <c r="O20" i="17" s="1"/>
  <c r="O19" i="17"/>
  <c r="M18" i="17"/>
  <c r="O18" i="17" s="1"/>
  <c r="K18" i="17"/>
  <c r="M17" i="17"/>
  <c r="L17" i="17"/>
  <c r="K17" i="17"/>
  <c r="O17" i="17" s="1"/>
  <c r="M16" i="17"/>
  <c r="L16" i="17"/>
  <c r="K16" i="17"/>
  <c r="M27" i="16"/>
  <c r="L27" i="16"/>
  <c r="K27" i="16"/>
  <c r="L26" i="16"/>
  <c r="K26" i="16"/>
  <c r="O26" i="16" s="1"/>
  <c r="M25" i="16"/>
  <c r="K25" i="16"/>
  <c r="O25" i="16" s="1"/>
  <c r="AE24" i="16"/>
  <c r="AD24" i="16"/>
  <c r="AC24" i="16"/>
  <c r="AB24" i="16"/>
  <c r="M24" i="16"/>
  <c r="L24" i="16"/>
  <c r="K24" i="16"/>
  <c r="AE23" i="16"/>
  <c r="AD23" i="16"/>
  <c r="AC23" i="16"/>
  <c r="AB23" i="16"/>
  <c r="M23" i="16"/>
  <c r="O23" i="16" s="1"/>
  <c r="K23" i="16"/>
  <c r="M22" i="16"/>
  <c r="L22" i="16"/>
  <c r="K22" i="16"/>
  <c r="M21" i="16"/>
  <c r="K21" i="16"/>
  <c r="O21" i="16" s="1"/>
  <c r="M20" i="16"/>
  <c r="K20" i="16"/>
  <c r="O20" i="16" s="1"/>
  <c r="O19" i="16"/>
  <c r="M18" i="16"/>
  <c r="K18" i="16"/>
  <c r="M17" i="16"/>
  <c r="L17" i="16"/>
  <c r="K17" i="16"/>
  <c r="O17" i="16" s="1"/>
  <c r="M16" i="16"/>
  <c r="L16" i="16"/>
  <c r="K16" i="16"/>
  <c r="H39" i="15"/>
  <c r="H38" i="15"/>
  <c r="H34" i="15"/>
  <c r="G34" i="15"/>
  <c r="F34" i="15"/>
  <c r="E34" i="15"/>
  <c r="D34" i="15"/>
  <c r="C34" i="15"/>
  <c r="H33" i="15"/>
  <c r="G33" i="15"/>
  <c r="F33" i="15"/>
  <c r="E33" i="15"/>
  <c r="D33" i="15"/>
  <c r="C33" i="15"/>
  <c r="H30" i="15"/>
  <c r="G30" i="15"/>
  <c r="F30" i="15"/>
  <c r="E30" i="15"/>
  <c r="D30" i="15"/>
  <c r="C30" i="15"/>
  <c r="H29" i="15"/>
  <c r="G29" i="15"/>
  <c r="F29" i="15"/>
  <c r="E29" i="15"/>
  <c r="D29" i="15"/>
  <c r="C29" i="15"/>
  <c r="H28" i="15"/>
  <c r="G28" i="15"/>
  <c r="F28" i="15"/>
  <c r="E28" i="15"/>
  <c r="D28" i="15"/>
  <c r="C28" i="15"/>
  <c r="N27" i="15"/>
  <c r="M27" i="15"/>
  <c r="L27" i="15"/>
  <c r="K27" i="15"/>
  <c r="H27" i="15"/>
  <c r="G27" i="15"/>
  <c r="F27" i="15"/>
  <c r="E27" i="15"/>
  <c r="D27" i="15"/>
  <c r="N26" i="15"/>
  <c r="L26" i="15"/>
  <c r="K26" i="15"/>
  <c r="N25" i="15"/>
  <c r="O25" i="15" s="1"/>
  <c r="M25" i="15"/>
  <c r="K25" i="15"/>
  <c r="AE24" i="15"/>
  <c r="AD24" i="15"/>
  <c r="AC24" i="15"/>
  <c r="AB24" i="15"/>
  <c r="N24" i="15"/>
  <c r="M24" i="15"/>
  <c r="L24" i="15"/>
  <c r="K24" i="15"/>
  <c r="H24" i="15"/>
  <c r="G24" i="15"/>
  <c r="F24" i="15"/>
  <c r="E24" i="15"/>
  <c r="D24" i="15"/>
  <c r="AE23" i="15"/>
  <c r="AD23" i="15"/>
  <c r="AC23" i="15"/>
  <c r="AB23" i="15"/>
  <c r="N23" i="15"/>
  <c r="M23" i="15"/>
  <c r="K23" i="15"/>
  <c r="H23" i="15"/>
  <c r="G23" i="15"/>
  <c r="F23" i="15"/>
  <c r="E23" i="15"/>
  <c r="D23" i="15"/>
  <c r="C23" i="15"/>
  <c r="N22" i="15"/>
  <c r="M22" i="15"/>
  <c r="L22" i="15"/>
  <c r="K22" i="15"/>
  <c r="O22" i="15" s="1"/>
  <c r="M21" i="15"/>
  <c r="O21" i="15" s="1"/>
  <c r="K21" i="15"/>
  <c r="H21" i="15"/>
  <c r="G21" i="15"/>
  <c r="F21" i="15"/>
  <c r="E21" i="15"/>
  <c r="D21" i="15"/>
  <c r="C21" i="15"/>
  <c r="M20" i="15"/>
  <c r="K20" i="15"/>
  <c r="O19" i="15"/>
  <c r="H19" i="15"/>
  <c r="G19" i="15"/>
  <c r="F19" i="15"/>
  <c r="E19" i="15"/>
  <c r="D19" i="15"/>
  <c r="C19" i="15"/>
  <c r="N18" i="15"/>
  <c r="M18" i="15"/>
  <c r="K18" i="15"/>
  <c r="M17" i="15"/>
  <c r="L17" i="15"/>
  <c r="K17" i="15"/>
  <c r="H17" i="15"/>
  <c r="G17" i="15"/>
  <c r="F17" i="15"/>
  <c r="E17" i="15"/>
  <c r="D17" i="15"/>
  <c r="M16" i="15"/>
  <c r="L16" i="15"/>
  <c r="K16" i="15"/>
  <c r="O16" i="15" s="1"/>
  <c r="H10" i="15"/>
  <c r="F10" i="15"/>
  <c r="D10" i="15"/>
  <c r="H9" i="15"/>
  <c r="H8" i="15"/>
  <c r="F7" i="15"/>
  <c r="D7" i="15"/>
  <c r="H6" i="15"/>
  <c r="F6" i="15"/>
  <c r="D6" i="15"/>
  <c r="O20" i="15" l="1"/>
  <c r="O26" i="15"/>
  <c r="O16" i="16"/>
  <c r="O16" i="17"/>
  <c r="O26" i="17"/>
  <c r="O17" i="15"/>
  <c r="O23" i="15"/>
  <c r="O24" i="15"/>
  <c r="O27" i="15"/>
  <c r="O22" i="16"/>
  <c r="O27" i="16"/>
  <c r="O18" i="15"/>
  <c r="O18" i="16"/>
  <c r="O24" i="16"/>
  <c r="O23" i="17"/>
  <c r="O25" i="17"/>
  <c r="O27" i="17"/>
</calcChain>
</file>

<file path=xl/sharedStrings.xml><?xml version="1.0" encoding="utf-8"?>
<sst xmlns="http://schemas.openxmlformats.org/spreadsheetml/2006/main" count="31378" uniqueCount="4757">
  <si>
    <t>WEBSITES</t>
  </si>
  <si>
    <t>DATA</t>
  </si>
  <si>
    <t>Industrials</t>
  </si>
  <si>
    <t>Media</t>
  </si>
  <si>
    <t>Exchange</t>
  </si>
  <si>
    <t>Industry</t>
  </si>
  <si>
    <t>Healthcare</t>
  </si>
  <si>
    <t>Energy</t>
  </si>
  <si>
    <t>Industrial Conglomerates</t>
  </si>
  <si>
    <t>Beta</t>
  </si>
  <si>
    <t>AMZN</t>
  </si>
  <si>
    <t>EV</t>
  </si>
  <si>
    <t>GE</t>
  </si>
  <si>
    <t>GOOS</t>
  </si>
  <si>
    <t>KR</t>
  </si>
  <si>
    <t>lululemon athletica inc.</t>
  </si>
  <si>
    <t>LULU</t>
  </si>
  <si>
    <t>OMC</t>
  </si>
  <si>
    <t>PB</t>
  </si>
  <si>
    <t>PEG</t>
  </si>
  <si>
    <t>RL</t>
  </si>
  <si>
    <t>WMT</t>
  </si>
  <si>
    <t>XOM</t>
  </si>
  <si>
    <t>Sector</t>
  </si>
  <si>
    <t>Consumer Staples</t>
  </si>
  <si>
    <t>Consumer Discretionary</t>
  </si>
  <si>
    <t>Last</t>
  </si>
  <si>
    <t>Interim 2019 Earnings Release (Projected)</t>
  </si>
  <si>
    <t>Q3 2019 Earnings Release (Projected)</t>
  </si>
  <si>
    <t>52 week High</t>
  </si>
  <si>
    <t>Trailing P/E</t>
  </si>
  <si>
    <t>Price to book</t>
  </si>
  <si>
    <t>52 week Low</t>
  </si>
  <si>
    <t>Forward P/E</t>
  </si>
  <si>
    <t>ROE</t>
  </si>
  <si>
    <t>Competitors</t>
  </si>
  <si>
    <t>YTD Change/%</t>
  </si>
  <si>
    <t>LVMH MOET HENNESSY VUITTO</t>
  </si>
  <si>
    <t>Mkt Cap</t>
  </si>
  <si>
    <t>Dividend 2019</t>
  </si>
  <si>
    <t>-</t>
  </si>
  <si>
    <t>VF CORPORATION</t>
  </si>
  <si>
    <t>Div. yield</t>
  </si>
  <si>
    <t>UNDER ARMOUR</t>
  </si>
  <si>
    <t>Days to Cover</t>
  </si>
  <si>
    <t>Website</t>
  </si>
  <si>
    <t>http://investor.lululemon.com/</t>
  </si>
  <si>
    <t>MONCLER</t>
  </si>
  <si>
    <t>Target Price</t>
  </si>
  <si>
    <t>Year End</t>
  </si>
  <si>
    <t>January</t>
  </si>
  <si>
    <t>2020  (e)</t>
  </si>
  <si>
    <t>2021  (e)</t>
  </si>
  <si>
    <t>2022  (e)</t>
  </si>
  <si>
    <t>Avg.</t>
  </si>
  <si>
    <t>Sales</t>
  </si>
  <si>
    <t>9790M</t>
  </si>
  <si>
    <t>yoy</t>
  </si>
  <si>
    <t>8920M</t>
  </si>
  <si>
    <t>EBITDA</t>
  </si>
  <si>
    <t>P/E</t>
  </si>
  <si>
    <t>EPS 2019</t>
  </si>
  <si>
    <t>EBITDA margin</t>
  </si>
  <si>
    <t>EV/EBITDA</t>
  </si>
  <si>
    <t>EBITDA 2019</t>
  </si>
  <si>
    <t xml:space="preserve">
</t>
  </si>
  <si>
    <t>Operating Profit (EBIT)</t>
  </si>
  <si>
    <t>EV/EBIT</t>
  </si>
  <si>
    <t>EBIT 2019</t>
  </si>
  <si>
    <t>EBIT margin</t>
  </si>
  <si>
    <t>EV/Revenues</t>
  </si>
  <si>
    <t>Revenues 2019</t>
  </si>
  <si>
    <t>Net income</t>
  </si>
  <si>
    <t>Book</t>
  </si>
  <si>
    <t>Net Margin</t>
  </si>
  <si>
    <t>Ebitda margin</t>
  </si>
  <si>
    <t>Ebit margin</t>
  </si>
  <si>
    <t>P/E ratio</t>
  </si>
  <si>
    <t>30,5x</t>
  </si>
  <si>
    <t>41,2x</t>
  </si>
  <si>
    <t>40,9x</t>
  </si>
  <si>
    <t>41,5x</t>
  </si>
  <si>
    <t>35,2x</t>
  </si>
  <si>
    <t>29,7x</t>
  </si>
  <si>
    <t>Net margin</t>
  </si>
  <si>
    <t>Net Income</t>
  </si>
  <si>
    <t>EPS</t>
  </si>
  <si>
    <t>Dividend Yield</t>
  </si>
  <si>
    <t>Dividend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</si>
  <si>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</si>
  <si>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</si>
  <si>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</si>
  <si>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</si>
  <si>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</si>
  <si>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</si>
  <si>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</si>
  <si>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</si>
  <si>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</si>
  <si>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</si>
  <si>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</si>
  <si>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</si>
  <si>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</si>
  <si>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</si>
  <si>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</si>
  <si>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</si>
  <si>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</si>
  <si>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1.17M</t>
  </si>
  <si>
    <t>200 MAV</t>
  </si>
  <si>
    <t>Avg Vol 3Months</t>
  </si>
  <si>
    <t>2M</t>
  </si>
  <si>
    <t>Buyback Year</t>
  </si>
  <si>
    <t>(580.69M)</t>
  </si>
  <si>
    <t>Buyback Quarter</t>
  </si>
  <si>
    <t>Sales Per Region</t>
  </si>
  <si>
    <t>United States</t>
  </si>
  <si>
    <t>Sales Per Business</t>
  </si>
  <si>
    <t>Corporate-Operated Stores</t>
  </si>
  <si>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</si>
  <si>
    <t>Canada</t>
  </si>
  <si>
    <t>Direct to Consumer</t>
  </si>
  <si>
    <t>Outside of North America</t>
  </si>
  <si>
    <t>NASDAQ GS</t>
  </si>
  <si>
    <t/>
  </si>
  <si>
    <t>Textiles, Apparel &amp; Luxury Goo</t>
  </si>
  <si>
    <t>Canada Goos</t>
  </si>
  <si>
    <t>Q1 2020 Earnings Release (Projected)</t>
  </si>
  <si>
    <t>08/15/19</t>
  </si>
  <si>
    <t>Annual General Meeting</t>
  </si>
  <si>
    <t>90,2x</t>
  </si>
  <si>
    <t>46,4x</t>
  </si>
  <si>
    <t>New York</t>
  </si>
  <si>
    <t>LULULEMON-ATHLETICA-INC-40449575/</t>
  </si>
  <si>
    <t>81,0</t>
  </si>
  <si>
    <t>72,5</t>
  </si>
  <si>
    <t>182x</t>
  </si>
  <si>
    <t>85,3x</t>
  </si>
  <si>
    <t>37,0x</t>
  </si>
  <si>
    <t>30,2x</t>
  </si>
  <si>
    <t>664.1k</t>
  </si>
  <si>
    <t>1.75M</t>
  </si>
  <si>
    <t>Wholesale</t>
  </si>
  <si>
    <t>Direct to Customer</t>
  </si>
  <si>
    <t>Rest of the World</t>
  </si>
  <si>
    <t>Ralph Lauren</t>
  </si>
  <si>
    <t>24,6x</t>
  </si>
  <si>
    <t>14,5x</t>
  </si>
  <si>
    <t xml:space="preserve">
                135.47</t>
  </si>
  <si>
    <t>-68,0x</t>
  </si>
  <si>
    <t>56,8x</t>
  </si>
  <si>
    <t>12,9x</t>
  </si>
  <si>
    <t>11,7x</t>
  </si>
  <si>
    <t>1.07M</t>
  </si>
  <si>
    <t>1.09M</t>
  </si>
  <si>
    <t>(480.8M)</t>
  </si>
  <si>
    <t>(70.7M)</t>
  </si>
  <si>
    <t>North America</t>
  </si>
  <si>
    <t>Europe</t>
  </si>
  <si>
    <t>Asia</t>
  </si>
  <si>
    <t>Americas</t>
  </si>
  <si>
    <t>Other Non-Reportable Segments</t>
  </si>
  <si>
    <t>AMAZON-COM</t>
  </si>
  <si>
    <t>GSMA Mobile World Congress</t>
  </si>
  <si>
    <t>74,6x</t>
  </si>
  <si>
    <t>78,8x</t>
  </si>
  <si>
    <t>Internet &amp; Direct Marketing Re</t>
  </si>
  <si>
    <t>http://www.amazon.com</t>
  </si>
  <si>
    <t>December</t>
  </si>
  <si>
    <t>WAYFAIR-INC-18126549/</t>
  </si>
  <si>
    <t>ETSY-INC-21685602/</t>
  </si>
  <si>
    <t>QURATE-RETAIL-INC-42750209/</t>
  </si>
  <si>
    <t>ZOZO-INC-6814738/</t>
  </si>
  <si>
    <t>153x</t>
  </si>
  <si>
    <t>190x</t>
  </si>
  <si>
    <t>55,2x</t>
  </si>
  <si>
    <t>38,4x</t>
  </si>
  <si>
    <t xml:space="preserve">
                            </t>
  </si>
  <si>
    <t>3.53M</t>
  </si>
  <si>
    <t>3.83M</t>
  </si>
  <si>
    <t>Online Stores</t>
  </si>
  <si>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</si>
  <si>
    <t>International</t>
  </si>
  <si>
    <t>Third-Party Seller Services</t>
  </si>
  <si>
    <t xml:space="preserve">
	</t>
  </si>
  <si>
    <t>Amazon Web Services</t>
  </si>
  <si>
    <t xml:space="preserve">_x000D_
</t>
  </si>
  <si>
    <t>Subscription Services</t>
  </si>
  <si>
    <t>OMNICOM-GR</t>
  </si>
  <si>
    <t>Ex-dividend day for</t>
  </si>
  <si>
    <t>12,6x</t>
  </si>
  <si>
    <t>13,2x</t>
  </si>
  <si>
    <t>http://www.omnicomgroup.com</t>
  </si>
  <si>
    <t xml:space="preserve">
                81.09</t>
  </si>
  <si>
    <t>WPP-GROUP-12281876/</t>
  </si>
  <si>
    <t>PUBLICIS-GROUPE-4685/</t>
  </si>
  <si>
    <t>INTERPUBLIC-GROUP-13096/</t>
  </si>
  <si>
    <t>JCDECAUX-4664/</t>
  </si>
  <si>
    <t>17,8x</t>
  </si>
  <si>
    <t>15,7x</t>
  </si>
  <si>
    <t>12,5x</t>
  </si>
  <si>
    <t>11,4x</t>
  </si>
  <si>
    <t>1.43M</t>
  </si>
  <si>
    <t>1.88M</t>
  </si>
  <si>
    <t>(568.3M)</t>
  </si>
  <si>
    <t>(239.6M)</t>
  </si>
  <si>
    <t>Advertising</t>
  </si>
  <si>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</si>
  <si>
    <t>Customer Relationship Management</t>
  </si>
  <si>
    <t>Asia Pacific</t>
  </si>
  <si>
    <t>United Kingdom</t>
  </si>
  <si>
    <t>KROGER</t>
  </si>
  <si>
    <t>7,53x</t>
  </si>
  <si>
    <t>9,15x</t>
  </si>
  <si>
    <t>Food &amp; Staples Retailing</t>
  </si>
  <si>
    <t>http://www.kroger.com</t>
  </si>
  <si>
    <t xml:space="preserve">
                26.17</t>
  </si>
  <si>
    <t>SYSCO-CORPORATION-14540/</t>
  </si>
  <si>
    <t>WOOLWORTHS-GROUP-LTD-6491360/</t>
  </si>
  <si>
    <t>SEVEN-I-HOLDINGS-CO-L-6497950/</t>
  </si>
  <si>
    <t>TESCO-PLC-4000540/</t>
  </si>
  <si>
    <t>16,6x</t>
  </si>
  <si>
    <t>9,01x</t>
  </si>
  <si>
    <t>7,85x</t>
  </si>
  <si>
    <t>9.78M</t>
  </si>
  <si>
    <t>8.92M</t>
  </si>
  <si>
    <t>(1.95B)</t>
  </si>
  <si>
    <t>(3M)</t>
  </si>
  <si>
    <t>Non Perishable</t>
  </si>
  <si>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</si>
  <si>
    <t>Perishable</t>
  </si>
  <si>
    <t>Fuel</t>
  </si>
  <si>
    <t>Pharmacy</t>
  </si>
  <si>
    <t>WAL-MART</t>
  </si>
  <si>
    <t>Interim 2020 Earnings Call</t>
  </si>
  <si>
    <t>42,4x</t>
  </si>
  <si>
    <t>22,0x</t>
  </si>
  <si>
    <t>https://corporate.walmart.com/</t>
  </si>
  <si>
    <t xml:space="preserve">
                111.73</t>
  </si>
  <si>
    <t>COSTCO-WHOLESALE-CORPORAT-4866//</t>
  </si>
  <si>
    <t>KROGER-13293//</t>
  </si>
  <si>
    <t>CARREFOUR-4626/</t>
  </si>
  <si>
    <t>TARGET-CORPORATION-12291//</t>
  </si>
  <si>
    <t>15,2x</t>
  </si>
  <si>
    <t>32,5x</t>
  </si>
  <si>
    <t>21,8x</t>
  </si>
  <si>
    <t>20,9x</t>
  </si>
  <si>
    <t>4.5M</t>
  </si>
  <si>
    <t>5.76M</t>
  </si>
  <si>
    <t>(7.41B)</t>
  </si>
  <si>
    <t>(2.14B)</t>
  </si>
  <si>
    <t>EXXON-MOBIL</t>
  </si>
  <si>
    <t>Interim 2019 Earnings Release</t>
  </si>
  <si>
    <t>Interim 2019 Earnings Call</t>
  </si>
  <si>
    <t>14,0x</t>
  </si>
  <si>
    <t>20,7x</t>
  </si>
  <si>
    <t>Oil, Gas &amp; Consumable Fuels</t>
  </si>
  <si>
    <t>http://www.exxon.mobil.com</t>
  </si>
  <si>
    <t xml:space="preserve">
                85.24</t>
  </si>
  <si>
    <t>BP-PLC-9590188/</t>
  </si>
  <si>
    <t>RELIANCE-INDUSTRIES-9058833/</t>
  </si>
  <si>
    <t>RELIANCE-INDUSTRIES-LIMIT-4000905/</t>
  </si>
  <si>
    <t>CHINA-PETROLEUM-CHEMICA-6497363/</t>
  </si>
  <si>
    <t>701688M</t>
  </si>
  <si>
    <t>613790M</t>
  </si>
  <si>
    <t>48,0x</t>
  </si>
  <si>
    <t>18,1x</t>
  </si>
  <si>
    <t>14,7x</t>
  </si>
  <si>
    <t>14,2x</t>
  </si>
  <si>
    <t>8M</t>
  </si>
  <si>
    <t>10.26M</t>
  </si>
  <si>
    <t>(626M)</t>
  </si>
  <si>
    <t>(421M)</t>
  </si>
  <si>
    <t>Downstream</t>
  </si>
  <si>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</si>
  <si>
    <t>Non-United States</t>
  </si>
  <si>
    <t>Chemical</t>
  </si>
  <si>
    <t>Upstream</t>
  </si>
  <si>
    <t>Corporate and Financing</t>
  </si>
  <si>
    <t>GENERAL-ELECTRIC</t>
  </si>
  <si>
    <t>FY 2019 Earnings Release (Projected)</t>
  </si>
  <si>
    <t>-3,12x</t>
  </si>
  <si>
    <t>25,8x</t>
  </si>
  <si>
    <t>http://www.ge.com</t>
  </si>
  <si>
    <t xml:space="preserve">
                11.41</t>
  </si>
  <si>
    <t>HONEYWELL-INTERNATIONAL-4827/</t>
  </si>
  <si>
    <t>3M-COMPANY-4836/</t>
  </si>
  <si>
    <t>SIEMENS-AG-56358306/</t>
  </si>
  <si>
    <t>ILLINOIS-TOOL-WORKS-13125/</t>
  </si>
  <si>
    <t>35,5x</t>
  </si>
  <si>
    <t>-24,2x</t>
  </si>
  <si>
    <t>20,4x</t>
  </si>
  <si>
    <t>19,6x</t>
  </si>
  <si>
    <t>61.35M</t>
  </si>
  <si>
    <t>51.06M</t>
  </si>
  <si>
    <t>(17M)</t>
  </si>
  <si>
    <t>Power</t>
  </si>
  <si>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</si>
  <si>
    <t>Aviation</t>
  </si>
  <si>
    <t>Middle East and Africa</t>
  </si>
  <si>
    <t>Energy Connections &amp; Lighting</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</si>
  <si>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</si>
  <si>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</si>
  <si>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</si>
  <si>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</si>
  <si>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</si>
  <si>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</si>
  <si>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</si>
  <si>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The Quantitative Analysis</t>
  </si>
  <si>
    <t>Company Name</t>
  </si>
  <si>
    <t>Ticker</t>
  </si>
  <si>
    <t>Agilent Technologies, Inc.</t>
  </si>
  <si>
    <t>A</t>
  </si>
  <si>
    <t>Alcoa Corp.</t>
  </si>
  <si>
    <t>AA</t>
  </si>
  <si>
    <t>AAC Technologies Holdings Inc.</t>
  </si>
  <si>
    <t>AACAY</t>
  </si>
  <si>
    <t>American Airlines Group Inc.</t>
  </si>
  <si>
    <t>AAL</t>
  </si>
  <si>
    <t>Aaron's,  Inc.</t>
  </si>
  <si>
    <t>AAN</t>
  </si>
  <si>
    <t>Advance Auto Parts, Inc.</t>
  </si>
  <si>
    <t>AAP</t>
  </si>
  <si>
    <t>Apple Inc.</t>
  </si>
  <si>
    <t>AAPL</t>
  </si>
  <si>
    <t>Axon Enterprise, Inc</t>
  </si>
  <si>
    <t>AAXN</t>
  </si>
  <si>
    <t>ABB Ltd</t>
  </si>
  <si>
    <t>ABB</t>
  </si>
  <si>
    <t>AbbVie Inc.</t>
  </si>
  <si>
    <t>ABBV</t>
  </si>
  <si>
    <t>AmerisourceBergen Corporation</t>
  </si>
  <si>
    <t>ABC</t>
  </si>
  <si>
    <t>Abcam PLC Unsponsored ADR</t>
  </si>
  <si>
    <t>ABCZY</t>
  </si>
  <si>
    <t>Ambev S.A.</t>
  </si>
  <si>
    <t>ABEV</t>
  </si>
  <si>
    <t>ABIOMED, Inc.</t>
  </si>
  <si>
    <t>ABMD</t>
  </si>
  <si>
    <t>Abbott Laboratories</t>
  </si>
  <si>
    <t>ABT</t>
  </si>
  <si>
    <t>ACADIA Pharmaceuticals Inc.</t>
  </si>
  <si>
    <t>ACAD</t>
  </si>
  <si>
    <t>Aurora Cannabis Inc.</t>
  </si>
  <si>
    <t>ACB</t>
  </si>
  <si>
    <t>American Campus Communities Inc</t>
  </si>
  <si>
    <t>ACC</t>
  </si>
  <si>
    <t>Arch Capital Group Ltd.</t>
  </si>
  <si>
    <t>ACGL</t>
  </si>
  <si>
    <t>ACI Worldwide, Inc.</t>
  </si>
  <si>
    <t>ACIW</t>
  </si>
  <si>
    <t>AECOM</t>
  </si>
  <si>
    <t>ACM</t>
  </si>
  <si>
    <t>Accenture PLC</t>
  </si>
  <si>
    <t>ACN</t>
  </si>
  <si>
    <t>Adobe Systems Incorporated</t>
  </si>
  <si>
    <t>ADBE</t>
  </si>
  <si>
    <t>Agree Realty Corporation</t>
  </si>
  <si>
    <t>ADC</t>
  </si>
  <si>
    <t>Adidas AG</t>
  </si>
  <si>
    <t>ADDYY</t>
  </si>
  <si>
    <t>Analog Devices, Inc.</t>
  </si>
  <si>
    <t>ADI</t>
  </si>
  <si>
    <t>Archer Daniels Midland Company</t>
  </si>
  <si>
    <t>ADM</t>
  </si>
  <si>
    <t>Automatic Data Processing, Inc.</t>
  </si>
  <si>
    <t>ADP</t>
  </si>
  <si>
    <t>Ahold NV</t>
  </si>
  <si>
    <t>ADRNY</t>
  </si>
  <si>
    <t>Alliance Data Systems Corporation</t>
  </si>
  <si>
    <t>ADS</t>
  </si>
  <si>
    <t>Autodesk, Inc.</t>
  </si>
  <si>
    <t>ADSK</t>
  </si>
  <si>
    <t>ADT Inc.</t>
  </si>
  <si>
    <t>ADT</t>
  </si>
  <si>
    <t>Ameren Corporation</t>
  </si>
  <si>
    <t>AEE</t>
  </si>
  <si>
    <t>Aegon NV</t>
  </si>
  <si>
    <t>AEG</t>
  </si>
  <si>
    <t>Agnico Eagle Mines Limited</t>
  </si>
  <si>
    <t>AEM</t>
  </si>
  <si>
    <t>American Electric Power Company, Inc.</t>
  </si>
  <si>
    <t>AEP</t>
  </si>
  <si>
    <t>Aercap Holdings N.V.</t>
  </si>
  <si>
    <t>AER</t>
  </si>
  <si>
    <t>The AES Corporation</t>
  </si>
  <si>
    <t>AES</t>
  </si>
  <si>
    <t>American Financial Group, Inc.</t>
  </si>
  <si>
    <t>AFG</t>
  </si>
  <si>
    <t>Aflac Incorporated</t>
  </si>
  <si>
    <t>AFL</t>
  </si>
  <si>
    <t>Air France-KLM SA</t>
  </si>
  <si>
    <t>AFLYY</t>
  </si>
  <si>
    <t>AGCO Corporation</t>
  </si>
  <si>
    <t>AGCO</t>
  </si>
  <si>
    <t>Ageas SA</t>
  </si>
  <si>
    <t>AGESY</t>
  </si>
  <si>
    <t>Allergan plc</t>
  </si>
  <si>
    <t>AGN</t>
  </si>
  <si>
    <t>AGNC Investment Corp.</t>
  </si>
  <si>
    <t>AGNC</t>
  </si>
  <si>
    <t>Avangrid, Inc.</t>
  </si>
  <si>
    <t>AGR</t>
  </si>
  <si>
    <t>Anhui Conch Cement Co.</t>
  </si>
  <si>
    <t>AHCHY</t>
  </si>
  <si>
    <t>Asahi Kasei Corp.</t>
  </si>
  <si>
    <t>AHKSY</t>
  </si>
  <si>
    <t>American International Group, Inc.</t>
  </si>
  <si>
    <t>AIG</t>
  </si>
  <si>
    <t>Air Liquide</t>
  </si>
  <si>
    <t>AIQUY</t>
  </si>
  <si>
    <t>Air China Ltd.</t>
  </si>
  <si>
    <t>AIRYY</t>
  </si>
  <si>
    <t>Apartment Investment and Management Company</t>
  </si>
  <si>
    <t>AIV</t>
  </si>
  <si>
    <t>Assurant, Inc.</t>
  </si>
  <si>
    <t>AIZ</t>
  </si>
  <si>
    <t>Arthur J. Gallagher &amp; Co.</t>
  </si>
  <si>
    <t>AJG</t>
  </si>
  <si>
    <t>ASHMORE GROUP</t>
  </si>
  <si>
    <t>AJMPF</t>
  </si>
  <si>
    <t>Aerojet Rocketdyne Holdings, Inc.</t>
  </si>
  <si>
    <t>AJRD</t>
  </si>
  <si>
    <t>Akamai Technologies, Inc.</t>
  </si>
  <si>
    <t>AKAM</t>
  </si>
  <si>
    <t>Akzo Nobel NV</t>
  </si>
  <si>
    <t>AKZOY</t>
  </si>
  <si>
    <t>Air Lease Corporation</t>
  </si>
  <si>
    <t>AL</t>
  </si>
  <si>
    <t>Albemarle Corporation</t>
  </si>
  <si>
    <t>ALB</t>
  </si>
  <si>
    <t>Allete, Inc.</t>
  </si>
  <si>
    <t>ALE</t>
  </si>
  <si>
    <t>Align Technology, Inc.</t>
  </si>
  <si>
    <t>ALGN</t>
  </si>
  <si>
    <t>Alaska Air Group, Inc.</t>
  </si>
  <si>
    <t>ALK</t>
  </si>
  <si>
    <t>Alkermes plc</t>
  </si>
  <si>
    <t>ALKS</t>
  </si>
  <si>
    <t>The Allstate Corporation</t>
  </si>
  <si>
    <t>ALL</t>
  </si>
  <si>
    <t>Allegion PLC</t>
  </si>
  <si>
    <t>ALLE</t>
  </si>
  <si>
    <t>Allakos Inc.</t>
  </si>
  <si>
    <t>ALLK</t>
  </si>
  <si>
    <t>Allogene Therapeutics, Inc.</t>
  </si>
  <si>
    <t>ALLO</t>
  </si>
  <si>
    <t>Ally Financial Inc.</t>
  </si>
  <si>
    <t>ALLY</t>
  </si>
  <si>
    <t>Alnylam Pharmaceuticals, Inc.</t>
  </si>
  <si>
    <t>ALNY</t>
  </si>
  <si>
    <t>Allison Transmission Holdings, Inc.</t>
  </si>
  <si>
    <t>ALSN</t>
  </si>
  <si>
    <t>Autoliv, Inc.</t>
  </si>
  <si>
    <t>ALV</t>
  </si>
  <si>
    <t>Alexion Pharmaceuticals, Inc.</t>
  </si>
  <si>
    <t>ALXN</t>
  </si>
  <si>
    <t>Antero Midstrm</t>
  </si>
  <si>
    <t>AM</t>
  </si>
  <si>
    <t>Amadeus IT Group SA</t>
  </si>
  <si>
    <t>AMADY</t>
  </si>
  <si>
    <t>Applied Materials, Inc.</t>
  </si>
  <si>
    <t>AMAT</t>
  </si>
  <si>
    <t>Advanced Micro Devices, Inc.</t>
  </si>
  <si>
    <t>AMD</t>
  </si>
  <si>
    <t>AMETEK, Inc.</t>
  </si>
  <si>
    <t>AME</t>
  </si>
  <si>
    <t>Amedisys, Inc.</t>
  </si>
  <si>
    <t>AMED</t>
  </si>
  <si>
    <t>Affiliated Managers Group, Inc.</t>
  </si>
  <si>
    <t>AMG</t>
  </si>
  <si>
    <t>Amgen Inc.</t>
  </si>
  <si>
    <t>AMGN</t>
  </si>
  <si>
    <t>American Homes 4 Rent</t>
  </si>
  <si>
    <t>AMH</t>
  </si>
  <si>
    <t>A P MOLLAR-MRSK</t>
  </si>
  <si>
    <t>AMKBY</t>
  </si>
  <si>
    <t>Ameriprise Financial, Inc.</t>
  </si>
  <si>
    <t>AMP</t>
  </si>
  <si>
    <t>Amarin Corporation PLC</t>
  </si>
  <si>
    <t>AMRN</t>
  </si>
  <si>
    <t>American Tower Corporation (REIT)</t>
  </si>
  <si>
    <t>AMT</t>
  </si>
  <si>
    <t>TD Ameritrade Holding Corporation</t>
  </si>
  <si>
    <t>AMTD</t>
  </si>
  <si>
    <t>America Movil, S.A.B. de C.V.</t>
  </si>
  <si>
    <t>AMX</t>
  </si>
  <si>
    <t>Amazon.com, Inc.</t>
  </si>
  <si>
    <t>AutoNation, Inc.</t>
  </si>
  <si>
    <t>AN</t>
  </si>
  <si>
    <t>Arista Networks, Inc.</t>
  </si>
  <si>
    <t>ANET</t>
  </si>
  <si>
    <t>ANGI Homeservices Inc.</t>
  </si>
  <si>
    <t>ANGI</t>
  </si>
  <si>
    <t>Anta Sports Products Ltd.</t>
  </si>
  <si>
    <t>ANPDF</t>
  </si>
  <si>
    <t>ANSYS, Inc.</t>
  </si>
  <si>
    <t>ANSS</t>
  </si>
  <si>
    <t>Anthem, Inc.</t>
  </si>
  <si>
    <t>ANTM</t>
  </si>
  <si>
    <t>Australia &amp; New Zealand Banking Group Ltd.</t>
  </si>
  <si>
    <t>ANZBY</t>
  </si>
  <si>
    <t>Aon plc</t>
  </si>
  <si>
    <t>AON</t>
  </si>
  <si>
    <t>A. O. Smith Corporation</t>
  </si>
  <si>
    <t>AOS</t>
  </si>
  <si>
    <t>Apache Corporation</t>
  </si>
  <si>
    <t>APA</t>
  </si>
  <si>
    <t>Air Products and Chemicals, Inc.</t>
  </si>
  <si>
    <t>APD</t>
  </si>
  <si>
    <t>Alps Electric</t>
  </si>
  <si>
    <t>APELY</t>
  </si>
  <si>
    <t>Amphenol Corporation</t>
  </si>
  <si>
    <t>APH</t>
  </si>
  <si>
    <t>Apollo Global Management, LLC</t>
  </si>
  <si>
    <t>APO</t>
  </si>
  <si>
    <t>AppFolio, Inc.</t>
  </si>
  <si>
    <t>APPF</t>
  </si>
  <si>
    <t>Appian Corporation</t>
  </si>
  <si>
    <t>APPN</t>
  </si>
  <si>
    <t>Aptiv PLC</t>
  </si>
  <si>
    <t>APTV</t>
  </si>
  <si>
    <t>Algonquin Power &amp; Utilities Corp.</t>
  </si>
  <si>
    <t>AQN</t>
  </si>
  <si>
    <t>Ares Capital Corporation</t>
  </si>
  <si>
    <t>ARCC</t>
  </si>
  <si>
    <t>Alexandria Real Estate Equities, Inc.</t>
  </si>
  <si>
    <t>ARE</t>
  </si>
  <si>
    <t>Ares Management L.P.</t>
  </si>
  <si>
    <t>ARES</t>
  </si>
  <si>
    <t>ARGENX SE-ADR</t>
  </si>
  <si>
    <t>ARGX</t>
  </si>
  <si>
    <t>Arkema SA</t>
  </si>
  <si>
    <t>ARKAY</t>
  </si>
  <si>
    <t>Aramark</t>
  </si>
  <si>
    <t>ARMK</t>
  </si>
  <si>
    <t>Arconic Inc.</t>
  </si>
  <si>
    <t>ARNC</t>
  </si>
  <si>
    <t>Arrow Electronics, Inc.</t>
  </si>
  <si>
    <t>ARW</t>
  </si>
  <si>
    <t>Assa Abloy AB</t>
  </si>
  <si>
    <t>ASAZY</t>
  </si>
  <si>
    <t>Associated Banc-Corp</t>
  </si>
  <si>
    <t>ASB</t>
  </si>
  <si>
    <t>Associated British Foods PLC</t>
  </si>
  <si>
    <t>ASBFY</t>
  </si>
  <si>
    <t>Aisin Seiki Co. Ltd. Unsponsored ADR</t>
  </si>
  <si>
    <t>ASEKY</t>
  </si>
  <si>
    <t>ASGN Incorporated</t>
  </si>
  <si>
    <t>ASGN</t>
  </si>
  <si>
    <t>Ashland Global Holdings Inc.</t>
  </si>
  <si>
    <t>ASH</t>
  </si>
  <si>
    <t>Ashtead Group PLC</t>
  </si>
  <si>
    <t>ASHTY</t>
  </si>
  <si>
    <t>ASML Holding N.V.</t>
  </si>
  <si>
    <t>ASML</t>
  </si>
  <si>
    <t>Ascendis Pharma A/S</t>
  </si>
  <si>
    <t>ASND</t>
  </si>
  <si>
    <t>Grupo Aeroportuario del Sureste, S.A. de C.V.</t>
  </si>
  <si>
    <t>ASR</t>
  </si>
  <si>
    <t>Advanced Semiconductor Engineering, Inc.</t>
  </si>
  <si>
    <t>ASX</t>
  </si>
  <si>
    <t>Advantest Corp.</t>
  </si>
  <si>
    <t>ATEYY</t>
  </si>
  <si>
    <t>Athene Holding Ltd.</t>
  </si>
  <si>
    <t>ATH</t>
  </si>
  <si>
    <t>Autohome Inc.</t>
  </si>
  <si>
    <t>ATHM</t>
  </si>
  <si>
    <t>Atlas Copco AB</t>
  </si>
  <si>
    <t>ATLKY</t>
  </si>
  <si>
    <t>Atmos Energy Corporation</t>
  </si>
  <si>
    <t>ATO</t>
  </si>
  <si>
    <t>AptarGroup, Inc.</t>
  </si>
  <si>
    <t>ATR</t>
  </si>
  <si>
    <t>Altice USA, Inc.</t>
  </si>
  <si>
    <t>ATUS</t>
  </si>
  <si>
    <t>Activision Blizzard, Inc</t>
  </si>
  <si>
    <t>ATVI</t>
  </si>
  <si>
    <t>AngloGold Ashanti Limited</t>
  </si>
  <si>
    <t>AU</t>
  </si>
  <si>
    <t>Atlantic Union Bankshares Corporation</t>
  </si>
  <si>
    <t>AUB</t>
  </si>
  <si>
    <t>Polymetal International PLC Sponsored ADR</t>
  </si>
  <si>
    <t>AUCOY</t>
  </si>
  <si>
    <t>Yamana Gold Inc.</t>
  </si>
  <si>
    <t>AUY</t>
  </si>
  <si>
    <t>Avista Corporation</t>
  </si>
  <si>
    <t>AVA</t>
  </si>
  <si>
    <t>Grupo Aval Acciones y Valores S.A.</t>
  </si>
  <si>
    <t>AVAL</t>
  </si>
  <si>
    <t>AvalonBay Communities, Inc.</t>
  </si>
  <si>
    <t>AVB</t>
  </si>
  <si>
    <t>Broadcom Inc.</t>
  </si>
  <si>
    <t>AVGO</t>
  </si>
  <si>
    <t>Avalara, Inc.</t>
  </si>
  <si>
    <t>AVLR</t>
  </si>
  <si>
    <t>Avnet, Inc.</t>
  </si>
  <si>
    <t>AVT</t>
  </si>
  <si>
    <t>Aviva PLC</t>
  </si>
  <si>
    <t>AVVIY</t>
  </si>
  <si>
    <t>Avery Dennison Corporation</t>
  </si>
  <si>
    <t>AVY</t>
  </si>
  <si>
    <t>Armstrong World Industries, Inc.</t>
  </si>
  <si>
    <t>AWI</t>
  </si>
  <si>
    <t>American Water Works Company, Inc.</t>
  </si>
  <si>
    <t>AWK</t>
  </si>
  <si>
    <t>American States Water Company</t>
  </si>
  <si>
    <t>AWR</t>
  </si>
  <si>
    <t>Axa Sa</t>
  </si>
  <si>
    <t>AXAHY</t>
  </si>
  <si>
    <t>American Express Company</t>
  </si>
  <si>
    <t>AXP</t>
  </si>
  <si>
    <t>Axis Capital Holdings Limited</t>
  </si>
  <si>
    <t>AXS</t>
  </si>
  <si>
    <t>Axalta Coating Systems Ltd.</t>
  </si>
  <si>
    <t>AXTA</t>
  </si>
  <si>
    <t>Acuity Brands Inc</t>
  </si>
  <si>
    <t>AYI</t>
  </si>
  <si>
    <t>Alteryx, Inc.</t>
  </si>
  <si>
    <t>AYX</t>
  </si>
  <si>
    <t>AstraZeneca PLC</t>
  </si>
  <si>
    <t>AZN</t>
  </si>
  <si>
    <t>AutoZone, Inc.</t>
  </si>
  <si>
    <t>AZO</t>
  </si>
  <si>
    <t>Aspen Technology, Inc.</t>
  </si>
  <si>
    <t>AZPN</t>
  </si>
  <si>
    <t>Allianz SE</t>
  </si>
  <si>
    <t>AZSEY</t>
  </si>
  <si>
    <t>AZUL SA</t>
  </si>
  <si>
    <t>AZUL</t>
  </si>
  <si>
    <t>The Boeing Company</t>
  </si>
  <si>
    <t>BA</t>
  </si>
  <si>
    <t>Alibaba Group Holding Limited</t>
  </si>
  <si>
    <t>BABA</t>
  </si>
  <si>
    <t>Bank of America Corporation</t>
  </si>
  <si>
    <t>BAC</t>
  </si>
  <si>
    <t>Bae Systems PLC</t>
  </si>
  <si>
    <t>BAESY</t>
  </si>
  <si>
    <t>Booz Allen Hamilton Holding Corporation</t>
  </si>
  <si>
    <t>BAH</t>
  </si>
  <si>
    <t>Bayerische Motoren Werke AG</t>
  </si>
  <si>
    <t>BAMXF</t>
  </si>
  <si>
    <t>Credicorp Ltd.</t>
  </si>
  <si>
    <t>BAP</t>
  </si>
  <si>
    <t>BASF SE</t>
  </si>
  <si>
    <t>BASFY</t>
  </si>
  <si>
    <t>Baxter International Inc.</t>
  </si>
  <si>
    <t>BAX</t>
  </si>
  <si>
    <t>Bayer Aktiengesellschaft</t>
  </si>
  <si>
    <t>BAYRY</t>
  </si>
  <si>
    <t>BlackBerry Limited</t>
  </si>
  <si>
    <t>BB</t>
  </si>
  <si>
    <t>BBA AVIATION</t>
  </si>
  <si>
    <t>BBAVY</t>
  </si>
  <si>
    <t>Banco Bradesco SA</t>
  </si>
  <si>
    <t>BBD</t>
  </si>
  <si>
    <t>BHP Billiton PLC</t>
  </si>
  <si>
    <t>BBL</t>
  </si>
  <si>
    <t>BB&amp;T Corporation</t>
  </si>
  <si>
    <t>BBT</t>
  </si>
  <si>
    <t>Banco Bilbao Viscaya Argentaria S.A.</t>
  </si>
  <si>
    <t>BBVA</t>
  </si>
  <si>
    <t>Best Buy Co., Inc.</t>
  </si>
  <si>
    <t>BBY</t>
  </si>
  <si>
    <t>Brunswick Corporation</t>
  </si>
  <si>
    <t>BC</t>
  </si>
  <si>
    <t>Brilliance China Automotive Holdings Ltd. Unsponsored ADR</t>
  </si>
  <si>
    <t>BCAUY</t>
  </si>
  <si>
    <t>BCE, Inc.</t>
  </si>
  <si>
    <t>BCE</t>
  </si>
  <si>
    <t>Banco De Chile</t>
  </si>
  <si>
    <t>BCH</t>
  </si>
  <si>
    <t>Babcock International Group PLC</t>
  </si>
  <si>
    <t>BCKIY</t>
  </si>
  <si>
    <t>Brink's Company (The)</t>
  </si>
  <si>
    <t>BCO</t>
  </si>
  <si>
    <t>Balchem Corporation</t>
  </si>
  <si>
    <t>BCPC</t>
  </si>
  <si>
    <t>Barclays PLC</t>
  </si>
  <si>
    <t>BCS</t>
  </si>
  <si>
    <t>Becton, Dickinson and Company</t>
  </si>
  <si>
    <t>BDX</t>
  </si>
  <si>
    <t>Franklin Resources, Inc.</t>
  </si>
  <si>
    <t>BEN</t>
  </si>
  <si>
    <t>Berry Global Group, Inc.</t>
  </si>
  <si>
    <t>BERY</t>
  </si>
  <si>
    <t>Brown Forman Corporation</t>
  </si>
  <si>
    <t>BF.A</t>
  </si>
  <si>
    <t>Brown-Forman Corporation</t>
  </si>
  <si>
    <t>BF.B</t>
  </si>
  <si>
    <t>Bright Horizons Family Solutions Inc.</t>
  </si>
  <si>
    <t>BFAM</t>
  </si>
  <si>
    <t>Bunge Limited</t>
  </si>
  <si>
    <t>BG</t>
  </si>
  <si>
    <t>BeiGene, Ltd.</t>
  </si>
  <si>
    <t>BGNE</t>
  </si>
  <si>
    <t>Bausch Health Cos Inc.</t>
  </si>
  <si>
    <t>BHC</t>
  </si>
  <si>
    <t>Brighthouse Financial, Inc.</t>
  </si>
  <si>
    <t>BHF</t>
  </si>
  <si>
    <t>Baker Hughes, a GE company</t>
  </si>
  <si>
    <t>BHGE</t>
  </si>
  <si>
    <t>BOOHOO COM PLC</t>
  </si>
  <si>
    <t>BHOOY</t>
  </si>
  <si>
    <t>BHP Group Limited</t>
  </si>
  <si>
    <t>BHP</t>
  </si>
  <si>
    <t>Baidu, Inc.</t>
  </si>
  <si>
    <t>BIDU</t>
  </si>
  <si>
    <t>Biogen Inc.</t>
  </si>
  <si>
    <t>BIIB</t>
  </si>
  <si>
    <t>Bilibili Inc. Sponsored ADR</t>
  </si>
  <si>
    <t>BILI</t>
  </si>
  <si>
    <t>Bio-Rad Laboratories, Inc.</t>
  </si>
  <si>
    <t>BIO</t>
  </si>
  <si>
    <t>Brookfield Infrastructure Partners LP</t>
  </si>
  <si>
    <t>BIP</t>
  </si>
  <si>
    <t>BJ's Wholesale Club Holdings, Inc.</t>
  </si>
  <si>
    <t>BJ</t>
  </si>
  <si>
    <t>The Bank of New York Mellon Corporation</t>
  </si>
  <si>
    <t>BK</t>
  </si>
  <si>
    <t>The Bank of East Asia Ltd.</t>
  </si>
  <si>
    <t>BKEAY</t>
  </si>
  <si>
    <t>Berkeley Group Holdings PLC Unsponsored ADR</t>
  </si>
  <si>
    <t>BKGFY</t>
  </si>
  <si>
    <t>Black Hills Corporation</t>
  </si>
  <si>
    <t>BKH</t>
  </si>
  <si>
    <t>Black Knight Financial Services, Inc.</t>
  </si>
  <si>
    <t>BKI</t>
  </si>
  <si>
    <t>Booking Holdings Inc.</t>
  </si>
  <si>
    <t>BKNG</t>
  </si>
  <si>
    <t>Bankinter SA</t>
  </si>
  <si>
    <t>BKNIY</t>
  </si>
  <si>
    <t>BankUnited, Inc.</t>
  </si>
  <si>
    <t>BKU</t>
  </si>
  <si>
    <t>TopBuild Corp.</t>
  </si>
  <si>
    <t>BLD</t>
  </si>
  <si>
    <t>BlackRock, Inc.</t>
  </si>
  <si>
    <t>BLK</t>
  </si>
  <si>
    <t>Blackbaud, Inc.</t>
  </si>
  <si>
    <t>BLKB</t>
  </si>
  <si>
    <t>Ball Corporation</t>
  </si>
  <si>
    <t>BLL</t>
  </si>
  <si>
    <t>bluebird bio, Inc.</t>
  </si>
  <si>
    <t>BLUE</t>
  </si>
  <si>
    <t>Bank Of Montreal</t>
  </si>
  <si>
    <t>BMO</t>
  </si>
  <si>
    <t>BioMarin Pharmaceutical Inc.</t>
  </si>
  <si>
    <t>BMRN</t>
  </si>
  <si>
    <t>B&amp;M European Value Retail SA Unsponsored ADR</t>
  </si>
  <si>
    <t>BMRRY</t>
  </si>
  <si>
    <t>Bristol-Myers Squibb Company</t>
  </si>
  <si>
    <t>BMY</t>
  </si>
  <si>
    <t>BNP Paribas SA</t>
  </si>
  <si>
    <t>BNPQY</t>
  </si>
  <si>
    <t>Bank of Nova Scotia (The)</t>
  </si>
  <si>
    <t>BNS</t>
  </si>
  <si>
    <t>Brenntag AG</t>
  </si>
  <si>
    <t>BNTGY</t>
  </si>
  <si>
    <t>Bank of Hawaii Corporation</t>
  </si>
  <si>
    <t>BOH</t>
  </si>
  <si>
    <t>BOK Financial Corporation</t>
  </si>
  <si>
    <t>BOKF</t>
  </si>
  <si>
    <t>BOUYGUES SA</t>
  </si>
  <si>
    <t>BOUYF</t>
  </si>
  <si>
    <t>BP p.l.c.</t>
  </si>
  <si>
    <t>BP</t>
  </si>
  <si>
    <t>Buckeye Partners L.P.</t>
  </si>
  <si>
    <t>BPL</t>
  </si>
  <si>
    <t>Blueprint Medicines Corporation</t>
  </si>
  <si>
    <t>BPMC</t>
  </si>
  <si>
    <t>Popular, Inc.</t>
  </si>
  <si>
    <t>BPOP</t>
  </si>
  <si>
    <t>Broadridge Financial Solutions, Inc.</t>
  </si>
  <si>
    <t>BR</t>
  </si>
  <si>
    <t>Bridgestone Corp.</t>
  </si>
  <si>
    <t>BRDCY</t>
  </si>
  <si>
    <t>BRF S.A.</t>
  </si>
  <si>
    <t>BRFS</t>
  </si>
  <si>
    <t>Berkshire Hathaway Inc.</t>
  </si>
  <si>
    <t>BRK.B</t>
  </si>
  <si>
    <t>Braskem S.A.</t>
  </si>
  <si>
    <t>BRKMY</t>
  </si>
  <si>
    <t>Bruker Corporation</t>
  </si>
  <si>
    <t>BRKR</t>
  </si>
  <si>
    <t>Brown &amp; Brown, Inc.</t>
  </si>
  <si>
    <t>BRO</t>
  </si>
  <si>
    <t>Brixmor Property Group Inc.</t>
  </si>
  <si>
    <t>BRX</t>
  </si>
  <si>
    <t>Banco Santander Chile</t>
  </si>
  <si>
    <t>BSAC</t>
  </si>
  <si>
    <t>Banco Santander Brasil SA</t>
  </si>
  <si>
    <t>BSBR</t>
  </si>
  <si>
    <t>Black Stone Minerals, L.P.</t>
  </si>
  <si>
    <t>BSM</t>
  </si>
  <si>
    <t>Grupo Financiero Santander Mexico S.A. B. de C.V.</t>
  </si>
  <si>
    <t>BSMX</t>
  </si>
  <si>
    <t>Boston Scientific Corporation</t>
  </si>
  <si>
    <t>BSX</t>
  </si>
  <si>
    <t>Barratt Developments PLC Unsponsored ADR</t>
  </si>
  <si>
    <t>BTDPY</t>
  </si>
  <si>
    <t>B2Gold Corp</t>
  </si>
  <si>
    <t>BTG</t>
  </si>
  <si>
    <t>British American Tobacco p.l.c.</t>
  </si>
  <si>
    <t>BTI</t>
  </si>
  <si>
    <t>BT Group PLC</t>
  </si>
  <si>
    <t>BTTGY</t>
  </si>
  <si>
    <t>Anheuser-Busch InBev SA/NV</t>
  </si>
  <si>
    <t>BUD</t>
  </si>
  <si>
    <t>Burberry Group PLC</t>
  </si>
  <si>
    <t>BURBY</t>
  </si>
  <si>
    <t>Burlington Stores, Inc.</t>
  </si>
  <si>
    <t>BURL</t>
  </si>
  <si>
    <t>Buenaventura Mining Company Inc.</t>
  </si>
  <si>
    <t>BVN</t>
  </si>
  <si>
    <t>Bureau Veritas Registre International De Classification</t>
  </si>
  <si>
    <t>BVRDF</t>
  </si>
  <si>
    <t>BorgWarner Inc.</t>
  </si>
  <si>
    <t>BWA</t>
  </si>
  <si>
    <t>BWX Technologies, Inc.</t>
  </si>
  <si>
    <t>BWXT</t>
  </si>
  <si>
    <t>Blackstone Group Inc/The</t>
  </si>
  <si>
    <t>BX</t>
  </si>
  <si>
    <t>Capital Trust, Inc.</t>
  </si>
  <si>
    <t>BXMT</t>
  </si>
  <si>
    <t>Boston Properties, Inc.</t>
  </si>
  <si>
    <t>BXP</t>
  </si>
  <si>
    <t>Bunzl PLC</t>
  </si>
  <si>
    <t>BZLFY</t>
  </si>
  <si>
    <t>Citigroup Inc.</t>
  </si>
  <si>
    <t>C</t>
  </si>
  <si>
    <t>Carlsberg AS</t>
  </si>
  <si>
    <t>CABGY</t>
  </si>
  <si>
    <t>Cable One, Inc.</t>
  </si>
  <si>
    <t>CABO</t>
  </si>
  <si>
    <t>Credit Acceptance Corporation</t>
  </si>
  <si>
    <t>CACC</t>
  </si>
  <si>
    <t>CACI International, Inc.</t>
  </si>
  <si>
    <t>CACI</t>
  </si>
  <si>
    <t>CAE Inc</t>
  </si>
  <si>
    <t>CAE</t>
  </si>
  <si>
    <t>Conagra Brands Inc.</t>
  </si>
  <si>
    <t>CAG</t>
  </si>
  <si>
    <t>Cardinal Health, Inc.</t>
  </si>
  <si>
    <t>CAH</t>
  </si>
  <si>
    <t>Canon, Inc.</t>
  </si>
  <si>
    <t>CAJ</t>
  </si>
  <si>
    <t>CarGurus, Inc.</t>
  </si>
  <si>
    <t>CARG</t>
  </si>
  <si>
    <t>Casey's General Stores, Inc.</t>
  </si>
  <si>
    <t>CASY</t>
  </si>
  <si>
    <t>Caterpillar Inc.</t>
  </si>
  <si>
    <t>CAT</t>
  </si>
  <si>
    <t>Chubb Limited</t>
  </si>
  <si>
    <t>CB</t>
  </si>
  <si>
    <t>Companhia Brasileira de Distribuicao</t>
  </si>
  <si>
    <t>CBD</t>
  </si>
  <si>
    <t>Cboe Global Markets, Inc.</t>
  </si>
  <si>
    <t>CBOE</t>
  </si>
  <si>
    <t>China Biologic Products, Inc.</t>
  </si>
  <si>
    <t>CBPO</t>
  </si>
  <si>
    <t>CBRE Group, Inc.</t>
  </si>
  <si>
    <t>CBRE</t>
  </si>
  <si>
    <t>Cracker Barrel Old Country Store, Inc.</t>
  </si>
  <si>
    <t>CBRL</t>
  </si>
  <si>
    <t>CBS Corporation</t>
  </si>
  <si>
    <t>CBS</t>
  </si>
  <si>
    <t>Community Bank System, Inc.</t>
  </si>
  <si>
    <t>CBU</t>
  </si>
  <si>
    <t>China Communications Construction Co.</t>
  </si>
  <si>
    <t>CCCGY</t>
  </si>
  <si>
    <t>Coca-Cola European Partners PLC</t>
  </si>
  <si>
    <t>CCEP</t>
  </si>
  <si>
    <t>COCA-COLA HBC</t>
  </si>
  <si>
    <t>CCHGY</t>
  </si>
  <si>
    <t>Crown Castle International Corporation</t>
  </si>
  <si>
    <t>CCI</t>
  </si>
  <si>
    <t>Cameco Corporation</t>
  </si>
  <si>
    <t>CCJ</t>
  </si>
  <si>
    <t>Crown Holdings, Inc.</t>
  </si>
  <si>
    <t>CCK</t>
  </si>
  <si>
    <t>Carnival Corporation</t>
  </si>
  <si>
    <t>CCL</t>
  </si>
  <si>
    <t>Coca-Cola Amatil Ltd.</t>
  </si>
  <si>
    <t>CCLAY</t>
  </si>
  <si>
    <t>Cabot Microelectronics Corporation</t>
  </si>
  <si>
    <t>CCMP</t>
  </si>
  <si>
    <t>China Coal Energy Co.</t>
  </si>
  <si>
    <t>CCOZY</t>
  </si>
  <si>
    <t>Compania Cervecerias Unidas, S.A.</t>
  </si>
  <si>
    <t>CCU</t>
  </si>
  <si>
    <t>Ceridian HCM Holding Inc.</t>
  </si>
  <si>
    <t>CDAY</t>
  </si>
  <si>
    <t>City Developments Ltd.</t>
  </si>
  <si>
    <t>CDEVY</t>
  </si>
  <si>
    <t>CDK Global, Inc.</t>
  </si>
  <si>
    <t>CDK</t>
  </si>
  <si>
    <t>Cadence Design Systems, Inc.</t>
  </si>
  <si>
    <t>CDNS</t>
  </si>
  <si>
    <t>CDW Corporation</t>
  </si>
  <si>
    <t>CDW</t>
  </si>
  <si>
    <t>Celanese Corporation</t>
  </si>
  <si>
    <t>CE</t>
  </si>
  <si>
    <t>China Eastern Airlines Corporation Ltd.</t>
  </si>
  <si>
    <t>CEA</t>
  </si>
  <si>
    <t>Celgene Corporation</t>
  </si>
  <si>
    <t>CELG</t>
  </si>
  <si>
    <t>CNOOC Limited</t>
  </si>
  <si>
    <t>CEO</t>
  </si>
  <si>
    <t>Cerner Corporation</t>
  </si>
  <si>
    <t>CERN</t>
  </si>
  <si>
    <t>CF Industries Holdings, Inc.</t>
  </si>
  <si>
    <t>CF</t>
  </si>
  <si>
    <t>Citizens Financial Group, Inc.</t>
  </si>
  <si>
    <t>CFG</t>
  </si>
  <si>
    <t>Colfax Corporation</t>
  </si>
  <si>
    <t>CFX</t>
  </si>
  <si>
    <t>Canopy Growth Corporation</t>
  </si>
  <si>
    <t>CGC</t>
  </si>
  <si>
    <t>Cognex Corporation</t>
  </si>
  <si>
    <t>CGNX</t>
  </si>
  <si>
    <t>China Telecom Corp Ltd</t>
  </si>
  <si>
    <t>CHA</t>
  </si>
  <si>
    <t>Church &amp; Dwight Co., Inc.</t>
  </si>
  <si>
    <t>CHD</t>
  </si>
  <si>
    <t>Churchill Downs, Incorporated</t>
  </si>
  <si>
    <t>CHDN</t>
  </si>
  <si>
    <t>Chemed Corporation</t>
  </si>
  <si>
    <t>CHE</t>
  </si>
  <si>
    <t>Chegg, Inc.</t>
  </si>
  <si>
    <t>CHGG</t>
  </si>
  <si>
    <t>Choice Hotels International, Inc.</t>
  </si>
  <si>
    <t>CHH</t>
  </si>
  <si>
    <t>Check Point Software Technologies Ltd.</t>
  </si>
  <si>
    <t>CHKP</t>
  </si>
  <si>
    <t>China Mobile (Hong Kong) Ltd.</t>
  </si>
  <si>
    <t>CHL</t>
  </si>
  <si>
    <t>C.H. Robinson Worldwide, Inc.</t>
  </si>
  <si>
    <t>CHRW</t>
  </si>
  <si>
    <t>Charter Communications, Inc.</t>
  </si>
  <si>
    <t>CHTR</t>
  </si>
  <si>
    <t>China Unicom (Hong Kong) Ltd</t>
  </si>
  <si>
    <t>CHU</t>
  </si>
  <si>
    <t>Cigna Corporation</t>
  </si>
  <si>
    <t>CI</t>
  </si>
  <si>
    <t>BanColombia S.A.</t>
  </si>
  <si>
    <t>CIB</t>
  </si>
  <si>
    <t>China Cosco Holdings Co.</t>
  </si>
  <si>
    <t>CICOY</t>
  </si>
  <si>
    <t>Ciena Corporation</t>
  </si>
  <si>
    <t>CIEN</t>
  </si>
  <si>
    <t>Chimera Investment Corporation</t>
  </si>
  <si>
    <t>CIM</t>
  </si>
  <si>
    <t>Cincinnati Financial Corporation</t>
  </si>
  <si>
    <t>CINF</t>
  </si>
  <si>
    <t>CIT Group Inc.</t>
  </si>
  <si>
    <t>CIT</t>
  </si>
  <si>
    <t>Central Japan Railway Co.</t>
  </si>
  <si>
    <t>CJPRY</t>
  </si>
  <si>
    <t>Colgate-Palmolive Company</t>
  </si>
  <si>
    <t>CL</t>
  </si>
  <si>
    <t>CoreLogic, Inc.</t>
  </si>
  <si>
    <t>CLGX</t>
  </si>
  <si>
    <t>Clean Harbors, Inc.</t>
  </si>
  <si>
    <t>CLH</t>
  </si>
  <si>
    <t>CLP Holdings Ltd.</t>
  </si>
  <si>
    <t>CLPHY</t>
  </si>
  <si>
    <t>Continental Resources, Inc.</t>
  </si>
  <si>
    <t>CLR</t>
  </si>
  <si>
    <t>The Clorox Company</t>
  </si>
  <si>
    <t>CLX</t>
  </si>
  <si>
    <t>Canadian Imperial Bank of Commerce</t>
  </si>
  <si>
    <t>CM</t>
  </si>
  <si>
    <t>Comerica Incorporated</t>
  </si>
  <si>
    <t>CMA</t>
  </si>
  <si>
    <t>Comcast Corporation</t>
  </si>
  <si>
    <t>CMCSA</t>
  </si>
  <si>
    <t>Cantel Medical Corp.</t>
  </si>
  <si>
    <t>CMD</t>
  </si>
  <si>
    <t>CME Group Inc.</t>
  </si>
  <si>
    <t>CME</t>
  </si>
  <si>
    <t>Chipotle Mexican Grill, Inc.</t>
  </si>
  <si>
    <t>CMG</t>
  </si>
  <si>
    <t>Cummins Inc.</t>
  </si>
  <si>
    <t>CMI</t>
  </si>
  <si>
    <t>Compass Group PLC</t>
  </si>
  <si>
    <t>CMPGY</t>
  </si>
  <si>
    <t>Cimpress N.V</t>
  </si>
  <si>
    <t>CMPR</t>
  </si>
  <si>
    <t>CMS Energy Corporation</t>
  </si>
  <si>
    <t>CMS</t>
  </si>
  <si>
    <t>CNA Financial Corporation</t>
  </si>
  <si>
    <t>CNA</t>
  </si>
  <si>
    <t>Centene Corporation</t>
  </si>
  <si>
    <t>CNC</t>
  </si>
  <si>
    <t>CNH Industrial N.V.</t>
  </si>
  <si>
    <t>CNHI</t>
  </si>
  <si>
    <t>Canadian National Railway Company</t>
  </si>
  <si>
    <t>CNI</t>
  </si>
  <si>
    <t>Cinemark Holdings Inc</t>
  </si>
  <si>
    <t>CNK</t>
  </si>
  <si>
    <t>CenterPoint Energy, Inc.</t>
  </si>
  <si>
    <t>CNP</t>
  </si>
  <si>
    <t>Canadian Natural Resources Limited</t>
  </si>
  <si>
    <t>CNQ</t>
  </si>
  <si>
    <t>Capital One Financial Corporation</t>
  </si>
  <si>
    <t>COF</t>
  </si>
  <si>
    <t>Cabot Oil &amp; Gas Corporation</t>
  </si>
  <si>
    <t>COG</t>
  </si>
  <si>
    <t>Coherent, Inc.</t>
  </si>
  <si>
    <t>COHR</t>
  </si>
  <si>
    <t>Croda International PLC Unsponsored ADR</t>
  </si>
  <si>
    <t>COIHY</t>
  </si>
  <si>
    <t>Americold Realty Trust</t>
  </si>
  <si>
    <t>COLD</t>
  </si>
  <si>
    <t>Columbia Sportswear Company</t>
  </si>
  <si>
    <t>COLM</t>
  </si>
  <si>
    <t>CyrusOne Inc</t>
  </si>
  <si>
    <t>CONE</t>
  </si>
  <si>
    <t>The Cooper Companies, Inc.</t>
  </si>
  <si>
    <t>COO</t>
  </si>
  <si>
    <t>ConocoPhillips</t>
  </si>
  <si>
    <t>COP</t>
  </si>
  <si>
    <t>CoreSite Realty Corporation</t>
  </si>
  <si>
    <t>COR</t>
  </si>
  <si>
    <t>Costco Wholesale Corporation</t>
  </si>
  <si>
    <t>COST</t>
  </si>
  <si>
    <t>Coty Inc.</t>
  </si>
  <si>
    <t>COTY</t>
  </si>
  <si>
    <t>COUPA SOFTWARE</t>
  </si>
  <si>
    <t>COUP</t>
  </si>
  <si>
    <t>Covestro AG Sponsored ADR</t>
  </si>
  <si>
    <t>COVTY</t>
  </si>
  <si>
    <t>Canadian Pacific Railway Limited</t>
  </si>
  <si>
    <t>CP</t>
  </si>
  <si>
    <t>Copa Holdings, S.A.</t>
  </si>
  <si>
    <t>CPA</t>
  </si>
  <si>
    <t>Campbell Soup Company</t>
  </si>
  <si>
    <t>CPB</t>
  </si>
  <si>
    <t>Cathay Pacific Airways Ltd.</t>
  </si>
  <si>
    <t>CPCAY</t>
  </si>
  <si>
    <t>Capri Holdings Limited</t>
  </si>
  <si>
    <t>CPRI</t>
  </si>
  <si>
    <t>Copart, Inc.</t>
  </si>
  <si>
    <t>CPRT</t>
  </si>
  <si>
    <t>Camden Property Trust</t>
  </si>
  <si>
    <t>CPT</t>
  </si>
  <si>
    <t>Centrica PLC</t>
  </si>
  <si>
    <t>CPYYY</t>
  </si>
  <si>
    <t>Cheniere Energy Partners, LP</t>
  </si>
  <si>
    <t>CQP</t>
  </si>
  <si>
    <t>Crane Company</t>
  </si>
  <si>
    <t>CR</t>
  </si>
  <si>
    <t>Credit Agricole SA</t>
  </si>
  <si>
    <t>CRARY</t>
  </si>
  <si>
    <t>Cree, Inc.</t>
  </si>
  <si>
    <t>CREE</t>
  </si>
  <si>
    <t>Carter's, Inc.</t>
  </si>
  <si>
    <t>CRI</t>
  </si>
  <si>
    <t>Charles River Laboratories International, Inc.</t>
  </si>
  <si>
    <t>CRL</t>
  </si>
  <si>
    <t>salesforce.com, inc.</t>
  </si>
  <si>
    <t>CRM</t>
  </si>
  <si>
    <t>Cronos Group Inc.</t>
  </si>
  <si>
    <t>CRON</t>
  </si>
  <si>
    <t>China Resources Power Holdings Co.</t>
  </si>
  <si>
    <t>CRPJY</t>
  </si>
  <si>
    <t>Carrefour SA</t>
  </si>
  <si>
    <t>CRRFY</t>
  </si>
  <si>
    <t>Cirrus Logic, Inc.</t>
  </si>
  <si>
    <t>CRUS</t>
  </si>
  <si>
    <t>Credit Suisse Group</t>
  </si>
  <si>
    <t>CS</t>
  </si>
  <si>
    <t>Cisco Systems, Inc.</t>
  </si>
  <si>
    <t>CSCO</t>
  </si>
  <si>
    <t>CenterState Bank Corporation</t>
  </si>
  <si>
    <t>CSFL</t>
  </si>
  <si>
    <t>CoStar Group, Inc.</t>
  </si>
  <si>
    <t>CSGP</t>
  </si>
  <si>
    <t>Carlisle Companies Incorporated</t>
  </si>
  <si>
    <t>CSL</t>
  </si>
  <si>
    <t>CSL Limited Sponsored ADR</t>
  </si>
  <si>
    <t>CSLLY</t>
  </si>
  <si>
    <t>Cornerstone OnDemand, Inc.</t>
  </si>
  <si>
    <t>CSOD</t>
  </si>
  <si>
    <t>CSX Corporation</t>
  </si>
  <si>
    <t>CSX</t>
  </si>
  <si>
    <t>Cintas Corporation</t>
  </si>
  <si>
    <t>CTAS</t>
  </si>
  <si>
    <t>CenturyLink, Inc.</t>
  </si>
  <si>
    <t>CTL</t>
  </si>
  <si>
    <t>Catalent, Inc.</t>
  </si>
  <si>
    <t>CTLT</t>
  </si>
  <si>
    <t>Ctrip.com International, Ltd.</t>
  </si>
  <si>
    <t>CTRP</t>
  </si>
  <si>
    <t>Cognizant Technology Solutions Corporation</t>
  </si>
  <si>
    <t>CTSH</t>
  </si>
  <si>
    <t>Continental AG</t>
  </si>
  <si>
    <t>CTTAY</t>
  </si>
  <si>
    <t>Citrix Systems, Inc.</t>
  </si>
  <si>
    <t>CTXS</t>
  </si>
  <si>
    <t>CubeSmart</t>
  </si>
  <si>
    <t>CUBE</t>
  </si>
  <si>
    <t>Colruyt SA Unsponsored ADR</t>
  </si>
  <si>
    <t>CUYTY</t>
  </si>
  <si>
    <t>Cousins Properties Incorporated</t>
  </si>
  <si>
    <t>CUZ</t>
  </si>
  <si>
    <t>CVB Financial Corporation</t>
  </si>
  <si>
    <t>CVBF</t>
  </si>
  <si>
    <t>Cenovus Energy Inc</t>
  </si>
  <si>
    <t>CVE</t>
  </si>
  <si>
    <t>Carvana Co.</t>
  </si>
  <si>
    <t>CVNA</t>
  </si>
  <si>
    <t>CVS Health Corporation</t>
  </si>
  <si>
    <t>CVS</t>
  </si>
  <si>
    <t>Chevron Corporation</t>
  </si>
  <si>
    <t>CVX</t>
  </si>
  <si>
    <t>Curtiss-Wright Corporation</t>
  </si>
  <si>
    <t>CW</t>
  </si>
  <si>
    <t>Clearway Energy, Inc.</t>
  </si>
  <si>
    <t>CWEN</t>
  </si>
  <si>
    <t>Cushman &amp; Wakefield PLC</t>
  </si>
  <si>
    <t>CWK</t>
  </si>
  <si>
    <t>Cemex S.A.B. de C.V.</t>
  </si>
  <si>
    <t>CX</t>
  </si>
  <si>
    <t>Concho Resources Inc.</t>
  </si>
  <si>
    <t>CXO</t>
  </si>
  <si>
    <t>Cypress Semiconductor Corporation</t>
  </si>
  <si>
    <t>CY</t>
  </si>
  <si>
    <t>CyberArk Software Ltd.</t>
  </si>
  <si>
    <t>CYBR</t>
  </si>
  <si>
    <t>CYBER AGENT INC</t>
  </si>
  <si>
    <t>CYGIY</t>
  </si>
  <si>
    <t>Caesars Entertainment Corporation</t>
  </si>
  <si>
    <t>CZR</t>
  </si>
  <si>
    <t>Cosan Limited</t>
  </si>
  <si>
    <t>CZZ</t>
  </si>
  <si>
    <t>Dominion Energy Inc.</t>
  </si>
  <si>
    <t>D</t>
  </si>
  <si>
    <t>Delta Air Lines, Inc.</t>
  </si>
  <si>
    <t>DAL</t>
  </si>
  <si>
    <t>Danone</t>
  </si>
  <si>
    <t>DANOY</t>
  </si>
  <si>
    <t>Darling Ingredients Inc.</t>
  </si>
  <si>
    <t>DAR</t>
  </si>
  <si>
    <t>Dassault Systemes SA</t>
  </si>
  <si>
    <t>DASTY</t>
  </si>
  <si>
    <t>Deutsche Bank Aktiengesellschaft</t>
  </si>
  <si>
    <t>DB</t>
  </si>
  <si>
    <t>DBS Group Holdings Ltd</t>
  </si>
  <si>
    <t>DBSDY</t>
  </si>
  <si>
    <t>Dropbox, Inc.</t>
  </si>
  <si>
    <t>DBX</t>
  </si>
  <si>
    <t>DCC PLC SHS</t>
  </si>
  <si>
    <t>DCCPF</t>
  </si>
  <si>
    <t>Donaldson Company, Inc.</t>
  </si>
  <si>
    <t>DCI</t>
  </si>
  <si>
    <t>DCP Midstream Partners, LP</t>
  </si>
  <si>
    <t>DCP</t>
  </si>
  <si>
    <t>DuPont de Nemours, Inc.</t>
  </si>
  <si>
    <t>DD</t>
  </si>
  <si>
    <t>Daimler AG</t>
  </si>
  <si>
    <t>DDAIF</t>
  </si>
  <si>
    <t>Deere &amp; Company</t>
  </si>
  <si>
    <t>DE</t>
  </si>
  <si>
    <t>Deckers Outdoor Corporation</t>
  </si>
  <si>
    <t>DECK</t>
  </si>
  <si>
    <t>Douglas Emmett, Inc.</t>
  </si>
  <si>
    <t>DEI</t>
  </si>
  <si>
    <t>Dell Technologies Inc.</t>
  </si>
  <si>
    <t>DELL</t>
  </si>
  <si>
    <t>Diageo plc</t>
  </si>
  <si>
    <t>DEO</t>
  </si>
  <si>
    <t>Discover Financial Services</t>
  </si>
  <si>
    <t>DFS</t>
  </si>
  <si>
    <t>Dollar General Corporation</t>
  </si>
  <si>
    <t>DG</t>
  </si>
  <si>
    <t>Quest Diagnostics Incorporated</t>
  </si>
  <si>
    <t>DGX</t>
  </si>
  <si>
    <t>D.R. Horton, Inc.</t>
  </si>
  <si>
    <t>DHI</t>
  </si>
  <si>
    <t>Danaher Corporation</t>
  </si>
  <si>
    <t>DHR</t>
  </si>
  <si>
    <t>The Walt Disney Company</t>
  </si>
  <si>
    <t>DIS</t>
  </si>
  <si>
    <t>Discovery, Inc.</t>
  </si>
  <si>
    <t>DISCA</t>
  </si>
  <si>
    <t>DISH Network Corporation</t>
  </si>
  <si>
    <t>DISH</t>
  </si>
  <si>
    <t>D S SMITH PLC</t>
  </si>
  <si>
    <t>DITHF</t>
  </si>
  <si>
    <t>DAIKIN INDS LTD</t>
  </si>
  <si>
    <t>DKILY</t>
  </si>
  <si>
    <t>DICK'S Sporting Goods, Inc.</t>
  </si>
  <si>
    <t>DKS</t>
  </si>
  <si>
    <t>Dolby Laboratories</t>
  </si>
  <si>
    <t>DLB</t>
  </si>
  <si>
    <t>Digital Realty Trust, Inc.</t>
  </si>
  <si>
    <t>DLR</t>
  </si>
  <si>
    <t>Dollar Tree, Inc.</t>
  </si>
  <si>
    <t>DLTR</t>
  </si>
  <si>
    <t>Dongfeng Motor Group Co.</t>
  </si>
  <si>
    <t>DNFGY</t>
  </si>
  <si>
    <t>Dunkin' Brands Group, Inc.</t>
  </si>
  <si>
    <t>DNKN</t>
  </si>
  <si>
    <t>Denso Corp.</t>
  </si>
  <si>
    <t>DNZOY</t>
  </si>
  <si>
    <t>Physicians Realty Trust</t>
  </si>
  <si>
    <t>DOC</t>
  </si>
  <si>
    <t>DocuSign Inc.</t>
  </si>
  <si>
    <t>DOCU</t>
  </si>
  <si>
    <t>BRP Inc.</t>
  </si>
  <si>
    <t>DOOO</t>
  </si>
  <si>
    <t>Dover Corporation</t>
  </si>
  <si>
    <t>DOV</t>
  </si>
  <si>
    <t>Amdocs Limited</t>
  </si>
  <si>
    <t>DOX</t>
  </si>
  <si>
    <t>Deutsche Post AG</t>
  </si>
  <si>
    <t>DPSGY</t>
  </si>
  <si>
    <t>Domino's Pizza Inc</t>
  </si>
  <si>
    <t>DPZ</t>
  </si>
  <si>
    <t>Duke Realty Corporation</t>
  </si>
  <si>
    <t>DRE</t>
  </si>
  <si>
    <t>Darden Restaurants, Inc.</t>
  </si>
  <si>
    <t>DRI</t>
  </si>
  <si>
    <t>DISCO CORP</t>
  </si>
  <si>
    <t>DSCSY</t>
  </si>
  <si>
    <t>DSV A/S UNS ADR</t>
  </si>
  <si>
    <t>DSDVY</t>
  </si>
  <si>
    <t>The Descartes Systems Group Inc.</t>
  </si>
  <si>
    <t>DSGX</t>
  </si>
  <si>
    <t>DTE Energy Company</t>
  </si>
  <si>
    <t>DTE</t>
  </si>
  <si>
    <t>Deutsche Telekom AG</t>
  </si>
  <si>
    <t>DTEGY</t>
  </si>
  <si>
    <t>Duke Energy Corporation</t>
  </si>
  <si>
    <t>DUK</t>
  </si>
  <si>
    <t>DaVita Inc.</t>
  </si>
  <si>
    <t>DVA</t>
  </si>
  <si>
    <t>Campari Group</t>
  </si>
  <si>
    <t>DVDCY</t>
  </si>
  <si>
    <t>Devon Energy Corporation</t>
  </si>
  <si>
    <t>DVN</t>
  </si>
  <si>
    <t>Derwent London Plc</t>
  </si>
  <si>
    <t>DWVYF</t>
  </si>
  <si>
    <t>DXC Technology Company.</t>
  </si>
  <si>
    <t>DXC</t>
  </si>
  <si>
    <t>DexCom, Inc.</t>
  </si>
  <si>
    <t>DXCM</t>
  </si>
  <si>
    <t>Eni SpA</t>
  </si>
  <si>
    <t>E</t>
  </si>
  <si>
    <t>Electronic Arts Inc.</t>
  </si>
  <si>
    <t>EA</t>
  </si>
  <si>
    <t>GrafTech International Ltd.</t>
  </si>
  <si>
    <t>EAF</t>
  </si>
  <si>
    <t>eBay Inc.</t>
  </si>
  <si>
    <t>EBAY</t>
  </si>
  <si>
    <t>Erste Group Bank AG</t>
  </si>
  <si>
    <t>EBKDY</t>
  </si>
  <si>
    <t>Ecopetrol S.A.</t>
  </si>
  <si>
    <t>EC</t>
  </si>
  <si>
    <t>Encana Corporation</t>
  </si>
  <si>
    <t>ECA</t>
  </si>
  <si>
    <t>Electricite de France SA</t>
  </si>
  <si>
    <t>ECIFY</t>
  </si>
  <si>
    <t>Ecolab Inc.</t>
  </si>
  <si>
    <t>ECL</t>
  </si>
  <si>
    <t>Consolidated Edison Inc</t>
  </si>
  <si>
    <t>ED</t>
  </si>
  <si>
    <t>New Oriental Education &amp; Technology Group, Inc.</t>
  </si>
  <si>
    <t>EDU</t>
  </si>
  <si>
    <t>Euronet Worldwide, Inc.</t>
  </si>
  <si>
    <t>EEFT</t>
  </si>
  <si>
    <t>Equifax, Inc.</t>
  </si>
  <si>
    <t>EFX</t>
  </si>
  <si>
    <t>EastGroup Properties, Inc.</t>
  </si>
  <si>
    <t>EGP</t>
  </si>
  <si>
    <t>Encompass Health Corporation</t>
  </si>
  <si>
    <t>EHC</t>
  </si>
  <si>
    <t>Edison International</t>
  </si>
  <si>
    <t>EIX</t>
  </si>
  <si>
    <t>easyjet PLC</t>
  </si>
  <si>
    <t>EJTTF</t>
  </si>
  <si>
    <t>Elekta AB</t>
  </si>
  <si>
    <t>EKTAY</t>
  </si>
  <si>
    <t>The Estee Lauder Companies Inc.</t>
  </si>
  <si>
    <t>EL</t>
  </si>
  <si>
    <t>Elanco Animal Health Incorporated</t>
  </si>
  <si>
    <t>ELAN</t>
  </si>
  <si>
    <t>Equity Lifestyle Properties, Inc.</t>
  </si>
  <si>
    <t>ELS</t>
  </si>
  <si>
    <t>Electrolux AB</t>
  </si>
  <si>
    <t>ELUXY</t>
  </si>
  <si>
    <t>EMCOR Group, Inc.</t>
  </si>
  <si>
    <t>EME</t>
  </si>
  <si>
    <t>Eastman Chemical Company</t>
  </si>
  <si>
    <t>EMN</t>
  </si>
  <si>
    <t>Emerson Electric Co.</t>
  </si>
  <si>
    <t>EMR</t>
  </si>
  <si>
    <t>Enbridge Inc</t>
  </si>
  <si>
    <t>ENB</t>
  </si>
  <si>
    <t>Enable Midstream Partners, LP</t>
  </si>
  <si>
    <t>ENBL</t>
  </si>
  <si>
    <t>Enel Americas S.A.</t>
  </si>
  <si>
    <t>ENIA</t>
  </si>
  <si>
    <t>EnLink Midstream, LLC</t>
  </si>
  <si>
    <t>ENLC</t>
  </si>
  <si>
    <t>Enphase Energy, Inc.</t>
  </si>
  <si>
    <t>ENPH</t>
  </si>
  <si>
    <t>Entegris, Inc.</t>
  </si>
  <si>
    <t>ENTG</t>
  </si>
  <si>
    <t>Envestnet, Inc</t>
  </si>
  <si>
    <t>ENV</t>
  </si>
  <si>
    <t>EOG Resources, Inc.</t>
  </si>
  <si>
    <t>EOG</t>
  </si>
  <si>
    <t>E.ON SE</t>
  </si>
  <si>
    <t>EONGY</t>
  </si>
  <si>
    <t>EPAM Systems, Inc.</t>
  </si>
  <si>
    <t>EPAM</t>
  </si>
  <si>
    <t>Enterprise Products Partners L.P.</t>
  </si>
  <si>
    <t>EPD</t>
  </si>
  <si>
    <t>EPR Properties</t>
  </si>
  <si>
    <t>EPR</t>
  </si>
  <si>
    <t>Equity Commonwealth</t>
  </si>
  <si>
    <t>EQC</t>
  </si>
  <si>
    <t>AXA Equitable Holdings, Inc.</t>
  </si>
  <si>
    <t>EQH</t>
  </si>
  <si>
    <t>Equinix, Inc.</t>
  </si>
  <si>
    <t>EQIX</t>
  </si>
  <si>
    <t>EQT Midstream Partners, LP</t>
  </si>
  <si>
    <t>EQM</t>
  </si>
  <si>
    <t>Statoil ASA</t>
  </si>
  <si>
    <t>EQNR</t>
  </si>
  <si>
    <t>Equity Residential</t>
  </si>
  <si>
    <t>EQR</t>
  </si>
  <si>
    <t>EQT Corporation</t>
  </si>
  <si>
    <t>EQT</t>
  </si>
  <si>
    <t>Eldorado Resorts, Inc.</t>
  </si>
  <si>
    <t>ERI</t>
  </si>
  <si>
    <t>Ericsson</t>
  </si>
  <si>
    <t>ERIC</t>
  </si>
  <si>
    <t>Embraer-Empresa Brasileira de Aeronautica</t>
  </si>
  <si>
    <t>ERJ</t>
  </si>
  <si>
    <t>Eversource Energy</t>
  </si>
  <si>
    <t>ES</t>
  </si>
  <si>
    <t>Eisai Co.</t>
  </si>
  <si>
    <t>ESALY</t>
  </si>
  <si>
    <t>Essent Group Ltd.</t>
  </si>
  <si>
    <t>ESNT</t>
  </si>
  <si>
    <t>Essex Property Trust, Inc.</t>
  </si>
  <si>
    <t>ESS</t>
  </si>
  <si>
    <t>Elastic N.V.</t>
  </si>
  <si>
    <t>ESTC</t>
  </si>
  <si>
    <t>Energy Transfer LP</t>
  </si>
  <si>
    <t>ET</t>
  </si>
  <si>
    <t>E*TRADE Financial Corporation</t>
  </si>
  <si>
    <t>ETFC</t>
  </si>
  <si>
    <t>Eaton Corporation, PLC</t>
  </si>
  <si>
    <t>ETN</t>
  </si>
  <si>
    <t>Entergy Corporation</t>
  </si>
  <si>
    <t>ETR</t>
  </si>
  <si>
    <t>Equitrans Midstream Corporation</t>
  </si>
  <si>
    <t>ETRN</t>
  </si>
  <si>
    <t>Etsy, Inc.</t>
  </si>
  <si>
    <t>ETSY</t>
  </si>
  <si>
    <t>Eutelsat Communications</t>
  </si>
  <si>
    <t>EUTLF</t>
  </si>
  <si>
    <t>Eaton Vance Corporation</t>
  </si>
  <si>
    <t>Evercore Inc</t>
  </si>
  <si>
    <t>EVR</t>
  </si>
  <si>
    <t>Evergy Inc.</t>
  </si>
  <si>
    <t>EVRG</t>
  </si>
  <si>
    <t>Evotec AG</t>
  </si>
  <si>
    <t>EVTCY</t>
  </si>
  <si>
    <t>Edwards Lifesciences Corporation</t>
  </si>
  <si>
    <t>EW</t>
  </si>
  <si>
    <t>East West Bancorp, Inc.</t>
  </si>
  <si>
    <t>EWBC</t>
  </si>
  <si>
    <t>Exact Sciences Corporation</t>
  </si>
  <si>
    <t>EXAS</t>
  </si>
  <si>
    <t>Exelon Corporation</t>
  </si>
  <si>
    <t>EXC</t>
  </si>
  <si>
    <t>Exelixis, Inc.</t>
  </si>
  <si>
    <t>EXEL</t>
  </si>
  <si>
    <t>Eagle Materials Inc</t>
  </si>
  <si>
    <t>EXP</t>
  </si>
  <si>
    <t>Expeditors International of Washington, Inc.</t>
  </si>
  <si>
    <t>EXPD</t>
  </si>
  <si>
    <t>Expedia Group, Inc.</t>
  </si>
  <si>
    <t>EXPE</t>
  </si>
  <si>
    <t>Experian PLC</t>
  </si>
  <si>
    <t>EXPGY</t>
  </si>
  <si>
    <t>Exponent, Inc.</t>
  </si>
  <si>
    <t>EXPO</t>
  </si>
  <si>
    <t>Extra Space Storage Inc</t>
  </si>
  <si>
    <t>EXR</t>
  </si>
  <si>
    <t>Ford Motor Company</t>
  </si>
  <si>
    <t>F</t>
  </si>
  <si>
    <t>First American Financial Corporation</t>
  </si>
  <si>
    <t>FAF</t>
  </si>
  <si>
    <t>Diamondback Energy, Inc.</t>
  </si>
  <si>
    <t>FANG</t>
  </si>
  <si>
    <t>Fanuc Corp.</t>
  </si>
  <si>
    <t>FANUY</t>
  </si>
  <si>
    <t>Fastenal Company</t>
  </si>
  <si>
    <t>FAST</t>
  </si>
  <si>
    <t>Facebook, Inc.</t>
  </si>
  <si>
    <t>FB</t>
  </si>
  <si>
    <t>Fortune Brands Home &amp; Security, Inc.</t>
  </si>
  <si>
    <t>FBHS</t>
  </si>
  <si>
    <t>Fiat Chrysler Automobiles N.V.</t>
  </si>
  <si>
    <t>FCAU</t>
  </si>
  <si>
    <t>First Cash, Inc.</t>
  </si>
  <si>
    <t>FCFS</t>
  </si>
  <si>
    <t>FTI Consulting, Inc.</t>
  </si>
  <si>
    <t>FCN</t>
  </si>
  <si>
    <t>Freeport-McMoRan Inc.</t>
  </si>
  <si>
    <t>FCX</t>
  </si>
  <si>
    <t>FactSet Research Systems Inc.</t>
  </si>
  <si>
    <t>FDS</t>
  </si>
  <si>
    <t>FedEx Corporation</t>
  </si>
  <si>
    <t>FDX</t>
  </si>
  <si>
    <t>FirstEnergy Corporation</t>
  </si>
  <si>
    <t>FE</t>
  </si>
  <si>
    <t>Wolseley PLC</t>
  </si>
  <si>
    <t>FERGY</t>
  </si>
  <si>
    <t>FireEye, Inc.</t>
  </si>
  <si>
    <t>FEYE</t>
  </si>
  <si>
    <t>First Financial Bankshares, Inc.</t>
  </si>
  <si>
    <t>FFIN</t>
  </si>
  <si>
    <t>F5 Networks, Inc.</t>
  </si>
  <si>
    <t>FFIV</t>
  </si>
  <si>
    <t>FibroGen, Inc</t>
  </si>
  <si>
    <t>FGEN</t>
  </si>
  <si>
    <t>First Hawaiian, Inc.</t>
  </si>
  <si>
    <t>FHB</t>
  </si>
  <si>
    <t>First Horizon National Corporation</t>
  </si>
  <si>
    <t>FHN</t>
  </si>
  <si>
    <t>Fair Isaac Corporation</t>
  </si>
  <si>
    <t>FICO</t>
  </si>
  <si>
    <t>Federated Investors, Inc.</t>
  </si>
  <si>
    <t>FII</t>
  </si>
  <si>
    <t>Fidelity National Information Services, Inc.</t>
  </si>
  <si>
    <t>FIS</t>
  </si>
  <si>
    <t>Fiserv, Inc.</t>
  </si>
  <si>
    <t>FISV</t>
  </si>
  <si>
    <t>Fifth Third Bancorp</t>
  </si>
  <si>
    <t>FITB</t>
  </si>
  <si>
    <t>Five Below, Inc.</t>
  </si>
  <si>
    <t>FIVE</t>
  </si>
  <si>
    <t>Five9, Inc.</t>
  </si>
  <si>
    <t>FIVN</t>
  </si>
  <si>
    <t>Fujitsu Ltd.</t>
  </si>
  <si>
    <t>FJTSY</t>
  </si>
  <si>
    <t>Foot Locker, Inc.</t>
  </si>
  <si>
    <t>FL</t>
  </si>
  <si>
    <t>Flex Ltd.</t>
  </si>
  <si>
    <t>FLEX</t>
  </si>
  <si>
    <t>FLIR Systems, Inc.</t>
  </si>
  <si>
    <t>FLIR</t>
  </si>
  <si>
    <t>Flowers Foods, Inc.</t>
  </si>
  <si>
    <t>FLO</t>
  </si>
  <si>
    <t>Flowserve Corporation</t>
  </si>
  <si>
    <t>FLS</t>
  </si>
  <si>
    <t>FleetCor Technologies, Inc.</t>
  </si>
  <si>
    <t>FLT</t>
  </si>
  <si>
    <t>FMC Corporation</t>
  </si>
  <si>
    <t>FMC</t>
  </si>
  <si>
    <t>Fresenius Medical Care AG &amp; Co. KGaA</t>
  </si>
  <si>
    <t>FMS</t>
  </si>
  <si>
    <t>Fomento Economico Mexicano S.A.B. de C.V.</t>
  </si>
  <si>
    <t>FMX</t>
  </si>
  <si>
    <t>F.N.B. Corporation</t>
  </si>
  <si>
    <t>FNB</t>
  </si>
  <si>
    <t>Floor &amp; Decor Holdings, Inc.</t>
  </si>
  <si>
    <t>FND</t>
  </si>
  <si>
    <t>Fidelity National Financial, Inc.</t>
  </si>
  <si>
    <t>FNF</t>
  </si>
  <si>
    <t>Fresnillo PLC</t>
  </si>
  <si>
    <t>FNLPF</t>
  </si>
  <si>
    <t>Franco-Nevada Corporation</t>
  </si>
  <si>
    <t>FNV</t>
  </si>
  <si>
    <t>Fox Corporation</t>
  </si>
  <si>
    <t>FOXA</t>
  </si>
  <si>
    <t>First Industrial Realty Trust, Inc.</t>
  </si>
  <si>
    <t>FR</t>
  </si>
  <si>
    <t>First Republic Bank</t>
  </si>
  <si>
    <t>FRC</t>
  </si>
  <si>
    <t>Federal Realty Investment Trust</t>
  </si>
  <si>
    <t>FRT</t>
  </si>
  <si>
    <t>First Solar, Inc.</t>
  </si>
  <si>
    <t>FSLR</t>
  </si>
  <si>
    <t>Fortescue Metals Group Ltd.</t>
  </si>
  <si>
    <t>FSUGY</t>
  </si>
  <si>
    <t>FirstService Corporation</t>
  </si>
  <si>
    <t>FSV</t>
  </si>
  <si>
    <t>Frontdoor, Inc.</t>
  </si>
  <si>
    <t>FTDR</t>
  </si>
  <si>
    <t>TechnipFMC plc</t>
  </si>
  <si>
    <t>FTI</t>
  </si>
  <si>
    <t>Fortinet, Inc.</t>
  </si>
  <si>
    <t>FTNT</t>
  </si>
  <si>
    <t>Fortis Inc.</t>
  </si>
  <si>
    <t>FTS</t>
  </si>
  <si>
    <t>Fortive Corporation</t>
  </si>
  <si>
    <t>FTV</t>
  </si>
  <si>
    <t>Fuji Heavy Industries Ltd.</t>
  </si>
  <si>
    <t>FUJHY</t>
  </si>
  <si>
    <t>Fujifilm Holdings Corp.</t>
  </si>
  <si>
    <t>FUJIY</t>
  </si>
  <si>
    <t>Cedar Fair, L.P.</t>
  </si>
  <si>
    <t>FUN</t>
  </si>
  <si>
    <t>Liberty Media Corporation</t>
  </si>
  <si>
    <t>FWONK</t>
  </si>
  <si>
    <t>Genpact Limited</t>
  </si>
  <si>
    <t>G</t>
  </si>
  <si>
    <t>Glacier Bancorp, Inc.</t>
  </si>
  <si>
    <t>GBCI</t>
  </si>
  <si>
    <t>Global Blood Therapeutics, Inc.</t>
  </si>
  <si>
    <t>GBT</t>
  </si>
  <si>
    <t>General Dynamics Corporation</t>
  </si>
  <si>
    <t>GD</t>
  </si>
  <si>
    <t>GoDaddy Inc.</t>
  </si>
  <si>
    <t>GDDY</t>
  </si>
  <si>
    <t>Gardner Denver Holdings, Inc.</t>
  </si>
  <si>
    <t>GDI</t>
  </si>
  <si>
    <t>GDS HOLDINGS</t>
  </si>
  <si>
    <t>GDS</t>
  </si>
  <si>
    <t>General Electric Company</t>
  </si>
  <si>
    <t>GEA GROUP AG SP</t>
  </si>
  <si>
    <t>GEAGY</t>
  </si>
  <si>
    <t>GECINA ACT NOM</t>
  </si>
  <si>
    <t>GECFF</t>
  </si>
  <si>
    <t>Geely Automobile Holdings Ltd.</t>
  </si>
  <si>
    <t>GELYY</t>
  </si>
  <si>
    <t>Gold Fields Limited</t>
  </si>
  <si>
    <t>GFI</t>
  </si>
  <si>
    <t>G4S PLC</t>
  </si>
  <si>
    <t>GFSZY</t>
  </si>
  <si>
    <t>Gerdau S.A.</t>
  </si>
  <si>
    <t>GGB</t>
  </si>
  <si>
    <t>Graco Inc.</t>
  </si>
  <si>
    <t>GGG</t>
  </si>
  <si>
    <t>Guardant Health, Inc.</t>
  </si>
  <si>
    <t>GH</t>
  </si>
  <si>
    <t>CGI Group, Inc.</t>
  </si>
  <si>
    <t>GIB</t>
  </si>
  <si>
    <t>Gildan Activewear, Inc.</t>
  </si>
  <si>
    <t>GIL</t>
  </si>
  <si>
    <t>Gilead Sciences, Inc.</t>
  </si>
  <si>
    <t>GILD</t>
  </si>
  <si>
    <t>General Mills, Inc.</t>
  </si>
  <si>
    <t>GIS</t>
  </si>
  <si>
    <t>Greene King PLC.</t>
  </si>
  <si>
    <t>GKNGY</t>
  </si>
  <si>
    <t>Globe Life Inc.</t>
  </si>
  <si>
    <t>GL</t>
  </si>
  <si>
    <t>Glanbia Plc ADR</t>
  </si>
  <si>
    <t>GLAPY</t>
  </si>
  <si>
    <t>GCI Liberty, Inc.</t>
  </si>
  <si>
    <t>GLIBA</t>
  </si>
  <si>
    <t>Glencore PLC</t>
  </si>
  <si>
    <t>GLNCY</t>
  </si>
  <si>
    <t>Globant S.A.</t>
  </si>
  <si>
    <t>GLOB</t>
  </si>
  <si>
    <t>Galp Energia SGPS SA</t>
  </si>
  <si>
    <t>GLPEY</t>
  </si>
  <si>
    <t>Galapagos NV</t>
  </si>
  <si>
    <t>GLPG</t>
  </si>
  <si>
    <t>Gaming and Leisure Properties, Inc.</t>
  </si>
  <si>
    <t>GLPI</t>
  </si>
  <si>
    <t>Corning Incorporated</t>
  </si>
  <si>
    <t>GLW</t>
  </si>
  <si>
    <t>General Motors Company</t>
  </si>
  <si>
    <t>GM</t>
  </si>
  <si>
    <t>Globus Medical, Inc.</t>
  </si>
  <si>
    <t>GMED</t>
  </si>
  <si>
    <t>GN STORE NORD</t>
  </si>
  <si>
    <t>GNNDY</t>
  </si>
  <si>
    <t>Generac Holdlings Inc.</t>
  </si>
  <si>
    <t>GNRC</t>
  </si>
  <si>
    <t>Gentex Corporation</t>
  </si>
  <si>
    <t>GNTX</t>
  </si>
  <si>
    <t>Barrick Gold Corporation</t>
  </si>
  <si>
    <t>GOLD</t>
  </si>
  <si>
    <t>Alphabet Inc.</t>
  </si>
  <si>
    <t>GOOGL</t>
  </si>
  <si>
    <t>Canada Goose Holdings Inc.</t>
  </si>
  <si>
    <t>Genuine Parts Company</t>
  </si>
  <si>
    <t>GPC</t>
  </si>
  <si>
    <t>Graphic Packaging Holding Company</t>
  </si>
  <si>
    <t>GPK</t>
  </si>
  <si>
    <t>Global Payments Inc.</t>
  </si>
  <si>
    <t>GPN</t>
  </si>
  <si>
    <t>The Gap, Inc.</t>
  </si>
  <si>
    <t>GPS</t>
  </si>
  <si>
    <t>W.R. Grace &amp; Co.</t>
  </si>
  <si>
    <t>GRA</t>
  </si>
  <si>
    <t>Grifols, S.A.</t>
  </si>
  <si>
    <t>GRFS</t>
  </si>
  <si>
    <t>Garmin Ltd.</t>
  </si>
  <si>
    <t>GRMN</t>
  </si>
  <si>
    <t>Grubhub Inc.</t>
  </si>
  <si>
    <t>GRUB</t>
  </si>
  <si>
    <t>The Goldman Sachs Group, Inc.</t>
  </si>
  <si>
    <t>GS</t>
  </si>
  <si>
    <t>GlaxoSmithKline plc</t>
  </si>
  <si>
    <t>GSK</t>
  </si>
  <si>
    <t>The Goodyear Tire &amp; Rubber Company</t>
  </si>
  <si>
    <t>GT</t>
  </si>
  <si>
    <t>GW Pharmaceuticals PLC</t>
  </si>
  <si>
    <t>GWPH</t>
  </si>
  <si>
    <t>Genesee &amp; Wyoming, Inc.</t>
  </si>
  <si>
    <t>GWR</t>
  </si>
  <si>
    <t>Guidewire Software, Inc.</t>
  </si>
  <si>
    <t>GWRE</t>
  </si>
  <si>
    <t>W.W. Grainger, Inc.</t>
  </si>
  <si>
    <t>GWW</t>
  </si>
  <si>
    <t>Hyatt Hotels Corporation</t>
  </si>
  <si>
    <t>H</t>
  </si>
  <si>
    <t>Haemonetics Corporation</t>
  </si>
  <si>
    <t>HAE</t>
  </si>
  <si>
    <t>Halliburton Company</t>
  </si>
  <si>
    <t>HAL</t>
  </si>
  <si>
    <t>Hasbro, Inc.</t>
  </si>
  <si>
    <t>HAS</t>
  </si>
  <si>
    <t>Huntington Bancshares Incorporated</t>
  </si>
  <si>
    <t>HBAN</t>
  </si>
  <si>
    <t>Hanesbrands Inc.</t>
  </si>
  <si>
    <t>HBI</t>
  </si>
  <si>
    <t>HCA Healthcare, Inc.</t>
  </si>
  <si>
    <t>HCA</t>
  </si>
  <si>
    <t>HITACHI CHEMICL</t>
  </si>
  <si>
    <t>HCHMY</t>
  </si>
  <si>
    <t>HCP, Inc.</t>
  </si>
  <si>
    <t>HCP</t>
  </si>
  <si>
    <t>The Home Depot, Inc.</t>
  </si>
  <si>
    <t>HD</t>
  </si>
  <si>
    <t>HDFC Bank Limited</t>
  </si>
  <si>
    <t>HDB</t>
  </si>
  <si>
    <t>HD Supply Holdings, Inc.</t>
  </si>
  <si>
    <t>HDS</t>
  </si>
  <si>
    <t>Hawaiian Electric Industries, Inc.</t>
  </si>
  <si>
    <t>HE</t>
  </si>
  <si>
    <t>Hengan International Group Co., Ltd. Unsponsored ADR</t>
  </si>
  <si>
    <t>HEGIY</t>
  </si>
  <si>
    <t>Heico Corporation</t>
  </si>
  <si>
    <t>HEI</t>
  </si>
  <si>
    <t>Heineken NV</t>
  </si>
  <si>
    <t>HEINY</t>
  </si>
  <si>
    <t>Helen of Troy Limited</t>
  </si>
  <si>
    <t>HELE</t>
  </si>
  <si>
    <t>Henkel AG &amp; Co.</t>
  </si>
  <si>
    <t>HENKY</t>
  </si>
  <si>
    <t>Hess Corporation</t>
  </si>
  <si>
    <t>HES</t>
  </si>
  <si>
    <t>HollyFrontier Corporation</t>
  </si>
  <si>
    <t>HFC</t>
  </si>
  <si>
    <t>Howard Hughes Corporation (The)</t>
  </si>
  <si>
    <t>HHC</t>
  </si>
  <si>
    <t>The Hartford Financial Services Group, Inc.</t>
  </si>
  <si>
    <t>HIG</t>
  </si>
  <si>
    <t>Huntington Ingalls Industries, Inc.</t>
  </si>
  <si>
    <t>HII</t>
  </si>
  <si>
    <t>Hino Motors Ltd.</t>
  </si>
  <si>
    <t>HINOY</t>
  </si>
  <si>
    <t>Highwoods Properties, Inc.</t>
  </si>
  <si>
    <t>HIW</t>
  </si>
  <si>
    <t>Hikma Pharmaceuticals Plc</t>
  </si>
  <si>
    <t>HKMPF</t>
  </si>
  <si>
    <t>Henderson Land Development Co.</t>
  </si>
  <si>
    <t>HLDCY</t>
  </si>
  <si>
    <t>Herbalife LTD.</t>
  </si>
  <si>
    <t>HLF</t>
  </si>
  <si>
    <t>Houlihan Lokey, Inc.</t>
  </si>
  <si>
    <t>HLI</t>
  </si>
  <si>
    <t>HALMA PLC</t>
  </si>
  <si>
    <t>HLMAF</t>
  </si>
  <si>
    <t>Hamilton Lane Inc.</t>
  </si>
  <si>
    <t>HLNE</t>
  </si>
  <si>
    <t>Hilton Worldwide Holdings Inc.</t>
  </si>
  <si>
    <t>HLT</t>
  </si>
  <si>
    <t>H Lundbeck A/S</t>
  </si>
  <si>
    <t>HLUYY</t>
  </si>
  <si>
    <t>Honda Motor Co., Ltd.</t>
  </si>
  <si>
    <t>HMC</t>
  </si>
  <si>
    <t>HMS Holdings Corp</t>
  </si>
  <si>
    <t>HMSY</t>
  </si>
  <si>
    <t>Huaneng Power International, Inc.</t>
  </si>
  <si>
    <t>HNP</t>
  </si>
  <si>
    <t>Hoya Corp.</t>
  </si>
  <si>
    <t>HOCPY</t>
  </si>
  <si>
    <t>Harley-Davidson, Inc.</t>
  </si>
  <si>
    <t>HOG</t>
  </si>
  <si>
    <t>Hologic, Inc.</t>
  </si>
  <si>
    <t>HOLX</t>
  </si>
  <si>
    <t>Home BancShares, Inc.</t>
  </si>
  <si>
    <t>HOMB</t>
  </si>
  <si>
    <t>Honeywell International Inc.</t>
  </si>
  <si>
    <t>HON</t>
  </si>
  <si>
    <t>Helmerich &amp; Payne, Inc.</t>
  </si>
  <si>
    <t>HP</t>
  </si>
  <si>
    <t>Hewlett Packard Enterprise Company</t>
  </si>
  <si>
    <t>HPE</t>
  </si>
  <si>
    <t>Hudson Pacific Properties, Inc.</t>
  </si>
  <si>
    <t>HPP</t>
  </si>
  <si>
    <t>HP Inc.</t>
  </si>
  <si>
    <t>HPQ</t>
  </si>
  <si>
    <t>Hospitality Properties Trust</t>
  </si>
  <si>
    <t>HPT</t>
  </si>
  <si>
    <t>HealthEquity, Inc.</t>
  </si>
  <si>
    <t>HQY</t>
  </si>
  <si>
    <t>H&amp;R Block, Inc.</t>
  </si>
  <si>
    <t>HRB</t>
  </si>
  <si>
    <t>Hill-Rom Holdings, Inc.</t>
  </si>
  <si>
    <t>HRC</t>
  </si>
  <si>
    <t>Hargreaves Lansdown plc</t>
  </si>
  <si>
    <t>HRGLY</t>
  </si>
  <si>
    <t>Hormel Foods Corporation</t>
  </si>
  <si>
    <t>HRL</t>
  </si>
  <si>
    <t>HSBC Holdings plc</t>
  </si>
  <si>
    <t>HSBC</t>
  </si>
  <si>
    <t>Henry Schein, Inc.</t>
  </si>
  <si>
    <t>HSIC</t>
  </si>
  <si>
    <t>Hang Seng Bank Ltd.</t>
  </si>
  <si>
    <t>HSNGY</t>
  </si>
  <si>
    <t>Host Hotels &amp; Resorts, Inc.</t>
  </si>
  <si>
    <t>HST</t>
  </si>
  <si>
    <t>Hershey Company (The)</t>
  </si>
  <si>
    <t>HSY</t>
  </si>
  <si>
    <t>Healthcare Trust of America, Inc.</t>
  </si>
  <si>
    <t>HTA</t>
  </si>
  <si>
    <t>Hitachi Ltd.</t>
  </si>
  <si>
    <t>HTHIY</t>
  </si>
  <si>
    <t>China Lodging Group, Limited</t>
  </si>
  <si>
    <t>HTHT</t>
  </si>
  <si>
    <t>Hubbell Inc</t>
  </si>
  <si>
    <t>HUBB</t>
  </si>
  <si>
    <t>HubSpot, Inc.</t>
  </si>
  <si>
    <t>HUBS</t>
  </si>
  <si>
    <t>Humana Inc.</t>
  </si>
  <si>
    <t>HUM</t>
  </si>
  <si>
    <t>Huntsman Corporation</t>
  </si>
  <si>
    <t>HUN</t>
  </si>
  <si>
    <t>Hannover Ruck SE</t>
  </si>
  <si>
    <t>HVRRY</t>
  </si>
  <si>
    <t>HOWDEN JOINERY</t>
  </si>
  <si>
    <t>HWDJY</t>
  </si>
  <si>
    <t>Hexcel Corporation</t>
  </si>
  <si>
    <t>HXL</t>
  </si>
  <si>
    <t>Horizon Pharma Public Limited Company</t>
  </si>
  <si>
    <t>HZNP</t>
  </si>
  <si>
    <t>Intelsat S.A.</t>
  </si>
  <si>
    <t>I</t>
  </si>
  <si>
    <t>IAC/InterActiveCorp</t>
  </si>
  <si>
    <t>IAC</t>
  </si>
  <si>
    <t>Integra LifeSciences Holdings Corporation</t>
  </si>
  <si>
    <t>IART</t>
  </si>
  <si>
    <t>IBERIABANK Corporation</t>
  </si>
  <si>
    <t>IBKC</t>
  </si>
  <si>
    <t>Interactive Brokers Group, Inc.</t>
  </si>
  <si>
    <t>IBKR</t>
  </si>
  <si>
    <t>International Business Machines Corporation</t>
  </si>
  <si>
    <t>IBM</t>
  </si>
  <si>
    <t>ICICI Bank Limited</t>
  </si>
  <si>
    <t>IBN</t>
  </si>
  <si>
    <t>Intercontinental Exchange Inc.</t>
  </si>
  <si>
    <t>ICE</t>
  </si>
  <si>
    <t>Israel Chemicals Shs</t>
  </si>
  <si>
    <t>ICL</t>
  </si>
  <si>
    <t>ICON PLC</t>
  </si>
  <si>
    <t>ICLR</t>
  </si>
  <si>
    <t>ICU Medical, Inc.</t>
  </si>
  <si>
    <t>ICUI</t>
  </si>
  <si>
    <t>IDACORP, Inc.</t>
  </si>
  <si>
    <t>IDA</t>
  </si>
  <si>
    <t>Industria de Diseno Textil SA</t>
  </si>
  <si>
    <t>IDEXY</t>
  </si>
  <si>
    <t>IDEXX Laboratories, Inc.</t>
  </si>
  <si>
    <t>IDXX</t>
  </si>
  <si>
    <t>IDEX Corporation</t>
  </si>
  <si>
    <t>IEX</t>
  </si>
  <si>
    <t>International Flavors &amp; Fragrances Inc.</t>
  </si>
  <si>
    <t>IFF</t>
  </si>
  <si>
    <t>Infineon Technologies AG</t>
  </si>
  <si>
    <t>IFNNY</t>
  </si>
  <si>
    <t>Intercontinental Hotels Group</t>
  </si>
  <si>
    <t>IHG</t>
  </si>
  <si>
    <t>IHI CORP</t>
  </si>
  <si>
    <t>IHICY</t>
  </si>
  <si>
    <t>INTERTEK GP PLC</t>
  </si>
  <si>
    <t>IKTSY</t>
  </si>
  <si>
    <t>Illumina, Inc.</t>
  </si>
  <si>
    <t>ILMN</t>
  </si>
  <si>
    <t>Imperial Tobacco Group PLC</t>
  </si>
  <si>
    <t>IMBBY</t>
  </si>
  <si>
    <t>IMI PLC</t>
  </si>
  <si>
    <t>IMIAY</t>
  </si>
  <si>
    <t>Immunomedics, Inc.</t>
  </si>
  <si>
    <t>IMMU</t>
  </si>
  <si>
    <t>Imperial Oil Limited</t>
  </si>
  <si>
    <t>IMO</t>
  </si>
  <si>
    <t>Impala Platinum Holdings Ltd.</t>
  </si>
  <si>
    <t>IMPUY</t>
  </si>
  <si>
    <t>Incyte Corporation</t>
  </si>
  <si>
    <t>INCY</t>
  </si>
  <si>
    <t>IHS Markit Ltd.</t>
  </si>
  <si>
    <t>INFO</t>
  </si>
  <si>
    <t>Infosys Limited</t>
  </si>
  <si>
    <t>INFY</t>
  </si>
  <si>
    <t>ING Group, N.V.</t>
  </si>
  <si>
    <t>ING</t>
  </si>
  <si>
    <t>Ingredion Incorporated</t>
  </si>
  <si>
    <t>INGR</t>
  </si>
  <si>
    <t>Intel Corporation</t>
  </si>
  <si>
    <t>INTC</t>
  </si>
  <si>
    <t>Intuit Inc.</t>
  </si>
  <si>
    <t>INTU</t>
  </si>
  <si>
    <t>Invitation Home Inc.</t>
  </si>
  <si>
    <t>INVH</t>
  </si>
  <si>
    <t>Ionis Pharmaceuticals, Inc.</t>
  </si>
  <si>
    <t>IONS</t>
  </si>
  <si>
    <t>International Paper Company</t>
  </si>
  <si>
    <t>IP</t>
  </si>
  <si>
    <t>Interpublic Group of Companies, Inc. (The)</t>
  </si>
  <si>
    <t>IPG</t>
  </si>
  <si>
    <t>IPG Photonics Corporation</t>
  </si>
  <si>
    <t>IPGP</t>
  </si>
  <si>
    <t>IPSEN SA ADR</t>
  </si>
  <si>
    <t>IPSEY</t>
  </si>
  <si>
    <t>iQIYI, Inc. Sponsored ADR</t>
  </si>
  <si>
    <t>IQ</t>
  </si>
  <si>
    <t>IQVIA Holdings Inc.</t>
  </si>
  <si>
    <t>IQV</t>
  </si>
  <si>
    <t>Ingersoll-Rand PLC (Ireland)</t>
  </si>
  <si>
    <t>IR</t>
  </si>
  <si>
    <t>Iridium Communications Inc</t>
  </si>
  <si>
    <t>IRDM</t>
  </si>
  <si>
    <t>Iron Mountain Incorporated</t>
  </si>
  <si>
    <t>IRM</t>
  </si>
  <si>
    <t>Investors Bancorp, Inc.</t>
  </si>
  <si>
    <t>ISBC</t>
  </si>
  <si>
    <t>Intesa Sanpaolo SpA</t>
  </si>
  <si>
    <t>ISNPY</t>
  </si>
  <si>
    <t>Intuitive Surgical, Inc.</t>
  </si>
  <si>
    <t>ISRG</t>
  </si>
  <si>
    <t>Gartner, Inc.</t>
  </si>
  <si>
    <t>IT</t>
  </si>
  <si>
    <t>Itron, Inc.</t>
  </si>
  <si>
    <t>ITRI</t>
  </si>
  <si>
    <t>ITT Inc.</t>
  </si>
  <si>
    <t>ITT</t>
  </si>
  <si>
    <t>Itau Unibanco Holding S.A.</t>
  </si>
  <si>
    <t>ITUB</t>
  </si>
  <si>
    <t>Illinois Tool Works Inc.</t>
  </si>
  <si>
    <t>ITW</t>
  </si>
  <si>
    <t>Invesco Ltd.</t>
  </si>
  <si>
    <t>IVZ</t>
  </si>
  <si>
    <t>Orix Corp Ads</t>
  </si>
  <si>
    <t>IX</t>
  </si>
  <si>
    <t>JAPAN TOB INC</t>
  </si>
  <si>
    <t>JAPAY</t>
  </si>
  <si>
    <t>Jazz Pharmaceuticals PLC</t>
  </si>
  <si>
    <t>JAZZ</t>
  </si>
  <si>
    <t>JBG SMITH Properties</t>
  </si>
  <si>
    <t>JBGS</t>
  </si>
  <si>
    <t>J.B. Hunt Transport Services, Inc.</t>
  </si>
  <si>
    <t>JBHT</t>
  </si>
  <si>
    <t>Jabil, Inc.</t>
  </si>
  <si>
    <t>JBL</t>
  </si>
  <si>
    <t>JetBlue Airways Corporation</t>
  </si>
  <si>
    <t>JBLU</t>
  </si>
  <si>
    <t>John Bean Technologies Corporation</t>
  </si>
  <si>
    <t>JBT</t>
  </si>
  <si>
    <t>Johnson Controls International plc</t>
  </si>
  <si>
    <t>JCI</t>
  </si>
  <si>
    <t>j2 Global, Inc.</t>
  </si>
  <si>
    <t>JCOM</t>
  </si>
  <si>
    <t>JD.com, Inc.</t>
  </si>
  <si>
    <t>JD</t>
  </si>
  <si>
    <t>Jacobs Engineering Group Inc.</t>
  </si>
  <si>
    <t>JEC</t>
  </si>
  <si>
    <t>Jfe Holdings Inc.</t>
  </si>
  <si>
    <t>JFEEF</t>
  </si>
  <si>
    <t>Janus Capital Group, Inc</t>
  </si>
  <si>
    <t>JHG</t>
  </si>
  <si>
    <t>J &amp; J Snack Foods Corp.</t>
  </si>
  <si>
    <t>JJSF</t>
  </si>
  <si>
    <t>Jack Henry &amp; Associates, Inc.</t>
  </si>
  <si>
    <t>JKHY</t>
  </si>
  <si>
    <t>Jones Lang LaSalle Incorporated</t>
  </si>
  <si>
    <t>JLL</t>
  </si>
  <si>
    <t>Johnson Matthey PLC</t>
  </si>
  <si>
    <t>JMPLY</t>
  </si>
  <si>
    <t>Johnson &amp; Johnson</t>
  </si>
  <si>
    <t>JNJ</t>
  </si>
  <si>
    <t>Juniper Networks, Inc.</t>
  </si>
  <si>
    <t>JNPR</t>
  </si>
  <si>
    <t>JPMorgan Chase &amp; Co.</t>
  </si>
  <si>
    <t>JPM</t>
  </si>
  <si>
    <t>Jeronimo Martins SGPS SA</t>
  </si>
  <si>
    <t>JRONY</t>
  </si>
  <si>
    <t>J. Sainsbury PLC</t>
  </si>
  <si>
    <t>JSAIY</t>
  </si>
  <si>
    <t>JSR CP UNSP ADR</t>
  </si>
  <si>
    <t>JSCPY</t>
  </si>
  <si>
    <t>Nordstrom, Inc.</t>
  </si>
  <si>
    <t>JWN</t>
  </si>
  <si>
    <t>Kellogg Company</t>
  </si>
  <si>
    <t>K</t>
  </si>
  <si>
    <t>KAR Auction Services, Inc</t>
  </si>
  <si>
    <t>KAR</t>
  </si>
  <si>
    <t>KB Financial Group Inc</t>
  </si>
  <si>
    <t>KB</t>
  </si>
  <si>
    <t>KBC Group SA</t>
  </si>
  <si>
    <t>KBCSY</t>
  </si>
  <si>
    <t>KBR, Inc.</t>
  </si>
  <si>
    <t>KBR</t>
  </si>
  <si>
    <t>Keurig Dr Pepper, Inc</t>
  </si>
  <si>
    <t>KDP</t>
  </si>
  <si>
    <t>Korea Electric Power Corporation</t>
  </si>
  <si>
    <t>KEP</t>
  </si>
  <si>
    <t>Kirby Corporation</t>
  </si>
  <si>
    <t>KEX</t>
  </si>
  <si>
    <t>KeyCorp</t>
  </si>
  <si>
    <t>KEY</t>
  </si>
  <si>
    <t>Keysight Technologies Inc.</t>
  </si>
  <si>
    <t>KEYS</t>
  </si>
  <si>
    <t>Kinross Gold Corporation</t>
  </si>
  <si>
    <t>KGC</t>
  </si>
  <si>
    <t>Kingdee International Software Group Co., Ltd. Unsponsored ADR</t>
  </si>
  <si>
    <t>KGDEY</t>
  </si>
  <si>
    <t>Kingfisher PLC</t>
  </si>
  <si>
    <t>KGFHY</t>
  </si>
  <si>
    <t>The Kraft Heinz Company</t>
  </si>
  <si>
    <t>KHC</t>
  </si>
  <si>
    <t>Kuehne &amp; Nagel International Ag</t>
  </si>
  <si>
    <t>KHNGY</t>
  </si>
  <si>
    <t>KION GROUP AG</t>
  </si>
  <si>
    <t>KIGRY</t>
  </si>
  <si>
    <t>Koninklijke KPN NV</t>
  </si>
  <si>
    <t>KKPNF</t>
  </si>
  <si>
    <t>KKR &amp; Co. Inc.</t>
  </si>
  <si>
    <t>KKR</t>
  </si>
  <si>
    <t>Kirkland Lake Gold Ltd.</t>
  </si>
  <si>
    <t>KL</t>
  </si>
  <si>
    <t>KLA-Tencor Corporation</t>
  </si>
  <si>
    <t>KLAC</t>
  </si>
  <si>
    <t>KLEPIERRE SA</t>
  </si>
  <si>
    <t>KLPEF</t>
  </si>
  <si>
    <t>KUNLUN EGY ADR</t>
  </si>
  <si>
    <t>KLYCY</t>
  </si>
  <si>
    <t>Kimberly-Clark Corporation</t>
  </si>
  <si>
    <t>KMB</t>
  </si>
  <si>
    <t>Kinder Morgan, Inc.</t>
  </si>
  <si>
    <t>KMI</t>
  </si>
  <si>
    <t>Kemper Corporation</t>
  </si>
  <si>
    <t>KMPR</t>
  </si>
  <si>
    <t>Komatsu Ltd.</t>
  </si>
  <si>
    <t>KMTUY</t>
  </si>
  <si>
    <t>CarMax, Inc.</t>
  </si>
  <si>
    <t>KMX</t>
  </si>
  <si>
    <t>Konica Minolta Inc.</t>
  </si>
  <si>
    <t>KNCAY</t>
  </si>
  <si>
    <t>Konami Corp.</t>
  </si>
  <si>
    <t>KNMCY</t>
  </si>
  <si>
    <t>Knight-Swift Transportation Holdings Inc.</t>
  </si>
  <si>
    <t>KNX</t>
  </si>
  <si>
    <t>Coca-Cola Company (The)</t>
  </si>
  <si>
    <t>KO</t>
  </si>
  <si>
    <t>Coca Cola Femsa S.A.B. de C.V.</t>
  </si>
  <si>
    <t>KOF</t>
  </si>
  <si>
    <t>The Kroger Co.</t>
  </si>
  <si>
    <t>Kilroy Realty Corporation</t>
  </si>
  <si>
    <t>KRC</t>
  </si>
  <si>
    <t>Kohl's Corporation</t>
  </si>
  <si>
    <t>KSS</t>
  </si>
  <si>
    <t>Kansas City Southern</t>
  </si>
  <si>
    <t>KSU</t>
  </si>
  <si>
    <t>KT Corporation</t>
  </si>
  <si>
    <t>KT</t>
  </si>
  <si>
    <t>Kubota Corp.</t>
  </si>
  <si>
    <t>KUBTY</t>
  </si>
  <si>
    <t>Kuraray Co.</t>
  </si>
  <si>
    <t>KURRY</t>
  </si>
  <si>
    <t>Kawasaki Heavy Industries Ltd.</t>
  </si>
  <si>
    <t>KWHIY</t>
  </si>
  <si>
    <t>Kyocera Corporation</t>
  </si>
  <si>
    <t>KYOCY</t>
  </si>
  <si>
    <t>Loews Corporation</t>
  </si>
  <si>
    <t>L</t>
  </si>
  <si>
    <t>Lithia Motors, Inc.</t>
  </si>
  <si>
    <t>LAD</t>
  </si>
  <si>
    <t>Lamar Advertising Company</t>
  </si>
  <si>
    <t>LAMR</t>
  </si>
  <si>
    <t>Laureate Education Inc.</t>
  </si>
  <si>
    <t>LAUR</t>
  </si>
  <si>
    <t>Lazard Ltd</t>
  </si>
  <si>
    <t>LAZ</t>
  </si>
  <si>
    <t>L Brands, Inc.</t>
  </si>
  <si>
    <t>LB</t>
  </si>
  <si>
    <t>Liberty Broadband Corporation</t>
  </si>
  <si>
    <t>LBRDK</t>
  </si>
  <si>
    <t>Liberty Global PLC</t>
  </si>
  <si>
    <t>LBTYA</t>
  </si>
  <si>
    <t>Leidos Holdings, Inc.</t>
  </si>
  <si>
    <t>LDOS</t>
  </si>
  <si>
    <t>Lear Corporation</t>
  </si>
  <si>
    <t>LEA</t>
  </si>
  <si>
    <t>Lincoln Electric Holdings, Inc.</t>
  </si>
  <si>
    <t>LECO</t>
  </si>
  <si>
    <t>Leggett &amp; Platt, Incorporated</t>
  </si>
  <si>
    <t>LEG</t>
  </si>
  <si>
    <t>Lennar Corporation</t>
  </si>
  <si>
    <t>LEN</t>
  </si>
  <si>
    <t>China Life Insurance Company Limited</t>
  </si>
  <si>
    <t>LFC</t>
  </si>
  <si>
    <t>Littelfuse, Inc.</t>
  </si>
  <si>
    <t>LFUS</t>
  </si>
  <si>
    <t>Laboratory Corporation of America Holdings</t>
  </si>
  <si>
    <t>LH</t>
  </si>
  <si>
    <t>LHC Group, Inc.</t>
  </si>
  <si>
    <t>LHCG</t>
  </si>
  <si>
    <t>L3Harris Technologies Inc</t>
  </si>
  <si>
    <t>LHX</t>
  </si>
  <si>
    <t>Lennox International, Inc.</t>
  </si>
  <si>
    <t>LII</t>
  </si>
  <si>
    <t>LILA</t>
  </si>
  <si>
    <t>Praxair, Inc.</t>
  </si>
  <si>
    <t>LIN</t>
  </si>
  <si>
    <t>LION CORP</t>
  </si>
  <si>
    <t>LIOPF</t>
  </si>
  <si>
    <t>Lumentum Holdings Inc.</t>
  </si>
  <si>
    <t>LITE</t>
  </si>
  <si>
    <t>LivaNova PLC</t>
  </si>
  <si>
    <t>LIVN</t>
  </si>
  <si>
    <t>LKQ Corporation</t>
  </si>
  <si>
    <t>LKQ</t>
  </si>
  <si>
    <t>Eli Lilly and Company</t>
  </si>
  <si>
    <t>LLY</t>
  </si>
  <si>
    <t>Legg Mason, Inc.</t>
  </si>
  <si>
    <t>LM</t>
  </si>
  <si>
    <t>Lockheed Martin Corporation</t>
  </si>
  <si>
    <t>LMT</t>
  </si>
  <si>
    <t>LINE Corporation</t>
  </si>
  <si>
    <t>LN</t>
  </si>
  <si>
    <t>Lincoln National Corporation</t>
  </si>
  <si>
    <t>LNC</t>
  </si>
  <si>
    <t>Cheniere Energy, Inc.</t>
  </si>
  <si>
    <t>LNG</t>
  </si>
  <si>
    <t>Alliant Energy Corporation</t>
  </si>
  <si>
    <t>LNT</t>
  </si>
  <si>
    <t>Lenovo Group Ltd.</t>
  </si>
  <si>
    <t>LNVGY</t>
  </si>
  <si>
    <t>Logitech International S.A.</t>
  </si>
  <si>
    <t>LOGI</t>
  </si>
  <si>
    <t>LogMein, Inc.</t>
  </si>
  <si>
    <t>LOGM</t>
  </si>
  <si>
    <t>Grand Canyon Education, Inc.</t>
  </si>
  <si>
    <t>LOPE</t>
  </si>
  <si>
    <t>Lowe's Companies, Inc.</t>
  </si>
  <si>
    <t>LOW</t>
  </si>
  <si>
    <t>LG Display Co., Ltd.</t>
  </si>
  <si>
    <t>LPL</t>
  </si>
  <si>
    <t>LPL Financial Holdings Inc.</t>
  </si>
  <si>
    <t>LPLA</t>
  </si>
  <si>
    <t>Liberty Property Trust</t>
  </si>
  <si>
    <t>LPT</t>
  </si>
  <si>
    <t>Louisiana-Pacific Corporation</t>
  </si>
  <si>
    <t>LPX</t>
  </si>
  <si>
    <t>Lam Research Corporation</t>
  </si>
  <si>
    <t>LRCX</t>
  </si>
  <si>
    <t>L'Oreal SA</t>
  </si>
  <si>
    <t>LRLCY</t>
  </si>
  <si>
    <t>Life Storage, Inc.</t>
  </si>
  <si>
    <t>LSI</t>
  </si>
  <si>
    <t>Landstar System, Inc.</t>
  </si>
  <si>
    <t>LSTR</t>
  </si>
  <si>
    <t>LSXMK</t>
  </si>
  <si>
    <t>LATAM Airlines Group S.A.</t>
  </si>
  <si>
    <t>LTM</t>
  </si>
  <si>
    <t>Southwest Airlines Co.</t>
  </si>
  <si>
    <t>LUV</t>
  </si>
  <si>
    <t>LVMH-Moet Hennessy Louis Vuitton SA</t>
  </si>
  <si>
    <t>LVMUY</t>
  </si>
  <si>
    <t>Las Vegas Sands Corp.</t>
  </si>
  <si>
    <t>LVS</t>
  </si>
  <si>
    <t>Lamb Weston Holdings Inc.</t>
  </si>
  <si>
    <t>LW</t>
  </si>
  <si>
    <t>LyondellBasell Industries N.V.</t>
  </si>
  <si>
    <t>LYB</t>
  </si>
  <si>
    <t>Lloyds Banking Group PLC</t>
  </si>
  <si>
    <t>LYG</t>
  </si>
  <si>
    <t>Lonza Group Ag</t>
  </si>
  <si>
    <t>LZAGY</t>
  </si>
  <si>
    <t>Macy's, Inc.</t>
  </si>
  <si>
    <t>M</t>
  </si>
  <si>
    <t>Mastercard Incorporated</t>
  </si>
  <si>
    <t>MA</t>
  </si>
  <si>
    <t>Mid-America Apartment Communities, Inc.</t>
  </si>
  <si>
    <t>MAA</t>
  </si>
  <si>
    <t>Macerich Company (The)</t>
  </si>
  <si>
    <t>MAC</t>
  </si>
  <si>
    <t>ManpowerGroup Inc.</t>
  </si>
  <si>
    <t>MAN</t>
  </si>
  <si>
    <t>Manhattan Associates, Inc.</t>
  </si>
  <si>
    <t>MANH</t>
  </si>
  <si>
    <t>Marriott International</t>
  </si>
  <si>
    <t>MAR</t>
  </si>
  <si>
    <t>Masco Corporation</t>
  </si>
  <si>
    <t>MAS</t>
  </si>
  <si>
    <t>Masimo Corporation</t>
  </si>
  <si>
    <t>MASI</t>
  </si>
  <si>
    <t>Mattel, Inc.</t>
  </si>
  <si>
    <t>MAT</t>
  </si>
  <si>
    <t>Mobile TeleSystems OJSC</t>
  </si>
  <si>
    <t>MBT</t>
  </si>
  <si>
    <t>McDonald's Corporation</t>
  </si>
  <si>
    <t>MCD</t>
  </si>
  <si>
    <t>Microchip Technology Incorporated</t>
  </si>
  <si>
    <t>MCHP</t>
  </si>
  <si>
    <t>McKesson Corporation</t>
  </si>
  <si>
    <t>MCK</t>
  </si>
  <si>
    <t>Moody's Corporation</t>
  </si>
  <si>
    <t>MCO</t>
  </si>
  <si>
    <t>Mercury General Corporation</t>
  </si>
  <si>
    <t>MCY</t>
  </si>
  <si>
    <t>MongoDB, Inc.</t>
  </si>
  <si>
    <t>MDB</t>
  </si>
  <si>
    <t>The Medicines Company</t>
  </si>
  <si>
    <t>MDCO</t>
  </si>
  <si>
    <t>Mondelez International, Inc.</t>
  </si>
  <si>
    <t>MDLZ</t>
  </si>
  <si>
    <t>Medidata Solutions, Inc.</t>
  </si>
  <si>
    <t>MDSO</t>
  </si>
  <si>
    <t>Medtronic PLC</t>
  </si>
  <si>
    <t>MDT</t>
  </si>
  <si>
    <t>MDU Resources Group, Inc.</t>
  </si>
  <si>
    <t>MDU</t>
  </si>
  <si>
    <t>Medpace Holdings, Inc.</t>
  </si>
  <si>
    <t>MEDP</t>
  </si>
  <si>
    <t>MercadoLibre, Inc.</t>
  </si>
  <si>
    <t>MELI</t>
  </si>
  <si>
    <t>MetLife, Inc.</t>
  </si>
  <si>
    <t>MET</t>
  </si>
  <si>
    <t>MFA Financial, Inc.</t>
  </si>
  <si>
    <t>MFA</t>
  </si>
  <si>
    <t>Manulife Financial Corp</t>
  </si>
  <si>
    <t>MFC</t>
  </si>
  <si>
    <t>Mizuho Financial Group, Inc.</t>
  </si>
  <si>
    <t>MFG</t>
  </si>
  <si>
    <t>Magna International Inc.</t>
  </si>
  <si>
    <t>MGA</t>
  </si>
  <si>
    <t>Michelin</t>
  </si>
  <si>
    <t>MGDDY</t>
  </si>
  <si>
    <t>MGM Resorts International</t>
  </si>
  <si>
    <t>MGM</t>
  </si>
  <si>
    <t>Magnolia Oil &amp; Gas Corp</t>
  </si>
  <si>
    <t>MGY</t>
  </si>
  <si>
    <t>Mohawk Industries, Inc.</t>
  </si>
  <si>
    <t>MHK</t>
  </si>
  <si>
    <t>Mitsubishi Heavy Industries, Ltd.</t>
  </si>
  <si>
    <t>MHVYF</t>
  </si>
  <si>
    <t>Macquarie Infrastructure Company</t>
  </si>
  <si>
    <t>MIC</t>
  </si>
  <si>
    <t>The Middleby Corporation</t>
  </si>
  <si>
    <t>MIDD</t>
  </si>
  <si>
    <t>McCormick &amp; Company, Incorporated</t>
  </si>
  <si>
    <t>MKC</t>
  </si>
  <si>
    <t>Markel Corporation</t>
  </si>
  <si>
    <t>MKL</t>
  </si>
  <si>
    <t>MKS Instruments, Inc.</t>
  </si>
  <si>
    <t>MKSI</t>
  </si>
  <si>
    <t>MarketAxess Holdings Inc.</t>
  </si>
  <si>
    <t>MKTX</t>
  </si>
  <si>
    <t>Melco Resorts &amp; Entertainment Limited</t>
  </si>
  <si>
    <t>MLCO</t>
  </si>
  <si>
    <t>Martin Marietta Materials, Inc.</t>
  </si>
  <si>
    <t>MLM</t>
  </si>
  <si>
    <t>Mellanox Technologies, Ltd.</t>
  </si>
  <si>
    <t>MLNX</t>
  </si>
  <si>
    <t>Marsh &amp; McLennan Companies, Inc.</t>
  </si>
  <si>
    <t>MMC</t>
  </si>
  <si>
    <t>3M Company</t>
  </si>
  <si>
    <t>MMM</t>
  </si>
  <si>
    <t>Magellan Midstream Partners, L.P.</t>
  </si>
  <si>
    <t>MMP</t>
  </si>
  <si>
    <t>Maximus, Inc.</t>
  </si>
  <si>
    <t>MMS</t>
  </si>
  <si>
    <t>Monster Beverage Corporation</t>
  </si>
  <si>
    <t>MNST</t>
  </si>
  <si>
    <t>Altria Group, Inc.</t>
  </si>
  <si>
    <t>MO</t>
  </si>
  <si>
    <t>Moog Inc.</t>
  </si>
  <si>
    <t>MOG.A</t>
  </si>
  <si>
    <t>Molina Healthcare, Inc</t>
  </si>
  <si>
    <t>MOH</t>
  </si>
  <si>
    <t>Momo Inc.</t>
  </si>
  <si>
    <t>MOMO</t>
  </si>
  <si>
    <t>MONDI PLC UNS</t>
  </si>
  <si>
    <t>MONDY</t>
  </si>
  <si>
    <t>MONOTARO</t>
  </si>
  <si>
    <t>MONOY</t>
  </si>
  <si>
    <t>The Mosaic Company</t>
  </si>
  <si>
    <t>MOS</t>
  </si>
  <si>
    <t>Marathon Petroleum Corporation</t>
  </si>
  <si>
    <t>MPC</t>
  </si>
  <si>
    <t>MPLX LP</t>
  </si>
  <si>
    <t>MPLX</t>
  </si>
  <si>
    <t>Medical Properties Trust, Inc.</t>
  </si>
  <si>
    <t>MPW</t>
  </si>
  <si>
    <t>Monolithic Power Systems, Inc.</t>
  </si>
  <si>
    <t>MPWR</t>
  </si>
  <si>
    <t>Mercury Systems Inc</t>
  </si>
  <si>
    <t>MRCY</t>
  </si>
  <si>
    <t>Merck &amp; Co., Inc.</t>
  </si>
  <si>
    <t>MRK</t>
  </si>
  <si>
    <t>Moderna, Inc.</t>
  </si>
  <si>
    <t>MRNA</t>
  </si>
  <si>
    <t>Marathon Oil Corporation</t>
  </si>
  <si>
    <t>MRO</t>
  </si>
  <si>
    <t>Mirati Therapeutics, Inc.</t>
  </si>
  <si>
    <t>MRTX</t>
  </si>
  <si>
    <t>Marvell Technology Group Ltd.</t>
  </si>
  <si>
    <t>MRVL</t>
  </si>
  <si>
    <t>WM MORRISON SUP</t>
  </si>
  <si>
    <t>MRWSY</t>
  </si>
  <si>
    <t>Morgan Stanley</t>
  </si>
  <si>
    <t>MS</t>
  </si>
  <si>
    <t>MSA Safety Incorporporated</t>
  </si>
  <si>
    <t>MSA</t>
  </si>
  <si>
    <t>MS&amp;AD Insurance Group Holdings Inc.</t>
  </si>
  <si>
    <t>MSADY</t>
  </si>
  <si>
    <t>MSCI Inc</t>
  </si>
  <si>
    <t>MSCI</t>
  </si>
  <si>
    <t>Microsoft Corporation</t>
  </si>
  <si>
    <t>MSFT</t>
  </si>
  <si>
    <t>The Madison Square Garden Company</t>
  </si>
  <si>
    <t>MSG</t>
  </si>
  <si>
    <t>Motorola Solutions, Inc.</t>
  </si>
  <si>
    <t>MSI</t>
  </si>
  <si>
    <t>MSC Industrial Direct Company, Inc.</t>
  </si>
  <si>
    <t>MSM</t>
  </si>
  <si>
    <t>ArcelorMittal</t>
  </si>
  <si>
    <t>MT</t>
  </si>
  <si>
    <t>M&amp;T Bank Corporation</t>
  </si>
  <si>
    <t>MTB</t>
  </si>
  <si>
    <t>Match Group, Inc.</t>
  </si>
  <si>
    <t>MTCH</t>
  </si>
  <si>
    <t>Mettler-Toledo International, Inc.</t>
  </si>
  <si>
    <t>MTD</t>
  </si>
  <si>
    <t>MGIC Investment Corporation</t>
  </si>
  <si>
    <t>MTG</t>
  </si>
  <si>
    <t>Mitsubishi Chemical Holdings Corp.</t>
  </si>
  <si>
    <t>MTLHY</t>
  </si>
  <si>
    <t>Vail Resorts, Inc.</t>
  </si>
  <si>
    <t>MTN</t>
  </si>
  <si>
    <t>MasTec, Inc.</t>
  </si>
  <si>
    <t>MTZ</t>
  </si>
  <si>
    <t>Micron Technology, Inc.</t>
  </si>
  <si>
    <t>MU</t>
  </si>
  <si>
    <t>Mitsubishi UFJ Financial Group, Inc.</t>
  </si>
  <si>
    <t>MUFG</t>
  </si>
  <si>
    <t>Murphy Oil Corporation</t>
  </si>
  <si>
    <t>MUR</t>
  </si>
  <si>
    <t>Metso Corp.</t>
  </si>
  <si>
    <t>MXCYY</t>
  </si>
  <si>
    <t>Maxim Integrated Products, Inc.</t>
  </si>
  <si>
    <t>MXIM</t>
  </si>
  <si>
    <t>Mylan N.V.</t>
  </si>
  <si>
    <t>MYL</t>
  </si>
  <si>
    <t>Mazda Motor Corporation</t>
  </si>
  <si>
    <t>MZDAY</t>
  </si>
  <si>
    <t>National Australia Bank Ltd.</t>
  </si>
  <si>
    <t>NABZY</t>
  </si>
  <si>
    <t>Navient Corporation</t>
  </si>
  <si>
    <t>NAVI</t>
  </si>
  <si>
    <t>Neurocrine Biosciences, Inc.</t>
  </si>
  <si>
    <t>NBIX</t>
  </si>
  <si>
    <t>Noble Energy Inc.</t>
  </si>
  <si>
    <t>NBL</t>
  </si>
  <si>
    <t>Norwegian Cruise Line Holdings Ltd.</t>
  </si>
  <si>
    <t>NCLH</t>
  </si>
  <si>
    <t>NCR Corporation</t>
  </si>
  <si>
    <t>NCR</t>
  </si>
  <si>
    <t>NABTESCO CP TKY</t>
  </si>
  <si>
    <t>NCTKF</t>
  </si>
  <si>
    <t>Nasdaq, Inc.</t>
  </si>
  <si>
    <t>NDAQ</t>
  </si>
  <si>
    <t>Nordson Corporation</t>
  </si>
  <si>
    <t>NDSN</t>
  </si>
  <si>
    <t>NextEra Energy, Inc.</t>
  </si>
  <si>
    <t>NEE</t>
  </si>
  <si>
    <t>Newmont Mining Corporation</t>
  </si>
  <si>
    <t>NEM</t>
  </si>
  <si>
    <t>Neogen Corporation</t>
  </si>
  <si>
    <t>NEOG</t>
  </si>
  <si>
    <t>NextEra Energy Partners, LP</t>
  </si>
  <si>
    <t>NEP</t>
  </si>
  <si>
    <t>New Relic, Inc.</t>
  </si>
  <si>
    <t>NEWR</t>
  </si>
  <si>
    <t>New Fortress Energy LLC</t>
  </si>
  <si>
    <t>NFE</t>
  </si>
  <si>
    <t>National Fuel Gas Company</t>
  </si>
  <si>
    <t>NFG</t>
  </si>
  <si>
    <t>Netflix, Inc.</t>
  </si>
  <si>
    <t>NFLX</t>
  </si>
  <si>
    <t>National Grid Transco, PLC</t>
  </si>
  <si>
    <t>NGG</t>
  </si>
  <si>
    <t>ANGLO AMER ADR</t>
  </si>
  <si>
    <t>NGLOY</t>
  </si>
  <si>
    <t>Ingevity Corporation</t>
  </si>
  <si>
    <t>NGVT</t>
  </si>
  <si>
    <t>National Health Investors, Inc.</t>
  </si>
  <si>
    <t>NHI</t>
  </si>
  <si>
    <t>Norsk Hydro ASA</t>
  </si>
  <si>
    <t>NHYDY</t>
  </si>
  <si>
    <t>NiSource, Inc</t>
  </si>
  <si>
    <t>NI</t>
  </si>
  <si>
    <t>Nice Ltd.</t>
  </si>
  <si>
    <t>NICE</t>
  </si>
  <si>
    <t>Nikon Corp.</t>
  </si>
  <si>
    <t>NINOY</t>
  </si>
  <si>
    <t>NIO Inc.</t>
  </si>
  <si>
    <t>NIO</t>
  </si>
  <si>
    <t>Nidec Corp.</t>
  </si>
  <si>
    <t>NJDCY</t>
  </si>
  <si>
    <t>NewJersey Resources Corporation</t>
  </si>
  <si>
    <t>NJR</t>
  </si>
  <si>
    <t>NIKE, Inc.</t>
  </si>
  <si>
    <t>NKE</t>
  </si>
  <si>
    <t>Nektar Therapeutics</t>
  </si>
  <si>
    <t>NKTR</t>
  </si>
  <si>
    <t>Nielsen Holdings Plc</t>
  </si>
  <si>
    <t>NLSN</t>
  </si>
  <si>
    <t>Annaly Capital Management Inc</t>
  </si>
  <si>
    <t>NLY</t>
  </si>
  <si>
    <t>NMC Health PLC Unsponsored ADR</t>
  </si>
  <si>
    <t>NMHLY</t>
  </si>
  <si>
    <t>Nomura Holdings Inc ADR</t>
  </si>
  <si>
    <t>NMR</t>
  </si>
  <si>
    <t>Nissan Chemical Industries, Ltd.</t>
  </si>
  <si>
    <t>NNCHY</t>
  </si>
  <si>
    <t>National Retail Properties</t>
  </si>
  <si>
    <t>NNN</t>
  </si>
  <si>
    <t>Northrop Grumman Corporation</t>
  </si>
  <si>
    <t>NOC</t>
  </si>
  <si>
    <t>Nokia Corporation</t>
  </si>
  <si>
    <t>NOK</t>
  </si>
  <si>
    <t>Nomad Foods Limited</t>
  </si>
  <si>
    <t>NOMD</t>
  </si>
  <si>
    <t>National Oilwell Varco, Inc.</t>
  </si>
  <si>
    <t>NOV</t>
  </si>
  <si>
    <t>ServiceNow, Inc.</t>
  </si>
  <si>
    <t>NOW</t>
  </si>
  <si>
    <t>Nippon Paint Holdings Co., Ltd.</t>
  </si>
  <si>
    <t>NPCPF</t>
  </si>
  <si>
    <t>NRG Energy, Inc.</t>
  </si>
  <si>
    <t>NRG</t>
  </si>
  <si>
    <t>NOMURA RESH LTD</t>
  </si>
  <si>
    <t>NRILY</t>
  </si>
  <si>
    <t>New Residential Investment Corp.</t>
  </si>
  <si>
    <t>NRZ</t>
  </si>
  <si>
    <t>NuStar Energy L.P.</t>
  </si>
  <si>
    <t>NS</t>
  </si>
  <si>
    <t>Nissan Motor Co.</t>
  </si>
  <si>
    <t>NSANY</t>
  </si>
  <si>
    <t>Norfolk Southern Corporation</t>
  </si>
  <si>
    <t>NSC</t>
  </si>
  <si>
    <t>Insperity, Inc.</t>
  </si>
  <si>
    <t>NSP</t>
  </si>
  <si>
    <t>Nestle SA</t>
  </si>
  <si>
    <t>NSRGY</t>
  </si>
  <si>
    <t>NetApp, Inc.</t>
  </si>
  <si>
    <t>NTAP</t>
  </si>
  <si>
    <t>Nintendo Co.</t>
  </si>
  <si>
    <t>NTDOY</t>
  </si>
  <si>
    <t>Ntt Data Corporation</t>
  </si>
  <si>
    <t>NTDTY</t>
  </si>
  <si>
    <t>NetEase, Inc.</t>
  </si>
  <si>
    <t>NTES</t>
  </si>
  <si>
    <t>National Bank of Canada</t>
  </si>
  <si>
    <t>NTIOF</t>
  </si>
  <si>
    <t>Nutanix Inc.</t>
  </si>
  <si>
    <t>NTNX</t>
  </si>
  <si>
    <t>Nutrien Ltd.</t>
  </si>
  <si>
    <t>NTR</t>
  </si>
  <si>
    <t>Northern Trust Corporation</t>
  </si>
  <si>
    <t>NTRS</t>
  </si>
  <si>
    <t>Nippon Telegraph and Telephone Corporation</t>
  </si>
  <si>
    <t>NTTYY</t>
  </si>
  <si>
    <t>Nuance Communications, Inc.</t>
  </si>
  <si>
    <t>NUAN</t>
  </si>
  <si>
    <t>Nucor Corporation</t>
  </si>
  <si>
    <t>NUE</t>
  </si>
  <si>
    <t>NuVasive, Inc.</t>
  </si>
  <si>
    <t>NUVA</t>
  </si>
  <si>
    <t>NovoCure Limited</t>
  </si>
  <si>
    <t>NVCR</t>
  </si>
  <si>
    <t>NVIDIA Corporation</t>
  </si>
  <si>
    <t>NVDA</t>
  </si>
  <si>
    <t>Novo Nordisk A/S</t>
  </si>
  <si>
    <t>NVO</t>
  </si>
  <si>
    <t>NVR, Inc.</t>
  </si>
  <si>
    <t>NVR</t>
  </si>
  <si>
    <t>Novartis AG</t>
  </si>
  <si>
    <t>NVS</t>
  </si>
  <si>
    <t>nVent Electric PLC</t>
  </si>
  <si>
    <t>NVT</t>
  </si>
  <si>
    <t>Novozymes A/S</t>
  </si>
  <si>
    <t>NVZMY</t>
  </si>
  <si>
    <t>NorthWestern Corporation</t>
  </si>
  <si>
    <t>NWE</t>
  </si>
  <si>
    <t>Newell Brands Inc.</t>
  </si>
  <si>
    <t>NWL</t>
  </si>
  <si>
    <t>News Corporation</t>
  </si>
  <si>
    <t>NWSA</t>
  </si>
  <si>
    <t>Next PLC</t>
  </si>
  <si>
    <t>NXGPY</t>
  </si>
  <si>
    <t>NXP Semiconductors N.V.</t>
  </si>
  <si>
    <t>NXPI</t>
  </si>
  <si>
    <t>Nexstar Broadcasting Group, Inc.</t>
  </si>
  <si>
    <t>NXST</t>
  </si>
  <si>
    <t>New York Community Bancorp, Inc.</t>
  </si>
  <si>
    <t>NYCB</t>
  </si>
  <si>
    <t>The New York Times Company</t>
  </si>
  <si>
    <t>NYT</t>
  </si>
  <si>
    <t>Realty Income Corporation</t>
  </si>
  <si>
    <t>O</t>
  </si>
  <si>
    <t>Oaktree Capital Group, LLC</t>
  </si>
  <si>
    <t>OAK</t>
  </si>
  <si>
    <t>OBIC CO LTD</t>
  </si>
  <si>
    <t>OBIIF</t>
  </si>
  <si>
    <t>Owens Corning Inc</t>
  </si>
  <si>
    <t>OC</t>
  </si>
  <si>
    <t>Olympus Corp.</t>
  </si>
  <si>
    <t>OCPNY</t>
  </si>
  <si>
    <t>Old Dominion Freight Line, Inc.</t>
  </si>
  <si>
    <t>ODFL</t>
  </si>
  <si>
    <t>OC OERLIKON CP</t>
  </si>
  <si>
    <t>OERLF</t>
  </si>
  <si>
    <t>Corporate Office Properties Trust</t>
  </si>
  <si>
    <t>OFC</t>
  </si>
  <si>
    <t>OGE Energy Corporation</t>
  </si>
  <si>
    <t>OGE</t>
  </si>
  <si>
    <t>ONE Gas, Inc.</t>
  </si>
  <si>
    <t>OGS</t>
  </si>
  <si>
    <t>Omega Healthcare Investors, Inc.</t>
  </si>
  <si>
    <t>OHI</t>
  </si>
  <si>
    <t>ONEOK, Inc.</t>
  </si>
  <si>
    <t>OKE</t>
  </si>
  <si>
    <t>Okta, Inc.</t>
  </si>
  <si>
    <t>OKTA</t>
  </si>
  <si>
    <t>ORIENTAL LAND</t>
  </si>
  <si>
    <t>OLCLY</t>
  </si>
  <si>
    <t>Universal Display Corporation</t>
  </si>
  <si>
    <t>OLED</t>
  </si>
  <si>
    <t>Ollie's Bargain Outlet Holdings, Inc.</t>
  </si>
  <si>
    <t>OLLI</t>
  </si>
  <si>
    <t>Olin Corporation</t>
  </si>
  <si>
    <t>OLN</t>
  </si>
  <si>
    <t>Omnicom Group Inc.</t>
  </si>
  <si>
    <t>Omnicell, Inc.</t>
  </si>
  <si>
    <t>OMCL</t>
  </si>
  <si>
    <t>OneMain Holdings, Inc.</t>
  </si>
  <si>
    <t>OMF</t>
  </si>
  <si>
    <t>OMV AG</t>
  </si>
  <si>
    <t>OMVJF</t>
  </si>
  <si>
    <t>ON Semiconductor Corporation</t>
  </si>
  <si>
    <t>ON</t>
  </si>
  <si>
    <t>Old National Bancorp</t>
  </si>
  <si>
    <t>ONB</t>
  </si>
  <si>
    <t>Spark Therapeutics, Inc.</t>
  </si>
  <si>
    <t>ONCE</t>
  </si>
  <si>
    <t>Ormat Technologies, Inc.</t>
  </si>
  <si>
    <t>ORA</t>
  </si>
  <si>
    <t>Orange</t>
  </si>
  <si>
    <t>ORAN</t>
  </si>
  <si>
    <t>Oracle Corporation</t>
  </si>
  <si>
    <t>ORCL</t>
  </si>
  <si>
    <t>Orion OYJ Unsponsored ADR</t>
  </si>
  <si>
    <t>ORINY</t>
  </si>
  <si>
    <t>O'Reilly Automotive, Inc.</t>
  </si>
  <si>
    <t>ORLY</t>
  </si>
  <si>
    <t>Oshkosh Corporation</t>
  </si>
  <si>
    <t>OSK</t>
  </si>
  <si>
    <t>Open Text Corporation</t>
  </si>
  <si>
    <t>OTEX</t>
  </si>
  <si>
    <t>OUTFRONT Media Inc.</t>
  </si>
  <si>
    <t>OUT</t>
  </si>
  <si>
    <t>Oversea-Chinese Banking Corporation Limited</t>
  </si>
  <si>
    <t>OVCHY</t>
  </si>
  <si>
    <t>Occidental Petroleum Corporation</t>
  </si>
  <si>
    <t>OXY</t>
  </si>
  <si>
    <t>Bank OZK</t>
  </si>
  <si>
    <t>OZK</t>
  </si>
  <si>
    <t>Plains All American Pipeline, L.P.</t>
  </si>
  <si>
    <t>PAA</t>
  </si>
  <si>
    <t>Pan American Silver Corp.</t>
  </si>
  <si>
    <t>PAAS</t>
  </si>
  <si>
    <t>Grupo Aeroportuario Del Pacifico, S.A. de C.V.</t>
  </si>
  <si>
    <t>PAC</t>
  </si>
  <si>
    <t>PacWest Bancorp</t>
  </si>
  <si>
    <t>PACW</t>
  </si>
  <si>
    <t>Penske Automotive Group, Inc.</t>
  </si>
  <si>
    <t>PAG</t>
  </si>
  <si>
    <t>Plains Group Holdings, L.P.</t>
  </si>
  <si>
    <t>PAGP</t>
  </si>
  <si>
    <t>PagSeguro Digital Ltd.</t>
  </si>
  <si>
    <t>PAGS</t>
  </si>
  <si>
    <t>Palo Alto Networks, Inc.</t>
  </si>
  <si>
    <t>PANW</t>
  </si>
  <si>
    <t>Paycom Software, Inc.</t>
  </si>
  <si>
    <t>PAYC</t>
  </si>
  <si>
    <t>Paychex, Inc.</t>
  </si>
  <si>
    <t>PAYX</t>
  </si>
  <si>
    <t>Prosperity Bancshares, Inc.</t>
  </si>
  <si>
    <t>Pembina Pipeline Corp.</t>
  </si>
  <si>
    <t>PBA</t>
  </si>
  <si>
    <t>People's United Financial, Inc.</t>
  </si>
  <si>
    <t>PBCT</t>
  </si>
  <si>
    <t>Petroleo Brasileiro S.A.- Petrobras</t>
  </si>
  <si>
    <t>PBR</t>
  </si>
  <si>
    <t>PACCAR Inc.</t>
  </si>
  <si>
    <t>PCAR</t>
  </si>
  <si>
    <t>Pacific Gas &amp; Electric Co.</t>
  </si>
  <si>
    <t>PCG</t>
  </si>
  <si>
    <t>Panasonic Corp.</t>
  </si>
  <si>
    <t>PCRFY</t>
  </si>
  <si>
    <t>Paylocity Holding Corporation</t>
  </si>
  <si>
    <t>PCTY</t>
  </si>
  <si>
    <t>Pinduoduo Inc. Sponsored ADR</t>
  </si>
  <si>
    <t>PDD</t>
  </si>
  <si>
    <t>Pernod Ricard SA</t>
  </si>
  <si>
    <t>PDRDY</t>
  </si>
  <si>
    <t>Parsley Energy, Inc.</t>
  </si>
  <si>
    <t>PE</t>
  </si>
  <si>
    <t>Pebblebrook Hotel Trust</t>
  </si>
  <si>
    <t>PEB</t>
  </si>
  <si>
    <t>Public Service Enterprise Group Incorporated</t>
  </si>
  <si>
    <t>Pegasystems Inc.</t>
  </si>
  <si>
    <t>PEGA</t>
  </si>
  <si>
    <t>Penumbra, Inc.</t>
  </si>
  <si>
    <t>PEN</t>
  </si>
  <si>
    <t>Pepsico, Inc.</t>
  </si>
  <si>
    <t>PEP</t>
  </si>
  <si>
    <t>Pfizer Inc.</t>
  </si>
  <si>
    <t>PFE</t>
  </si>
  <si>
    <t>Principal Financial Group, Inc.</t>
  </si>
  <si>
    <t>PFG</t>
  </si>
  <si>
    <t>Performance Food Group Company</t>
  </si>
  <si>
    <t>PFGC</t>
  </si>
  <si>
    <t>Proofpoint, Inc.</t>
  </si>
  <si>
    <t>PFPT</t>
  </si>
  <si>
    <t>Procter &amp; Gamble Company (The)</t>
  </si>
  <si>
    <t>PG</t>
  </si>
  <si>
    <t>The Progressive Corporation</t>
  </si>
  <si>
    <t>PGR</t>
  </si>
  <si>
    <t>Paramount Group, Inc.</t>
  </si>
  <si>
    <t>PGRE</t>
  </si>
  <si>
    <t>Parker-Hannifin Corporation</t>
  </si>
  <si>
    <t>PH</t>
  </si>
  <si>
    <t>Koninklijke Philips N.V.</t>
  </si>
  <si>
    <t>PHG</t>
  </si>
  <si>
    <t>PLDT Inc.</t>
  </si>
  <si>
    <t>PHI</t>
  </si>
  <si>
    <t>PulteGroup, Inc.</t>
  </si>
  <si>
    <t>PHM</t>
  </si>
  <si>
    <t>Polaris Industries Inc.</t>
  </si>
  <si>
    <t>PII</t>
  </si>
  <si>
    <t>Premier, Inc.</t>
  </si>
  <si>
    <t>PINC</t>
  </si>
  <si>
    <t>Packaging Corporation of America</t>
  </si>
  <si>
    <t>PKG</t>
  </si>
  <si>
    <t>PerkinElmer, Inc.</t>
  </si>
  <si>
    <t>PKI</t>
  </si>
  <si>
    <t>Anaplan, Inc.</t>
  </si>
  <si>
    <t>PLAN</t>
  </si>
  <si>
    <t>Prologis, Inc.</t>
  </si>
  <si>
    <t>PLD</t>
  </si>
  <si>
    <t>Planet Fitness, Inc.</t>
  </si>
  <si>
    <t>PLNT</t>
  </si>
  <si>
    <t>Philip Morris International Inc.</t>
  </si>
  <si>
    <t>PM</t>
  </si>
  <si>
    <t>The PNC Financial Services Group, Inc</t>
  </si>
  <si>
    <t>PNC</t>
  </si>
  <si>
    <t>Pinnacle Financial Partners, Inc.</t>
  </si>
  <si>
    <t>PNFP</t>
  </si>
  <si>
    <t>PNM Resources, Inc. (Holding Co.)</t>
  </si>
  <si>
    <t>PNM</t>
  </si>
  <si>
    <t>Pentair plc</t>
  </si>
  <si>
    <t>PNR</t>
  </si>
  <si>
    <t>Pinnacle West Capital Corporation</t>
  </si>
  <si>
    <t>PNW</t>
  </si>
  <si>
    <t>Insulet Corporation</t>
  </si>
  <si>
    <t>PODD</t>
  </si>
  <si>
    <t>Pool Corporation</t>
  </si>
  <si>
    <t>POOL</t>
  </si>
  <si>
    <t>Portland General Electric Company</t>
  </si>
  <si>
    <t>POR</t>
  </si>
  <si>
    <t>POLA ORBIS</t>
  </si>
  <si>
    <t>PORBF</t>
  </si>
  <si>
    <t>Post Holdings, Inc.</t>
  </si>
  <si>
    <t>POST</t>
  </si>
  <si>
    <t>Pilgrim's Pride Corporation</t>
  </si>
  <si>
    <t>PPC</t>
  </si>
  <si>
    <t>PPG Industries, Inc.</t>
  </si>
  <si>
    <t>PPG</t>
  </si>
  <si>
    <t>PPL Corporation</t>
  </si>
  <si>
    <t>PPL</t>
  </si>
  <si>
    <t>Kering SA</t>
  </si>
  <si>
    <t>PPRUY</t>
  </si>
  <si>
    <t>PRA Health Sciences, Inc.</t>
  </si>
  <si>
    <t>PRAH</t>
  </si>
  <si>
    <t>Perrigo Company plc</t>
  </si>
  <si>
    <t>PRGO</t>
  </si>
  <si>
    <t>Primerica, Inc.</t>
  </si>
  <si>
    <t>PRI</t>
  </si>
  <si>
    <t>PERSPECTA INC</t>
  </si>
  <si>
    <t>PRSP</t>
  </si>
  <si>
    <t>Prudential Financial, Inc.</t>
  </si>
  <si>
    <t>PRU</t>
  </si>
  <si>
    <t>Public Storage</t>
  </si>
  <si>
    <t>PSA</t>
  </si>
  <si>
    <t>PS Business Parks, Inc.</t>
  </si>
  <si>
    <t>PSB</t>
  </si>
  <si>
    <t>Pure Storage, Inc.</t>
  </si>
  <si>
    <t>PSTG</t>
  </si>
  <si>
    <t>Phillips 66</t>
  </si>
  <si>
    <t>PSX</t>
  </si>
  <si>
    <t>Phillips 66 Partners LP</t>
  </si>
  <si>
    <t>PSXP</t>
  </si>
  <si>
    <t>PTC Inc.</t>
  </si>
  <si>
    <t>PTC</t>
  </si>
  <si>
    <t>PetroChina Company Limited</t>
  </si>
  <si>
    <t>PTR</t>
  </si>
  <si>
    <t>Publicis Groupe SA</t>
  </si>
  <si>
    <t>PUBGY</t>
  </si>
  <si>
    <t>PEUGEOT SA</t>
  </si>
  <si>
    <t>PUGOY</t>
  </si>
  <si>
    <t>Prudential Public Limited Company</t>
  </si>
  <si>
    <t>PUK</t>
  </si>
  <si>
    <t>PVH Corp.</t>
  </si>
  <si>
    <t>PVH</t>
  </si>
  <si>
    <t>Pivotal Software, Inc.</t>
  </si>
  <si>
    <t>PVTL</t>
  </si>
  <si>
    <t>Quanta Services, Inc.</t>
  </si>
  <si>
    <t>PWR</t>
  </si>
  <si>
    <t>Pioneer Natural Resources Company</t>
  </si>
  <si>
    <t>PXD</t>
  </si>
  <si>
    <t>PayPal Holdings, Inc.</t>
  </si>
  <si>
    <t>PYPL</t>
  </si>
  <si>
    <t>QUALCOMM Incorporated</t>
  </si>
  <si>
    <t>QCOM</t>
  </si>
  <si>
    <t>QIAGEN N.V.</t>
  </si>
  <si>
    <t>QGEN</t>
  </si>
  <si>
    <t>Qualys, Inc.</t>
  </si>
  <si>
    <t>QLYS</t>
  </si>
  <si>
    <t>Qurate Retail Group, Inc.</t>
  </si>
  <si>
    <t>QRTEA</t>
  </si>
  <si>
    <t>Qorvo, Inc.</t>
  </si>
  <si>
    <t>QRVO</t>
  </si>
  <si>
    <t>Restaurant Brands International Inc.</t>
  </si>
  <si>
    <t>QSR</t>
  </si>
  <si>
    <t>Q2 Holdings, Inc.</t>
  </si>
  <si>
    <t>QTWO</t>
  </si>
  <si>
    <t>Ferrari N.V.</t>
  </si>
  <si>
    <t>RACE</t>
  </si>
  <si>
    <t>LiveRamp Holdings, Inc.</t>
  </si>
  <si>
    <t>RAMP</t>
  </si>
  <si>
    <t>Ritchie Bros. Auctioneers Incorporated</t>
  </si>
  <si>
    <t>RBA</t>
  </si>
  <si>
    <t>Regal Beloit Corporation</t>
  </si>
  <si>
    <t>RBC</t>
  </si>
  <si>
    <t>Reckitt Benckiser Group PLC</t>
  </si>
  <si>
    <t>RBGLY</t>
  </si>
  <si>
    <t>Royal Bank Scotland PLC (The)</t>
  </si>
  <si>
    <t>RBS</t>
  </si>
  <si>
    <t>Rogers Communication, Inc.</t>
  </si>
  <si>
    <t>RCI</t>
  </si>
  <si>
    <t>Royal Caribbean Cruises Ltd.</t>
  </si>
  <si>
    <t>RCL</t>
  </si>
  <si>
    <t>Recruit Holdings Co., Ltd.</t>
  </si>
  <si>
    <t>RCRRF</t>
  </si>
  <si>
    <t>Radian Group Inc.</t>
  </si>
  <si>
    <t>RDN</t>
  </si>
  <si>
    <t>Royal Dutch Shell PLC</t>
  </si>
  <si>
    <t>RDS.A</t>
  </si>
  <si>
    <t>Koninklijke DSM NV</t>
  </si>
  <si>
    <t>RDSMY</t>
  </si>
  <si>
    <t>Dr. Reddy's Laboratories Ltd</t>
  </si>
  <si>
    <t>RDY</t>
  </si>
  <si>
    <t>Everest Re Group, Ltd.</t>
  </si>
  <si>
    <t>RE</t>
  </si>
  <si>
    <t>Regency Centers Corporation</t>
  </si>
  <si>
    <t>REG</t>
  </si>
  <si>
    <t>Regeneron Pharmaceuticals, Inc.</t>
  </si>
  <si>
    <t>REGN</t>
  </si>
  <si>
    <t>Repsol SA</t>
  </si>
  <si>
    <t>REPYY</t>
  </si>
  <si>
    <t>Rexford Industrial Realty, Inc.</t>
  </si>
  <si>
    <t>REXR</t>
  </si>
  <si>
    <t>Regions Financial Corporation</t>
  </si>
  <si>
    <t>RF</t>
  </si>
  <si>
    <t>Reinsurance Group of America, Incorporated</t>
  </si>
  <si>
    <t>RGA</t>
  </si>
  <si>
    <t>Repligen Corporation</t>
  </si>
  <si>
    <t>RGEN</t>
  </si>
  <si>
    <t>Royal Gold, Inc.</t>
  </si>
  <si>
    <t>RGLD</t>
  </si>
  <si>
    <t>Restoration Hardware Holdings Inc.</t>
  </si>
  <si>
    <t>RH</t>
  </si>
  <si>
    <t>Roche Holding AG</t>
  </si>
  <si>
    <t>RHHBY</t>
  </si>
  <si>
    <t>Robert Half International Inc.</t>
  </si>
  <si>
    <t>RHI</t>
  </si>
  <si>
    <t>Ryman Hospitality Properties, Inc.</t>
  </si>
  <si>
    <t>RHP</t>
  </si>
  <si>
    <t>Ricoh Co.</t>
  </si>
  <si>
    <t>RICOY</t>
  </si>
  <si>
    <t>Transocean Ltd.</t>
  </si>
  <si>
    <t>RIG</t>
  </si>
  <si>
    <t>Rio Tinto PLC</t>
  </si>
  <si>
    <t>RIO</t>
  </si>
  <si>
    <t>Raymond James Financial, Inc.</t>
  </si>
  <si>
    <t>RJF</t>
  </si>
  <si>
    <t>Ralph Lauren Corporation</t>
  </si>
  <si>
    <t>RLI Corp.</t>
  </si>
  <si>
    <t>RLI</t>
  </si>
  <si>
    <t>ResMed Inc.</t>
  </si>
  <si>
    <t>RMD</t>
  </si>
  <si>
    <t>Ringcentral, Inc.</t>
  </si>
  <si>
    <t>RNG</t>
  </si>
  <si>
    <t>RENAULT SA</t>
  </si>
  <si>
    <t>RNLSY</t>
  </si>
  <si>
    <t>RenaissanceRe Holdings Ltd.</t>
  </si>
  <si>
    <t>RNR</t>
  </si>
  <si>
    <t>RENISHAW PLC 20</t>
  </si>
  <si>
    <t>RNSHF</t>
  </si>
  <si>
    <t>Rockwell Automation, Inc.</t>
  </si>
  <si>
    <t>ROK</t>
  </si>
  <si>
    <t>Roku, Inc.</t>
  </si>
  <si>
    <t>ROKU</t>
  </si>
  <si>
    <t>Rollins, Inc.</t>
  </si>
  <si>
    <t>ROL</t>
  </si>
  <si>
    <t>RBC Bearings Incorporated</t>
  </si>
  <si>
    <t>ROLL</t>
  </si>
  <si>
    <t>Roper Technologies, Inc.</t>
  </si>
  <si>
    <t>ROP</t>
  </si>
  <si>
    <t>Ross Stores, Inc.</t>
  </si>
  <si>
    <t>ROST</t>
  </si>
  <si>
    <t>RealPage, Inc.</t>
  </si>
  <si>
    <t>RP</t>
  </si>
  <si>
    <t>RPM International Inc.</t>
  </si>
  <si>
    <t>RPM</t>
  </si>
  <si>
    <t>Reliance Steel &amp; Aluminum Co.</t>
  </si>
  <si>
    <t>RS</t>
  </si>
  <si>
    <t>Republic Services, Inc.</t>
  </si>
  <si>
    <t>RSG</t>
  </si>
  <si>
    <t>Raytheon Company</t>
  </si>
  <si>
    <t>RTN</t>
  </si>
  <si>
    <t>Rentokil Initial PLC</t>
  </si>
  <si>
    <t>RTOKY</t>
  </si>
  <si>
    <t>ROTORK PLC</t>
  </si>
  <si>
    <t>RTOXY</t>
  </si>
  <si>
    <t>RWE AG</t>
  </si>
  <si>
    <t>RWEOY</t>
  </si>
  <si>
    <t>Royal Bank Of Canada</t>
  </si>
  <si>
    <t>RY</t>
  </si>
  <si>
    <t>Ryanair Holdings PLC</t>
  </si>
  <si>
    <t>RYAAY</t>
  </si>
  <si>
    <t>Rolls-Royce Holdings PLC</t>
  </si>
  <si>
    <t>RYCEY</t>
  </si>
  <si>
    <t>Rayonier Inc.</t>
  </si>
  <si>
    <t>RYN</t>
  </si>
  <si>
    <t>Sprint Corporation</t>
  </si>
  <si>
    <t>S</t>
  </si>
  <si>
    <t>Sabre Corporation</t>
  </si>
  <si>
    <t>SABR</t>
  </si>
  <si>
    <t>Sanderson Farms, Inc.</t>
  </si>
  <si>
    <t>SAFM</t>
  </si>
  <si>
    <t>Safran SA</t>
  </si>
  <si>
    <t>SAFRY</t>
  </si>
  <si>
    <t>Sage Therapeutics, Inc.</t>
  </si>
  <si>
    <t>SAGE</t>
  </si>
  <si>
    <t>Science Applications International Corporation</t>
  </si>
  <si>
    <t>SAIC</t>
  </si>
  <si>
    <t>The Boston Beer Company, Inc.</t>
  </si>
  <si>
    <t>SAM</t>
  </si>
  <si>
    <t>Banco Santander, S.A.</t>
  </si>
  <si>
    <t>SAN</t>
  </si>
  <si>
    <t>SAP SE</t>
  </si>
  <si>
    <t>SAP</t>
  </si>
  <si>
    <t>SAIPEM SPA SAN</t>
  </si>
  <si>
    <t>SAPMF</t>
  </si>
  <si>
    <t>SARTORIUS AG</t>
  </si>
  <si>
    <t>SARTF</t>
  </si>
  <si>
    <t>EchoStar Corporation</t>
  </si>
  <si>
    <t>SATS</t>
  </si>
  <si>
    <t>Straumann Holding AG</t>
  </si>
  <si>
    <t>SAUHF</t>
  </si>
  <si>
    <t>SBA Communications Corporation</t>
  </si>
  <si>
    <t>SBAC</t>
  </si>
  <si>
    <t>Sinclair Broadcast Group, Inc.</t>
  </si>
  <si>
    <t>SBGI</t>
  </si>
  <si>
    <t>Signature Bank</t>
  </si>
  <si>
    <t>SBNY</t>
  </si>
  <si>
    <t>Sabra Healthcare REIT, Inc.</t>
  </si>
  <si>
    <t>SBRA</t>
  </si>
  <si>
    <t>Companhia de saneamento Basico Do Estado De Sao Paulo - Sabesp</t>
  </si>
  <si>
    <t>SBS</t>
  </si>
  <si>
    <t>Starbucks Corporation</t>
  </si>
  <si>
    <t>SBUX</t>
  </si>
  <si>
    <t>Santander Consumer USA Holdings Inc.</t>
  </si>
  <si>
    <t>SC</t>
  </si>
  <si>
    <t>Standard Chartered PLC</t>
  </si>
  <si>
    <t>SCBFF</t>
  </si>
  <si>
    <t>Southern Copper Corporation</t>
  </si>
  <si>
    <t>SCCO</t>
  </si>
  <si>
    <t>Societe Generale Group</t>
  </si>
  <si>
    <t>SCGLY</t>
  </si>
  <si>
    <t>The Charles Schwab Corporation</t>
  </si>
  <si>
    <t>SCHW</t>
  </si>
  <si>
    <t>Service Corporation International</t>
  </si>
  <si>
    <t>SCI</t>
  </si>
  <si>
    <t>Swisscom AG</t>
  </si>
  <si>
    <t>SCMWY</t>
  </si>
  <si>
    <t>Scor SE</t>
  </si>
  <si>
    <t>SCRYY</t>
  </si>
  <si>
    <t>Sandvik AB</t>
  </si>
  <si>
    <t>SDVKY</t>
  </si>
  <si>
    <t>Sea Limited Sponsored ADR</t>
  </si>
  <si>
    <t>SE</t>
  </si>
  <si>
    <t>SolarEdge Technologies, Inc.</t>
  </si>
  <si>
    <t>SEDG</t>
  </si>
  <si>
    <t>Sealed Air Corporation</t>
  </si>
  <si>
    <t>SEE</t>
  </si>
  <si>
    <t>SEGRO PLC REIT</t>
  </si>
  <si>
    <t>SEGXF</t>
  </si>
  <si>
    <t>SEI Investments Company</t>
  </si>
  <si>
    <t>SEIC</t>
  </si>
  <si>
    <t>Seiko Epson Corp.</t>
  </si>
  <si>
    <t>SEKEY</t>
  </si>
  <si>
    <t>SPECTRIS PLC</t>
  </si>
  <si>
    <t>SEPJY</t>
  </si>
  <si>
    <t>ServiceMaster Global Holdings, Inc.</t>
  </si>
  <si>
    <t>SERV</t>
  </si>
  <si>
    <t>Stifel Financial Corporation</t>
  </si>
  <si>
    <t>SF</t>
  </si>
  <si>
    <t>Seattle Genetics, Inc.</t>
  </si>
  <si>
    <t>SGEN</t>
  </si>
  <si>
    <t>Sage Group PLC</t>
  </si>
  <si>
    <t>SGPYY</t>
  </si>
  <si>
    <t>SGS SA</t>
  </si>
  <si>
    <t>SGSOY</t>
  </si>
  <si>
    <t>Shake Shack, Inc.</t>
  </si>
  <si>
    <t>SHAK</t>
  </si>
  <si>
    <t>Sharp Corp.</t>
  </si>
  <si>
    <t>SHCAY</t>
  </si>
  <si>
    <t>Shin-Etsu Chemical Co.</t>
  </si>
  <si>
    <t>SHECY</t>
  </si>
  <si>
    <t>Shinhan Financial Group Co Ltd</t>
  </si>
  <si>
    <t>SHG</t>
  </si>
  <si>
    <t>SINOPEC Shangai Petrochemical Company, Ltd.</t>
  </si>
  <si>
    <t>SHI</t>
  </si>
  <si>
    <t>Shell Midstream Partners, L.P.</t>
  </si>
  <si>
    <t>SHLX</t>
  </si>
  <si>
    <t>SCHRODERS PLC</t>
  </si>
  <si>
    <t>SHNWF</t>
  </si>
  <si>
    <t>Sunstone Hotel Investors, Inc.</t>
  </si>
  <si>
    <t>SHO</t>
  </si>
  <si>
    <t>Shopify Inc.</t>
  </si>
  <si>
    <t>SHOP</t>
  </si>
  <si>
    <t>The Sherwin-Williams Company</t>
  </si>
  <si>
    <t>SHW</t>
  </si>
  <si>
    <t>Showa Denko K.K.</t>
  </si>
  <si>
    <t>SHWDY</t>
  </si>
  <si>
    <t>National Steel Company</t>
  </si>
  <si>
    <t>SID</t>
  </si>
  <si>
    <t>Siemens AG</t>
  </si>
  <si>
    <t>SIEGY</t>
  </si>
  <si>
    <t>Selective Insurance Group, Inc.</t>
  </si>
  <si>
    <t>SIGI</t>
  </si>
  <si>
    <t>Sina Corporation</t>
  </si>
  <si>
    <t>SINA</t>
  </si>
  <si>
    <t>Sirius XM Holdings Inc.</t>
  </si>
  <si>
    <t>SIRI</t>
  </si>
  <si>
    <t>SiteOne Landscape Supply, Inc.</t>
  </si>
  <si>
    <t>SITE</t>
  </si>
  <si>
    <t>SVB Financial Group</t>
  </si>
  <si>
    <t>SIVB</t>
  </si>
  <si>
    <t>Six Flags Entertainment Corporation New</t>
  </si>
  <si>
    <t>SIX</t>
  </si>
  <si>
    <t>South Jersey Industries, Inc.</t>
  </si>
  <si>
    <t>SJI</t>
  </si>
  <si>
    <t>The J. M. Smucker Company</t>
  </si>
  <si>
    <t>SJM</t>
  </si>
  <si>
    <t>AB SKF</t>
  </si>
  <si>
    <t>SKFRY</t>
  </si>
  <si>
    <t>SK Telecom Co., Ltd.</t>
  </si>
  <si>
    <t>SKM</t>
  </si>
  <si>
    <t>Skechers U.S.A., Inc.</t>
  </si>
  <si>
    <t>SKX</t>
  </si>
  <si>
    <t>SkyWest, Inc.</t>
  </si>
  <si>
    <t>SKYW</t>
  </si>
  <si>
    <t>Silicon Laboratories, Inc.</t>
  </si>
  <si>
    <t>SLAB</t>
  </si>
  <si>
    <t>Schlumberger Limited</t>
  </si>
  <si>
    <t>SLB</t>
  </si>
  <si>
    <t>Sun Life Financial Inc.</t>
  </si>
  <si>
    <t>SLF</t>
  </si>
  <si>
    <t>Standard Life PLC Unsponsored ADR</t>
  </si>
  <si>
    <t>SLFPY</t>
  </si>
  <si>
    <t>SL Green Realty Corporation</t>
  </si>
  <si>
    <t>SLG</t>
  </si>
  <si>
    <t>Silgan Holdings Inc.</t>
  </si>
  <si>
    <t>SLGN</t>
  </si>
  <si>
    <t>SLM Corporation</t>
  </si>
  <si>
    <t>SLM</t>
  </si>
  <si>
    <t>Smartsheet Inc.</t>
  </si>
  <si>
    <t>SMAR</t>
  </si>
  <si>
    <t>Smc Corporation</t>
  </si>
  <si>
    <t>SMCAY</t>
  </si>
  <si>
    <t>Sumitomo Mitsui Financial Group Inc</t>
  </si>
  <si>
    <t>SMFG</t>
  </si>
  <si>
    <t>SMURFIT KAPPA</t>
  </si>
  <si>
    <t>SMFKY</t>
  </si>
  <si>
    <t>The Scotts Miracle-Gro Company</t>
  </si>
  <si>
    <t>SMG</t>
  </si>
  <si>
    <t>Smiths Group PLC</t>
  </si>
  <si>
    <t>SMGZY</t>
  </si>
  <si>
    <t>Semiconductor  Manufacturing International Corporation</t>
  </si>
  <si>
    <t>SMICY</t>
  </si>
  <si>
    <t>Semtech Corporation</t>
  </si>
  <si>
    <t>SMTC</t>
  </si>
  <si>
    <t>Snap-On Incorporated</t>
  </si>
  <si>
    <t>SNA</t>
  </si>
  <si>
    <t>Snap Inc.</t>
  </si>
  <si>
    <t>SNAP</t>
  </si>
  <si>
    <t>Schneider National, Inc.</t>
  </si>
  <si>
    <t>SNDR</t>
  </si>
  <si>
    <t>Sony Corporation</t>
  </si>
  <si>
    <t>SNE</t>
  </si>
  <si>
    <t>Smith &amp; Nephew SNATS, Inc.</t>
  </si>
  <si>
    <t>SNN</t>
  </si>
  <si>
    <t>China Petroleum &amp; Chemical Corporation</t>
  </si>
  <si>
    <t>SNP</t>
  </si>
  <si>
    <t>Synopsys, Inc.</t>
  </si>
  <si>
    <t>SNPS</t>
  </si>
  <si>
    <t>Sunny Optical Technology (Group) Company Limited</t>
  </si>
  <si>
    <t>SNPTF</t>
  </si>
  <si>
    <t>Synovus Financial Corp.</t>
  </si>
  <si>
    <t>SNV</t>
  </si>
  <si>
    <t>SYNNEX Corporation</t>
  </si>
  <si>
    <t>SNX</t>
  </si>
  <si>
    <t>Sanofi</t>
  </si>
  <si>
    <t>SNY</t>
  </si>
  <si>
    <t>Southern Company (The)</t>
  </si>
  <si>
    <t>SO</t>
  </si>
  <si>
    <t>Secom Co.</t>
  </si>
  <si>
    <t>SOMLY</t>
  </si>
  <si>
    <t>SUMITOMO CHEMCL</t>
  </si>
  <si>
    <t>SOMMY</t>
  </si>
  <si>
    <t>Sonoco Products Company</t>
  </si>
  <si>
    <t>SON</t>
  </si>
  <si>
    <t>SONOVA HOLDING</t>
  </si>
  <si>
    <t>SONVY</t>
  </si>
  <si>
    <t>South32 Ltd.</t>
  </si>
  <si>
    <t>SOUHY</t>
  </si>
  <si>
    <t>Simon Property Group, Inc.</t>
  </si>
  <si>
    <t>SPG</t>
  </si>
  <si>
    <t>S&amp;P Global Inc.</t>
  </si>
  <si>
    <t>SPGI</t>
  </si>
  <si>
    <t>Splunk Inc.</t>
  </si>
  <si>
    <t>SPLK</t>
  </si>
  <si>
    <t>Spotify Technology SA</t>
  </si>
  <si>
    <t>SPOT</t>
  </si>
  <si>
    <t>Spirit Aerosystems Holdings, Inc.</t>
  </si>
  <si>
    <t>SPR</t>
  </si>
  <si>
    <t>SPIRAX SARCO</t>
  </si>
  <si>
    <t>SPXSF</t>
  </si>
  <si>
    <t>Square, Inc.</t>
  </si>
  <si>
    <t>SQ</t>
  </si>
  <si>
    <t>Sociedad Quimica y Minera S.A.</t>
  </si>
  <si>
    <t>SQM</t>
  </si>
  <si>
    <t>Square Enix Holdings Co., Ltd.</t>
  </si>
  <si>
    <t>SQNXF</t>
  </si>
  <si>
    <t>Spire Inc.</t>
  </si>
  <si>
    <t>SR</t>
  </si>
  <si>
    <t>Spirit Realty Capital, Inc.</t>
  </si>
  <si>
    <t>SRC</t>
  </si>
  <si>
    <t>Stericycle, Inc.</t>
  </si>
  <si>
    <t>SRCL</t>
  </si>
  <si>
    <t>Sempra Energy</t>
  </si>
  <si>
    <t>SRE</t>
  </si>
  <si>
    <t>Sarepta Therapeutics, Inc.</t>
  </si>
  <si>
    <t>SRPT</t>
  </si>
  <si>
    <t>Simpson Manufacturing Company, Inc.</t>
  </si>
  <si>
    <t>SSD</t>
  </si>
  <si>
    <t>Shiseido Co.</t>
  </si>
  <si>
    <t>SSDOY</t>
  </si>
  <si>
    <t>SSE PLC</t>
  </si>
  <si>
    <t>SSEZY</t>
  </si>
  <si>
    <t>Sasol Ltd.</t>
  </si>
  <si>
    <t>SSL</t>
  </si>
  <si>
    <t>SS&amp;C Technologies Holdings, Inc.</t>
  </si>
  <si>
    <t>SSNC</t>
  </si>
  <si>
    <t>Swiss Re Ltd.</t>
  </si>
  <si>
    <t>SSREY</t>
  </si>
  <si>
    <t>Sensata Technologies Holding N.V.</t>
  </si>
  <si>
    <t>ST</t>
  </si>
  <si>
    <t>Stag Industrial, Inc.</t>
  </si>
  <si>
    <t>STAG</t>
  </si>
  <si>
    <t>STERIS plc</t>
  </si>
  <si>
    <t>STE</t>
  </si>
  <si>
    <t>SunTrust Banks, Inc.</t>
  </si>
  <si>
    <t>STI</t>
  </si>
  <si>
    <t>Sterling Bancorp</t>
  </si>
  <si>
    <t>STL</t>
  </si>
  <si>
    <t>Steel Dynamics, Inc.</t>
  </si>
  <si>
    <t>STLD</t>
  </si>
  <si>
    <t>STMicroelectronics N.V.</t>
  </si>
  <si>
    <t>STM</t>
  </si>
  <si>
    <t>StoneCo Ltd.</t>
  </si>
  <si>
    <t>STNE</t>
  </si>
  <si>
    <t>STORE Capital Corporation</t>
  </si>
  <si>
    <t>STOR</t>
  </si>
  <si>
    <t>Strategic Education Inc.</t>
  </si>
  <si>
    <t>STRA</t>
  </si>
  <si>
    <t>State Street Corporation</t>
  </si>
  <si>
    <t>STT</t>
  </si>
  <si>
    <t>STARWOOD PROPERTY TRUST, INC.</t>
  </si>
  <si>
    <t>STWD</t>
  </si>
  <si>
    <t>Seagate Technology PLC</t>
  </si>
  <si>
    <t>STX</t>
  </si>
  <si>
    <t>Constellation Brands Inc</t>
  </si>
  <si>
    <t>STZ</t>
  </si>
  <si>
    <t>Suncor Energy  Inc.</t>
  </si>
  <si>
    <t>SU</t>
  </si>
  <si>
    <t>Subsea 7 SA</t>
  </si>
  <si>
    <t>SUBCY</t>
  </si>
  <si>
    <t>Sun Hung Kai Properties Ltd.</t>
  </si>
  <si>
    <t>SUHJY</t>
  </si>
  <si>
    <t>Sun Communities, Inc.</t>
  </si>
  <si>
    <t>SUI</t>
  </si>
  <si>
    <t>Sunoco LP</t>
  </si>
  <si>
    <t>SUN</t>
  </si>
  <si>
    <t>SUMCO CORP ADR</t>
  </si>
  <si>
    <t>SUOPY</t>
  </si>
  <si>
    <t>Svenska Cellulosa AB</t>
  </si>
  <si>
    <t>SVCBY</t>
  </si>
  <si>
    <t>Switch, Inc.</t>
  </si>
  <si>
    <t>SWCH</t>
  </si>
  <si>
    <t>SolarWinds Corp.</t>
  </si>
  <si>
    <t>SWI</t>
  </si>
  <si>
    <t>Stanley Black &amp; Decker, Inc.</t>
  </si>
  <si>
    <t>SWK</t>
  </si>
  <si>
    <t>Skyworks Solutions, Inc.</t>
  </si>
  <si>
    <t>SWKS</t>
  </si>
  <si>
    <t>Swire Pacific Ltd.</t>
  </si>
  <si>
    <t>SWRAY</t>
  </si>
  <si>
    <t>Southwest Gas Corporation</t>
  </si>
  <si>
    <t>SWX</t>
  </si>
  <si>
    <t>Synchrony Financial</t>
  </si>
  <si>
    <t>SYF</t>
  </si>
  <si>
    <t>Stryker Corporation</t>
  </si>
  <si>
    <t>SYK</t>
  </si>
  <si>
    <t>Symantec Corporation</t>
  </si>
  <si>
    <t>SYMC</t>
  </si>
  <si>
    <t>Syneos Health, Inc.</t>
  </si>
  <si>
    <t>SYNH</t>
  </si>
  <si>
    <t>Sysco Corporation</t>
  </si>
  <si>
    <t>SYY</t>
  </si>
  <si>
    <t>SUZUKI MOTOR CP</t>
  </si>
  <si>
    <t>SZKMY</t>
  </si>
  <si>
    <t>AT&amp;T Inc.</t>
  </si>
  <si>
    <t>T</t>
  </si>
  <si>
    <t>Takeda Pharmaceutical Co.</t>
  </si>
  <si>
    <t>TAK</t>
  </si>
  <si>
    <t>TAL Education Group</t>
  </si>
  <si>
    <t>TAL</t>
  </si>
  <si>
    <t>Molson Coors Brewing  Company</t>
  </si>
  <si>
    <t>TAP</t>
  </si>
  <si>
    <t>Taro Pharmaceutical Industries Ltd.</t>
  </si>
  <si>
    <t>TARO</t>
  </si>
  <si>
    <t>Tate &amp; Lyle PLC</t>
  </si>
  <si>
    <t>TATYY</t>
  </si>
  <si>
    <t>Tencent Holding Ltd.</t>
  </si>
  <si>
    <t>TCEHY</t>
  </si>
  <si>
    <t>Toronto Dominion Bank (The)</t>
  </si>
  <si>
    <t>TD</t>
  </si>
  <si>
    <t>Teradata Corporation</t>
  </si>
  <si>
    <t>TDC</t>
  </si>
  <si>
    <t>Transdigm Group Incorporated</t>
  </si>
  <si>
    <t>TDG</t>
  </si>
  <si>
    <t>Teladoc Health, Inc.</t>
  </si>
  <si>
    <t>TDOC</t>
  </si>
  <si>
    <t>Teledyne Technologies Incorporated</t>
  </si>
  <si>
    <t>TDY</t>
  </si>
  <si>
    <t>Atlassian Corporation PLC</t>
  </si>
  <si>
    <t>TEAM</t>
  </si>
  <si>
    <t>Tech Data Corporation</t>
  </si>
  <si>
    <t>TECD</t>
  </si>
  <si>
    <t>Bio-Techne Corp</t>
  </si>
  <si>
    <t>TECH</t>
  </si>
  <si>
    <t>Teck Resources Ltd</t>
  </si>
  <si>
    <t>TECK</t>
  </si>
  <si>
    <t>Telefonica SA</t>
  </si>
  <si>
    <t>TEF</t>
  </si>
  <si>
    <t>TE Connectivity Ltd.</t>
  </si>
  <si>
    <t>TEL</t>
  </si>
  <si>
    <t>Telenor ASA</t>
  </si>
  <si>
    <t>TELNY</t>
  </si>
  <si>
    <t>Telecom Argentina Stet - France Telecom S.A.</t>
  </si>
  <si>
    <t>TEO</t>
  </si>
  <si>
    <t>Teradyne, Inc.</t>
  </si>
  <si>
    <t>TER</t>
  </si>
  <si>
    <t>TerraForm Power, Inc.</t>
  </si>
  <si>
    <t>TERP</t>
  </si>
  <si>
    <t>Teva Pharmaceutical Industries Ltd.</t>
  </si>
  <si>
    <t>TEVA</t>
  </si>
  <si>
    <t>Teleflex Incorporated</t>
  </si>
  <si>
    <t>TFX</t>
  </si>
  <si>
    <t>Tallgrass Energy GP, LP</t>
  </si>
  <si>
    <t>TGE</t>
  </si>
  <si>
    <t>TEGNA Inc.</t>
  </si>
  <si>
    <t>TGNA</t>
  </si>
  <si>
    <t>Target Corporation</t>
  </si>
  <si>
    <t>TGT</t>
  </si>
  <si>
    <t>The Hanover Insurance Group, Inc.</t>
  </si>
  <si>
    <t>THG</t>
  </si>
  <si>
    <t>TreeHouse Foods, Inc.</t>
  </si>
  <si>
    <t>THS</t>
  </si>
  <si>
    <t>Tiffany &amp; Co.</t>
  </si>
  <si>
    <t>TIF</t>
  </si>
  <si>
    <t>Millicom International Cellular SA</t>
  </si>
  <si>
    <t>TIGO</t>
  </si>
  <si>
    <t>Telecom Italia S.P.A.</t>
  </si>
  <si>
    <t>TIIAY</t>
  </si>
  <si>
    <t>The TJX Companies, Inc.</t>
  </si>
  <si>
    <t>TJX</t>
  </si>
  <si>
    <t>Telekom Austria AG</t>
  </si>
  <si>
    <t>TKAGY</t>
  </si>
  <si>
    <t>ThyssenKrupp AG Sponsored ADR</t>
  </si>
  <si>
    <t>TKAMY</t>
  </si>
  <si>
    <t>Turkcell Iletisim Hizmetleri AS</t>
  </si>
  <si>
    <t>TKC</t>
  </si>
  <si>
    <t>Tokio Marine Holdings Inc.</t>
  </si>
  <si>
    <t>TKOMY</t>
  </si>
  <si>
    <t>Timken Company (The)</t>
  </si>
  <si>
    <t>TKR</t>
  </si>
  <si>
    <t>TeliaSonera AB</t>
  </si>
  <si>
    <t>TLSNY</t>
  </si>
  <si>
    <t>Telstra Corp.</t>
  </si>
  <si>
    <t>TLSYY</t>
  </si>
  <si>
    <t>TELE2 AB ADR</t>
  </si>
  <si>
    <t>TLTZY</t>
  </si>
  <si>
    <t>Toyota Motor Corporation</t>
  </si>
  <si>
    <t>TM</t>
  </si>
  <si>
    <t>Tencent Music Entertainment Group Sponsored ADR</t>
  </si>
  <si>
    <t>TME</t>
  </si>
  <si>
    <t>Trend Micro Inc.</t>
  </si>
  <si>
    <t>TMICY</t>
  </si>
  <si>
    <t>Thermo Fisher Scientific Inc.</t>
  </si>
  <si>
    <t>TMO</t>
  </si>
  <si>
    <t>T-Mobile US, Inc.</t>
  </si>
  <si>
    <t>TMUS</t>
  </si>
  <si>
    <t>Tandem Diabetes Care, Inc.</t>
  </si>
  <si>
    <t>TNDM</t>
  </si>
  <si>
    <t>TriNet Group, Inc.</t>
  </si>
  <si>
    <t>TNET</t>
  </si>
  <si>
    <t>Tokyo Electron Ltd.</t>
  </si>
  <si>
    <t>TOELY</t>
  </si>
  <si>
    <t>Toll Brothers Inc.</t>
  </si>
  <si>
    <t>TOL</t>
  </si>
  <si>
    <t>TOTAL S.A.</t>
  </si>
  <si>
    <t>TOT</t>
  </si>
  <si>
    <t>Tempur Sealy International, Inc.</t>
  </si>
  <si>
    <t>TPX</t>
  </si>
  <si>
    <t>LendingTree, Inc.</t>
  </si>
  <si>
    <t>TREE</t>
  </si>
  <si>
    <t>Trex Company, Inc.</t>
  </si>
  <si>
    <t>TREX</t>
  </si>
  <si>
    <t>Targa Resources, Inc.</t>
  </si>
  <si>
    <t>TRGP</t>
  </si>
  <si>
    <t>Thomson Reuters Corp</t>
  </si>
  <si>
    <t>TRI</t>
  </si>
  <si>
    <t>TripAdvisor, Inc.</t>
  </si>
  <si>
    <t>TRIP</t>
  </si>
  <si>
    <t>Trimble Inc.</t>
  </si>
  <si>
    <t>TRMB</t>
  </si>
  <si>
    <t>Terreno Realty Corporation</t>
  </si>
  <si>
    <t>TRNO</t>
  </si>
  <si>
    <t>T. Rowe Price Group, Inc.</t>
  </si>
  <si>
    <t>TROW</t>
  </si>
  <si>
    <t>TransCanada Corporation</t>
  </si>
  <si>
    <t>TRP</t>
  </si>
  <si>
    <t>TransUnion</t>
  </si>
  <si>
    <t>TRU</t>
  </si>
  <si>
    <t>The Travelers Companies, Inc.</t>
  </si>
  <si>
    <t>TRV</t>
  </si>
  <si>
    <t>Toray Industries Inc.</t>
  </si>
  <si>
    <t>TRYIY</t>
  </si>
  <si>
    <t>Tenaris S.A.</t>
  </si>
  <si>
    <t>TS</t>
  </si>
  <si>
    <t>Tesco PLC</t>
  </si>
  <si>
    <t>TSCDY</t>
  </si>
  <si>
    <t>Tractor Supply Company</t>
  </si>
  <si>
    <t>TSCO</t>
  </si>
  <si>
    <t>Amaya Inc.</t>
  </si>
  <si>
    <t>TSG</t>
  </si>
  <si>
    <t>Tesla, Inc.</t>
  </si>
  <si>
    <t>TSLA</t>
  </si>
  <si>
    <t>Taiwan Semiconductor Manufacturing Company Ltd.</t>
  </si>
  <si>
    <t>TSM</t>
  </si>
  <si>
    <t>Tyson Foods, Inc.</t>
  </si>
  <si>
    <t>TSN</t>
  </si>
  <si>
    <t>TIM Participacoes S.A.</t>
  </si>
  <si>
    <t>TSU</t>
  </si>
  <si>
    <t>Toro Company (The)</t>
  </si>
  <si>
    <t>TTC</t>
  </si>
  <si>
    <t>The Trade Desk Inc.</t>
  </si>
  <si>
    <t>TTD</t>
  </si>
  <si>
    <t>TDK Corp.</t>
  </si>
  <si>
    <t>TTDKY</t>
  </si>
  <si>
    <t>Tetra Tech, Inc.</t>
  </si>
  <si>
    <t>TTEK</t>
  </si>
  <si>
    <t>Tata Motors Ltd</t>
  </si>
  <si>
    <t>TTM</t>
  </si>
  <si>
    <t>Take-Two Interactive Software, Inc.</t>
  </si>
  <si>
    <t>TTWO</t>
  </si>
  <si>
    <t>TELUS Corporation</t>
  </si>
  <si>
    <t>TU</t>
  </si>
  <si>
    <t>Grupo Televisa S.A.</t>
  </si>
  <si>
    <t>TV</t>
  </si>
  <si>
    <t>Travis Perkins PLC</t>
  </si>
  <si>
    <t>TVPKF</t>
  </si>
  <si>
    <t>Twilio Inc.</t>
  </si>
  <si>
    <t>TWLO</t>
  </si>
  <si>
    <t>Two Harbors Investments Corp</t>
  </si>
  <si>
    <t>TWO</t>
  </si>
  <si>
    <t>Twitter, Inc.</t>
  </si>
  <si>
    <t>TWTR</t>
  </si>
  <si>
    <t>Ternium S.A.</t>
  </si>
  <si>
    <t>TX</t>
  </si>
  <si>
    <t>Texas Instruments Incorporated</t>
  </si>
  <si>
    <t>TXN</t>
  </si>
  <si>
    <t>Texas Roadhouse, Inc.</t>
  </si>
  <si>
    <t>TXRH</t>
  </si>
  <si>
    <t>Textron Inc.</t>
  </si>
  <si>
    <t>TXT</t>
  </si>
  <si>
    <t>Tyler Technologies, Inc.</t>
  </si>
  <si>
    <t>TYL</t>
  </si>
  <si>
    <t>Under Armour, Inc.</t>
  </si>
  <si>
    <t>UAA</t>
  </si>
  <si>
    <t>United Airlines Holdings Inc</t>
  </si>
  <si>
    <t>UAL</t>
  </si>
  <si>
    <t>UBS Group AG</t>
  </si>
  <si>
    <t>UBS</t>
  </si>
  <si>
    <t>United Bankshares, Inc.</t>
  </si>
  <si>
    <t>UBSI</t>
  </si>
  <si>
    <t>United Internet AG</t>
  </si>
  <si>
    <t>UDIRF</t>
  </si>
  <si>
    <t>United Dominion Realty Trust, Inc.</t>
  </si>
  <si>
    <t>UDR</t>
  </si>
  <si>
    <t>UGI Corporation</t>
  </si>
  <si>
    <t>UGI</t>
  </si>
  <si>
    <t>Ultrapar Participacoes S.A.</t>
  </si>
  <si>
    <t>UGP</t>
  </si>
  <si>
    <t>Amerco</t>
  </si>
  <si>
    <t>UHAL</t>
  </si>
  <si>
    <t>Universal Health Services, Inc.</t>
  </si>
  <si>
    <t>UHS</t>
  </si>
  <si>
    <t>Ubiquiti Inc.</t>
  </si>
  <si>
    <t>UI</t>
  </si>
  <si>
    <t>Unilever PLC</t>
  </si>
  <si>
    <t>UL</t>
  </si>
  <si>
    <t>Ulta Beauty Inc.</t>
  </si>
  <si>
    <t>ULTA</t>
  </si>
  <si>
    <t>UMB Financial Corporation</t>
  </si>
  <si>
    <t>UMBF</t>
  </si>
  <si>
    <t>Umpqua Holdings Corporation</t>
  </si>
  <si>
    <t>UMPQ</t>
  </si>
  <si>
    <t>Unilever NV</t>
  </si>
  <si>
    <t>UN</t>
  </si>
  <si>
    <t>UNICREDITO SPA</t>
  </si>
  <si>
    <t>UNCFF</t>
  </si>
  <si>
    <t>Unifirst Corporation</t>
  </si>
  <si>
    <t>UNF</t>
  </si>
  <si>
    <t>UnitedHealth Group Incorporated</t>
  </si>
  <si>
    <t>UNH</t>
  </si>
  <si>
    <t>Unum Group</t>
  </si>
  <si>
    <t>UNM</t>
  </si>
  <si>
    <t>Union Pacific Corporation</t>
  </si>
  <si>
    <t>UNP</t>
  </si>
  <si>
    <t>Univar Inc.</t>
  </si>
  <si>
    <t>UNVR</t>
  </si>
  <si>
    <t>United Overseas Bank Ltd.</t>
  </si>
  <si>
    <t>UOVEY</t>
  </si>
  <si>
    <t>United Parcel Service, Inc.</t>
  </si>
  <si>
    <t>UPS</t>
  </si>
  <si>
    <t>United Rentals, Inc.</t>
  </si>
  <si>
    <t>URI</t>
  </si>
  <si>
    <t>U.S. Bancorp</t>
  </si>
  <si>
    <t>USB</t>
  </si>
  <si>
    <t>US Foods Holding Corp.</t>
  </si>
  <si>
    <t>USFD</t>
  </si>
  <si>
    <t>United States Cellular Corporation</t>
  </si>
  <si>
    <t>USM</t>
  </si>
  <si>
    <t>UNITE Group PLC</t>
  </si>
  <si>
    <t>UTGPF</t>
  </si>
  <si>
    <t>United Therapeutics Corporation</t>
  </si>
  <si>
    <t>UTHR</t>
  </si>
  <si>
    <t>United Technologies Corporation</t>
  </si>
  <si>
    <t>UTX</t>
  </si>
  <si>
    <t>Visa Inc.</t>
  </si>
  <si>
    <t>V</t>
  </si>
  <si>
    <t>Marriot Vacations Worldwide Corporation</t>
  </si>
  <si>
    <t>VAC</t>
  </si>
  <si>
    <t>VALE S.A.</t>
  </si>
  <si>
    <t>VALE</t>
  </si>
  <si>
    <t>Varian Medical Systems, Inc.</t>
  </si>
  <si>
    <t>VAR</t>
  </si>
  <si>
    <t>Veeva Systems Inc.</t>
  </si>
  <si>
    <t>VEEV</t>
  </si>
  <si>
    <t>Veolia Environnement SA</t>
  </si>
  <si>
    <t>VEOEY</t>
  </si>
  <si>
    <t>VimpelCom Ltd.</t>
  </si>
  <si>
    <t>VEON</t>
  </si>
  <si>
    <t>VEREIT Inc.</t>
  </si>
  <si>
    <t>VER</t>
  </si>
  <si>
    <t>V.F. Corporation</t>
  </si>
  <si>
    <t>VFC</t>
  </si>
  <si>
    <t>Vonage Holdings Corp.</t>
  </si>
  <si>
    <t>VG</t>
  </si>
  <si>
    <t>Viacom Inc.</t>
  </si>
  <si>
    <t>VIAB</t>
  </si>
  <si>
    <t>Viavi Solutions Inc.</t>
  </si>
  <si>
    <t>VIAV</t>
  </si>
  <si>
    <t>VICI Properties Inc.</t>
  </si>
  <si>
    <t>VICI</t>
  </si>
  <si>
    <t>Vipshop Holdings Limited</t>
  </si>
  <si>
    <t>VIPS</t>
  </si>
  <si>
    <t>Virtu Financial, Inc.</t>
  </si>
  <si>
    <t>VIRT</t>
  </si>
  <si>
    <t>Telefonica Brasil S.A.</t>
  </si>
  <si>
    <t>VIV</t>
  </si>
  <si>
    <t>Vivendi SA</t>
  </si>
  <si>
    <t>VIVHY</t>
  </si>
  <si>
    <t>Valeo S.A.</t>
  </si>
  <si>
    <t>VLEEY</t>
  </si>
  <si>
    <t>Valero Energy Corporation</t>
  </si>
  <si>
    <t>VLO</t>
  </si>
  <si>
    <t>Voestalpine AG</t>
  </si>
  <si>
    <t>VLPNY</t>
  </si>
  <si>
    <t>AB Volvo</t>
  </si>
  <si>
    <t>VLVLY</t>
  </si>
  <si>
    <t>Valley National Bancorp</t>
  </si>
  <si>
    <t>VLY</t>
  </si>
  <si>
    <t>Vulcan Materials Company</t>
  </si>
  <si>
    <t>VMC</t>
  </si>
  <si>
    <t>Valmont Industries, Inc.</t>
  </si>
  <si>
    <t>VMI</t>
  </si>
  <si>
    <t>VMware, Inc.</t>
  </si>
  <si>
    <t>VMW</t>
  </si>
  <si>
    <t>Vornado Realty Trust</t>
  </si>
  <si>
    <t>VNO</t>
  </si>
  <si>
    <t>Viper Energy Partners LP</t>
  </si>
  <si>
    <t>VNOM</t>
  </si>
  <si>
    <t>Vodafone Group PLC</t>
  </si>
  <si>
    <t>VOD</t>
  </si>
  <si>
    <t>KONINKLIJKE VPK</t>
  </si>
  <si>
    <t>VOPKY</t>
  </si>
  <si>
    <t>Voya Financial, Inc.</t>
  </si>
  <si>
    <t>VOYA</t>
  </si>
  <si>
    <t>Verint Systems Inc.</t>
  </si>
  <si>
    <t>VRNT</t>
  </si>
  <si>
    <t>Verisk Analytics, Inc.</t>
  </si>
  <si>
    <t>VRSK</t>
  </si>
  <si>
    <t>VeriSign, Inc.</t>
  </si>
  <si>
    <t>VRSN</t>
  </si>
  <si>
    <t>Vertex Pharmaceuticals Incorporated</t>
  </si>
  <si>
    <t>VRTX</t>
  </si>
  <si>
    <t>Viasat Inc.</t>
  </si>
  <si>
    <t>VSAT</t>
  </si>
  <si>
    <t>Versum Materials Inc.</t>
  </si>
  <si>
    <t>VSM</t>
  </si>
  <si>
    <t>Vistra Energy Corp.</t>
  </si>
  <si>
    <t>VST</t>
  </si>
  <si>
    <t>Ventas, Inc.</t>
  </si>
  <si>
    <t>VTR</t>
  </si>
  <si>
    <t>Valvoline Inc.</t>
  </si>
  <si>
    <t>VVV</t>
  </si>
  <si>
    <t>Volkswagen AG</t>
  </si>
  <si>
    <t>VWAGY</t>
  </si>
  <si>
    <t>Verizon Communications Inc.</t>
  </si>
  <si>
    <t>VZ</t>
  </si>
  <si>
    <t>Wayfair Inc.</t>
  </si>
  <si>
    <t>W</t>
  </si>
  <si>
    <t>Westinghouse Air Brake Technologies Corporation</t>
  </si>
  <si>
    <t>WAB</t>
  </si>
  <si>
    <t>Western Alliance Bancorporation</t>
  </si>
  <si>
    <t>WAL</t>
  </si>
  <si>
    <t>Waters Corporation</t>
  </si>
  <si>
    <t>WAT</t>
  </si>
  <si>
    <t>Weibo Corporation</t>
  </si>
  <si>
    <t>WB</t>
  </si>
  <si>
    <t>Wabco Holdings Inc.</t>
  </si>
  <si>
    <t>WBC</t>
  </si>
  <si>
    <t>Westpac Banking Corporation</t>
  </si>
  <si>
    <t>WBK</t>
  </si>
  <si>
    <t>Webster Financial Corporation</t>
  </si>
  <si>
    <t>WBS</t>
  </si>
  <si>
    <t>WellCare Health Plans, Inc.</t>
  </si>
  <si>
    <t>WCG</t>
  </si>
  <si>
    <t>Waste Connections, Inc.</t>
  </si>
  <si>
    <t>WCN</t>
  </si>
  <si>
    <t>Workday, Inc.</t>
  </si>
  <si>
    <t>WDAY</t>
  </si>
  <si>
    <t>Western Digital Corporation</t>
  </si>
  <si>
    <t>WDC</t>
  </si>
  <si>
    <t>WEC Energy Group, Inc.</t>
  </si>
  <si>
    <t>WEC</t>
  </si>
  <si>
    <t>WEIR GROUP PLC</t>
  </si>
  <si>
    <t>WEGRY</t>
  </si>
  <si>
    <t>Welltower Inc.</t>
  </si>
  <si>
    <t>WELL</t>
  </si>
  <si>
    <t>The Wendy's Company</t>
  </si>
  <si>
    <t>WEN</t>
  </si>
  <si>
    <t>Western Gas Equity Partners, LP</t>
  </si>
  <si>
    <t>WES</t>
  </si>
  <si>
    <t>WEX Inc.</t>
  </si>
  <si>
    <t>WEX</t>
  </si>
  <si>
    <t>Woori Bank</t>
  </si>
  <si>
    <t>WF</t>
  </si>
  <si>
    <t>Wells Fargo &amp; Company</t>
  </si>
  <si>
    <t>WFC</t>
  </si>
  <si>
    <t>Wyndham Hotels &amp; Resorts Inc.</t>
  </si>
  <si>
    <t>WH</t>
  </si>
  <si>
    <t>Whirlpool Corporation</t>
  </si>
  <si>
    <t>WHR</t>
  </si>
  <si>
    <t>William Demant Holdings</t>
  </si>
  <si>
    <t>WILYY</t>
  </si>
  <si>
    <t>Wipro Limited</t>
  </si>
  <si>
    <t>WIT</t>
  </si>
  <si>
    <t>Wix.com Ltd.</t>
  </si>
  <si>
    <t>WIX</t>
  </si>
  <si>
    <t>WEST JAPAN RAIL</t>
  </si>
  <si>
    <t>WJRYY</t>
  </si>
  <si>
    <t>Westlake Chemical Corporation</t>
  </si>
  <si>
    <t>WLK</t>
  </si>
  <si>
    <t>Willis Towers Watson Public Limited Company</t>
  </si>
  <si>
    <t>WLTW</t>
  </si>
  <si>
    <t>Waste Management, Inc.</t>
  </si>
  <si>
    <t>WM</t>
  </si>
  <si>
    <t>Williams Companies, Inc. (The)</t>
  </si>
  <si>
    <t>WMB</t>
  </si>
  <si>
    <t>Wal-Mart de Mexico SAB de CV</t>
  </si>
  <si>
    <t>WMMVY</t>
  </si>
  <si>
    <t>Walmart Inc.</t>
  </si>
  <si>
    <t>WNS (Holdings) Limited</t>
  </si>
  <si>
    <t>WNS</t>
  </si>
  <si>
    <t>W.P. Carey Inc.</t>
  </si>
  <si>
    <t>WPC</t>
  </si>
  <si>
    <t>Silver Wheaton Corp</t>
  </si>
  <si>
    <t>WPM</t>
  </si>
  <si>
    <t>WPP PLC</t>
  </si>
  <si>
    <t>WPP</t>
  </si>
  <si>
    <t>WPX Energy, Inc.</t>
  </si>
  <si>
    <t>WPX</t>
  </si>
  <si>
    <t>W.R. Berkley Corporation</t>
  </si>
  <si>
    <t>WRB</t>
  </si>
  <si>
    <t>Weingarten Realty Investors</t>
  </si>
  <si>
    <t>WRI</t>
  </si>
  <si>
    <t>WestRock Company</t>
  </si>
  <si>
    <t>WRK</t>
  </si>
  <si>
    <t>Williams-Sonoma, Inc.</t>
  </si>
  <si>
    <t>WSM</t>
  </si>
  <si>
    <t>Watsco, Inc.</t>
  </si>
  <si>
    <t>WSO</t>
  </si>
  <si>
    <t>West Pharmaceutical Services, Inc.</t>
  </si>
  <si>
    <t>WST</t>
  </si>
  <si>
    <t>Wintrust Financial Corporation</t>
  </si>
  <si>
    <t>WTFC</t>
  </si>
  <si>
    <t>Aqua America, Inc.</t>
  </si>
  <si>
    <t>WTR</t>
  </si>
  <si>
    <t>Watts Water Technologies, Inc.</t>
  </si>
  <si>
    <t>WTS</t>
  </si>
  <si>
    <t>The Western Union Company</t>
  </si>
  <si>
    <t>WU</t>
  </si>
  <si>
    <t>58.com Inc.</t>
  </si>
  <si>
    <t>WUBA</t>
  </si>
  <si>
    <t>Woodward, Inc.</t>
  </si>
  <si>
    <t>WWD</t>
  </si>
  <si>
    <t>World Wrestling Entertainment, Inc.</t>
  </si>
  <si>
    <t>WWE</t>
  </si>
  <si>
    <t>Weyerhaeuser Company</t>
  </si>
  <si>
    <t>WY</t>
  </si>
  <si>
    <t>WYNDHAM DESTINATIONS, INC.</t>
  </si>
  <si>
    <t>WYND</t>
  </si>
  <si>
    <t>Wynn Resorts, Limited</t>
  </si>
  <si>
    <t>WYNN</t>
  </si>
  <si>
    <t>Cimarex Energy Co</t>
  </si>
  <si>
    <t>XEC</t>
  </si>
  <si>
    <t>Xcel Energy Inc.</t>
  </si>
  <si>
    <t>XEL</t>
  </si>
  <si>
    <t>Xilinx, Inc.</t>
  </si>
  <si>
    <t>XLNX</t>
  </si>
  <si>
    <t>ENN Energy Holdings Ltd.</t>
  </si>
  <si>
    <t>XNGSY</t>
  </si>
  <si>
    <t>Exxon Mobil Corporation</t>
  </si>
  <si>
    <t>XPO Logistics, Inc.</t>
  </si>
  <si>
    <t>XPO</t>
  </si>
  <si>
    <t>DENTSPLY SIRONA Inc.</t>
  </si>
  <si>
    <t>XRAY</t>
  </si>
  <si>
    <t>Xerox Corporation</t>
  </si>
  <si>
    <t>XRX</t>
  </si>
  <si>
    <t>Xylem Inc.</t>
  </si>
  <si>
    <t>XYL</t>
  </si>
  <si>
    <t>Alleghany Corporation</t>
  </si>
  <si>
    <t>Y</t>
  </si>
  <si>
    <t>YAHOO JAPAN CP</t>
  </si>
  <si>
    <t>YAHOY</t>
  </si>
  <si>
    <t>Yamaha Motor Co., Ltd.</t>
  </si>
  <si>
    <t>YAMHF</t>
  </si>
  <si>
    <t>Yandex N.V.</t>
  </si>
  <si>
    <t>YNDX</t>
  </si>
  <si>
    <t>YPF Sociedad Anonima</t>
  </si>
  <si>
    <t>YPF</t>
  </si>
  <si>
    <t>Yum! Brands, Inc.</t>
  </si>
  <si>
    <t>YUM</t>
  </si>
  <si>
    <t>Yum China Holdings Inc.</t>
  </si>
  <si>
    <t>YUMC</t>
  </si>
  <si>
    <t>YY Inc.</t>
  </si>
  <si>
    <t>YY</t>
  </si>
  <si>
    <t>Zayo Group Holdings, Inc.</t>
  </si>
  <si>
    <t>ZAYO</t>
  </si>
  <si>
    <t>Zimmer Biomet Holdings, Inc.</t>
  </si>
  <si>
    <t>ZBH</t>
  </si>
  <si>
    <t>Zebra Technologies Corporation</t>
  </si>
  <si>
    <t>ZBRA</t>
  </si>
  <si>
    <t>Zendesk, Inc.</t>
  </si>
  <si>
    <t>ZEN</t>
  </si>
  <si>
    <t>Zions Bancorporation</t>
  </si>
  <si>
    <t>ZION</t>
  </si>
  <si>
    <t>Zynga Inc.</t>
  </si>
  <si>
    <t>ZNGA</t>
  </si>
  <si>
    <t>China Southern Airlines Company Limited</t>
  </si>
  <si>
    <t>ZNH</t>
  </si>
  <si>
    <t>Zscaler, Inc.</t>
  </si>
  <si>
    <t>ZS</t>
  </si>
  <si>
    <t>Zte Corp.</t>
  </si>
  <si>
    <t>ZTCOY</t>
  </si>
  <si>
    <t>ZTO Express (Cayman) Inc.</t>
  </si>
  <si>
    <t>ZTO</t>
  </si>
  <si>
    <t>Zoetis Inc.</t>
  </si>
  <si>
    <t>ZTS</t>
  </si>
  <si>
    <t>Zurich Insurance Group Ltd.</t>
  </si>
  <si>
    <t>ZURVY</t>
  </si>
  <si>
    <t>Computer and Technology</t>
  </si>
  <si>
    <t>Electronics - Testing Equipment</t>
  </si>
  <si>
    <t>Industrial Products</t>
  </si>
  <si>
    <t>Metal Products - Distribution</t>
  </si>
  <si>
    <t>Electronics - Miscellaneous Components</t>
  </si>
  <si>
    <t>Transportation</t>
  </si>
  <si>
    <t>Transportation - Airline</t>
  </si>
  <si>
    <t>Retail-Wholesale</t>
  </si>
  <si>
    <t>Retail - Consumer Electronics</t>
  </si>
  <si>
    <t>Automotive - Retail and Wholesale - Parts</t>
  </si>
  <si>
    <t>Computer - Mini computers</t>
  </si>
  <si>
    <t>Security and Safety Services</t>
  </si>
  <si>
    <t>Manufacturing - Electronics</t>
  </si>
  <si>
    <t>Medical</t>
  </si>
  <si>
    <t>Large Cap Pharmaceuticals</t>
  </si>
  <si>
    <t>Medical - Dental Supplies</t>
  </si>
  <si>
    <t>Medical - Products</t>
  </si>
  <si>
    <t>Beverages - Alcohol</t>
  </si>
  <si>
    <t>Medical - Instruments</t>
  </si>
  <si>
    <t>Medical - Biomedical and Genetics</t>
  </si>
  <si>
    <t>Finance</t>
  </si>
  <si>
    <t>REIT and Equity Trust - Residential</t>
  </si>
  <si>
    <t>Insurance - Property and Casualty</t>
  </si>
  <si>
    <t>Computer - Software</t>
  </si>
  <si>
    <t>Construction</t>
  </si>
  <si>
    <t>Engineering - R and D Services</t>
  </si>
  <si>
    <t>Business Services</t>
  </si>
  <si>
    <t>Consulting Services</t>
  </si>
  <si>
    <t>REIT and Equity Trust - Retail</t>
  </si>
  <si>
    <t xml:space="preserve">Shoes and Retail Apparel </t>
  </si>
  <si>
    <t>Semiconductor - Analog and Mixed</t>
  </si>
  <si>
    <t>Agriculture - Operations</t>
  </si>
  <si>
    <t>Outsourcing</t>
  </si>
  <si>
    <t>Consumer Products - Staples</t>
  </si>
  <si>
    <t>Financial Transaction Services</t>
  </si>
  <si>
    <t>Utilities</t>
  </si>
  <si>
    <t>Utility - Electric Power</t>
  </si>
  <si>
    <t>Insurance - Multi line</t>
  </si>
  <si>
    <t>Basic Materials</t>
  </si>
  <si>
    <t>Mining - Gold</t>
  </si>
  <si>
    <t>Financial - Leasing Companies</t>
  </si>
  <si>
    <t>Insurance - Accident and Health</t>
  </si>
  <si>
    <t>Manufacturing - Farm Equipment</t>
  </si>
  <si>
    <t>Medical - Generic Drugs</t>
  </si>
  <si>
    <t>REIT and Equity Trust</t>
  </si>
  <si>
    <t>Building Products - Concrete and Aggregates</t>
  </si>
  <si>
    <t xml:space="preserve">Chemical - Diversified </t>
  </si>
  <si>
    <t>Insurance - Brokerage</t>
  </si>
  <si>
    <t>Financial - Investment Management</t>
  </si>
  <si>
    <t>Aerospace</t>
  </si>
  <si>
    <t>Aerospace - Defense Equipment</t>
  </si>
  <si>
    <t>Internet - Services</t>
  </si>
  <si>
    <t>Transportation - Equipment and Leasing</t>
  </si>
  <si>
    <t>Financial - Consumer Loans</t>
  </si>
  <si>
    <t>Auto-Tires-Trucks</t>
  </si>
  <si>
    <t>Automotive - Original Equipment</t>
  </si>
  <si>
    <t>Oils-Energy</t>
  </si>
  <si>
    <t>Oil and Gas - Integrated - United States</t>
  </si>
  <si>
    <t>Computers - IT Services</t>
  </si>
  <si>
    <t>Semiconductor Equipment - Wafer Fabrication</t>
  </si>
  <si>
    <t>Electronics - Semiconductors</t>
  </si>
  <si>
    <t>Medical - Outpatient and Home Healthcare</t>
  </si>
  <si>
    <t>Transportation - Shipping</t>
  </si>
  <si>
    <t>REIT and Equity Trust - Other</t>
  </si>
  <si>
    <t>Financial - Investment Bank</t>
  </si>
  <si>
    <t xml:space="preserve">Wireless Non-US </t>
  </si>
  <si>
    <t>Internet - Commerce</t>
  </si>
  <si>
    <t>Automotive - Retail and Whole Sales</t>
  </si>
  <si>
    <t>Communication - Components</t>
  </si>
  <si>
    <t>Medical - HMOs</t>
  </si>
  <si>
    <t>Banks - Foreign</t>
  </si>
  <si>
    <t>Oil and Gas - Exploration and Production - United States</t>
  </si>
  <si>
    <t>Computer - Peripheral Equipment</t>
  </si>
  <si>
    <t>Electronics - Connectors</t>
  </si>
  <si>
    <t>Internet - Software</t>
  </si>
  <si>
    <t>Technology Services</t>
  </si>
  <si>
    <t>Financial - SBIC &amp; Commercial Industry</t>
  </si>
  <si>
    <t>Food - Miscellaneous</t>
  </si>
  <si>
    <t>Mining - Non Ferrous</t>
  </si>
  <si>
    <t>Electronics - Parts Distribution</t>
  </si>
  <si>
    <t>Banks - Midwest</t>
  </si>
  <si>
    <t>Chemical - Specialty</t>
  </si>
  <si>
    <t>Industrial Services</t>
  </si>
  <si>
    <t>Transportation - Services</t>
  </si>
  <si>
    <t>Electronics - Measuring Instruments</t>
  </si>
  <si>
    <t>Insurance - Life Insurance</t>
  </si>
  <si>
    <t xml:space="preserve">Manufacturing - General Industrial </t>
  </si>
  <si>
    <t>Utility - Gas Distribution</t>
  </si>
  <si>
    <t>Containers - Paper and Packaging</t>
  </si>
  <si>
    <t>Toys - Games - Hobbies</t>
  </si>
  <si>
    <t>Banks - Northeast</t>
  </si>
  <si>
    <t>Mining - Miscellaneous</t>
  </si>
  <si>
    <t>Office Supplies</t>
  </si>
  <si>
    <t>Building Products - Miscellaneous</t>
  </si>
  <si>
    <t>Utility - Water Supply</t>
  </si>
  <si>
    <t>Financial - Miscellaneous Services</t>
  </si>
  <si>
    <t>Building Products - Lighting</t>
  </si>
  <si>
    <t>Aerospace - Defense</t>
  </si>
  <si>
    <t>Banks - Major Regional</t>
  </si>
  <si>
    <t>Government Services</t>
  </si>
  <si>
    <t>Automotive - Foreign</t>
  </si>
  <si>
    <t>Leisure and Recreation Products</t>
  </si>
  <si>
    <t>Diversified Communication Services</t>
  </si>
  <si>
    <t>Schools</t>
  </si>
  <si>
    <t>Agriculture - Products</t>
  </si>
  <si>
    <t>Oil and Gas - Field Services</t>
  </si>
  <si>
    <t>Consumer Services - Miscellaneous</t>
  </si>
  <si>
    <t>Real Estate - Development</t>
  </si>
  <si>
    <t>Business - Information Services</t>
  </si>
  <si>
    <t>Containers - Metal and Glass</t>
  </si>
  <si>
    <t>Consumer Products - Discretionary</t>
  </si>
  <si>
    <t>Banks - West</t>
  </si>
  <si>
    <t>Banks - Southwest</t>
  </si>
  <si>
    <t>Oil and Gas - Integrated - International</t>
  </si>
  <si>
    <t>Oil and Gas - Production Pipeline - MLB</t>
  </si>
  <si>
    <t>Banks - Southeast</t>
  </si>
  <si>
    <t>Rubber - Tires</t>
  </si>
  <si>
    <t>Instruments - Scientific</t>
  </si>
  <si>
    <t>Energy and Pipeline - Master Limited Partnerships</t>
  </si>
  <si>
    <t>Tobacco</t>
  </si>
  <si>
    <t>Retail - Apparel and Shoes</t>
  </si>
  <si>
    <t>Retail - Discount Stores</t>
  </si>
  <si>
    <t>Mining - Silver</t>
  </si>
  <si>
    <t>Conglomerates</t>
  </si>
  <si>
    <t>Diversified Operations</t>
  </si>
  <si>
    <t>Cable Television</t>
  </si>
  <si>
    <t>Computer - Services</t>
  </si>
  <si>
    <t>Office Automation and Equipment</t>
  </si>
  <si>
    <t>Automotive - Replacement Parts</t>
  </si>
  <si>
    <t>Retail - Convenience Stores</t>
  </si>
  <si>
    <t>Manufacturing - Construction and Mining</t>
  </si>
  <si>
    <t>Retail - Supermarkets</t>
  </si>
  <si>
    <t>Securities and Exchanges</t>
  </si>
  <si>
    <t>Real Estate - Operations</t>
  </si>
  <si>
    <t>Retail - Restaurants</t>
  </si>
  <si>
    <t>Broadcast Radio and Television</t>
  </si>
  <si>
    <t>Building Products - Heavy Construction</t>
  </si>
  <si>
    <t>Beverages - Soft drinks</t>
  </si>
  <si>
    <t>Leisure and Recreation Services</t>
  </si>
  <si>
    <t>Coal</t>
  </si>
  <si>
    <t>Oil and Gas - Integrated - Emerging Markets</t>
  </si>
  <si>
    <t>Medical Info Systems</t>
  </si>
  <si>
    <t>Fertilizers</t>
  </si>
  <si>
    <t>Financial - Savings and Loan</t>
  </si>
  <si>
    <t>Wireline Non-US</t>
  </si>
  <si>
    <t>Soap and Cleaning Materials</t>
  </si>
  <si>
    <t>Gaming</t>
  </si>
  <si>
    <t>Hotels and Motels</t>
  </si>
  <si>
    <t>Security</t>
  </si>
  <si>
    <t>Fiber Optics</t>
  </si>
  <si>
    <t>Transportation - Rail</t>
  </si>
  <si>
    <t>Waste Removal Services</t>
  </si>
  <si>
    <t>Automotive - Internal Combustion Engines</t>
  </si>
  <si>
    <t>Commercial Printing</t>
  </si>
  <si>
    <t>Oil and Gas - Exploration and Production - Canadian</t>
  </si>
  <si>
    <t>Semiconductor Equipment - Wafer Components</t>
  </si>
  <si>
    <t>Textile - Apparel</t>
  </si>
  <si>
    <t>Cosmetics</t>
  </si>
  <si>
    <t>Chemical - Plastic</t>
  </si>
  <si>
    <t>Auction and Valuation Services</t>
  </si>
  <si>
    <t>Oil and Gas - Production and Pipelines</t>
  </si>
  <si>
    <t>Semiconductor - Discretes</t>
  </si>
  <si>
    <t>Medical Services</t>
  </si>
  <si>
    <t>Computer - Networking</t>
  </si>
  <si>
    <t>Uniform and Related</t>
  </si>
  <si>
    <t>Wireless National</t>
  </si>
  <si>
    <t>Medical - Drugs</t>
  </si>
  <si>
    <t>Business - Software Services</t>
  </si>
  <si>
    <t>Oil and Gas - Integrated - Canadian</t>
  </si>
  <si>
    <t>Retail - Pharmacies and Drug Stores</t>
  </si>
  <si>
    <t>Alternative Energy - Other</t>
  </si>
  <si>
    <t xml:space="preserve">Semiconductor - Communications </t>
  </si>
  <si>
    <t>Business - Services</t>
  </si>
  <si>
    <t>Pollution Control</t>
  </si>
  <si>
    <t>Building Products - Home Builders</t>
  </si>
  <si>
    <t>Media Conglomerates</t>
  </si>
  <si>
    <t>Paper and Related Products</t>
  </si>
  <si>
    <t>Electronics - Miscellaneous Products</t>
  </si>
  <si>
    <t>Retail - Miscellaneous</t>
  </si>
  <si>
    <t>Audio Video Production</t>
  </si>
  <si>
    <t>Manufacturing - Material Handling</t>
  </si>
  <si>
    <t>Metal Products - Procurement and Fabrication</t>
  </si>
  <si>
    <t>Household Appliances</t>
  </si>
  <si>
    <t>Oil and Gas - Refining and Marketing</t>
  </si>
  <si>
    <t>Solar</t>
  </si>
  <si>
    <t>Electronics - Manufacturing Machinery</t>
  </si>
  <si>
    <t>Wireless Equipment</t>
  </si>
  <si>
    <t>Financial - Mortgage &amp; Related Services</t>
  </si>
  <si>
    <t>Satellite and Communication</t>
  </si>
  <si>
    <t>Automotive - Domestic</t>
  </si>
  <si>
    <t>Industrial Automation and Robotics</t>
  </si>
  <si>
    <t>Building Products - Retail</t>
  </si>
  <si>
    <t>Transportation - Air Freight and Cargo</t>
  </si>
  <si>
    <t>Electronics - Military</t>
  </si>
  <si>
    <t>Building Products - Wood</t>
  </si>
  <si>
    <t>Mining - Iron</t>
  </si>
  <si>
    <t>Semiconductor Equipment - Photomasks</t>
  </si>
  <si>
    <t>Internet - Delivery Services</t>
  </si>
  <si>
    <t>Steel - Producers</t>
  </si>
  <si>
    <t>Food - Dairy Products</t>
  </si>
  <si>
    <t>Internet - Software and Services</t>
  </si>
  <si>
    <t>Electronics - Power Generation</t>
  </si>
  <si>
    <t>Medical - Hospital</t>
  </si>
  <si>
    <t>Oil and Gas - Drilling</t>
  </si>
  <si>
    <t>Computer - Integrated Systems</t>
  </si>
  <si>
    <t>Food - Meat Products</t>
  </si>
  <si>
    <t>Food - Confectionery</t>
  </si>
  <si>
    <t xml:space="preserve">Manufacturing - Electrical Utilities </t>
  </si>
  <si>
    <t>Semiconductor - General</t>
  </si>
  <si>
    <t>Advertising and Marketing</t>
  </si>
  <si>
    <t>Lasers Systems and Components</t>
  </si>
  <si>
    <t>Film and Television Production and Distribution</t>
  </si>
  <si>
    <t>Transportation - Truck</t>
  </si>
  <si>
    <t>Electronics - Manufacturing Services</t>
  </si>
  <si>
    <t>Manufacturing - Thermal Products</t>
  </si>
  <si>
    <t>Electronics - Miscellaneous Services</t>
  </si>
  <si>
    <t>Oil and Gas - Exploration and Production - International</t>
  </si>
  <si>
    <t>Retail - Regional Department Stores</t>
  </si>
  <si>
    <t>Manufacturing - Tools &amp; Related Products</t>
  </si>
  <si>
    <t>Furniture</t>
  </si>
  <si>
    <t>Building Products - Air Conditioner and Heating</t>
  </si>
  <si>
    <t>Staffing Firms</t>
  </si>
  <si>
    <t>Textile - Home Furnishing</t>
  </si>
  <si>
    <t>Food - Natural Foods Products</t>
  </si>
  <si>
    <t>Semiconductor Memory</t>
  </si>
  <si>
    <t>Oil and Gas - Mechanical and and Equipment</t>
  </si>
  <si>
    <t>Paints and Related Products</t>
  </si>
  <si>
    <t>Computer- Storage Devices</t>
  </si>
  <si>
    <t>Publishing - Newspapers</t>
  </si>
  <si>
    <t>Oil and Gas - Refining and Marketing - Master Limited Partnerships</t>
  </si>
  <si>
    <t>Semiconductors - Radio Frequency</t>
  </si>
  <si>
    <t>Retail - Home Furnishings</t>
  </si>
  <si>
    <t>Building Products - Maintenance Service</t>
  </si>
  <si>
    <t>Funeral Services</t>
  </si>
  <si>
    <t>Financial - Investment Funds</t>
  </si>
  <si>
    <t>Internet - Content</t>
  </si>
  <si>
    <t>Tools - Handheld</t>
  </si>
  <si>
    <t>Publishing - Books</t>
  </si>
  <si>
    <t>Instruments - Control</t>
  </si>
  <si>
    <t>Retail - Computer Hardware</t>
  </si>
  <si>
    <t>Retail - Jewelry</t>
  </si>
  <si>
    <t>Textile - Products</t>
  </si>
  <si>
    <t>Steel - Pipe and Tube</t>
  </si>
  <si>
    <t>Semiconductor - Circuit Foundry</t>
  </si>
  <si>
    <t>Steel - Speciality</t>
  </si>
  <si>
    <t>Semiconductors - Programmable Logic</t>
  </si>
  <si>
    <t>Communication - Infrastructure</t>
  </si>
  <si>
    <t>EPS Growth F1</t>
  </si>
  <si>
    <t>EPS Growth F2</t>
  </si>
  <si>
    <t>5 Yr Historical Sales Growth</t>
  </si>
  <si>
    <t>Sales Growth F1</t>
  </si>
  <si>
    <t>Altaba Inc.</t>
  </si>
  <si>
    <t>AABA</t>
  </si>
  <si>
    <t>AIA GROUP LTD</t>
  </si>
  <si>
    <t>AAGIY</t>
  </si>
  <si>
    <t>Air Canada</t>
  </si>
  <si>
    <t>ACDVF</t>
  </si>
  <si>
    <t>Agri Bank China</t>
  </si>
  <si>
    <t>ACGBY</t>
  </si>
  <si>
    <t>Aluminum Corporation of China Limited</t>
  </si>
  <si>
    <t>ACH</t>
  </si>
  <si>
    <t>iShares MSCI ACWI ETF</t>
  </si>
  <si>
    <t>ACWI</t>
  </si>
  <si>
    <t>Adaptive Biotechnologies Corporation</t>
  </si>
  <si>
    <t>ADPT</t>
  </si>
  <si>
    <t>ANDRITZ AG</t>
  </si>
  <si>
    <t>ADRZY</t>
  </si>
  <si>
    <t>ATOS ORIGIN SA</t>
  </si>
  <si>
    <t>AEXAY</t>
  </si>
  <si>
    <t>iShares Core U.S. Aggregate Bond ETF</t>
  </si>
  <si>
    <t>AGG</t>
  </si>
  <si>
    <t>Assured Guaranty Ltd.</t>
  </si>
  <si>
    <t>AGO</t>
  </si>
  <si>
    <t>Agile Property Holdings Ltd.</t>
  </si>
  <si>
    <t>AGPYY</t>
  </si>
  <si>
    <t>Adecco SA</t>
  </si>
  <si>
    <t>AHEXY</t>
  </si>
  <si>
    <t>Ajinomoto Co.</t>
  </si>
  <si>
    <t>AJINY</t>
  </si>
  <si>
    <t>Akbank Turk Anonim Sirketi</t>
  </si>
  <si>
    <t>AKBTY</t>
  </si>
  <si>
    <t>Alfa Laval AB Unsponsored ADR</t>
  </si>
  <si>
    <t>ALFVY</t>
  </si>
  <si>
    <t>ANA Holdings Inc.</t>
  </si>
  <si>
    <t>ALNPY</t>
  </si>
  <si>
    <t>Astellas Pharma Inc.</t>
  </si>
  <si>
    <t>ALPMY</t>
  </si>
  <si>
    <t>Alstom ADR</t>
  </si>
  <si>
    <t>ALSMY</t>
  </si>
  <si>
    <t>Amcor PLC</t>
  </si>
  <si>
    <t>AMCR</t>
  </si>
  <si>
    <t>Amada Co.</t>
  </si>
  <si>
    <t>AMDLY</t>
  </si>
  <si>
    <t>ams AG Unsponsored ADR</t>
  </si>
  <si>
    <t>AMSSY</t>
  </si>
  <si>
    <t>American National Insurance Company</t>
  </si>
  <si>
    <t>ANAT</t>
  </si>
  <si>
    <t>Apple Hospitality REIT, Inc.</t>
  </si>
  <si>
    <t>APLE</t>
  </si>
  <si>
    <t>Apollo Commercial Real Estate Finance</t>
  </si>
  <si>
    <t>ARI</t>
  </si>
  <si>
    <t>Asahi Glass Co. Ltd.</t>
  </si>
  <si>
    <t>ASGLY</t>
  </si>
  <si>
    <t>ASM International NV</t>
  </si>
  <si>
    <t>ASMIY</t>
  </si>
  <si>
    <t>Atlantia SpA</t>
  </si>
  <si>
    <t>ATASY</t>
  </si>
  <si>
    <t>Auto Trader Group</t>
  </si>
  <si>
    <t>ATDRY</t>
  </si>
  <si>
    <t>Advanced Info Service Public Co.</t>
  </si>
  <si>
    <t>AVIFY</t>
  </si>
  <si>
    <t>Avantor, Inc.</t>
  </si>
  <si>
    <t>AVTR</t>
  </si>
  <si>
    <t>Alumina Ltd.</t>
  </si>
  <si>
    <t>AWCMY</t>
  </si>
  <si>
    <t>Bank of China Ltd.</t>
  </si>
  <si>
    <t>BACHY</t>
  </si>
  <si>
    <t>Brookfield Asset Management Inc</t>
  </si>
  <si>
    <t>BAM</t>
  </si>
  <si>
    <t>BBDO</t>
  </si>
  <si>
    <t>BridgeBio Pharma, Inc.</t>
  </si>
  <si>
    <t>BBIO</t>
  </si>
  <si>
    <t>BB Seguridade Participacoes SA</t>
  </si>
  <si>
    <t>BBSEY</t>
  </si>
  <si>
    <t>Brookfield Business Partners L.P.</t>
  </si>
  <si>
    <t>BBU</t>
  </si>
  <si>
    <t>Beach Energy Ltd.</t>
  </si>
  <si>
    <t>BCHEY</t>
  </si>
  <si>
    <t>Bank of Communications Co.</t>
  </si>
  <si>
    <t>BCMXY</t>
  </si>
  <si>
    <t>Banco Do Brasil SA</t>
  </si>
  <si>
    <t>BDORY</t>
  </si>
  <si>
    <t>Brookfield Renewable Partners L.P.</t>
  </si>
  <si>
    <t>BEP</t>
  </si>
  <si>
    <t>BOC Hong Kong  Ltd.</t>
  </si>
  <si>
    <t>BHKLY</t>
  </si>
  <si>
    <t>BIO.B</t>
  </si>
  <si>
    <t>Bank Hapoalim</t>
  </si>
  <si>
    <t>BKHYY</t>
  </si>
  <si>
    <t>BELLWAY</t>
  </si>
  <si>
    <t>BLWYY</t>
  </si>
  <si>
    <t>BBMG CORP</t>
  </si>
  <si>
    <t>BMBGF</t>
  </si>
  <si>
    <t>HUGO BOSS</t>
  </si>
  <si>
    <t>BOSSY</t>
  </si>
  <si>
    <t>Brookfield Property Partners L.P.</t>
  </si>
  <si>
    <t>BPY</t>
  </si>
  <si>
    <t>BRK.A</t>
  </si>
  <si>
    <t>Brother Industries Ltd.</t>
  </si>
  <si>
    <t>BRTHY</t>
  </si>
  <si>
    <t>British Land Company PLC Sponsored ADR</t>
  </si>
  <si>
    <t>BTLCY</t>
  </si>
  <si>
    <t>Britvic PLC Sponsored ADR</t>
  </si>
  <si>
    <t>BTVCY</t>
  </si>
  <si>
    <t>Brambles Ltd.</t>
  </si>
  <si>
    <t>BXBLY</t>
  </si>
  <si>
    <t>Beyond Meat, Inc.</t>
  </si>
  <si>
    <t>BYND</t>
  </si>
  <si>
    <t>BUZZI UNICEM</t>
  </si>
  <si>
    <t>BZZUF</t>
  </si>
  <si>
    <t>China Resources Cement Holdings Ltd. Unsponsored ADR</t>
  </si>
  <si>
    <t>CARCY</t>
  </si>
  <si>
    <t>COBHAM PLC</t>
  </si>
  <si>
    <t>CBHMY</t>
  </si>
  <si>
    <t>CBS.A</t>
  </si>
  <si>
    <t>Commerce Bancshares, Inc.</t>
  </si>
  <si>
    <t>CBSH</t>
  </si>
  <si>
    <t>Churchill Capital Corp.</t>
  </si>
  <si>
    <t>CCC</t>
  </si>
  <si>
    <t>Capcom Co., Ltd.</t>
  </si>
  <si>
    <t>CCOEY</t>
  </si>
  <si>
    <t>China State Construction International Holdings Ltd.</t>
  </si>
  <si>
    <t>CCOHY</t>
  </si>
  <si>
    <t>Cullen/Frost Bankers, Inc.</t>
  </si>
  <si>
    <t>CFR</t>
  </si>
  <si>
    <t>Compagnie Financiere Richemont AG</t>
  </si>
  <si>
    <t>CFRUY</t>
  </si>
  <si>
    <t>Cap Gemini SA</t>
  </si>
  <si>
    <t>CGEMY</t>
  </si>
  <si>
    <t>Chiba Bank Ltd.</t>
  </si>
  <si>
    <t>CHBAY</t>
  </si>
  <si>
    <t>China CITIC Bank Corporation Limited</t>
  </si>
  <si>
    <t>CHCJY</t>
  </si>
  <si>
    <t>CHINA EVERBRIHT</t>
  </si>
  <si>
    <t>CHFFF</t>
  </si>
  <si>
    <t>Chunghwa Telecom Co., Ltd.</t>
  </si>
  <si>
    <t>CHT</t>
  </si>
  <si>
    <t>Chewy Inc.</t>
  </si>
  <si>
    <t>CHWY</t>
  </si>
  <si>
    <t>CHINA MENGNIU</t>
  </si>
  <si>
    <t>CIADY</t>
  </si>
  <si>
    <t>China Construction Bank Corp.</t>
  </si>
  <si>
    <t>CICHY</t>
  </si>
  <si>
    <t>Comp En De Mn Cemig ADS</t>
  </si>
  <si>
    <t>CIG</t>
  </si>
  <si>
    <t>China Merchants Bank Co.</t>
  </si>
  <si>
    <t>CIHKY</t>
  </si>
  <si>
    <t>Cielo SA</t>
  </si>
  <si>
    <t>CIOXY</t>
  </si>
  <si>
    <t>CHOW TAI FOOK</t>
  </si>
  <si>
    <t>CJEWY</t>
  </si>
  <si>
    <t>Ck Hutchison Holdings Ltd</t>
  </si>
  <si>
    <t>CKHUY</t>
  </si>
  <si>
    <t>CapitaLand Ltd.</t>
  </si>
  <si>
    <t>CLLDY</t>
  </si>
  <si>
    <t>Coloplast A/S</t>
  </si>
  <si>
    <t>CLPBY</t>
  </si>
  <si>
    <t>CHINA MINSHENG</t>
  </si>
  <si>
    <t>CMAKY</t>
  </si>
  <si>
    <t>China Merchants Holdings International Co.</t>
  </si>
  <si>
    <t>CMHHY</t>
  </si>
  <si>
    <t>Commonwealth Bank of Australia Sponsored ADR</t>
  </si>
  <si>
    <t>CMWAY</t>
  </si>
  <si>
    <t>CPFL Energia S.A.</t>
  </si>
  <si>
    <t>CPL</t>
  </si>
  <si>
    <t>CRH PLC</t>
  </si>
  <si>
    <t>CRH</t>
  </si>
  <si>
    <t>China Resources Enterprise Ltd.</t>
  </si>
  <si>
    <t>CRHKY</t>
  </si>
  <si>
    <t>CrowdStrike Holdings Inc.</t>
  </si>
  <si>
    <t>CRWD</t>
  </si>
  <si>
    <t>China Railway Group Ltd.</t>
  </si>
  <si>
    <t>CRWOY</t>
  </si>
  <si>
    <t>Commerzbank AG</t>
  </si>
  <si>
    <t>CRZBY</t>
  </si>
  <si>
    <t>Casio Computer Co.</t>
  </si>
  <si>
    <t>CSIOY</t>
  </si>
  <si>
    <t>China Shenhua Energy Co.</t>
  </si>
  <si>
    <t>CSUAY</t>
  </si>
  <si>
    <t>Citic Ltd.</t>
  </si>
  <si>
    <t>CTPCY</t>
  </si>
  <si>
    <t>Country Garden Holdings Co.</t>
  </si>
  <si>
    <t>CTRYY</t>
  </si>
  <si>
    <t>Corteva, Inc.</t>
  </si>
  <si>
    <t>CTVA</t>
  </si>
  <si>
    <t>CUK</t>
  </si>
  <si>
    <t>CVR Energy Inc.</t>
  </si>
  <si>
    <t>CVI</t>
  </si>
  <si>
    <t>China Railway Construction Corp.</t>
  </si>
  <si>
    <t>CWYCY</t>
  </si>
  <si>
    <t>SmartCentres Real Estate Investment Trust</t>
  </si>
  <si>
    <t>CWYUF</t>
  </si>
  <si>
    <t>CyberAgent, Inc.</t>
  </si>
  <si>
    <t>CYAGF</t>
  </si>
  <si>
    <t>Deutsche Boerse AG</t>
  </si>
  <si>
    <t>DBOEY</t>
  </si>
  <si>
    <t>NTT DOCOMO, Inc</t>
  </si>
  <si>
    <t>DCMYY</t>
  </si>
  <si>
    <t>Dairy Farm International Holdings Ltd.</t>
  </si>
  <si>
    <t>DFIHY</t>
  </si>
  <si>
    <t>SPDR Dow Jones Industrial Average ETF</t>
  </si>
  <si>
    <t>DIA</t>
  </si>
  <si>
    <t>Daito Trust Construction Co., Ltd.</t>
  </si>
  <si>
    <t>DIFTY</t>
  </si>
  <si>
    <t>Datang International Power Generation Co.</t>
  </si>
  <si>
    <t>DIPGY</t>
  </si>
  <si>
    <t>Discovery Communications, Inc.</t>
  </si>
  <si>
    <t>DISCB</t>
  </si>
  <si>
    <t>DISCK</t>
  </si>
  <si>
    <t>Deutsche Lufthansa AG</t>
  </si>
  <si>
    <t>DLAKY</t>
  </si>
  <si>
    <t>DIALOG SEMICON</t>
  </si>
  <si>
    <t>DLGNF</t>
  </si>
  <si>
    <t>DNB ASA</t>
  </si>
  <si>
    <t>DNHBY</t>
  </si>
  <si>
    <t>DANSKE BANK AS</t>
  </si>
  <si>
    <t>DNKEY</t>
  </si>
  <si>
    <t>DNP Select Income Fund Inc.</t>
  </si>
  <si>
    <t>DNP</t>
  </si>
  <si>
    <t>Dai Nippon Printing Co.</t>
  </si>
  <si>
    <t>DNPLY</t>
  </si>
  <si>
    <t>Dow Inc.</t>
  </si>
  <si>
    <t>DOW</t>
  </si>
  <si>
    <t>DouYu International Holdings Limited Sponsored ADR</t>
  </si>
  <si>
    <t>DOYU</t>
  </si>
  <si>
    <t>Daiwa Securities Group Inc.</t>
  </si>
  <si>
    <t>DSEEY</t>
  </si>
  <si>
    <t>DiaSorin S.p.A.</t>
  </si>
  <si>
    <t>DSRLF</t>
  </si>
  <si>
    <t>DYNATRACE HLDGS</t>
  </si>
  <si>
    <t>DT</t>
  </si>
  <si>
    <t>Dufry AG</t>
  </si>
  <si>
    <t>DUFRY</t>
  </si>
  <si>
    <t>iShares Select Dividend ETF</t>
  </si>
  <si>
    <t>DVY</t>
  </si>
  <si>
    <t>Deutsche Wohnen AG</t>
  </si>
  <si>
    <t>DWHHF</t>
  </si>
  <si>
    <t>Airbus Group</t>
  </si>
  <si>
    <t>EADSY</t>
  </si>
  <si>
    <t>Centrais El?tricas Brasileiras SA</t>
  </si>
  <si>
    <t>EBR</t>
  </si>
  <si>
    <t>Eletrobras</t>
  </si>
  <si>
    <t>EBR.B</t>
  </si>
  <si>
    <t>EDENRED</t>
  </si>
  <si>
    <t>EDNMY</t>
  </si>
  <si>
    <t>Energias de Portugal</t>
  </si>
  <si>
    <t>EDPFY</t>
  </si>
  <si>
    <t>iShares MSCI Emerging Markets ETF</t>
  </si>
  <si>
    <t>EEM</t>
  </si>
  <si>
    <t>iShares MSCI EAFE ETF</t>
  </si>
  <si>
    <t>EFA</t>
  </si>
  <si>
    <t>ENGIE BRASL EGA</t>
  </si>
  <si>
    <t>EGIEY</t>
  </si>
  <si>
    <t>Companhia Paranaense de Energia (COPEL)</t>
  </si>
  <si>
    <t>ELP</t>
  </si>
  <si>
    <t>Companhia Paranaense de Energia</t>
  </si>
  <si>
    <t>ELPVY</t>
  </si>
  <si>
    <t>iShares J.P. Morgan USD Emerging Markets Bond ETF</t>
  </si>
  <si>
    <t>EMB</t>
  </si>
  <si>
    <t>Enagas SA Unsponsored ADR</t>
  </si>
  <si>
    <t>ENGGY</t>
  </si>
  <si>
    <t>GDF Suez SA</t>
  </si>
  <si>
    <t>ENGIY</t>
  </si>
  <si>
    <t>Enersis Chile S.A.</t>
  </si>
  <si>
    <t>ENIC</t>
  </si>
  <si>
    <t>Enel SpA</t>
  </si>
  <si>
    <t>ENLAY</t>
  </si>
  <si>
    <t>ENTERTAINMT ONE</t>
  </si>
  <si>
    <t>ENTMF</t>
  </si>
  <si>
    <t>Enel Generacion Chile S.A</t>
  </si>
  <si>
    <t>EOCCY</t>
  </si>
  <si>
    <t>EUROFINS SCIENT</t>
  </si>
  <si>
    <t>ERFSF</t>
  </si>
  <si>
    <t>Erie Indemnity Company</t>
  </si>
  <si>
    <t>ERIE</t>
  </si>
  <si>
    <t>Enstar Group Limited</t>
  </si>
  <si>
    <t>ESGR</t>
  </si>
  <si>
    <t>EssilorLuxottica Societe anonyme</t>
  </si>
  <si>
    <t>ESLOY</t>
  </si>
  <si>
    <t>Elbit Systems Ltd.</t>
  </si>
  <si>
    <t>ESLT</t>
  </si>
  <si>
    <t>EVRAZ PLC</t>
  </si>
  <si>
    <t>EVRZF</t>
  </si>
  <si>
    <t>iShares MSCI Japan ETF</t>
  </si>
  <si>
    <t>EWJ</t>
  </si>
  <si>
    <t>iShares MSCI South Korea ETF</t>
  </si>
  <si>
    <t>EWY</t>
  </si>
  <si>
    <t>iShares MSCI Brazil ETF</t>
  </si>
  <si>
    <t>EWZ</t>
  </si>
  <si>
    <t>Exxaro Resources Ltd.</t>
  </si>
  <si>
    <t>EXXAY</t>
  </si>
  <si>
    <t>iShares MSCI Eurozone ETF</t>
  </si>
  <si>
    <t>EZU</t>
  </si>
  <si>
    <t>First Citizens BancShares, Inc.</t>
  </si>
  <si>
    <t>FCNCA</t>
  </si>
  <si>
    <t>First Trust Dow Jones Internet Index Fund</t>
  </si>
  <si>
    <t>FDN</t>
  </si>
  <si>
    <t>Finmeccanica SpA</t>
  </si>
  <si>
    <t>FINMY</t>
  </si>
  <si>
    <t>Fannie Mae</t>
  </si>
  <si>
    <t>FNMA</t>
  </si>
  <si>
    <t>FOX</t>
  </si>
  <si>
    <t>First Quantum Minerals Ltd.</t>
  </si>
  <si>
    <t>FQVLF</t>
  </si>
  <si>
    <t>Fairfax Financial Holdings Ltd.</t>
  </si>
  <si>
    <t>FRFHF</t>
  </si>
  <si>
    <t>Ferrovial SA</t>
  </si>
  <si>
    <t>FRRVY</t>
  </si>
  <si>
    <t>FS Investment Corporation</t>
  </si>
  <si>
    <t>FSK</t>
  </si>
  <si>
    <t>FRESENIUS SE&amp;CO</t>
  </si>
  <si>
    <t>FSNUY</t>
  </si>
  <si>
    <t>Fuchs Petrolub SE Unsponsored ADR</t>
  </si>
  <si>
    <t>FUPBY</t>
  </si>
  <si>
    <t>FWONA</t>
  </si>
  <si>
    <t>Liberty Media Corp.</t>
  </si>
  <si>
    <t>FWONB</t>
  </si>
  <si>
    <t>iShares China Large-Cap ETF</t>
  </si>
  <si>
    <t>FXI</t>
  </si>
  <si>
    <t>Grupo Financiero Banorte SAB de CV</t>
  </si>
  <si>
    <t>GBOOY</t>
  </si>
  <si>
    <t>Gamesa Corporacion Tecnologica SA</t>
  </si>
  <si>
    <t>GCTAY</t>
  </si>
  <si>
    <t>MEDIASET ESPANA</t>
  </si>
  <si>
    <t>GETVY</t>
  </si>
  <si>
    <t>Graham Holdings Company</t>
  </si>
  <si>
    <t>GHC</t>
  </si>
  <si>
    <t>SPDR Gold Shares</t>
  </si>
  <si>
    <t>GLD</t>
  </si>
  <si>
    <t>GETINGE AB</t>
  </si>
  <si>
    <t>GNGBY</t>
  </si>
  <si>
    <t>Genmab A/S</t>
  </si>
  <si>
    <t>GNMSF</t>
  </si>
  <si>
    <t>Grocery Outlet Holding Corp.</t>
  </si>
  <si>
    <t>GO</t>
  </si>
  <si>
    <t>GOOG</t>
  </si>
  <si>
    <t>Grupo Financiero Inbursa SA</t>
  </si>
  <si>
    <t>GPFOY</t>
  </si>
  <si>
    <t>Grupo Carso SA de CV</t>
  </si>
  <si>
    <t>GPOVY</t>
  </si>
  <si>
    <t>GSX Techedu Inc. Unsponsored ADR</t>
  </si>
  <si>
    <t>GSX</t>
  </si>
  <si>
    <t>Gemalto Nv</t>
  </si>
  <si>
    <t>GTOMY</t>
  </si>
  <si>
    <t>Gazprom Neft OAO</t>
  </si>
  <si>
    <t>GZPFY</t>
  </si>
  <si>
    <t>HAVAS ORD</t>
  </si>
  <si>
    <t>HAVSF</t>
  </si>
  <si>
    <t>Holcim Ltd.</t>
  </si>
  <si>
    <t>HCMLY</t>
  </si>
  <si>
    <t>HeidelbergCement AG</t>
  </si>
  <si>
    <t>HDELY</t>
  </si>
  <si>
    <t>HEI.A</t>
  </si>
  <si>
    <t>Power Assets Holdings Ltd.</t>
  </si>
  <si>
    <t>HGKGY</t>
  </si>
  <si>
    <t>Hang Lung Properties Ltd.</t>
  </si>
  <si>
    <t>HLPPY</t>
  </si>
  <si>
    <t>Hellenic Telecom Organization SA</t>
  </si>
  <si>
    <t>HLTOY</t>
  </si>
  <si>
    <t>Hongkong Land Holdings Ltd.</t>
  </si>
  <si>
    <t>HNGKY</t>
  </si>
  <si>
    <t>Hang Lung Group Ltd.</t>
  </si>
  <si>
    <t>HNLGY</t>
  </si>
  <si>
    <t>Hennes &amp; Mauritz AB</t>
  </si>
  <si>
    <t>HNNMY</t>
  </si>
  <si>
    <t>Hong Kong &amp; China Gas Co.</t>
  </si>
  <si>
    <t>HOKCY</t>
  </si>
  <si>
    <t>Healthcare Realty Trust Incorporated</t>
  </si>
  <si>
    <t>HR</t>
  </si>
  <si>
    <t>Haier Electronics Group Co.</t>
  </si>
  <si>
    <t>HRELY</t>
  </si>
  <si>
    <t>HITACHI CONSTR</t>
  </si>
  <si>
    <t>HTCMY</t>
  </si>
  <si>
    <t>HUYA Inc. Sponsored ADR</t>
  </si>
  <si>
    <t>HUYA</t>
  </si>
  <si>
    <t>Hancock Whitney Corporation</t>
  </si>
  <si>
    <t>HWC</t>
  </si>
  <si>
    <t>iShares iBoxx $ High Yield Corporate Bond ETF</t>
  </si>
  <si>
    <t>HYG</t>
  </si>
  <si>
    <t>Hyundai Motor Co.</t>
  </si>
  <si>
    <t>HYMLF</t>
  </si>
  <si>
    <t>Hypermarcas</t>
  </si>
  <si>
    <t>HYPMY</t>
  </si>
  <si>
    <t>IAA, Inc.</t>
  </si>
  <si>
    <t>IAA</t>
  </si>
  <si>
    <t>iShares Gold Trust</t>
  </si>
  <si>
    <t>IAU</t>
  </si>
  <si>
    <t>iShares Nasdaq Biotechnology ETF</t>
  </si>
  <si>
    <t>IBB</t>
  </si>
  <si>
    <t>Iberdrola S.A.</t>
  </si>
  <si>
    <t>IBDRY</t>
  </si>
  <si>
    <t>International Consolidated Airlines Group SA</t>
  </si>
  <si>
    <t>ICAGY</t>
  </si>
  <si>
    <t>Industrial &amp; Commercial Bank of China Ltd.</t>
  </si>
  <si>
    <t>IDCBY</t>
  </si>
  <si>
    <t>iShares International Select Dividend ETF</t>
  </si>
  <si>
    <t>IDV</t>
  </si>
  <si>
    <t>iShares 7-10 Year Treasury Bond ETF</t>
  </si>
  <si>
    <t>IEF</t>
  </si>
  <si>
    <t>Icahn Enterprises L.P.</t>
  </si>
  <si>
    <t>IEP</t>
  </si>
  <si>
    <t>iShares Intermediate-Term Corporate Bond ETF</t>
  </si>
  <si>
    <t>IGIB</t>
  </si>
  <si>
    <t>iShares Short-Term Corporate Bond ETF</t>
  </si>
  <si>
    <t>IGSB</t>
  </si>
  <si>
    <t>iShares Core S&amp;P Mid-Cap ETF</t>
  </si>
  <si>
    <t>IJH</t>
  </si>
  <si>
    <t>iShares S&amp;P Mid-Cap 400 Value ETF</t>
  </si>
  <si>
    <t>IJJ</t>
  </si>
  <si>
    <t>iShares S&amp;P Mid-Cap 400 Growth ETF</t>
  </si>
  <si>
    <t>IJK</t>
  </si>
  <si>
    <t>iShares Core S&amp;P Small-Cap ETF</t>
  </si>
  <si>
    <t>IJR</t>
  </si>
  <si>
    <t>iShares S&amp;P Small-Cap 600 Value ETF</t>
  </si>
  <si>
    <t>IJS</t>
  </si>
  <si>
    <t>iShares S&amp;P Small-Cap 600 Growth ETF</t>
  </si>
  <si>
    <t>IJT</t>
  </si>
  <si>
    <t>Inmarsat PLC</t>
  </si>
  <si>
    <t>IMASY</t>
  </si>
  <si>
    <t>Ingenico Group</t>
  </si>
  <si>
    <t>INGIY</t>
  </si>
  <si>
    <t>InterXion Holding N.V.</t>
  </si>
  <si>
    <t>INXN</t>
  </si>
  <si>
    <t>Inpex Corp.</t>
  </si>
  <si>
    <t>IPXHY</t>
  </si>
  <si>
    <t>Isuzu Motors Ltd.</t>
  </si>
  <si>
    <t>ISUZY</t>
  </si>
  <si>
    <t>Ita? CorpBanca</t>
  </si>
  <si>
    <t>ITCB</t>
  </si>
  <si>
    <t>Itochu Corp.</t>
  </si>
  <si>
    <t>ITOCY</t>
  </si>
  <si>
    <t>ITV PLC.</t>
  </si>
  <si>
    <t>ITVPY</t>
  </si>
  <si>
    <t>iShares Core S&amp;P 500 ETF</t>
  </si>
  <si>
    <t>IVV</t>
  </si>
  <si>
    <t>iShares Russell 1000 Value ETF</t>
  </si>
  <si>
    <t>IWD</t>
  </si>
  <si>
    <t>iShares Russell 1000 Growth ETF</t>
  </si>
  <si>
    <t>IWF</t>
  </si>
  <si>
    <t>iShares Russell 2000 ETF</t>
  </si>
  <si>
    <t>IWM</t>
  </si>
  <si>
    <t>iShares Russell 2000 Value ETF</t>
  </si>
  <si>
    <t>IWN</t>
  </si>
  <si>
    <t>iShares Russell 2000 Growth ETF</t>
  </si>
  <si>
    <t>IWO</t>
  </si>
  <si>
    <t>iShares Russell Mid-Cap Growth ETF</t>
  </si>
  <si>
    <t>IWP</t>
  </si>
  <si>
    <t>iShares Russell Mid-Cap ETF</t>
  </si>
  <si>
    <t>IWR</t>
  </si>
  <si>
    <t>iShares Russell Mid-Cap Value ETF</t>
  </si>
  <si>
    <t>IWS</t>
  </si>
  <si>
    <t>iShares U.S. Real Estate ETF</t>
  </si>
  <si>
    <t>IYR</t>
  </si>
  <si>
    <t>iShares U.S. Technology ETF</t>
  </si>
  <si>
    <t>IYW</t>
  </si>
  <si>
    <t>Japan Airlines Ltd</t>
  </si>
  <si>
    <t>JAPSY</t>
  </si>
  <si>
    <t>JBS SA</t>
  </si>
  <si>
    <t>JBSAY</t>
  </si>
  <si>
    <t>JC Decaux SA</t>
  </si>
  <si>
    <t>JCDXF</t>
  </si>
  <si>
    <t>JEFFERIES FINANCIAL GROUP INC.</t>
  </si>
  <si>
    <t>JEF</t>
  </si>
  <si>
    <t>Jiangsu Expressway Co.</t>
  </si>
  <si>
    <t>JEXYY</t>
  </si>
  <si>
    <t>James Hardie Industries PLC.</t>
  </si>
  <si>
    <t>JHX</t>
  </si>
  <si>
    <t>Jardine Matheson Holdings Ltd.</t>
  </si>
  <si>
    <t>JMHLY</t>
  </si>
  <si>
    <t>SPDR Bloomberg Barclays High Yield Bond ETF</t>
  </si>
  <si>
    <t>JNK</t>
  </si>
  <si>
    <t>51job, Inc.</t>
  </si>
  <si>
    <t>JOBS</t>
  </si>
  <si>
    <t>Jardine Strategic Holdings Ltd.</t>
  </si>
  <si>
    <t>JSHLY</t>
  </si>
  <si>
    <t>Kimberly-Clark de Mexico SAB de CV</t>
  </si>
  <si>
    <t>KCDMY</t>
  </si>
  <si>
    <t>KDDI Corporation Unsponsored ADR</t>
  </si>
  <si>
    <t>KDDIY</t>
  </si>
  <si>
    <t>Kimco Realty Corporation</t>
  </si>
  <si>
    <t>KIM</t>
  </si>
  <si>
    <t>Kumba Iron Ore Ltd.</t>
  </si>
  <si>
    <t>KIROY</t>
  </si>
  <si>
    <t>KKPNY</t>
  </si>
  <si>
    <t>Klabin SA</t>
  </si>
  <si>
    <t>KLBAY</t>
  </si>
  <si>
    <t>Kirin Holdings Co.</t>
  </si>
  <si>
    <t>KNBWY</t>
  </si>
  <si>
    <t>KINNEVIK AB ORD</t>
  </si>
  <si>
    <t>KNVKF</t>
  </si>
  <si>
    <t>Keppel Corp.</t>
  </si>
  <si>
    <t>KPELY</t>
  </si>
  <si>
    <t>Keppel REIT</t>
  </si>
  <si>
    <t>KREVF</t>
  </si>
  <si>
    <t>Kerry Group PLC</t>
  </si>
  <si>
    <t>KRYAY</t>
  </si>
  <si>
    <t>Kennedy-Wilson Holdings Inc.</t>
  </si>
  <si>
    <t>KW</t>
  </si>
  <si>
    <t>Lancaster Colony Corporation</t>
  </si>
  <si>
    <t>LANC</t>
  </si>
  <si>
    <t>LBRDA</t>
  </si>
  <si>
    <t>LBTYB</t>
  </si>
  <si>
    <t>LBTYK</t>
  </si>
  <si>
    <t>LEG Immobilien AG</t>
  </si>
  <si>
    <t>LEGIF</t>
  </si>
  <si>
    <t>LEN.B</t>
  </si>
  <si>
    <t>Levi Strauss &amp; Co.</t>
  </si>
  <si>
    <t>LEVI</t>
  </si>
  <si>
    <t>Legal &amp; General Group PLC</t>
  </si>
  <si>
    <t>LGGNY</t>
  </si>
  <si>
    <t>LeGrand SA</t>
  </si>
  <si>
    <t>LGRVF</t>
  </si>
  <si>
    <t>LILAK</t>
  </si>
  <si>
    <t>Luckin Coffee Inc. Sponsored ADR</t>
  </si>
  <si>
    <t>LK</t>
  </si>
  <si>
    <t>Li Ning Co.</t>
  </si>
  <si>
    <t>LNNGY</t>
  </si>
  <si>
    <t>iShares iBoxx $ Investment Grade Corporate Bond ETF</t>
  </si>
  <si>
    <t>LQD</t>
  </si>
  <si>
    <t>LSXMA</t>
  </si>
  <si>
    <t>LSXMB</t>
  </si>
  <si>
    <t>Lukoil</t>
  </si>
  <si>
    <t>LUKOY</t>
  </si>
  <si>
    <t>Lundin Mining Corp.</t>
  </si>
  <si>
    <t>LUNMF</t>
  </si>
  <si>
    <t>Lyft, Inc.</t>
  </si>
  <si>
    <t>LYFT</t>
  </si>
  <si>
    <t>Live Nation Entertainment, Inc.</t>
  </si>
  <si>
    <t>LYV</t>
  </si>
  <si>
    <t>Marks and Spencer Group PLC</t>
  </si>
  <si>
    <t>MAKSY</t>
  </si>
  <si>
    <t>Marubeni Corp.</t>
  </si>
  <si>
    <t>MARUY</t>
  </si>
  <si>
    <t>Marui Group Co.</t>
  </si>
  <si>
    <t>MAURY</t>
  </si>
  <si>
    <t>iShares MBS ETF</t>
  </si>
  <si>
    <t>MBB</t>
  </si>
  <si>
    <t>Melco International Development Ltd.</t>
  </si>
  <si>
    <t>MDEVF</t>
  </si>
  <si>
    <t>Mediaset SpA</t>
  </si>
  <si>
    <t>MDIUY</t>
  </si>
  <si>
    <t>Medallia, Inc.</t>
  </si>
  <si>
    <t>MDLA</t>
  </si>
  <si>
    <t>Meggitt PLC Unsponsored ADR</t>
  </si>
  <si>
    <t>MEGGY</t>
  </si>
  <si>
    <t>MERLIN ENTMNTS</t>
  </si>
  <si>
    <t>MERLY</t>
  </si>
  <si>
    <t>Micro Focus International PLC Sponsored ADR</t>
  </si>
  <si>
    <t>MFGP</t>
  </si>
  <si>
    <t>Marine Harvest ASA</t>
  </si>
  <si>
    <t>MHGVY</t>
  </si>
  <si>
    <t>Mitsubishi Electric Corporation</t>
  </si>
  <si>
    <t>MIELF</t>
  </si>
  <si>
    <t>Mitsubishi Estate Co.</t>
  </si>
  <si>
    <t>MITEY</t>
  </si>
  <si>
    <t>Mitsui &amp; Co.</t>
  </si>
  <si>
    <t>MITSY</t>
  </si>
  <si>
    <t>Merck KGaA</t>
  </si>
  <si>
    <t>MKGAF</t>
  </si>
  <si>
    <t>Makita Corp.</t>
  </si>
  <si>
    <t>MKTAY</t>
  </si>
  <si>
    <t>Metallurgical Corp. of China Ltd.</t>
  </si>
  <si>
    <t>MLLUY</t>
  </si>
  <si>
    <t>MAIL RU GROUP</t>
  </si>
  <si>
    <t>MLRYY</t>
  </si>
  <si>
    <t>Minebea Co.</t>
  </si>
  <si>
    <t>MNBEY</t>
  </si>
  <si>
    <t>MOG.B</t>
  </si>
  <si>
    <t>MorphoSys AG Unsponsored ADR</t>
  </si>
  <si>
    <t>MOR</t>
  </si>
  <si>
    <t>Morningstar, Inc.</t>
  </si>
  <si>
    <t>MORN</t>
  </si>
  <si>
    <t>Murata Manufacturing Inc.</t>
  </si>
  <si>
    <t>MRAAY</t>
  </si>
  <si>
    <t>Mitsubishi Corp.</t>
  </si>
  <si>
    <t>MSBHY</t>
  </si>
  <si>
    <t>MTN Group Ltd.</t>
  </si>
  <si>
    <t>MTNOY</t>
  </si>
  <si>
    <t>MTU Aero Engines AG</t>
  </si>
  <si>
    <t>MTUAY</t>
  </si>
  <si>
    <t>iShares National Muni Bond ETF</t>
  </si>
  <si>
    <t>MUB</t>
  </si>
  <si>
    <t>M?nchener R?ckversicherungs-Gesellschaft</t>
  </si>
  <si>
    <t>MURGY</t>
  </si>
  <si>
    <t>Mexichem SAB de CV</t>
  </si>
  <si>
    <t>MXCHY</t>
  </si>
  <si>
    <t>National Instruments Corporation</t>
  </si>
  <si>
    <t>NATI</t>
  </si>
  <si>
    <t>Newcrest Mining Ltd.</t>
  </si>
  <si>
    <t>NCMGY</t>
  </si>
  <si>
    <t>Nitto Denko Corp.</t>
  </si>
  <si>
    <t>NDEKY</t>
  </si>
  <si>
    <t>NINE DRAGONS</t>
  </si>
  <si>
    <t>NDGPY</t>
  </si>
  <si>
    <t>New World Development Co.</t>
  </si>
  <si>
    <t>NDVLY</t>
  </si>
  <si>
    <t>NewMarket Corporation</t>
  </si>
  <si>
    <t>NEU</t>
  </si>
  <si>
    <t>JSC MMC Norilsk Nickel</t>
  </si>
  <si>
    <t>NILSY</t>
  </si>
  <si>
    <t>NN Group NV Unsponsored ADR</t>
  </si>
  <si>
    <t>NNGRY</t>
  </si>
  <si>
    <t>Nippon Steel &amp; Sumitomo Metal Corp.</t>
  </si>
  <si>
    <t>NPSCY</t>
  </si>
  <si>
    <t>NSK Ltd.</t>
  </si>
  <si>
    <t>NPSKY</t>
  </si>
  <si>
    <t>Naspers Ltd.</t>
  </si>
  <si>
    <t>NPSNY</t>
  </si>
  <si>
    <t>Nordea Bank AB</t>
  </si>
  <si>
    <t>NRDBY</t>
  </si>
  <si>
    <t>NWS</t>
  </si>
  <si>
    <t>Obayashi Corporation</t>
  </si>
  <si>
    <t>OBYCF</t>
  </si>
  <si>
    <t>OCADO GROUP PLC</t>
  </si>
  <si>
    <t>OCDDY</t>
  </si>
  <si>
    <t>Gazprom OAO</t>
  </si>
  <si>
    <t>OGZPY</t>
  </si>
  <si>
    <t>Oi S.A.</t>
  </si>
  <si>
    <t>OIBRC</t>
  </si>
  <si>
    <t>ONEX Corporation</t>
  </si>
  <si>
    <t>ONEXF</t>
  </si>
  <si>
    <t>Ono Pharmaceutical Co.</t>
  </si>
  <si>
    <t>OPHLF</t>
  </si>
  <si>
    <t>Owl Rock Capital Corporation</t>
  </si>
  <si>
    <t>ORCC</t>
  </si>
  <si>
    <t>Old Republic International Corporation</t>
  </si>
  <si>
    <t>ORI</t>
  </si>
  <si>
    <t>Orkla Asa</t>
  </si>
  <si>
    <t>ORKLY</t>
  </si>
  <si>
    <t>Osram Licht AG</t>
  </si>
  <si>
    <t>OSAGF</t>
  </si>
  <si>
    <t>PBR.A</t>
  </si>
  <si>
    <t>Prosiebensat.1 Media Se</t>
  </si>
  <si>
    <t>PBSFY</t>
  </si>
  <si>
    <t>PCCW Ltd.</t>
  </si>
  <si>
    <t>PCCWY</t>
  </si>
  <si>
    <t>PCWLF</t>
  </si>
  <si>
    <t>Invesco Emerging Markets Sovereign Debt ETF</t>
  </si>
  <si>
    <t>PCY</t>
  </si>
  <si>
    <t>FLUTTER ENT PLC</t>
  </si>
  <si>
    <t>PDYPY</t>
  </si>
  <si>
    <t>iShares Preferred and Income Securities ETF</t>
  </si>
  <si>
    <t>PFF</t>
  </si>
  <si>
    <t>PIGEON CORP</t>
  </si>
  <si>
    <t>PGENY</t>
  </si>
  <si>
    <t>Invesco Preferred ETF</t>
  </si>
  <si>
    <t>PGX</t>
  </si>
  <si>
    <t>Pinterest, Inc.</t>
  </si>
  <si>
    <t>PINS</t>
  </si>
  <si>
    <t>Park Hotels &amp; Resorts Inc.</t>
  </si>
  <si>
    <t>PK</t>
  </si>
  <si>
    <t>POSCO</t>
  </si>
  <si>
    <t>PKX</t>
  </si>
  <si>
    <t>Panalpina Welttransport Holding Ag</t>
  </si>
  <si>
    <t>PLWTY</t>
  </si>
  <si>
    <t>Ping An Insurance Co. of China Ltd.</t>
  </si>
  <si>
    <t>PNGAY</t>
  </si>
  <si>
    <t>PT Bank Mandiri Persero TBK</t>
  </si>
  <si>
    <t>PPERY</t>
  </si>
  <si>
    <t>Pershing Square Holdings, Ltd.</t>
  </si>
  <si>
    <t>PSHZF</t>
  </si>
  <si>
    <t>Persimmon Plc</t>
  </si>
  <si>
    <t>PSMMY</t>
  </si>
  <si>
    <t>Parsons Corporation</t>
  </si>
  <si>
    <t>PSN</t>
  </si>
  <si>
    <t>Pearson, PLC</t>
  </si>
  <si>
    <t>PSO</t>
  </si>
  <si>
    <t>Invesco QQQ</t>
  </si>
  <si>
    <t>QQQ</t>
  </si>
  <si>
    <t>QRTEB</t>
  </si>
  <si>
    <t>Raiffeisen Bank International AG</t>
  </si>
  <si>
    <t>RAIFY</t>
  </si>
  <si>
    <t>Randstad Holding NV</t>
  </si>
  <si>
    <t>RANJY</t>
  </si>
  <si>
    <t>Royal Bank Of Scotland Group PLC</t>
  </si>
  <si>
    <t>RBSPF</t>
  </si>
  <si>
    <t>Recordati Industria Chimica E Farmaceutica S.P.A.</t>
  </si>
  <si>
    <t>RCDTF</t>
  </si>
  <si>
    <t>RDS.B</t>
  </si>
  <si>
    <t>RELX PLC</t>
  </si>
  <si>
    <t>RELX</t>
  </si>
  <si>
    <t>REMY COINTREAU</t>
  </si>
  <si>
    <t>REMYY</t>
  </si>
  <si>
    <t>Rakuten, Inc.</t>
  </si>
  <si>
    <t>RKUNY</t>
  </si>
  <si>
    <t>Rohm Co.</t>
  </si>
  <si>
    <t>ROHCY</t>
  </si>
  <si>
    <t>Rostelecom OJSC</t>
  </si>
  <si>
    <t>ROSYY</t>
  </si>
  <si>
    <t>Invesco S&amp;P 500 Equal Weight ETF</t>
  </si>
  <si>
    <t>RSP</t>
  </si>
  <si>
    <t>Sampo PLC</t>
  </si>
  <si>
    <t>SAXPY</t>
  </si>
  <si>
    <t>Schneider Electric SE</t>
  </si>
  <si>
    <t>SBGSY</t>
  </si>
  <si>
    <t>SBI Holdings Inc.</t>
  </si>
  <si>
    <t>SBHGF</t>
  </si>
  <si>
    <t>SINO PHARMACEUT</t>
  </si>
  <si>
    <t>SBMFF</t>
  </si>
  <si>
    <t>Sberbank of Russia Sponsored ADR</t>
  </si>
  <si>
    <t>SBRCY</t>
  </si>
  <si>
    <t>Sands China Ltd.</t>
  </si>
  <si>
    <t>SCHYY</t>
  </si>
  <si>
    <t>Sodexo SA</t>
  </si>
  <si>
    <t>SDXAY</t>
  </si>
  <si>
    <t>SPDR S&amp;P Dividend ETF</t>
  </si>
  <si>
    <t>SDY</t>
  </si>
  <si>
    <t>Seaboard Corporation</t>
  </si>
  <si>
    <t>SEB</t>
  </si>
  <si>
    <t>Stora Enso Oyj</t>
  </si>
  <si>
    <t>SEOAY</t>
  </si>
  <si>
    <t>Softbank Corp.</t>
  </si>
  <si>
    <t>SFTBY</t>
  </si>
  <si>
    <t>Singapore Telecommunications Ltd.</t>
  </si>
  <si>
    <t>SGAPY</t>
  </si>
  <si>
    <t>SES S.A.</t>
  </si>
  <si>
    <t>SGBAF</t>
  </si>
  <si>
    <t>Surgutneftegaz OAO</t>
  </si>
  <si>
    <t>SGTZY</t>
  </si>
  <si>
    <t>Shangri-La Asia Ltd.</t>
  </si>
  <si>
    <t>SHALY</t>
  </si>
  <si>
    <t>SPDR Nuveen Bloomberg Barclays Short Term Municipal Bond ETF</t>
  </si>
  <si>
    <t>SHM</t>
  </si>
  <si>
    <t>Shimizu Corporation Unsponsored ADR</t>
  </si>
  <si>
    <t>SHMUY</t>
  </si>
  <si>
    <t>iShares Short Treasury Bond ETF</t>
  </si>
  <si>
    <t>SHV</t>
  </si>
  <si>
    <t>Shandong Weigao Medical Polymer Co.</t>
  </si>
  <si>
    <t>SHWGF</t>
  </si>
  <si>
    <t>iShares 1-3 Year Treasury Bond ETF</t>
  </si>
  <si>
    <t>SHY</t>
  </si>
  <si>
    <t>Shizuoka Bank Ltd.</t>
  </si>
  <si>
    <t>SHZUY</t>
  </si>
  <si>
    <t>SJM Holdings Ltd.</t>
  </si>
  <si>
    <t>SJMHF</t>
  </si>
  <si>
    <t>Shaw Communications Inc.</t>
  </si>
  <si>
    <t>SJR</t>
  </si>
  <si>
    <t>Sekisui House Ltd.</t>
  </si>
  <si>
    <t>SKHSY</t>
  </si>
  <si>
    <t>Soitec SA</t>
  </si>
  <si>
    <t>SLOIF</t>
  </si>
  <si>
    <t>San Miguel Corp.</t>
  </si>
  <si>
    <t>SMGBY</t>
  </si>
  <si>
    <t>Shimano Inc. Unsponsored ADR</t>
  </si>
  <si>
    <t>SMNNY</t>
  </si>
  <si>
    <t>SOMPO JAPAN NPN</t>
  </si>
  <si>
    <t>SMPNY</t>
  </si>
  <si>
    <t>Sino Land Co.</t>
  </si>
  <si>
    <t>SNLAY</t>
  </si>
  <si>
    <t>Sony Financial Holdings Inc.</t>
  </si>
  <si>
    <t>SNYFY</t>
  </si>
  <si>
    <t>SUMITOMO HEAVY</t>
  </si>
  <si>
    <t>SOHVY</t>
  </si>
  <si>
    <t>Spark New Zealand Ltd.</t>
  </si>
  <si>
    <t>SPKKY</t>
  </si>
  <si>
    <t>SPDR S&amp;P 500 ETF</t>
  </si>
  <si>
    <t>SPY</t>
  </si>
  <si>
    <t>Sysmex Corporation ADR</t>
  </si>
  <si>
    <t>SSMXY</t>
  </si>
  <si>
    <t>Samsung Electronics Co.</t>
  </si>
  <si>
    <t>SSNLF</t>
  </si>
  <si>
    <t>Sumitomo Corp.</t>
  </si>
  <si>
    <t>SSUMY</t>
  </si>
  <si>
    <t>STADA ARZNEIMI</t>
  </si>
  <si>
    <t>STDAF</t>
  </si>
  <si>
    <t>STZ.B</t>
  </si>
  <si>
    <t>Suntec Real Estate Investment Trust</t>
  </si>
  <si>
    <t>SURVF</t>
  </si>
  <si>
    <t>Suzano Papel E Celulose S.A. Sponsored ADR</t>
  </si>
  <si>
    <t>SUZ</t>
  </si>
  <si>
    <t>SKANDINAVISKA</t>
  </si>
  <si>
    <t>SVKEF</t>
  </si>
  <si>
    <t>Seven and I Holdings Co.</t>
  </si>
  <si>
    <t>SVNDY</t>
  </si>
  <si>
    <t>Swedbank AB</t>
  </si>
  <si>
    <t>SWDBY</t>
  </si>
  <si>
    <t>Swatch Group AG</t>
  </si>
  <si>
    <t>SWGAY</t>
  </si>
  <si>
    <t>SHOWA SHELL OIL</t>
  </si>
  <si>
    <t>SWSKF</t>
  </si>
  <si>
    <t>Symrise AG Unsponsored ADR</t>
  </si>
  <si>
    <t>SYIEY</t>
  </si>
  <si>
    <t>Suez Environnement SA</t>
  </si>
  <si>
    <t>SZEVY</t>
  </si>
  <si>
    <t>Tingyi Cayman Islands Holdings Corp.</t>
  </si>
  <si>
    <t>TCYMF</t>
  </si>
  <si>
    <t>Terna Rete Elettrica Nazionale SpA Unsponsored ADR</t>
  </si>
  <si>
    <t>TEZNY</t>
  </si>
  <si>
    <t>TFS Financial Corporation</t>
  </si>
  <si>
    <t>TFSL</t>
  </si>
  <si>
    <t>Thk Co., Ltd.</t>
  </si>
  <si>
    <t>THKLY</t>
  </si>
  <si>
    <t>TIAIY</t>
  </si>
  <si>
    <t>Teijin Ltd.</t>
  </si>
  <si>
    <t>TINLY</t>
  </si>
  <si>
    <t>iShares TIPS Bond ETF</t>
  </si>
  <si>
    <t>TIP</t>
  </si>
  <si>
    <t>PT Telekomunikasi Indonesia, Tbk</t>
  </si>
  <si>
    <t>TLK</t>
  </si>
  <si>
    <t>iShares 20+ Year Treasury Bond ETF</t>
  </si>
  <si>
    <t>TLT</t>
  </si>
  <si>
    <t>TEMENOS GROUP</t>
  </si>
  <si>
    <t>TMNSF</t>
  </si>
  <si>
    <t>Tenaga Nasional Berhad</t>
  </si>
  <si>
    <t>TNABY</t>
  </si>
  <si>
    <t>Toshiba Corp.</t>
  </si>
  <si>
    <t>TOSYY</t>
  </si>
  <si>
    <t>Texas Pacific Land Trust</t>
  </si>
  <si>
    <t>TPL</t>
  </si>
  <si>
    <t>Tapestry, Inc.</t>
  </si>
  <si>
    <t>TPR</t>
  </si>
  <si>
    <t>Terumo Corp.</t>
  </si>
  <si>
    <t>TRUMY</t>
  </si>
  <si>
    <t>Tsingtao Brewery Co.</t>
  </si>
  <si>
    <t>TSGTY</t>
  </si>
  <si>
    <t>TravelSky Technology Ltd.</t>
  </si>
  <si>
    <t>TSYHY</t>
  </si>
  <si>
    <t>Techtronic Industries Co.</t>
  </si>
  <si>
    <t>TTNDY</t>
  </si>
  <si>
    <t>TUI AG ADR</t>
  </si>
  <si>
    <t>TUIFY</t>
  </si>
  <si>
    <t>Tradeweb Markets Inc.</t>
  </si>
  <si>
    <t>TW</t>
  </si>
  <si>
    <t>Taylor Wimpey PLC Unsponsored ADR</t>
  </si>
  <si>
    <t>TWODY</t>
  </si>
  <si>
    <t>ThyssenKrupp AG</t>
  </si>
  <si>
    <t>TYEKF</t>
  </si>
  <si>
    <t>UA</t>
  </si>
  <si>
    <t>Uber Technologies, Inc.</t>
  </si>
  <si>
    <t>UBER</t>
  </si>
  <si>
    <t>UbiSoft Entertainment Inc.</t>
  </si>
  <si>
    <t>UBSFY</t>
  </si>
  <si>
    <t>UCB SA</t>
  </si>
  <si>
    <t>UCBJF</t>
  </si>
  <si>
    <t>United Microelectronics Corporation</t>
  </si>
  <si>
    <t>UMC</t>
  </si>
  <si>
    <t>UNICHARM CORP</t>
  </si>
  <si>
    <t>UNICY</t>
  </si>
  <si>
    <t>United Utilities Group PLC</t>
  </si>
  <si>
    <t>UUGRY</t>
  </si>
  <si>
    <t>Vinci SA</t>
  </si>
  <si>
    <t>VCISY</t>
  </si>
  <si>
    <t>Vedanta  Limited</t>
  </si>
  <si>
    <t>VEDL</t>
  </si>
  <si>
    <t>Vanguard Financials ETF</t>
  </si>
  <si>
    <t>VFH</t>
  </si>
  <si>
    <t>VIA</t>
  </si>
  <si>
    <t>Flughafen Wien AG</t>
  </si>
  <si>
    <t>VIAAY</t>
  </si>
  <si>
    <t>Vanguard Real Estate ETF</t>
  </si>
  <si>
    <t>VNQ</t>
  </si>
  <si>
    <t>Vonovia SE Unsponsored ADR</t>
  </si>
  <si>
    <t>VONOY</t>
  </si>
  <si>
    <t>Vanguard Total Stock Market ETF</t>
  </si>
  <si>
    <t>VTI</t>
  </si>
  <si>
    <t>Vestas Wind Systems AS</t>
  </si>
  <si>
    <t>VWDRY</t>
  </si>
  <si>
    <t>Vanguard FTSE Emerging Markets ETF</t>
  </si>
  <si>
    <t>VWO</t>
  </si>
  <si>
    <t>Walgreens Boots Alliance, Inc.</t>
  </si>
  <si>
    <t>WBA</t>
  </si>
  <si>
    <t>WIRECARD AG</t>
  </si>
  <si>
    <t>WCAGY</t>
  </si>
  <si>
    <t>Weichai Power Co.</t>
  </si>
  <si>
    <t>WEICY</t>
  </si>
  <si>
    <t>Wilmar International Ltd.</t>
  </si>
  <si>
    <t>WLMIY</t>
  </si>
  <si>
    <t>Woolworths Holdings Limited Sponsored ADR</t>
  </si>
  <si>
    <t>WLWHY</t>
  </si>
  <si>
    <t>George Weston Ltd.</t>
  </si>
  <si>
    <t>WNGRF</t>
  </si>
  <si>
    <t>Woodside Petroleum Ltd.</t>
  </si>
  <si>
    <t>WOPEY</t>
  </si>
  <si>
    <t>Slack Technologies, Inc.</t>
  </si>
  <si>
    <t>WORK</t>
  </si>
  <si>
    <t>WARTSILA OYJ</t>
  </si>
  <si>
    <t>WRTBY</t>
  </si>
  <si>
    <t>WSO.B</t>
  </si>
  <si>
    <t>Wolters Kluwer NV</t>
  </si>
  <si>
    <t>WTKWY</t>
  </si>
  <si>
    <t>White Mountains Insurance Group, Ltd.</t>
  </si>
  <si>
    <t>WTM</t>
  </si>
  <si>
    <t>WORLDLINE SA</t>
  </si>
  <si>
    <t>WWLNF</t>
  </si>
  <si>
    <t>Want Want China Holdings Ltd.</t>
  </si>
  <si>
    <t>WWNTY</t>
  </si>
  <si>
    <t>Wynn Macau Ltd.</t>
  </si>
  <si>
    <t>WYNMF</t>
  </si>
  <si>
    <t>SPDR S&amp;P Biotech ETF</t>
  </si>
  <si>
    <t>XBI</t>
  </si>
  <si>
    <t>Materials Select Sector SPDR Fund</t>
  </si>
  <si>
    <t>XLB</t>
  </si>
  <si>
    <t>Financial Select Sector SPDR Fund</t>
  </si>
  <si>
    <t>XLF</t>
  </si>
  <si>
    <t>Utilities Select Sector SPDR Fund</t>
  </si>
  <si>
    <t>XLU</t>
  </si>
  <si>
    <t>Consumer Discretionary Select Sector SPDR Fund</t>
  </si>
  <si>
    <t>XLY</t>
  </si>
  <si>
    <t>XINYI GLASS HLD</t>
  </si>
  <si>
    <t>XYIGF</t>
  </si>
  <si>
    <t>Yara International ASA</t>
  </si>
  <si>
    <t>YARIY</t>
  </si>
  <si>
    <t>Yaskawa Electric Corp.</t>
  </si>
  <si>
    <t>YASKY</t>
  </si>
  <si>
    <t>Yue Yuen Industrial Ltd.</t>
  </si>
  <si>
    <t>YUEIY</t>
  </si>
  <si>
    <t>Yanzhou Coal Mining Company Limited</t>
  </si>
  <si>
    <t>YZCAY</t>
  </si>
  <si>
    <t>Zillow Group, Inc.</t>
  </si>
  <si>
    <t>Z</t>
  </si>
  <si>
    <t>ZG</t>
  </si>
  <si>
    <t>ZALANDO SE ADRS</t>
  </si>
  <si>
    <t>ZLNDY</t>
  </si>
  <si>
    <t>Zoom Video Communications, Inc.</t>
  </si>
  <si>
    <t>ZM</t>
  </si>
  <si>
    <t>Div. Yield %</t>
  </si>
  <si>
    <t>Higher than S&amp;P</t>
  </si>
  <si>
    <t>or</t>
  </si>
  <si>
    <t>Higher than Sector / Industry</t>
  </si>
  <si>
    <t>Growing 10% to 20%+</t>
  </si>
  <si>
    <t>Growing 5% to 10%+</t>
  </si>
  <si>
    <t>Compare with Sector</t>
  </si>
  <si>
    <t>Compare with S&amp;P 500</t>
  </si>
  <si>
    <t>Operating Margin 12 Mo %</t>
  </si>
  <si>
    <t>Net Margin %</t>
  </si>
  <si>
    <t>Look at Trend:</t>
  </si>
  <si>
    <t>Last 3 years</t>
  </si>
  <si>
    <t>Expectations</t>
  </si>
  <si>
    <t>Compare vs Average Sector / Industry</t>
  </si>
  <si>
    <t>Compare vs Leader / Laggard</t>
  </si>
  <si>
    <t>Quick Ratio</t>
  </si>
  <si>
    <t>Current Ratio</t>
  </si>
  <si>
    <t>Debt/Equity Ratio</t>
  </si>
  <si>
    <t>Debt/Total Capital</t>
  </si>
  <si>
    <t>Price/Sales</t>
  </si>
  <si>
    <t>Looking at Value vs Growth</t>
  </si>
  <si>
    <t>Price/Book</t>
  </si>
  <si>
    <t>Current ROE</t>
  </si>
  <si>
    <t>S&amp;P 500</t>
  </si>
  <si>
    <t>2018  P/E</t>
  </si>
  <si>
    <t>2019E EPS</t>
  </si>
  <si>
    <t>2019E  P/E</t>
  </si>
  <si>
    <t>2020E EPS</t>
  </si>
  <si>
    <t>2020E P/E</t>
  </si>
  <si>
    <t>2018  EPS</t>
  </si>
  <si>
    <t>Earnings Growth</t>
  </si>
  <si>
    <t>Sales Growth</t>
  </si>
  <si>
    <t xml:space="preserve">Last </t>
  </si>
  <si>
    <t>Price to Book - P/B</t>
  </si>
  <si>
    <t>Price to Sales -P/S</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</si>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</sst>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quot;$&quot;#,##0.00"/>
  </numFmts>
  <fonts count="10"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
      <b/>
      <sz val="10"/>
      <name val="Arial"/>
      <family val="2"/>
    </font>
    <font>
      <sz val="10"/>
      <name val="Arial"/>
      <family val="2"/>
    </font>
    <font>
      <b/>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3">
    <xf numFmtId="0" fontId="0" fillId="0" borderId="0"/>
    <xf numFmtId="0" fontId="2" fillId="0" borderId="0" applyNumberFormat="0" applyFill="0" applyBorder="0" applyAlignment="0" applyProtection="0"/>
    <xf numFmtId="9" fontId="4" fillId="0" borderId="0" applyFont="0" applyFill="0" applyBorder="0" applyAlignment="0" applyProtection="0"/>
  </cellStyleXfs>
  <cellXfs count="160">
    <xf numFmtId="0" fontId="0" fillId="0" borderId="0" xfId="0"/>
    <xf numFmtId="0" fontId="0" fillId="2" borderId="0" xfId="0" applyFill="1"/>
    <xf numFmtId="0" fontId="1" fillId="2" borderId="0" xfId="0" applyFont="1" applyFill="1"/>
    <xf numFmtId="0" fontId="0" fillId="0" borderId="0" xfId="0" applyAlignment="1">
      <alignment vertical="center"/>
    </xf>
    <xf numFmtId="0" fontId="0" fillId="2" borderId="0" xfId="0" applyFill="1" applyAlignment="1">
      <alignment wrapText="1"/>
    </xf>
    <xf numFmtId="0" fontId="0" fillId="2" borderId="0" xfId="0" applyFill="1" applyAlignment="1"/>
    <xf numFmtId="0" fontId="0" fillId="2" borderId="0" xfId="0" applyFill="1"/>
    <xf numFmtId="0" fontId="0" fillId="2" borderId="0" xfId="0" applyFill="1" applyAlignment="1">
      <alignment horizontal="center"/>
    </xf>
    <xf numFmtId="3" fontId="0" fillId="2" borderId="0" xfId="0" applyNumberFormat="1" applyFill="1" applyAlignment="1">
      <alignment horizontal="center"/>
    </xf>
    <xf numFmtId="0" fontId="1" fillId="6" borderId="15"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2" fontId="0" fillId="2" borderId="7" xfId="0" applyNumberFormat="1" applyFill="1" applyBorder="1" applyAlignment="1">
      <alignment horizontal="center"/>
    </xf>
    <xf numFmtId="0" fontId="0" fillId="2" borderId="7" xfId="0" applyFill="1" applyBorder="1" applyAlignment="1">
      <alignment horizontal="left"/>
    </xf>
    <xf numFmtId="0" fontId="0" fillId="6" borderId="15" xfId="0" applyFill="1" applyBorder="1"/>
    <xf numFmtId="10" fontId="0" fillId="2" borderId="0" xfId="2" applyNumberFormat="1" applyFont="1" applyFill="1" applyAlignment="1">
      <alignment horizontal="center"/>
    </xf>
    <xf numFmtId="10" fontId="0" fillId="2" borderId="5" xfId="2" applyNumberFormat="1" applyFont="1" applyFill="1" applyBorder="1" applyAlignment="1">
      <alignment horizontal="center"/>
    </xf>
    <xf numFmtId="9" fontId="0" fillId="2" borderId="0" xfId="2" applyFont="1" applyFill="1" applyAlignment="1">
      <alignment horizontal="center"/>
    </xf>
    <xf numFmtId="9" fontId="0" fillId="2" borderId="5" xfId="2" applyFont="1" applyFill="1" applyBorder="1" applyAlignment="1">
      <alignment horizontal="center"/>
    </xf>
    <xf numFmtId="3" fontId="0" fillId="2" borderId="7" xfId="0" applyNumberFormat="1" applyFill="1" applyBorder="1" applyAlignment="1">
      <alignment horizontal="center"/>
    </xf>
    <xf numFmtId="3" fontId="0" fillId="2" borderId="8" xfId="0" applyNumberFormat="1" applyFill="1" applyBorder="1" applyAlignment="1">
      <alignment horizontal="center"/>
    </xf>
    <xf numFmtId="164" fontId="0" fillId="2" borderId="5" xfId="2" applyNumberFormat="1" applyFont="1" applyFill="1" applyBorder="1" applyAlignment="1">
      <alignment horizontal="center" wrapText="1"/>
    </xf>
    <xf numFmtId="10" fontId="0" fillId="2" borderId="3" xfId="0" applyNumberFormat="1" applyFill="1" applyBorder="1" applyAlignment="1">
      <alignment horizontal="center"/>
    </xf>
    <xf numFmtId="164" fontId="0" fillId="2" borderId="8" xfId="2" applyNumberFormat="1" applyFont="1" applyFill="1" applyBorder="1" applyAlignment="1">
      <alignment horizontal="center" wrapText="1"/>
    </xf>
    <xf numFmtId="10" fontId="0" fillId="2" borderId="3" xfId="2" applyNumberFormat="1" applyFont="1" applyFill="1" applyBorder="1" applyAlignment="1">
      <alignment horizontal="center"/>
    </xf>
    <xf numFmtId="164" fontId="0" fillId="2" borderId="5" xfId="0" applyNumberFormat="1" applyFill="1" applyBorder="1" applyAlignment="1">
      <alignment horizontal="center" wrapText="1"/>
    </xf>
    <xf numFmtId="164" fontId="0" fillId="2" borderId="8" xfId="0" applyNumberFormat="1" applyFill="1" applyBorder="1" applyAlignment="1">
      <alignment horizontal="center" wrapText="1"/>
    </xf>
    <xf numFmtId="164" fontId="0" fillId="2" borderId="5" xfId="2" applyNumberFormat="1" applyFont="1" applyFill="1" applyBorder="1" applyAlignment="1">
      <alignment horizontal="center"/>
    </xf>
    <xf numFmtId="10" fontId="0" fillId="2" borderId="8" xfId="2" applyNumberFormat="1" applyFont="1" applyFill="1" applyBorder="1" applyAlignment="1">
      <alignment horizontal="center"/>
    </xf>
    <xf numFmtId="166" fontId="0" fillId="2" borderId="0" xfId="0" applyNumberFormat="1" applyFill="1" applyAlignment="1">
      <alignment horizontal="center"/>
    </xf>
    <xf numFmtId="166" fontId="0" fillId="2" borderId="5" xfId="0" applyNumberFormat="1" applyFill="1" applyBorder="1" applyAlignment="1">
      <alignment horizontal="center"/>
    </xf>
    <xf numFmtId="0" fontId="2" fillId="2" borderId="0" xfId="1" applyFill="1" applyAlignment="1">
      <alignment vertical="center" readingOrder="1"/>
    </xf>
    <xf numFmtId="0" fontId="1" fillId="2" borderId="0" xfId="0" applyFont="1" applyFill="1" applyAlignment="1">
      <alignment horizontal="center"/>
    </xf>
    <xf numFmtId="0" fontId="1" fillId="4" borderId="17" xfId="0" applyFont="1" applyFill="1" applyBorder="1"/>
    <xf numFmtId="0" fontId="1" fillId="4" borderId="18" xfId="0" applyFont="1" applyFill="1" applyBorder="1" applyAlignment="1">
      <alignment horizontal="center"/>
    </xf>
    <xf numFmtId="164" fontId="1" fillId="4" borderId="18" xfId="2" applyNumberFormat="1" applyFont="1" applyFill="1" applyBorder="1" applyAlignment="1">
      <alignment horizontal="center"/>
    </xf>
    <xf numFmtId="164" fontId="1" fillId="4" borderId="19" xfId="2" applyNumberFormat="1" applyFont="1" applyFill="1" applyBorder="1" applyAlignment="1">
      <alignment horizontal="center"/>
    </xf>
    <xf numFmtId="0" fontId="1" fillId="2" borderId="16" xfId="0" applyFont="1" applyFill="1" applyBorder="1"/>
    <xf numFmtId="0" fontId="1" fillId="2" borderId="16" xfId="0" applyFont="1" applyFill="1" applyBorder="1" applyAlignment="1">
      <alignment horizontal="center"/>
    </xf>
    <xf numFmtId="0" fontId="0" fillId="2" borderId="16" xfId="0" applyFill="1" applyBorder="1" applyAlignment="1">
      <alignment horizontal="center"/>
    </xf>
    <xf numFmtId="164" fontId="0" fillId="2" borderId="16" xfId="2" applyNumberFormat="1" applyFont="1" applyFill="1" applyBorder="1" applyAlignment="1">
      <alignment horizontal="center"/>
    </xf>
    <xf numFmtId="165" fontId="0" fillId="2" borderId="16" xfId="2" applyNumberFormat="1" applyFont="1" applyFill="1" applyBorder="1" applyAlignment="1">
      <alignment horizontal="center"/>
    </xf>
    <xf numFmtId="2" fontId="1" fillId="4" borderId="17" xfId="0" applyNumberFormat="1" applyFont="1" applyFill="1" applyBorder="1" applyAlignment="1">
      <alignment wrapText="1"/>
    </xf>
    <xf numFmtId="2" fontId="1" fillId="4" borderId="18" xfId="0" applyNumberFormat="1" applyFont="1" applyFill="1" applyBorder="1" applyAlignment="1">
      <alignment horizontal="center" wrapText="1"/>
    </xf>
    <xf numFmtId="2" fontId="1" fillId="4" borderId="18" xfId="2" applyNumberFormat="1" applyFont="1" applyFill="1" applyBorder="1" applyAlignment="1">
      <alignment horizontal="center" wrapText="1"/>
    </xf>
    <xf numFmtId="2" fontId="1" fillId="4" borderId="19" xfId="2" applyNumberFormat="1" applyFont="1" applyFill="1" applyBorder="1" applyAlignment="1">
      <alignment horizontal="center" wrapText="1"/>
    </xf>
    <xf numFmtId="0" fontId="0" fillId="2" borderId="16" xfId="0" applyFill="1" applyBorder="1"/>
    <xf numFmtId="0" fontId="7" fillId="4" borderId="16" xfId="0" applyFont="1" applyFill="1" applyBorder="1" applyAlignment="1">
      <alignment horizontal="center"/>
    </xf>
    <xf numFmtId="167" fontId="8" fillId="2" borderId="16" xfId="0" applyNumberFormat="1" applyFont="1" applyFill="1" applyBorder="1" applyAlignment="1">
      <alignment horizontal="center"/>
    </xf>
    <xf numFmtId="2" fontId="8" fillId="2" borderId="16" xfId="0" applyNumberFormat="1" applyFont="1" applyFill="1" applyBorder="1" applyAlignment="1">
      <alignment horizontal="center"/>
    </xf>
    <xf numFmtId="165" fontId="0" fillId="2" borderId="16" xfId="0" applyNumberFormat="1" applyFill="1" applyBorder="1" applyAlignment="1">
      <alignment horizontal="center"/>
    </xf>
    <xf numFmtId="0" fontId="1" fillId="4" borderId="16" xfId="0" applyFont="1" applyFill="1" applyBorder="1" applyAlignment="1">
      <alignment horizontal="center"/>
    </xf>
    <xf numFmtId="10" fontId="1" fillId="4" borderId="16" xfId="2" applyNumberFormat="1" applyFont="1" applyFill="1" applyBorder="1" applyAlignment="1">
      <alignment horizontal="center"/>
    </xf>
    <xf numFmtId="167" fontId="7" fillId="2" borderId="16" xfId="0" applyNumberFormat="1" applyFont="1" applyFill="1" applyBorder="1" applyAlignment="1">
      <alignment horizontal="center"/>
    </xf>
    <xf numFmtId="165" fontId="1" fillId="2" borderId="16" xfId="0" applyNumberFormat="1" applyFont="1" applyFill="1" applyBorder="1" applyAlignment="1">
      <alignment horizontal="center"/>
    </xf>
    <xf numFmtId="10" fontId="1" fillId="2" borderId="0" xfId="0" applyNumberFormat="1" applyFont="1" applyFill="1" applyAlignment="1">
      <alignment horizontal="center"/>
    </xf>
    <xf numFmtId="165" fontId="1" fillId="2" borderId="0" xfId="0" applyNumberFormat="1" applyFont="1" applyFill="1" applyAlignment="1">
      <alignment horizontal="center"/>
    </xf>
    <xf numFmtId="0" fontId="1" fillId="2" borderId="0" xfId="0" applyFont="1" applyFill="1" applyAlignment="1"/>
    <xf numFmtId="0" fontId="9" fillId="2" borderId="0" xfId="0" applyFont="1" applyFill="1" applyAlignment="1"/>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14" xfId="0" applyFont="1" applyFill="1" applyBorder="1" applyAlignment="1">
      <alignment horizontal="center"/>
    </xf>
    <xf numFmtId="0" fontId="1" fillId="2" borderId="0" xfId="0" applyFont="1" applyFill="1" applyAlignment="1">
      <alignment horizontal="center" vertical="center"/>
    </xf>
    <xf numFmtId="0" fontId="1" fillId="2" borderId="7" xfId="0" applyFont="1" applyFill="1" applyBorder="1" applyAlignment="1">
      <alignment horizontal="center" vertical="center"/>
    </xf>
    <xf numFmtId="0" fontId="3" fillId="3" borderId="9" xfId="0" applyFont="1" applyFill="1"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2" borderId="0" xfId="0" applyFill="1" applyAlignment="1">
      <alignment wrapText="1"/>
    </xf>
    <xf numFmtId="0" fontId="0" fillId="0" borderId="0" xfId="0" applyAlignment="1">
      <alignment wrapText="1"/>
    </xf>
    <xf numFmtId="0" fontId="0" fillId="2" borderId="1" xfId="0" applyFill="1"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cellXfs>
  <cellStyles count="3">
    <cellStyle name="Hyperlink" xfId="1" builtinId="8"/>
    <cellStyle name="Normal" xfId="0" builtinId="0"/>
    <cellStyle name="Per 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wuser/Desktop/Mentoring/getextra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ACA45-A178-448F-88A3-B715214EB391}">
  <sheetPr codeName="Sheet1">
    <tabColor rgb="FFFFFF00"/>
  </sheetPr>
  <dimension ref="B1:K17"/>
  <sheetViews>
    <sheetView zoomScale="150" zoomScaleNormal="150" workbookViewId="0">
      <selection activeCell="G11" sqref="G11"/>
    </sheetView>
  </sheetViews>
  <sheetFormatPr baseColWidth="10" defaultColWidth="9.1640625" defaultRowHeight="15" x14ac:dyDescent="0.2"/>
  <cols>
    <col min="1" max="1" width="9.1640625" style="1"/>
    <col min="2" max="10" width="12.83203125" style="1" customWidth="1"/>
    <col min="11" max="16384" width="9.1640625" style="1"/>
  </cols>
  <sheetData>
    <row r="1" spans="2:11" x14ac:dyDescent="0.2">
      <c r="B1" s="145"/>
      <c r="C1" s="145"/>
      <c r="D1" s="145"/>
      <c r="E1" s="145"/>
      <c r="F1" s="145"/>
      <c r="G1" s="145"/>
      <c r="H1" s="145"/>
      <c r="I1" s="145"/>
      <c r="J1" s="145"/>
    </row>
    <row r="2" spans="2:11" ht="16" thickBot="1" x14ac:dyDescent="0.25">
      <c r="B2" s="146"/>
      <c r="C2" s="146"/>
      <c r="D2" s="146"/>
      <c r="E2" s="146"/>
      <c r="F2" s="146"/>
      <c r="G2" s="146"/>
      <c r="H2" s="146"/>
      <c r="I2" s="146"/>
      <c r="J2" s="146"/>
    </row>
    <row r="3" spans="2:11" ht="16" thickBot="1" x14ac:dyDescent="0.25">
      <c r="B3" s="147" t="s">
        <v>306</v>
      </c>
      <c r="C3" s="148"/>
      <c r="D3" s="148"/>
      <c r="E3" s="148"/>
      <c r="F3" s="148"/>
      <c r="G3" s="148"/>
      <c r="H3" s="148"/>
      <c r="I3" s="148"/>
      <c r="J3" s="149"/>
    </row>
    <row r="6" spans="2:11" x14ac:dyDescent="0.2">
      <c r="B6" s="142" t="s">
        <v>1</v>
      </c>
      <c r="C6" s="143"/>
      <c r="D6" s="143"/>
      <c r="E6" s="143"/>
      <c r="F6" s="144"/>
      <c r="G6" s="142" t="s">
        <v>0</v>
      </c>
      <c r="H6" s="143"/>
      <c r="I6" s="143"/>
      <c r="J6" s="144"/>
    </row>
    <row r="8" spans="2:11" ht="64.5" customHeight="1" x14ac:dyDescent="0.2">
      <c r="B8" s="150" t="s">
        <v>299</v>
      </c>
      <c r="C8" s="151"/>
      <c r="D8" s="151"/>
      <c r="E8" s="151"/>
      <c r="F8" s="151"/>
      <c r="G8" s="114" t="s">
        <v>300</v>
      </c>
      <c r="H8" s="6"/>
      <c r="I8" s="6"/>
      <c r="J8" s="6"/>
      <c r="K8" s="6"/>
    </row>
    <row r="9" spans="2:11" x14ac:dyDescent="0.2">
      <c r="G9" s="114" t="s">
        <v>301</v>
      </c>
      <c r="H9" s="5"/>
      <c r="I9" s="5"/>
      <c r="J9" s="5"/>
      <c r="K9" s="6"/>
    </row>
    <row r="10" spans="2:11" x14ac:dyDescent="0.2">
      <c r="G10" s="114" t="s">
        <v>302</v>
      </c>
      <c r="H10" s="5"/>
      <c r="I10" s="5"/>
      <c r="J10" s="5"/>
      <c r="K10" s="6"/>
    </row>
    <row r="11" spans="2:11" x14ac:dyDescent="0.2">
      <c r="G11" s="114" t="s">
        <v>303</v>
      </c>
      <c r="H11" s="5"/>
      <c r="I11" s="5"/>
      <c r="J11" s="5"/>
      <c r="K11" s="6"/>
    </row>
    <row r="12" spans="2:11" x14ac:dyDescent="0.2">
      <c r="G12" s="114" t="s">
        <v>304</v>
      </c>
      <c r="H12" s="5"/>
      <c r="I12" s="5"/>
      <c r="J12" s="5"/>
      <c r="K12" s="6"/>
    </row>
    <row r="13" spans="2:11" x14ac:dyDescent="0.2">
      <c r="G13" s="114" t="s">
        <v>305</v>
      </c>
      <c r="H13" s="5"/>
      <c r="I13" s="5"/>
      <c r="J13" s="5"/>
      <c r="K13" s="6"/>
    </row>
    <row r="15" spans="2:11" x14ac:dyDescent="0.2">
      <c r="B15" s="2"/>
    </row>
    <row r="16" spans="2:11" ht="30" customHeight="1" x14ac:dyDescent="0.2">
      <c r="B16" s="150"/>
      <c r="C16" s="151"/>
      <c r="D16" s="151"/>
      <c r="E16" s="151"/>
      <c r="F16" s="151"/>
      <c r="G16" s="151"/>
      <c r="H16" s="151"/>
      <c r="I16" s="151"/>
      <c r="J16" s="151"/>
    </row>
    <row r="17" spans="2:2" x14ac:dyDescent="0.2">
      <c r="B17" s="3"/>
    </row>
  </sheetData>
  <mergeCells count="6">
    <mergeCell ref="B6:F6"/>
    <mergeCell ref="G6:J6"/>
    <mergeCell ref="B1:J2"/>
    <mergeCell ref="B3:J3"/>
    <mergeCell ref="B16:J16"/>
    <mergeCell ref="B8:F8"/>
  </mergeCells>
  <hyperlinks>
    <hyperlink ref="G8" r:id="rId1" xr:uid="{5065EB73-FF71-480F-9B43-5DAAA851CAA0}"/>
    <hyperlink ref="G9" r:id="rId2" display="https://www.reuters.com/" xr:uid="{D9F9C756-8F79-4845-8E42-E289ACF7598E}"/>
    <hyperlink ref="G10" r:id="rId3" xr:uid="{6CAB47EC-69F6-480D-A75D-E3A010FD28CC}"/>
    <hyperlink ref="G11" r:id="rId4" xr:uid="{FB975014-CA6F-46E6-8287-3FF984930F1D}"/>
    <hyperlink ref="G12" r:id="rId5" xr:uid="{4CA51B43-7373-429B-8E7F-51FF57D4BAC2}"/>
    <hyperlink ref="G13" r:id="rId6" xr:uid="{AE103FBF-E4FB-400D-A05C-3396D0CE302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C4921-FEEC-8F4E-836E-79AEB5362C43}">
  <dimension ref="A1"/>
  <sheetViews>
    <sheetView zoomScale="120" zoomScaleNormal="120" workbookViewId="0">
      <selection activeCell="F12" sqref="F12"/>
    </sheetView>
  </sheetViews>
  <sheetFormatPr baseColWidth="10" defaultRowHeight="15" x14ac:dyDescent="0.2"/>
  <sheetData>
    <row r="1" spans="1:1" x14ac:dyDescent="0.2">
      <c r="A1" t="s">
        <v>4756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83B76-977F-7340-B490-69B8EAA39884}">
  <dimension ref="A1"/>
  <sheetViews>
    <sheetView zoomScale="130" zoomScaleNormal="130" workbookViewId="0"/>
  </sheetViews>
  <sheetFormatPr baseColWidth="10" defaultRowHeight="15" x14ac:dyDescent="0.2"/>
  <sheetData>
    <row r="1" spans="1:1" x14ac:dyDescent="0.2">
      <c r="A1" t="s">
        <v>4756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0DB3D-FB10-344B-BF10-510712DC3B48}">
  <dimension ref="A1"/>
  <sheetViews>
    <sheetView zoomScale="120" zoomScaleNormal="120" workbookViewId="0">
      <selection activeCell="J18" sqref="J18"/>
    </sheetView>
  </sheetViews>
  <sheetFormatPr baseColWidth="10" defaultRowHeight="15" x14ac:dyDescent="0.2"/>
  <sheetData>
    <row r="1" spans="1:1" x14ac:dyDescent="0.2">
      <c r="A1" t="s">
        <v>4756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11DE1-E6B4-4DF3-9654-EC07D8FC655D}">
  <dimension ref="C4:I18"/>
  <sheetViews>
    <sheetView zoomScale="170" zoomScaleNormal="170" workbookViewId="0">
      <selection activeCell="E7" sqref="E7"/>
    </sheetView>
  </sheetViews>
  <sheetFormatPr baseColWidth="10" defaultColWidth="9.1640625" defaultRowHeight="15" x14ac:dyDescent="0.2"/>
  <cols>
    <col min="1" max="2" width="9.1640625" style="6"/>
    <col min="3" max="3" width="21.83203125" style="140" customWidth="1"/>
    <col min="4" max="4" width="10.83203125" style="115" customWidth="1"/>
    <col min="5" max="9" width="10.83203125" style="7" customWidth="1"/>
    <col min="10" max="16384" width="9.1640625" style="6"/>
  </cols>
  <sheetData>
    <row r="4" spans="3:9" x14ac:dyDescent="0.2">
      <c r="C4" s="140" t="s">
        <v>4753</v>
      </c>
      <c r="D4" s="115">
        <v>2985</v>
      </c>
    </row>
    <row r="6" spans="3:9" x14ac:dyDescent="0.2">
      <c r="D6" s="130" t="s">
        <v>4750</v>
      </c>
      <c r="E6" s="130" t="s">
        <v>4745</v>
      </c>
      <c r="F6" s="130" t="s">
        <v>4746</v>
      </c>
      <c r="G6" s="130" t="s">
        <v>4747</v>
      </c>
      <c r="H6" s="130" t="s">
        <v>4748</v>
      </c>
      <c r="I6" s="130" t="s">
        <v>4749</v>
      </c>
    </row>
    <row r="7" spans="3:9" x14ac:dyDescent="0.2">
      <c r="C7" s="141" t="s">
        <v>4744</v>
      </c>
      <c r="D7" s="136">
        <v>151.6</v>
      </c>
      <c r="E7" s="132">
        <v>16.54</v>
      </c>
      <c r="F7" s="131">
        <v>161.96</v>
      </c>
      <c r="G7" s="132">
        <f>2985/F7</f>
        <v>18.430476660903928</v>
      </c>
      <c r="H7" s="131">
        <v>181.42</v>
      </c>
      <c r="I7" s="132">
        <f>D4/H7</f>
        <v>16.453533237790761</v>
      </c>
    </row>
    <row r="8" spans="3:9" x14ac:dyDescent="0.2">
      <c r="C8" s="141" t="s">
        <v>4751</v>
      </c>
      <c r="G8" s="98">
        <f>(F7-D7)/D7</f>
        <v>6.8337730870712488E-2</v>
      </c>
      <c r="I8" s="98">
        <f>(H7-F7)/F7</f>
        <v>0.12015312422820436</v>
      </c>
    </row>
    <row r="9" spans="3:9" x14ac:dyDescent="0.2">
      <c r="C9" s="141"/>
      <c r="D9" s="134">
        <v>2016</v>
      </c>
      <c r="E9" s="134"/>
      <c r="F9" s="134">
        <v>2017</v>
      </c>
      <c r="G9" s="134"/>
      <c r="H9" s="134">
        <v>2018</v>
      </c>
      <c r="I9" s="135"/>
    </row>
    <row r="10" spans="3:9" x14ac:dyDescent="0.2">
      <c r="C10" s="141" t="s">
        <v>4752</v>
      </c>
      <c r="D10" s="137">
        <v>1150.68</v>
      </c>
      <c r="E10" s="122"/>
      <c r="F10" s="133">
        <v>1231.57</v>
      </c>
      <c r="G10" s="123">
        <f>(F10-D10)/D10</f>
        <v>7.0297563180032566E-2</v>
      </c>
      <c r="H10" s="133">
        <v>1343</v>
      </c>
      <c r="I10" s="123">
        <f>(H10-F10)/F10</f>
        <v>9.0478007746210176E-2</v>
      </c>
    </row>
    <row r="12" spans="3:9" x14ac:dyDescent="0.2">
      <c r="C12" s="140" t="s">
        <v>87</v>
      </c>
      <c r="D12" s="138">
        <v>1.8800000000000001E-2</v>
      </c>
    </row>
    <row r="14" spans="3:9" x14ac:dyDescent="0.2">
      <c r="C14" s="140" t="s">
        <v>100</v>
      </c>
      <c r="D14" s="115">
        <v>868.42</v>
      </c>
    </row>
    <row r="16" spans="3:9" x14ac:dyDescent="0.2">
      <c r="C16" s="140" t="s">
        <v>4754</v>
      </c>
      <c r="D16" s="139">
        <f>D4/D14</f>
        <v>3.4372768936689622</v>
      </c>
    </row>
    <row r="18" spans="3:4" x14ac:dyDescent="0.2">
      <c r="C18" s="140" t="s">
        <v>4755</v>
      </c>
      <c r="D18" s="139">
        <f>D4/H10</f>
        <v>2.2226358897989575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8F62E-1EFB-4E93-BC82-7C83F3AA535B}">
  <dimension ref="B2:J1634"/>
  <sheetViews>
    <sheetView zoomScale="140" zoomScaleNormal="140" workbookViewId="0">
      <selection activeCell="M34" sqref="M34"/>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6" width="20.33203125" style="55" customWidth="1"/>
    <col min="7" max="7" width="20.33203125" style="7" customWidth="1"/>
    <col min="8" max="16384" width="9.1640625" style="6"/>
  </cols>
  <sheetData>
    <row r="2" spans="2:10" ht="16" thickBot="1" x14ac:dyDescent="0.25"/>
    <row r="3" spans="2:10" ht="32" x14ac:dyDescent="0.2">
      <c r="B3" s="125" t="s">
        <v>307</v>
      </c>
      <c r="C3" s="126" t="s">
        <v>308</v>
      </c>
      <c r="D3" s="126" t="s">
        <v>23</v>
      </c>
      <c r="E3" s="126" t="s">
        <v>5</v>
      </c>
      <c r="F3" s="127" t="s">
        <v>3805</v>
      </c>
      <c r="G3" s="128" t="s">
        <v>3806</v>
      </c>
      <c r="J3" s="6" t="s">
        <v>4726</v>
      </c>
    </row>
    <row r="4" spans="2:10" x14ac:dyDescent="0.2">
      <c r="B4" s="120" t="s">
        <v>309</v>
      </c>
      <c r="C4" s="121" t="s">
        <v>310</v>
      </c>
      <c r="D4" s="122" t="s">
        <v>3556</v>
      </c>
      <c r="E4" s="122" t="s">
        <v>3557</v>
      </c>
      <c r="F4" s="124">
        <v>-1.96</v>
      </c>
      <c r="G4" s="123">
        <v>4.2523394383394413E-2</v>
      </c>
      <c r="J4" s="6" t="s">
        <v>4722</v>
      </c>
    </row>
    <row r="5" spans="2:10" x14ac:dyDescent="0.2">
      <c r="B5" s="120" t="s">
        <v>311</v>
      </c>
      <c r="C5" s="121" t="s">
        <v>312</v>
      </c>
      <c r="D5" s="122" t="s">
        <v>3558</v>
      </c>
      <c r="E5" s="122" t="s">
        <v>3559</v>
      </c>
      <c r="F5" s="124">
        <v>14.33</v>
      </c>
      <c r="G5" s="123">
        <v>-0.18291205849436698</v>
      </c>
      <c r="J5" s="6" t="s">
        <v>4723</v>
      </c>
    </row>
    <row r="6" spans="2:10" x14ac:dyDescent="0.2">
      <c r="B6" s="120" t="s">
        <v>313</v>
      </c>
      <c r="C6" s="121" t="s">
        <v>314</v>
      </c>
      <c r="D6" s="122" t="s">
        <v>3556</v>
      </c>
      <c r="E6" s="122" t="s">
        <v>3560</v>
      </c>
      <c r="F6" s="124">
        <v>21.74</v>
      </c>
      <c r="G6" s="123">
        <v>-6.3366382105447774E-2</v>
      </c>
      <c r="J6" s="6" t="s">
        <v>4724</v>
      </c>
    </row>
    <row r="7" spans="2:10" x14ac:dyDescent="0.2">
      <c r="B7" s="120" t="s">
        <v>315</v>
      </c>
      <c r="C7" s="121" t="s">
        <v>316</v>
      </c>
      <c r="D7" s="122" t="s">
        <v>3561</v>
      </c>
      <c r="E7" s="122" t="s">
        <v>3562</v>
      </c>
      <c r="F7" s="124">
        <v>1.81</v>
      </c>
      <c r="G7" s="123">
        <v>3.2904286836846965E-2</v>
      </c>
    </row>
    <row r="8" spans="2:10" x14ac:dyDescent="0.2">
      <c r="B8" s="120" t="s">
        <v>317</v>
      </c>
      <c r="C8" s="121" t="s">
        <v>318</v>
      </c>
      <c r="D8" s="122" t="s">
        <v>3563</v>
      </c>
      <c r="E8" s="122" t="s">
        <v>3564</v>
      </c>
      <c r="F8" s="124">
        <v>7.41</v>
      </c>
      <c r="G8" s="123">
        <v>4.126385769355323E-2</v>
      </c>
    </row>
    <row r="9" spans="2:10" x14ac:dyDescent="0.2">
      <c r="B9" s="120" t="s">
        <v>319</v>
      </c>
      <c r="C9" s="121" t="s">
        <v>320</v>
      </c>
      <c r="D9" s="122" t="s">
        <v>3563</v>
      </c>
      <c r="E9" s="122" t="s">
        <v>3565</v>
      </c>
      <c r="F9" s="124">
        <v>-0.4</v>
      </c>
      <c r="G9" s="123">
        <v>1.4657361007457922E-2</v>
      </c>
    </row>
    <row r="10" spans="2:10" x14ac:dyDescent="0.2">
      <c r="B10" s="120" t="s">
        <v>321</v>
      </c>
      <c r="C10" s="121" t="s">
        <v>322</v>
      </c>
      <c r="D10" s="122" t="s">
        <v>3556</v>
      </c>
      <c r="E10" s="122" t="s">
        <v>3566</v>
      </c>
      <c r="F10" s="124">
        <v>5.7</v>
      </c>
      <c r="G10" s="123">
        <v>-2.7559995030026953E-2</v>
      </c>
    </row>
    <row r="11" spans="2:10" x14ac:dyDescent="0.2">
      <c r="B11" s="120" t="s">
        <v>323</v>
      </c>
      <c r="C11" s="121" t="s">
        <v>324</v>
      </c>
      <c r="D11" s="122" t="s">
        <v>3558</v>
      </c>
      <c r="E11" s="122" t="s">
        <v>3567</v>
      </c>
      <c r="F11" s="124">
        <v>26.48</v>
      </c>
      <c r="G11" s="123">
        <v>0.16556050182112511</v>
      </c>
    </row>
    <row r="12" spans="2:10" x14ac:dyDescent="0.2">
      <c r="B12" s="120" t="s">
        <v>325</v>
      </c>
      <c r="C12" s="121" t="s">
        <v>326</v>
      </c>
      <c r="D12" s="122" t="s">
        <v>3558</v>
      </c>
      <c r="E12" s="122" t="s">
        <v>3568</v>
      </c>
      <c r="F12" s="124">
        <v>-3.6</v>
      </c>
      <c r="G12" s="123">
        <v>2.8795284144313489E-2</v>
      </c>
    </row>
    <row r="13" spans="2:10" x14ac:dyDescent="0.2">
      <c r="B13" s="120" t="s">
        <v>327</v>
      </c>
      <c r="C13" s="121" t="s">
        <v>328</v>
      </c>
      <c r="D13" s="122" t="s">
        <v>3569</v>
      </c>
      <c r="E13" s="122" t="s">
        <v>3570</v>
      </c>
      <c r="F13" s="124">
        <v>12.33</v>
      </c>
      <c r="G13" s="123">
        <v>7.3507101639545321E-3</v>
      </c>
    </row>
    <row r="14" spans="2:10" x14ac:dyDescent="0.2">
      <c r="B14" s="120" t="s">
        <v>329</v>
      </c>
      <c r="C14" s="121" t="s">
        <v>330</v>
      </c>
      <c r="D14" s="122" t="s">
        <v>3569</v>
      </c>
      <c r="E14" s="122" t="s">
        <v>3571</v>
      </c>
      <c r="F14" s="124">
        <v>7.89</v>
      </c>
      <c r="G14" s="123">
        <v>6.8076957017699072E-2</v>
      </c>
    </row>
    <row r="15" spans="2:10" x14ac:dyDescent="0.2">
      <c r="B15" s="120" t="s">
        <v>331</v>
      </c>
      <c r="C15" s="121" t="s">
        <v>332</v>
      </c>
      <c r="D15" s="122" t="s">
        <v>3569</v>
      </c>
      <c r="E15" s="122" t="s">
        <v>3572</v>
      </c>
      <c r="F15" s="124"/>
      <c r="G15" s="123"/>
    </row>
    <row r="16" spans="2:10" x14ac:dyDescent="0.2">
      <c r="B16" s="120" t="s">
        <v>333</v>
      </c>
      <c r="C16" s="121" t="s">
        <v>334</v>
      </c>
      <c r="D16" s="122" t="s">
        <v>24</v>
      </c>
      <c r="E16" s="122" t="s">
        <v>3573</v>
      </c>
      <c r="F16" s="124">
        <v>-1.29</v>
      </c>
      <c r="G16" s="123">
        <v>6.3400155016265336E-2</v>
      </c>
    </row>
    <row r="17" spans="2:7" x14ac:dyDescent="0.2">
      <c r="B17" s="120" t="s">
        <v>335</v>
      </c>
      <c r="C17" s="121" t="s">
        <v>336</v>
      </c>
      <c r="D17" s="122" t="s">
        <v>3569</v>
      </c>
      <c r="E17" s="122" t="s">
        <v>3574</v>
      </c>
      <c r="F17" s="124">
        <v>35.020000000000003</v>
      </c>
      <c r="G17" s="123">
        <v>0.16163910947064719</v>
      </c>
    </row>
    <row r="18" spans="2:7" x14ac:dyDescent="0.2">
      <c r="B18" s="120" t="s">
        <v>337</v>
      </c>
      <c r="C18" s="121" t="s">
        <v>338</v>
      </c>
      <c r="D18" s="122" t="s">
        <v>3569</v>
      </c>
      <c r="E18" s="122" t="s">
        <v>3572</v>
      </c>
      <c r="F18" s="124">
        <v>10.92</v>
      </c>
      <c r="G18" s="123">
        <v>4.426934266466083E-2</v>
      </c>
    </row>
    <row r="19" spans="2:7" x14ac:dyDescent="0.2">
      <c r="B19" s="120" t="s">
        <v>339</v>
      </c>
      <c r="C19" s="121" t="s">
        <v>340</v>
      </c>
      <c r="D19" s="122" t="s">
        <v>3569</v>
      </c>
      <c r="E19" s="122" t="s">
        <v>3575</v>
      </c>
      <c r="F19" s="124">
        <v>842.64</v>
      </c>
      <c r="G19" s="123">
        <v>0.46193650864572627</v>
      </c>
    </row>
    <row r="20" spans="2:7" x14ac:dyDescent="0.2">
      <c r="B20" s="120" t="s">
        <v>341</v>
      </c>
      <c r="C20" s="121" t="s">
        <v>342</v>
      </c>
      <c r="D20" s="122" t="s">
        <v>3569</v>
      </c>
      <c r="E20" s="122" t="s">
        <v>3572</v>
      </c>
      <c r="F20" s="124"/>
      <c r="G20" s="123">
        <v>1.1320316132031616</v>
      </c>
    </row>
    <row r="21" spans="2:7" x14ac:dyDescent="0.2">
      <c r="B21" s="120" t="s">
        <v>343</v>
      </c>
      <c r="C21" s="121" t="s">
        <v>344</v>
      </c>
      <c r="D21" s="122" t="s">
        <v>3576</v>
      </c>
      <c r="E21" s="122" t="s">
        <v>3577</v>
      </c>
      <c r="F21" s="124">
        <v>4.6100000000000003</v>
      </c>
      <c r="G21" s="123">
        <v>7.1383147330298283E-2</v>
      </c>
    </row>
    <row r="22" spans="2:7" x14ac:dyDescent="0.2">
      <c r="B22" s="120" t="s">
        <v>345</v>
      </c>
      <c r="C22" s="121" t="s">
        <v>346</v>
      </c>
      <c r="D22" s="122" t="s">
        <v>3576</v>
      </c>
      <c r="E22" s="122" t="s">
        <v>3578</v>
      </c>
      <c r="F22" s="124">
        <v>10.69</v>
      </c>
      <c r="G22" s="123">
        <v>0.14712773159504425</v>
      </c>
    </row>
    <row r="23" spans="2:7" x14ac:dyDescent="0.2">
      <c r="B23" s="120" t="s">
        <v>347</v>
      </c>
      <c r="C23" s="121" t="s">
        <v>348</v>
      </c>
      <c r="D23" s="122" t="s">
        <v>3556</v>
      </c>
      <c r="E23" s="122" t="s">
        <v>3579</v>
      </c>
      <c r="F23" s="124">
        <v>-0.01</v>
      </c>
      <c r="G23" s="123">
        <v>0.30478618114836903</v>
      </c>
    </row>
    <row r="24" spans="2:7" x14ac:dyDescent="0.2">
      <c r="B24" s="120" t="s">
        <v>349</v>
      </c>
      <c r="C24" s="121" t="s">
        <v>350</v>
      </c>
      <c r="D24" s="122" t="s">
        <v>3580</v>
      </c>
      <c r="E24" s="122" t="s">
        <v>3581</v>
      </c>
      <c r="F24" s="124">
        <v>12.7</v>
      </c>
      <c r="G24" s="123">
        <v>9.8498653718015958E-3</v>
      </c>
    </row>
    <row r="25" spans="2:7" x14ac:dyDescent="0.2">
      <c r="B25" s="120" t="s">
        <v>351</v>
      </c>
      <c r="C25" s="121" t="s">
        <v>352</v>
      </c>
      <c r="D25" s="122" t="s">
        <v>3582</v>
      </c>
      <c r="E25" s="122" t="s">
        <v>3583</v>
      </c>
      <c r="F25" s="124">
        <v>6.92</v>
      </c>
      <c r="G25" s="123">
        <v>0.10680580807880501</v>
      </c>
    </row>
    <row r="26" spans="2:7" x14ac:dyDescent="0.2">
      <c r="B26" s="120" t="s">
        <v>353</v>
      </c>
      <c r="C26" s="121" t="s">
        <v>354</v>
      </c>
      <c r="D26" s="122" t="s">
        <v>3556</v>
      </c>
      <c r="E26" s="122" t="s">
        <v>3579</v>
      </c>
      <c r="F26" s="124">
        <v>22.09</v>
      </c>
      <c r="G26" s="123">
        <v>0.23675122951137362</v>
      </c>
    </row>
    <row r="27" spans="2:7" x14ac:dyDescent="0.2">
      <c r="B27" s="120" t="s">
        <v>355</v>
      </c>
      <c r="C27" s="121" t="s">
        <v>356</v>
      </c>
      <c r="D27" s="122" t="s">
        <v>3576</v>
      </c>
      <c r="E27" s="122" t="s">
        <v>3584</v>
      </c>
      <c r="F27" s="124">
        <v>29.14</v>
      </c>
      <c r="G27" s="123">
        <v>0.24479075573549272</v>
      </c>
    </row>
    <row r="28" spans="2:7" x14ac:dyDescent="0.2">
      <c r="B28" s="120" t="s">
        <v>357</v>
      </c>
      <c r="C28" s="121" t="s">
        <v>358</v>
      </c>
      <c r="D28" s="122" t="s">
        <v>25</v>
      </c>
      <c r="E28" s="122" t="s">
        <v>3585</v>
      </c>
      <c r="F28" s="124">
        <v>9.07</v>
      </c>
      <c r="G28" s="123">
        <v>2.6365006504728117E-2</v>
      </c>
    </row>
    <row r="29" spans="2:7" x14ac:dyDescent="0.2">
      <c r="B29" s="120" t="s">
        <v>359</v>
      </c>
      <c r="C29" s="121" t="s">
        <v>360</v>
      </c>
      <c r="D29" s="122" t="s">
        <v>3556</v>
      </c>
      <c r="E29" s="122" t="s">
        <v>3586</v>
      </c>
      <c r="F29" s="124">
        <v>21.04</v>
      </c>
      <c r="G29" s="123">
        <v>-3.2537526568552508E-2</v>
      </c>
    </row>
    <row r="30" spans="2:7" x14ac:dyDescent="0.2">
      <c r="B30" s="120" t="s">
        <v>361</v>
      </c>
      <c r="C30" s="121" t="s">
        <v>362</v>
      </c>
      <c r="D30" s="122" t="s">
        <v>24</v>
      </c>
      <c r="E30" s="122" t="s">
        <v>3587</v>
      </c>
      <c r="F30" s="124">
        <v>-4.97</v>
      </c>
      <c r="G30" s="123">
        <v>3.2019338369002656E-2</v>
      </c>
    </row>
    <row r="31" spans="2:7" x14ac:dyDescent="0.2">
      <c r="B31" s="120" t="s">
        <v>363</v>
      </c>
      <c r="C31" s="121" t="s">
        <v>364</v>
      </c>
      <c r="D31" s="122" t="s">
        <v>3582</v>
      </c>
      <c r="E31" s="122" t="s">
        <v>3588</v>
      </c>
      <c r="F31" s="124">
        <v>5.18</v>
      </c>
      <c r="G31" s="123">
        <v>6.342332242225851E-2</v>
      </c>
    </row>
    <row r="32" spans="2:7" x14ac:dyDescent="0.2">
      <c r="B32" s="120" t="s">
        <v>365</v>
      </c>
      <c r="C32" s="121" t="s">
        <v>366</v>
      </c>
      <c r="D32" s="122" t="s">
        <v>24</v>
      </c>
      <c r="E32" s="122" t="s">
        <v>3589</v>
      </c>
      <c r="F32" s="124">
        <v>17.72</v>
      </c>
      <c r="G32" s="123">
        <v>-1.1015193874174352E-2</v>
      </c>
    </row>
    <row r="33" spans="2:7" x14ac:dyDescent="0.2">
      <c r="B33" s="120" t="s">
        <v>367</v>
      </c>
      <c r="C33" s="121" t="s">
        <v>368</v>
      </c>
      <c r="D33" s="122" t="s">
        <v>3582</v>
      </c>
      <c r="E33" s="122" t="s">
        <v>3590</v>
      </c>
      <c r="F33" s="124">
        <v>7.96</v>
      </c>
      <c r="G33" s="123">
        <v>-0.2595222866824109</v>
      </c>
    </row>
    <row r="34" spans="2:7" x14ac:dyDescent="0.2">
      <c r="B34" s="120" t="s">
        <v>369</v>
      </c>
      <c r="C34" s="121" t="s">
        <v>370</v>
      </c>
      <c r="D34" s="122" t="s">
        <v>3556</v>
      </c>
      <c r="E34" s="122" t="s">
        <v>3579</v>
      </c>
      <c r="F34" s="124">
        <v>-0.19</v>
      </c>
      <c r="G34" s="123">
        <v>0.26656941007082252</v>
      </c>
    </row>
    <row r="35" spans="2:7" x14ac:dyDescent="0.2">
      <c r="B35" s="120" t="s">
        <v>371</v>
      </c>
      <c r="C35" s="121" t="s">
        <v>372</v>
      </c>
      <c r="D35" s="122" t="s">
        <v>3558</v>
      </c>
      <c r="E35" s="122" t="s">
        <v>3567</v>
      </c>
      <c r="F35" s="124"/>
      <c r="G35" s="123">
        <v>0.11441009384548241</v>
      </c>
    </row>
    <row r="36" spans="2:7" x14ac:dyDescent="0.2">
      <c r="B36" s="120" t="s">
        <v>373</v>
      </c>
      <c r="C36" s="121" t="s">
        <v>374</v>
      </c>
      <c r="D36" s="122" t="s">
        <v>3591</v>
      </c>
      <c r="E36" s="122" t="s">
        <v>3592</v>
      </c>
      <c r="F36" s="124">
        <v>0.89</v>
      </c>
      <c r="G36" s="123">
        <v>-5.1554776665077E-3</v>
      </c>
    </row>
    <row r="37" spans="2:7" x14ac:dyDescent="0.2">
      <c r="B37" s="120" t="s">
        <v>375</v>
      </c>
      <c r="C37" s="121" t="s">
        <v>376</v>
      </c>
      <c r="D37" s="122" t="s">
        <v>3576</v>
      </c>
      <c r="E37" s="122" t="s">
        <v>3593</v>
      </c>
      <c r="F37" s="124"/>
      <c r="G37" s="123">
        <v>-0.35491049056173529</v>
      </c>
    </row>
    <row r="38" spans="2:7" x14ac:dyDescent="0.2">
      <c r="B38" s="120" t="s">
        <v>377</v>
      </c>
      <c r="C38" s="121" t="s">
        <v>378</v>
      </c>
      <c r="D38" s="122" t="s">
        <v>3594</v>
      </c>
      <c r="E38" s="122" t="s">
        <v>3595</v>
      </c>
      <c r="F38" s="124">
        <v>3.88</v>
      </c>
      <c r="G38" s="123">
        <v>0.10122349193599915</v>
      </c>
    </row>
    <row r="39" spans="2:7" x14ac:dyDescent="0.2">
      <c r="B39" s="120" t="s">
        <v>379</v>
      </c>
      <c r="C39" s="121" t="s">
        <v>380</v>
      </c>
      <c r="D39" s="122" t="s">
        <v>3591</v>
      </c>
      <c r="E39" s="122" t="s">
        <v>3592</v>
      </c>
      <c r="F39" s="124">
        <v>-1.49</v>
      </c>
      <c r="G39" s="123">
        <v>-5.6881154320987583E-3</v>
      </c>
    </row>
    <row r="40" spans="2:7" x14ac:dyDescent="0.2">
      <c r="B40" s="120" t="s">
        <v>381</v>
      </c>
      <c r="C40" s="121" t="s">
        <v>382</v>
      </c>
      <c r="D40" s="122" t="s">
        <v>3576</v>
      </c>
      <c r="E40" s="122" t="s">
        <v>3596</v>
      </c>
      <c r="F40" s="124">
        <v>4.3600000000000003</v>
      </c>
      <c r="G40" s="123">
        <v>3.0240294751228237E-2</v>
      </c>
    </row>
    <row r="41" spans="2:7" x14ac:dyDescent="0.2">
      <c r="B41" s="120" t="s">
        <v>383</v>
      </c>
      <c r="C41" s="121" t="s">
        <v>384</v>
      </c>
      <c r="D41" s="122" t="s">
        <v>3591</v>
      </c>
      <c r="E41" s="122" t="s">
        <v>3592</v>
      </c>
      <c r="F41" s="124">
        <v>-9.8699999999999992</v>
      </c>
      <c r="G41" s="123">
        <v>1.1444682377049166E-2</v>
      </c>
    </row>
    <row r="42" spans="2:7" x14ac:dyDescent="0.2">
      <c r="B42" s="120" t="s">
        <v>385</v>
      </c>
      <c r="C42" s="121" t="s">
        <v>386</v>
      </c>
      <c r="D42" s="122" t="s">
        <v>3576</v>
      </c>
      <c r="E42" s="122" t="s">
        <v>3578</v>
      </c>
      <c r="F42" s="124">
        <v>6.39</v>
      </c>
      <c r="G42" s="123">
        <v>-1</v>
      </c>
    </row>
    <row r="43" spans="2:7" x14ac:dyDescent="0.2">
      <c r="B43" s="120" t="s">
        <v>387</v>
      </c>
      <c r="C43" s="121" t="s">
        <v>388</v>
      </c>
      <c r="D43" s="122" t="s">
        <v>3576</v>
      </c>
      <c r="E43" s="122" t="s">
        <v>3597</v>
      </c>
      <c r="F43" s="124">
        <v>-0.13</v>
      </c>
      <c r="G43" s="123">
        <v>1.491091276771757E-2</v>
      </c>
    </row>
    <row r="44" spans="2:7" x14ac:dyDescent="0.2">
      <c r="B44" s="120" t="s">
        <v>389</v>
      </c>
      <c r="C44" s="121" t="s">
        <v>390</v>
      </c>
      <c r="D44" s="122" t="s">
        <v>3561</v>
      </c>
      <c r="E44" s="122" t="s">
        <v>3562</v>
      </c>
      <c r="F44" s="124">
        <v>-0.96</v>
      </c>
      <c r="G44" s="123">
        <v>-5.6923797952300927E-3</v>
      </c>
    </row>
    <row r="45" spans="2:7" x14ac:dyDescent="0.2">
      <c r="B45" s="120" t="s">
        <v>391</v>
      </c>
      <c r="C45" s="121" t="s">
        <v>392</v>
      </c>
      <c r="D45" s="122" t="s">
        <v>3558</v>
      </c>
      <c r="E45" s="122" t="s">
        <v>3598</v>
      </c>
      <c r="F45" s="124">
        <v>1.06</v>
      </c>
      <c r="G45" s="123">
        <v>7.2824486740804828E-3</v>
      </c>
    </row>
    <row r="46" spans="2:7" x14ac:dyDescent="0.2">
      <c r="B46" s="120" t="s">
        <v>393</v>
      </c>
      <c r="C46" s="121" t="s">
        <v>394</v>
      </c>
      <c r="D46" s="122" t="s">
        <v>3576</v>
      </c>
      <c r="E46" s="122" t="s">
        <v>3593</v>
      </c>
      <c r="F46" s="124">
        <v>-5.72</v>
      </c>
      <c r="G46" s="123">
        <v>-0.64431757957423896</v>
      </c>
    </row>
    <row r="47" spans="2:7" x14ac:dyDescent="0.2">
      <c r="B47" s="120" t="s">
        <v>395</v>
      </c>
      <c r="C47" s="121" t="s">
        <v>396</v>
      </c>
      <c r="D47" s="122" t="s">
        <v>3569</v>
      </c>
      <c r="E47" s="122" t="s">
        <v>3599</v>
      </c>
      <c r="F47" s="124">
        <v>1.52</v>
      </c>
      <c r="G47" s="123">
        <v>-1.9312313617188361E-2</v>
      </c>
    </row>
    <row r="48" spans="2:7" x14ac:dyDescent="0.2">
      <c r="B48" s="120" t="s">
        <v>397</v>
      </c>
      <c r="C48" s="121" t="s">
        <v>398</v>
      </c>
      <c r="D48" s="122" t="s">
        <v>3576</v>
      </c>
      <c r="E48" s="122" t="s">
        <v>3600</v>
      </c>
      <c r="F48" s="124">
        <v>0.31</v>
      </c>
      <c r="G48" s="123">
        <v>-1</v>
      </c>
    </row>
    <row r="49" spans="2:7" x14ac:dyDescent="0.2">
      <c r="B49" s="120" t="s">
        <v>399</v>
      </c>
      <c r="C49" s="121" t="s">
        <v>400</v>
      </c>
      <c r="D49" s="122" t="s">
        <v>3591</v>
      </c>
      <c r="E49" s="122" t="s">
        <v>3592</v>
      </c>
      <c r="F49" s="124">
        <v>8.92</v>
      </c>
      <c r="G49" s="123">
        <v>1.4509725223837698E-4</v>
      </c>
    </row>
    <row r="50" spans="2:7" x14ac:dyDescent="0.2">
      <c r="B50" s="120" t="s">
        <v>401</v>
      </c>
      <c r="C50" s="121" t="s">
        <v>402</v>
      </c>
      <c r="D50" s="122" t="s">
        <v>3580</v>
      </c>
      <c r="E50" s="122" t="s">
        <v>3601</v>
      </c>
      <c r="F50" s="124"/>
      <c r="G50" s="123">
        <v>0.10345516358410944</v>
      </c>
    </row>
    <row r="51" spans="2:7" x14ac:dyDescent="0.2">
      <c r="B51" s="120" t="s">
        <v>403</v>
      </c>
      <c r="C51" s="121" t="s">
        <v>404</v>
      </c>
      <c r="D51" s="122" t="s">
        <v>3594</v>
      </c>
      <c r="E51" s="122" t="s">
        <v>3602</v>
      </c>
      <c r="F51" s="124">
        <v>2.78</v>
      </c>
      <c r="G51" s="123">
        <v>8.1013503644787686E-3</v>
      </c>
    </row>
    <row r="52" spans="2:7" x14ac:dyDescent="0.2">
      <c r="B52" s="120" t="s">
        <v>405</v>
      </c>
      <c r="C52" s="121" t="s">
        <v>406</v>
      </c>
      <c r="D52" s="122" t="s">
        <v>3576</v>
      </c>
      <c r="E52" s="122" t="s">
        <v>3593</v>
      </c>
      <c r="F52" s="124">
        <v>-6.16</v>
      </c>
      <c r="G52" s="123">
        <v>3.9228512946042328E-2</v>
      </c>
    </row>
    <row r="53" spans="2:7" x14ac:dyDescent="0.2">
      <c r="B53" s="120" t="s">
        <v>407</v>
      </c>
      <c r="C53" s="121" t="s">
        <v>408</v>
      </c>
      <c r="D53" s="122" t="s">
        <v>3594</v>
      </c>
      <c r="E53" s="122" t="s">
        <v>3602</v>
      </c>
      <c r="F53" s="124"/>
      <c r="G53" s="123">
        <v>5.8746210842008217E-3</v>
      </c>
    </row>
    <row r="54" spans="2:7" x14ac:dyDescent="0.2">
      <c r="B54" s="120" t="s">
        <v>409</v>
      </c>
      <c r="C54" s="121" t="s">
        <v>410</v>
      </c>
      <c r="D54" s="122" t="s">
        <v>3561</v>
      </c>
      <c r="E54" s="122" t="s">
        <v>3562</v>
      </c>
      <c r="F54" s="124"/>
      <c r="G54" s="123">
        <v>7.7180828110344005E-2</v>
      </c>
    </row>
    <row r="55" spans="2:7" x14ac:dyDescent="0.2">
      <c r="B55" s="120" t="s">
        <v>411</v>
      </c>
      <c r="C55" s="121" t="s">
        <v>412</v>
      </c>
      <c r="D55" s="122" t="s">
        <v>3576</v>
      </c>
      <c r="E55" s="122" t="s">
        <v>3577</v>
      </c>
      <c r="F55" s="124">
        <v>-0.27</v>
      </c>
      <c r="G55" s="123">
        <v>-6.5245092090784745E-2</v>
      </c>
    </row>
    <row r="56" spans="2:7" x14ac:dyDescent="0.2">
      <c r="B56" s="120" t="s">
        <v>413</v>
      </c>
      <c r="C56" s="121" t="s">
        <v>414</v>
      </c>
      <c r="D56" s="122" t="s">
        <v>3576</v>
      </c>
      <c r="E56" s="122" t="s">
        <v>3593</v>
      </c>
      <c r="F56" s="124">
        <v>-7.74</v>
      </c>
      <c r="G56" s="123">
        <v>0.2318531907764097</v>
      </c>
    </row>
    <row r="57" spans="2:7" x14ac:dyDescent="0.2">
      <c r="B57" s="120" t="s">
        <v>415</v>
      </c>
      <c r="C57" s="121" t="s">
        <v>416</v>
      </c>
      <c r="D57" s="122" t="s">
        <v>3576</v>
      </c>
      <c r="E57" s="122" t="s">
        <v>3603</v>
      </c>
      <c r="F57" s="124">
        <v>9.8699999999999992</v>
      </c>
      <c r="G57" s="123">
        <v>4.7317578598211694E-2</v>
      </c>
    </row>
    <row r="58" spans="2:7" x14ac:dyDescent="0.2">
      <c r="B58" s="120" t="s">
        <v>417</v>
      </c>
      <c r="C58" s="121" t="s">
        <v>418</v>
      </c>
      <c r="D58" s="122" t="s">
        <v>3576</v>
      </c>
      <c r="E58" s="122" t="s">
        <v>3604</v>
      </c>
      <c r="F58" s="124"/>
      <c r="G58" s="123" t="e">
        <v>#DIV/0!</v>
      </c>
    </row>
    <row r="59" spans="2:7" x14ac:dyDescent="0.2">
      <c r="B59" s="120" t="s">
        <v>419</v>
      </c>
      <c r="C59" s="121" t="s">
        <v>420</v>
      </c>
      <c r="D59" s="122" t="s">
        <v>3605</v>
      </c>
      <c r="E59" s="122" t="s">
        <v>3606</v>
      </c>
      <c r="F59" s="124">
        <v>4.84</v>
      </c>
      <c r="G59" s="123">
        <v>4.7609557466111091E-2</v>
      </c>
    </row>
    <row r="60" spans="2:7" x14ac:dyDescent="0.2">
      <c r="B60" s="120" t="s">
        <v>421</v>
      </c>
      <c r="C60" s="121" t="s">
        <v>422</v>
      </c>
      <c r="D60" s="122" t="s">
        <v>3556</v>
      </c>
      <c r="E60" s="122" t="s">
        <v>3607</v>
      </c>
      <c r="F60" s="124">
        <v>8.0299999999999994</v>
      </c>
      <c r="G60" s="123">
        <v>5.3410757901174166E-2</v>
      </c>
    </row>
    <row r="61" spans="2:7" x14ac:dyDescent="0.2">
      <c r="B61" s="120" t="s">
        <v>423</v>
      </c>
      <c r="C61" s="121" t="s">
        <v>424</v>
      </c>
      <c r="D61" s="122" t="s">
        <v>3594</v>
      </c>
      <c r="E61" s="122" t="s">
        <v>3602</v>
      </c>
      <c r="F61" s="124">
        <v>-10.83</v>
      </c>
      <c r="G61" s="123">
        <v>-4.7261364114555032E-2</v>
      </c>
    </row>
    <row r="62" spans="2:7" x14ac:dyDescent="0.2">
      <c r="B62" s="120" t="s">
        <v>425</v>
      </c>
      <c r="C62" s="121" t="s">
        <v>426</v>
      </c>
      <c r="D62" s="122" t="s">
        <v>3561</v>
      </c>
      <c r="E62" s="122" t="s">
        <v>3608</v>
      </c>
      <c r="F62" s="124">
        <v>12.29</v>
      </c>
      <c r="G62" s="123">
        <v>0.20240340537000645</v>
      </c>
    </row>
    <row r="63" spans="2:7" x14ac:dyDescent="0.2">
      <c r="B63" s="120" t="s">
        <v>427</v>
      </c>
      <c r="C63" s="121" t="s">
        <v>428</v>
      </c>
      <c r="D63" s="122" t="s">
        <v>3594</v>
      </c>
      <c r="E63" s="122" t="s">
        <v>3602</v>
      </c>
      <c r="F63" s="124">
        <v>3.34</v>
      </c>
      <c r="G63" s="123">
        <v>7.723760055704533E-2</v>
      </c>
    </row>
    <row r="64" spans="2:7" x14ac:dyDescent="0.2">
      <c r="B64" s="120" t="s">
        <v>429</v>
      </c>
      <c r="C64" s="121" t="s">
        <v>430</v>
      </c>
      <c r="D64" s="122" t="s">
        <v>3591</v>
      </c>
      <c r="E64" s="122" t="s">
        <v>3592</v>
      </c>
      <c r="F64" s="124">
        <v>4.3499999999999996</v>
      </c>
      <c r="G64" s="123">
        <v>-6.9538229013746053E-2</v>
      </c>
    </row>
    <row r="65" spans="2:7" x14ac:dyDescent="0.2">
      <c r="B65" s="120" t="s">
        <v>431</v>
      </c>
      <c r="C65" s="121" t="s">
        <v>432</v>
      </c>
      <c r="D65" s="122" t="s">
        <v>3569</v>
      </c>
      <c r="E65" s="122" t="s">
        <v>3571</v>
      </c>
      <c r="F65" s="124">
        <v>28.18</v>
      </c>
      <c r="G65" s="123">
        <v>0.21588670677196431</v>
      </c>
    </row>
    <row r="66" spans="2:7" x14ac:dyDescent="0.2">
      <c r="B66" s="120" t="s">
        <v>433</v>
      </c>
      <c r="C66" s="121" t="s">
        <v>434</v>
      </c>
      <c r="D66" s="122" t="s">
        <v>3561</v>
      </c>
      <c r="E66" s="122" t="s">
        <v>3562</v>
      </c>
      <c r="F66" s="124">
        <v>12.64</v>
      </c>
      <c r="G66" s="123">
        <v>5.9163213939980724E-2</v>
      </c>
    </row>
    <row r="67" spans="2:7" x14ac:dyDescent="0.2">
      <c r="B67" s="120" t="s">
        <v>435</v>
      </c>
      <c r="C67" s="121" t="s">
        <v>436</v>
      </c>
      <c r="D67" s="122" t="s">
        <v>3569</v>
      </c>
      <c r="E67" s="122" t="s">
        <v>3575</v>
      </c>
      <c r="F67" s="124">
        <v>15.45</v>
      </c>
      <c r="G67" s="123">
        <v>7.8934805852303364E-2</v>
      </c>
    </row>
    <row r="68" spans="2:7" x14ac:dyDescent="0.2">
      <c r="B68" s="120" t="s">
        <v>437</v>
      </c>
      <c r="C68" s="121" t="s">
        <v>438</v>
      </c>
      <c r="D68" s="122" t="s">
        <v>3576</v>
      </c>
      <c r="E68" s="122" t="s">
        <v>3578</v>
      </c>
      <c r="F68" s="124">
        <v>3.7</v>
      </c>
      <c r="G68" s="123">
        <v>-9.1322365942483982E-2</v>
      </c>
    </row>
    <row r="69" spans="2:7" x14ac:dyDescent="0.2">
      <c r="B69" s="120" t="s">
        <v>439</v>
      </c>
      <c r="C69" s="121" t="s">
        <v>440</v>
      </c>
      <c r="D69" s="122" t="s">
        <v>3558</v>
      </c>
      <c r="E69" s="122" t="s">
        <v>3567</v>
      </c>
      <c r="F69" s="124">
        <v>6.89</v>
      </c>
      <c r="G69" s="123">
        <v>5.1963941867701459E-2</v>
      </c>
    </row>
    <row r="70" spans="2:7" x14ac:dyDescent="0.2">
      <c r="B70" s="120" t="s">
        <v>441</v>
      </c>
      <c r="C70" s="121" t="s">
        <v>442</v>
      </c>
      <c r="D70" s="122" t="s">
        <v>3569</v>
      </c>
      <c r="E70" s="122" t="s">
        <v>3575</v>
      </c>
      <c r="F70" s="124"/>
      <c r="G70" s="123" t="e">
        <v>#DIV/0!</v>
      </c>
    </row>
    <row r="71" spans="2:7" x14ac:dyDescent="0.2">
      <c r="B71" s="120" t="s">
        <v>443</v>
      </c>
      <c r="C71" s="121" t="s">
        <v>444</v>
      </c>
      <c r="D71" s="122" t="s">
        <v>3569</v>
      </c>
      <c r="E71" s="122" t="s">
        <v>3575</v>
      </c>
      <c r="F71" s="124"/>
      <c r="G71" s="123" t="e">
        <v>#DIV/0!</v>
      </c>
    </row>
    <row r="72" spans="2:7" x14ac:dyDescent="0.2">
      <c r="B72" s="120" t="s">
        <v>445</v>
      </c>
      <c r="C72" s="121" t="s">
        <v>446</v>
      </c>
      <c r="D72" s="122" t="s">
        <v>3576</v>
      </c>
      <c r="E72" s="122" t="s">
        <v>3609</v>
      </c>
      <c r="F72" s="124">
        <v>-9.51</v>
      </c>
      <c r="G72" s="123">
        <v>7.8540172294969027E-2</v>
      </c>
    </row>
    <row r="73" spans="2:7" x14ac:dyDescent="0.2">
      <c r="B73" s="120" t="s">
        <v>447</v>
      </c>
      <c r="C73" s="121" t="s">
        <v>448</v>
      </c>
      <c r="D73" s="122" t="s">
        <v>3569</v>
      </c>
      <c r="E73" s="122" t="s">
        <v>3575</v>
      </c>
      <c r="F73" s="124">
        <v>21.28</v>
      </c>
      <c r="G73" s="123">
        <v>1.769950473902016</v>
      </c>
    </row>
    <row r="74" spans="2:7" x14ac:dyDescent="0.2">
      <c r="B74" s="120" t="s">
        <v>449</v>
      </c>
      <c r="C74" s="121" t="s">
        <v>450</v>
      </c>
      <c r="D74" s="122" t="s">
        <v>3610</v>
      </c>
      <c r="E74" s="122" t="s">
        <v>3611</v>
      </c>
      <c r="F74" s="124">
        <v>6.91</v>
      </c>
      <c r="G74" s="123">
        <v>-1.0164010320678186E-2</v>
      </c>
    </row>
    <row r="75" spans="2:7" x14ac:dyDescent="0.2">
      <c r="B75" s="120" t="s">
        <v>451</v>
      </c>
      <c r="C75" s="121" t="s">
        <v>452</v>
      </c>
      <c r="D75" s="122" t="s">
        <v>3610</v>
      </c>
      <c r="E75" s="122" t="s">
        <v>3611</v>
      </c>
      <c r="F75" s="124">
        <v>0.71</v>
      </c>
      <c r="G75" s="123">
        <v>-1.9692620589523047E-3</v>
      </c>
    </row>
    <row r="76" spans="2:7" x14ac:dyDescent="0.2">
      <c r="B76" s="120" t="s">
        <v>453</v>
      </c>
      <c r="C76" s="121" t="s">
        <v>454</v>
      </c>
      <c r="D76" s="122" t="s">
        <v>3569</v>
      </c>
      <c r="E76" s="122" t="s">
        <v>3575</v>
      </c>
      <c r="F76" s="124">
        <v>17</v>
      </c>
      <c r="G76" s="123">
        <v>0.17298968338497295</v>
      </c>
    </row>
    <row r="77" spans="2:7" x14ac:dyDescent="0.2">
      <c r="B77" s="120" t="s">
        <v>455</v>
      </c>
      <c r="C77" s="121" t="s">
        <v>456</v>
      </c>
      <c r="D77" s="122" t="s">
        <v>3612</v>
      </c>
      <c r="E77" s="122" t="s">
        <v>3613</v>
      </c>
      <c r="F77" s="124">
        <v>187.32</v>
      </c>
      <c r="G77" s="123">
        <v>6.6345041634595203</v>
      </c>
    </row>
    <row r="78" spans="2:7" x14ac:dyDescent="0.2">
      <c r="B78" s="120" t="s">
        <v>457</v>
      </c>
      <c r="C78" s="121" t="s">
        <v>458</v>
      </c>
      <c r="D78" s="122" t="s">
        <v>3556</v>
      </c>
      <c r="E78" s="122" t="s">
        <v>3614</v>
      </c>
      <c r="F78" s="124"/>
      <c r="G78" s="123">
        <v>7.8236803341798722E-2</v>
      </c>
    </row>
    <row r="79" spans="2:7" x14ac:dyDescent="0.2">
      <c r="B79" s="120" t="s">
        <v>459</v>
      </c>
      <c r="C79" s="121" t="s">
        <v>460</v>
      </c>
      <c r="D79" s="122" t="s">
        <v>3556</v>
      </c>
      <c r="E79" s="122" t="s">
        <v>3615</v>
      </c>
      <c r="F79" s="124">
        <v>17.05</v>
      </c>
      <c r="G79" s="123">
        <v>-0.1580330348345215</v>
      </c>
    </row>
    <row r="80" spans="2:7" x14ac:dyDescent="0.2">
      <c r="B80" s="120" t="s">
        <v>461</v>
      </c>
      <c r="C80" s="121" t="s">
        <v>462</v>
      </c>
      <c r="D80" s="122" t="s">
        <v>3556</v>
      </c>
      <c r="E80" s="122" t="s">
        <v>3616</v>
      </c>
      <c r="F80" s="124">
        <v>6.85</v>
      </c>
      <c r="G80" s="123">
        <v>4.6520948262548274E-2</v>
      </c>
    </row>
    <row r="81" spans="2:7" x14ac:dyDescent="0.2">
      <c r="B81" s="120" t="s">
        <v>463</v>
      </c>
      <c r="C81" s="121" t="s">
        <v>464</v>
      </c>
      <c r="D81" s="122" t="s">
        <v>3556</v>
      </c>
      <c r="E81" s="122" t="s">
        <v>3557</v>
      </c>
      <c r="F81" s="124">
        <v>5.12</v>
      </c>
      <c r="G81" s="123">
        <v>7.6533864920024702E-2</v>
      </c>
    </row>
    <row r="82" spans="2:7" x14ac:dyDescent="0.2">
      <c r="B82" s="120" t="s">
        <v>465</v>
      </c>
      <c r="C82" s="121" t="s">
        <v>466</v>
      </c>
      <c r="D82" s="122" t="s">
        <v>3569</v>
      </c>
      <c r="E82" s="122" t="s">
        <v>3617</v>
      </c>
      <c r="F82" s="124">
        <v>8.99</v>
      </c>
      <c r="G82" s="123">
        <v>0.18469730779872257</v>
      </c>
    </row>
    <row r="83" spans="2:7" x14ac:dyDescent="0.2">
      <c r="B83" s="120" t="s">
        <v>467</v>
      </c>
      <c r="C83" s="121" t="s">
        <v>468</v>
      </c>
      <c r="D83" s="122" t="s">
        <v>3576</v>
      </c>
      <c r="E83" s="122" t="s">
        <v>3604</v>
      </c>
      <c r="F83" s="124">
        <v>-1.78</v>
      </c>
      <c r="G83" s="123">
        <v>-6.6961028422468954E-2</v>
      </c>
    </row>
    <row r="84" spans="2:7" x14ac:dyDescent="0.2">
      <c r="B84" s="120" t="s">
        <v>469</v>
      </c>
      <c r="C84" s="121" t="s">
        <v>470</v>
      </c>
      <c r="D84" s="122" t="s">
        <v>3569</v>
      </c>
      <c r="E84" s="122" t="s">
        <v>3575</v>
      </c>
      <c r="F84" s="124">
        <v>3.57</v>
      </c>
      <c r="G84" s="123">
        <v>-3.9916966774750554E-2</v>
      </c>
    </row>
    <row r="85" spans="2:7" x14ac:dyDescent="0.2">
      <c r="B85" s="120" t="s">
        <v>471</v>
      </c>
      <c r="C85" s="121" t="s">
        <v>472</v>
      </c>
      <c r="D85" s="122" t="s">
        <v>3576</v>
      </c>
      <c r="E85" s="122" t="s">
        <v>3577</v>
      </c>
      <c r="F85" s="124">
        <v>25.48</v>
      </c>
      <c r="G85" s="123">
        <v>5.6677988535210021E-2</v>
      </c>
    </row>
    <row r="86" spans="2:7" x14ac:dyDescent="0.2">
      <c r="B86" s="120" t="s">
        <v>473</v>
      </c>
      <c r="C86" s="121" t="s">
        <v>474</v>
      </c>
      <c r="D86" s="122" t="s">
        <v>3561</v>
      </c>
      <c r="E86" s="122" t="s">
        <v>3618</v>
      </c>
      <c r="F86" s="124">
        <v>0.42</v>
      </c>
      <c r="G86" s="123">
        <v>1.2173556472487763E-2</v>
      </c>
    </row>
    <row r="87" spans="2:7" x14ac:dyDescent="0.2">
      <c r="B87" s="120" t="s">
        <v>475</v>
      </c>
      <c r="C87" s="121" t="s">
        <v>476</v>
      </c>
      <c r="D87" s="122" t="s">
        <v>3576</v>
      </c>
      <c r="E87" s="122" t="s">
        <v>3604</v>
      </c>
      <c r="F87" s="124">
        <v>1.06</v>
      </c>
      <c r="G87" s="123">
        <v>-4.9553985196727733E-2</v>
      </c>
    </row>
    <row r="88" spans="2:7" x14ac:dyDescent="0.2">
      <c r="B88" s="120" t="s">
        <v>477</v>
      </c>
      <c r="C88" s="121" t="s">
        <v>478</v>
      </c>
      <c r="D88" s="122" t="s">
        <v>3569</v>
      </c>
      <c r="E88" s="122" t="s">
        <v>3575</v>
      </c>
      <c r="F88" s="124">
        <v>45.16</v>
      </c>
      <c r="G88" s="123">
        <v>0.79605606212643421</v>
      </c>
    </row>
    <row r="89" spans="2:7" x14ac:dyDescent="0.2">
      <c r="B89" s="120" t="s">
        <v>479</v>
      </c>
      <c r="C89" s="121" t="s">
        <v>480</v>
      </c>
      <c r="D89" s="122" t="s">
        <v>3576</v>
      </c>
      <c r="E89" s="122" t="s">
        <v>3619</v>
      </c>
      <c r="F89" s="124">
        <v>15.8</v>
      </c>
      <c r="G89" s="123">
        <v>-2.6338490074059033E-3</v>
      </c>
    </row>
    <row r="90" spans="2:7" x14ac:dyDescent="0.2">
      <c r="B90" s="120" t="s">
        <v>481</v>
      </c>
      <c r="C90" s="121" t="s">
        <v>482</v>
      </c>
      <c r="D90" s="122" t="s">
        <v>3576</v>
      </c>
      <c r="E90" s="122" t="s">
        <v>3620</v>
      </c>
      <c r="F90" s="124">
        <v>15.46</v>
      </c>
      <c r="G90" s="123">
        <v>8.2424059060895088E-2</v>
      </c>
    </row>
    <row r="91" spans="2:7" x14ac:dyDescent="0.2">
      <c r="B91" s="120" t="s">
        <v>483</v>
      </c>
      <c r="C91" s="121" t="s">
        <v>484</v>
      </c>
      <c r="D91" s="122" t="s">
        <v>3556</v>
      </c>
      <c r="E91" s="122" t="s">
        <v>3621</v>
      </c>
      <c r="F91" s="124">
        <v>-3.14</v>
      </c>
      <c r="G91" s="123">
        <v>-3.4697560734696521E-2</v>
      </c>
    </row>
    <row r="92" spans="2:7" x14ac:dyDescent="0.2">
      <c r="B92" s="120" t="s">
        <v>485</v>
      </c>
      <c r="C92" s="121" t="s">
        <v>10</v>
      </c>
      <c r="D92" s="122" t="s">
        <v>3563</v>
      </c>
      <c r="E92" s="122" t="s">
        <v>3622</v>
      </c>
      <c r="F92" s="124">
        <v>27.51</v>
      </c>
      <c r="G92" s="123">
        <v>0.19319146732106129</v>
      </c>
    </row>
    <row r="93" spans="2:7" x14ac:dyDescent="0.2">
      <c r="B93" s="120" t="s">
        <v>486</v>
      </c>
      <c r="C93" s="121" t="s">
        <v>487</v>
      </c>
      <c r="D93" s="122" t="s">
        <v>3563</v>
      </c>
      <c r="E93" s="122" t="s">
        <v>3623</v>
      </c>
      <c r="F93" s="124">
        <v>2.2799999999999998</v>
      </c>
      <c r="G93" s="123">
        <v>-1.630172747141901E-2</v>
      </c>
    </row>
    <row r="94" spans="2:7" x14ac:dyDescent="0.2">
      <c r="B94" s="120" t="s">
        <v>488</v>
      </c>
      <c r="C94" s="121" t="s">
        <v>489</v>
      </c>
      <c r="D94" s="122" t="s">
        <v>3556</v>
      </c>
      <c r="E94" s="122" t="s">
        <v>3624</v>
      </c>
      <c r="F94" s="124">
        <v>38.17</v>
      </c>
      <c r="G94" s="123">
        <v>0.1832214402915352</v>
      </c>
    </row>
    <row r="95" spans="2:7" x14ac:dyDescent="0.2">
      <c r="B95" s="120" t="s">
        <v>490</v>
      </c>
      <c r="C95" s="121" t="s">
        <v>491</v>
      </c>
      <c r="D95" s="122" t="s">
        <v>3556</v>
      </c>
      <c r="E95" s="122" t="s">
        <v>3607</v>
      </c>
      <c r="F95" s="124">
        <v>37.15</v>
      </c>
      <c r="G95" s="123">
        <v>0.18284368155161457</v>
      </c>
    </row>
    <row r="96" spans="2:7" x14ac:dyDescent="0.2">
      <c r="B96" s="120" t="s">
        <v>492</v>
      </c>
      <c r="C96" s="121" t="s">
        <v>493</v>
      </c>
      <c r="D96" s="122" t="s">
        <v>25</v>
      </c>
      <c r="E96" s="122" t="s">
        <v>3585</v>
      </c>
      <c r="F96" s="124"/>
      <c r="G96" s="123">
        <v>0.25717255448930482</v>
      </c>
    </row>
    <row r="97" spans="2:7" x14ac:dyDescent="0.2">
      <c r="B97" s="120" t="s">
        <v>494</v>
      </c>
      <c r="C97" s="121" t="s">
        <v>495</v>
      </c>
      <c r="D97" s="122" t="s">
        <v>3556</v>
      </c>
      <c r="E97" s="122" t="s">
        <v>3579</v>
      </c>
      <c r="F97" s="124">
        <v>8.5299999999999994</v>
      </c>
      <c r="G97" s="123">
        <v>0.14678190222936827</v>
      </c>
    </row>
    <row r="98" spans="2:7" x14ac:dyDescent="0.2">
      <c r="B98" s="120" t="s">
        <v>496</v>
      </c>
      <c r="C98" s="121" t="s">
        <v>497</v>
      </c>
      <c r="D98" s="122" t="s">
        <v>3569</v>
      </c>
      <c r="E98" s="122" t="s">
        <v>3625</v>
      </c>
      <c r="F98" s="124">
        <v>5.92</v>
      </c>
      <c r="G98" s="123">
        <v>9.5262624830356607E-2</v>
      </c>
    </row>
    <row r="99" spans="2:7" x14ac:dyDescent="0.2">
      <c r="B99" s="120" t="s">
        <v>498</v>
      </c>
      <c r="C99" s="121" t="s">
        <v>499</v>
      </c>
      <c r="D99" s="122" t="s">
        <v>3576</v>
      </c>
      <c r="E99" s="122" t="s">
        <v>3626</v>
      </c>
      <c r="F99" s="124"/>
      <c r="G99" s="123">
        <v>-0.51727383526920723</v>
      </c>
    </row>
    <row r="100" spans="2:7" x14ac:dyDescent="0.2">
      <c r="B100" s="120" t="s">
        <v>500</v>
      </c>
      <c r="C100" s="121" t="s">
        <v>501</v>
      </c>
      <c r="D100" s="122" t="s">
        <v>3576</v>
      </c>
      <c r="E100" s="122" t="s">
        <v>3603</v>
      </c>
      <c r="F100" s="124">
        <v>-2.85</v>
      </c>
      <c r="G100" s="123">
        <v>3.5999429897864421E-2</v>
      </c>
    </row>
    <row r="101" spans="2:7" x14ac:dyDescent="0.2">
      <c r="B101" s="120" t="s">
        <v>502</v>
      </c>
      <c r="C101" s="121" t="s">
        <v>503</v>
      </c>
      <c r="D101" s="122" t="s">
        <v>3558</v>
      </c>
      <c r="E101" s="122" t="s">
        <v>3568</v>
      </c>
      <c r="F101" s="124">
        <v>7.45</v>
      </c>
      <c r="G101" s="123">
        <v>-2.2575708146428761E-2</v>
      </c>
    </row>
    <row r="102" spans="2:7" x14ac:dyDescent="0.2">
      <c r="B102" s="120" t="s">
        <v>504</v>
      </c>
      <c r="C102" s="121" t="s">
        <v>505</v>
      </c>
      <c r="D102" s="122" t="s">
        <v>3612</v>
      </c>
      <c r="E102" s="122" t="s">
        <v>3627</v>
      </c>
      <c r="F102" s="124">
        <v>-10.44</v>
      </c>
      <c r="G102" s="123">
        <v>-0.13094573275862073</v>
      </c>
    </row>
    <row r="103" spans="2:7" x14ac:dyDescent="0.2">
      <c r="B103" s="120" t="s">
        <v>506</v>
      </c>
      <c r="C103" s="121" t="s">
        <v>507</v>
      </c>
      <c r="D103" s="122" t="s">
        <v>3594</v>
      </c>
      <c r="E103" s="122" t="s">
        <v>3602</v>
      </c>
      <c r="F103" s="124">
        <v>-3.97</v>
      </c>
      <c r="G103" s="123">
        <v>1.9686009271908722E-2</v>
      </c>
    </row>
    <row r="104" spans="2:7" x14ac:dyDescent="0.2">
      <c r="B104" s="120" t="s">
        <v>508</v>
      </c>
      <c r="C104" s="121" t="s">
        <v>509</v>
      </c>
      <c r="D104" s="122" t="s">
        <v>3556</v>
      </c>
      <c r="E104" s="122" t="s">
        <v>3628</v>
      </c>
      <c r="F104" s="124"/>
      <c r="G104" s="123">
        <v>-1.0929487909454543E-2</v>
      </c>
    </row>
    <row r="105" spans="2:7" x14ac:dyDescent="0.2">
      <c r="B105" s="120" t="s">
        <v>510</v>
      </c>
      <c r="C105" s="121" t="s">
        <v>511</v>
      </c>
      <c r="D105" s="122" t="s">
        <v>3556</v>
      </c>
      <c r="E105" s="122" t="s">
        <v>3629</v>
      </c>
      <c r="F105" s="124">
        <v>11.39</v>
      </c>
      <c r="G105" s="123">
        <v>-2.6947088514996335E-2</v>
      </c>
    </row>
    <row r="106" spans="2:7" x14ac:dyDescent="0.2">
      <c r="B106" s="120" t="s">
        <v>512</v>
      </c>
      <c r="C106" s="121" t="s">
        <v>513</v>
      </c>
      <c r="D106" s="122" t="s">
        <v>3576</v>
      </c>
      <c r="E106" s="122" t="s">
        <v>3604</v>
      </c>
      <c r="F106" s="124"/>
      <c r="G106" s="123">
        <v>0.46159403875359084</v>
      </c>
    </row>
    <row r="107" spans="2:7" x14ac:dyDescent="0.2">
      <c r="B107" s="120" t="s">
        <v>514</v>
      </c>
      <c r="C107" s="121" t="s">
        <v>515</v>
      </c>
      <c r="D107" s="122" t="s">
        <v>3556</v>
      </c>
      <c r="E107" s="122" t="s">
        <v>3630</v>
      </c>
      <c r="F107" s="124">
        <v>39.04</v>
      </c>
      <c r="G107" s="123">
        <v>0.339927342558005</v>
      </c>
    </row>
    <row r="108" spans="2:7" x14ac:dyDescent="0.2">
      <c r="B108" s="120" t="s">
        <v>516</v>
      </c>
      <c r="C108" s="121" t="s">
        <v>517</v>
      </c>
      <c r="D108" s="122" t="s">
        <v>3556</v>
      </c>
      <c r="E108" s="122" t="s">
        <v>3630</v>
      </c>
      <c r="F108" s="124"/>
      <c r="G108" s="123">
        <v>0.15417654582341003</v>
      </c>
    </row>
    <row r="109" spans="2:7" x14ac:dyDescent="0.2">
      <c r="B109" s="120" t="s">
        <v>518</v>
      </c>
      <c r="C109" s="121" t="s">
        <v>519</v>
      </c>
      <c r="D109" s="122" t="s">
        <v>3582</v>
      </c>
      <c r="E109" s="122" t="s">
        <v>3631</v>
      </c>
      <c r="F109" s="124">
        <v>-2.5499999999999998</v>
      </c>
      <c r="G109" s="123">
        <v>1.5844667128507052E-2</v>
      </c>
    </row>
    <row r="110" spans="2:7" x14ac:dyDescent="0.2">
      <c r="B110" s="120" t="s">
        <v>520</v>
      </c>
      <c r="C110" s="121" t="s">
        <v>521</v>
      </c>
      <c r="D110" s="122" t="s">
        <v>3591</v>
      </c>
      <c r="E110" s="122" t="s">
        <v>3592</v>
      </c>
      <c r="F110" s="124">
        <v>21.9</v>
      </c>
      <c r="G110" s="123">
        <v>-8.1249180526890945E-3</v>
      </c>
    </row>
    <row r="111" spans="2:7" x14ac:dyDescent="0.2">
      <c r="B111" s="120" t="s">
        <v>522</v>
      </c>
      <c r="C111" s="121" t="s">
        <v>523</v>
      </c>
      <c r="D111" s="122" t="s">
        <v>3576</v>
      </c>
      <c r="E111" s="122" t="s">
        <v>3632</v>
      </c>
      <c r="F111" s="124">
        <v>8.19</v>
      </c>
      <c r="G111" s="123">
        <v>0.12121618548990272</v>
      </c>
    </row>
    <row r="112" spans="2:7" x14ac:dyDescent="0.2">
      <c r="B112" s="120" t="s">
        <v>524</v>
      </c>
      <c r="C112" s="121" t="s">
        <v>525</v>
      </c>
      <c r="D112" s="122" t="s">
        <v>3576</v>
      </c>
      <c r="E112" s="122" t="s">
        <v>3619</v>
      </c>
      <c r="F112" s="124">
        <v>16.239999999999998</v>
      </c>
      <c r="G112" s="123">
        <v>0.13174028595965226</v>
      </c>
    </row>
    <row r="113" spans="2:7" x14ac:dyDescent="0.2">
      <c r="B113" s="120" t="s">
        <v>526</v>
      </c>
      <c r="C113" s="121" t="s">
        <v>527</v>
      </c>
      <c r="D113" s="122" t="s">
        <v>3576</v>
      </c>
      <c r="E113" s="122" t="s">
        <v>3604</v>
      </c>
      <c r="F113" s="124">
        <v>19.649999999999999</v>
      </c>
      <c r="G113" s="123">
        <v>0.34012585814744484</v>
      </c>
    </row>
    <row r="114" spans="2:7" x14ac:dyDescent="0.2">
      <c r="B114" s="120" t="s">
        <v>528</v>
      </c>
      <c r="C114" s="121" t="s">
        <v>529</v>
      </c>
      <c r="D114" s="122" t="s">
        <v>3569</v>
      </c>
      <c r="E114" s="122" t="s">
        <v>3575</v>
      </c>
      <c r="F114" s="124"/>
      <c r="G114" s="123">
        <v>2.3330701616081981</v>
      </c>
    </row>
    <row r="115" spans="2:7" x14ac:dyDescent="0.2">
      <c r="B115" s="120" t="s">
        <v>530</v>
      </c>
      <c r="C115" s="121" t="s">
        <v>531</v>
      </c>
      <c r="D115" s="122" t="s">
        <v>3594</v>
      </c>
      <c r="E115" s="122" t="s">
        <v>3602</v>
      </c>
      <c r="F115" s="124">
        <v>6.8</v>
      </c>
      <c r="G115" s="123">
        <v>-4.8192526933409266E-2</v>
      </c>
    </row>
    <row r="116" spans="2:7" x14ac:dyDescent="0.2">
      <c r="B116" s="120" t="s">
        <v>532</v>
      </c>
      <c r="C116" s="121" t="s">
        <v>533</v>
      </c>
      <c r="D116" s="122" t="s">
        <v>24</v>
      </c>
      <c r="E116" s="122" t="s">
        <v>3633</v>
      </c>
      <c r="F116" s="124">
        <v>2.12</v>
      </c>
      <c r="G116" s="123">
        <v>2.7428867554211318E-2</v>
      </c>
    </row>
    <row r="117" spans="2:7" x14ac:dyDescent="0.2">
      <c r="B117" s="120" t="s">
        <v>534</v>
      </c>
      <c r="C117" s="121" t="s">
        <v>535</v>
      </c>
      <c r="D117" s="122" t="s">
        <v>3594</v>
      </c>
      <c r="E117" s="122" t="s">
        <v>3634</v>
      </c>
      <c r="F117" s="124">
        <v>-14.48</v>
      </c>
      <c r="G117" s="123">
        <v>3.3184658198943964E-2</v>
      </c>
    </row>
    <row r="118" spans="2:7" x14ac:dyDescent="0.2">
      <c r="B118" s="120" t="s">
        <v>536</v>
      </c>
      <c r="C118" s="121" t="s">
        <v>537</v>
      </c>
      <c r="D118" s="122" t="s">
        <v>3556</v>
      </c>
      <c r="E118" s="122" t="s">
        <v>3635</v>
      </c>
      <c r="F118" s="124">
        <v>7.09</v>
      </c>
      <c r="G118" s="123">
        <v>-2.4104517439060891E-2</v>
      </c>
    </row>
    <row r="119" spans="2:7" x14ac:dyDescent="0.2">
      <c r="B119" s="120" t="s">
        <v>538</v>
      </c>
      <c r="C119" s="121" t="s">
        <v>539</v>
      </c>
      <c r="D119" s="122" t="s">
        <v>3558</v>
      </c>
      <c r="E119" s="122" t="s">
        <v>3567</v>
      </c>
      <c r="F119" s="124">
        <v>5.3</v>
      </c>
      <c r="G119" s="123">
        <v>3.1633007684566991E-2</v>
      </c>
    </row>
    <row r="120" spans="2:7" x14ac:dyDescent="0.2">
      <c r="B120" s="120" t="s">
        <v>540</v>
      </c>
      <c r="C120" s="121" t="s">
        <v>541</v>
      </c>
      <c r="D120" s="122" t="s">
        <v>3576</v>
      </c>
      <c r="E120" s="122" t="s">
        <v>3636</v>
      </c>
      <c r="F120" s="124">
        <v>9.7899999999999991</v>
      </c>
      <c r="G120" s="123">
        <v>-0.1739868980592171</v>
      </c>
    </row>
    <row r="121" spans="2:7" x14ac:dyDescent="0.2">
      <c r="B121" s="120" t="s">
        <v>542</v>
      </c>
      <c r="C121" s="121" t="s">
        <v>543</v>
      </c>
      <c r="D121" s="122" t="s">
        <v>24</v>
      </c>
      <c r="E121" s="122" t="s">
        <v>3633</v>
      </c>
      <c r="F121" s="124"/>
      <c r="G121" s="123">
        <v>-5.3448554423864224E-2</v>
      </c>
    </row>
    <row r="122" spans="2:7" x14ac:dyDescent="0.2">
      <c r="B122" s="120" t="s">
        <v>544</v>
      </c>
      <c r="C122" s="121" t="s">
        <v>545</v>
      </c>
      <c r="D122" s="122" t="s">
        <v>3610</v>
      </c>
      <c r="E122" s="122" t="s">
        <v>3611</v>
      </c>
      <c r="F122" s="124"/>
      <c r="G122" s="123">
        <v>-6.0554248351675543E-3</v>
      </c>
    </row>
    <row r="123" spans="2:7" x14ac:dyDescent="0.2">
      <c r="B123" s="120" t="s">
        <v>546</v>
      </c>
      <c r="C123" s="121" t="s">
        <v>547</v>
      </c>
      <c r="D123" s="122" t="s">
        <v>3556</v>
      </c>
      <c r="E123" s="122" t="s">
        <v>3614</v>
      </c>
      <c r="F123" s="124">
        <v>16.07</v>
      </c>
      <c r="G123" s="123">
        <v>0.14643153086376171</v>
      </c>
    </row>
    <row r="124" spans="2:7" x14ac:dyDescent="0.2">
      <c r="B124" s="120" t="s">
        <v>548</v>
      </c>
      <c r="C124" s="121" t="s">
        <v>549</v>
      </c>
      <c r="D124" s="122" t="s">
        <v>3594</v>
      </c>
      <c r="E124" s="122" t="s">
        <v>3637</v>
      </c>
      <c r="F124" s="124">
        <v>-14.1</v>
      </c>
      <c r="G124" s="123">
        <v>-0.32659525781458726</v>
      </c>
    </row>
    <row r="125" spans="2:7" x14ac:dyDescent="0.2">
      <c r="B125" s="120" t="s">
        <v>550</v>
      </c>
      <c r="C125" s="121" t="s">
        <v>551</v>
      </c>
      <c r="D125" s="122" t="s">
        <v>3558</v>
      </c>
      <c r="E125" s="122" t="s">
        <v>3638</v>
      </c>
      <c r="F125" s="124">
        <v>14.16</v>
      </c>
      <c r="G125" s="123">
        <v>9.9173639076841291E-2</v>
      </c>
    </row>
    <row r="126" spans="2:7" x14ac:dyDescent="0.2">
      <c r="B126" s="120" t="s">
        <v>552</v>
      </c>
      <c r="C126" s="121" t="s">
        <v>553</v>
      </c>
      <c r="D126" s="122" t="s">
        <v>3556</v>
      </c>
      <c r="E126" s="122" t="s">
        <v>3615</v>
      </c>
      <c r="F126" s="124">
        <v>15.68</v>
      </c>
      <c r="G126" s="123">
        <v>6.8384020710283945E-3</v>
      </c>
    </row>
    <row r="127" spans="2:7" x14ac:dyDescent="0.2">
      <c r="B127" s="120" t="s">
        <v>554</v>
      </c>
      <c r="C127" s="121" t="s">
        <v>555</v>
      </c>
      <c r="D127" s="122" t="s">
        <v>3569</v>
      </c>
      <c r="E127" s="122" t="s">
        <v>3575</v>
      </c>
      <c r="F127" s="124">
        <v>-7.32</v>
      </c>
      <c r="G127" s="123">
        <v>0.15919920000000004</v>
      </c>
    </row>
    <row r="128" spans="2:7" x14ac:dyDescent="0.2">
      <c r="B128" s="120" t="s">
        <v>556</v>
      </c>
      <c r="C128" s="121" t="s">
        <v>557</v>
      </c>
      <c r="D128" s="122" t="s">
        <v>3561</v>
      </c>
      <c r="E128" s="122" t="s">
        <v>3639</v>
      </c>
      <c r="F128" s="124">
        <v>15.34</v>
      </c>
      <c r="G128" s="123">
        <v>0.11289033721306976</v>
      </c>
    </row>
    <row r="129" spans="2:7" x14ac:dyDescent="0.2">
      <c r="B129" s="120" t="s">
        <v>558</v>
      </c>
      <c r="C129" s="121" t="s">
        <v>559</v>
      </c>
      <c r="D129" s="122" t="s">
        <v>3556</v>
      </c>
      <c r="E129" s="122" t="s">
        <v>3616</v>
      </c>
      <c r="F129" s="124">
        <v>8.68</v>
      </c>
      <c r="G129" s="123">
        <v>-1</v>
      </c>
    </row>
    <row r="130" spans="2:7" x14ac:dyDescent="0.2">
      <c r="B130" s="120" t="s">
        <v>560</v>
      </c>
      <c r="C130" s="121" t="s">
        <v>561</v>
      </c>
      <c r="D130" s="122" t="s">
        <v>3556</v>
      </c>
      <c r="E130" s="122" t="s">
        <v>3640</v>
      </c>
      <c r="F130" s="124">
        <v>16.93</v>
      </c>
      <c r="G130" s="123">
        <v>-0.12489961325234504</v>
      </c>
    </row>
    <row r="131" spans="2:7" x14ac:dyDescent="0.2">
      <c r="B131" s="120" t="s">
        <v>562</v>
      </c>
      <c r="C131" s="121" t="s">
        <v>563</v>
      </c>
      <c r="D131" s="122" t="s">
        <v>3576</v>
      </c>
      <c r="E131" s="122" t="s">
        <v>3641</v>
      </c>
      <c r="F131" s="124">
        <v>43.02</v>
      </c>
      <c r="G131" s="123">
        <v>-0.21180391410667893</v>
      </c>
    </row>
    <row r="132" spans="2:7" x14ac:dyDescent="0.2">
      <c r="B132" s="120" t="s">
        <v>564</v>
      </c>
      <c r="C132" s="121" t="s">
        <v>565</v>
      </c>
      <c r="D132" s="122" t="s">
        <v>3556</v>
      </c>
      <c r="E132" s="122" t="s">
        <v>3607</v>
      </c>
      <c r="F132" s="124">
        <v>31.15</v>
      </c>
      <c r="G132" s="123">
        <v>0.18282445200661593</v>
      </c>
    </row>
    <row r="133" spans="2:7" x14ac:dyDescent="0.2">
      <c r="B133" s="120" t="s">
        <v>566</v>
      </c>
      <c r="C133" s="121" t="s">
        <v>567</v>
      </c>
      <c r="D133" s="122" t="s">
        <v>3558</v>
      </c>
      <c r="E133" s="122" t="s">
        <v>3642</v>
      </c>
      <c r="F133" s="124">
        <v>-1.92</v>
      </c>
      <c r="G133" s="123">
        <v>-3.2252642687842739E-2</v>
      </c>
    </row>
    <row r="134" spans="2:7" x14ac:dyDescent="0.2">
      <c r="B134" s="120" t="s">
        <v>568</v>
      </c>
      <c r="C134" s="121" t="s">
        <v>569</v>
      </c>
      <c r="D134" s="122" t="s">
        <v>3591</v>
      </c>
      <c r="E134" s="122" t="s">
        <v>3643</v>
      </c>
      <c r="F134" s="124"/>
      <c r="G134" s="123">
        <v>1.0336820144115733E-2</v>
      </c>
    </row>
    <row r="135" spans="2:7" x14ac:dyDescent="0.2">
      <c r="B135" s="120" t="s">
        <v>570</v>
      </c>
      <c r="C135" s="121" t="s">
        <v>571</v>
      </c>
      <c r="D135" s="122" t="s">
        <v>3558</v>
      </c>
      <c r="E135" s="122" t="s">
        <v>3644</v>
      </c>
      <c r="F135" s="124">
        <v>2.54</v>
      </c>
      <c r="G135" s="123">
        <v>5.1775553755117977E-2</v>
      </c>
    </row>
    <row r="136" spans="2:7" x14ac:dyDescent="0.2">
      <c r="B136" s="120" t="s">
        <v>572</v>
      </c>
      <c r="C136" s="121" t="s">
        <v>573</v>
      </c>
      <c r="D136" s="122" t="s">
        <v>3556</v>
      </c>
      <c r="E136" s="122" t="s">
        <v>3624</v>
      </c>
      <c r="F136" s="124"/>
      <c r="G136" s="123">
        <v>3.1697503086255123E-2</v>
      </c>
    </row>
    <row r="137" spans="2:7" x14ac:dyDescent="0.2">
      <c r="B137" s="120" t="s">
        <v>574</v>
      </c>
      <c r="C137" s="121" t="s">
        <v>575</v>
      </c>
      <c r="D137" s="122" t="s">
        <v>25</v>
      </c>
      <c r="E137" s="122" t="s">
        <v>3645</v>
      </c>
      <c r="F137" s="124">
        <v>14.09</v>
      </c>
      <c r="G137" s="123">
        <v>-0.14636920666666664</v>
      </c>
    </row>
    <row r="138" spans="2:7" x14ac:dyDescent="0.2">
      <c r="B138" s="120" t="s">
        <v>576</v>
      </c>
      <c r="C138" s="121" t="s">
        <v>577</v>
      </c>
      <c r="D138" s="122" t="s">
        <v>3594</v>
      </c>
      <c r="E138" s="122" t="s">
        <v>3595</v>
      </c>
      <c r="F138" s="124"/>
      <c r="G138" s="123">
        <v>3.3842236875475579E-2</v>
      </c>
    </row>
    <row r="139" spans="2:7" x14ac:dyDescent="0.2">
      <c r="B139" s="120" t="s">
        <v>578</v>
      </c>
      <c r="C139" s="121" t="s">
        <v>579</v>
      </c>
      <c r="D139" s="122" t="s">
        <v>3576</v>
      </c>
      <c r="E139" s="122" t="s">
        <v>3646</v>
      </c>
      <c r="F139" s="124">
        <v>17.54</v>
      </c>
      <c r="G139" s="123">
        <v>4.2637773881174686E-2</v>
      </c>
    </row>
    <row r="140" spans="2:7" x14ac:dyDescent="0.2">
      <c r="B140" s="120" t="s">
        <v>580</v>
      </c>
      <c r="C140" s="121" t="s">
        <v>581</v>
      </c>
      <c r="D140" s="122" t="s">
        <v>3594</v>
      </c>
      <c r="E140" s="122" t="s">
        <v>3647</v>
      </c>
      <c r="F140" s="124"/>
      <c r="G140" s="123">
        <v>0.14647451115834226</v>
      </c>
    </row>
    <row r="141" spans="2:7" x14ac:dyDescent="0.2">
      <c r="B141" s="120" t="s">
        <v>582</v>
      </c>
      <c r="C141" s="121" t="s">
        <v>583</v>
      </c>
      <c r="D141" s="122" t="s">
        <v>3594</v>
      </c>
      <c r="E141" s="122" t="s">
        <v>3595</v>
      </c>
      <c r="F141" s="124">
        <v>-1.03</v>
      </c>
      <c r="G141" s="123">
        <v>-0.14734500973033082</v>
      </c>
    </row>
    <row r="142" spans="2:7" x14ac:dyDescent="0.2">
      <c r="B142" s="120" t="s">
        <v>584</v>
      </c>
      <c r="C142" s="121" t="s">
        <v>585</v>
      </c>
      <c r="D142" s="122" t="s">
        <v>3591</v>
      </c>
      <c r="E142" s="122" t="s">
        <v>3592</v>
      </c>
      <c r="F142" s="124">
        <v>-1.92</v>
      </c>
      <c r="G142" s="123">
        <v>-1.8176091173965094E-2</v>
      </c>
    </row>
    <row r="143" spans="2:7" x14ac:dyDescent="0.2">
      <c r="B143" s="120" t="s">
        <v>586</v>
      </c>
      <c r="C143" s="121" t="s">
        <v>587</v>
      </c>
      <c r="D143" s="122" t="s">
        <v>3576</v>
      </c>
      <c r="E143" s="122" t="s">
        <v>3604</v>
      </c>
      <c r="F143" s="124">
        <v>1.29</v>
      </c>
      <c r="G143" s="123">
        <v>-0.32448257692933907</v>
      </c>
    </row>
    <row r="144" spans="2:7" x14ac:dyDescent="0.2">
      <c r="B144" s="120" t="s">
        <v>588</v>
      </c>
      <c r="C144" s="121" t="s">
        <v>589</v>
      </c>
      <c r="D144" s="122" t="s">
        <v>3576</v>
      </c>
      <c r="E144" s="122" t="s">
        <v>3577</v>
      </c>
      <c r="F144" s="124">
        <v>7.51</v>
      </c>
      <c r="G144" s="123">
        <v>1.346139030785308E-2</v>
      </c>
    </row>
    <row r="145" spans="2:7" x14ac:dyDescent="0.2">
      <c r="B145" s="120" t="s">
        <v>590</v>
      </c>
      <c r="C145" s="121" t="s">
        <v>591</v>
      </c>
      <c r="D145" s="122" t="s">
        <v>3556</v>
      </c>
      <c r="E145" s="122" t="s">
        <v>3616</v>
      </c>
      <c r="F145" s="124">
        <v>43.13</v>
      </c>
      <c r="G145" s="123">
        <v>8.1666163181120507E-2</v>
      </c>
    </row>
    <row r="146" spans="2:7" x14ac:dyDescent="0.2">
      <c r="B146" s="120" t="s">
        <v>592</v>
      </c>
      <c r="C146" s="121" t="s">
        <v>593</v>
      </c>
      <c r="D146" s="122" t="s">
        <v>3556</v>
      </c>
      <c r="E146" s="122" t="s">
        <v>3630</v>
      </c>
      <c r="F146" s="124"/>
      <c r="G146" s="123">
        <v>0.34102164645350969</v>
      </c>
    </row>
    <row r="147" spans="2:7" x14ac:dyDescent="0.2">
      <c r="B147" s="120" t="s">
        <v>594</v>
      </c>
      <c r="C147" s="121" t="s">
        <v>595</v>
      </c>
      <c r="D147" s="122" t="s">
        <v>3556</v>
      </c>
      <c r="E147" s="122" t="s">
        <v>3635</v>
      </c>
      <c r="F147" s="124">
        <v>-10.220000000000001</v>
      </c>
      <c r="G147" s="123">
        <v>-4.618114269524598E-2</v>
      </c>
    </row>
    <row r="148" spans="2:7" x14ac:dyDescent="0.2">
      <c r="B148" s="120" t="s">
        <v>596</v>
      </c>
      <c r="C148" s="121" t="s">
        <v>597</v>
      </c>
      <c r="D148" s="122" t="s">
        <v>3576</v>
      </c>
      <c r="E148" s="122" t="s">
        <v>3641</v>
      </c>
      <c r="F148" s="124"/>
      <c r="G148" s="123">
        <v>1.1109646874267356</v>
      </c>
    </row>
    <row r="149" spans="2:7" x14ac:dyDescent="0.2">
      <c r="B149" s="120" t="s">
        <v>598</v>
      </c>
      <c r="C149" s="121" t="s">
        <v>599</v>
      </c>
      <c r="D149" s="122" t="s">
        <v>3558</v>
      </c>
      <c r="E149" s="122" t="s">
        <v>3648</v>
      </c>
      <c r="F149" s="124">
        <v>3.64</v>
      </c>
      <c r="G149" s="123">
        <v>-1.2349512501746105E-2</v>
      </c>
    </row>
    <row r="150" spans="2:7" x14ac:dyDescent="0.2">
      <c r="B150" s="120" t="s">
        <v>600</v>
      </c>
      <c r="C150" s="121" t="s">
        <v>601</v>
      </c>
      <c r="D150" s="122" t="s">
        <v>3580</v>
      </c>
      <c r="E150" s="122" t="s">
        <v>3649</v>
      </c>
      <c r="F150" s="124">
        <v>-23.16</v>
      </c>
      <c r="G150" s="123">
        <v>9.2758084691889647E-2</v>
      </c>
    </row>
    <row r="151" spans="2:7" x14ac:dyDescent="0.2">
      <c r="B151" s="120" t="s">
        <v>602</v>
      </c>
      <c r="C151" s="121" t="s">
        <v>603</v>
      </c>
      <c r="D151" s="122" t="s">
        <v>3591</v>
      </c>
      <c r="E151" s="122" t="s">
        <v>3650</v>
      </c>
      <c r="F151" s="124">
        <v>3.3</v>
      </c>
      <c r="G151" s="123">
        <v>4.7480523255813978E-2</v>
      </c>
    </row>
    <row r="152" spans="2:7" x14ac:dyDescent="0.2">
      <c r="B152" s="120" t="s">
        <v>604</v>
      </c>
      <c r="C152" s="121" t="s">
        <v>605</v>
      </c>
      <c r="D152" s="122" t="s">
        <v>3591</v>
      </c>
      <c r="E152" s="122" t="s">
        <v>3650</v>
      </c>
      <c r="F152" s="124">
        <v>-1.27</v>
      </c>
      <c r="G152" s="123">
        <v>6.222242571310839E-2</v>
      </c>
    </row>
    <row r="153" spans="2:7" x14ac:dyDescent="0.2">
      <c r="B153" s="120" t="s">
        <v>606</v>
      </c>
      <c r="C153" s="121" t="s">
        <v>607</v>
      </c>
      <c r="D153" s="122" t="s">
        <v>3576</v>
      </c>
      <c r="E153" s="122" t="s">
        <v>3593</v>
      </c>
      <c r="F153" s="124"/>
      <c r="G153" s="123">
        <v>-7.4344777036814566E-2</v>
      </c>
    </row>
    <row r="154" spans="2:7" x14ac:dyDescent="0.2">
      <c r="B154" s="120" t="s">
        <v>608</v>
      </c>
      <c r="C154" s="121" t="s">
        <v>609</v>
      </c>
      <c r="D154" s="122" t="s">
        <v>3576</v>
      </c>
      <c r="E154" s="122" t="s">
        <v>3651</v>
      </c>
      <c r="F154" s="124">
        <v>4.0599999999999996</v>
      </c>
      <c r="G154" s="123">
        <v>8.1577079924636822E-2</v>
      </c>
    </row>
    <row r="155" spans="2:7" x14ac:dyDescent="0.2">
      <c r="B155" s="120" t="s">
        <v>610</v>
      </c>
      <c r="C155" s="121" t="s">
        <v>611</v>
      </c>
      <c r="D155" s="122" t="s">
        <v>3576</v>
      </c>
      <c r="E155" s="122" t="s">
        <v>3578</v>
      </c>
      <c r="F155" s="124">
        <v>4.87</v>
      </c>
      <c r="G155" s="123">
        <v>-4.8956726471934539E-2</v>
      </c>
    </row>
    <row r="156" spans="2:7" x14ac:dyDescent="0.2">
      <c r="B156" s="120" t="s">
        <v>612</v>
      </c>
      <c r="C156" s="121" t="s">
        <v>613</v>
      </c>
      <c r="D156" s="122" t="s">
        <v>3594</v>
      </c>
      <c r="E156" s="122" t="s">
        <v>3637</v>
      </c>
      <c r="F156" s="124">
        <v>2.1</v>
      </c>
      <c r="G156" s="123">
        <v>-2.4936137137989707E-2</v>
      </c>
    </row>
    <row r="157" spans="2:7" x14ac:dyDescent="0.2">
      <c r="B157" s="120" t="s">
        <v>614</v>
      </c>
      <c r="C157" s="121" t="s">
        <v>615</v>
      </c>
      <c r="D157" s="122" t="s">
        <v>3580</v>
      </c>
      <c r="E157" s="122" t="s">
        <v>3652</v>
      </c>
      <c r="F157" s="124">
        <v>10.61</v>
      </c>
      <c r="G157" s="123">
        <v>5.7416890845357456E-2</v>
      </c>
    </row>
    <row r="158" spans="2:7" x14ac:dyDescent="0.2">
      <c r="B158" s="120" t="s">
        <v>616</v>
      </c>
      <c r="C158" s="121" t="s">
        <v>617</v>
      </c>
      <c r="D158" s="122" t="s">
        <v>3556</v>
      </c>
      <c r="E158" s="122" t="s">
        <v>3630</v>
      </c>
      <c r="F158" s="124">
        <v>57.26</v>
      </c>
      <c r="G158" s="123">
        <v>0.83255022026431713</v>
      </c>
    </row>
    <row r="159" spans="2:7" x14ac:dyDescent="0.2">
      <c r="B159" s="120" t="s">
        <v>618</v>
      </c>
      <c r="C159" s="121" t="s">
        <v>619</v>
      </c>
      <c r="D159" s="122" t="s">
        <v>3569</v>
      </c>
      <c r="E159" s="122" t="s">
        <v>3570</v>
      </c>
      <c r="F159" s="124">
        <v>-3.89</v>
      </c>
      <c r="G159" s="123">
        <v>7.3408764146672759E-2</v>
      </c>
    </row>
    <row r="160" spans="2:7" x14ac:dyDescent="0.2">
      <c r="B160" s="120" t="s">
        <v>620</v>
      </c>
      <c r="C160" s="121" t="s">
        <v>621</v>
      </c>
      <c r="D160" s="122" t="s">
        <v>3563</v>
      </c>
      <c r="E160" s="122" t="s">
        <v>3565</v>
      </c>
      <c r="F160" s="124">
        <v>3.76</v>
      </c>
      <c r="G160" s="123">
        <v>7.8218180424700676E-2</v>
      </c>
    </row>
    <row r="161" spans="2:7" x14ac:dyDescent="0.2">
      <c r="B161" s="120" t="s">
        <v>622</v>
      </c>
      <c r="C161" s="121" t="s">
        <v>623</v>
      </c>
      <c r="D161" s="122" t="s">
        <v>3556</v>
      </c>
      <c r="E161" s="122" t="s">
        <v>3579</v>
      </c>
      <c r="F161" s="124">
        <v>5.28</v>
      </c>
      <c r="G161" s="123">
        <v>-2.7743590600662776E-3</v>
      </c>
    </row>
    <row r="162" spans="2:7" x14ac:dyDescent="0.2">
      <c r="B162" s="120" t="s">
        <v>624</v>
      </c>
      <c r="C162" s="121" t="s">
        <v>625</v>
      </c>
      <c r="D162" s="122" t="s">
        <v>3576</v>
      </c>
      <c r="E162" s="122" t="s">
        <v>3593</v>
      </c>
      <c r="F162" s="124">
        <v>3.03</v>
      </c>
      <c r="G162" s="123">
        <v>-0.44395278239151481</v>
      </c>
    </row>
    <row r="163" spans="2:7" x14ac:dyDescent="0.2">
      <c r="B163" s="120" t="s">
        <v>626</v>
      </c>
      <c r="C163" s="121" t="s">
        <v>627</v>
      </c>
      <c r="D163" s="122" t="s">
        <v>3561</v>
      </c>
      <c r="E163" s="122" t="s">
        <v>3562</v>
      </c>
      <c r="F163" s="124"/>
      <c r="G163" s="123">
        <v>0.22591628195582031</v>
      </c>
    </row>
    <row r="164" spans="2:7" x14ac:dyDescent="0.2">
      <c r="B164" s="120" t="s">
        <v>628</v>
      </c>
      <c r="C164" s="121" t="s">
        <v>629</v>
      </c>
      <c r="D164" s="122" t="s">
        <v>3605</v>
      </c>
      <c r="E164" s="122" t="s">
        <v>3653</v>
      </c>
      <c r="F164" s="124">
        <v>1</v>
      </c>
      <c r="G164" s="123">
        <v>-0.15346158177341357</v>
      </c>
    </row>
    <row r="165" spans="2:7" x14ac:dyDescent="0.2">
      <c r="B165" s="120" t="s">
        <v>630</v>
      </c>
      <c r="C165" s="121" t="s">
        <v>631</v>
      </c>
      <c r="D165" s="122" t="s">
        <v>3563</v>
      </c>
      <c r="E165" s="122" t="s">
        <v>3622</v>
      </c>
      <c r="F165" s="124">
        <v>47.19</v>
      </c>
      <c r="G165" s="123">
        <v>0.30826456528707802</v>
      </c>
    </row>
    <row r="166" spans="2:7" x14ac:dyDescent="0.2">
      <c r="B166" s="120" t="s">
        <v>632</v>
      </c>
      <c r="C166" s="121" t="s">
        <v>633</v>
      </c>
      <c r="D166" s="122" t="s">
        <v>3576</v>
      </c>
      <c r="E166" s="122" t="s">
        <v>3654</v>
      </c>
      <c r="F166" s="124">
        <v>4</v>
      </c>
      <c r="G166" s="123">
        <v>-0.17701320380886923</v>
      </c>
    </row>
    <row r="167" spans="2:7" x14ac:dyDescent="0.2">
      <c r="B167" s="120" t="s">
        <v>634</v>
      </c>
      <c r="C167" s="121" t="s">
        <v>635</v>
      </c>
      <c r="D167" s="122" t="s">
        <v>3605</v>
      </c>
      <c r="E167" s="122" t="s">
        <v>3606</v>
      </c>
      <c r="F167" s="124"/>
      <c r="G167" s="123">
        <v>-2.9902202794452842E-3</v>
      </c>
    </row>
    <row r="168" spans="2:7" x14ac:dyDescent="0.2">
      <c r="B168" s="120" t="s">
        <v>636</v>
      </c>
      <c r="C168" s="121" t="s">
        <v>637</v>
      </c>
      <c r="D168" s="122" t="s">
        <v>3582</v>
      </c>
      <c r="E168" s="122" t="s">
        <v>3655</v>
      </c>
      <c r="F168" s="124">
        <v>5.99</v>
      </c>
      <c r="G168" s="123">
        <v>8.2879571124277268E-2</v>
      </c>
    </row>
    <row r="169" spans="2:7" x14ac:dyDescent="0.2">
      <c r="B169" s="120" t="s">
        <v>638</v>
      </c>
      <c r="C169" s="121" t="s">
        <v>639</v>
      </c>
      <c r="D169" s="122" t="s">
        <v>3610</v>
      </c>
      <c r="E169" s="122" t="s">
        <v>3656</v>
      </c>
      <c r="F169" s="124">
        <v>2.71</v>
      </c>
      <c r="G169" s="123">
        <v>-2.9704668838219327E-2</v>
      </c>
    </row>
    <row r="170" spans="2:7" x14ac:dyDescent="0.2">
      <c r="B170" s="120" t="s">
        <v>640</v>
      </c>
      <c r="C170" s="121" t="s">
        <v>641</v>
      </c>
      <c r="D170" s="122" t="s">
        <v>3576</v>
      </c>
      <c r="E170" s="122" t="s">
        <v>3626</v>
      </c>
      <c r="F170" s="124">
        <v>4.72</v>
      </c>
      <c r="G170" s="123">
        <v>-8.3783992746977121E-2</v>
      </c>
    </row>
    <row r="171" spans="2:7" x14ac:dyDescent="0.2">
      <c r="B171" s="120" t="s">
        <v>642</v>
      </c>
      <c r="C171" s="121" t="s">
        <v>643</v>
      </c>
      <c r="D171" s="122" t="s">
        <v>3594</v>
      </c>
      <c r="E171" s="122" t="s">
        <v>3602</v>
      </c>
      <c r="F171" s="124">
        <v>-4.41</v>
      </c>
      <c r="G171" s="123">
        <v>-4.2156811404397032E-2</v>
      </c>
    </row>
    <row r="172" spans="2:7" x14ac:dyDescent="0.2">
      <c r="B172" s="120" t="s">
        <v>644</v>
      </c>
      <c r="C172" s="121" t="s">
        <v>645</v>
      </c>
      <c r="D172" s="122" t="s">
        <v>3569</v>
      </c>
      <c r="E172" s="122" t="s">
        <v>3572</v>
      </c>
      <c r="F172" s="124">
        <v>-8.93</v>
      </c>
      <c r="G172" s="123">
        <v>1.4583140109643285E-2</v>
      </c>
    </row>
    <row r="173" spans="2:7" x14ac:dyDescent="0.2">
      <c r="B173" s="120" t="s">
        <v>646</v>
      </c>
      <c r="C173" s="121" t="s">
        <v>647</v>
      </c>
      <c r="D173" s="122" t="s">
        <v>3569</v>
      </c>
      <c r="E173" s="122" t="s">
        <v>3570</v>
      </c>
      <c r="F173" s="124">
        <v>-3.14</v>
      </c>
      <c r="G173" s="123">
        <v>0.10811735302610614</v>
      </c>
    </row>
    <row r="174" spans="2:7" x14ac:dyDescent="0.2">
      <c r="B174" s="120" t="s">
        <v>648</v>
      </c>
      <c r="C174" s="121" t="s">
        <v>649</v>
      </c>
      <c r="D174" s="122" t="s">
        <v>3556</v>
      </c>
      <c r="E174" s="122" t="s">
        <v>3621</v>
      </c>
      <c r="F174" s="124">
        <v>-29.7</v>
      </c>
      <c r="G174" s="123">
        <v>0.24586283185840707</v>
      </c>
    </row>
    <row r="175" spans="2:7" x14ac:dyDescent="0.2">
      <c r="B175" s="120" t="s">
        <v>650</v>
      </c>
      <c r="C175" s="121" t="s">
        <v>651</v>
      </c>
      <c r="D175" s="122" t="s">
        <v>3561</v>
      </c>
      <c r="E175" s="122" t="s">
        <v>3562</v>
      </c>
      <c r="F175" s="124"/>
      <c r="G175" s="123">
        <v>-3.0761932040665383E-2</v>
      </c>
    </row>
    <row r="176" spans="2:7" x14ac:dyDescent="0.2">
      <c r="B176" s="120" t="s">
        <v>652</v>
      </c>
      <c r="C176" s="121" t="s">
        <v>653</v>
      </c>
      <c r="D176" s="122" t="s">
        <v>3576</v>
      </c>
      <c r="E176" s="122" t="s">
        <v>3626</v>
      </c>
      <c r="F176" s="124">
        <v>-4.5</v>
      </c>
      <c r="G176" s="123">
        <v>-0.17006019226239791</v>
      </c>
    </row>
    <row r="177" spans="2:7" x14ac:dyDescent="0.2">
      <c r="B177" s="120" t="s">
        <v>654</v>
      </c>
      <c r="C177" s="121" t="s">
        <v>655</v>
      </c>
      <c r="D177" s="122" t="s">
        <v>3594</v>
      </c>
      <c r="E177" s="122" t="s">
        <v>3647</v>
      </c>
      <c r="F177" s="124"/>
      <c r="G177" s="123">
        <v>4.1623506819002849E-2</v>
      </c>
    </row>
    <row r="178" spans="2:7" x14ac:dyDescent="0.2">
      <c r="B178" s="120" t="s">
        <v>656</v>
      </c>
      <c r="C178" s="121" t="s">
        <v>657</v>
      </c>
      <c r="D178" s="122" t="s">
        <v>3576</v>
      </c>
      <c r="E178" s="122" t="s">
        <v>3654</v>
      </c>
      <c r="F178" s="124">
        <v>7.16</v>
      </c>
      <c r="G178" s="123">
        <v>-8.4805541705140097E-2</v>
      </c>
    </row>
    <row r="179" spans="2:7" x14ac:dyDescent="0.2">
      <c r="B179" s="120" t="s">
        <v>658</v>
      </c>
      <c r="C179" s="121" t="s">
        <v>659</v>
      </c>
      <c r="D179" s="122" t="s">
        <v>3576</v>
      </c>
      <c r="E179" s="122" t="s">
        <v>3626</v>
      </c>
      <c r="F179" s="124">
        <v>2.72</v>
      </c>
      <c r="G179" s="123">
        <v>0.33116220594611745</v>
      </c>
    </row>
    <row r="180" spans="2:7" x14ac:dyDescent="0.2">
      <c r="B180" s="120" t="s">
        <v>660</v>
      </c>
      <c r="C180" s="121" t="s">
        <v>661</v>
      </c>
      <c r="D180" s="122" t="s">
        <v>3563</v>
      </c>
      <c r="E180" s="122" t="s">
        <v>3564</v>
      </c>
      <c r="F180" s="124">
        <v>1.44</v>
      </c>
      <c r="G180" s="123">
        <v>1.3988399682828436E-2</v>
      </c>
    </row>
    <row r="181" spans="2:7" x14ac:dyDescent="0.2">
      <c r="B181" s="120" t="s">
        <v>662</v>
      </c>
      <c r="C181" s="121" t="s">
        <v>663</v>
      </c>
      <c r="D181" s="122" t="s">
        <v>25</v>
      </c>
      <c r="E181" s="122" t="s">
        <v>3657</v>
      </c>
      <c r="F181" s="124">
        <v>6.27</v>
      </c>
      <c r="G181" s="123">
        <v>-0.19502730462087148</v>
      </c>
    </row>
    <row r="182" spans="2:7" x14ac:dyDescent="0.2">
      <c r="B182" s="120" t="s">
        <v>664</v>
      </c>
      <c r="C182" s="121" t="s">
        <v>665</v>
      </c>
      <c r="D182" s="122" t="s">
        <v>3610</v>
      </c>
      <c r="E182" s="122" t="s">
        <v>3611</v>
      </c>
      <c r="F182" s="124"/>
      <c r="G182" s="123">
        <v>-0.11016031146053816</v>
      </c>
    </row>
    <row r="183" spans="2:7" x14ac:dyDescent="0.2">
      <c r="B183" s="120" t="s">
        <v>666</v>
      </c>
      <c r="C183" s="121" t="s">
        <v>667</v>
      </c>
      <c r="D183" s="122" t="s">
        <v>3591</v>
      </c>
      <c r="E183" s="122" t="s">
        <v>3658</v>
      </c>
      <c r="F183" s="124">
        <v>0.31</v>
      </c>
      <c r="G183" s="123">
        <v>4.4165641776422312E-3</v>
      </c>
    </row>
    <row r="184" spans="2:7" x14ac:dyDescent="0.2">
      <c r="B184" s="120" t="s">
        <v>668</v>
      </c>
      <c r="C184" s="121" t="s">
        <v>669</v>
      </c>
      <c r="D184" s="122" t="s">
        <v>3576</v>
      </c>
      <c r="E184" s="122" t="s">
        <v>3626</v>
      </c>
      <c r="F184" s="124">
        <v>-1.7</v>
      </c>
      <c r="G184" s="123">
        <v>-0.18980644678906697</v>
      </c>
    </row>
    <row r="185" spans="2:7" x14ac:dyDescent="0.2">
      <c r="B185" s="120" t="s">
        <v>670</v>
      </c>
      <c r="C185" s="121" t="s">
        <v>671</v>
      </c>
      <c r="D185" s="122" t="s">
        <v>3580</v>
      </c>
      <c r="E185" s="122" t="s">
        <v>3581</v>
      </c>
      <c r="F185" s="124"/>
      <c r="G185" s="123">
        <v>7.875710185683242E-2</v>
      </c>
    </row>
    <row r="186" spans="2:7" x14ac:dyDescent="0.2">
      <c r="B186" s="120" t="s">
        <v>672</v>
      </c>
      <c r="C186" s="121" t="s">
        <v>673</v>
      </c>
      <c r="D186" s="122" t="s">
        <v>3582</v>
      </c>
      <c r="E186" s="122" t="s">
        <v>3588</v>
      </c>
      <c r="F186" s="124">
        <v>0.56999999999999995</v>
      </c>
      <c r="G186" s="123">
        <v>7.4158918283699679E-2</v>
      </c>
    </row>
    <row r="187" spans="2:7" x14ac:dyDescent="0.2">
      <c r="B187" s="120" t="s">
        <v>674</v>
      </c>
      <c r="C187" s="121" t="s">
        <v>675</v>
      </c>
      <c r="D187" s="122" t="s">
        <v>3594</v>
      </c>
      <c r="E187" s="122" t="s">
        <v>3637</v>
      </c>
      <c r="F187" s="124">
        <v>4.24</v>
      </c>
      <c r="G187" s="123">
        <v>3.6928302883420444E-2</v>
      </c>
    </row>
    <row r="188" spans="2:7" x14ac:dyDescent="0.2">
      <c r="B188" s="120" t="s">
        <v>676</v>
      </c>
      <c r="C188" s="121" t="s">
        <v>677</v>
      </c>
      <c r="D188" s="122" t="s">
        <v>3576</v>
      </c>
      <c r="E188" s="122" t="s">
        <v>3626</v>
      </c>
      <c r="F188" s="124">
        <v>-10.79</v>
      </c>
      <c r="G188" s="123">
        <v>-8.2769962799979377E-2</v>
      </c>
    </row>
    <row r="189" spans="2:7" x14ac:dyDescent="0.2">
      <c r="B189" s="120" t="s">
        <v>678</v>
      </c>
      <c r="C189" s="121" t="s">
        <v>679</v>
      </c>
      <c r="D189" s="122" t="s">
        <v>3569</v>
      </c>
      <c r="E189" s="122" t="s">
        <v>3571</v>
      </c>
      <c r="F189" s="124">
        <v>15.57</v>
      </c>
      <c r="G189" s="123">
        <v>8.1371613589438785E-2</v>
      </c>
    </row>
    <row r="190" spans="2:7" x14ac:dyDescent="0.2">
      <c r="B190" s="120" t="s">
        <v>680</v>
      </c>
      <c r="C190" s="121" t="s">
        <v>681</v>
      </c>
      <c r="D190" s="122" t="s">
        <v>3576</v>
      </c>
      <c r="E190" s="122" t="s">
        <v>3604</v>
      </c>
      <c r="F190" s="124">
        <v>-7.63</v>
      </c>
      <c r="G190" s="123">
        <v>-7.891075153107252E-2</v>
      </c>
    </row>
    <row r="191" spans="2:7" x14ac:dyDescent="0.2">
      <c r="B191" s="120" t="s">
        <v>682</v>
      </c>
      <c r="C191" s="121" t="s">
        <v>683</v>
      </c>
      <c r="D191" s="122" t="s">
        <v>3558</v>
      </c>
      <c r="E191" s="122" t="s">
        <v>3644</v>
      </c>
      <c r="F191" s="124">
        <v>13.05</v>
      </c>
      <c r="G191" s="123">
        <v>0.14409366374380486</v>
      </c>
    </row>
    <row r="192" spans="2:7" x14ac:dyDescent="0.2">
      <c r="B192" s="120" t="s">
        <v>684</v>
      </c>
      <c r="C192" s="121" t="s">
        <v>685</v>
      </c>
      <c r="D192" s="122" t="s">
        <v>24</v>
      </c>
      <c r="E192" s="122" t="s">
        <v>3573</v>
      </c>
      <c r="F192" s="124">
        <v>-3.63</v>
      </c>
      <c r="G192" s="123">
        <v>-1</v>
      </c>
    </row>
    <row r="193" spans="2:7" x14ac:dyDescent="0.2">
      <c r="B193" s="120" t="s">
        <v>686</v>
      </c>
      <c r="C193" s="121" t="s">
        <v>687</v>
      </c>
      <c r="D193" s="122" t="s">
        <v>24</v>
      </c>
      <c r="E193" s="122" t="s">
        <v>3573</v>
      </c>
      <c r="F193" s="124">
        <v>-3.63</v>
      </c>
      <c r="G193" s="123">
        <v>4.9882686522262347E-2</v>
      </c>
    </row>
    <row r="194" spans="2:7" x14ac:dyDescent="0.2">
      <c r="B194" s="120" t="s">
        <v>688</v>
      </c>
      <c r="C194" s="121" t="s">
        <v>689</v>
      </c>
      <c r="D194" s="122" t="s">
        <v>25</v>
      </c>
      <c r="E194" s="122" t="s">
        <v>3659</v>
      </c>
      <c r="F194" s="124">
        <v>9.02</v>
      </c>
      <c r="G194" s="123">
        <v>8.2917054613856844E-2</v>
      </c>
    </row>
    <row r="195" spans="2:7" x14ac:dyDescent="0.2">
      <c r="B195" s="120" t="s">
        <v>690</v>
      </c>
      <c r="C195" s="121" t="s">
        <v>691</v>
      </c>
      <c r="D195" s="122" t="s">
        <v>3594</v>
      </c>
      <c r="E195" s="122" t="s">
        <v>3660</v>
      </c>
      <c r="F195" s="124">
        <v>-3.72</v>
      </c>
      <c r="G195" s="123">
        <v>-3.8596581772074354E-2</v>
      </c>
    </row>
    <row r="196" spans="2:7" x14ac:dyDescent="0.2">
      <c r="B196" s="120" t="s">
        <v>692</v>
      </c>
      <c r="C196" s="121" t="s">
        <v>693</v>
      </c>
      <c r="D196" s="122" t="s">
        <v>3569</v>
      </c>
      <c r="E196" s="122" t="s">
        <v>3575</v>
      </c>
      <c r="F196" s="124"/>
      <c r="G196" s="123">
        <v>1.0368125819796186</v>
      </c>
    </row>
    <row r="197" spans="2:7" x14ac:dyDescent="0.2">
      <c r="B197" s="120" t="s">
        <v>694</v>
      </c>
      <c r="C197" s="121" t="s">
        <v>695</v>
      </c>
      <c r="D197" s="122" t="s">
        <v>3569</v>
      </c>
      <c r="E197" s="122" t="s">
        <v>3599</v>
      </c>
      <c r="F197" s="124">
        <v>-1.91</v>
      </c>
      <c r="G197" s="123">
        <v>1.6947437947493982E-2</v>
      </c>
    </row>
    <row r="198" spans="2:7" x14ac:dyDescent="0.2">
      <c r="B198" s="120" t="s">
        <v>696</v>
      </c>
      <c r="C198" s="121" t="s">
        <v>697</v>
      </c>
      <c r="D198" s="122" t="s">
        <v>3576</v>
      </c>
      <c r="E198" s="122" t="s">
        <v>3641</v>
      </c>
      <c r="F198" s="124"/>
      <c r="G198" s="123">
        <v>-9.3564981595091995E-2</v>
      </c>
    </row>
    <row r="199" spans="2:7" x14ac:dyDescent="0.2">
      <c r="B199" s="120" t="s">
        <v>698</v>
      </c>
      <c r="C199" s="121" t="s">
        <v>699</v>
      </c>
      <c r="D199" s="122" t="s">
        <v>3612</v>
      </c>
      <c r="E199" s="122" t="s">
        <v>3661</v>
      </c>
      <c r="F199" s="124">
        <v>0.86</v>
      </c>
      <c r="G199" s="123">
        <v>6.6227132928268498E-2</v>
      </c>
    </row>
    <row r="200" spans="2:7" x14ac:dyDescent="0.2">
      <c r="B200" s="120" t="s">
        <v>700</v>
      </c>
      <c r="C200" s="121" t="s">
        <v>701</v>
      </c>
      <c r="D200" s="122" t="s">
        <v>3563</v>
      </c>
      <c r="E200" s="122" t="s">
        <v>3622</v>
      </c>
      <c r="F200" s="124"/>
      <c r="G200" s="123" t="e">
        <v>#DIV/0!</v>
      </c>
    </row>
    <row r="201" spans="2:7" x14ac:dyDescent="0.2">
      <c r="B201" s="120" t="s">
        <v>702</v>
      </c>
      <c r="C201" s="121" t="s">
        <v>703</v>
      </c>
      <c r="D201" s="122" t="s">
        <v>3594</v>
      </c>
      <c r="E201" s="122" t="s">
        <v>3647</v>
      </c>
      <c r="F201" s="124"/>
      <c r="G201" s="123">
        <v>2.2232408327312214E-2</v>
      </c>
    </row>
    <row r="202" spans="2:7" x14ac:dyDescent="0.2">
      <c r="B202" s="120" t="s">
        <v>704</v>
      </c>
      <c r="C202" s="121" t="s">
        <v>705</v>
      </c>
      <c r="D202" s="122" t="s">
        <v>3556</v>
      </c>
      <c r="E202" s="122" t="s">
        <v>3607</v>
      </c>
      <c r="F202" s="124">
        <v>15.94</v>
      </c>
      <c r="G202" s="123">
        <v>5.334429954288792E-2</v>
      </c>
    </row>
    <row r="203" spans="2:7" x14ac:dyDescent="0.2">
      <c r="B203" s="120" t="s">
        <v>706</v>
      </c>
      <c r="C203" s="121" t="s">
        <v>707</v>
      </c>
      <c r="D203" s="122" t="s">
        <v>3569</v>
      </c>
      <c r="E203" s="122" t="s">
        <v>3575</v>
      </c>
      <c r="F203" s="124">
        <v>8.36</v>
      </c>
      <c r="G203" s="123">
        <v>5.0325565491455455E-2</v>
      </c>
    </row>
    <row r="204" spans="2:7" x14ac:dyDescent="0.2">
      <c r="B204" s="120" t="s">
        <v>708</v>
      </c>
      <c r="C204" s="121" t="s">
        <v>709</v>
      </c>
      <c r="D204" s="122" t="s">
        <v>3556</v>
      </c>
      <c r="E204" s="122" t="s">
        <v>3607</v>
      </c>
      <c r="F204" s="124"/>
      <c r="G204" s="123">
        <v>0.54896400395303258</v>
      </c>
    </row>
    <row r="205" spans="2:7" x14ac:dyDescent="0.2">
      <c r="B205" s="120" t="s">
        <v>710</v>
      </c>
      <c r="C205" s="121" t="s">
        <v>711</v>
      </c>
      <c r="D205" s="122" t="s">
        <v>3569</v>
      </c>
      <c r="E205" s="122" t="s">
        <v>3572</v>
      </c>
      <c r="F205" s="124">
        <v>2.0299999999999998</v>
      </c>
      <c r="G205" s="123">
        <v>2.484160149512463E-2</v>
      </c>
    </row>
    <row r="206" spans="2:7" x14ac:dyDescent="0.2">
      <c r="B206" s="120" t="s">
        <v>712</v>
      </c>
      <c r="C206" s="121" t="s">
        <v>713</v>
      </c>
      <c r="D206" s="122" t="s">
        <v>3591</v>
      </c>
      <c r="E206" s="122" t="s">
        <v>3592</v>
      </c>
      <c r="F206" s="124">
        <v>29.37</v>
      </c>
      <c r="G206" s="123">
        <v>2.1603611349957006E-2</v>
      </c>
    </row>
    <row r="207" spans="2:7" x14ac:dyDescent="0.2">
      <c r="B207" s="120" t="s">
        <v>714</v>
      </c>
      <c r="C207" s="121" t="s">
        <v>715</v>
      </c>
      <c r="D207" s="122" t="s">
        <v>25</v>
      </c>
      <c r="E207" s="122" t="s">
        <v>3662</v>
      </c>
      <c r="F207" s="124"/>
      <c r="G207" s="123">
        <v>3.320280149300206E-2</v>
      </c>
    </row>
    <row r="208" spans="2:7" x14ac:dyDescent="0.2">
      <c r="B208" s="120" t="s">
        <v>716</v>
      </c>
      <c r="C208" s="121" t="s">
        <v>717</v>
      </c>
      <c r="D208" s="122" t="s">
        <v>3576</v>
      </c>
      <c r="E208" s="122" t="s">
        <v>3654</v>
      </c>
      <c r="F208" s="124">
        <v>4.83</v>
      </c>
      <c r="G208" s="123">
        <v>-0.18737032352023303</v>
      </c>
    </row>
    <row r="209" spans="2:7" x14ac:dyDescent="0.2">
      <c r="B209" s="120" t="s">
        <v>718</v>
      </c>
      <c r="C209" s="121" t="s">
        <v>719</v>
      </c>
      <c r="D209" s="122" t="s">
        <v>3576</v>
      </c>
      <c r="E209" s="122" t="s">
        <v>3626</v>
      </c>
      <c r="F209" s="124"/>
      <c r="G209" s="123">
        <v>-1</v>
      </c>
    </row>
    <row r="210" spans="2:7" x14ac:dyDescent="0.2">
      <c r="B210" s="120" t="s">
        <v>720</v>
      </c>
      <c r="C210" s="121" t="s">
        <v>721</v>
      </c>
      <c r="D210" s="122" t="s">
        <v>3576</v>
      </c>
      <c r="E210" s="122" t="s">
        <v>3663</v>
      </c>
      <c r="F210" s="124"/>
      <c r="G210" s="123">
        <v>-0.33899293629706434</v>
      </c>
    </row>
    <row r="211" spans="2:7" x14ac:dyDescent="0.2">
      <c r="B211" s="120" t="s">
        <v>722</v>
      </c>
      <c r="C211" s="121" t="s">
        <v>723</v>
      </c>
      <c r="D211" s="122" t="s">
        <v>3591</v>
      </c>
      <c r="E211" s="122" t="s">
        <v>3592</v>
      </c>
      <c r="F211" s="124">
        <v>7.48</v>
      </c>
      <c r="G211" s="123">
        <v>3.801515704269514E-2</v>
      </c>
    </row>
    <row r="212" spans="2:7" x14ac:dyDescent="0.2">
      <c r="B212" s="120" t="s">
        <v>724</v>
      </c>
      <c r="C212" s="121" t="s">
        <v>725</v>
      </c>
      <c r="D212" s="122" t="s">
        <v>3582</v>
      </c>
      <c r="E212" s="122" t="s">
        <v>3664</v>
      </c>
      <c r="F212" s="124">
        <v>6.43</v>
      </c>
      <c r="G212" s="123">
        <v>6.0557495511669557E-2</v>
      </c>
    </row>
    <row r="213" spans="2:7" x14ac:dyDescent="0.2">
      <c r="B213" s="120" t="s">
        <v>726</v>
      </c>
      <c r="C213" s="121" t="s">
        <v>727</v>
      </c>
      <c r="D213" s="122" t="s">
        <v>3563</v>
      </c>
      <c r="E213" s="122" t="s">
        <v>3622</v>
      </c>
      <c r="F213" s="124">
        <v>14.68</v>
      </c>
      <c r="G213" s="123">
        <v>4.4681548840090853E-2</v>
      </c>
    </row>
    <row r="214" spans="2:7" x14ac:dyDescent="0.2">
      <c r="B214" s="120" t="s">
        <v>728</v>
      </c>
      <c r="C214" s="121" t="s">
        <v>729</v>
      </c>
      <c r="D214" s="122" t="s">
        <v>3576</v>
      </c>
      <c r="E214" s="122" t="s">
        <v>3626</v>
      </c>
      <c r="F214" s="124">
        <v>-4.84</v>
      </c>
      <c r="G214" s="123">
        <v>-9.0551399389314169E-2</v>
      </c>
    </row>
    <row r="215" spans="2:7" x14ac:dyDescent="0.2">
      <c r="B215" s="120" t="s">
        <v>730</v>
      </c>
      <c r="C215" s="121" t="s">
        <v>731</v>
      </c>
      <c r="D215" s="122" t="s">
        <v>3576</v>
      </c>
      <c r="E215" s="122" t="s">
        <v>3654</v>
      </c>
      <c r="F215" s="124">
        <v>15.87</v>
      </c>
      <c r="G215" s="123">
        <v>-0.42979375399229686</v>
      </c>
    </row>
    <row r="216" spans="2:7" x14ac:dyDescent="0.2">
      <c r="B216" s="120" t="s">
        <v>732</v>
      </c>
      <c r="C216" s="121" t="s">
        <v>733</v>
      </c>
      <c r="D216" s="122" t="s">
        <v>3580</v>
      </c>
      <c r="E216" s="122" t="s">
        <v>3649</v>
      </c>
      <c r="F216" s="124">
        <v>12.46</v>
      </c>
      <c r="G216" s="123">
        <v>9.9469397085037159E-2</v>
      </c>
    </row>
    <row r="217" spans="2:7" x14ac:dyDescent="0.2">
      <c r="B217" s="120" t="s">
        <v>734</v>
      </c>
      <c r="C217" s="121" t="s">
        <v>735</v>
      </c>
      <c r="D217" s="122" t="s">
        <v>3576</v>
      </c>
      <c r="E217" s="122" t="s">
        <v>3604</v>
      </c>
      <c r="F217" s="124">
        <v>6.08</v>
      </c>
      <c r="G217" s="123">
        <v>1.7762253134244198E-2</v>
      </c>
    </row>
    <row r="218" spans="2:7" x14ac:dyDescent="0.2">
      <c r="B218" s="120" t="s">
        <v>736</v>
      </c>
      <c r="C218" s="121" t="s">
        <v>737</v>
      </c>
      <c r="D218" s="122" t="s">
        <v>3556</v>
      </c>
      <c r="E218" s="122" t="s">
        <v>3579</v>
      </c>
      <c r="F218" s="124">
        <v>10.63</v>
      </c>
      <c r="G218" s="123">
        <v>5.3480409139651887E-2</v>
      </c>
    </row>
    <row r="219" spans="2:7" x14ac:dyDescent="0.2">
      <c r="B219" s="120" t="s">
        <v>738</v>
      </c>
      <c r="C219" s="121" t="s">
        <v>739</v>
      </c>
      <c r="D219" s="122" t="s">
        <v>3558</v>
      </c>
      <c r="E219" s="122" t="s">
        <v>3665</v>
      </c>
      <c r="F219" s="124">
        <v>9.9600000000000009</v>
      </c>
      <c r="G219" s="123">
        <v>1.0046297378599078E-2</v>
      </c>
    </row>
    <row r="220" spans="2:7" x14ac:dyDescent="0.2">
      <c r="B220" s="120" t="s">
        <v>740</v>
      </c>
      <c r="C220" s="121" t="s">
        <v>741</v>
      </c>
      <c r="D220" s="122" t="s">
        <v>3569</v>
      </c>
      <c r="E220" s="122" t="s">
        <v>3575</v>
      </c>
      <c r="F220" s="124">
        <v>29.29</v>
      </c>
      <c r="G220" s="123">
        <v>-5.1429278123854859E-2</v>
      </c>
    </row>
    <row r="221" spans="2:7" x14ac:dyDescent="0.2">
      <c r="B221" s="120" t="s">
        <v>742</v>
      </c>
      <c r="C221" s="121" t="s">
        <v>743</v>
      </c>
      <c r="D221" s="122" t="s">
        <v>3576</v>
      </c>
      <c r="E221" s="122" t="s">
        <v>3626</v>
      </c>
      <c r="F221" s="124">
        <v>9.17</v>
      </c>
      <c r="G221" s="123">
        <v>-0.31217422040813719</v>
      </c>
    </row>
    <row r="222" spans="2:7" x14ac:dyDescent="0.2">
      <c r="B222" s="120" t="s">
        <v>744</v>
      </c>
      <c r="C222" s="121" t="s">
        <v>745</v>
      </c>
      <c r="D222" s="122" t="s">
        <v>3569</v>
      </c>
      <c r="E222" s="122" t="s">
        <v>3575</v>
      </c>
      <c r="F222" s="124">
        <v>18.940000000000001</v>
      </c>
      <c r="G222" s="123">
        <v>0.13899784738568002</v>
      </c>
    </row>
    <row r="223" spans="2:7" x14ac:dyDescent="0.2">
      <c r="B223" s="120" t="s">
        <v>746</v>
      </c>
      <c r="C223" s="121" t="s">
        <v>747</v>
      </c>
      <c r="D223" s="122" t="s">
        <v>25</v>
      </c>
      <c r="E223" s="122" t="s">
        <v>3666</v>
      </c>
      <c r="F223" s="124"/>
      <c r="G223" s="123">
        <v>0.11879778710499232</v>
      </c>
    </row>
    <row r="224" spans="2:7" x14ac:dyDescent="0.2">
      <c r="B224" s="120" t="s">
        <v>748</v>
      </c>
      <c r="C224" s="121" t="s">
        <v>749</v>
      </c>
      <c r="D224" s="122" t="s">
        <v>3569</v>
      </c>
      <c r="E224" s="122" t="s">
        <v>3570</v>
      </c>
      <c r="F224" s="124">
        <v>9.6199999999999992</v>
      </c>
      <c r="G224" s="123">
        <v>6.6851830149372765E-2</v>
      </c>
    </row>
    <row r="225" spans="2:7" x14ac:dyDescent="0.2">
      <c r="B225" s="120" t="s">
        <v>750</v>
      </c>
      <c r="C225" s="121" t="s">
        <v>751</v>
      </c>
      <c r="D225" s="122" t="s">
        <v>3576</v>
      </c>
      <c r="E225" s="122" t="s">
        <v>3626</v>
      </c>
      <c r="F225" s="124">
        <v>0.84</v>
      </c>
      <c r="G225" s="123">
        <v>-2.3181864603302918E-2</v>
      </c>
    </row>
    <row r="226" spans="2:7" x14ac:dyDescent="0.2">
      <c r="B226" s="120" t="s">
        <v>752</v>
      </c>
      <c r="C226" s="121" t="s">
        <v>753</v>
      </c>
      <c r="D226" s="122" t="s">
        <v>3576</v>
      </c>
      <c r="E226" s="122" t="s">
        <v>3626</v>
      </c>
      <c r="F226" s="124">
        <v>5.82</v>
      </c>
      <c r="G226" s="123">
        <v>-0.24887240041278347</v>
      </c>
    </row>
    <row r="227" spans="2:7" x14ac:dyDescent="0.2">
      <c r="B227" s="120" t="s">
        <v>754</v>
      </c>
      <c r="C227" s="121" t="s">
        <v>755</v>
      </c>
      <c r="D227" s="122" t="s">
        <v>3594</v>
      </c>
      <c r="E227" s="122" t="s">
        <v>3602</v>
      </c>
      <c r="F227" s="124">
        <v>12.09</v>
      </c>
      <c r="G227" s="123">
        <v>-3.1711638821214062E-2</v>
      </c>
    </row>
    <row r="228" spans="2:7" x14ac:dyDescent="0.2">
      <c r="B228" s="120" t="s">
        <v>756</v>
      </c>
      <c r="C228" s="121" t="s">
        <v>757</v>
      </c>
      <c r="D228" s="122" t="s">
        <v>3576</v>
      </c>
      <c r="E228" s="122" t="s">
        <v>3667</v>
      </c>
      <c r="F228" s="124">
        <v>4.84</v>
      </c>
      <c r="G228" s="123">
        <v>-5.7128382700597918E-2</v>
      </c>
    </row>
    <row r="229" spans="2:7" x14ac:dyDescent="0.2">
      <c r="B229" s="120" t="s">
        <v>758</v>
      </c>
      <c r="C229" s="121" t="s">
        <v>759</v>
      </c>
      <c r="D229" s="122" t="s">
        <v>3576</v>
      </c>
      <c r="E229" s="122" t="s">
        <v>3668</v>
      </c>
      <c r="F229" s="124">
        <v>8.64</v>
      </c>
      <c r="G229" s="123">
        <v>-1.3953419935942303E-2</v>
      </c>
    </row>
    <row r="230" spans="2:7" x14ac:dyDescent="0.2">
      <c r="B230" s="120" t="s">
        <v>760</v>
      </c>
      <c r="C230" s="121" t="s">
        <v>761</v>
      </c>
      <c r="D230" s="122" t="s">
        <v>3558</v>
      </c>
      <c r="E230" s="122" t="s">
        <v>3638</v>
      </c>
      <c r="F230" s="124">
        <v>8.9700000000000006</v>
      </c>
      <c r="G230" s="123">
        <v>-5.8052116384546453E-3</v>
      </c>
    </row>
    <row r="231" spans="2:7" x14ac:dyDescent="0.2">
      <c r="B231" s="120" t="s">
        <v>762</v>
      </c>
      <c r="C231" s="121" t="s">
        <v>763</v>
      </c>
      <c r="D231" s="122" t="s">
        <v>3612</v>
      </c>
      <c r="E231" s="122" t="s">
        <v>3669</v>
      </c>
      <c r="F231" s="124">
        <v>-0.66</v>
      </c>
      <c r="G231" s="123">
        <v>-3.2553446555913322E-2</v>
      </c>
    </row>
    <row r="232" spans="2:7" x14ac:dyDescent="0.2">
      <c r="B232" s="120" t="s">
        <v>764</v>
      </c>
      <c r="C232" s="121" t="s">
        <v>765</v>
      </c>
      <c r="D232" s="122" t="s">
        <v>3612</v>
      </c>
      <c r="E232" s="122" t="s">
        <v>3670</v>
      </c>
      <c r="F232" s="124">
        <v>-7.1</v>
      </c>
      <c r="G232" s="123">
        <v>-1.4378327130398017E-2</v>
      </c>
    </row>
    <row r="233" spans="2:7" x14ac:dyDescent="0.2">
      <c r="B233" s="120" t="s">
        <v>766</v>
      </c>
      <c r="C233" s="121" t="s">
        <v>767</v>
      </c>
      <c r="D233" s="122" t="s">
        <v>3569</v>
      </c>
      <c r="E233" s="122" t="s">
        <v>3575</v>
      </c>
      <c r="F233" s="124">
        <v>14.88</v>
      </c>
      <c r="G233" s="123">
        <v>-0.786136567834681</v>
      </c>
    </row>
    <row r="234" spans="2:7" x14ac:dyDescent="0.2">
      <c r="B234" s="120" t="s">
        <v>768</v>
      </c>
      <c r="C234" s="121" t="s">
        <v>769</v>
      </c>
      <c r="D234" s="122" t="s">
        <v>3576</v>
      </c>
      <c r="E234" s="122" t="s">
        <v>3671</v>
      </c>
      <c r="F234" s="124">
        <v>5.43</v>
      </c>
      <c r="G234" s="123">
        <v>-7.7716371142038831E-2</v>
      </c>
    </row>
    <row r="235" spans="2:7" x14ac:dyDescent="0.2">
      <c r="B235" s="120" t="s">
        <v>770</v>
      </c>
      <c r="C235" s="121" t="s">
        <v>771</v>
      </c>
      <c r="D235" s="122" t="s">
        <v>3582</v>
      </c>
      <c r="E235" s="122" t="s">
        <v>3588</v>
      </c>
      <c r="F235" s="124">
        <v>15.31</v>
      </c>
      <c r="G235" s="123">
        <v>5.1584111228279446E-2</v>
      </c>
    </row>
    <row r="236" spans="2:7" x14ac:dyDescent="0.2">
      <c r="B236" s="120" t="s">
        <v>772</v>
      </c>
      <c r="C236" s="121" t="s">
        <v>773</v>
      </c>
      <c r="D236" s="122" t="s">
        <v>3610</v>
      </c>
      <c r="E236" s="122" t="s">
        <v>3672</v>
      </c>
      <c r="F236" s="124">
        <v>0.22</v>
      </c>
      <c r="G236" s="123">
        <v>-5.1645475477864015E-3</v>
      </c>
    </row>
    <row r="237" spans="2:7" x14ac:dyDescent="0.2">
      <c r="B237" s="120" t="s">
        <v>774</v>
      </c>
      <c r="C237" s="121" t="s">
        <v>775</v>
      </c>
      <c r="D237" s="122" t="s">
        <v>24</v>
      </c>
      <c r="E237" s="122" t="s">
        <v>3633</v>
      </c>
      <c r="F237" s="124">
        <v>-6.98</v>
      </c>
      <c r="G237" s="123">
        <v>-2.8326063703089453E-2</v>
      </c>
    </row>
    <row r="238" spans="2:7" x14ac:dyDescent="0.2">
      <c r="B238" s="120" t="s">
        <v>776</v>
      </c>
      <c r="C238" s="121" t="s">
        <v>777</v>
      </c>
      <c r="D238" s="122" t="s">
        <v>3576</v>
      </c>
      <c r="E238" s="122" t="s">
        <v>3578</v>
      </c>
      <c r="F238" s="124">
        <v>6.04</v>
      </c>
      <c r="G238" s="123">
        <v>0.20113257403051199</v>
      </c>
    </row>
    <row r="239" spans="2:7" x14ac:dyDescent="0.2">
      <c r="B239" s="120" t="s">
        <v>778</v>
      </c>
      <c r="C239" s="121" t="s">
        <v>779</v>
      </c>
      <c r="D239" s="122" t="s">
        <v>3612</v>
      </c>
      <c r="E239" s="122" t="s">
        <v>3669</v>
      </c>
      <c r="F239" s="124">
        <v>-3.67</v>
      </c>
      <c r="G239" s="123">
        <v>-0.27241966336992057</v>
      </c>
    </row>
    <row r="240" spans="2:7" x14ac:dyDescent="0.2">
      <c r="B240" s="120" t="s">
        <v>780</v>
      </c>
      <c r="C240" s="121" t="s">
        <v>781</v>
      </c>
      <c r="D240" s="122" t="s">
        <v>3556</v>
      </c>
      <c r="E240" s="122" t="s">
        <v>3673</v>
      </c>
      <c r="F240" s="124">
        <v>2.4300000000000002</v>
      </c>
      <c r="G240" s="123">
        <v>7.7015171977210445E-2</v>
      </c>
    </row>
    <row r="241" spans="2:7" x14ac:dyDescent="0.2">
      <c r="B241" s="120" t="s">
        <v>782</v>
      </c>
      <c r="C241" s="121" t="s">
        <v>783</v>
      </c>
      <c r="D241" s="122" t="s">
        <v>3576</v>
      </c>
      <c r="E241" s="122" t="s">
        <v>3603</v>
      </c>
      <c r="F241" s="124">
        <v>6.99</v>
      </c>
      <c r="G241" s="123">
        <v>0.17781306225796847</v>
      </c>
    </row>
    <row r="242" spans="2:7" x14ac:dyDescent="0.2">
      <c r="B242" s="120" t="s">
        <v>784</v>
      </c>
      <c r="C242" s="121" t="s">
        <v>785</v>
      </c>
      <c r="D242" s="122" t="s">
        <v>3576</v>
      </c>
      <c r="E242" s="122" t="s">
        <v>3584</v>
      </c>
      <c r="F242" s="124">
        <v>-0.27</v>
      </c>
      <c r="G242" s="123">
        <v>-5.1728057099340446E-2</v>
      </c>
    </row>
    <row r="243" spans="2:7" x14ac:dyDescent="0.2">
      <c r="B243" s="120" t="s">
        <v>786</v>
      </c>
      <c r="C243" s="121" t="s">
        <v>787</v>
      </c>
      <c r="D243" s="122" t="s">
        <v>3576</v>
      </c>
      <c r="E243" s="122" t="s">
        <v>3626</v>
      </c>
      <c r="F243" s="124">
        <v>-1.52</v>
      </c>
      <c r="G243" s="123">
        <v>-0.27700298652030031</v>
      </c>
    </row>
    <row r="244" spans="2:7" x14ac:dyDescent="0.2">
      <c r="B244" s="120" t="s">
        <v>788</v>
      </c>
      <c r="C244" s="121" t="s">
        <v>789</v>
      </c>
      <c r="D244" s="122" t="s">
        <v>3576</v>
      </c>
      <c r="E244" s="122" t="s">
        <v>3626</v>
      </c>
      <c r="F244" s="124">
        <v>-2.1</v>
      </c>
      <c r="G244" s="123">
        <v>-0.30569191490030989</v>
      </c>
    </row>
    <row r="245" spans="2:7" x14ac:dyDescent="0.2">
      <c r="B245" s="120" t="s">
        <v>790</v>
      </c>
      <c r="C245" s="121" t="s">
        <v>791</v>
      </c>
      <c r="D245" s="122" t="s">
        <v>3612</v>
      </c>
      <c r="E245" s="122" t="s">
        <v>3674</v>
      </c>
      <c r="F245" s="124">
        <v>4.74</v>
      </c>
      <c r="G245" s="123">
        <v>-0.13694576504749265</v>
      </c>
    </row>
    <row r="246" spans="2:7" x14ac:dyDescent="0.2">
      <c r="B246" s="120" t="s">
        <v>792</v>
      </c>
      <c r="C246" s="121" t="s">
        <v>793</v>
      </c>
      <c r="D246" s="122" t="s">
        <v>3576</v>
      </c>
      <c r="E246" s="122" t="s">
        <v>3626</v>
      </c>
      <c r="F246" s="124">
        <v>9.3000000000000007</v>
      </c>
      <c r="G246" s="123">
        <v>-0.36084660056841983</v>
      </c>
    </row>
    <row r="247" spans="2:7" x14ac:dyDescent="0.2">
      <c r="B247" s="120" t="s">
        <v>794</v>
      </c>
      <c r="C247" s="121" t="s">
        <v>795</v>
      </c>
      <c r="D247" s="122" t="s">
        <v>3569</v>
      </c>
      <c r="E247" s="122" t="s">
        <v>3572</v>
      </c>
      <c r="F247" s="124">
        <v>7.99</v>
      </c>
      <c r="G247" s="123">
        <v>8.4914808103430717E-2</v>
      </c>
    </row>
    <row r="248" spans="2:7" x14ac:dyDescent="0.2">
      <c r="B248" s="120" t="s">
        <v>796</v>
      </c>
      <c r="C248" s="121" t="s">
        <v>797</v>
      </c>
      <c r="D248" s="122" t="s">
        <v>3576</v>
      </c>
      <c r="E248" s="122" t="s">
        <v>3663</v>
      </c>
      <c r="F248" s="124"/>
      <c r="G248" s="123">
        <v>2.8576895500113456E-2</v>
      </c>
    </row>
    <row r="249" spans="2:7" x14ac:dyDescent="0.2">
      <c r="B249" s="120" t="s">
        <v>798</v>
      </c>
      <c r="C249" s="121" t="s">
        <v>799</v>
      </c>
      <c r="D249" s="122" t="s">
        <v>3594</v>
      </c>
      <c r="E249" s="122" t="s">
        <v>3595</v>
      </c>
      <c r="F249" s="124">
        <v>22.16</v>
      </c>
      <c r="G249" s="123">
        <v>-2.2303348407424956E-2</v>
      </c>
    </row>
    <row r="250" spans="2:7" x14ac:dyDescent="0.2">
      <c r="B250" s="120" t="s">
        <v>800</v>
      </c>
      <c r="C250" s="121" t="s">
        <v>801</v>
      </c>
      <c r="D250" s="122" t="s">
        <v>24</v>
      </c>
      <c r="E250" s="122" t="s">
        <v>3675</v>
      </c>
      <c r="F250" s="124"/>
      <c r="G250" s="123">
        <v>-3.691875522873371E-2</v>
      </c>
    </row>
    <row r="251" spans="2:7" x14ac:dyDescent="0.2">
      <c r="B251" s="120" t="s">
        <v>802</v>
      </c>
      <c r="C251" s="121" t="s">
        <v>803</v>
      </c>
      <c r="D251" s="122" t="s">
        <v>3591</v>
      </c>
      <c r="E251" s="122" t="s">
        <v>3658</v>
      </c>
      <c r="F251" s="124"/>
      <c r="G251" s="123">
        <v>1.6462862754977874E-2</v>
      </c>
    </row>
    <row r="252" spans="2:7" x14ac:dyDescent="0.2">
      <c r="B252" s="120" t="s">
        <v>804</v>
      </c>
      <c r="C252" s="121" t="s">
        <v>805</v>
      </c>
      <c r="D252" s="122" t="s">
        <v>24</v>
      </c>
      <c r="E252" s="122" t="s">
        <v>3573</v>
      </c>
      <c r="F252" s="124">
        <v>5.81</v>
      </c>
      <c r="G252" s="123">
        <v>1.0732156941723596E-2</v>
      </c>
    </row>
    <row r="253" spans="2:7" x14ac:dyDescent="0.2">
      <c r="B253" s="120" t="s">
        <v>806</v>
      </c>
      <c r="C253" s="121" t="s">
        <v>807</v>
      </c>
      <c r="D253" s="122" t="s">
        <v>3563</v>
      </c>
      <c r="E253" s="122" t="s">
        <v>3676</v>
      </c>
      <c r="F253" s="124"/>
      <c r="G253" s="123">
        <v>1.7756219706015926E-3</v>
      </c>
    </row>
    <row r="254" spans="2:7" x14ac:dyDescent="0.2">
      <c r="B254" s="120" t="s">
        <v>808</v>
      </c>
      <c r="C254" s="121" t="s">
        <v>809</v>
      </c>
      <c r="D254" s="122" t="s">
        <v>3563</v>
      </c>
      <c r="E254" s="122" t="s">
        <v>3677</v>
      </c>
      <c r="F254" s="124">
        <v>8.6</v>
      </c>
      <c r="G254" s="123">
        <v>8.9300560247612765E-2</v>
      </c>
    </row>
    <row r="255" spans="2:7" x14ac:dyDescent="0.2">
      <c r="B255" s="120" t="s">
        <v>810</v>
      </c>
      <c r="C255" s="121" t="s">
        <v>811</v>
      </c>
      <c r="D255" s="122" t="s">
        <v>3594</v>
      </c>
      <c r="E255" s="122" t="s">
        <v>3678</v>
      </c>
      <c r="F255" s="124">
        <v>1.91</v>
      </c>
      <c r="G255" s="123">
        <v>-0.18360347102057606</v>
      </c>
    </row>
    <row r="256" spans="2:7" x14ac:dyDescent="0.2">
      <c r="B256" s="120" t="s">
        <v>812</v>
      </c>
      <c r="C256" s="121" t="s">
        <v>813</v>
      </c>
      <c r="D256" s="122" t="s">
        <v>3582</v>
      </c>
      <c r="E256" s="122" t="s">
        <v>3583</v>
      </c>
      <c r="F256" s="124"/>
      <c r="G256" s="123">
        <v>8.4918469170854396E-2</v>
      </c>
    </row>
    <row r="257" spans="2:7" x14ac:dyDescent="0.2">
      <c r="B257" s="120" t="s">
        <v>814</v>
      </c>
      <c r="C257" s="121" t="s">
        <v>815</v>
      </c>
      <c r="D257" s="122" t="s">
        <v>3610</v>
      </c>
      <c r="E257" s="122" t="s">
        <v>3611</v>
      </c>
      <c r="F257" s="124">
        <v>6.86</v>
      </c>
      <c r="G257" s="123">
        <v>-4.4843859215924708E-2</v>
      </c>
    </row>
    <row r="258" spans="2:7" x14ac:dyDescent="0.2">
      <c r="B258" s="120" t="s">
        <v>816</v>
      </c>
      <c r="C258" s="121" t="s">
        <v>817</v>
      </c>
      <c r="D258" s="122" t="s">
        <v>3556</v>
      </c>
      <c r="E258" s="122" t="s">
        <v>3560</v>
      </c>
      <c r="F258" s="124">
        <v>-9.26</v>
      </c>
      <c r="G258" s="123">
        <v>4.9704715288156447E-2</v>
      </c>
    </row>
    <row r="259" spans="2:7" x14ac:dyDescent="0.2">
      <c r="B259" s="120" t="s">
        <v>818</v>
      </c>
      <c r="C259" s="121" t="s">
        <v>819</v>
      </c>
      <c r="D259" s="122" t="s">
        <v>3576</v>
      </c>
      <c r="E259" s="122" t="s">
        <v>3604</v>
      </c>
      <c r="F259" s="124">
        <v>2.97</v>
      </c>
      <c r="G259" s="123">
        <v>-0.19090988195970884</v>
      </c>
    </row>
    <row r="260" spans="2:7" x14ac:dyDescent="0.2">
      <c r="B260" s="120" t="s">
        <v>820</v>
      </c>
      <c r="C260" s="121" t="s">
        <v>821</v>
      </c>
      <c r="D260" s="122" t="s">
        <v>3576</v>
      </c>
      <c r="E260" s="122" t="s">
        <v>3600</v>
      </c>
      <c r="F260" s="124">
        <v>29.99</v>
      </c>
      <c r="G260" s="123">
        <v>7.6069436037126709E-2</v>
      </c>
    </row>
    <row r="261" spans="2:7" x14ac:dyDescent="0.2">
      <c r="B261" s="120" t="s">
        <v>822</v>
      </c>
      <c r="C261" s="121" t="s">
        <v>823</v>
      </c>
      <c r="D261" s="122" t="s">
        <v>3576</v>
      </c>
      <c r="E261" s="122" t="s">
        <v>3619</v>
      </c>
      <c r="F261" s="124">
        <v>3.1</v>
      </c>
      <c r="G261" s="123">
        <v>2.5479264504541556E-3</v>
      </c>
    </row>
    <row r="262" spans="2:7" x14ac:dyDescent="0.2">
      <c r="B262" s="120" t="s">
        <v>824</v>
      </c>
      <c r="C262" s="121" t="s">
        <v>825</v>
      </c>
      <c r="D262" s="122" t="s">
        <v>3679</v>
      </c>
      <c r="E262" s="122" t="s">
        <v>3680</v>
      </c>
      <c r="F262" s="124"/>
      <c r="G262" s="123">
        <v>-4.7585669504315142E-2</v>
      </c>
    </row>
    <row r="263" spans="2:7" x14ac:dyDescent="0.2">
      <c r="B263" s="120" t="s">
        <v>826</v>
      </c>
      <c r="C263" s="121" t="s">
        <v>827</v>
      </c>
      <c r="D263" s="122" t="s">
        <v>3576</v>
      </c>
      <c r="E263" s="122" t="s">
        <v>3654</v>
      </c>
      <c r="F263" s="124">
        <v>2.0299999999999998</v>
      </c>
      <c r="G263" s="123">
        <v>-0.23806944697281718</v>
      </c>
    </row>
    <row r="264" spans="2:7" x14ac:dyDescent="0.2">
      <c r="B264" s="120" t="s">
        <v>828</v>
      </c>
      <c r="C264" s="121" t="s">
        <v>829</v>
      </c>
      <c r="D264" s="122" t="s">
        <v>24</v>
      </c>
      <c r="E264" s="122" t="s">
        <v>3573</v>
      </c>
      <c r="F264" s="124"/>
      <c r="G264" s="123">
        <v>-9.9451291130189644E-3</v>
      </c>
    </row>
    <row r="265" spans="2:7" x14ac:dyDescent="0.2">
      <c r="B265" s="120" t="s">
        <v>830</v>
      </c>
      <c r="C265" s="121" t="s">
        <v>831</v>
      </c>
      <c r="D265" s="122" t="s">
        <v>25</v>
      </c>
      <c r="E265" s="122" t="s">
        <v>3681</v>
      </c>
      <c r="F265" s="124">
        <v>8.57</v>
      </c>
      <c r="G265" s="123">
        <v>7.797625664459569E-2</v>
      </c>
    </row>
    <row r="266" spans="2:7" x14ac:dyDescent="0.2">
      <c r="B266" s="120" t="s">
        <v>832</v>
      </c>
      <c r="C266" s="121" t="s">
        <v>833</v>
      </c>
      <c r="D266" s="122" t="s">
        <v>3576</v>
      </c>
      <c r="E266" s="122" t="s">
        <v>3609</v>
      </c>
      <c r="F266" s="124">
        <v>15.6</v>
      </c>
      <c r="G266" s="123">
        <v>0.16261472235184332</v>
      </c>
    </row>
    <row r="267" spans="2:7" x14ac:dyDescent="0.2">
      <c r="B267" s="120" t="s">
        <v>834</v>
      </c>
      <c r="C267" s="121" t="s">
        <v>835</v>
      </c>
      <c r="D267" s="122" t="s">
        <v>3556</v>
      </c>
      <c r="E267" s="122" t="s">
        <v>3682</v>
      </c>
      <c r="F267" s="124">
        <v>9.36</v>
      </c>
      <c r="G267" s="123">
        <v>0.12787294889638481</v>
      </c>
    </row>
    <row r="268" spans="2:7" x14ac:dyDescent="0.2">
      <c r="B268" s="120" t="s">
        <v>836</v>
      </c>
      <c r="C268" s="121" t="s">
        <v>837</v>
      </c>
      <c r="D268" s="122" t="s">
        <v>3605</v>
      </c>
      <c r="E268" s="122" t="s">
        <v>3606</v>
      </c>
      <c r="F268" s="124">
        <v>6.3</v>
      </c>
      <c r="G268" s="123">
        <v>0.11134412778598547</v>
      </c>
    </row>
    <row r="269" spans="2:7" x14ac:dyDescent="0.2">
      <c r="B269" s="120" t="s">
        <v>838</v>
      </c>
      <c r="C269" s="121" t="s">
        <v>839</v>
      </c>
      <c r="D269" s="122" t="s">
        <v>24</v>
      </c>
      <c r="E269" s="122" t="s">
        <v>3633</v>
      </c>
      <c r="F269" s="124">
        <v>-16.43</v>
      </c>
      <c r="G269" s="123">
        <v>0.13537963075568232</v>
      </c>
    </row>
    <row r="270" spans="2:7" x14ac:dyDescent="0.2">
      <c r="B270" s="120" t="s">
        <v>840</v>
      </c>
      <c r="C270" s="121" t="s">
        <v>841</v>
      </c>
      <c r="D270" s="122" t="s">
        <v>3569</v>
      </c>
      <c r="E270" s="122" t="s">
        <v>3571</v>
      </c>
      <c r="F270" s="124">
        <v>9.92</v>
      </c>
      <c r="G270" s="123">
        <v>4.9300657372160397E-2</v>
      </c>
    </row>
    <row r="271" spans="2:7" x14ac:dyDescent="0.2">
      <c r="B271" s="120" t="s">
        <v>842</v>
      </c>
      <c r="C271" s="121" t="s">
        <v>843</v>
      </c>
      <c r="D271" s="122" t="s">
        <v>3556</v>
      </c>
      <c r="E271" s="122" t="s">
        <v>3683</v>
      </c>
      <c r="F271" s="124">
        <v>3.31</v>
      </c>
      <c r="G271" s="123">
        <v>-5.6503923556632675E-2</v>
      </c>
    </row>
    <row r="272" spans="2:7" x14ac:dyDescent="0.2">
      <c r="B272" s="120" t="s">
        <v>844</v>
      </c>
      <c r="C272" s="121" t="s">
        <v>845</v>
      </c>
      <c r="D272" s="122" t="s">
        <v>3610</v>
      </c>
      <c r="E272" s="122" t="s">
        <v>3684</v>
      </c>
      <c r="F272" s="124"/>
      <c r="G272" s="123">
        <v>0.28120854896606412</v>
      </c>
    </row>
    <row r="273" spans="2:7" x14ac:dyDescent="0.2">
      <c r="B273" s="120" t="s">
        <v>846</v>
      </c>
      <c r="C273" s="121" t="s">
        <v>847</v>
      </c>
      <c r="D273" s="122" t="s">
        <v>3563</v>
      </c>
      <c r="E273" s="122" t="s">
        <v>3685</v>
      </c>
      <c r="F273" s="124">
        <v>4.91</v>
      </c>
      <c r="G273" s="123">
        <v>7.0975064445183325E-2</v>
      </c>
    </row>
    <row r="274" spans="2:7" x14ac:dyDescent="0.2">
      <c r="B274" s="120" t="s">
        <v>848</v>
      </c>
      <c r="C274" s="121" t="s">
        <v>849</v>
      </c>
      <c r="D274" s="122" t="s">
        <v>3558</v>
      </c>
      <c r="E274" s="122" t="s">
        <v>3686</v>
      </c>
      <c r="F274" s="124">
        <v>0.34</v>
      </c>
      <c r="G274" s="123">
        <v>2.3220922298161667E-2</v>
      </c>
    </row>
    <row r="275" spans="2:7" x14ac:dyDescent="0.2">
      <c r="B275" s="120" t="s">
        <v>850</v>
      </c>
      <c r="C275" s="121" t="s">
        <v>851</v>
      </c>
      <c r="D275" s="122" t="s">
        <v>3576</v>
      </c>
      <c r="E275" s="122" t="s">
        <v>3578</v>
      </c>
      <c r="F275" s="124">
        <v>16.05</v>
      </c>
      <c r="G275" s="123">
        <v>-4.9196816850575392E-2</v>
      </c>
    </row>
    <row r="276" spans="2:7" x14ac:dyDescent="0.2">
      <c r="B276" s="120" t="s">
        <v>852</v>
      </c>
      <c r="C276" s="121" t="s">
        <v>853</v>
      </c>
      <c r="D276" s="122" t="s">
        <v>3563</v>
      </c>
      <c r="E276" s="122" t="s">
        <v>3687</v>
      </c>
      <c r="F276" s="124">
        <v>-15.9</v>
      </c>
      <c r="G276" s="123">
        <v>6.8505893775864871E-2</v>
      </c>
    </row>
    <row r="277" spans="2:7" x14ac:dyDescent="0.2">
      <c r="B277" s="120" t="s">
        <v>854</v>
      </c>
      <c r="C277" s="121" t="s">
        <v>855</v>
      </c>
      <c r="D277" s="122" t="s">
        <v>3576</v>
      </c>
      <c r="E277" s="122" t="s">
        <v>3688</v>
      </c>
      <c r="F277" s="124">
        <v>51.68</v>
      </c>
      <c r="G277" s="123">
        <v>-0.58662163753250507</v>
      </c>
    </row>
    <row r="278" spans="2:7" x14ac:dyDescent="0.2">
      <c r="B278" s="120" t="s">
        <v>856</v>
      </c>
      <c r="C278" s="121" t="s">
        <v>857</v>
      </c>
      <c r="D278" s="122" t="s">
        <v>3569</v>
      </c>
      <c r="E278" s="122" t="s">
        <v>3575</v>
      </c>
      <c r="F278" s="124">
        <v>16.329999999999998</v>
      </c>
      <c r="G278" s="123">
        <v>5.3471984235778001E-2</v>
      </c>
    </row>
    <row r="279" spans="2:7" x14ac:dyDescent="0.2">
      <c r="B279" s="120" t="s">
        <v>858</v>
      </c>
      <c r="C279" s="121" t="s">
        <v>859</v>
      </c>
      <c r="D279" s="122" t="s">
        <v>3576</v>
      </c>
      <c r="E279" s="122" t="s">
        <v>3689</v>
      </c>
      <c r="F279" s="124">
        <v>22.29</v>
      </c>
      <c r="G279" s="123">
        <v>4.7186341763319706E-2</v>
      </c>
    </row>
    <row r="280" spans="2:7" x14ac:dyDescent="0.2">
      <c r="B280" s="120" t="s">
        <v>860</v>
      </c>
      <c r="C280" s="121" t="s">
        <v>861</v>
      </c>
      <c r="D280" s="122" t="s">
        <v>3563</v>
      </c>
      <c r="E280" s="122" t="s">
        <v>3690</v>
      </c>
      <c r="F280" s="124">
        <v>2.48</v>
      </c>
      <c r="G280" s="123">
        <v>2.6025781669623552E-2</v>
      </c>
    </row>
    <row r="281" spans="2:7" x14ac:dyDescent="0.2">
      <c r="B281" s="120" t="s">
        <v>862</v>
      </c>
      <c r="C281" s="121" t="s">
        <v>863</v>
      </c>
      <c r="D281" s="122" t="s">
        <v>25</v>
      </c>
      <c r="E281" s="122" t="s">
        <v>3691</v>
      </c>
      <c r="F281" s="124">
        <v>1.02</v>
      </c>
      <c r="G281" s="123">
        <v>7.5969753341601207E-2</v>
      </c>
    </row>
    <row r="282" spans="2:7" x14ac:dyDescent="0.2">
      <c r="B282" s="120" t="s">
        <v>864</v>
      </c>
      <c r="C282" s="121" t="s">
        <v>865</v>
      </c>
      <c r="D282" s="122" t="s">
        <v>3576</v>
      </c>
      <c r="E282" s="122" t="s">
        <v>3646</v>
      </c>
      <c r="F282" s="124">
        <v>13.03</v>
      </c>
      <c r="G282" s="123">
        <v>7.0894357436221767E-3</v>
      </c>
    </row>
    <row r="283" spans="2:7" x14ac:dyDescent="0.2">
      <c r="B283" s="120" t="s">
        <v>866</v>
      </c>
      <c r="C283" s="121" t="s">
        <v>867</v>
      </c>
      <c r="D283" s="122" t="s">
        <v>3580</v>
      </c>
      <c r="E283" s="122" t="s">
        <v>3692</v>
      </c>
      <c r="F283" s="124"/>
      <c r="G283" s="123">
        <v>3.5748400235490418E-2</v>
      </c>
    </row>
    <row r="284" spans="2:7" x14ac:dyDescent="0.2">
      <c r="B284" s="120" t="s">
        <v>868</v>
      </c>
      <c r="C284" s="121" t="s">
        <v>869</v>
      </c>
      <c r="D284" s="122" t="s">
        <v>24</v>
      </c>
      <c r="E284" s="122" t="s">
        <v>3693</v>
      </c>
      <c r="F284" s="124"/>
      <c r="G284" s="123">
        <v>-1.8475028817426863E-2</v>
      </c>
    </row>
    <row r="285" spans="2:7" x14ac:dyDescent="0.2">
      <c r="B285" s="120" t="s">
        <v>870</v>
      </c>
      <c r="C285" s="121" t="s">
        <v>871</v>
      </c>
      <c r="D285" s="122" t="s">
        <v>24</v>
      </c>
      <c r="E285" s="122" t="s">
        <v>3693</v>
      </c>
      <c r="F285" s="124"/>
      <c r="G285" s="123">
        <v>-8.6389099109525896E-3</v>
      </c>
    </row>
    <row r="286" spans="2:7" x14ac:dyDescent="0.2">
      <c r="B286" s="120" t="s">
        <v>872</v>
      </c>
      <c r="C286" s="121" t="s">
        <v>873</v>
      </c>
      <c r="D286" s="122" t="s">
        <v>3576</v>
      </c>
      <c r="E286" s="122" t="s">
        <v>3619</v>
      </c>
      <c r="F286" s="124">
        <v>10.63</v>
      </c>
      <c r="G286" s="123">
        <v>7.9130555043333953E-2</v>
      </c>
    </row>
    <row r="287" spans="2:7" x14ac:dyDescent="0.2">
      <c r="B287" s="120" t="s">
        <v>874</v>
      </c>
      <c r="C287" s="121" t="s">
        <v>875</v>
      </c>
      <c r="D287" s="122" t="s">
        <v>3594</v>
      </c>
      <c r="E287" s="122" t="s">
        <v>3647</v>
      </c>
      <c r="F287" s="124">
        <v>-8.16</v>
      </c>
      <c r="G287" s="123">
        <v>-0.22775565030636097</v>
      </c>
    </row>
    <row r="288" spans="2:7" x14ac:dyDescent="0.2">
      <c r="B288" s="120" t="s">
        <v>876</v>
      </c>
      <c r="C288" s="121" t="s">
        <v>877</v>
      </c>
      <c r="D288" s="122" t="s">
        <v>3558</v>
      </c>
      <c r="E288" s="122" t="s">
        <v>3665</v>
      </c>
      <c r="F288" s="124">
        <v>4.8499999999999996</v>
      </c>
      <c r="G288" s="123">
        <v>5.5366215586046118E-2</v>
      </c>
    </row>
    <row r="289" spans="2:7" x14ac:dyDescent="0.2">
      <c r="B289" s="120" t="s">
        <v>878</v>
      </c>
      <c r="C289" s="121" t="s">
        <v>879</v>
      </c>
      <c r="D289" s="122" t="s">
        <v>25</v>
      </c>
      <c r="E289" s="122" t="s">
        <v>3694</v>
      </c>
      <c r="F289" s="124">
        <v>5.0999999999999996</v>
      </c>
      <c r="G289" s="123">
        <v>7.4416948254859366E-2</v>
      </c>
    </row>
    <row r="290" spans="2:7" x14ac:dyDescent="0.2">
      <c r="B290" s="120" t="s">
        <v>880</v>
      </c>
      <c r="C290" s="121" t="s">
        <v>881</v>
      </c>
      <c r="D290" s="122" t="s">
        <v>24</v>
      </c>
      <c r="E290" s="122" t="s">
        <v>3693</v>
      </c>
      <c r="F290" s="124"/>
      <c r="G290" s="123">
        <v>-1</v>
      </c>
    </row>
    <row r="291" spans="2:7" x14ac:dyDescent="0.2">
      <c r="B291" s="120" t="s">
        <v>882</v>
      </c>
      <c r="C291" s="121" t="s">
        <v>883</v>
      </c>
      <c r="D291" s="122" t="s">
        <v>3556</v>
      </c>
      <c r="E291" s="122" t="s">
        <v>3616</v>
      </c>
      <c r="F291" s="124">
        <v>14.48</v>
      </c>
      <c r="G291" s="123">
        <v>0.85097952958720269</v>
      </c>
    </row>
    <row r="292" spans="2:7" x14ac:dyDescent="0.2">
      <c r="B292" s="120" t="s">
        <v>884</v>
      </c>
      <c r="C292" s="121" t="s">
        <v>885</v>
      </c>
      <c r="D292" s="122" t="s">
        <v>3612</v>
      </c>
      <c r="E292" s="122" t="s">
        <v>3695</v>
      </c>
      <c r="F292" s="124"/>
      <c r="G292" s="123">
        <v>-1.043339035916095E-2</v>
      </c>
    </row>
    <row r="293" spans="2:7" x14ac:dyDescent="0.2">
      <c r="B293" s="120" t="s">
        <v>886</v>
      </c>
      <c r="C293" s="121" t="s">
        <v>887</v>
      </c>
      <c r="D293" s="122" t="s">
        <v>24</v>
      </c>
      <c r="E293" s="122" t="s">
        <v>3573</v>
      </c>
      <c r="F293" s="124">
        <v>5.58</v>
      </c>
      <c r="G293" s="123">
        <v>-1</v>
      </c>
    </row>
    <row r="294" spans="2:7" x14ac:dyDescent="0.2">
      <c r="B294" s="120" t="s">
        <v>888</v>
      </c>
      <c r="C294" s="121" t="s">
        <v>889</v>
      </c>
      <c r="D294" s="122" t="s">
        <v>3556</v>
      </c>
      <c r="E294" s="122" t="s">
        <v>3630</v>
      </c>
      <c r="F294" s="124"/>
      <c r="G294" s="123">
        <v>9.0726125401929272E-2</v>
      </c>
    </row>
    <row r="295" spans="2:7" x14ac:dyDescent="0.2">
      <c r="B295" s="120" t="s">
        <v>890</v>
      </c>
      <c r="C295" s="121" t="s">
        <v>891</v>
      </c>
      <c r="D295" s="122" t="s">
        <v>3576</v>
      </c>
      <c r="E295" s="122" t="s">
        <v>3689</v>
      </c>
      <c r="F295" s="124">
        <v>2.2999999999999998</v>
      </c>
      <c r="G295" s="123">
        <v>-0.2272013039700489</v>
      </c>
    </row>
    <row r="296" spans="2:7" x14ac:dyDescent="0.2">
      <c r="B296" s="120" t="s">
        <v>892</v>
      </c>
      <c r="C296" s="121" t="s">
        <v>893</v>
      </c>
      <c r="D296" s="122" t="s">
        <v>3556</v>
      </c>
      <c r="E296" s="122" t="s">
        <v>3614</v>
      </c>
      <c r="F296" s="124">
        <v>3.63</v>
      </c>
      <c r="G296" s="123">
        <v>5.4745639231251371E-2</v>
      </c>
    </row>
    <row r="297" spans="2:7" x14ac:dyDescent="0.2">
      <c r="B297" s="120" t="s">
        <v>894</v>
      </c>
      <c r="C297" s="121" t="s">
        <v>895</v>
      </c>
      <c r="D297" s="122" t="s">
        <v>3556</v>
      </c>
      <c r="E297" s="122" t="s">
        <v>3579</v>
      </c>
      <c r="F297" s="124">
        <v>7.74</v>
      </c>
      <c r="G297" s="123">
        <v>8.8323734109129096E-2</v>
      </c>
    </row>
    <row r="298" spans="2:7" x14ac:dyDescent="0.2">
      <c r="B298" s="120" t="s">
        <v>896</v>
      </c>
      <c r="C298" s="121" t="s">
        <v>897</v>
      </c>
      <c r="D298" s="122" t="s">
        <v>3556</v>
      </c>
      <c r="E298" s="122" t="s">
        <v>3614</v>
      </c>
      <c r="F298" s="124">
        <v>7.98</v>
      </c>
      <c r="G298" s="123">
        <v>7.868554354853606E-2</v>
      </c>
    </row>
    <row r="299" spans="2:7" x14ac:dyDescent="0.2">
      <c r="B299" s="120" t="s">
        <v>898</v>
      </c>
      <c r="C299" s="121" t="s">
        <v>899</v>
      </c>
      <c r="D299" s="122" t="s">
        <v>3594</v>
      </c>
      <c r="E299" s="122" t="s">
        <v>3637</v>
      </c>
      <c r="F299" s="124">
        <v>2.12</v>
      </c>
      <c r="G299" s="123">
        <v>-7.4186470999301132E-2</v>
      </c>
    </row>
    <row r="300" spans="2:7" x14ac:dyDescent="0.2">
      <c r="B300" s="120" t="s">
        <v>900</v>
      </c>
      <c r="C300" s="121" t="s">
        <v>901</v>
      </c>
      <c r="D300" s="122" t="s">
        <v>3561</v>
      </c>
      <c r="E300" s="122" t="s">
        <v>3562</v>
      </c>
      <c r="F300" s="124">
        <v>3.71</v>
      </c>
      <c r="G300" s="123">
        <v>0.16747540383744999</v>
      </c>
    </row>
    <row r="301" spans="2:7" x14ac:dyDescent="0.2">
      <c r="B301" s="120" t="s">
        <v>902</v>
      </c>
      <c r="C301" s="121" t="s">
        <v>903</v>
      </c>
      <c r="D301" s="122" t="s">
        <v>3569</v>
      </c>
      <c r="E301" s="122" t="s">
        <v>3575</v>
      </c>
      <c r="F301" s="124">
        <v>18.54</v>
      </c>
      <c r="G301" s="123">
        <v>0.14099872783194811</v>
      </c>
    </row>
    <row r="302" spans="2:7" x14ac:dyDescent="0.2">
      <c r="B302" s="120" t="s">
        <v>904</v>
      </c>
      <c r="C302" s="121" t="s">
        <v>905</v>
      </c>
      <c r="D302" s="122" t="s">
        <v>3612</v>
      </c>
      <c r="E302" s="122" t="s">
        <v>3696</v>
      </c>
      <c r="F302" s="124"/>
      <c r="G302" s="123">
        <v>0.18573459428727074</v>
      </c>
    </row>
    <row r="303" spans="2:7" x14ac:dyDescent="0.2">
      <c r="B303" s="120" t="s">
        <v>906</v>
      </c>
      <c r="C303" s="121" t="s">
        <v>907</v>
      </c>
      <c r="D303" s="122" t="s">
        <v>3569</v>
      </c>
      <c r="E303" s="122" t="s">
        <v>3697</v>
      </c>
      <c r="F303" s="124">
        <v>10.57</v>
      </c>
      <c r="G303" s="123">
        <v>6.7778765003270361E-2</v>
      </c>
    </row>
    <row r="304" spans="2:7" x14ac:dyDescent="0.2">
      <c r="B304" s="120" t="s">
        <v>908</v>
      </c>
      <c r="C304" s="121" t="s">
        <v>909</v>
      </c>
      <c r="D304" s="122" t="s">
        <v>3594</v>
      </c>
      <c r="E304" s="122" t="s">
        <v>3698</v>
      </c>
      <c r="F304" s="124">
        <v>-1.22</v>
      </c>
      <c r="G304" s="123">
        <v>7.7083501919169115E-2</v>
      </c>
    </row>
    <row r="305" spans="2:7" x14ac:dyDescent="0.2">
      <c r="B305" s="120" t="s">
        <v>910</v>
      </c>
      <c r="C305" s="121" t="s">
        <v>911</v>
      </c>
      <c r="D305" s="122" t="s">
        <v>3576</v>
      </c>
      <c r="E305" s="122" t="s">
        <v>3699</v>
      </c>
      <c r="F305" s="124">
        <v>9.4</v>
      </c>
      <c r="G305" s="123">
        <v>-0.1185654310579277</v>
      </c>
    </row>
    <row r="306" spans="2:7" x14ac:dyDescent="0.2">
      <c r="B306" s="120" t="s">
        <v>912</v>
      </c>
      <c r="C306" s="121" t="s">
        <v>913</v>
      </c>
      <c r="D306" s="122" t="s">
        <v>3558</v>
      </c>
      <c r="E306" s="122" t="s">
        <v>3642</v>
      </c>
      <c r="F306" s="124">
        <v>-4.84</v>
      </c>
      <c r="G306" s="123">
        <v>-4.5466757208581836E-2</v>
      </c>
    </row>
    <row r="307" spans="2:7" x14ac:dyDescent="0.2">
      <c r="B307" s="120" t="s">
        <v>914</v>
      </c>
      <c r="C307" s="121" t="s">
        <v>915</v>
      </c>
      <c r="D307" s="122" t="s">
        <v>3569</v>
      </c>
      <c r="E307" s="122" t="s">
        <v>3572</v>
      </c>
      <c r="F307" s="124"/>
      <c r="G307" s="123">
        <v>1.6473420851688694</v>
      </c>
    </row>
    <row r="308" spans="2:7" x14ac:dyDescent="0.2">
      <c r="B308" s="120" t="s">
        <v>916</v>
      </c>
      <c r="C308" s="121" t="s">
        <v>917</v>
      </c>
      <c r="D308" s="122" t="s">
        <v>3556</v>
      </c>
      <c r="E308" s="122" t="s">
        <v>3557</v>
      </c>
      <c r="F308" s="124">
        <v>15.46</v>
      </c>
      <c r="G308" s="123">
        <v>-8.0190725996478016E-2</v>
      </c>
    </row>
    <row r="309" spans="2:7" x14ac:dyDescent="0.2">
      <c r="B309" s="120" t="s">
        <v>918</v>
      </c>
      <c r="C309" s="121" t="s">
        <v>919</v>
      </c>
      <c r="D309" s="122" t="s">
        <v>3591</v>
      </c>
      <c r="E309" s="122" t="s">
        <v>3700</v>
      </c>
      <c r="F309" s="124"/>
      <c r="G309" s="123">
        <v>-2.2991614102499041E-2</v>
      </c>
    </row>
    <row r="310" spans="2:7" x14ac:dyDescent="0.2">
      <c r="B310" s="120" t="s">
        <v>920</v>
      </c>
      <c r="C310" s="121" t="s">
        <v>921</v>
      </c>
      <c r="D310" s="122" t="s">
        <v>24</v>
      </c>
      <c r="E310" s="122" t="s">
        <v>3701</v>
      </c>
      <c r="F310" s="124">
        <v>5.91</v>
      </c>
      <c r="G310" s="123">
        <v>5.9496348199426091E-2</v>
      </c>
    </row>
    <row r="311" spans="2:7" x14ac:dyDescent="0.2">
      <c r="B311" s="120" t="s">
        <v>922</v>
      </c>
      <c r="C311" s="121" t="s">
        <v>923</v>
      </c>
      <c r="D311" s="122" t="s">
        <v>25</v>
      </c>
      <c r="E311" s="122" t="s">
        <v>3702</v>
      </c>
      <c r="F311" s="124">
        <v>3.83</v>
      </c>
      <c r="G311" s="123">
        <v>0.29106546085232909</v>
      </c>
    </row>
    <row r="312" spans="2:7" x14ac:dyDescent="0.2">
      <c r="B312" s="120" t="s">
        <v>924</v>
      </c>
      <c r="C312" s="121" t="s">
        <v>925</v>
      </c>
      <c r="D312" s="122" t="s">
        <v>3569</v>
      </c>
      <c r="E312" s="122" t="s">
        <v>3617</v>
      </c>
      <c r="F312" s="124">
        <v>5.07</v>
      </c>
      <c r="G312" s="123">
        <v>8.8727422657279884E-2</v>
      </c>
    </row>
    <row r="313" spans="2:7" x14ac:dyDescent="0.2">
      <c r="B313" s="120" t="s">
        <v>926</v>
      </c>
      <c r="C313" s="121" t="s">
        <v>927</v>
      </c>
      <c r="D313" s="122" t="s">
        <v>3556</v>
      </c>
      <c r="E313" s="122" t="s">
        <v>3630</v>
      </c>
      <c r="F313" s="124">
        <v>0.51</v>
      </c>
      <c r="G313" s="123">
        <v>0.25228606577799922</v>
      </c>
    </row>
    <row r="314" spans="2:7" x14ac:dyDescent="0.2">
      <c r="B314" s="120" t="s">
        <v>928</v>
      </c>
      <c r="C314" s="121" t="s">
        <v>929</v>
      </c>
      <c r="D314" s="122" t="s">
        <v>25</v>
      </c>
      <c r="E314" s="122" t="s">
        <v>3703</v>
      </c>
      <c r="F314" s="124">
        <v>8.06</v>
      </c>
      <c r="G314" s="123">
        <v>5.7939066551426111E-2</v>
      </c>
    </row>
    <row r="315" spans="2:7" x14ac:dyDescent="0.2">
      <c r="B315" s="120" t="s">
        <v>930</v>
      </c>
      <c r="C315" s="121" t="s">
        <v>931</v>
      </c>
      <c r="D315" s="122" t="s">
        <v>3556</v>
      </c>
      <c r="E315" s="122" t="s">
        <v>3704</v>
      </c>
      <c r="F315" s="124">
        <v>6.3</v>
      </c>
      <c r="G315" s="123">
        <v>3.996253528622936E-2</v>
      </c>
    </row>
    <row r="316" spans="2:7" x14ac:dyDescent="0.2">
      <c r="B316" s="120" t="s">
        <v>932</v>
      </c>
      <c r="C316" s="121" t="s">
        <v>933</v>
      </c>
      <c r="D316" s="122" t="s">
        <v>3556</v>
      </c>
      <c r="E316" s="122" t="s">
        <v>3621</v>
      </c>
      <c r="F316" s="124"/>
      <c r="G316" s="123">
        <v>1.4873650004599379E-2</v>
      </c>
    </row>
    <row r="317" spans="2:7" x14ac:dyDescent="0.2">
      <c r="B317" s="120" t="s">
        <v>934</v>
      </c>
      <c r="C317" s="121" t="s">
        <v>935</v>
      </c>
      <c r="D317" s="122" t="s">
        <v>3561</v>
      </c>
      <c r="E317" s="122" t="s">
        <v>3639</v>
      </c>
      <c r="F317" s="124">
        <v>5.22</v>
      </c>
      <c r="G317" s="123">
        <v>-6.2045704541532423E-2</v>
      </c>
    </row>
    <row r="318" spans="2:7" x14ac:dyDescent="0.2">
      <c r="B318" s="120" t="s">
        <v>936</v>
      </c>
      <c r="C318" s="121" t="s">
        <v>937</v>
      </c>
      <c r="D318" s="122" t="s">
        <v>25</v>
      </c>
      <c r="E318" s="122" t="s">
        <v>3681</v>
      </c>
      <c r="F318" s="124">
        <v>55.95</v>
      </c>
      <c r="G318" s="123">
        <v>4.6437948159692009E-2</v>
      </c>
    </row>
    <row r="319" spans="2:7" x14ac:dyDescent="0.2">
      <c r="B319" s="120" t="s">
        <v>938</v>
      </c>
      <c r="C319" s="121" t="s">
        <v>939</v>
      </c>
      <c r="D319" s="122" t="s">
        <v>3556</v>
      </c>
      <c r="E319" s="122" t="s">
        <v>3621</v>
      </c>
      <c r="F319" s="124"/>
      <c r="G319" s="123">
        <v>-6.3249209811173684E-2</v>
      </c>
    </row>
    <row r="320" spans="2:7" x14ac:dyDescent="0.2">
      <c r="B320" s="120" t="s">
        <v>940</v>
      </c>
      <c r="C320" s="121" t="s">
        <v>941</v>
      </c>
      <c r="D320" s="122" t="s">
        <v>3576</v>
      </c>
      <c r="E320" s="122" t="s">
        <v>3593</v>
      </c>
      <c r="F320" s="124">
        <v>14.46</v>
      </c>
      <c r="G320" s="123">
        <v>1.8088572713257964</v>
      </c>
    </row>
    <row r="321" spans="2:7" x14ac:dyDescent="0.2">
      <c r="B321" s="120" t="s">
        <v>942</v>
      </c>
      <c r="C321" s="121" t="s">
        <v>943</v>
      </c>
      <c r="D321" s="122" t="s">
        <v>3576</v>
      </c>
      <c r="E321" s="122" t="s">
        <v>3626</v>
      </c>
      <c r="F321" s="124">
        <v>2.6</v>
      </c>
      <c r="G321" s="123">
        <v>-0.15391255927587708</v>
      </c>
    </row>
    <row r="322" spans="2:7" x14ac:dyDescent="0.2">
      <c r="B322" s="120" t="s">
        <v>944</v>
      </c>
      <c r="C322" s="121" t="s">
        <v>945</v>
      </c>
      <c r="D322" s="122" t="s">
        <v>3561</v>
      </c>
      <c r="E322" s="122" t="s">
        <v>3618</v>
      </c>
      <c r="F322" s="124"/>
      <c r="G322" s="123">
        <v>0.57452134605725769</v>
      </c>
    </row>
    <row r="323" spans="2:7" x14ac:dyDescent="0.2">
      <c r="B323" s="120" t="s">
        <v>946</v>
      </c>
      <c r="C323" s="121" t="s">
        <v>947</v>
      </c>
      <c r="D323" s="122" t="s">
        <v>3556</v>
      </c>
      <c r="E323" s="122" t="s">
        <v>3705</v>
      </c>
      <c r="F323" s="124">
        <v>8.7100000000000009</v>
      </c>
      <c r="G323" s="123">
        <v>0.15310909772516476</v>
      </c>
    </row>
    <row r="324" spans="2:7" x14ac:dyDescent="0.2">
      <c r="B324" s="120" t="s">
        <v>948</v>
      </c>
      <c r="C324" s="121" t="s">
        <v>949</v>
      </c>
      <c r="D324" s="122" t="s">
        <v>3576</v>
      </c>
      <c r="E324" s="122" t="s">
        <v>3600</v>
      </c>
      <c r="F324" s="124">
        <v>17.41</v>
      </c>
      <c r="G324" s="123">
        <v>-0.5486601875412308</v>
      </c>
    </row>
    <row r="325" spans="2:7" x14ac:dyDescent="0.2">
      <c r="B325" s="120" t="s">
        <v>950</v>
      </c>
      <c r="C325" s="121" t="s">
        <v>951</v>
      </c>
      <c r="D325" s="122" t="s">
        <v>3576</v>
      </c>
      <c r="E325" s="122" t="s">
        <v>3578</v>
      </c>
      <c r="F325" s="124">
        <v>4.99</v>
      </c>
      <c r="G325" s="123">
        <v>-1</v>
      </c>
    </row>
    <row r="326" spans="2:7" x14ac:dyDescent="0.2">
      <c r="B326" s="120" t="s">
        <v>952</v>
      </c>
      <c r="C326" s="121" t="s">
        <v>953</v>
      </c>
      <c r="D326" s="122" t="s">
        <v>3576</v>
      </c>
      <c r="E326" s="122" t="s">
        <v>3651</v>
      </c>
      <c r="F326" s="124">
        <v>-4.18</v>
      </c>
      <c r="G326" s="123">
        <v>-0.42823536600268847</v>
      </c>
    </row>
    <row r="327" spans="2:7" x14ac:dyDescent="0.2">
      <c r="B327" s="120" t="s">
        <v>954</v>
      </c>
      <c r="C327" s="121" t="s">
        <v>955</v>
      </c>
      <c r="D327" s="122" t="s">
        <v>3561</v>
      </c>
      <c r="E327" s="122" t="s">
        <v>3706</v>
      </c>
      <c r="F327" s="124">
        <v>3.09</v>
      </c>
      <c r="G327" s="123">
        <v>5.30870356545321E-2</v>
      </c>
    </row>
    <row r="328" spans="2:7" x14ac:dyDescent="0.2">
      <c r="B328" s="120" t="s">
        <v>956</v>
      </c>
      <c r="C328" s="121" t="s">
        <v>957</v>
      </c>
      <c r="D328" s="122" t="s">
        <v>24</v>
      </c>
      <c r="E328" s="122" t="s">
        <v>3701</v>
      </c>
      <c r="F328" s="124">
        <v>-2.19</v>
      </c>
      <c r="G328" s="123">
        <v>1.05035750128667E-2</v>
      </c>
    </row>
    <row r="329" spans="2:7" x14ac:dyDescent="0.2">
      <c r="B329" s="120" t="s">
        <v>958</v>
      </c>
      <c r="C329" s="121" t="s">
        <v>959</v>
      </c>
      <c r="D329" s="122" t="s">
        <v>3582</v>
      </c>
      <c r="E329" s="122" t="s">
        <v>3583</v>
      </c>
      <c r="F329" s="124">
        <v>6.58</v>
      </c>
      <c r="G329" s="123">
        <v>-3.5113901967143459E-2</v>
      </c>
    </row>
    <row r="330" spans="2:7" x14ac:dyDescent="0.2">
      <c r="B330" s="120" t="s">
        <v>960</v>
      </c>
      <c r="C330" s="121" t="s">
        <v>961</v>
      </c>
      <c r="D330" s="122" t="s">
        <v>3582</v>
      </c>
      <c r="E330" s="122" t="s">
        <v>3707</v>
      </c>
      <c r="F330" s="124">
        <v>-1.1299999999999999</v>
      </c>
      <c r="G330" s="123">
        <v>3.1391055358603676E-2</v>
      </c>
    </row>
    <row r="331" spans="2:7" x14ac:dyDescent="0.2">
      <c r="B331" s="120" t="s">
        <v>962</v>
      </c>
      <c r="C331" s="121" t="s">
        <v>963</v>
      </c>
      <c r="D331" s="122" t="s">
        <v>3591</v>
      </c>
      <c r="E331" s="122" t="s">
        <v>3592</v>
      </c>
      <c r="F331" s="124"/>
      <c r="G331" s="123">
        <v>-1</v>
      </c>
    </row>
    <row r="332" spans="2:7" x14ac:dyDescent="0.2">
      <c r="B332" s="120" t="s">
        <v>964</v>
      </c>
      <c r="C332" s="121" t="s">
        <v>965</v>
      </c>
      <c r="D332" s="122" t="s">
        <v>3612</v>
      </c>
      <c r="E332" s="122" t="s">
        <v>3627</v>
      </c>
      <c r="F332" s="124">
        <v>3.19</v>
      </c>
      <c r="G332" s="123">
        <v>-4.4543558993457629E-3</v>
      </c>
    </row>
    <row r="333" spans="2:7" x14ac:dyDescent="0.2">
      <c r="B333" s="120" t="s">
        <v>966</v>
      </c>
      <c r="C333" s="121" t="s">
        <v>967</v>
      </c>
      <c r="D333" s="122" t="s">
        <v>24</v>
      </c>
      <c r="E333" s="122" t="s">
        <v>3701</v>
      </c>
      <c r="F333" s="124">
        <v>2.71</v>
      </c>
      <c r="G333" s="123">
        <v>1.4611190859349785E-2</v>
      </c>
    </row>
    <row r="334" spans="2:7" x14ac:dyDescent="0.2">
      <c r="B334" s="120" t="s">
        <v>968</v>
      </c>
      <c r="C334" s="121" t="s">
        <v>969</v>
      </c>
      <c r="D334" s="122" t="s">
        <v>3576</v>
      </c>
      <c r="E334" s="122" t="s">
        <v>3626</v>
      </c>
      <c r="F334" s="124">
        <v>8.94</v>
      </c>
      <c r="G334" s="123">
        <v>-0.27869165247723438</v>
      </c>
    </row>
    <row r="335" spans="2:7" x14ac:dyDescent="0.2">
      <c r="B335" s="120" t="s">
        <v>970</v>
      </c>
      <c r="C335" s="121" t="s">
        <v>971</v>
      </c>
      <c r="D335" s="122" t="s">
        <v>3576</v>
      </c>
      <c r="E335" s="122" t="s">
        <v>3654</v>
      </c>
      <c r="F335" s="124">
        <v>8.23</v>
      </c>
      <c r="G335" s="123">
        <v>-6.1865098748261446E-2</v>
      </c>
    </row>
    <row r="336" spans="2:7" x14ac:dyDescent="0.2">
      <c r="B336" s="120" t="s">
        <v>972</v>
      </c>
      <c r="C336" s="121" t="s">
        <v>973</v>
      </c>
      <c r="D336" s="122" t="s">
        <v>25</v>
      </c>
      <c r="E336" s="122" t="s">
        <v>3681</v>
      </c>
      <c r="F336" s="124">
        <v>8.31</v>
      </c>
      <c r="G336" s="123">
        <v>0.16445450135968759</v>
      </c>
    </row>
    <row r="337" spans="2:7" x14ac:dyDescent="0.2">
      <c r="B337" s="120" t="s">
        <v>974</v>
      </c>
      <c r="C337" s="121" t="s">
        <v>975</v>
      </c>
      <c r="D337" s="122" t="s">
        <v>3569</v>
      </c>
      <c r="E337" s="122" t="s">
        <v>3574</v>
      </c>
      <c r="F337" s="124">
        <v>14.92</v>
      </c>
      <c r="G337" s="123">
        <v>0.12992018763189292</v>
      </c>
    </row>
    <row r="338" spans="2:7" x14ac:dyDescent="0.2">
      <c r="B338" s="120" t="s">
        <v>976</v>
      </c>
      <c r="C338" s="121" t="s">
        <v>977</v>
      </c>
      <c r="D338" s="122" t="s">
        <v>3576</v>
      </c>
      <c r="E338" s="122" t="s">
        <v>3688</v>
      </c>
      <c r="F338" s="124">
        <v>7.85</v>
      </c>
      <c r="G338" s="123">
        <v>0.12667844711560788</v>
      </c>
    </row>
    <row r="339" spans="2:7" x14ac:dyDescent="0.2">
      <c r="B339" s="120" t="s">
        <v>978</v>
      </c>
      <c r="C339" s="121" t="s">
        <v>979</v>
      </c>
      <c r="D339" s="122" t="s">
        <v>3563</v>
      </c>
      <c r="E339" s="122" t="s">
        <v>3690</v>
      </c>
      <c r="F339" s="124">
        <v>4.04</v>
      </c>
      <c r="G339" s="123">
        <v>0.12814609720903278</v>
      </c>
    </row>
    <row r="340" spans="2:7" x14ac:dyDescent="0.2">
      <c r="B340" s="120" t="s">
        <v>980</v>
      </c>
      <c r="C340" s="121" t="s">
        <v>981</v>
      </c>
      <c r="D340" s="122" t="s">
        <v>3610</v>
      </c>
      <c r="E340" s="122" t="s">
        <v>3708</v>
      </c>
      <c r="F340" s="124">
        <v>5.43</v>
      </c>
      <c r="G340" s="123">
        <v>1.1315241260359319E-2</v>
      </c>
    </row>
    <row r="341" spans="2:7" x14ac:dyDescent="0.2">
      <c r="B341" s="120" t="s">
        <v>982</v>
      </c>
      <c r="C341" s="121" t="s">
        <v>983</v>
      </c>
      <c r="D341" s="122" t="s">
        <v>3563</v>
      </c>
      <c r="E341" s="122" t="s">
        <v>3690</v>
      </c>
      <c r="F341" s="124"/>
      <c r="G341" s="123">
        <v>0.16663597705599925</v>
      </c>
    </row>
    <row r="342" spans="2:7" x14ac:dyDescent="0.2">
      <c r="B342" s="120" t="s">
        <v>984</v>
      </c>
      <c r="C342" s="121" t="s">
        <v>985</v>
      </c>
      <c r="D342" s="122" t="s">
        <v>3558</v>
      </c>
      <c r="E342" s="122" t="s">
        <v>3709</v>
      </c>
      <c r="F342" s="124">
        <v>18.23</v>
      </c>
      <c r="G342" s="123">
        <v>3.8583061924771359E-2</v>
      </c>
    </row>
    <row r="343" spans="2:7" x14ac:dyDescent="0.2">
      <c r="B343" s="120" t="s">
        <v>986</v>
      </c>
      <c r="C343" s="121" t="s">
        <v>987</v>
      </c>
      <c r="D343" s="122" t="s">
        <v>3591</v>
      </c>
      <c r="E343" s="122" t="s">
        <v>3592</v>
      </c>
      <c r="F343" s="124">
        <v>0.21</v>
      </c>
      <c r="G343" s="123">
        <v>1.6327191910373986E-2</v>
      </c>
    </row>
    <row r="344" spans="2:7" x14ac:dyDescent="0.2">
      <c r="B344" s="120" t="s">
        <v>988</v>
      </c>
      <c r="C344" s="121" t="s">
        <v>989</v>
      </c>
      <c r="D344" s="122" t="s">
        <v>3576</v>
      </c>
      <c r="E344" s="122" t="s">
        <v>3578</v>
      </c>
      <c r="F344" s="124">
        <v>1.78</v>
      </c>
      <c r="G344" s="123">
        <v>-6.4633905664101043E-2</v>
      </c>
    </row>
    <row r="345" spans="2:7" x14ac:dyDescent="0.2">
      <c r="B345" s="120" t="s">
        <v>990</v>
      </c>
      <c r="C345" s="121" t="s">
        <v>991</v>
      </c>
      <c r="D345" s="122" t="s">
        <v>3569</v>
      </c>
      <c r="E345" s="122" t="s">
        <v>3625</v>
      </c>
      <c r="F345" s="124">
        <v>38.909999999999997</v>
      </c>
      <c r="G345" s="123">
        <v>0.22669960459777766</v>
      </c>
    </row>
    <row r="346" spans="2:7" x14ac:dyDescent="0.2">
      <c r="B346" s="120" t="s">
        <v>992</v>
      </c>
      <c r="C346" s="121" t="s">
        <v>993</v>
      </c>
      <c r="D346" s="122" t="s">
        <v>3610</v>
      </c>
      <c r="E346" s="122" t="s">
        <v>3656</v>
      </c>
      <c r="F346" s="124">
        <v>-0.72</v>
      </c>
      <c r="G346" s="123">
        <v>-3.6975774254359398E-2</v>
      </c>
    </row>
    <row r="347" spans="2:7" x14ac:dyDescent="0.2">
      <c r="B347" s="120" t="s">
        <v>994</v>
      </c>
      <c r="C347" s="121" t="s">
        <v>995</v>
      </c>
      <c r="D347" s="122" t="s">
        <v>3561</v>
      </c>
      <c r="E347" s="122" t="s">
        <v>3706</v>
      </c>
      <c r="F347" s="124">
        <v>0.37</v>
      </c>
      <c r="G347" s="123">
        <v>8.7204379339777163E-2</v>
      </c>
    </row>
    <row r="348" spans="2:7" x14ac:dyDescent="0.2">
      <c r="B348" s="120" t="s">
        <v>996</v>
      </c>
      <c r="C348" s="121" t="s">
        <v>997</v>
      </c>
      <c r="D348" s="122" t="s">
        <v>25</v>
      </c>
      <c r="E348" s="122" t="s">
        <v>3694</v>
      </c>
      <c r="F348" s="124">
        <v>4.24</v>
      </c>
      <c r="G348" s="123">
        <v>3.8555274479008299E-2</v>
      </c>
    </row>
    <row r="349" spans="2:7" x14ac:dyDescent="0.2">
      <c r="B349" s="120" t="s">
        <v>998</v>
      </c>
      <c r="C349" s="121" t="s">
        <v>999</v>
      </c>
      <c r="D349" s="122" t="s">
        <v>3591</v>
      </c>
      <c r="E349" s="122" t="s">
        <v>3592</v>
      </c>
      <c r="F349" s="124">
        <v>7.32</v>
      </c>
      <c r="G349" s="123">
        <v>0.1844655453772783</v>
      </c>
    </row>
    <row r="350" spans="2:7" x14ac:dyDescent="0.2">
      <c r="B350" s="120" t="s">
        <v>1000</v>
      </c>
      <c r="C350" s="121" t="s">
        <v>1001</v>
      </c>
      <c r="D350" s="122" t="s">
        <v>3612</v>
      </c>
      <c r="E350" s="122" t="s">
        <v>3710</v>
      </c>
      <c r="F350" s="124">
        <v>4.0999999999999996</v>
      </c>
      <c r="G350" s="123">
        <v>6.2392866199951326E-3</v>
      </c>
    </row>
    <row r="351" spans="2:7" x14ac:dyDescent="0.2">
      <c r="B351" s="120" t="s">
        <v>1002</v>
      </c>
      <c r="C351" s="121" t="s">
        <v>1003</v>
      </c>
      <c r="D351" s="122" t="s">
        <v>3576</v>
      </c>
      <c r="E351" s="122" t="s">
        <v>3609</v>
      </c>
      <c r="F351" s="124">
        <v>8.93</v>
      </c>
      <c r="G351" s="123">
        <v>-0.10851815146554655</v>
      </c>
    </row>
    <row r="352" spans="2:7" x14ac:dyDescent="0.2">
      <c r="B352" s="120" t="s">
        <v>1004</v>
      </c>
      <c r="C352" s="121" t="s">
        <v>1005</v>
      </c>
      <c r="D352" s="122" t="s">
        <v>3612</v>
      </c>
      <c r="E352" s="122" t="s">
        <v>3627</v>
      </c>
      <c r="F352" s="124">
        <v>4.0999999999999996</v>
      </c>
      <c r="G352" s="123">
        <v>-1.7393652171926122E-2</v>
      </c>
    </row>
    <row r="353" spans="2:7" x14ac:dyDescent="0.2">
      <c r="B353" s="120" t="s">
        <v>1006</v>
      </c>
      <c r="C353" s="121" t="s">
        <v>1007</v>
      </c>
      <c r="D353" s="122" t="s">
        <v>3556</v>
      </c>
      <c r="E353" s="122" t="s">
        <v>3711</v>
      </c>
      <c r="F353" s="124">
        <v>26.48</v>
      </c>
      <c r="G353" s="123">
        <v>-0.25161756466253538</v>
      </c>
    </row>
    <row r="354" spans="2:7" x14ac:dyDescent="0.2">
      <c r="B354" s="120" t="s">
        <v>1008</v>
      </c>
      <c r="C354" s="121" t="s">
        <v>1009</v>
      </c>
      <c r="D354" s="122" t="s">
        <v>3594</v>
      </c>
      <c r="E354" s="122" t="s">
        <v>3637</v>
      </c>
      <c r="F354" s="124"/>
      <c r="G354" s="123">
        <v>-3.3955807760245947E-2</v>
      </c>
    </row>
    <row r="355" spans="2:7" x14ac:dyDescent="0.2">
      <c r="B355" s="120" t="s">
        <v>1010</v>
      </c>
      <c r="C355" s="121" t="s">
        <v>1011</v>
      </c>
      <c r="D355" s="122" t="s">
        <v>3576</v>
      </c>
      <c r="E355" s="122" t="s">
        <v>3619</v>
      </c>
      <c r="F355" s="124"/>
      <c r="G355" s="123">
        <v>0.11747833054800325</v>
      </c>
    </row>
    <row r="356" spans="2:7" x14ac:dyDescent="0.2">
      <c r="B356" s="120" t="s">
        <v>1012</v>
      </c>
      <c r="C356" s="121" t="s">
        <v>1013</v>
      </c>
      <c r="D356" s="122" t="s">
        <v>25</v>
      </c>
      <c r="E356" s="122" t="s">
        <v>3712</v>
      </c>
      <c r="F356" s="124">
        <v>6.68</v>
      </c>
      <c r="G356" s="123">
        <v>8.1673482423554628E-2</v>
      </c>
    </row>
    <row r="357" spans="2:7" x14ac:dyDescent="0.2">
      <c r="B357" s="120" t="s">
        <v>1014</v>
      </c>
      <c r="C357" s="121" t="s">
        <v>1015</v>
      </c>
      <c r="D357" s="122" t="s">
        <v>3576</v>
      </c>
      <c r="E357" s="122" t="s">
        <v>3619</v>
      </c>
      <c r="F357" s="124">
        <v>26.4</v>
      </c>
      <c r="G357" s="123">
        <v>0.19051375700024356</v>
      </c>
    </row>
    <row r="358" spans="2:7" x14ac:dyDescent="0.2">
      <c r="B358" s="120" t="s">
        <v>1016</v>
      </c>
      <c r="C358" s="121" t="s">
        <v>1017</v>
      </c>
      <c r="D358" s="122" t="s">
        <v>3569</v>
      </c>
      <c r="E358" s="122" t="s">
        <v>3571</v>
      </c>
      <c r="F358" s="124">
        <v>10.199999999999999</v>
      </c>
      <c r="G358" s="123">
        <v>4.5110510107390887E-2</v>
      </c>
    </row>
    <row r="359" spans="2:7" x14ac:dyDescent="0.2">
      <c r="B359" s="120" t="s">
        <v>1018</v>
      </c>
      <c r="C359" s="121" t="s">
        <v>1019</v>
      </c>
      <c r="D359" s="122" t="s">
        <v>3612</v>
      </c>
      <c r="E359" s="122" t="s">
        <v>3613</v>
      </c>
      <c r="F359" s="124">
        <v>-4.2300000000000004</v>
      </c>
      <c r="G359" s="123">
        <v>-3.2139338446045378E-2</v>
      </c>
    </row>
    <row r="360" spans="2:7" x14ac:dyDescent="0.2">
      <c r="B360" s="120" t="s">
        <v>1020</v>
      </c>
      <c r="C360" s="121" t="s">
        <v>1021</v>
      </c>
      <c r="D360" s="122" t="s">
        <v>3576</v>
      </c>
      <c r="E360" s="122" t="s">
        <v>3619</v>
      </c>
      <c r="F360" s="124">
        <v>18.59</v>
      </c>
      <c r="G360" s="123">
        <v>5.8487444662833572E-2</v>
      </c>
    </row>
    <row r="361" spans="2:7" x14ac:dyDescent="0.2">
      <c r="B361" s="120" t="s">
        <v>1022</v>
      </c>
      <c r="C361" s="121" t="s">
        <v>1023</v>
      </c>
      <c r="D361" s="122" t="s">
        <v>3563</v>
      </c>
      <c r="E361" s="122" t="s">
        <v>3677</v>
      </c>
      <c r="F361" s="124">
        <v>6.35</v>
      </c>
      <c r="G361" s="123">
        <v>0.14886229389161998</v>
      </c>
    </row>
    <row r="362" spans="2:7" x14ac:dyDescent="0.2">
      <c r="B362" s="120" t="s">
        <v>1024</v>
      </c>
      <c r="C362" s="121" t="s">
        <v>1025</v>
      </c>
      <c r="D362" s="122" t="s">
        <v>24</v>
      </c>
      <c r="E362" s="122" t="s">
        <v>3713</v>
      </c>
      <c r="F362" s="124">
        <v>23.56</v>
      </c>
      <c r="G362" s="123">
        <v>-4.5420064751112973E-2</v>
      </c>
    </row>
    <row r="363" spans="2:7" x14ac:dyDescent="0.2">
      <c r="B363" s="120" t="s">
        <v>1026</v>
      </c>
      <c r="C363" s="121" t="s">
        <v>1027</v>
      </c>
      <c r="D363" s="122" t="s">
        <v>3556</v>
      </c>
      <c r="E363" s="122" t="s">
        <v>3630</v>
      </c>
      <c r="F363" s="124">
        <v>42.47</v>
      </c>
      <c r="G363" s="123">
        <v>0.43138994507815787</v>
      </c>
    </row>
    <row r="364" spans="2:7" x14ac:dyDescent="0.2">
      <c r="B364" s="120" t="s">
        <v>1028</v>
      </c>
      <c r="C364" s="121" t="s">
        <v>1029</v>
      </c>
      <c r="D364" s="122" t="s">
        <v>3594</v>
      </c>
      <c r="E364" s="122" t="s">
        <v>3714</v>
      </c>
      <c r="F364" s="124"/>
      <c r="G364" s="123">
        <v>-0.17683976131854123</v>
      </c>
    </row>
    <row r="365" spans="2:7" x14ac:dyDescent="0.2">
      <c r="B365" s="120" t="s">
        <v>1030</v>
      </c>
      <c r="C365" s="121" t="s">
        <v>1031</v>
      </c>
      <c r="D365" s="122" t="s">
        <v>3561</v>
      </c>
      <c r="E365" s="122" t="s">
        <v>3706</v>
      </c>
      <c r="F365" s="124">
        <v>-0.67</v>
      </c>
      <c r="G365" s="123">
        <v>6.8250668740500453E-2</v>
      </c>
    </row>
    <row r="366" spans="2:7" x14ac:dyDescent="0.2">
      <c r="B366" s="120" t="s">
        <v>1032</v>
      </c>
      <c r="C366" s="121" t="s">
        <v>1033</v>
      </c>
      <c r="D366" s="122" t="s">
        <v>3561</v>
      </c>
      <c r="E366" s="122" t="s">
        <v>3562</v>
      </c>
      <c r="F366" s="124">
        <v>1.4</v>
      </c>
      <c r="G366" s="123">
        <v>1.2579766435243047E-2</v>
      </c>
    </row>
    <row r="367" spans="2:7" x14ac:dyDescent="0.2">
      <c r="B367" s="120" t="s">
        <v>1034</v>
      </c>
      <c r="C367" s="121" t="s">
        <v>1035</v>
      </c>
      <c r="D367" s="122" t="s">
        <v>24</v>
      </c>
      <c r="E367" s="122" t="s">
        <v>3633</v>
      </c>
      <c r="F367" s="124">
        <v>3.06</v>
      </c>
      <c r="G367" s="123">
        <v>5.9784488713457609E-2</v>
      </c>
    </row>
    <row r="368" spans="2:7" x14ac:dyDescent="0.2">
      <c r="B368" s="120" t="s">
        <v>1036</v>
      </c>
      <c r="C368" s="121" t="s">
        <v>1037</v>
      </c>
      <c r="D368" s="122" t="s">
        <v>3561</v>
      </c>
      <c r="E368" s="122" t="s">
        <v>3562</v>
      </c>
      <c r="F368" s="124"/>
      <c r="G368" s="123">
        <v>-5.2925309894390593E-2</v>
      </c>
    </row>
    <row r="369" spans="2:7" x14ac:dyDescent="0.2">
      <c r="B369" s="120" t="s">
        <v>1038</v>
      </c>
      <c r="C369" s="121" t="s">
        <v>1039</v>
      </c>
      <c r="D369" s="122" t="s">
        <v>3563</v>
      </c>
      <c r="E369" s="122" t="s">
        <v>3676</v>
      </c>
      <c r="F369" s="124">
        <v>4.49</v>
      </c>
      <c r="G369" s="123">
        <v>0.11650112829324165</v>
      </c>
    </row>
    <row r="370" spans="2:7" x14ac:dyDescent="0.2">
      <c r="B370" s="120" t="s">
        <v>1040</v>
      </c>
      <c r="C370" s="121" t="s">
        <v>1041</v>
      </c>
      <c r="D370" s="122" t="s">
        <v>3582</v>
      </c>
      <c r="E370" s="122" t="s">
        <v>3715</v>
      </c>
      <c r="F370" s="124">
        <v>14.36</v>
      </c>
      <c r="G370" s="123">
        <v>0.12048227193480775</v>
      </c>
    </row>
    <row r="371" spans="2:7" x14ac:dyDescent="0.2">
      <c r="B371" s="120" t="s">
        <v>1042</v>
      </c>
      <c r="C371" s="121" t="s">
        <v>1043</v>
      </c>
      <c r="D371" s="122" t="s">
        <v>3576</v>
      </c>
      <c r="E371" s="122" t="s">
        <v>3577</v>
      </c>
      <c r="F371" s="124">
        <v>2.81</v>
      </c>
      <c r="G371" s="123">
        <v>7.2115504290159352E-2</v>
      </c>
    </row>
    <row r="372" spans="2:7" x14ac:dyDescent="0.2">
      <c r="B372" s="120" t="s">
        <v>1044</v>
      </c>
      <c r="C372" s="121" t="s">
        <v>1045</v>
      </c>
      <c r="D372" s="122" t="s">
        <v>3591</v>
      </c>
      <c r="E372" s="122" t="s">
        <v>3643</v>
      </c>
      <c r="F372" s="124"/>
      <c r="G372" s="123">
        <v>-5.6874591481618914E-2</v>
      </c>
    </row>
    <row r="373" spans="2:7" x14ac:dyDescent="0.2">
      <c r="B373" s="120" t="s">
        <v>1046</v>
      </c>
      <c r="C373" s="121" t="s">
        <v>1047</v>
      </c>
      <c r="D373" s="122" t="s">
        <v>3612</v>
      </c>
      <c r="E373" s="122" t="s">
        <v>3716</v>
      </c>
      <c r="F373" s="124">
        <v>145.77000000000001</v>
      </c>
      <c r="G373" s="123">
        <v>0.12848399937752877</v>
      </c>
    </row>
    <row r="374" spans="2:7" x14ac:dyDescent="0.2">
      <c r="B374" s="120" t="s">
        <v>1048</v>
      </c>
      <c r="C374" s="121" t="s">
        <v>1049</v>
      </c>
      <c r="D374" s="122" t="s">
        <v>3679</v>
      </c>
      <c r="E374" s="122" t="s">
        <v>3680</v>
      </c>
      <c r="F374" s="124">
        <v>3.38</v>
      </c>
      <c r="G374" s="123">
        <v>-6.3467105066507016E-3</v>
      </c>
    </row>
    <row r="375" spans="2:7" x14ac:dyDescent="0.2">
      <c r="B375" s="120" t="s">
        <v>1050</v>
      </c>
      <c r="C375" s="121" t="s">
        <v>1051</v>
      </c>
      <c r="D375" s="122" t="s">
        <v>3576</v>
      </c>
      <c r="E375" s="122" t="s">
        <v>3626</v>
      </c>
      <c r="F375" s="124"/>
      <c r="G375" s="123">
        <v>-3.9391300523110594E-2</v>
      </c>
    </row>
    <row r="376" spans="2:7" x14ac:dyDescent="0.2">
      <c r="B376" s="120" t="s">
        <v>1052</v>
      </c>
      <c r="C376" s="121" t="s">
        <v>1053</v>
      </c>
      <c r="D376" s="122" t="s">
        <v>3556</v>
      </c>
      <c r="E376" s="122" t="s">
        <v>3717</v>
      </c>
      <c r="F376" s="124">
        <v>-3.5</v>
      </c>
      <c r="G376" s="123">
        <v>-5.4418499999999988E-2</v>
      </c>
    </row>
    <row r="377" spans="2:7" x14ac:dyDescent="0.2">
      <c r="B377" s="120" t="s">
        <v>1054</v>
      </c>
      <c r="C377" s="121" t="s">
        <v>1055</v>
      </c>
      <c r="D377" s="122" t="s">
        <v>25</v>
      </c>
      <c r="E377" s="122" t="s">
        <v>3585</v>
      </c>
      <c r="F377" s="124">
        <v>4.7</v>
      </c>
      <c r="G377" s="123">
        <v>1.8222460986578211E-2</v>
      </c>
    </row>
    <row r="378" spans="2:7" x14ac:dyDescent="0.2">
      <c r="B378" s="120" t="s">
        <v>1056</v>
      </c>
      <c r="C378" s="121" t="s">
        <v>1057</v>
      </c>
      <c r="D378" s="122" t="s">
        <v>3569</v>
      </c>
      <c r="E378" s="122" t="s">
        <v>3718</v>
      </c>
      <c r="F378" s="124">
        <v>15.7</v>
      </c>
      <c r="G378" s="123">
        <v>0.1653307885794979</v>
      </c>
    </row>
    <row r="379" spans="2:7" x14ac:dyDescent="0.2">
      <c r="B379" s="120" t="s">
        <v>1058</v>
      </c>
      <c r="C379" s="121" t="s">
        <v>1059</v>
      </c>
      <c r="D379" s="122" t="s">
        <v>3556</v>
      </c>
      <c r="E379" s="122" t="s">
        <v>3579</v>
      </c>
      <c r="F379" s="124">
        <v>25.38</v>
      </c>
      <c r="G379" s="123">
        <v>0.26959904005420882</v>
      </c>
    </row>
    <row r="380" spans="2:7" x14ac:dyDescent="0.2">
      <c r="B380" s="120" t="s">
        <v>1060</v>
      </c>
      <c r="C380" s="121" t="s">
        <v>1061</v>
      </c>
      <c r="D380" s="122" t="s">
        <v>3576</v>
      </c>
      <c r="E380" s="122" t="s">
        <v>3604</v>
      </c>
      <c r="F380" s="124"/>
      <c r="G380" s="123">
        <v>2.4188118811881192</v>
      </c>
    </row>
    <row r="381" spans="2:7" x14ac:dyDescent="0.2">
      <c r="B381" s="120" t="s">
        <v>1062</v>
      </c>
      <c r="C381" s="121" t="s">
        <v>1063</v>
      </c>
      <c r="D381" s="122" t="s">
        <v>3591</v>
      </c>
      <c r="E381" s="122" t="s">
        <v>3592</v>
      </c>
      <c r="F381" s="124"/>
      <c r="G381" s="123">
        <v>-6.3085943961636026E-2</v>
      </c>
    </row>
    <row r="382" spans="2:7" x14ac:dyDescent="0.2">
      <c r="B382" s="120" t="s">
        <v>1064</v>
      </c>
      <c r="C382" s="121" t="s">
        <v>1065</v>
      </c>
      <c r="D382" s="122" t="s">
        <v>3563</v>
      </c>
      <c r="E382" s="122" t="s">
        <v>3687</v>
      </c>
      <c r="F382" s="124"/>
      <c r="G382" s="123">
        <v>-8.3184927012590046E-2</v>
      </c>
    </row>
    <row r="383" spans="2:7" x14ac:dyDescent="0.2">
      <c r="B383" s="120" t="s">
        <v>1066</v>
      </c>
      <c r="C383" s="121" t="s">
        <v>1067</v>
      </c>
      <c r="D383" s="122" t="s">
        <v>3556</v>
      </c>
      <c r="E383" s="122" t="s">
        <v>3616</v>
      </c>
      <c r="F383" s="124">
        <v>10.52</v>
      </c>
      <c r="G383" s="123">
        <v>-3.2106560834064338E-2</v>
      </c>
    </row>
    <row r="384" spans="2:7" x14ac:dyDescent="0.2">
      <c r="B384" s="120" t="s">
        <v>1068</v>
      </c>
      <c r="C384" s="121" t="s">
        <v>1069</v>
      </c>
      <c r="D384" s="122" t="s">
        <v>3576</v>
      </c>
      <c r="E384" s="122" t="s">
        <v>3626</v>
      </c>
      <c r="F384" s="124">
        <v>3.08</v>
      </c>
      <c r="G384" s="123">
        <v>-0.35542989875460756</v>
      </c>
    </row>
    <row r="385" spans="2:7" x14ac:dyDescent="0.2">
      <c r="B385" s="120" t="s">
        <v>1070</v>
      </c>
      <c r="C385" s="121" t="s">
        <v>1071</v>
      </c>
      <c r="D385" s="122" t="s">
        <v>3556</v>
      </c>
      <c r="E385" s="122" t="s">
        <v>3719</v>
      </c>
      <c r="F385" s="124">
        <v>0.96</v>
      </c>
      <c r="G385" s="123">
        <v>1.9207033561960511E-2</v>
      </c>
    </row>
    <row r="386" spans="2:7" x14ac:dyDescent="0.2">
      <c r="B386" s="120" t="s">
        <v>1072</v>
      </c>
      <c r="C386" s="121" t="s">
        <v>1073</v>
      </c>
      <c r="D386" s="122" t="s">
        <v>3576</v>
      </c>
      <c r="E386" s="122" t="s">
        <v>3671</v>
      </c>
      <c r="F386" s="124">
        <v>35.03</v>
      </c>
      <c r="G386" s="123">
        <v>0.28847385817307686</v>
      </c>
    </row>
    <row r="387" spans="2:7" x14ac:dyDescent="0.2">
      <c r="B387" s="120" t="s">
        <v>1074</v>
      </c>
      <c r="C387" s="121" t="s">
        <v>1075</v>
      </c>
      <c r="D387" s="122" t="s">
        <v>3556</v>
      </c>
      <c r="E387" s="122" t="s">
        <v>3614</v>
      </c>
      <c r="F387" s="124">
        <v>19.18</v>
      </c>
      <c r="G387" s="123">
        <v>0.1648994067945932</v>
      </c>
    </row>
    <row r="388" spans="2:7" x14ac:dyDescent="0.2">
      <c r="B388" s="120" t="s">
        <v>1076</v>
      </c>
      <c r="C388" s="121" t="s">
        <v>1077</v>
      </c>
      <c r="D388" s="122" t="s">
        <v>3679</v>
      </c>
      <c r="E388" s="122" t="s">
        <v>3680</v>
      </c>
      <c r="F388" s="124">
        <v>8.58</v>
      </c>
      <c r="G388" s="123">
        <v>8.2323268221899684E-2</v>
      </c>
    </row>
    <row r="389" spans="2:7" x14ac:dyDescent="0.2">
      <c r="B389" s="120" t="s">
        <v>1078</v>
      </c>
      <c r="C389" s="121" t="s">
        <v>1079</v>
      </c>
      <c r="D389" s="122" t="s">
        <v>3569</v>
      </c>
      <c r="E389" s="122" t="s">
        <v>3575</v>
      </c>
      <c r="F389" s="124"/>
      <c r="G389" s="123">
        <v>6.0919767877637927E-2</v>
      </c>
    </row>
    <row r="390" spans="2:7" x14ac:dyDescent="0.2">
      <c r="B390" s="120" t="s">
        <v>1080</v>
      </c>
      <c r="C390" s="121" t="s">
        <v>1081</v>
      </c>
      <c r="D390" s="122" t="s">
        <v>3556</v>
      </c>
      <c r="E390" s="122" t="s">
        <v>3579</v>
      </c>
      <c r="F390" s="124">
        <v>18.760000000000002</v>
      </c>
      <c r="G390" s="123">
        <v>5.7454126308353004E-2</v>
      </c>
    </row>
    <row r="391" spans="2:7" x14ac:dyDescent="0.2">
      <c r="B391" s="120" t="s">
        <v>1082</v>
      </c>
      <c r="C391" s="121" t="s">
        <v>1083</v>
      </c>
      <c r="D391" s="122" t="s">
        <v>3561</v>
      </c>
      <c r="E391" s="122" t="s">
        <v>3706</v>
      </c>
      <c r="F391" s="124">
        <v>-0.65</v>
      </c>
      <c r="G391" s="123">
        <v>-1.2116311020408199E-2</v>
      </c>
    </row>
    <row r="392" spans="2:7" x14ac:dyDescent="0.2">
      <c r="B392" s="120" t="s">
        <v>1084</v>
      </c>
      <c r="C392" s="121" t="s">
        <v>1085</v>
      </c>
      <c r="D392" s="122" t="s">
        <v>3558</v>
      </c>
      <c r="E392" s="122" t="s">
        <v>3720</v>
      </c>
      <c r="F392" s="124">
        <v>11.09</v>
      </c>
      <c r="G392" s="123">
        <v>5.7866432105392954E-2</v>
      </c>
    </row>
    <row r="393" spans="2:7" x14ac:dyDescent="0.2">
      <c r="B393" s="120" t="s">
        <v>1086</v>
      </c>
      <c r="C393" s="121" t="s">
        <v>1087</v>
      </c>
      <c r="D393" s="122" t="s">
        <v>3556</v>
      </c>
      <c r="E393" s="122" t="s">
        <v>3721</v>
      </c>
      <c r="F393" s="124">
        <v>5.56</v>
      </c>
      <c r="G393" s="123">
        <v>-4.8729398541142395E-2</v>
      </c>
    </row>
    <row r="394" spans="2:7" x14ac:dyDescent="0.2">
      <c r="B394" s="120" t="s">
        <v>1088</v>
      </c>
      <c r="C394" s="121" t="s">
        <v>1089</v>
      </c>
      <c r="D394" s="122" t="s">
        <v>3569</v>
      </c>
      <c r="E394" s="122" t="s">
        <v>3722</v>
      </c>
      <c r="F394" s="124">
        <v>8.75</v>
      </c>
      <c r="G394" s="123">
        <v>0.12767953534551227</v>
      </c>
    </row>
    <row r="395" spans="2:7" x14ac:dyDescent="0.2">
      <c r="B395" s="120" t="s">
        <v>1090</v>
      </c>
      <c r="C395" s="121" t="s">
        <v>1091</v>
      </c>
      <c r="D395" s="122" t="s">
        <v>3563</v>
      </c>
      <c r="E395" s="122" t="s">
        <v>3622</v>
      </c>
      <c r="F395" s="124">
        <v>38.479999999999997</v>
      </c>
      <c r="G395" s="123">
        <v>0.12940802166224583</v>
      </c>
    </row>
    <row r="396" spans="2:7" x14ac:dyDescent="0.2">
      <c r="B396" s="120" t="s">
        <v>1092</v>
      </c>
      <c r="C396" s="121" t="s">
        <v>1093</v>
      </c>
      <c r="D396" s="122" t="s">
        <v>3556</v>
      </c>
      <c r="E396" s="122" t="s">
        <v>3723</v>
      </c>
      <c r="F396" s="124">
        <v>10.95</v>
      </c>
      <c r="G396" s="123">
        <v>3.3950460155038775E-2</v>
      </c>
    </row>
    <row r="397" spans="2:7" x14ac:dyDescent="0.2">
      <c r="B397" s="120" t="s">
        <v>1094</v>
      </c>
      <c r="C397" s="121" t="s">
        <v>1095</v>
      </c>
      <c r="D397" s="122" t="s">
        <v>3610</v>
      </c>
      <c r="E397" s="122" t="s">
        <v>3611</v>
      </c>
      <c r="F397" s="124">
        <v>4.84</v>
      </c>
      <c r="G397" s="123">
        <v>-3.3855934601537713E-2</v>
      </c>
    </row>
    <row r="398" spans="2:7" x14ac:dyDescent="0.2">
      <c r="B398" s="120" t="s">
        <v>1096</v>
      </c>
      <c r="C398" s="121" t="s">
        <v>1097</v>
      </c>
      <c r="D398" s="122" t="s">
        <v>3556</v>
      </c>
      <c r="E398" s="122" t="s">
        <v>3579</v>
      </c>
      <c r="F398" s="124">
        <v>-2.2999999999999998</v>
      </c>
      <c r="G398" s="123">
        <v>5.4601466088300809E-3</v>
      </c>
    </row>
    <row r="399" spans="2:7" x14ac:dyDescent="0.2">
      <c r="B399" s="120" t="s">
        <v>1098</v>
      </c>
      <c r="C399" s="121" t="s">
        <v>1099</v>
      </c>
      <c r="D399" s="122" t="s">
        <v>3576</v>
      </c>
      <c r="E399" s="122" t="s">
        <v>3619</v>
      </c>
      <c r="F399" s="124">
        <v>11.29</v>
      </c>
      <c r="G399" s="123">
        <v>7.3636100612101435E-2</v>
      </c>
    </row>
    <row r="400" spans="2:7" x14ac:dyDescent="0.2">
      <c r="B400" s="120" t="s">
        <v>1100</v>
      </c>
      <c r="C400" s="121" t="s">
        <v>1101</v>
      </c>
      <c r="D400" s="122" t="s">
        <v>25</v>
      </c>
      <c r="E400" s="122" t="s">
        <v>3666</v>
      </c>
      <c r="F400" s="124"/>
      <c r="G400" s="123">
        <v>-1</v>
      </c>
    </row>
    <row r="401" spans="2:7" x14ac:dyDescent="0.2">
      <c r="B401" s="120" t="s">
        <v>1102</v>
      </c>
      <c r="C401" s="121" t="s">
        <v>1103</v>
      </c>
      <c r="D401" s="122" t="s">
        <v>3576</v>
      </c>
      <c r="E401" s="122" t="s">
        <v>3619</v>
      </c>
      <c r="F401" s="124">
        <v>8</v>
      </c>
      <c r="G401" s="123">
        <v>0.28947835693693319</v>
      </c>
    </row>
    <row r="402" spans="2:7" x14ac:dyDescent="0.2">
      <c r="B402" s="120" t="s">
        <v>1104</v>
      </c>
      <c r="C402" s="121" t="s">
        <v>1105</v>
      </c>
      <c r="D402" s="122" t="s">
        <v>3576</v>
      </c>
      <c r="E402" s="122" t="s">
        <v>3667</v>
      </c>
      <c r="F402" s="124">
        <v>9.57</v>
      </c>
      <c r="G402" s="123">
        <v>0.22065424088419605</v>
      </c>
    </row>
    <row r="403" spans="2:7" x14ac:dyDescent="0.2">
      <c r="B403" s="120" t="s">
        <v>1106</v>
      </c>
      <c r="C403" s="121" t="s">
        <v>1107</v>
      </c>
      <c r="D403" s="122" t="s">
        <v>3612</v>
      </c>
      <c r="E403" s="122" t="s">
        <v>3724</v>
      </c>
      <c r="F403" s="124">
        <v>4.08</v>
      </c>
      <c r="G403" s="123">
        <v>-1.3154465776864726E-2</v>
      </c>
    </row>
    <row r="404" spans="2:7" x14ac:dyDescent="0.2">
      <c r="B404" s="120" t="s">
        <v>1108</v>
      </c>
      <c r="C404" s="121" t="s">
        <v>1109</v>
      </c>
      <c r="D404" s="122" t="s">
        <v>3563</v>
      </c>
      <c r="E404" s="122" t="s">
        <v>3622</v>
      </c>
      <c r="F404" s="124">
        <v>128.30000000000001</v>
      </c>
      <c r="G404" s="123">
        <v>0.92082215528747557</v>
      </c>
    </row>
    <row r="405" spans="2:7" x14ac:dyDescent="0.2">
      <c r="B405" s="120" t="s">
        <v>1110</v>
      </c>
      <c r="C405" s="121" t="s">
        <v>1111</v>
      </c>
      <c r="D405" s="122" t="s">
        <v>3563</v>
      </c>
      <c r="E405" s="122" t="s">
        <v>3725</v>
      </c>
      <c r="F405" s="124">
        <v>9.6199999999999992</v>
      </c>
      <c r="G405" s="123">
        <v>0.29728783039279677</v>
      </c>
    </row>
    <row r="406" spans="2:7" x14ac:dyDescent="0.2">
      <c r="B406" s="120" t="s">
        <v>1112</v>
      </c>
      <c r="C406" s="121" t="s">
        <v>1113</v>
      </c>
      <c r="D406" s="122" t="s">
        <v>3612</v>
      </c>
      <c r="E406" s="122" t="s">
        <v>3669</v>
      </c>
      <c r="F406" s="124">
        <v>-3.4</v>
      </c>
      <c r="G406" s="123">
        <v>-5.8422859341465322E-2</v>
      </c>
    </row>
    <row r="407" spans="2:7" x14ac:dyDescent="0.2">
      <c r="B407" s="120" t="s">
        <v>1114</v>
      </c>
      <c r="C407" s="121" t="s">
        <v>1115</v>
      </c>
      <c r="D407" s="122" t="s">
        <v>3605</v>
      </c>
      <c r="E407" s="122" t="s">
        <v>3606</v>
      </c>
      <c r="F407" s="124">
        <v>0.75</v>
      </c>
      <c r="G407" s="123">
        <v>4.8731079719549139E-2</v>
      </c>
    </row>
    <row r="408" spans="2:7" x14ac:dyDescent="0.2">
      <c r="B408" s="120" t="s">
        <v>1116</v>
      </c>
      <c r="C408" s="121" t="s">
        <v>1117</v>
      </c>
      <c r="D408" s="122" t="s">
        <v>3612</v>
      </c>
      <c r="E408" s="122" t="s">
        <v>3726</v>
      </c>
      <c r="F408" s="124">
        <v>9.51</v>
      </c>
      <c r="G408" s="123">
        <v>-1.9135830959164307E-2</v>
      </c>
    </row>
    <row r="409" spans="2:7" x14ac:dyDescent="0.2">
      <c r="B409" s="120" t="s">
        <v>1118</v>
      </c>
      <c r="C409" s="121" t="s">
        <v>1119</v>
      </c>
      <c r="D409" s="122" t="s">
        <v>3576</v>
      </c>
      <c r="E409" s="122" t="s">
        <v>3689</v>
      </c>
      <c r="F409" s="124"/>
      <c r="G409" s="123">
        <v>7.5923120719230297E-2</v>
      </c>
    </row>
    <row r="410" spans="2:7" x14ac:dyDescent="0.2">
      <c r="B410" s="120" t="s">
        <v>1120</v>
      </c>
      <c r="C410" s="121" t="s">
        <v>1121</v>
      </c>
      <c r="D410" s="122" t="s">
        <v>3580</v>
      </c>
      <c r="E410" s="122" t="s">
        <v>3601</v>
      </c>
      <c r="F410" s="124">
        <v>-2.09</v>
      </c>
      <c r="G410" s="123">
        <v>-3.6758590847745347E-2</v>
      </c>
    </row>
    <row r="411" spans="2:7" x14ac:dyDescent="0.2">
      <c r="B411" s="120" t="s">
        <v>1122</v>
      </c>
      <c r="C411" s="121" t="s">
        <v>1123</v>
      </c>
      <c r="D411" s="122" t="s">
        <v>3612</v>
      </c>
      <c r="E411" s="122" t="s">
        <v>3627</v>
      </c>
      <c r="F411" s="124">
        <v>15.97</v>
      </c>
      <c r="G411" s="123">
        <v>9.8584700072271714E-2</v>
      </c>
    </row>
    <row r="412" spans="2:7" x14ac:dyDescent="0.2">
      <c r="B412" s="120" t="s">
        <v>1124</v>
      </c>
      <c r="C412" s="121" t="s">
        <v>1125</v>
      </c>
      <c r="D412" s="122" t="s">
        <v>3556</v>
      </c>
      <c r="E412" s="122" t="s">
        <v>3727</v>
      </c>
      <c r="F412" s="124">
        <v>29.31</v>
      </c>
      <c r="G412" s="123">
        <v>-0.11326698982221087</v>
      </c>
    </row>
    <row r="413" spans="2:7" x14ac:dyDescent="0.2">
      <c r="B413" s="120" t="s">
        <v>1126</v>
      </c>
      <c r="C413" s="121" t="s">
        <v>1127</v>
      </c>
      <c r="D413" s="122" t="s">
        <v>3556</v>
      </c>
      <c r="E413" s="122" t="s">
        <v>3704</v>
      </c>
      <c r="F413" s="124">
        <v>28.6</v>
      </c>
      <c r="G413" s="123">
        <v>0.22868295454545456</v>
      </c>
    </row>
    <row r="414" spans="2:7" x14ac:dyDescent="0.2">
      <c r="B414" s="120" t="s">
        <v>1128</v>
      </c>
      <c r="C414" s="121" t="s">
        <v>1129</v>
      </c>
      <c r="D414" s="122" t="s">
        <v>3556</v>
      </c>
      <c r="E414" s="122" t="s">
        <v>3607</v>
      </c>
      <c r="F414" s="124"/>
      <c r="G414" s="123">
        <v>0.48990059395577418</v>
      </c>
    </row>
    <row r="415" spans="2:7" x14ac:dyDescent="0.2">
      <c r="B415" s="120" t="s">
        <v>1130</v>
      </c>
      <c r="C415" s="121" t="s">
        <v>1131</v>
      </c>
      <c r="D415" s="122" t="s">
        <v>25</v>
      </c>
      <c r="E415" s="122" t="s">
        <v>3702</v>
      </c>
      <c r="F415" s="124">
        <v>2.13</v>
      </c>
      <c r="G415" s="123">
        <v>3.3692744607317297E-2</v>
      </c>
    </row>
    <row r="416" spans="2:7" x14ac:dyDescent="0.2">
      <c r="B416" s="120" t="s">
        <v>1132</v>
      </c>
      <c r="C416" s="121" t="s">
        <v>1133</v>
      </c>
      <c r="D416" s="122" t="s">
        <v>3594</v>
      </c>
      <c r="E416" s="122" t="s">
        <v>3660</v>
      </c>
      <c r="F416" s="124">
        <v>10.06</v>
      </c>
      <c r="G416" s="123">
        <v>3.4092455678906921</v>
      </c>
    </row>
    <row r="417" spans="2:7" x14ac:dyDescent="0.2">
      <c r="B417" s="120" t="s">
        <v>1134</v>
      </c>
      <c r="C417" s="121" t="s">
        <v>1135</v>
      </c>
      <c r="D417" s="122" t="s">
        <v>3591</v>
      </c>
      <c r="E417" s="122" t="s">
        <v>3592</v>
      </c>
      <c r="F417" s="124">
        <v>3.1</v>
      </c>
      <c r="G417" s="123">
        <v>0.30427630031423025</v>
      </c>
    </row>
    <row r="418" spans="2:7" x14ac:dyDescent="0.2">
      <c r="B418" s="120" t="s">
        <v>1136</v>
      </c>
      <c r="C418" s="121" t="s">
        <v>1137</v>
      </c>
      <c r="D418" s="122" t="s">
        <v>3561</v>
      </c>
      <c r="E418" s="122" t="s">
        <v>3562</v>
      </c>
      <c r="F418" s="124">
        <v>2.33</v>
      </c>
      <c r="G418" s="123">
        <v>5.3581499617444552E-2</v>
      </c>
    </row>
    <row r="419" spans="2:7" x14ac:dyDescent="0.2">
      <c r="B419" s="120" t="s">
        <v>1138</v>
      </c>
      <c r="C419" s="121" t="s">
        <v>1139</v>
      </c>
      <c r="D419" s="122" t="s">
        <v>24</v>
      </c>
      <c r="E419" s="122" t="s">
        <v>3633</v>
      </c>
      <c r="F419" s="124"/>
      <c r="G419" s="123">
        <v>-2.8876686096636871E-2</v>
      </c>
    </row>
    <row r="420" spans="2:7" x14ac:dyDescent="0.2">
      <c r="B420" s="120" t="s">
        <v>1140</v>
      </c>
      <c r="C420" s="121" t="s">
        <v>1141</v>
      </c>
      <c r="D420" s="122" t="s">
        <v>24</v>
      </c>
      <c r="E420" s="122" t="s">
        <v>3633</v>
      </c>
      <c r="F420" s="124">
        <v>-0.92</v>
      </c>
      <c r="G420" s="123">
        <v>-2.5474019476168729E-3</v>
      </c>
    </row>
    <row r="421" spans="2:7" x14ac:dyDescent="0.2">
      <c r="B421" s="120" t="s">
        <v>1142</v>
      </c>
      <c r="C421" s="121" t="s">
        <v>1143</v>
      </c>
      <c r="D421" s="122" t="s">
        <v>3556</v>
      </c>
      <c r="E421" s="122" t="s">
        <v>3579</v>
      </c>
      <c r="F421" s="124">
        <v>8.42</v>
      </c>
      <c r="G421" s="123">
        <v>7.2188390128687357E-2</v>
      </c>
    </row>
    <row r="422" spans="2:7" x14ac:dyDescent="0.2">
      <c r="B422" s="120" t="s">
        <v>1144</v>
      </c>
      <c r="C422" s="121" t="s">
        <v>1145</v>
      </c>
      <c r="D422" s="122" t="s">
        <v>3576</v>
      </c>
      <c r="E422" s="122" t="s">
        <v>3626</v>
      </c>
      <c r="F422" s="124">
        <v>-5.26</v>
      </c>
      <c r="G422" s="123">
        <v>-0.38419422478026061</v>
      </c>
    </row>
    <row r="423" spans="2:7" x14ac:dyDescent="0.2">
      <c r="B423" s="120" t="s">
        <v>1146</v>
      </c>
      <c r="C423" s="121" t="s">
        <v>1147</v>
      </c>
      <c r="D423" s="122" t="s">
        <v>3576</v>
      </c>
      <c r="E423" s="122" t="s">
        <v>3626</v>
      </c>
      <c r="F423" s="124">
        <v>8.18</v>
      </c>
      <c r="G423" s="123">
        <v>-0.21342118598536031</v>
      </c>
    </row>
    <row r="424" spans="2:7" x14ac:dyDescent="0.2">
      <c r="B424" s="120" t="s">
        <v>1148</v>
      </c>
      <c r="C424" s="121" t="s">
        <v>1149</v>
      </c>
      <c r="D424" s="122" t="s">
        <v>3556</v>
      </c>
      <c r="E424" s="122" t="s">
        <v>3607</v>
      </c>
      <c r="F424" s="124"/>
      <c r="G424" s="123">
        <v>0.18680893870805487</v>
      </c>
    </row>
    <row r="425" spans="2:7" x14ac:dyDescent="0.2">
      <c r="B425" s="120" t="s">
        <v>1150</v>
      </c>
      <c r="C425" s="121" t="s">
        <v>1151</v>
      </c>
      <c r="D425" s="122" t="s">
        <v>3582</v>
      </c>
      <c r="E425" s="122" t="s">
        <v>3728</v>
      </c>
      <c r="F425" s="124"/>
      <c r="G425" s="123" t="e">
        <v>#DIV/0!</v>
      </c>
    </row>
    <row r="426" spans="2:7" x14ac:dyDescent="0.2">
      <c r="B426" s="120" t="s">
        <v>1152</v>
      </c>
      <c r="C426" s="121" t="s">
        <v>1153</v>
      </c>
      <c r="D426" s="122" t="s">
        <v>3558</v>
      </c>
      <c r="E426" s="122" t="s">
        <v>3729</v>
      </c>
      <c r="F426" s="124">
        <v>4.46</v>
      </c>
      <c r="G426" s="123">
        <v>-3.6630110021438939E-4</v>
      </c>
    </row>
    <row r="427" spans="2:7" x14ac:dyDescent="0.2">
      <c r="B427" s="120" t="s">
        <v>1154</v>
      </c>
      <c r="C427" s="121" t="s">
        <v>1155</v>
      </c>
      <c r="D427" s="122" t="s">
        <v>3612</v>
      </c>
      <c r="E427" s="122" t="s">
        <v>3716</v>
      </c>
      <c r="F427" s="124">
        <v>43.09</v>
      </c>
      <c r="G427" s="123">
        <v>-1.1424350437792698E-2</v>
      </c>
    </row>
    <row r="428" spans="2:7" x14ac:dyDescent="0.2">
      <c r="B428" s="120" t="s">
        <v>1156</v>
      </c>
      <c r="C428" s="121" t="s">
        <v>1157</v>
      </c>
      <c r="D428" s="122" t="s">
        <v>3594</v>
      </c>
      <c r="E428" s="122" t="s">
        <v>3602</v>
      </c>
      <c r="F428" s="124">
        <v>10.28</v>
      </c>
      <c r="G428" s="123">
        <v>-0.74643627446875327</v>
      </c>
    </row>
    <row r="429" spans="2:7" x14ac:dyDescent="0.2">
      <c r="B429" s="120" t="s">
        <v>1158</v>
      </c>
      <c r="C429" s="121" t="s">
        <v>1159</v>
      </c>
      <c r="D429" s="122" t="s">
        <v>3610</v>
      </c>
      <c r="E429" s="122" t="s">
        <v>3656</v>
      </c>
      <c r="F429" s="124">
        <v>4.9000000000000004</v>
      </c>
      <c r="G429" s="123">
        <v>-3.4168212657510084E-2</v>
      </c>
    </row>
    <row r="430" spans="2:7" x14ac:dyDescent="0.2">
      <c r="B430" s="120" t="s">
        <v>1160</v>
      </c>
      <c r="C430" s="121" t="s">
        <v>1161</v>
      </c>
      <c r="D430" s="122" t="s">
        <v>3558</v>
      </c>
      <c r="E430" s="122" t="s">
        <v>3598</v>
      </c>
      <c r="F430" s="124">
        <v>4.1500000000000004</v>
      </c>
      <c r="G430" s="123">
        <v>-6.9808880632372963E-2</v>
      </c>
    </row>
    <row r="431" spans="2:7" x14ac:dyDescent="0.2">
      <c r="B431" s="120" t="s">
        <v>1162</v>
      </c>
      <c r="C431" s="121" t="s">
        <v>1163</v>
      </c>
      <c r="D431" s="122" t="s">
        <v>25</v>
      </c>
      <c r="E431" s="122" t="s">
        <v>3585</v>
      </c>
      <c r="F431" s="124">
        <v>2.77</v>
      </c>
      <c r="G431" s="123">
        <v>5.4037788798479432E-2</v>
      </c>
    </row>
    <row r="432" spans="2:7" x14ac:dyDescent="0.2">
      <c r="B432" s="120" t="s">
        <v>1164</v>
      </c>
      <c r="C432" s="121" t="s">
        <v>1165</v>
      </c>
      <c r="D432" s="122" t="s">
        <v>3576</v>
      </c>
      <c r="E432" s="122" t="s">
        <v>3619</v>
      </c>
      <c r="F432" s="124">
        <v>10.3</v>
      </c>
      <c r="G432" s="123">
        <v>4.327144510506966E-2</v>
      </c>
    </row>
    <row r="433" spans="2:7" x14ac:dyDescent="0.2">
      <c r="B433" s="120" t="s">
        <v>1166</v>
      </c>
      <c r="C433" s="121" t="s">
        <v>1167</v>
      </c>
      <c r="D433" s="122" t="s">
        <v>3556</v>
      </c>
      <c r="E433" s="122" t="s">
        <v>3614</v>
      </c>
      <c r="F433" s="124">
        <v>22.06</v>
      </c>
      <c r="G433" s="123">
        <v>3.0786186424780128E-2</v>
      </c>
    </row>
    <row r="434" spans="2:7" x14ac:dyDescent="0.2">
      <c r="B434" s="120" t="s">
        <v>1168</v>
      </c>
      <c r="C434" s="121" t="s">
        <v>1169</v>
      </c>
      <c r="D434" s="122" t="s">
        <v>24</v>
      </c>
      <c r="E434" s="122" t="s">
        <v>3573</v>
      </c>
      <c r="F434" s="124"/>
      <c r="G434" s="123">
        <v>3.7578509577853858E-2</v>
      </c>
    </row>
    <row r="435" spans="2:7" x14ac:dyDescent="0.2">
      <c r="B435" s="120" t="s">
        <v>1170</v>
      </c>
      <c r="C435" s="121" t="s">
        <v>1171</v>
      </c>
      <c r="D435" s="122" t="s">
        <v>3576</v>
      </c>
      <c r="E435" s="122" t="s">
        <v>3609</v>
      </c>
      <c r="F435" s="124">
        <v>9.15</v>
      </c>
      <c r="G435" s="123">
        <v>-0.10889622042341221</v>
      </c>
    </row>
    <row r="436" spans="2:7" x14ac:dyDescent="0.2">
      <c r="B436" s="120" t="s">
        <v>1172</v>
      </c>
      <c r="C436" s="121" t="s">
        <v>1173</v>
      </c>
      <c r="D436" s="122" t="s">
        <v>3563</v>
      </c>
      <c r="E436" s="122" t="s">
        <v>3677</v>
      </c>
      <c r="F436" s="124">
        <v>7.89</v>
      </c>
      <c r="G436" s="123">
        <v>7.8905785122676833E-2</v>
      </c>
    </row>
    <row r="437" spans="2:7" x14ac:dyDescent="0.2">
      <c r="B437" s="120" t="s">
        <v>1174</v>
      </c>
      <c r="C437" s="121" t="s">
        <v>1175</v>
      </c>
      <c r="D437" s="122" t="s">
        <v>3569</v>
      </c>
      <c r="E437" s="122" t="s">
        <v>3617</v>
      </c>
      <c r="F437" s="124">
        <v>0.54</v>
      </c>
      <c r="G437" s="123">
        <v>2.3470176603372687E-2</v>
      </c>
    </row>
    <row r="438" spans="2:7" x14ac:dyDescent="0.2">
      <c r="B438" s="120" t="s">
        <v>1176</v>
      </c>
      <c r="C438" s="121" t="s">
        <v>1177</v>
      </c>
      <c r="D438" s="122" t="s">
        <v>3580</v>
      </c>
      <c r="E438" s="122" t="s">
        <v>3730</v>
      </c>
      <c r="F438" s="124">
        <v>16.45</v>
      </c>
      <c r="G438" s="123">
        <v>7.8258708613393152E-2</v>
      </c>
    </row>
    <row r="439" spans="2:7" x14ac:dyDescent="0.2">
      <c r="B439" s="120" t="s">
        <v>1178</v>
      </c>
      <c r="C439" s="121" t="s">
        <v>1179</v>
      </c>
      <c r="D439" s="122" t="s">
        <v>3679</v>
      </c>
      <c r="E439" s="122" t="s">
        <v>3680</v>
      </c>
      <c r="F439" s="124">
        <v>-1.31</v>
      </c>
      <c r="G439" s="123">
        <v>4.0491728246116805E-2</v>
      </c>
    </row>
    <row r="440" spans="2:7" x14ac:dyDescent="0.2">
      <c r="B440" s="120" t="s">
        <v>1180</v>
      </c>
      <c r="C440" s="121" t="s">
        <v>1181</v>
      </c>
      <c r="D440" s="122" t="s">
        <v>25</v>
      </c>
      <c r="E440" s="122" t="s">
        <v>3731</v>
      </c>
      <c r="F440" s="124">
        <v>4.38</v>
      </c>
      <c r="G440" s="123">
        <v>0.1785866201164317</v>
      </c>
    </row>
    <row r="441" spans="2:7" x14ac:dyDescent="0.2">
      <c r="B441" s="120" t="s">
        <v>1182</v>
      </c>
      <c r="C441" s="121" t="s">
        <v>1183</v>
      </c>
      <c r="D441" s="122" t="s">
        <v>25</v>
      </c>
      <c r="E441" s="122" t="s">
        <v>3691</v>
      </c>
      <c r="F441" s="124">
        <v>12.39</v>
      </c>
      <c r="G441" s="123">
        <v>5.9519230550554303E-2</v>
      </c>
    </row>
    <row r="442" spans="2:7" x14ac:dyDescent="0.2">
      <c r="B442" s="120" t="s">
        <v>1184</v>
      </c>
      <c r="C442" s="121" t="s">
        <v>1185</v>
      </c>
      <c r="D442" s="122" t="s">
        <v>25</v>
      </c>
      <c r="E442" s="122" t="s">
        <v>3681</v>
      </c>
      <c r="F442" s="124">
        <v>-2.27</v>
      </c>
      <c r="G442" s="123">
        <v>-7.6438346560166681E-2</v>
      </c>
    </row>
    <row r="443" spans="2:7" x14ac:dyDescent="0.2">
      <c r="B443" s="120" t="s">
        <v>1186</v>
      </c>
      <c r="C443" s="121" t="s">
        <v>1187</v>
      </c>
      <c r="D443" s="122" t="s">
        <v>3594</v>
      </c>
      <c r="E443" s="122" t="s">
        <v>3732</v>
      </c>
      <c r="F443" s="124"/>
      <c r="G443" s="123">
        <v>0.44537122626639813</v>
      </c>
    </row>
    <row r="444" spans="2:7" x14ac:dyDescent="0.2">
      <c r="B444" s="120" t="s">
        <v>1188</v>
      </c>
      <c r="C444" s="121" t="s">
        <v>1189</v>
      </c>
      <c r="D444" s="122" t="s">
        <v>3556</v>
      </c>
      <c r="E444" s="122" t="s">
        <v>3733</v>
      </c>
      <c r="F444" s="124"/>
      <c r="G444" s="123">
        <v>8.3779458971563525E-2</v>
      </c>
    </row>
    <row r="445" spans="2:7" x14ac:dyDescent="0.2">
      <c r="B445" s="120" t="s">
        <v>1190</v>
      </c>
      <c r="C445" s="121" t="s">
        <v>1191</v>
      </c>
      <c r="D445" s="122" t="s">
        <v>3563</v>
      </c>
      <c r="E445" s="122" t="s">
        <v>3734</v>
      </c>
      <c r="F445" s="124">
        <v>6.06</v>
      </c>
      <c r="G445" s="123">
        <v>2.2967382478898363E-2</v>
      </c>
    </row>
    <row r="446" spans="2:7" x14ac:dyDescent="0.2">
      <c r="B446" s="120" t="s">
        <v>1192</v>
      </c>
      <c r="C446" s="121" t="s">
        <v>1193</v>
      </c>
      <c r="D446" s="122" t="s">
        <v>25</v>
      </c>
      <c r="E446" s="122" t="s">
        <v>3735</v>
      </c>
      <c r="F446" s="124">
        <v>5.8</v>
      </c>
      <c r="G446" s="123">
        <v>5.8348726875554646E-2</v>
      </c>
    </row>
    <row r="447" spans="2:7" x14ac:dyDescent="0.2">
      <c r="B447" s="120" t="s">
        <v>1194</v>
      </c>
      <c r="C447" s="121" t="s">
        <v>1195</v>
      </c>
      <c r="D447" s="122" t="s">
        <v>3576</v>
      </c>
      <c r="E447" s="122" t="s">
        <v>3619</v>
      </c>
      <c r="F447" s="124">
        <v>17.63</v>
      </c>
      <c r="G447" s="123">
        <v>6.9273715895065771E-2</v>
      </c>
    </row>
    <row r="448" spans="2:7" x14ac:dyDescent="0.2">
      <c r="B448" s="120" t="s">
        <v>1196</v>
      </c>
      <c r="C448" s="121" t="s">
        <v>1197</v>
      </c>
      <c r="D448" s="122" t="s">
        <v>3563</v>
      </c>
      <c r="E448" s="122" t="s">
        <v>3677</v>
      </c>
      <c r="F448" s="124">
        <v>24.66</v>
      </c>
      <c r="G448" s="123">
        <v>3.885107587421633E-2</v>
      </c>
    </row>
    <row r="449" spans="2:7" x14ac:dyDescent="0.2">
      <c r="B449" s="120" t="s">
        <v>1198</v>
      </c>
      <c r="C449" s="121" t="s">
        <v>1199</v>
      </c>
      <c r="D449" s="122" t="s">
        <v>3610</v>
      </c>
      <c r="E449" s="122" t="s">
        <v>3656</v>
      </c>
      <c r="F449" s="124"/>
      <c r="G449" s="123">
        <v>-0.28642656048927778</v>
      </c>
    </row>
    <row r="450" spans="2:7" x14ac:dyDescent="0.2">
      <c r="B450" s="120" t="s">
        <v>1200</v>
      </c>
      <c r="C450" s="121" t="s">
        <v>1201</v>
      </c>
      <c r="D450" s="122" t="s">
        <v>3563</v>
      </c>
      <c r="E450" s="122" t="s">
        <v>3690</v>
      </c>
      <c r="F450" s="124">
        <v>13.19</v>
      </c>
      <c r="G450" s="123">
        <v>3.787021988166045E-2</v>
      </c>
    </row>
    <row r="451" spans="2:7" x14ac:dyDescent="0.2">
      <c r="B451" s="120" t="s">
        <v>1202</v>
      </c>
      <c r="C451" s="121" t="s">
        <v>1203</v>
      </c>
      <c r="D451" s="122" t="s">
        <v>3610</v>
      </c>
      <c r="E451" s="122" t="s">
        <v>3611</v>
      </c>
      <c r="F451" s="124"/>
      <c r="G451" s="123">
        <v>9.0345943352684574E-2</v>
      </c>
    </row>
    <row r="452" spans="2:7" x14ac:dyDescent="0.2">
      <c r="B452" s="120" t="s">
        <v>1204</v>
      </c>
      <c r="C452" s="121" t="s">
        <v>1205</v>
      </c>
      <c r="D452" s="122" t="s">
        <v>3576</v>
      </c>
      <c r="E452" s="122" t="s">
        <v>3619</v>
      </c>
      <c r="F452" s="124">
        <v>62.1</v>
      </c>
      <c r="G452" s="123">
        <v>-1.7209773991243679E-2</v>
      </c>
    </row>
    <row r="453" spans="2:7" x14ac:dyDescent="0.2">
      <c r="B453" s="120" t="s">
        <v>1206</v>
      </c>
      <c r="C453" s="121" t="s">
        <v>1207</v>
      </c>
      <c r="D453" s="122" t="s">
        <v>3582</v>
      </c>
      <c r="E453" s="122" t="s">
        <v>3631</v>
      </c>
      <c r="F453" s="124"/>
      <c r="G453" s="123">
        <v>0.3582178980555516</v>
      </c>
    </row>
    <row r="454" spans="2:7" x14ac:dyDescent="0.2">
      <c r="B454" s="120" t="s">
        <v>1208</v>
      </c>
      <c r="C454" s="121" t="s">
        <v>1209</v>
      </c>
      <c r="D454" s="122" t="s">
        <v>3610</v>
      </c>
      <c r="E454" s="122" t="s">
        <v>3611</v>
      </c>
      <c r="F454" s="124"/>
      <c r="G454" s="123">
        <v>9.7683842990096928E-2</v>
      </c>
    </row>
    <row r="455" spans="2:7" x14ac:dyDescent="0.2">
      <c r="B455" s="120" t="s">
        <v>1210</v>
      </c>
      <c r="C455" s="121" t="s">
        <v>1211</v>
      </c>
      <c r="D455" s="122" t="s">
        <v>3558</v>
      </c>
      <c r="E455" s="122" t="s">
        <v>3642</v>
      </c>
      <c r="F455" s="124">
        <v>-0.73</v>
      </c>
      <c r="G455" s="123">
        <v>2.871230470872933E-2</v>
      </c>
    </row>
    <row r="456" spans="2:7" x14ac:dyDescent="0.2">
      <c r="B456" s="120" t="s">
        <v>1212</v>
      </c>
      <c r="C456" s="121" t="s">
        <v>1213</v>
      </c>
      <c r="D456" s="122" t="s">
        <v>3556</v>
      </c>
      <c r="E456" s="122" t="s">
        <v>3614</v>
      </c>
      <c r="F456" s="124">
        <v>2.86</v>
      </c>
      <c r="G456" s="123">
        <v>2.8257718549677398E-2</v>
      </c>
    </row>
    <row r="457" spans="2:7" x14ac:dyDescent="0.2">
      <c r="B457" s="120" t="s">
        <v>1214</v>
      </c>
      <c r="C457" s="121" t="s">
        <v>1215</v>
      </c>
      <c r="D457" s="122" t="s">
        <v>3561</v>
      </c>
      <c r="E457" s="122" t="s">
        <v>3639</v>
      </c>
      <c r="F457" s="124">
        <v>1.1299999999999999</v>
      </c>
      <c r="G457" s="123">
        <v>4.5162728708814694E-3</v>
      </c>
    </row>
    <row r="458" spans="2:7" x14ac:dyDescent="0.2">
      <c r="B458" s="120" t="s">
        <v>1216</v>
      </c>
      <c r="C458" s="121" t="s">
        <v>1217</v>
      </c>
      <c r="D458" s="122" t="s">
        <v>3563</v>
      </c>
      <c r="E458" s="122" t="s">
        <v>3690</v>
      </c>
      <c r="F458" s="124">
        <v>14.13</v>
      </c>
      <c r="G458" s="123">
        <v>5.072083417082502E-2</v>
      </c>
    </row>
    <row r="459" spans="2:7" x14ac:dyDescent="0.2">
      <c r="B459" s="120" t="s">
        <v>1218</v>
      </c>
      <c r="C459" s="121" t="s">
        <v>1219</v>
      </c>
      <c r="D459" s="122" t="s">
        <v>3576</v>
      </c>
      <c r="E459" s="122" t="s">
        <v>3619</v>
      </c>
      <c r="F459" s="124">
        <v>-4.3499999999999996</v>
      </c>
      <c r="G459" s="123">
        <v>-9.6089157795900243E-2</v>
      </c>
    </row>
    <row r="460" spans="2:7" x14ac:dyDescent="0.2">
      <c r="B460" s="120" t="s">
        <v>1220</v>
      </c>
      <c r="C460" s="121" t="s">
        <v>1221</v>
      </c>
      <c r="D460" s="122" t="s">
        <v>3563</v>
      </c>
      <c r="E460" s="122" t="s">
        <v>3690</v>
      </c>
      <c r="F460" s="124">
        <v>4.76</v>
      </c>
      <c r="G460" s="123">
        <v>6.2114074544087294E-2</v>
      </c>
    </row>
    <row r="461" spans="2:7" x14ac:dyDescent="0.2">
      <c r="B461" s="120" t="s">
        <v>1222</v>
      </c>
      <c r="C461" s="121" t="s">
        <v>1223</v>
      </c>
      <c r="D461" s="122" t="s">
        <v>3558</v>
      </c>
      <c r="E461" s="122" t="s">
        <v>3736</v>
      </c>
      <c r="F461" s="124"/>
      <c r="G461" s="123">
        <v>-4.6619881294561148E-2</v>
      </c>
    </row>
    <row r="462" spans="2:7" x14ac:dyDescent="0.2">
      <c r="B462" s="120" t="s">
        <v>1224</v>
      </c>
      <c r="C462" s="121" t="s">
        <v>1225</v>
      </c>
      <c r="D462" s="122" t="s">
        <v>3561</v>
      </c>
      <c r="E462" s="122" t="s">
        <v>3639</v>
      </c>
      <c r="F462" s="124"/>
      <c r="G462" s="123">
        <v>8.4439404295549456E-2</v>
      </c>
    </row>
    <row r="463" spans="2:7" x14ac:dyDescent="0.2">
      <c r="B463" s="120" t="s">
        <v>1226</v>
      </c>
      <c r="C463" s="121" t="s">
        <v>1227</v>
      </c>
      <c r="D463" s="122" t="s">
        <v>3556</v>
      </c>
      <c r="E463" s="122" t="s">
        <v>3579</v>
      </c>
      <c r="F463" s="124">
        <v>13.25</v>
      </c>
      <c r="G463" s="123">
        <v>0.18672820438274523</v>
      </c>
    </row>
    <row r="464" spans="2:7" x14ac:dyDescent="0.2">
      <c r="B464" s="120" t="s">
        <v>1228</v>
      </c>
      <c r="C464" s="121" t="s">
        <v>1229</v>
      </c>
      <c r="D464" s="122" t="s">
        <v>3591</v>
      </c>
      <c r="E464" s="122" t="s">
        <v>3592</v>
      </c>
      <c r="F464" s="124">
        <v>5.9</v>
      </c>
      <c r="G464" s="123">
        <v>6.6035462989023049E-3</v>
      </c>
    </row>
    <row r="465" spans="2:7" x14ac:dyDescent="0.2">
      <c r="B465" s="120" t="s">
        <v>1230</v>
      </c>
      <c r="C465" s="121" t="s">
        <v>1231</v>
      </c>
      <c r="D465" s="122" t="s">
        <v>3591</v>
      </c>
      <c r="E465" s="122" t="s">
        <v>3658</v>
      </c>
      <c r="F465" s="124">
        <v>3.31</v>
      </c>
      <c r="G465" s="123">
        <v>1.390756376819972E-2</v>
      </c>
    </row>
    <row r="466" spans="2:7" x14ac:dyDescent="0.2">
      <c r="B466" s="120" t="s">
        <v>1232</v>
      </c>
      <c r="C466" s="121" t="s">
        <v>1233</v>
      </c>
      <c r="D466" s="122" t="s">
        <v>3591</v>
      </c>
      <c r="E466" s="122" t="s">
        <v>3592</v>
      </c>
      <c r="F466" s="124">
        <v>1.39</v>
      </c>
      <c r="G466" s="123">
        <v>1.8090998327963716E-2</v>
      </c>
    </row>
    <row r="467" spans="2:7" x14ac:dyDescent="0.2">
      <c r="B467" s="120" t="s">
        <v>1234</v>
      </c>
      <c r="C467" s="121" t="s">
        <v>1235</v>
      </c>
      <c r="D467" s="122" t="s">
        <v>3569</v>
      </c>
      <c r="E467" s="122" t="s">
        <v>3617</v>
      </c>
      <c r="F467" s="124">
        <v>-2.65</v>
      </c>
      <c r="G467" s="123">
        <v>-4.8552536859319687E-3</v>
      </c>
    </row>
    <row r="468" spans="2:7" x14ac:dyDescent="0.2">
      <c r="B468" s="120" t="s">
        <v>1236</v>
      </c>
      <c r="C468" s="121" t="s">
        <v>1237</v>
      </c>
      <c r="D468" s="122" t="s">
        <v>24</v>
      </c>
      <c r="E468" s="122" t="s">
        <v>3573</v>
      </c>
      <c r="F468" s="124"/>
      <c r="G468" s="123">
        <v>1.7553563655071418E-2</v>
      </c>
    </row>
    <row r="469" spans="2:7" x14ac:dyDescent="0.2">
      <c r="B469" s="120" t="s">
        <v>1238</v>
      </c>
      <c r="C469" s="121" t="s">
        <v>1239</v>
      </c>
      <c r="D469" s="122" t="s">
        <v>3612</v>
      </c>
      <c r="E469" s="122" t="s">
        <v>3627</v>
      </c>
      <c r="F469" s="124">
        <v>-8.93</v>
      </c>
      <c r="G469" s="123">
        <v>-0.32988170299981368</v>
      </c>
    </row>
    <row r="470" spans="2:7" x14ac:dyDescent="0.2">
      <c r="B470" s="120" t="s">
        <v>1240</v>
      </c>
      <c r="C470" s="121" t="s">
        <v>1241</v>
      </c>
      <c r="D470" s="122" t="s">
        <v>3576</v>
      </c>
      <c r="E470" s="122" t="s">
        <v>3619</v>
      </c>
      <c r="F470" s="124"/>
      <c r="G470" s="123" t="e">
        <v>#DIV/0!</v>
      </c>
    </row>
    <row r="471" spans="2:7" x14ac:dyDescent="0.2">
      <c r="B471" s="120" t="s">
        <v>1242</v>
      </c>
      <c r="C471" s="121" t="s">
        <v>1243</v>
      </c>
      <c r="D471" s="122" t="s">
        <v>3556</v>
      </c>
      <c r="E471" s="122" t="s">
        <v>3614</v>
      </c>
      <c r="F471" s="124">
        <v>20.16</v>
      </c>
      <c r="G471" s="123">
        <v>-2.1332853563340307E-2</v>
      </c>
    </row>
    <row r="472" spans="2:7" x14ac:dyDescent="0.2">
      <c r="B472" s="120" t="s">
        <v>1244</v>
      </c>
      <c r="C472" s="121" t="s">
        <v>1245</v>
      </c>
      <c r="D472" s="122" t="s">
        <v>3569</v>
      </c>
      <c r="E472" s="122" t="s">
        <v>3574</v>
      </c>
      <c r="F472" s="124">
        <v>39.44</v>
      </c>
      <c r="G472" s="123">
        <v>0.32168187281892224</v>
      </c>
    </row>
    <row r="473" spans="2:7" x14ac:dyDescent="0.2">
      <c r="B473" s="120" t="s">
        <v>1246</v>
      </c>
      <c r="C473" s="121" t="s">
        <v>1247</v>
      </c>
      <c r="D473" s="122" t="s">
        <v>3612</v>
      </c>
      <c r="E473" s="122" t="s">
        <v>3669</v>
      </c>
      <c r="F473" s="124">
        <v>-7.65</v>
      </c>
      <c r="G473" s="123">
        <v>-1</v>
      </c>
    </row>
    <row r="474" spans="2:7" x14ac:dyDescent="0.2">
      <c r="B474" s="120" t="s">
        <v>1248</v>
      </c>
      <c r="C474" s="121" t="s">
        <v>1249</v>
      </c>
      <c r="D474" s="122" t="s">
        <v>25</v>
      </c>
      <c r="E474" s="122" t="s">
        <v>3645</v>
      </c>
      <c r="F474" s="124">
        <v>4.49</v>
      </c>
      <c r="G474" s="123">
        <v>4.5245224242424213E-2</v>
      </c>
    </row>
    <row r="475" spans="2:7" x14ac:dyDescent="0.2">
      <c r="B475" s="120" t="s">
        <v>1250</v>
      </c>
      <c r="C475" s="121" t="s">
        <v>1251</v>
      </c>
      <c r="D475" s="122" t="s">
        <v>3558</v>
      </c>
      <c r="E475" s="122" t="s">
        <v>3737</v>
      </c>
      <c r="F475" s="124">
        <v>67.209999999999994</v>
      </c>
      <c r="G475" s="123">
        <v>1.2168288579099211E-2</v>
      </c>
    </row>
    <row r="476" spans="2:7" x14ac:dyDescent="0.2">
      <c r="B476" s="120" t="s">
        <v>1252</v>
      </c>
      <c r="C476" s="121" t="s">
        <v>1253</v>
      </c>
      <c r="D476" s="122" t="s">
        <v>3563</v>
      </c>
      <c r="E476" s="122" t="s">
        <v>3622</v>
      </c>
      <c r="F476" s="124">
        <v>-11.47</v>
      </c>
      <c r="G476" s="123">
        <v>9.7290917550716532E-3</v>
      </c>
    </row>
    <row r="477" spans="2:7" x14ac:dyDescent="0.2">
      <c r="B477" s="120" t="s">
        <v>1254</v>
      </c>
      <c r="C477" s="121" t="s">
        <v>1255</v>
      </c>
      <c r="D477" s="122" t="s">
        <v>3576</v>
      </c>
      <c r="E477" s="122" t="s">
        <v>3626</v>
      </c>
      <c r="F477" s="124">
        <v>-5.93</v>
      </c>
      <c r="G477" s="123">
        <v>-1</v>
      </c>
    </row>
    <row r="478" spans="2:7" x14ac:dyDescent="0.2">
      <c r="B478" s="120" t="s">
        <v>1256</v>
      </c>
      <c r="C478" s="121" t="s">
        <v>1257</v>
      </c>
      <c r="D478" s="122" t="s">
        <v>3612</v>
      </c>
      <c r="E478" s="122" t="s">
        <v>3696</v>
      </c>
      <c r="F478" s="124">
        <v>-3.12</v>
      </c>
      <c r="G478" s="123">
        <v>2.5525154764736206E-2</v>
      </c>
    </row>
    <row r="479" spans="2:7" x14ac:dyDescent="0.2">
      <c r="B479" s="120" t="s">
        <v>1258</v>
      </c>
      <c r="C479" s="121" t="s">
        <v>1259</v>
      </c>
      <c r="D479" s="122" t="s">
        <v>3612</v>
      </c>
      <c r="E479" s="122" t="s">
        <v>3710</v>
      </c>
      <c r="F479" s="124">
        <v>-3.99</v>
      </c>
      <c r="G479" s="123">
        <v>8.9938708536790701E-2</v>
      </c>
    </row>
    <row r="480" spans="2:7" x14ac:dyDescent="0.2">
      <c r="B480" s="120" t="s">
        <v>1260</v>
      </c>
      <c r="C480" s="121" t="s">
        <v>1261</v>
      </c>
      <c r="D480" s="122" t="s">
        <v>3591</v>
      </c>
      <c r="E480" s="122" t="s">
        <v>3592</v>
      </c>
      <c r="F480" s="124"/>
      <c r="G480" s="123">
        <v>-2.6187388236957872E-2</v>
      </c>
    </row>
    <row r="481" spans="2:7" x14ac:dyDescent="0.2">
      <c r="B481" s="120" t="s">
        <v>1262</v>
      </c>
      <c r="C481" s="121" t="s">
        <v>1263</v>
      </c>
      <c r="D481" s="122" t="s">
        <v>3594</v>
      </c>
      <c r="E481" s="122" t="s">
        <v>3637</v>
      </c>
      <c r="F481" s="124">
        <v>1.03</v>
      </c>
      <c r="G481" s="123">
        <v>3.7274857855769568E-2</v>
      </c>
    </row>
    <row r="482" spans="2:7" x14ac:dyDescent="0.2">
      <c r="B482" s="120" t="s">
        <v>1264</v>
      </c>
      <c r="C482" s="121" t="s">
        <v>1265</v>
      </c>
      <c r="D482" s="122" t="s">
        <v>3591</v>
      </c>
      <c r="E482" s="122" t="s">
        <v>3592</v>
      </c>
      <c r="F482" s="124">
        <v>-0.85</v>
      </c>
      <c r="G482" s="123">
        <v>1.9747111129123762E-2</v>
      </c>
    </row>
    <row r="483" spans="2:7" x14ac:dyDescent="0.2">
      <c r="B483" s="120" t="s">
        <v>1266</v>
      </c>
      <c r="C483" s="121" t="s">
        <v>1267</v>
      </c>
      <c r="D483" s="122" t="s">
        <v>25</v>
      </c>
      <c r="E483" s="122" t="s">
        <v>3659</v>
      </c>
      <c r="F483" s="124">
        <v>24.45</v>
      </c>
      <c r="G483" s="123">
        <v>0.26124550055062351</v>
      </c>
    </row>
    <row r="484" spans="2:7" x14ac:dyDescent="0.2">
      <c r="B484" s="120" t="s">
        <v>1268</v>
      </c>
      <c r="C484" s="121" t="s">
        <v>1269</v>
      </c>
      <c r="D484" s="122" t="s">
        <v>3576</v>
      </c>
      <c r="E484" s="122" t="s">
        <v>3651</v>
      </c>
      <c r="F484" s="124">
        <v>11.48</v>
      </c>
      <c r="G484" s="123">
        <v>0.11189548214144922</v>
      </c>
    </row>
    <row r="485" spans="2:7" x14ac:dyDescent="0.2">
      <c r="B485" s="120" t="s">
        <v>1270</v>
      </c>
      <c r="C485" s="121" t="s">
        <v>1271</v>
      </c>
      <c r="D485" s="122" t="s">
        <v>3582</v>
      </c>
      <c r="E485" s="122" t="s">
        <v>3590</v>
      </c>
      <c r="F485" s="124">
        <v>8.85</v>
      </c>
      <c r="G485" s="123">
        <v>1.9177954925119457E-2</v>
      </c>
    </row>
    <row r="486" spans="2:7" x14ac:dyDescent="0.2">
      <c r="B486" s="120" t="s">
        <v>1272</v>
      </c>
      <c r="C486" s="121" t="s">
        <v>1273</v>
      </c>
      <c r="D486" s="122" t="s">
        <v>3576</v>
      </c>
      <c r="E486" s="122" t="s">
        <v>3619</v>
      </c>
      <c r="F486" s="124">
        <v>8.14</v>
      </c>
      <c r="G486" s="123">
        <v>9.2263424215186948E-2</v>
      </c>
    </row>
    <row r="487" spans="2:7" x14ac:dyDescent="0.2">
      <c r="B487" s="120" t="s">
        <v>1274</v>
      </c>
      <c r="C487" s="121" t="s">
        <v>1275</v>
      </c>
      <c r="D487" s="122" t="s">
        <v>3569</v>
      </c>
      <c r="E487" s="122" t="s">
        <v>3617</v>
      </c>
      <c r="F487" s="124">
        <v>13.96</v>
      </c>
      <c r="G487" s="123">
        <v>7.2852067893297054E-2</v>
      </c>
    </row>
    <row r="488" spans="2:7" x14ac:dyDescent="0.2">
      <c r="B488" s="120" t="s">
        <v>1276</v>
      </c>
      <c r="C488" s="121" t="s">
        <v>1277</v>
      </c>
      <c r="D488" s="122" t="s">
        <v>3591</v>
      </c>
      <c r="E488" s="122" t="s">
        <v>3592</v>
      </c>
      <c r="F488" s="124">
        <v>0.03</v>
      </c>
      <c r="G488" s="123">
        <v>5.0247716678517886E-2</v>
      </c>
    </row>
    <row r="489" spans="2:7" x14ac:dyDescent="0.2">
      <c r="B489" s="120" t="s">
        <v>1278</v>
      </c>
      <c r="C489" s="121" t="s">
        <v>1279</v>
      </c>
      <c r="D489" s="122" t="s">
        <v>3561</v>
      </c>
      <c r="E489" s="122" t="s">
        <v>3562</v>
      </c>
      <c r="F489" s="124"/>
      <c r="G489" s="123">
        <v>-3.3677872041683438E-3</v>
      </c>
    </row>
    <row r="490" spans="2:7" x14ac:dyDescent="0.2">
      <c r="B490" s="120" t="s">
        <v>1280</v>
      </c>
      <c r="C490" s="121" t="s">
        <v>1281</v>
      </c>
      <c r="D490" s="122" t="s">
        <v>3569</v>
      </c>
      <c r="E490" s="122" t="s">
        <v>3574</v>
      </c>
      <c r="F490" s="124">
        <v>-0.72</v>
      </c>
      <c r="G490" s="123">
        <v>0.10480278805358749</v>
      </c>
    </row>
    <row r="491" spans="2:7" x14ac:dyDescent="0.2">
      <c r="B491" s="120" t="s">
        <v>1282</v>
      </c>
      <c r="C491" s="121" t="s">
        <v>1283</v>
      </c>
      <c r="D491" s="122" t="s">
        <v>24</v>
      </c>
      <c r="E491" s="122" t="s">
        <v>3713</v>
      </c>
      <c r="F491" s="124">
        <v>7.31</v>
      </c>
      <c r="G491" s="123">
        <v>7.4582225661037491E-2</v>
      </c>
    </row>
    <row r="492" spans="2:7" x14ac:dyDescent="0.2">
      <c r="B492" s="120" t="s">
        <v>1284</v>
      </c>
      <c r="C492" s="121" t="s">
        <v>1285</v>
      </c>
      <c r="D492" s="122" t="s">
        <v>3569</v>
      </c>
      <c r="E492" s="122" t="s">
        <v>3617</v>
      </c>
      <c r="F492" s="124"/>
      <c r="G492" s="123">
        <v>1.0052784661536382E-2</v>
      </c>
    </row>
    <row r="493" spans="2:7" x14ac:dyDescent="0.2">
      <c r="B493" s="120" t="s">
        <v>1286</v>
      </c>
      <c r="C493" s="121" t="s">
        <v>1287</v>
      </c>
      <c r="D493" s="122" t="s">
        <v>3576</v>
      </c>
      <c r="E493" s="122" t="s">
        <v>3577</v>
      </c>
      <c r="F493" s="124">
        <v>6.11</v>
      </c>
      <c r="G493" s="123">
        <v>4.1301393604621768E-2</v>
      </c>
    </row>
    <row r="494" spans="2:7" x14ac:dyDescent="0.2">
      <c r="B494" s="120" t="s">
        <v>1288</v>
      </c>
      <c r="C494" s="121" t="s">
        <v>1289</v>
      </c>
      <c r="D494" s="122" t="s">
        <v>25</v>
      </c>
      <c r="E494" s="122" t="s">
        <v>3738</v>
      </c>
      <c r="F494" s="124">
        <v>-1.92</v>
      </c>
      <c r="G494" s="123">
        <v>-4.8934803503897201E-2</v>
      </c>
    </row>
    <row r="495" spans="2:7" x14ac:dyDescent="0.2">
      <c r="B495" s="120" t="s">
        <v>1290</v>
      </c>
      <c r="C495" s="121" t="s">
        <v>1291</v>
      </c>
      <c r="D495" s="122" t="s">
        <v>3580</v>
      </c>
      <c r="E495" s="122" t="s">
        <v>3692</v>
      </c>
      <c r="F495" s="124">
        <v>6.41</v>
      </c>
      <c r="G495" s="123">
        <v>8.6313133176641854E-2</v>
      </c>
    </row>
    <row r="496" spans="2:7" x14ac:dyDescent="0.2">
      <c r="B496" s="120" t="s">
        <v>1292</v>
      </c>
      <c r="C496" s="121" t="s">
        <v>1293</v>
      </c>
      <c r="D496" s="122" t="s">
        <v>3594</v>
      </c>
      <c r="E496" s="122" t="s">
        <v>3602</v>
      </c>
      <c r="F496" s="124">
        <v>0.94</v>
      </c>
      <c r="G496" s="123">
        <v>-5.8786158013988704E-2</v>
      </c>
    </row>
    <row r="497" spans="2:7" x14ac:dyDescent="0.2">
      <c r="B497" s="120" t="s">
        <v>1294</v>
      </c>
      <c r="C497" s="121" t="s">
        <v>1295</v>
      </c>
      <c r="D497" s="122" t="s">
        <v>3558</v>
      </c>
      <c r="E497" s="122" t="s">
        <v>3568</v>
      </c>
      <c r="F497" s="124">
        <v>-8.27</v>
      </c>
      <c r="G497" s="123">
        <v>6.4933327780330785E-2</v>
      </c>
    </row>
    <row r="498" spans="2:7" x14ac:dyDescent="0.2">
      <c r="B498" s="120" t="s">
        <v>1296</v>
      </c>
      <c r="C498" s="121" t="s">
        <v>1297</v>
      </c>
      <c r="D498" s="122" t="s">
        <v>3612</v>
      </c>
      <c r="E498" s="122" t="s">
        <v>3716</v>
      </c>
      <c r="F498" s="124">
        <v>6.42</v>
      </c>
      <c r="G498" s="123">
        <v>5.4589616347317092E-2</v>
      </c>
    </row>
    <row r="499" spans="2:7" x14ac:dyDescent="0.2">
      <c r="B499" s="120" t="s">
        <v>1298</v>
      </c>
      <c r="C499" s="121" t="s">
        <v>1299</v>
      </c>
      <c r="D499" s="122" t="s">
        <v>3612</v>
      </c>
      <c r="E499" s="122" t="s">
        <v>3670</v>
      </c>
      <c r="F499" s="124">
        <v>3.28</v>
      </c>
      <c r="G499" s="123">
        <v>5.9749344214514721E-2</v>
      </c>
    </row>
    <row r="500" spans="2:7" x14ac:dyDescent="0.2">
      <c r="B500" s="120" t="s">
        <v>1300</v>
      </c>
      <c r="C500" s="121" t="s">
        <v>1301</v>
      </c>
      <c r="D500" s="122" t="s">
        <v>3612</v>
      </c>
      <c r="E500" s="122" t="s">
        <v>3726</v>
      </c>
      <c r="F500" s="124">
        <v>-1.74</v>
      </c>
      <c r="G500" s="123">
        <v>0.13000458586165053</v>
      </c>
    </row>
    <row r="501" spans="2:7" x14ac:dyDescent="0.2">
      <c r="B501" s="120" t="s">
        <v>1302</v>
      </c>
      <c r="C501" s="121" t="s">
        <v>1303</v>
      </c>
      <c r="D501" s="122" t="s">
        <v>3612</v>
      </c>
      <c r="E501" s="122" t="s">
        <v>3739</v>
      </c>
      <c r="F501" s="124">
        <v>20.04</v>
      </c>
      <c r="G501" s="123">
        <v>-8.2467843875828034E-2</v>
      </c>
    </row>
    <row r="502" spans="2:7" x14ac:dyDescent="0.2">
      <c r="B502" s="120" t="s">
        <v>1304</v>
      </c>
      <c r="C502" s="121" t="s">
        <v>1305</v>
      </c>
      <c r="D502" s="122" t="s">
        <v>3612</v>
      </c>
      <c r="E502" s="122" t="s">
        <v>3740</v>
      </c>
      <c r="F502" s="124">
        <v>-1.84</v>
      </c>
      <c r="G502" s="123">
        <v>0.90814457869433185</v>
      </c>
    </row>
    <row r="503" spans="2:7" x14ac:dyDescent="0.2">
      <c r="B503" s="120" t="s">
        <v>1306</v>
      </c>
      <c r="C503" s="121" t="s">
        <v>1307</v>
      </c>
      <c r="D503" s="122" t="s">
        <v>3556</v>
      </c>
      <c r="E503" s="122" t="s">
        <v>3741</v>
      </c>
      <c r="F503" s="124">
        <v>11.9</v>
      </c>
      <c r="G503" s="123">
        <v>2.8181193163495703E-2</v>
      </c>
    </row>
    <row r="504" spans="2:7" x14ac:dyDescent="0.2">
      <c r="B504" s="120" t="s">
        <v>1308</v>
      </c>
      <c r="C504" s="121" t="s">
        <v>1309</v>
      </c>
      <c r="D504" s="122" t="s">
        <v>3582</v>
      </c>
      <c r="E504" s="122" t="s">
        <v>3590</v>
      </c>
      <c r="F504" s="124">
        <v>23.5</v>
      </c>
      <c r="G504" s="123">
        <v>0.10949826431631293</v>
      </c>
    </row>
    <row r="505" spans="2:7" x14ac:dyDescent="0.2">
      <c r="B505" s="120" t="s">
        <v>1310</v>
      </c>
      <c r="C505" s="121" t="s">
        <v>1311</v>
      </c>
      <c r="D505" s="122" t="s">
        <v>3612</v>
      </c>
      <c r="E505" s="122" t="s">
        <v>3627</v>
      </c>
      <c r="F505" s="124">
        <v>4.1100000000000003</v>
      </c>
      <c r="G505" s="123">
        <v>2.6981918218970304E-2</v>
      </c>
    </row>
    <row r="506" spans="2:7" x14ac:dyDescent="0.2">
      <c r="B506" s="120" t="s">
        <v>1312</v>
      </c>
      <c r="C506" s="121" t="s">
        <v>1313</v>
      </c>
      <c r="D506" s="122" t="s">
        <v>3591</v>
      </c>
      <c r="E506" s="122" t="s">
        <v>3592</v>
      </c>
      <c r="F506" s="124">
        <v>-31.65</v>
      </c>
      <c r="G506" s="123">
        <v>-2.832894521665669E-2</v>
      </c>
    </row>
    <row r="507" spans="2:7" x14ac:dyDescent="0.2">
      <c r="B507" s="120" t="s">
        <v>1314</v>
      </c>
      <c r="C507" s="121" t="s">
        <v>1315</v>
      </c>
      <c r="D507" s="122" t="s">
        <v>3556</v>
      </c>
      <c r="E507" s="122" t="s">
        <v>3614</v>
      </c>
      <c r="F507" s="124">
        <v>26.02</v>
      </c>
      <c r="G507" s="123">
        <v>0.23140463180513418</v>
      </c>
    </row>
    <row r="508" spans="2:7" x14ac:dyDescent="0.2">
      <c r="B508" s="120" t="s">
        <v>1316</v>
      </c>
      <c r="C508" s="121" t="s">
        <v>1317</v>
      </c>
      <c r="D508" s="122" t="s">
        <v>3612</v>
      </c>
      <c r="E508" s="122" t="s">
        <v>3670</v>
      </c>
      <c r="F508" s="124">
        <v>-2.94</v>
      </c>
      <c r="G508" s="123">
        <v>-4.5814863333534031E-2</v>
      </c>
    </row>
    <row r="509" spans="2:7" x14ac:dyDescent="0.2">
      <c r="B509" s="120" t="s">
        <v>1318</v>
      </c>
      <c r="C509" s="121" t="s">
        <v>1319</v>
      </c>
      <c r="D509" s="122" t="s">
        <v>3576</v>
      </c>
      <c r="E509" s="122" t="s">
        <v>3584</v>
      </c>
      <c r="F509" s="124">
        <v>15.64</v>
      </c>
      <c r="G509" s="123">
        <v>-9.7563954732921399E-2</v>
      </c>
    </row>
    <row r="510" spans="2:7" x14ac:dyDescent="0.2">
      <c r="B510" s="120" t="s">
        <v>1320</v>
      </c>
      <c r="C510" s="121" t="s">
        <v>1321</v>
      </c>
      <c r="D510" s="122" t="s">
        <v>3576</v>
      </c>
      <c r="E510" s="122" t="s">
        <v>3619</v>
      </c>
      <c r="F510" s="124">
        <v>-31.26</v>
      </c>
      <c r="G510" s="123">
        <v>-0.34280788752410934</v>
      </c>
    </row>
    <row r="511" spans="2:7" x14ac:dyDescent="0.2">
      <c r="B511" s="120" t="s">
        <v>1322</v>
      </c>
      <c r="C511" s="121" t="s">
        <v>1323</v>
      </c>
      <c r="D511" s="122" t="s">
        <v>3576</v>
      </c>
      <c r="E511" s="122" t="s">
        <v>3651</v>
      </c>
      <c r="F511" s="124"/>
      <c r="G511" s="123">
        <v>8.8163023679417168E-2</v>
      </c>
    </row>
    <row r="512" spans="2:7" x14ac:dyDescent="0.2">
      <c r="B512" s="120" t="s">
        <v>1324</v>
      </c>
      <c r="C512" s="121" t="s">
        <v>1325</v>
      </c>
      <c r="D512" s="122" t="s">
        <v>3576</v>
      </c>
      <c r="E512" s="122" t="s">
        <v>3584</v>
      </c>
      <c r="F512" s="124">
        <v>20.45</v>
      </c>
      <c r="G512" s="123">
        <v>0.10114731497638846</v>
      </c>
    </row>
    <row r="513" spans="2:7" x14ac:dyDescent="0.2">
      <c r="B513" s="120" t="s">
        <v>1326</v>
      </c>
      <c r="C513" s="121" t="s">
        <v>1327</v>
      </c>
      <c r="D513" s="122" t="s">
        <v>3612</v>
      </c>
      <c r="E513" s="122" t="s">
        <v>3716</v>
      </c>
      <c r="F513" s="124">
        <v>31.56</v>
      </c>
      <c r="G513" s="123">
        <v>0.10323385726707256</v>
      </c>
    </row>
    <row r="514" spans="2:7" x14ac:dyDescent="0.2">
      <c r="B514" s="120" t="s">
        <v>1328</v>
      </c>
      <c r="C514" s="121" t="s">
        <v>1329</v>
      </c>
      <c r="D514" s="122" t="s">
        <v>3612</v>
      </c>
      <c r="E514" s="122" t="s">
        <v>3726</v>
      </c>
      <c r="F514" s="124">
        <v>-2.02</v>
      </c>
      <c r="G514" s="123">
        <v>0.2110366371414571</v>
      </c>
    </row>
    <row r="515" spans="2:7" x14ac:dyDescent="0.2">
      <c r="B515" s="120" t="s">
        <v>1330</v>
      </c>
      <c r="C515" s="121" t="s">
        <v>1331</v>
      </c>
      <c r="D515" s="122" t="s">
        <v>3576</v>
      </c>
      <c r="E515" s="122" t="s">
        <v>3577</v>
      </c>
      <c r="F515" s="124">
        <v>-1</v>
      </c>
      <c r="G515" s="123">
        <v>4.3025372028715189E-2</v>
      </c>
    </row>
    <row r="516" spans="2:7" x14ac:dyDescent="0.2">
      <c r="B516" s="120" t="s">
        <v>1332</v>
      </c>
      <c r="C516" s="121" t="s">
        <v>1333</v>
      </c>
      <c r="D516" s="122" t="s">
        <v>3612</v>
      </c>
      <c r="E516" s="122" t="s">
        <v>3627</v>
      </c>
      <c r="F516" s="124">
        <v>20.11</v>
      </c>
      <c r="G516" s="123">
        <v>-0.1061794303040674</v>
      </c>
    </row>
    <row r="517" spans="2:7" x14ac:dyDescent="0.2">
      <c r="B517" s="120" t="s">
        <v>1334</v>
      </c>
      <c r="C517" s="121" t="s">
        <v>1335</v>
      </c>
      <c r="D517" s="122" t="s">
        <v>25</v>
      </c>
      <c r="E517" s="122" t="s">
        <v>3702</v>
      </c>
      <c r="F517" s="124">
        <v>44.94</v>
      </c>
      <c r="G517" s="123">
        <v>0.26495790876503506</v>
      </c>
    </row>
    <row r="518" spans="2:7" x14ac:dyDescent="0.2">
      <c r="B518" s="120" t="s">
        <v>1336</v>
      </c>
      <c r="C518" s="121" t="s">
        <v>1337</v>
      </c>
      <c r="D518" s="122" t="s">
        <v>3556</v>
      </c>
      <c r="E518" s="122" t="s">
        <v>3742</v>
      </c>
      <c r="F518" s="124">
        <v>-6.43</v>
      </c>
      <c r="G518" s="123">
        <v>-1.3689946224402741E-2</v>
      </c>
    </row>
    <row r="519" spans="2:7" x14ac:dyDescent="0.2">
      <c r="B519" s="120" t="s">
        <v>1338</v>
      </c>
      <c r="C519" s="121" t="s">
        <v>1339</v>
      </c>
      <c r="D519" s="122" t="s">
        <v>3605</v>
      </c>
      <c r="E519" s="122" t="s">
        <v>3653</v>
      </c>
      <c r="F519" s="124">
        <v>-4.54</v>
      </c>
      <c r="G519" s="123">
        <v>0.11287886454615365</v>
      </c>
    </row>
    <row r="520" spans="2:7" x14ac:dyDescent="0.2">
      <c r="B520" s="120" t="s">
        <v>1340</v>
      </c>
      <c r="C520" s="121" t="s">
        <v>1341</v>
      </c>
      <c r="D520" s="122" t="s">
        <v>3591</v>
      </c>
      <c r="E520" s="122" t="s">
        <v>3592</v>
      </c>
      <c r="F520" s="124">
        <v>1.65</v>
      </c>
      <c r="G520" s="123">
        <v>5.9874555526620861E-2</v>
      </c>
    </row>
    <row r="521" spans="2:7" x14ac:dyDescent="0.2">
      <c r="B521" s="120" t="s">
        <v>1342</v>
      </c>
      <c r="C521" s="121" t="s">
        <v>1343</v>
      </c>
      <c r="D521" s="122" t="s">
        <v>3569</v>
      </c>
      <c r="E521" s="122" t="s">
        <v>3722</v>
      </c>
      <c r="F521" s="124"/>
      <c r="G521" s="123">
        <v>7.3281349440239466E-2</v>
      </c>
    </row>
    <row r="522" spans="2:7" x14ac:dyDescent="0.2">
      <c r="B522" s="120" t="s">
        <v>1344</v>
      </c>
      <c r="C522" s="121" t="s">
        <v>1345</v>
      </c>
      <c r="D522" s="122" t="s">
        <v>3576</v>
      </c>
      <c r="E522" s="122" t="s">
        <v>3743</v>
      </c>
      <c r="F522" s="124">
        <v>30.19</v>
      </c>
      <c r="G522" s="123">
        <v>-1</v>
      </c>
    </row>
    <row r="523" spans="2:7" x14ac:dyDescent="0.2">
      <c r="B523" s="120" t="s">
        <v>1346</v>
      </c>
      <c r="C523" s="121" t="s">
        <v>1347</v>
      </c>
      <c r="D523" s="122" t="s">
        <v>3576</v>
      </c>
      <c r="E523" s="122" t="s">
        <v>3577</v>
      </c>
      <c r="F523" s="124">
        <v>8.48</v>
      </c>
      <c r="G523" s="123">
        <v>3.4878025784793369E-2</v>
      </c>
    </row>
    <row r="524" spans="2:7" x14ac:dyDescent="0.2">
      <c r="B524" s="120" t="s">
        <v>1348</v>
      </c>
      <c r="C524" s="121" t="s">
        <v>1349</v>
      </c>
      <c r="D524" s="122" t="s">
        <v>3582</v>
      </c>
      <c r="E524" s="122" t="s">
        <v>3631</v>
      </c>
      <c r="F524" s="124"/>
      <c r="G524" s="123">
        <v>0.50874286766059285</v>
      </c>
    </row>
    <row r="525" spans="2:7" x14ac:dyDescent="0.2">
      <c r="B525" s="120" t="s">
        <v>1350</v>
      </c>
      <c r="C525" s="121" t="s">
        <v>1351</v>
      </c>
      <c r="D525" s="122" t="s">
        <v>3612</v>
      </c>
      <c r="E525" s="122" t="s">
        <v>3670</v>
      </c>
      <c r="F525" s="124">
        <v>0.55000000000000004</v>
      </c>
      <c r="G525" s="123">
        <v>2.9451609628931147E-2</v>
      </c>
    </row>
    <row r="526" spans="2:7" x14ac:dyDescent="0.2">
      <c r="B526" s="120" t="s">
        <v>1352</v>
      </c>
      <c r="C526" s="121" t="s">
        <v>1353</v>
      </c>
      <c r="D526" s="122" t="s">
        <v>3576</v>
      </c>
      <c r="E526" s="122" t="s">
        <v>3620</v>
      </c>
      <c r="F526" s="124">
        <v>15.4</v>
      </c>
      <c r="G526" s="123">
        <v>1.5204698920988581E-2</v>
      </c>
    </row>
    <row r="527" spans="2:7" x14ac:dyDescent="0.2">
      <c r="B527" s="120" t="s">
        <v>1354</v>
      </c>
      <c r="C527" s="121" t="s">
        <v>1355</v>
      </c>
      <c r="D527" s="122" t="s">
        <v>3558</v>
      </c>
      <c r="E527" s="122" t="s">
        <v>3568</v>
      </c>
      <c r="F527" s="124">
        <v>-0.7</v>
      </c>
      <c r="G527" s="123">
        <v>2.2877927715303756E-2</v>
      </c>
    </row>
    <row r="528" spans="2:7" x14ac:dyDescent="0.2">
      <c r="B528" s="120" t="s">
        <v>1356</v>
      </c>
      <c r="C528" s="121" t="s">
        <v>1357</v>
      </c>
      <c r="D528" s="122" t="s">
        <v>3591</v>
      </c>
      <c r="E528" s="122" t="s">
        <v>3592</v>
      </c>
      <c r="F528" s="124">
        <v>-2.35</v>
      </c>
      <c r="G528" s="123">
        <v>8.040697037545004E-2</v>
      </c>
    </row>
    <row r="529" spans="2:7" x14ac:dyDescent="0.2">
      <c r="B529" s="120" t="s">
        <v>1358</v>
      </c>
      <c r="C529" s="121" t="s">
        <v>1359</v>
      </c>
      <c r="D529" s="122" t="s">
        <v>3612</v>
      </c>
      <c r="E529" s="122" t="s">
        <v>3613</v>
      </c>
      <c r="F529" s="124"/>
      <c r="G529" s="123">
        <v>0.14400375894589001</v>
      </c>
    </row>
    <row r="530" spans="2:7" x14ac:dyDescent="0.2">
      <c r="B530" s="120" t="s">
        <v>1360</v>
      </c>
      <c r="C530" s="121" t="s">
        <v>1361</v>
      </c>
      <c r="D530" s="122" t="s">
        <v>3556</v>
      </c>
      <c r="E530" s="122" t="s">
        <v>3607</v>
      </c>
      <c r="F530" s="124">
        <v>30.47</v>
      </c>
      <c r="G530" s="123">
        <v>0.3277394358031438</v>
      </c>
    </row>
    <row r="531" spans="2:7" x14ac:dyDescent="0.2">
      <c r="B531" s="120" t="s">
        <v>1362</v>
      </c>
      <c r="C531" s="121" t="s">
        <v>1363</v>
      </c>
      <c r="D531" s="122" t="s">
        <v>3556</v>
      </c>
      <c r="E531" s="122" t="s">
        <v>3744</v>
      </c>
      <c r="F531" s="124"/>
      <c r="G531" s="123">
        <v>2.0772159657299817E-2</v>
      </c>
    </row>
    <row r="532" spans="2:7" x14ac:dyDescent="0.2">
      <c r="B532" s="120" t="s">
        <v>1364</v>
      </c>
      <c r="C532" s="121" t="s">
        <v>11</v>
      </c>
      <c r="D532" s="122" t="s">
        <v>3576</v>
      </c>
      <c r="E532" s="122" t="s">
        <v>3604</v>
      </c>
      <c r="F532" s="124">
        <v>4.82</v>
      </c>
      <c r="G532" s="123">
        <v>-7.6016742546629185E-3</v>
      </c>
    </row>
    <row r="533" spans="2:7" x14ac:dyDescent="0.2">
      <c r="B533" s="120" t="s">
        <v>1365</v>
      </c>
      <c r="C533" s="121" t="s">
        <v>1366</v>
      </c>
      <c r="D533" s="122" t="s">
        <v>3576</v>
      </c>
      <c r="E533" s="122" t="s">
        <v>3620</v>
      </c>
      <c r="F533" s="124">
        <v>20.14</v>
      </c>
      <c r="G533" s="123">
        <v>-1</v>
      </c>
    </row>
    <row r="534" spans="2:7" x14ac:dyDescent="0.2">
      <c r="B534" s="120" t="s">
        <v>1367</v>
      </c>
      <c r="C534" s="121" t="s">
        <v>1368</v>
      </c>
      <c r="D534" s="122" t="s">
        <v>3612</v>
      </c>
      <c r="E534" s="122" t="s">
        <v>3726</v>
      </c>
      <c r="F534" s="124">
        <v>12.57</v>
      </c>
      <c r="G534" s="123">
        <v>0.2540454290324845</v>
      </c>
    </row>
    <row r="535" spans="2:7" x14ac:dyDescent="0.2">
      <c r="B535" s="120" t="s">
        <v>1369</v>
      </c>
      <c r="C535" s="121" t="s">
        <v>1370</v>
      </c>
      <c r="D535" s="122" t="s">
        <v>3569</v>
      </c>
      <c r="E535" s="122" t="s">
        <v>3722</v>
      </c>
      <c r="F535" s="124">
        <v>41.43</v>
      </c>
      <c r="G535" s="123">
        <v>-1</v>
      </c>
    </row>
    <row r="536" spans="2:7" x14ac:dyDescent="0.2">
      <c r="B536" s="120" t="s">
        <v>1371</v>
      </c>
      <c r="C536" s="121" t="s">
        <v>1372</v>
      </c>
      <c r="D536" s="122" t="s">
        <v>3569</v>
      </c>
      <c r="E536" s="122" t="s">
        <v>3574</v>
      </c>
      <c r="F536" s="124">
        <v>13.3</v>
      </c>
      <c r="G536" s="123">
        <v>0.13898172612012466</v>
      </c>
    </row>
    <row r="537" spans="2:7" x14ac:dyDescent="0.2">
      <c r="B537" s="120" t="s">
        <v>1373</v>
      </c>
      <c r="C537" s="121" t="s">
        <v>1374</v>
      </c>
      <c r="D537" s="122" t="s">
        <v>3576</v>
      </c>
      <c r="E537" s="122" t="s">
        <v>3667</v>
      </c>
      <c r="F537" s="124">
        <v>13.18</v>
      </c>
      <c r="G537" s="123">
        <v>-0.10139587997487394</v>
      </c>
    </row>
    <row r="538" spans="2:7" x14ac:dyDescent="0.2">
      <c r="B538" s="120" t="s">
        <v>1375</v>
      </c>
      <c r="C538" s="121" t="s">
        <v>1376</v>
      </c>
      <c r="D538" s="122" t="s">
        <v>3569</v>
      </c>
      <c r="E538" s="122" t="s">
        <v>3575</v>
      </c>
      <c r="F538" s="124">
        <v>128.4</v>
      </c>
      <c r="G538" s="123">
        <v>0.78235708313162877</v>
      </c>
    </row>
    <row r="539" spans="2:7" x14ac:dyDescent="0.2">
      <c r="B539" s="120" t="s">
        <v>1377</v>
      </c>
      <c r="C539" s="121" t="s">
        <v>1378</v>
      </c>
      <c r="D539" s="122" t="s">
        <v>3591</v>
      </c>
      <c r="E539" s="122" t="s">
        <v>3592</v>
      </c>
      <c r="F539" s="124">
        <v>6.56</v>
      </c>
      <c r="G539" s="123">
        <v>-9.1309692927608682E-2</v>
      </c>
    </row>
    <row r="540" spans="2:7" x14ac:dyDescent="0.2">
      <c r="B540" s="120" t="s">
        <v>1379</v>
      </c>
      <c r="C540" s="121" t="s">
        <v>1380</v>
      </c>
      <c r="D540" s="122" t="s">
        <v>3569</v>
      </c>
      <c r="E540" s="122" t="s">
        <v>3575</v>
      </c>
      <c r="F540" s="124">
        <v>152.55000000000001</v>
      </c>
      <c r="G540" s="123">
        <v>9.6625756883688685E-2</v>
      </c>
    </row>
    <row r="541" spans="2:7" x14ac:dyDescent="0.2">
      <c r="B541" s="120" t="s">
        <v>1381</v>
      </c>
      <c r="C541" s="121" t="s">
        <v>1382</v>
      </c>
      <c r="D541" s="122" t="s">
        <v>3580</v>
      </c>
      <c r="E541" s="122" t="s">
        <v>3601</v>
      </c>
      <c r="F541" s="124">
        <v>8.1</v>
      </c>
      <c r="G541" s="123">
        <v>-5.6343415348396068E-3</v>
      </c>
    </row>
    <row r="542" spans="2:7" x14ac:dyDescent="0.2">
      <c r="B542" s="120" t="s">
        <v>1383</v>
      </c>
      <c r="C542" s="121" t="s">
        <v>1384</v>
      </c>
      <c r="D542" s="122" t="s">
        <v>3561</v>
      </c>
      <c r="E542" s="122" t="s">
        <v>3639</v>
      </c>
      <c r="F542" s="124">
        <v>5.15</v>
      </c>
      <c r="G542" s="123">
        <v>4.1938814529199418E-2</v>
      </c>
    </row>
    <row r="543" spans="2:7" x14ac:dyDescent="0.2">
      <c r="B543" s="120" t="s">
        <v>1385</v>
      </c>
      <c r="C543" s="121" t="s">
        <v>1386</v>
      </c>
      <c r="D543" s="122" t="s">
        <v>3563</v>
      </c>
      <c r="E543" s="122" t="s">
        <v>3622</v>
      </c>
      <c r="F543" s="124">
        <v>18.45</v>
      </c>
      <c r="G543" s="123">
        <v>8.3327416020671882E-2</v>
      </c>
    </row>
    <row r="544" spans="2:7" x14ac:dyDescent="0.2">
      <c r="B544" s="120" t="s">
        <v>1387</v>
      </c>
      <c r="C544" s="121" t="s">
        <v>1388</v>
      </c>
      <c r="D544" s="122" t="s">
        <v>3582</v>
      </c>
      <c r="E544" s="122" t="s">
        <v>3664</v>
      </c>
      <c r="F544" s="124"/>
      <c r="G544" s="123">
        <v>7.4036233285332195E-2</v>
      </c>
    </row>
    <row r="545" spans="2:7" x14ac:dyDescent="0.2">
      <c r="B545" s="120" t="s">
        <v>1389</v>
      </c>
      <c r="C545" s="121" t="s">
        <v>1390</v>
      </c>
      <c r="D545" s="122" t="s">
        <v>3582</v>
      </c>
      <c r="E545" s="122" t="s">
        <v>3583</v>
      </c>
      <c r="F545" s="124">
        <v>5.71</v>
      </c>
      <c r="G545" s="123">
        <v>1.6112457841484004E-2</v>
      </c>
    </row>
    <row r="546" spans="2:7" x14ac:dyDescent="0.2">
      <c r="B546" s="120" t="s">
        <v>1391</v>
      </c>
      <c r="C546" s="121" t="s">
        <v>1392</v>
      </c>
      <c r="D546" s="122" t="s">
        <v>3576</v>
      </c>
      <c r="E546" s="122" t="s">
        <v>3619</v>
      </c>
      <c r="F546" s="124">
        <v>16.649999999999999</v>
      </c>
      <c r="G546" s="123">
        <v>7.082401805114491E-2</v>
      </c>
    </row>
    <row r="547" spans="2:7" x14ac:dyDescent="0.2">
      <c r="B547" s="120" t="s">
        <v>1393</v>
      </c>
      <c r="C547" s="121" t="s">
        <v>1394</v>
      </c>
      <c r="D547" s="122" t="s">
        <v>3610</v>
      </c>
      <c r="E547" s="122" t="s">
        <v>3745</v>
      </c>
      <c r="F547" s="124">
        <v>2.59</v>
      </c>
      <c r="G547" s="123">
        <v>-8.8117465167334069E-2</v>
      </c>
    </row>
    <row r="548" spans="2:7" x14ac:dyDescent="0.2">
      <c r="B548" s="120" t="s">
        <v>1395</v>
      </c>
      <c r="C548" s="121" t="s">
        <v>1396</v>
      </c>
      <c r="D548" s="122" t="s">
        <v>3576</v>
      </c>
      <c r="E548" s="122" t="s">
        <v>3578</v>
      </c>
      <c r="F548" s="124">
        <v>4.99</v>
      </c>
      <c r="G548" s="123">
        <v>3.2039861930742652E-2</v>
      </c>
    </row>
    <row r="549" spans="2:7" x14ac:dyDescent="0.2">
      <c r="B549" s="120" t="s">
        <v>1397</v>
      </c>
      <c r="C549" s="121" t="s">
        <v>1398</v>
      </c>
      <c r="D549" s="122" t="s">
        <v>3612</v>
      </c>
      <c r="E549" s="122" t="s">
        <v>3627</v>
      </c>
      <c r="F549" s="124">
        <v>53.77</v>
      </c>
      <c r="G549" s="123">
        <v>0.88502979423414474</v>
      </c>
    </row>
    <row r="550" spans="2:7" x14ac:dyDescent="0.2">
      <c r="B550" s="120" t="s">
        <v>1399</v>
      </c>
      <c r="C550" s="121" t="s">
        <v>1400</v>
      </c>
      <c r="D550" s="122" t="s">
        <v>3558</v>
      </c>
      <c r="E550" s="122" t="s">
        <v>3746</v>
      </c>
      <c r="F550" s="124">
        <v>5.37</v>
      </c>
      <c r="G550" s="123">
        <v>-0.12213473023795905</v>
      </c>
    </row>
    <row r="551" spans="2:7" x14ac:dyDescent="0.2">
      <c r="B551" s="120" t="s">
        <v>1401</v>
      </c>
      <c r="C551" s="121" t="s">
        <v>1402</v>
      </c>
      <c r="D551" s="122" t="s">
        <v>3563</v>
      </c>
      <c r="E551" s="122" t="s">
        <v>3747</v>
      </c>
      <c r="F551" s="124">
        <v>7.44</v>
      </c>
      <c r="G551" s="123">
        <v>8.0175267366216066E-2</v>
      </c>
    </row>
    <row r="552" spans="2:7" x14ac:dyDescent="0.2">
      <c r="B552" s="120" t="s">
        <v>1403</v>
      </c>
      <c r="C552" s="121" t="s">
        <v>1404</v>
      </c>
      <c r="D552" s="122" t="s">
        <v>3556</v>
      </c>
      <c r="E552" s="122" t="s">
        <v>3607</v>
      </c>
      <c r="F552" s="124">
        <v>45.99</v>
      </c>
      <c r="G552" s="123">
        <v>0.25910866023138374</v>
      </c>
    </row>
    <row r="553" spans="2:7" x14ac:dyDescent="0.2">
      <c r="B553" s="120" t="s">
        <v>1405</v>
      </c>
      <c r="C553" s="121" t="s">
        <v>1406</v>
      </c>
      <c r="D553" s="122" t="s">
        <v>3558</v>
      </c>
      <c r="E553" s="122" t="s">
        <v>3567</v>
      </c>
      <c r="F553" s="124">
        <v>6.76</v>
      </c>
      <c r="G553" s="123">
        <v>6.097441796867864E-2</v>
      </c>
    </row>
    <row r="554" spans="2:7" x14ac:dyDescent="0.2">
      <c r="B554" s="120" t="s">
        <v>1407</v>
      </c>
      <c r="C554" s="121" t="s">
        <v>1408</v>
      </c>
      <c r="D554" s="122" t="s">
        <v>3610</v>
      </c>
      <c r="E554" s="122" t="s">
        <v>3656</v>
      </c>
      <c r="F554" s="124">
        <v>1.67</v>
      </c>
      <c r="G554" s="123">
        <v>-0.10008767392636124</v>
      </c>
    </row>
    <row r="555" spans="2:7" x14ac:dyDescent="0.2">
      <c r="B555" s="120" t="s">
        <v>1409</v>
      </c>
      <c r="C555" s="121" t="s">
        <v>1410</v>
      </c>
      <c r="D555" s="122" t="s">
        <v>3576</v>
      </c>
      <c r="E555" s="122" t="s">
        <v>3609</v>
      </c>
      <c r="F555" s="124">
        <v>31.43</v>
      </c>
      <c r="G555" s="123">
        <v>5.1462186808620594E-2</v>
      </c>
    </row>
    <row r="556" spans="2:7" x14ac:dyDescent="0.2">
      <c r="B556" s="120" t="s">
        <v>1411</v>
      </c>
      <c r="C556" s="121" t="s">
        <v>1412</v>
      </c>
      <c r="D556" s="122" t="s">
        <v>3582</v>
      </c>
      <c r="E556" s="122" t="s">
        <v>3583</v>
      </c>
      <c r="F556" s="124">
        <v>3.64</v>
      </c>
      <c r="G556" s="123">
        <v>0.10723265676470009</v>
      </c>
    </row>
    <row r="557" spans="2:7" x14ac:dyDescent="0.2">
      <c r="B557" s="120" t="s">
        <v>1413</v>
      </c>
      <c r="C557" s="121" t="s">
        <v>1414</v>
      </c>
      <c r="D557" s="122" t="s">
        <v>3594</v>
      </c>
      <c r="E557" s="122" t="s">
        <v>3634</v>
      </c>
      <c r="F557" s="124">
        <v>-2.15</v>
      </c>
      <c r="G557" s="123">
        <v>-0.19859956517071073</v>
      </c>
    </row>
    <row r="558" spans="2:7" x14ac:dyDescent="0.2">
      <c r="B558" s="120" t="s">
        <v>1415</v>
      </c>
      <c r="C558" s="121" t="s">
        <v>1416</v>
      </c>
      <c r="D558" s="122" t="s">
        <v>3582</v>
      </c>
      <c r="E558" s="122" t="s">
        <v>3664</v>
      </c>
      <c r="F558" s="124">
        <v>9.8800000000000008</v>
      </c>
      <c r="G558" s="123">
        <v>0.11527384364700217</v>
      </c>
    </row>
    <row r="559" spans="2:7" x14ac:dyDescent="0.2">
      <c r="B559" s="120" t="s">
        <v>1417</v>
      </c>
      <c r="C559" s="121" t="s">
        <v>1418</v>
      </c>
      <c r="D559" s="122" t="s">
        <v>3561</v>
      </c>
      <c r="E559" s="122" t="s">
        <v>3748</v>
      </c>
      <c r="F559" s="124">
        <v>10.6</v>
      </c>
      <c r="G559" s="123">
        <v>2.1112682765845291E-3</v>
      </c>
    </row>
    <row r="560" spans="2:7" x14ac:dyDescent="0.2">
      <c r="B560" s="120" t="s">
        <v>1419</v>
      </c>
      <c r="C560" s="121" t="s">
        <v>1420</v>
      </c>
      <c r="D560" s="122" t="s">
        <v>3591</v>
      </c>
      <c r="E560" s="122" t="s">
        <v>3592</v>
      </c>
      <c r="F560" s="124">
        <v>-6.02</v>
      </c>
      <c r="G560" s="123">
        <v>-1.0536399964479215E-2</v>
      </c>
    </row>
    <row r="561" spans="2:7" x14ac:dyDescent="0.2">
      <c r="B561" s="120" t="s">
        <v>1421</v>
      </c>
      <c r="C561" s="121" t="s">
        <v>1422</v>
      </c>
      <c r="D561" s="122" t="s">
        <v>3558</v>
      </c>
      <c r="E561" s="122" t="s">
        <v>3642</v>
      </c>
      <c r="F561" s="124"/>
      <c r="G561" s="123">
        <v>0.10468004577872009</v>
      </c>
    </row>
    <row r="562" spans="2:7" x14ac:dyDescent="0.2">
      <c r="B562" s="120" t="s">
        <v>1423</v>
      </c>
      <c r="C562" s="121" t="s">
        <v>1424</v>
      </c>
      <c r="D562" s="122" t="s">
        <v>3556</v>
      </c>
      <c r="E562" s="122" t="s">
        <v>3704</v>
      </c>
      <c r="F562" s="124">
        <v>16.13</v>
      </c>
      <c r="G562" s="123">
        <v>4.8288116011793697E-2</v>
      </c>
    </row>
    <row r="563" spans="2:7" x14ac:dyDescent="0.2">
      <c r="B563" s="120" t="s">
        <v>1425</v>
      </c>
      <c r="C563" s="121" t="s">
        <v>1426</v>
      </c>
      <c r="D563" s="122" t="s">
        <v>3576</v>
      </c>
      <c r="E563" s="122" t="s">
        <v>3668</v>
      </c>
      <c r="F563" s="124">
        <v>9.73</v>
      </c>
      <c r="G563" s="123">
        <v>1.9697572753844279E-2</v>
      </c>
    </row>
    <row r="564" spans="2:7" x14ac:dyDescent="0.2">
      <c r="B564" s="120" t="s">
        <v>1427</v>
      </c>
      <c r="C564" s="121" t="s">
        <v>1428</v>
      </c>
      <c r="D564" s="122" t="s">
        <v>3556</v>
      </c>
      <c r="E564" s="122" t="s">
        <v>3630</v>
      </c>
      <c r="F564" s="124">
        <v>4.71</v>
      </c>
      <c r="G564" s="123">
        <v>3.3845027088798656E-2</v>
      </c>
    </row>
    <row r="565" spans="2:7" x14ac:dyDescent="0.2">
      <c r="B565" s="120" t="s">
        <v>1429</v>
      </c>
      <c r="C565" s="121" t="s">
        <v>1430</v>
      </c>
      <c r="D565" s="122" t="s">
        <v>3569</v>
      </c>
      <c r="E565" s="122" t="s">
        <v>3722</v>
      </c>
      <c r="F565" s="124">
        <v>5.7</v>
      </c>
      <c r="G565" s="123">
        <v>0.33934076821938375</v>
      </c>
    </row>
    <row r="566" spans="2:7" x14ac:dyDescent="0.2">
      <c r="B566" s="120" t="s">
        <v>1431</v>
      </c>
      <c r="C566" s="121" t="s">
        <v>1432</v>
      </c>
      <c r="D566" s="122" t="s">
        <v>3576</v>
      </c>
      <c r="E566" s="122" t="s">
        <v>3667</v>
      </c>
      <c r="F566" s="124">
        <v>7.11</v>
      </c>
      <c r="G566" s="123">
        <v>-4.6501975661786113E-2</v>
      </c>
    </row>
    <row r="567" spans="2:7" x14ac:dyDescent="0.2">
      <c r="B567" s="120" t="s">
        <v>1433</v>
      </c>
      <c r="C567" s="121" t="s">
        <v>1434</v>
      </c>
      <c r="D567" s="122" t="s">
        <v>3576</v>
      </c>
      <c r="E567" s="122" t="s">
        <v>3671</v>
      </c>
      <c r="F567" s="124">
        <v>14.94</v>
      </c>
      <c r="G567" s="123">
        <v>-0.19784512145133346</v>
      </c>
    </row>
    <row r="568" spans="2:7" x14ac:dyDescent="0.2">
      <c r="B568" s="120" t="s">
        <v>1435</v>
      </c>
      <c r="C568" s="121" t="s">
        <v>1436</v>
      </c>
      <c r="D568" s="122" t="s">
        <v>3556</v>
      </c>
      <c r="E568" s="122" t="s">
        <v>3614</v>
      </c>
      <c r="F568" s="124">
        <v>7.29</v>
      </c>
      <c r="G568" s="123">
        <v>0.10671498445475415</v>
      </c>
    </row>
    <row r="569" spans="2:7" x14ac:dyDescent="0.2">
      <c r="B569" s="120" t="s">
        <v>1437</v>
      </c>
      <c r="C569" s="121" t="s">
        <v>1438</v>
      </c>
      <c r="D569" s="122" t="s">
        <v>3576</v>
      </c>
      <c r="E569" s="122" t="s">
        <v>3604</v>
      </c>
      <c r="F569" s="124">
        <v>7.54</v>
      </c>
      <c r="G569" s="123">
        <v>0.14704227423217808</v>
      </c>
    </row>
    <row r="570" spans="2:7" x14ac:dyDescent="0.2">
      <c r="B570" s="120" t="s">
        <v>1439</v>
      </c>
      <c r="C570" s="121" t="s">
        <v>1440</v>
      </c>
      <c r="D570" s="122" t="s">
        <v>3582</v>
      </c>
      <c r="E570" s="122" t="s">
        <v>3590</v>
      </c>
      <c r="F570" s="124">
        <v>8.32</v>
      </c>
      <c r="G570" s="123">
        <v>0.30860418378250032</v>
      </c>
    </row>
    <row r="571" spans="2:7" x14ac:dyDescent="0.2">
      <c r="B571" s="120" t="s">
        <v>1441</v>
      </c>
      <c r="C571" s="121" t="s">
        <v>1442</v>
      </c>
      <c r="D571" s="122" t="s">
        <v>3582</v>
      </c>
      <c r="E571" s="122" t="s">
        <v>3590</v>
      </c>
      <c r="F571" s="124">
        <v>3.71</v>
      </c>
      <c r="G571" s="123">
        <v>1.2919671990382964</v>
      </c>
    </row>
    <row r="572" spans="2:7" x14ac:dyDescent="0.2">
      <c r="B572" s="120" t="s">
        <v>1443</v>
      </c>
      <c r="C572" s="121" t="s">
        <v>1444</v>
      </c>
      <c r="D572" s="122" t="s">
        <v>3576</v>
      </c>
      <c r="E572" s="122" t="s">
        <v>3654</v>
      </c>
      <c r="F572" s="124">
        <v>6.5</v>
      </c>
      <c r="G572" s="123">
        <v>-2.2297484008528753E-2</v>
      </c>
    </row>
    <row r="573" spans="2:7" x14ac:dyDescent="0.2">
      <c r="B573" s="120" t="s">
        <v>1445</v>
      </c>
      <c r="C573" s="121" t="s">
        <v>1446</v>
      </c>
      <c r="D573" s="122" t="s">
        <v>3563</v>
      </c>
      <c r="E573" s="122" t="s">
        <v>3734</v>
      </c>
      <c r="F573" s="124">
        <v>23.37</v>
      </c>
      <c r="G573" s="123">
        <v>0.2130966234066019</v>
      </c>
    </row>
    <row r="574" spans="2:7" x14ac:dyDescent="0.2">
      <c r="B574" s="120" t="s">
        <v>1447</v>
      </c>
      <c r="C574" s="121" t="s">
        <v>1448</v>
      </c>
      <c r="D574" s="122" t="s">
        <v>3556</v>
      </c>
      <c r="E574" s="122" t="s">
        <v>3630</v>
      </c>
      <c r="F574" s="124">
        <v>25.47</v>
      </c>
      <c r="G574" s="123">
        <v>0.21393689358068765</v>
      </c>
    </row>
    <row r="575" spans="2:7" x14ac:dyDescent="0.2">
      <c r="B575" s="120" t="s">
        <v>1449</v>
      </c>
      <c r="C575" s="121" t="s">
        <v>1450</v>
      </c>
      <c r="D575" s="122" t="s">
        <v>3556</v>
      </c>
      <c r="E575" s="122" t="s">
        <v>3614</v>
      </c>
      <c r="F575" s="124">
        <v>-4.43</v>
      </c>
      <c r="G575" s="123">
        <v>-1</v>
      </c>
    </row>
    <row r="576" spans="2:7" x14ac:dyDescent="0.2">
      <c r="B576" s="120" t="s">
        <v>1451</v>
      </c>
      <c r="C576" s="121" t="s">
        <v>1452</v>
      </c>
      <c r="D576" s="122" t="s">
        <v>3563</v>
      </c>
      <c r="E576" s="122" t="s">
        <v>3676</v>
      </c>
      <c r="F576" s="124">
        <v>2.59</v>
      </c>
      <c r="G576" s="123">
        <v>2.1213018012344088E-2</v>
      </c>
    </row>
    <row r="577" spans="2:7" x14ac:dyDescent="0.2">
      <c r="B577" s="120" t="s">
        <v>1453</v>
      </c>
      <c r="C577" s="121" t="s">
        <v>1454</v>
      </c>
      <c r="D577" s="122" t="s">
        <v>3556</v>
      </c>
      <c r="E577" s="122" t="s">
        <v>3733</v>
      </c>
      <c r="F577" s="124">
        <v>0.13</v>
      </c>
      <c r="G577" s="123">
        <v>-4.6871575954999536E-2</v>
      </c>
    </row>
    <row r="578" spans="2:7" x14ac:dyDescent="0.2">
      <c r="B578" s="120" t="s">
        <v>1455</v>
      </c>
      <c r="C578" s="121" t="s">
        <v>1456</v>
      </c>
      <c r="D578" s="122" t="s">
        <v>3605</v>
      </c>
      <c r="E578" s="122" t="s">
        <v>3749</v>
      </c>
      <c r="F578" s="124">
        <v>4.8</v>
      </c>
      <c r="G578" s="123">
        <v>8.8233300857694735E-2</v>
      </c>
    </row>
    <row r="579" spans="2:7" x14ac:dyDescent="0.2">
      <c r="B579" s="120" t="s">
        <v>1457</v>
      </c>
      <c r="C579" s="121" t="s">
        <v>1458</v>
      </c>
      <c r="D579" s="122" t="s">
        <v>24</v>
      </c>
      <c r="E579" s="122" t="s">
        <v>3633</v>
      </c>
      <c r="F579" s="124">
        <v>1.52</v>
      </c>
      <c r="G579" s="123">
        <v>3.2706223667396284E-2</v>
      </c>
    </row>
    <row r="580" spans="2:7" x14ac:dyDescent="0.2">
      <c r="B580" s="120" t="s">
        <v>1459</v>
      </c>
      <c r="C580" s="121" t="s">
        <v>1460</v>
      </c>
      <c r="D580" s="122" t="s">
        <v>3558</v>
      </c>
      <c r="E580" s="122" t="s">
        <v>3642</v>
      </c>
      <c r="F580" s="124">
        <v>-6.32</v>
      </c>
      <c r="G580" s="123">
        <v>3.9219421447711338E-2</v>
      </c>
    </row>
    <row r="581" spans="2:7" x14ac:dyDescent="0.2">
      <c r="B581" s="120" t="s">
        <v>1461</v>
      </c>
      <c r="C581" s="121" t="s">
        <v>1462</v>
      </c>
      <c r="D581" s="122" t="s">
        <v>3582</v>
      </c>
      <c r="E581" s="122" t="s">
        <v>3590</v>
      </c>
      <c r="F581" s="124">
        <v>17.54</v>
      </c>
      <c r="G581" s="123">
        <v>8.9874209468705585E-2</v>
      </c>
    </row>
    <row r="582" spans="2:7" x14ac:dyDescent="0.2">
      <c r="B582" s="120" t="s">
        <v>1463</v>
      </c>
      <c r="C582" s="121" t="s">
        <v>1464</v>
      </c>
      <c r="D582" s="122" t="s">
        <v>3594</v>
      </c>
      <c r="E582" s="122" t="s">
        <v>3602</v>
      </c>
      <c r="F582" s="124">
        <v>3.39</v>
      </c>
      <c r="G582" s="123">
        <v>-3.6930868480054245E-2</v>
      </c>
    </row>
    <row r="583" spans="2:7" x14ac:dyDescent="0.2">
      <c r="B583" s="120" t="s">
        <v>1465</v>
      </c>
      <c r="C583" s="121" t="s">
        <v>1466</v>
      </c>
      <c r="D583" s="122" t="s">
        <v>3569</v>
      </c>
      <c r="E583" s="122" t="s">
        <v>3574</v>
      </c>
      <c r="F583" s="124">
        <v>5.75</v>
      </c>
      <c r="G583" s="123">
        <v>-1.0866405458825569E-2</v>
      </c>
    </row>
    <row r="584" spans="2:7" x14ac:dyDescent="0.2">
      <c r="B584" s="120" t="s">
        <v>1467</v>
      </c>
      <c r="C584" s="121" t="s">
        <v>1468</v>
      </c>
      <c r="D584" s="122" t="s">
        <v>24</v>
      </c>
      <c r="E584" s="122" t="s">
        <v>3693</v>
      </c>
      <c r="F584" s="124">
        <v>7.09</v>
      </c>
      <c r="G584" s="123">
        <v>6.9653762441243119E-2</v>
      </c>
    </row>
    <row r="585" spans="2:7" x14ac:dyDescent="0.2">
      <c r="B585" s="120" t="s">
        <v>1469</v>
      </c>
      <c r="C585" s="121" t="s">
        <v>1470</v>
      </c>
      <c r="D585" s="122" t="s">
        <v>3576</v>
      </c>
      <c r="E585" s="122" t="s">
        <v>3671</v>
      </c>
      <c r="F585" s="124">
        <v>23.22</v>
      </c>
      <c r="G585" s="123">
        <v>-0.15682404813777365</v>
      </c>
    </row>
    <row r="586" spans="2:7" x14ac:dyDescent="0.2">
      <c r="B586" s="120" t="s">
        <v>1471</v>
      </c>
      <c r="C586" s="121" t="s">
        <v>1472</v>
      </c>
      <c r="D586" s="122" t="s">
        <v>3580</v>
      </c>
      <c r="E586" s="122" t="s">
        <v>3750</v>
      </c>
      <c r="F586" s="124">
        <v>26.45</v>
      </c>
      <c r="G586" s="123">
        <v>0.20469694417638989</v>
      </c>
    </row>
    <row r="587" spans="2:7" x14ac:dyDescent="0.2">
      <c r="B587" s="120" t="s">
        <v>1473</v>
      </c>
      <c r="C587" s="121" t="s">
        <v>1474</v>
      </c>
      <c r="D587" s="122" t="s">
        <v>3576</v>
      </c>
      <c r="E587" s="122" t="s">
        <v>3578</v>
      </c>
      <c r="F587" s="124">
        <v>-1.77</v>
      </c>
      <c r="G587" s="123">
        <v>5.3924150645246249E-2</v>
      </c>
    </row>
    <row r="588" spans="2:7" x14ac:dyDescent="0.2">
      <c r="B588" s="120" t="s">
        <v>1475</v>
      </c>
      <c r="C588" s="121" t="s">
        <v>1476</v>
      </c>
      <c r="D588" s="122" t="s">
        <v>3594</v>
      </c>
      <c r="E588" s="122" t="s">
        <v>3678</v>
      </c>
      <c r="F588" s="124"/>
      <c r="G588" s="123">
        <v>3.9543093859624054E-2</v>
      </c>
    </row>
    <row r="589" spans="2:7" x14ac:dyDescent="0.2">
      <c r="B589" s="120" t="s">
        <v>1477</v>
      </c>
      <c r="C589" s="121" t="s">
        <v>1478</v>
      </c>
      <c r="D589" s="122" t="s">
        <v>3594</v>
      </c>
      <c r="E589" s="122" t="s">
        <v>3595</v>
      </c>
      <c r="F589" s="124">
        <v>12.55</v>
      </c>
      <c r="G589" s="123">
        <v>0.22321339559093678</v>
      </c>
    </row>
    <row r="590" spans="2:7" x14ac:dyDescent="0.2">
      <c r="B590" s="120" t="s">
        <v>1479</v>
      </c>
      <c r="C590" s="121" t="s">
        <v>1480</v>
      </c>
      <c r="D590" s="122" t="s">
        <v>25</v>
      </c>
      <c r="E590" s="122" t="s">
        <v>3691</v>
      </c>
      <c r="F590" s="124"/>
      <c r="G590" s="123">
        <v>7.1566193695671299E-2</v>
      </c>
    </row>
    <row r="591" spans="2:7" x14ac:dyDescent="0.2">
      <c r="B591" s="120" t="s">
        <v>1481</v>
      </c>
      <c r="C591" s="121" t="s">
        <v>1482</v>
      </c>
      <c r="D591" s="122" t="s">
        <v>3576</v>
      </c>
      <c r="E591" s="122" t="s">
        <v>3619</v>
      </c>
      <c r="F591" s="124">
        <v>3.8</v>
      </c>
      <c r="G591" s="123">
        <v>4.5738309196682821E-2</v>
      </c>
    </row>
    <row r="592" spans="2:7" x14ac:dyDescent="0.2">
      <c r="B592" s="120" t="s">
        <v>1483</v>
      </c>
      <c r="C592" s="121" t="s">
        <v>1484</v>
      </c>
      <c r="D592" s="122" t="s">
        <v>3576</v>
      </c>
      <c r="E592" s="122" t="s">
        <v>3667</v>
      </c>
      <c r="F592" s="124">
        <v>19.37</v>
      </c>
      <c r="G592" s="123">
        <v>-5.8977664648046921E-2</v>
      </c>
    </row>
    <row r="593" spans="2:7" x14ac:dyDescent="0.2">
      <c r="B593" s="120" t="s">
        <v>1485</v>
      </c>
      <c r="C593" s="121" t="s">
        <v>1486</v>
      </c>
      <c r="D593" s="122" t="s">
        <v>3576</v>
      </c>
      <c r="E593" s="122" t="s">
        <v>3584</v>
      </c>
      <c r="F593" s="124">
        <v>7.26</v>
      </c>
      <c r="G593" s="123">
        <v>2.2681956217775027E-2</v>
      </c>
    </row>
    <row r="594" spans="2:7" x14ac:dyDescent="0.2">
      <c r="B594" s="120" t="s">
        <v>1487</v>
      </c>
      <c r="C594" s="121" t="s">
        <v>1488</v>
      </c>
      <c r="D594" s="122" t="s">
        <v>3612</v>
      </c>
      <c r="E594" s="122" t="s">
        <v>3740</v>
      </c>
      <c r="F594" s="124">
        <v>-9.92</v>
      </c>
      <c r="G594" s="123">
        <v>0.5841500106949965</v>
      </c>
    </row>
    <row r="595" spans="2:7" x14ac:dyDescent="0.2">
      <c r="B595" s="120" t="s">
        <v>1489</v>
      </c>
      <c r="C595" s="121" t="s">
        <v>1490</v>
      </c>
      <c r="D595" s="122" t="s">
        <v>3594</v>
      </c>
      <c r="E595" s="122" t="s">
        <v>3751</v>
      </c>
      <c r="F595" s="124"/>
      <c r="G595" s="123">
        <v>0.70501530710033411</v>
      </c>
    </row>
    <row r="596" spans="2:7" x14ac:dyDescent="0.2">
      <c r="B596" s="120" t="s">
        <v>1491</v>
      </c>
      <c r="C596" s="121" t="s">
        <v>1492</v>
      </c>
      <c r="D596" s="122" t="s">
        <v>3576</v>
      </c>
      <c r="E596" s="122" t="s">
        <v>3689</v>
      </c>
      <c r="F596" s="124">
        <v>15.02</v>
      </c>
      <c r="G596" s="123">
        <v>0.24658938528685403</v>
      </c>
    </row>
    <row r="597" spans="2:7" x14ac:dyDescent="0.2">
      <c r="B597" s="120" t="s">
        <v>1493</v>
      </c>
      <c r="C597" s="121" t="s">
        <v>1494</v>
      </c>
      <c r="D597" s="122" t="s">
        <v>3580</v>
      </c>
      <c r="E597" s="122" t="s">
        <v>3649</v>
      </c>
      <c r="F597" s="124"/>
      <c r="G597" s="123">
        <v>9.0951502384737634E-2</v>
      </c>
    </row>
    <row r="598" spans="2:7" x14ac:dyDescent="0.2">
      <c r="B598" s="120" t="s">
        <v>1495</v>
      </c>
      <c r="C598" s="121" t="s">
        <v>1496</v>
      </c>
      <c r="D598" s="122" t="s">
        <v>3612</v>
      </c>
      <c r="E598" s="122" t="s">
        <v>3661</v>
      </c>
      <c r="F598" s="124">
        <v>19.7</v>
      </c>
      <c r="G598" s="123">
        <v>6.7522401198129536E-2</v>
      </c>
    </row>
    <row r="599" spans="2:7" x14ac:dyDescent="0.2">
      <c r="B599" s="120" t="s">
        <v>1497</v>
      </c>
      <c r="C599" s="121" t="s">
        <v>1498</v>
      </c>
      <c r="D599" s="122" t="s">
        <v>3556</v>
      </c>
      <c r="E599" s="122" t="s">
        <v>3704</v>
      </c>
      <c r="F599" s="124">
        <v>22.88</v>
      </c>
      <c r="G599" s="123">
        <v>0.17292030868310015</v>
      </c>
    </row>
    <row r="600" spans="2:7" x14ac:dyDescent="0.2">
      <c r="B600" s="120" t="s">
        <v>1499</v>
      </c>
      <c r="C600" s="121" t="s">
        <v>1500</v>
      </c>
      <c r="D600" s="122" t="s">
        <v>3591</v>
      </c>
      <c r="E600" s="122" t="s">
        <v>3592</v>
      </c>
      <c r="F600" s="124">
        <v>11.79</v>
      </c>
      <c r="G600" s="123">
        <v>5.036659925254222E-3</v>
      </c>
    </row>
    <row r="601" spans="2:7" x14ac:dyDescent="0.2">
      <c r="B601" s="120" t="s">
        <v>1501</v>
      </c>
      <c r="C601" s="121" t="s">
        <v>1502</v>
      </c>
      <c r="D601" s="122" t="s">
        <v>3556</v>
      </c>
      <c r="E601" s="122" t="s">
        <v>3557</v>
      </c>
      <c r="F601" s="124">
        <v>5.59</v>
      </c>
      <c r="G601" s="123">
        <v>0.15129775132890116</v>
      </c>
    </row>
    <row r="602" spans="2:7" x14ac:dyDescent="0.2">
      <c r="B602" s="120" t="s">
        <v>1503</v>
      </c>
      <c r="C602" s="121" t="s">
        <v>1504</v>
      </c>
      <c r="D602" s="122" t="s">
        <v>3610</v>
      </c>
      <c r="E602" s="122" t="s">
        <v>3656</v>
      </c>
      <c r="F602" s="124">
        <v>4.24</v>
      </c>
      <c r="G602" s="123">
        <v>6.8476041815109898E-2</v>
      </c>
    </row>
    <row r="603" spans="2:7" x14ac:dyDescent="0.2">
      <c r="B603" s="120" t="s">
        <v>1505</v>
      </c>
      <c r="C603" s="121" t="s">
        <v>1506</v>
      </c>
      <c r="D603" s="122" t="s">
        <v>3556</v>
      </c>
      <c r="E603" s="122" t="s">
        <v>3752</v>
      </c>
      <c r="F603" s="124">
        <v>-0.33</v>
      </c>
      <c r="G603" s="123">
        <v>2.577505061109402E-2</v>
      </c>
    </row>
    <row r="604" spans="2:7" x14ac:dyDescent="0.2">
      <c r="B604" s="120" t="s">
        <v>1507</v>
      </c>
      <c r="C604" s="121" t="s">
        <v>1508</v>
      </c>
      <c r="D604" s="122" t="s">
        <v>25</v>
      </c>
      <c r="E604" s="122" t="s">
        <v>3694</v>
      </c>
      <c r="F604" s="124">
        <v>3.84</v>
      </c>
      <c r="G604" s="123">
        <v>7.2196413872883863E-2</v>
      </c>
    </row>
    <row r="605" spans="2:7" x14ac:dyDescent="0.2">
      <c r="B605" s="120" t="s">
        <v>1509</v>
      </c>
      <c r="C605" s="121" t="s">
        <v>1510</v>
      </c>
      <c r="D605" s="122" t="s">
        <v>25</v>
      </c>
      <c r="E605" s="122" t="s">
        <v>3731</v>
      </c>
      <c r="F605" s="124">
        <v>-22.7</v>
      </c>
      <c r="G605" s="123">
        <v>0.10523917350848386</v>
      </c>
    </row>
    <row r="606" spans="2:7" x14ac:dyDescent="0.2">
      <c r="B606" s="120" t="s">
        <v>1511</v>
      </c>
      <c r="C606" s="121" t="s">
        <v>1512</v>
      </c>
      <c r="D606" s="122" t="s">
        <v>3582</v>
      </c>
      <c r="E606" s="122" t="s">
        <v>3588</v>
      </c>
      <c r="F606" s="124">
        <v>7.17</v>
      </c>
      <c r="G606" s="123">
        <v>0.15742519136627364</v>
      </c>
    </row>
    <row r="607" spans="2:7" x14ac:dyDescent="0.2">
      <c r="B607" s="120" t="s">
        <v>1513</v>
      </c>
      <c r="C607" s="121" t="s">
        <v>1514</v>
      </c>
      <c r="D607" s="122" t="s">
        <v>3576</v>
      </c>
      <c r="E607" s="122" t="s">
        <v>3667</v>
      </c>
      <c r="F607" s="124">
        <v>10.42</v>
      </c>
      <c r="G607" s="123">
        <v>4.6817086863325384E-2</v>
      </c>
    </row>
    <row r="608" spans="2:7" x14ac:dyDescent="0.2">
      <c r="B608" s="120" t="s">
        <v>1515</v>
      </c>
      <c r="C608" s="121" t="s">
        <v>1516</v>
      </c>
      <c r="D608" s="122" t="s">
        <v>3569</v>
      </c>
      <c r="E608" s="122" t="s">
        <v>3575</v>
      </c>
      <c r="F608" s="124"/>
      <c r="G608" s="123" t="e">
        <v>#DIV/0!</v>
      </c>
    </row>
    <row r="609" spans="2:7" x14ac:dyDescent="0.2">
      <c r="B609" s="120" t="s">
        <v>1517</v>
      </c>
      <c r="C609" s="121" t="s">
        <v>1518</v>
      </c>
      <c r="D609" s="122" t="s">
        <v>3605</v>
      </c>
      <c r="E609" s="122" t="s">
        <v>3653</v>
      </c>
      <c r="F609" s="124">
        <v>3.27</v>
      </c>
      <c r="G609" s="123">
        <v>8.4259754096095874E-2</v>
      </c>
    </row>
    <row r="610" spans="2:7" x14ac:dyDescent="0.2">
      <c r="B610" s="120" t="s">
        <v>1519</v>
      </c>
      <c r="C610" s="121" t="s">
        <v>1520</v>
      </c>
      <c r="D610" s="122" t="s">
        <v>3556</v>
      </c>
      <c r="E610" s="122" t="s">
        <v>3753</v>
      </c>
      <c r="F610" s="124">
        <v>17.760000000000002</v>
      </c>
      <c r="G610" s="123">
        <v>0.12339086124581787</v>
      </c>
    </row>
    <row r="611" spans="2:7" x14ac:dyDescent="0.2">
      <c r="B611" s="120" t="s">
        <v>1521</v>
      </c>
      <c r="C611" s="121" t="s">
        <v>1522</v>
      </c>
      <c r="D611" s="122" t="s">
        <v>3556</v>
      </c>
      <c r="E611" s="122" t="s">
        <v>3560</v>
      </c>
      <c r="F611" s="124"/>
      <c r="G611" s="123">
        <v>-4.861590081046932E-2</v>
      </c>
    </row>
    <row r="612" spans="2:7" x14ac:dyDescent="0.2">
      <c r="B612" s="120" t="s">
        <v>1523</v>
      </c>
      <c r="C612" s="121" t="s">
        <v>1524</v>
      </c>
      <c r="D612" s="122" t="s">
        <v>3582</v>
      </c>
      <c r="E612" s="122" t="s">
        <v>3631</v>
      </c>
      <c r="F612" s="124">
        <v>60.09</v>
      </c>
      <c r="G612" s="123">
        <v>0.42893205939570067</v>
      </c>
    </row>
    <row r="613" spans="2:7" x14ac:dyDescent="0.2">
      <c r="B613" s="120" t="s">
        <v>1525</v>
      </c>
      <c r="C613" s="121" t="s">
        <v>12</v>
      </c>
      <c r="D613" s="122" t="s">
        <v>3679</v>
      </c>
      <c r="E613" s="122" t="s">
        <v>3680</v>
      </c>
      <c r="F613" s="124">
        <v>-4.13</v>
      </c>
      <c r="G613" s="123">
        <v>-3.2323251161452161E-2</v>
      </c>
    </row>
    <row r="614" spans="2:7" x14ac:dyDescent="0.2">
      <c r="B614" s="120" t="s">
        <v>1526</v>
      </c>
      <c r="C614" s="121" t="s">
        <v>1527</v>
      </c>
      <c r="D614" s="122" t="s">
        <v>3558</v>
      </c>
      <c r="E614" s="122" t="s">
        <v>3642</v>
      </c>
      <c r="F614" s="124"/>
      <c r="G614" s="123">
        <v>-5.8374821996029544E-2</v>
      </c>
    </row>
    <row r="615" spans="2:7" x14ac:dyDescent="0.2">
      <c r="B615" s="120" t="s">
        <v>1528</v>
      </c>
      <c r="C615" s="121" t="s">
        <v>1529</v>
      </c>
      <c r="D615" s="122" t="s">
        <v>3576</v>
      </c>
      <c r="E615" s="122" t="s">
        <v>3619</v>
      </c>
      <c r="F615" s="124"/>
      <c r="G615" s="123">
        <v>0.30401309740970428</v>
      </c>
    </row>
    <row r="616" spans="2:7" x14ac:dyDescent="0.2">
      <c r="B616" s="120" t="s">
        <v>1530</v>
      </c>
      <c r="C616" s="121" t="s">
        <v>1531</v>
      </c>
      <c r="D616" s="122" t="s">
        <v>3610</v>
      </c>
      <c r="E616" s="122" t="s">
        <v>3656</v>
      </c>
      <c r="F616" s="124"/>
      <c r="G616" s="123">
        <v>-7.0912933489914245E-2</v>
      </c>
    </row>
    <row r="617" spans="2:7" x14ac:dyDescent="0.2">
      <c r="B617" s="120" t="s">
        <v>1532</v>
      </c>
      <c r="C617" s="121" t="s">
        <v>1533</v>
      </c>
      <c r="D617" s="122" t="s">
        <v>3594</v>
      </c>
      <c r="E617" s="122" t="s">
        <v>3595</v>
      </c>
      <c r="F617" s="124"/>
      <c r="G617" s="123">
        <v>0.13163545659089135</v>
      </c>
    </row>
    <row r="618" spans="2:7" x14ac:dyDescent="0.2">
      <c r="B618" s="120" t="s">
        <v>1534</v>
      </c>
      <c r="C618" s="121" t="s">
        <v>1535</v>
      </c>
      <c r="D618" s="122" t="s">
        <v>3558</v>
      </c>
      <c r="E618" s="122" t="s">
        <v>3567</v>
      </c>
      <c r="F618" s="124"/>
      <c r="G618" s="123">
        <v>-4.6950695372122875E-2</v>
      </c>
    </row>
    <row r="619" spans="2:7" x14ac:dyDescent="0.2">
      <c r="B619" s="120" t="s">
        <v>1536</v>
      </c>
      <c r="C619" s="121" t="s">
        <v>1537</v>
      </c>
      <c r="D619" s="122" t="s">
        <v>3594</v>
      </c>
      <c r="E619" s="122" t="s">
        <v>3754</v>
      </c>
      <c r="F619" s="124">
        <v>-7.41</v>
      </c>
      <c r="G619" s="123">
        <v>-0.20799370349577925</v>
      </c>
    </row>
    <row r="620" spans="2:7" x14ac:dyDescent="0.2">
      <c r="B620" s="120" t="s">
        <v>1538</v>
      </c>
      <c r="C620" s="121" t="s">
        <v>1539</v>
      </c>
      <c r="D620" s="122" t="s">
        <v>3558</v>
      </c>
      <c r="E620" s="122" t="s">
        <v>3642</v>
      </c>
      <c r="F620" s="124">
        <v>7.81</v>
      </c>
      <c r="G620" s="123">
        <v>1.5195736985042037E-2</v>
      </c>
    </row>
    <row r="621" spans="2:7" x14ac:dyDescent="0.2">
      <c r="B621" s="120" t="s">
        <v>1540</v>
      </c>
      <c r="C621" s="121" t="s">
        <v>1541</v>
      </c>
      <c r="D621" s="122" t="s">
        <v>3569</v>
      </c>
      <c r="E621" s="122" t="s">
        <v>3575</v>
      </c>
      <c r="F621" s="124"/>
      <c r="G621" s="123">
        <v>1.0515223962930276</v>
      </c>
    </row>
    <row r="622" spans="2:7" x14ac:dyDescent="0.2">
      <c r="B622" s="120" t="s">
        <v>1542</v>
      </c>
      <c r="C622" s="121" t="s">
        <v>1543</v>
      </c>
      <c r="D622" s="122" t="s">
        <v>3556</v>
      </c>
      <c r="E622" s="122" t="s">
        <v>3682</v>
      </c>
      <c r="F622" s="124">
        <v>0.46</v>
      </c>
      <c r="G622" s="123">
        <v>4.5416480502444623E-2</v>
      </c>
    </row>
    <row r="623" spans="2:7" x14ac:dyDescent="0.2">
      <c r="B623" s="120" t="s">
        <v>1544</v>
      </c>
      <c r="C623" s="121" t="s">
        <v>1545</v>
      </c>
      <c r="D623" s="122" t="s">
        <v>25</v>
      </c>
      <c r="E623" s="122" t="s">
        <v>3712</v>
      </c>
      <c r="F623" s="124">
        <v>4.99</v>
      </c>
      <c r="G623" s="123">
        <v>4.8064326480093511E-2</v>
      </c>
    </row>
    <row r="624" spans="2:7" x14ac:dyDescent="0.2">
      <c r="B624" s="120" t="s">
        <v>1546</v>
      </c>
      <c r="C624" s="121" t="s">
        <v>1547</v>
      </c>
      <c r="D624" s="122" t="s">
        <v>3569</v>
      </c>
      <c r="E624" s="122" t="s">
        <v>3575</v>
      </c>
      <c r="F624" s="124">
        <v>-4.6399999999999997</v>
      </c>
      <c r="G624" s="123">
        <v>9.126646630812996E-3</v>
      </c>
    </row>
    <row r="625" spans="2:7" x14ac:dyDescent="0.2">
      <c r="B625" s="120" t="s">
        <v>1548</v>
      </c>
      <c r="C625" s="121" t="s">
        <v>1549</v>
      </c>
      <c r="D625" s="122" t="s">
        <v>24</v>
      </c>
      <c r="E625" s="122" t="s">
        <v>3633</v>
      </c>
      <c r="F625" s="124">
        <v>-2.27</v>
      </c>
      <c r="G625" s="123">
        <v>3.2947212010530517E-2</v>
      </c>
    </row>
    <row r="626" spans="2:7" x14ac:dyDescent="0.2">
      <c r="B626" s="120" t="s">
        <v>1550</v>
      </c>
      <c r="C626" s="121" t="s">
        <v>1551</v>
      </c>
      <c r="D626" s="122" t="s">
        <v>3563</v>
      </c>
      <c r="E626" s="122" t="s">
        <v>3690</v>
      </c>
      <c r="F626" s="124"/>
      <c r="G626" s="123">
        <v>-6.4630776413626204E-2</v>
      </c>
    </row>
    <row r="627" spans="2:7" x14ac:dyDescent="0.2">
      <c r="B627" s="120" t="s">
        <v>1552</v>
      </c>
      <c r="C627" s="121" t="s">
        <v>1553</v>
      </c>
      <c r="D627" s="122" t="s">
        <v>3576</v>
      </c>
      <c r="E627" s="122" t="s">
        <v>3651</v>
      </c>
      <c r="F627" s="124">
        <v>2.33</v>
      </c>
      <c r="G627" s="123">
        <v>4.9649830390334541E-2</v>
      </c>
    </row>
    <row r="628" spans="2:7" x14ac:dyDescent="0.2">
      <c r="B628" s="120" t="s">
        <v>1554</v>
      </c>
      <c r="C628" s="121" t="s">
        <v>1555</v>
      </c>
      <c r="D628" s="122" t="s">
        <v>24</v>
      </c>
      <c r="E628" s="122" t="s">
        <v>3755</v>
      </c>
      <c r="F628" s="124"/>
      <c r="G628" s="123">
        <v>0.46087824359088081</v>
      </c>
    </row>
    <row r="629" spans="2:7" x14ac:dyDescent="0.2">
      <c r="B629" s="120" t="s">
        <v>1556</v>
      </c>
      <c r="C629" s="121" t="s">
        <v>1557</v>
      </c>
      <c r="D629" s="122" t="s">
        <v>3556</v>
      </c>
      <c r="E629" s="122" t="s">
        <v>3721</v>
      </c>
      <c r="F629" s="124">
        <v>-21</v>
      </c>
      <c r="G629" s="123">
        <v>0.18416783821780039</v>
      </c>
    </row>
    <row r="630" spans="2:7" x14ac:dyDescent="0.2">
      <c r="B630" s="120" t="s">
        <v>1558</v>
      </c>
      <c r="C630" s="121" t="s">
        <v>1559</v>
      </c>
      <c r="D630" s="122" t="s">
        <v>3594</v>
      </c>
      <c r="E630" s="122" t="s">
        <v>3647</v>
      </c>
      <c r="F630" s="124"/>
      <c r="G630" s="123">
        <v>2.0932070633526579E-2</v>
      </c>
    </row>
    <row r="631" spans="2:7" x14ac:dyDescent="0.2">
      <c r="B631" s="120" t="s">
        <v>1560</v>
      </c>
      <c r="C631" s="121" t="s">
        <v>1561</v>
      </c>
      <c r="D631" s="122" t="s">
        <v>3556</v>
      </c>
      <c r="E631" s="122" t="s">
        <v>3756</v>
      </c>
      <c r="F631" s="124">
        <v>27.12</v>
      </c>
      <c r="G631" s="123">
        <v>0.26042007619995805</v>
      </c>
    </row>
    <row r="632" spans="2:7" x14ac:dyDescent="0.2">
      <c r="B632" s="120" t="s">
        <v>1562</v>
      </c>
      <c r="C632" s="121" t="s">
        <v>1563</v>
      </c>
      <c r="D632" s="122" t="s">
        <v>3612</v>
      </c>
      <c r="E632" s="122" t="s">
        <v>3739</v>
      </c>
      <c r="F632" s="124">
        <v>8.61</v>
      </c>
      <c r="G632" s="123">
        <v>7.3902115461980292E-2</v>
      </c>
    </row>
    <row r="633" spans="2:7" x14ac:dyDescent="0.2">
      <c r="B633" s="120" t="s">
        <v>1564</v>
      </c>
      <c r="C633" s="121" t="s">
        <v>1565</v>
      </c>
      <c r="D633" s="122" t="s">
        <v>3569</v>
      </c>
      <c r="E633" s="122" t="s">
        <v>3575</v>
      </c>
      <c r="F633" s="124">
        <v>67.78</v>
      </c>
      <c r="G633" s="123">
        <v>1.4439660222612771</v>
      </c>
    </row>
    <row r="634" spans="2:7" x14ac:dyDescent="0.2">
      <c r="B634" s="120" t="s">
        <v>1566</v>
      </c>
      <c r="C634" s="121" t="s">
        <v>1567</v>
      </c>
      <c r="D634" s="122" t="s">
        <v>3576</v>
      </c>
      <c r="E634" s="122" t="s">
        <v>3619</v>
      </c>
      <c r="F634" s="124">
        <v>16.440000000000001</v>
      </c>
      <c r="G634" s="123">
        <v>9.1249599802979892E-2</v>
      </c>
    </row>
    <row r="635" spans="2:7" x14ac:dyDescent="0.2">
      <c r="B635" s="120" t="s">
        <v>1568</v>
      </c>
      <c r="C635" s="121" t="s">
        <v>1569</v>
      </c>
      <c r="D635" s="122" t="s">
        <v>3556</v>
      </c>
      <c r="E635" s="122" t="s">
        <v>3624</v>
      </c>
      <c r="F635" s="124">
        <v>4.4800000000000004</v>
      </c>
      <c r="G635" s="123">
        <v>2.3106731620903456E-2</v>
      </c>
    </row>
    <row r="636" spans="2:7" x14ac:dyDescent="0.2">
      <c r="B636" s="120" t="s">
        <v>1570</v>
      </c>
      <c r="C636" s="121" t="s">
        <v>1571</v>
      </c>
      <c r="D636" s="122" t="s">
        <v>3610</v>
      </c>
      <c r="E636" s="122" t="s">
        <v>3745</v>
      </c>
      <c r="F636" s="124">
        <v>-1.55</v>
      </c>
      <c r="G636" s="123">
        <v>-8.0957282946500821E-3</v>
      </c>
    </row>
    <row r="637" spans="2:7" x14ac:dyDescent="0.2">
      <c r="B637" s="120" t="s">
        <v>1572</v>
      </c>
      <c r="C637" s="121" t="s">
        <v>1573</v>
      </c>
      <c r="D637" s="122" t="s">
        <v>3569</v>
      </c>
      <c r="E637" s="122" t="s">
        <v>3574</v>
      </c>
      <c r="F637" s="124">
        <v>10.01</v>
      </c>
      <c r="G637" s="123">
        <v>8.5810090186122859E-2</v>
      </c>
    </row>
    <row r="638" spans="2:7" x14ac:dyDescent="0.2">
      <c r="B638" s="120" t="s">
        <v>1574</v>
      </c>
      <c r="C638" s="121" t="s">
        <v>1575</v>
      </c>
      <c r="D638" s="122" t="s">
        <v>3569</v>
      </c>
      <c r="E638" s="122" t="s">
        <v>3572</v>
      </c>
      <c r="F638" s="124">
        <v>11.17</v>
      </c>
      <c r="G638" s="123">
        <v>0.11251197125708623</v>
      </c>
    </row>
    <row r="639" spans="2:7" x14ac:dyDescent="0.2">
      <c r="B639" s="120" t="s">
        <v>1576</v>
      </c>
      <c r="C639" s="121" t="s">
        <v>1577</v>
      </c>
      <c r="D639" s="122" t="s">
        <v>3556</v>
      </c>
      <c r="E639" s="122" t="s">
        <v>3757</v>
      </c>
      <c r="F639" s="124">
        <v>10.14</v>
      </c>
      <c r="G639" s="123">
        <v>7.5822615717632241E-2</v>
      </c>
    </row>
    <row r="640" spans="2:7" x14ac:dyDescent="0.2">
      <c r="B640" s="120" t="s">
        <v>1578</v>
      </c>
      <c r="C640" s="121" t="s">
        <v>1579</v>
      </c>
      <c r="D640" s="122" t="s">
        <v>3610</v>
      </c>
      <c r="E640" s="122" t="s">
        <v>3611</v>
      </c>
      <c r="F640" s="124">
        <v>7.17</v>
      </c>
      <c r="G640" s="123">
        <v>2.8518156439811163E-2</v>
      </c>
    </row>
    <row r="641" spans="2:7" x14ac:dyDescent="0.2">
      <c r="B641" s="120" t="s">
        <v>1580</v>
      </c>
      <c r="C641" s="121" t="s">
        <v>1581</v>
      </c>
      <c r="D641" s="122" t="s">
        <v>3594</v>
      </c>
      <c r="E641" s="122" t="s">
        <v>3595</v>
      </c>
      <c r="F641" s="124">
        <v>-6.22</v>
      </c>
      <c r="G641" s="123">
        <v>0.22258910534308998</v>
      </c>
    </row>
    <row r="642" spans="2:7" x14ac:dyDescent="0.2">
      <c r="B642" s="120" t="s">
        <v>1582</v>
      </c>
      <c r="C642" s="121" t="s">
        <v>1583</v>
      </c>
      <c r="D642" s="122" t="s">
        <v>3556</v>
      </c>
      <c r="E642" s="122" t="s">
        <v>3607</v>
      </c>
      <c r="F642" s="124">
        <v>20.36</v>
      </c>
      <c r="G642" s="123">
        <v>-3.2261372689465648E-2</v>
      </c>
    </row>
    <row r="643" spans="2:7" x14ac:dyDescent="0.2">
      <c r="B643" s="120" t="s">
        <v>1584</v>
      </c>
      <c r="C643" s="121" t="s">
        <v>13</v>
      </c>
      <c r="D643" s="122" t="s">
        <v>3563</v>
      </c>
      <c r="E643" s="122" t="s">
        <v>3676</v>
      </c>
      <c r="F643" s="124"/>
      <c r="G643" s="123">
        <v>0.20356610838995104</v>
      </c>
    </row>
    <row r="644" spans="2:7" x14ac:dyDescent="0.2">
      <c r="B644" s="120" t="s">
        <v>1585</v>
      </c>
      <c r="C644" s="121" t="s">
        <v>1586</v>
      </c>
      <c r="D644" s="122" t="s">
        <v>3610</v>
      </c>
      <c r="E644" s="122" t="s">
        <v>3684</v>
      </c>
      <c r="F644" s="124">
        <v>5.03</v>
      </c>
      <c r="G644" s="123">
        <v>4.8368426165474786E-2</v>
      </c>
    </row>
    <row r="645" spans="2:7" x14ac:dyDescent="0.2">
      <c r="B645" s="120" t="s">
        <v>1587</v>
      </c>
      <c r="C645" s="121" t="s">
        <v>1588</v>
      </c>
      <c r="D645" s="122" t="s">
        <v>3558</v>
      </c>
      <c r="E645" s="122" t="s">
        <v>3644</v>
      </c>
      <c r="F645" s="124">
        <v>8.33</v>
      </c>
      <c r="G645" s="123">
        <v>1.9037373401959084E-2</v>
      </c>
    </row>
    <row r="646" spans="2:7" x14ac:dyDescent="0.2">
      <c r="B646" s="120" t="s">
        <v>1589</v>
      </c>
      <c r="C646" s="121" t="s">
        <v>1590</v>
      </c>
      <c r="D646" s="122" t="s">
        <v>3582</v>
      </c>
      <c r="E646" s="122" t="s">
        <v>3590</v>
      </c>
      <c r="F646" s="124">
        <v>8.27</v>
      </c>
      <c r="G646" s="123">
        <v>0.32848610818181001</v>
      </c>
    </row>
    <row r="647" spans="2:7" x14ac:dyDescent="0.2">
      <c r="B647" s="120" t="s">
        <v>1591</v>
      </c>
      <c r="C647" s="121" t="s">
        <v>1592</v>
      </c>
      <c r="D647" s="122" t="s">
        <v>3563</v>
      </c>
      <c r="E647" s="122" t="s">
        <v>3676</v>
      </c>
      <c r="F647" s="124">
        <v>0.43</v>
      </c>
      <c r="G647" s="123">
        <v>-1.0809333534378769E-2</v>
      </c>
    </row>
    <row r="648" spans="2:7" x14ac:dyDescent="0.2">
      <c r="B648" s="120" t="s">
        <v>1593</v>
      </c>
      <c r="C648" s="121" t="s">
        <v>1594</v>
      </c>
      <c r="D648" s="122" t="s">
        <v>3594</v>
      </c>
      <c r="E648" s="122" t="s">
        <v>3637</v>
      </c>
      <c r="F648" s="124">
        <v>-13.44</v>
      </c>
      <c r="G648" s="123">
        <v>3.5867719062160415E-2</v>
      </c>
    </row>
    <row r="649" spans="2:7" x14ac:dyDescent="0.2">
      <c r="B649" s="120" t="s">
        <v>1595</v>
      </c>
      <c r="C649" s="121" t="s">
        <v>1596</v>
      </c>
      <c r="D649" s="122" t="s">
        <v>3569</v>
      </c>
      <c r="E649" s="122" t="s">
        <v>3722</v>
      </c>
      <c r="F649" s="124">
        <v>6.39</v>
      </c>
      <c r="G649" s="123">
        <v>4.8754704304880048E-2</v>
      </c>
    </row>
    <row r="650" spans="2:7" x14ac:dyDescent="0.2">
      <c r="B650" s="120" t="s">
        <v>1597</v>
      </c>
      <c r="C650" s="121" t="s">
        <v>1598</v>
      </c>
      <c r="D650" s="122" t="s">
        <v>3556</v>
      </c>
      <c r="E650" s="122" t="s">
        <v>3733</v>
      </c>
      <c r="F650" s="124">
        <v>4.38</v>
      </c>
      <c r="G650" s="123">
        <v>7.5807751595248898E-2</v>
      </c>
    </row>
    <row r="651" spans="2:7" x14ac:dyDescent="0.2">
      <c r="B651" s="120" t="s">
        <v>1599</v>
      </c>
      <c r="C651" s="121" t="s">
        <v>1600</v>
      </c>
      <c r="D651" s="122" t="s">
        <v>3556</v>
      </c>
      <c r="E651" s="122" t="s">
        <v>3753</v>
      </c>
      <c r="F651" s="124">
        <v>40.36</v>
      </c>
      <c r="G651" s="123">
        <v>0.35903743819867773</v>
      </c>
    </row>
    <row r="652" spans="2:7" x14ac:dyDescent="0.2">
      <c r="B652" s="120" t="s">
        <v>1601</v>
      </c>
      <c r="C652" s="121" t="s">
        <v>1602</v>
      </c>
      <c r="D652" s="122" t="s">
        <v>3576</v>
      </c>
      <c r="E652" s="122" t="s">
        <v>3620</v>
      </c>
      <c r="F652" s="124">
        <v>2.58</v>
      </c>
      <c r="G652" s="123">
        <v>-3.2473850229407908E-2</v>
      </c>
    </row>
    <row r="653" spans="2:7" x14ac:dyDescent="0.2">
      <c r="B653" s="120" t="s">
        <v>1603</v>
      </c>
      <c r="C653" s="121" t="s">
        <v>1604</v>
      </c>
      <c r="D653" s="122" t="s">
        <v>3569</v>
      </c>
      <c r="E653" s="122" t="s">
        <v>3570</v>
      </c>
      <c r="F653" s="124">
        <v>1.97</v>
      </c>
      <c r="G653" s="123">
        <v>5.5562694610341015E-3</v>
      </c>
    </row>
    <row r="654" spans="2:7" x14ac:dyDescent="0.2">
      <c r="B654" s="120" t="s">
        <v>1605</v>
      </c>
      <c r="C654" s="121" t="s">
        <v>1606</v>
      </c>
      <c r="D654" s="122" t="s">
        <v>3610</v>
      </c>
      <c r="E654" s="122" t="s">
        <v>3672</v>
      </c>
      <c r="F654" s="124">
        <v>-3.58</v>
      </c>
      <c r="G654" s="123">
        <v>-2.1330902100161524E-2</v>
      </c>
    </row>
    <row r="655" spans="2:7" x14ac:dyDescent="0.2">
      <c r="B655" s="120" t="s">
        <v>1607</v>
      </c>
      <c r="C655" s="121" t="s">
        <v>1608</v>
      </c>
      <c r="D655" s="122" t="s">
        <v>3569</v>
      </c>
      <c r="E655" s="122" t="s">
        <v>3572</v>
      </c>
      <c r="F655" s="124">
        <v>-11.04</v>
      </c>
      <c r="G655" s="123">
        <v>22.968524332810045</v>
      </c>
    </row>
    <row r="656" spans="2:7" x14ac:dyDescent="0.2">
      <c r="B656" s="120" t="s">
        <v>1609</v>
      </c>
      <c r="C656" s="121" t="s">
        <v>1610</v>
      </c>
      <c r="D656" s="122" t="s">
        <v>3561</v>
      </c>
      <c r="E656" s="122" t="s">
        <v>3706</v>
      </c>
      <c r="F656" s="124">
        <v>8</v>
      </c>
      <c r="G656" s="123">
        <v>3.4604330331480921E-3</v>
      </c>
    </row>
    <row r="657" spans="2:7" x14ac:dyDescent="0.2">
      <c r="B657" s="120" t="s">
        <v>1611</v>
      </c>
      <c r="C657" s="121" t="s">
        <v>1612</v>
      </c>
      <c r="D657" s="122" t="s">
        <v>3556</v>
      </c>
      <c r="E657" s="122" t="s">
        <v>3723</v>
      </c>
      <c r="F657" s="124">
        <v>18.95</v>
      </c>
      <c r="G657" s="123">
        <v>6.5926811302136262E-2</v>
      </c>
    </row>
    <row r="658" spans="2:7" x14ac:dyDescent="0.2">
      <c r="B658" s="120" t="s">
        <v>1613</v>
      </c>
      <c r="C658" s="121" t="s">
        <v>1614</v>
      </c>
      <c r="D658" s="122" t="s">
        <v>3558</v>
      </c>
      <c r="E658" s="122" t="s">
        <v>3638</v>
      </c>
      <c r="F658" s="124">
        <v>2.93</v>
      </c>
      <c r="G658" s="123">
        <v>2.684602530968724E-2</v>
      </c>
    </row>
    <row r="659" spans="2:7" x14ac:dyDescent="0.2">
      <c r="B659" s="120" t="s">
        <v>1615</v>
      </c>
      <c r="C659" s="121" t="s">
        <v>1616</v>
      </c>
      <c r="D659" s="122" t="s">
        <v>25</v>
      </c>
      <c r="E659" s="122" t="s">
        <v>3703</v>
      </c>
      <c r="F659" s="124">
        <v>1.38</v>
      </c>
      <c r="G659" s="123">
        <v>0.10520564211944324</v>
      </c>
    </row>
    <row r="660" spans="2:7" x14ac:dyDescent="0.2">
      <c r="B660" s="120" t="s">
        <v>1617</v>
      </c>
      <c r="C660" s="121" t="s">
        <v>1618</v>
      </c>
      <c r="D660" s="122" t="s">
        <v>3569</v>
      </c>
      <c r="E660" s="122" t="s">
        <v>3572</v>
      </c>
      <c r="F660" s="124">
        <v>0.92</v>
      </c>
      <c r="G660" s="123">
        <v>4.0935095806031538E-2</v>
      </c>
    </row>
    <row r="661" spans="2:7" x14ac:dyDescent="0.2">
      <c r="B661" s="120" t="s">
        <v>1619</v>
      </c>
      <c r="C661" s="121" t="s">
        <v>1620</v>
      </c>
      <c r="D661" s="122" t="s">
        <v>3612</v>
      </c>
      <c r="E661" s="122" t="s">
        <v>3661</v>
      </c>
      <c r="F661" s="124">
        <v>-6.1</v>
      </c>
      <c r="G661" s="123">
        <v>-2.5043954573869591E-2</v>
      </c>
    </row>
    <row r="662" spans="2:7" x14ac:dyDescent="0.2">
      <c r="B662" s="120" t="s">
        <v>1621</v>
      </c>
      <c r="C662" s="121" t="s">
        <v>1622</v>
      </c>
      <c r="D662" s="122" t="s">
        <v>25</v>
      </c>
      <c r="E662" s="122" t="s">
        <v>3645</v>
      </c>
      <c r="F662" s="124">
        <v>3.04</v>
      </c>
      <c r="G662" s="123">
        <v>8.8817448931686999E-2</v>
      </c>
    </row>
    <row r="663" spans="2:7" x14ac:dyDescent="0.2">
      <c r="B663" s="120" t="s">
        <v>1623</v>
      </c>
      <c r="C663" s="121" t="s">
        <v>1624</v>
      </c>
      <c r="D663" s="122" t="s">
        <v>3576</v>
      </c>
      <c r="E663" s="122" t="s">
        <v>3636</v>
      </c>
      <c r="F663" s="124">
        <v>17.079999999999998</v>
      </c>
      <c r="G663" s="123">
        <v>-0.11097076280834915</v>
      </c>
    </row>
    <row r="664" spans="2:7" x14ac:dyDescent="0.2">
      <c r="B664" s="120" t="s">
        <v>1625</v>
      </c>
      <c r="C664" s="121" t="s">
        <v>1626</v>
      </c>
      <c r="D664" s="122" t="s">
        <v>25</v>
      </c>
      <c r="E664" s="122" t="s">
        <v>3712</v>
      </c>
      <c r="F664" s="124">
        <v>6.25</v>
      </c>
      <c r="G664" s="123">
        <v>1.9252051746335888E-2</v>
      </c>
    </row>
    <row r="665" spans="2:7" x14ac:dyDescent="0.2">
      <c r="B665" s="120" t="s">
        <v>1627</v>
      </c>
      <c r="C665" s="121" t="s">
        <v>1628</v>
      </c>
      <c r="D665" s="122" t="s">
        <v>3569</v>
      </c>
      <c r="E665" s="122" t="s">
        <v>3758</v>
      </c>
      <c r="F665" s="124">
        <v>5.92</v>
      </c>
      <c r="G665" s="123">
        <v>9.1739758553463141E-2</v>
      </c>
    </row>
    <row r="666" spans="2:7" x14ac:dyDescent="0.2">
      <c r="B666" s="120" t="s">
        <v>1629</v>
      </c>
      <c r="C666" s="121" t="s">
        <v>1630</v>
      </c>
      <c r="D666" s="122" t="s">
        <v>3594</v>
      </c>
      <c r="E666" s="122" t="s">
        <v>3602</v>
      </c>
      <c r="F666" s="124">
        <v>11.63</v>
      </c>
      <c r="G666" s="123">
        <v>-2.8935578124924992E-3</v>
      </c>
    </row>
    <row r="667" spans="2:7" x14ac:dyDescent="0.2">
      <c r="B667" s="120" t="s">
        <v>1631</v>
      </c>
      <c r="C667" s="121" t="s">
        <v>1632</v>
      </c>
      <c r="D667" s="122" t="s">
        <v>3576</v>
      </c>
      <c r="E667" s="122" t="s">
        <v>3619</v>
      </c>
      <c r="F667" s="124">
        <v>-7.28</v>
      </c>
      <c r="G667" s="123">
        <v>4.8427180522989707E-2</v>
      </c>
    </row>
    <row r="668" spans="2:7" x14ac:dyDescent="0.2">
      <c r="B668" s="120" t="s">
        <v>1633</v>
      </c>
      <c r="C668" s="121" t="s">
        <v>1634</v>
      </c>
      <c r="D668" s="122" t="s">
        <v>3563</v>
      </c>
      <c r="E668" s="122" t="s">
        <v>3747</v>
      </c>
      <c r="F668" s="124">
        <v>6.66</v>
      </c>
      <c r="G668" s="123">
        <v>2.3271723612099438E-2</v>
      </c>
    </row>
    <row r="669" spans="2:7" x14ac:dyDescent="0.2">
      <c r="B669" s="120" t="s">
        <v>1635</v>
      </c>
      <c r="C669" s="121" t="s">
        <v>1636</v>
      </c>
      <c r="D669" s="122" t="s">
        <v>3576</v>
      </c>
      <c r="E669" s="122" t="s">
        <v>3626</v>
      </c>
      <c r="F669" s="124">
        <v>15.82</v>
      </c>
      <c r="G669" s="123">
        <v>-0.32625198623656848</v>
      </c>
    </row>
    <row r="670" spans="2:7" x14ac:dyDescent="0.2">
      <c r="B670" s="120" t="s">
        <v>1637</v>
      </c>
      <c r="C670" s="121" t="s">
        <v>1638</v>
      </c>
      <c r="D670" s="122" t="s">
        <v>3558</v>
      </c>
      <c r="E670" s="122" t="s">
        <v>3638</v>
      </c>
      <c r="F670" s="124">
        <v>-10.34</v>
      </c>
      <c r="G670" s="123">
        <v>2.2200929386472664E-2</v>
      </c>
    </row>
    <row r="671" spans="2:7" x14ac:dyDescent="0.2">
      <c r="B671" s="120" t="s">
        <v>1639</v>
      </c>
      <c r="C671" s="121" t="s">
        <v>1640</v>
      </c>
      <c r="D671" s="122" t="s">
        <v>3591</v>
      </c>
      <c r="E671" s="122" t="s">
        <v>3592</v>
      </c>
      <c r="F671" s="124">
        <v>-1.86</v>
      </c>
      <c r="G671" s="123">
        <v>1.8249838334760696E-2</v>
      </c>
    </row>
    <row r="672" spans="2:7" x14ac:dyDescent="0.2">
      <c r="B672" s="120" t="s">
        <v>1641</v>
      </c>
      <c r="C672" s="121" t="s">
        <v>1642</v>
      </c>
      <c r="D672" s="122" t="s">
        <v>25</v>
      </c>
      <c r="E672" s="122" t="s">
        <v>3666</v>
      </c>
      <c r="F672" s="124"/>
      <c r="G672" s="123">
        <v>-9.8237542948398111E-4</v>
      </c>
    </row>
    <row r="673" spans="2:7" x14ac:dyDescent="0.2">
      <c r="B673" s="120" t="s">
        <v>1643</v>
      </c>
      <c r="C673" s="121" t="s">
        <v>1644</v>
      </c>
      <c r="D673" s="122" t="s">
        <v>3605</v>
      </c>
      <c r="E673" s="122" t="s">
        <v>3606</v>
      </c>
      <c r="F673" s="124">
        <v>13.31</v>
      </c>
      <c r="G673" s="123">
        <v>0.14544755642058366</v>
      </c>
    </row>
    <row r="674" spans="2:7" x14ac:dyDescent="0.2">
      <c r="B674" s="120" t="s">
        <v>1645</v>
      </c>
      <c r="C674" s="121" t="s">
        <v>1646</v>
      </c>
      <c r="D674" s="122" t="s">
        <v>24</v>
      </c>
      <c r="E674" s="122" t="s">
        <v>3573</v>
      </c>
      <c r="F674" s="124"/>
      <c r="G674" s="123">
        <v>9.40975186992489E-3</v>
      </c>
    </row>
    <row r="675" spans="2:7" x14ac:dyDescent="0.2">
      <c r="B675" s="120" t="s">
        <v>1647</v>
      </c>
      <c r="C675" s="121" t="s">
        <v>1648</v>
      </c>
      <c r="D675" s="122" t="s">
        <v>24</v>
      </c>
      <c r="E675" s="122" t="s">
        <v>3713</v>
      </c>
      <c r="F675" s="124">
        <v>2.58</v>
      </c>
      <c r="G675" s="123">
        <v>1.2882421762618668E-2</v>
      </c>
    </row>
    <row r="676" spans="2:7" x14ac:dyDescent="0.2">
      <c r="B676" s="120" t="s">
        <v>1649</v>
      </c>
      <c r="C676" s="121" t="s">
        <v>1650</v>
      </c>
      <c r="D676" s="122" t="s">
        <v>24</v>
      </c>
      <c r="E676" s="122" t="s">
        <v>3701</v>
      </c>
      <c r="F676" s="124">
        <v>3.17</v>
      </c>
      <c r="G676" s="123">
        <v>-3.604279701152379E-2</v>
      </c>
    </row>
    <row r="677" spans="2:7" x14ac:dyDescent="0.2">
      <c r="B677" s="120" t="s">
        <v>1651</v>
      </c>
      <c r="C677" s="121" t="s">
        <v>1652</v>
      </c>
      <c r="D677" s="122" t="s">
        <v>3612</v>
      </c>
      <c r="E677" s="122" t="s">
        <v>3613</v>
      </c>
      <c r="F677" s="124">
        <v>-13.37</v>
      </c>
      <c r="G677" s="123">
        <v>3.0791546551190853E-2</v>
      </c>
    </row>
    <row r="678" spans="2:7" x14ac:dyDescent="0.2">
      <c r="B678" s="120" t="s">
        <v>1653</v>
      </c>
      <c r="C678" s="121" t="s">
        <v>1654</v>
      </c>
      <c r="D678" s="122" t="s">
        <v>3612</v>
      </c>
      <c r="E678" s="122" t="s">
        <v>3739</v>
      </c>
      <c r="F678" s="124">
        <v>0.28999999999999998</v>
      </c>
      <c r="G678" s="123">
        <v>-9.2040642021555975E-3</v>
      </c>
    </row>
    <row r="679" spans="2:7" x14ac:dyDescent="0.2">
      <c r="B679" s="120" t="s">
        <v>1655</v>
      </c>
      <c r="C679" s="121" t="s">
        <v>1656</v>
      </c>
      <c r="D679" s="122" t="s">
        <v>3576</v>
      </c>
      <c r="E679" s="122" t="s">
        <v>3663</v>
      </c>
      <c r="F679" s="124">
        <v>15.09</v>
      </c>
      <c r="G679" s="123">
        <v>0.23061606891239403</v>
      </c>
    </row>
    <row r="680" spans="2:7" x14ac:dyDescent="0.2">
      <c r="B680" s="120" t="s">
        <v>1657</v>
      </c>
      <c r="C680" s="121" t="s">
        <v>1658</v>
      </c>
      <c r="D680" s="122" t="s">
        <v>3576</v>
      </c>
      <c r="E680" s="122" t="s">
        <v>3593</v>
      </c>
      <c r="F680" s="124">
        <v>0.4</v>
      </c>
      <c r="G680" s="123">
        <v>8.0648863624373457E-2</v>
      </c>
    </row>
    <row r="681" spans="2:7" x14ac:dyDescent="0.2">
      <c r="B681" s="120" t="s">
        <v>1659</v>
      </c>
      <c r="C681" s="121" t="s">
        <v>1660</v>
      </c>
      <c r="D681" s="122" t="s">
        <v>3605</v>
      </c>
      <c r="E681" s="122" t="s">
        <v>3653</v>
      </c>
      <c r="F681" s="124">
        <v>4.13</v>
      </c>
      <c r="G681" s="123">
        <v>7.130745596868894E-2</v>
      </c>
    </row>
    <row r="682" spans="2:7" x14ac:dyDescent="0.2">
      <c r="B682" s="120" t="s">
        <v>1661</v>
      </c>
      <c r="C682" s="121" t="s">
        <v>1662</v>
      </c>
      <c r="D682" s="122" t="s">
        <v>3610</v>
      </c>
      <c r="E682" s="122" t="s">
        <v>3656</v>
      </c>
      <c r="F682" s="124">
        <v>3.82</v>
      </c>
      <c r="G682" s="123">
        <v>-1</v>
      </c>
    </row>
    <row r="683" spans="2:7" x14ac:dyDescent="0.2">
      <c r="B683" s="120" t="s">
        <v>1663</v>
      </c>
      <c r="C683" s="121" t="s">
        <v>1664</v>
      </c>
      <c r="D683" s="122" t="s">
        <v>3576</v>
      </c>
      <c r="E683" s="122" t="s">
        <v>3619</v>
      </c>
      <c r="F683" s="124">
        <v>4.04</v>
      </c>
      <c r="G683" s="123">
        <v>1.3746607780231361E-2</v>
      </c>
    </row>
    <row r="684" spans="2:7" x14ac:dyDescent="0.2">
      <c r="B684" s="120" t="s">
        <v>1665</v>
      </c>
      <c r="C684" s="121" t="s">
        <v>1666</v>
      </c>
      <c r="D684" s="122" t="s">
        <v>3569</v>
      </c>
      <c r="E684" s="122" t="s">
        <v>3722</v>
      </c>
      <c r="F684" s="124"/>
      <c r="G684" s="123">
        <v>4.415454106280188E-2</v>
      </c>
    </row>
    <row r="685" spans="2:7" x14ac:dyDescent="0.2">
      <c r="B685" s="120" t="s">
        <v>1667</v>
      </c>
      <c r="C685" s="121" t="s">
        <v>1668</v>
      </c>
      <c r="D685" s="122" t="s">
        <v>3576</v>
      </c>
      <c r="E685" s="122" t="s">
        <v>3689</v>
      </c>
      <c r="F685" s="124"/>
      <c r="G685" s="123">
        <v>-1</v>
      </c>
    </row>
    <row r="686" spans="2:7" x14ac:dyDescent="0.2">
      <c r="B686" s="120" t="s">
        <v>1669</v>
      </c>
      <c r="C686" s="121" t="s">
        <v>1670</v>
      </c>
      <c r="D686" s="122" t="s">
        <v>3563</v>
      </c>
      <c r="E686" s="122" t="s">
        <v>3725</v>
      </c>
      <c r="F686" s="124">
        <v>-0.15</v>
      </c>
      <c r="G686" s="123">
        <v>-5.9896152745411053E-3</v>
      </c>
    </row>
    <row r="687" spans="2:7" x14ac:dyDescent="0.2">
      <c r="B687" s="120" t="s">
        <v>1671</v>
      </c>
      <c r="C687" s="121" t="s">
        <v>1672</v>
      </c>
      <c r="D687" s="122" t="s">
        <v>3576</v>
      </c>
      <c r="E687" s="122" t="s">
        <v>3651</v>
      </c>
      <c r="F687" s="124">
        <v>13.83</v>
      </c>
      <c r="G687" s="123">
        <v>1.6460858178330613E-2</v>
      </c>
    </row>
    <row r="688" spans="2:7" x14ac:dyDescent="0.2">
      <c r="B688" s="120" t="s">
        <v>1673</v>
      </c>
      <c r="C688" s="121" t="s">
        <v>1674</v>
      </c>
      <c r="D688" s="122" t="s">
        <v>3558</v>
      </c>
      <c r="E688" s="122" t="s">
        <v>3567</v>
      </c>
      <c r="F688" s="124"/>
      <c r="G688" s="123">
        <v>5.4742569234378959E-2</v>
      </c>
    </row>
    <row r="689" spans="2:7" x14ac:dyDescent="0.2">
      <c r="B689" s="120" t="s">
        <v>1675</v>
      </c>
      <c r="C689" s="121" t="s">
        <v>1676</v>
      </c>
      <c r="D689" s="122" t="s">
        <v>3576</v>
      </c>
      <c r="E689" s="122" t="s">
        <v>3604</v>
      </c>
      <c r="F689" s="124"/>
      <c r="G689" s="123">
        <v>0.18650170513125539</v>
      </c>
    </row>
    <row r="690" spans="2:7" x14ac:dyDescent="0.2">
      <c r="B690" s="120" t="s">
        <v>1677</v>
      </c>
      <c r="C690" s="121" t="s">
        <v>1678</v>
      </c>
      <c r="D690" s="122" t="s">
        <v>25</v>
      </c>
      <c r="E690" s="122" t="s">
        <v>3703</v>
      </c>
      <c r="F690" s="124">
        <v>-5.1100000000000003</v>
      </c>
      <c r="G690" s="123">
        <v>6.33685549068045E-2</v>
      </c>
    </row>
    <row r="691" spans="2:7" x14ac:dyDescent="0.2">
      <c r="B691" s="120" t="s">
        <v>1679</v>
      </c>
      <c r="C691" s="121" t="s">
        <v>1680</v>
      </c>
      <c r="D691" s="122" t="s">
        <v>3569</v>
      </c>
      <c r="E691" s="122" t="s">
        <v>3570</v>
      </c>
      <c r="F691" s="124">
        <v>5.0599999999999996</v>
      </c>
      <c r="G691" s="123">
        <v>-0.12527991516244849</v>
      </c>
    </row>
    <row r="692" spans="2:7" x14ac:dyDescent="0.2">
      <c r="B692" s="120" t="s">
        <v>1681</v>
      </c>
      <c r="C692" s="121" t="s">
        <v>1682</v>
      </c>
      <c r="D692" s="122" t="s">
        <v>3610</v>
      </c>
      <c r="E692" s="122" t="s">
        <v>3656</v>
      </c>
      <c r="F692" s="124">
        <v>5.43</v>
      </c>
      <c r="G692" s="123">
        <v>-4.9483342354560568E-2</v>
      </c>
    </row>
    <row r="693" spans="2:7" x14ac:dyDescent="0.2">
      <c r="B693" s="120" t="s">
        <v>1683</v>
      </c>
      <c r="C693" s="121" t="s">
        <v>1684</v>
      </c>
      <c r="D693" s="122" t="s">
        <v>3569</v>
      </c>
      <c r="E693" s="122" t="s">
        <v>3697</v>
      </c>
      <c r="F693" s="124">
        <v>7.31</v>
      </c>
      <c r="G693" s="123">
        <v>7.5657273228701818E-2</v>
      </c>
    </row>
    <row r="694" spans="2:7" x14ac:dyDescent="0.2">
      <c r="B694" s="120" t="s">
        <v>1685</v>
      </c>
      <c r="C694" s="121" t="s">
        <v>1686</v>
      </c>
      <c r="D694" s="122" t="s">
        <v>3591</v>
      </c>
      <c r="E694" s="122" t="s">
        <v>3592</v>
      </c>
      <c r="F694" s="124">
        <v>0.43</v>
      </c>
      <c r="G694" s="123">
        <v>1.3704060951307565E-2</v>
      </c>
    </row>
    <row r="695" spans="2:7" x14ac:dyDescent="0.2">
      <c r="B695" s="120" t="s">
        <v>1687</v>
      </c>
      <c r="C695" s="121" t="s">
        <v>1688</v>
      </c>
      <c r="D695" s="122" t="s">
        <v>3556</v>
      </c>
      <c r="E695" s="122" t="s">
        <v>3733</v>
      </c>
      <c r="F695" s="124">
        <v>4.25</v>
      </c>
      <c r="G695" s="123">
        <v>4.0808897289216141E-2</v>
      </c>
    </row>
    <row r="696" spans="2:7" x14ac:dyDescent="0.2">
      <c r="B696" s="120" t="s">
        <v>1689</v>
      </c>
      <c r="C696" s="121" t="s">
        <v>1690</v>
      </c>
      <c r="D696" s="122" t="s">
        <v>3610</v>
      </c>
      <c r="E696" s="122" t="s">
        <v>3745</v>
      </c>
      <c r="F696" s="124">
        <v>-2.4900000000000002</v>
      </c>
      <c r="G696" s="123">
        <v>-0.19126398140244338</v>
      </c>
    </row>
    <row r="697" spans="2:7" x14ac:dyDescent="0.2">
      <c r="B697" s="120" t="s">
        <v>1691</v>
      </c>
      <c r="C697" s="121" t="s">
        <v>1692</v>
      </c>
      <c r="D697" s="122" t="s">
        <v>3569</v>
      </c>
      <c r="E697" s="122" t="s">
        <v>3574</v>
      </c>
      <c r="F697" s="124">
        <v>6.11</v>
      </c>
      <c r="G697" s="123">
        <v>3.9899310109077372E-2</v>
      </c>
    </row>
    <row r="698" spans="2:7" x14ac:dyDescent="0.2">
      <c r="B698" s="120" t="s">
        <v>1693</v>
      </c>
      <c r="C698" s="121" t="s">
        <v>1694</v>
      </c>
      <c r="D698" s="122" t="s">
        <v>3576</v>
      </c>
      <c r="E698" s="122" t="s">
        <v>3671</v>
      </c>
      <c r="F698" s="124">
        <v>19.7</v>
      </c>
      <c r="G698" s="123">
        <v>-0.16315659731032739</v>
      </c>
    </row>
    <row r="699" spans="2:7" x14ac:dyDescent="0.2">
      <c r="B699" s="120" t="s">
        <v>1695</v>
      </c>
      <c r="C699" s="121" t="s">
        <v>1696</v>
      </c>
      <c r="D699" s="122" t="s">
        <v>3679</v>
      </c>
      <c r="E699" s="122" t="s">
        <v>3680</v>
      </c>
      <c r="F699" s="124">
        <v>0.88</v>
      </c>
      <c r="G699" s="123">
        <v>-0.11400321754939954</v>
      </c>
    </row>
    <row r="700" spans="2:7" x14ac:dyDescent="0.2">
      <c r="B700" s="120" t="s">
        <v>1697</v>
      </c>
      <c r="C700" s="121" t="s">
        <v>1698</v>
      </c>
      <c r="D700" s="122" t="s">
        <v>3612</v>
      </c>
      <c r="E700" s="122" t="s">
        <v>3759</v>
      </c>
      <c r="F700" s="124">
        <v>-7.71</v>
      </c>
      <c r="G700" s="123">
        <v>0.12937440647778489</v>
      </c>
    </row>
    <row r="701" spans="2:7" x14ac:dyDescent="0.2">
      <c r="B701" s="120" t="s">
        <v>1699</v>
      </c>
      <c r="C701" s="121" t="s">
        <v>1700</v>
      </c>
      <c r="D701" s="122" t="s">
        <v>3556</v>
      </c>
      <c r="E701" s="122" t="s">
        <v>3760</v>
      </c>
      <c r="F701" s="124">
        <v>-13.5</v>
      </c>
      <c r="G701" s="123">
        <v>-4.5378250032412831E-2</v>
      </c>
    </row>
    <row r="702" spans="2:7" x14ac:dyDescent="0.2">
      <c r="B702" s="120" t="s">
        <v>1701</v>
      </c>
      <c r="C702" s="121" t="s">
        <v>1702</v>
      </c>
      <c r="D702" s="122" t="s">
        <v>3576</v>
      </c>
      <c r="E702" s="122" t="s">
        <v>3619</v>
      </c>
      <c r="F702" s="124">
        <v>27.35</v>
      </c>
      <c r="G702" s="123">
        <v>6.6233779962109871E-2</v>
      </c>
    </row>
    <row r="703" spans="2:7" x14ac:dyDescent="0.2">
      <c r="B703" s="120" t="s">
        <v>1703</v>
      </c>
      <c r="C703" s="121" t="s">
        <v>1704</v>
      </c>
      <c r="D703" s="122" t="s">
        <v>3556</v>
      </c>
      <c r="E703" s="122" t="s">
        <v>3566</v>
      </c>
      <c r="F703" s="124">
        <v>-14.87</v>
      </c>
      <c r="G703" s="123">
        <v>2.2960374196197043E-3</v>
      </c>
    </row>
    <row r="704" spans="2:7" x14ac:dyDescent="0.2">
      <c r="B704" s="120" t="s">
        <v>1705</v>
      </c>
      <c r="C704" s="121" t="s">
        <v>1706</v>
      </c>
      <c r="D704" s="122" t="s">
        <v>3576</v>
      </c>
      <c r="E704" s="122" t="s">
        <v>3619</v>
      </c>
      <c r="F704" s="124">
        <v>6.66</v>
      </c>
      <c r="G704" s="123">
        <v>-1.1985809791940936E-2</v>
      </c>
    </row>
    <row r="705" spans="2:7" x14ac:dyDescent="0.2">
      <c r="B705" s="120" t="s">
        <v>1707</v>
      </c>
      <c r="C705" s="121" t="s">
        <v>1708</v>
      </c>
      <c r="D705" s="122" t="s">
        <v>3569</v>
      </c>
      <c r="E705" s="122" t="s">
        <v>3718</v>
      </c>
      <c r="F705" s="124">
        <v>33.54</v>
      </c>
      <c r="G705" s="123">
        <v>0.20112794179083698</v>
      </c>
    </row>
    <row r="706" spans="2:7" x14ac:dyDescent="0.2">
      <c r="B706" s="120" t="s">
        <v>1709</v>
      </c>
      <c r="C706" s="121" t="s">
        <v>1710</v>
      </c>
      <c r="D706" s="122" t="s">
        <v>25</v>
      </c>
      <c r="E706" s="122" t="s">
        <v>3662</v>
      </c>
      <c r="F706" s="124">
        <v>0.23</v>
      </c>
      <c r="G706" s="123">
        <v>2.4379943648865213E-2</v>
      </c>
    </row>
    <row r="707" spans="2:7" x14ac:dyDescent="0.2">
      <c r="B707" s="120" t="s">
        <v>1711</v>
      </c>
      <c r="C707" s="121" t="s">
        <v>1712</v>
      </c>
      <c r="D707" s="122" t="s">
        <v>3569</v>
      </c>
      <c r="E707" s="122" t="s">
        <v>3572</v>
      </c>
      <c r="F707" s="124">
        <v>12.26</v>
      </c>
      <c r="G707" s="123">
        <v>0.16787736475542611</v>
      </c>
    </row>
    <row r="708" spans="2:7" x14ac:dyDescent="0.2">
      <c r="B708" s="120" t="s">
        <v>1713</v>
      </c>
      <c r="C708" s="121" t="s">
        <v>1714</v>
      </c>
      <c r="D708" s="122" t="s">
        <v>3576</v>
      </c>
      <c r="E708" s="122" t="s">
        <v>3604</v>
      </c>
      <c r="F708" s="124"/>
      <c r="G708" s="123">
        <v>0.25953707407407417</v>
      </c>
    </row>
    <row r="709" spans="2:7" x14ac:dyDescent="0.2">
      <c r="B709" s="120" t="s">
        <v>1715</v>
      </c>
      <c r="C709" s="121" t="s">
        <v>1716</v>
      </c>
      <c r="D709" s="122" t="s">
        <v>24</v>
      </c>
      <c r="E709" s="122" t="s">
        <v>3761</v>
      </c>
      <c r="F709" s="124">
        <v>0.39</v>
      </c>
      <c r="G709" s="123">
        <v>-3.8372974218759829E-3</v>
      </c>
    </row>
    <row r="710" spans="2:7" x14ac:dyDescent="0.2">
      <c r="B710" s="120" t="s">
        <v>1717</v>
      </c>
      <c r="C710" s="121" t="s">
        <v>1718</v>
      </c>
      <c r="D710" s="122" t="s">
        <v>3576</v>
      </c>
      <c r="E710" s="122" t="s">
        <v>3626</v>
      </c>
      <c r="F710" s="124">
        <v>-7.39</v>
      </c>
      <c r="G710" s="123">
        <v>3.8253721643733793E-2</v>
      </c>
    </row>
    <row r="711" spans="2:7" x14ac:dyDescent="0.2">
      <c r="B711" s="120" t="s">
        <v>1719</v>
      </c>
      <c r="C711" s="121" t="s">
        <v>1720</v>
      </c>
      <c r="D711" s="122" t="s">
        <v>3569</v>
      </c>
      <c r="E711" s="122" t="s">
        <v>3571</v>
      </c>
      <c r="F711" s="124">
        <v>5.39</v>
      </c>
      <c r="G711" s="123">
        <v>-0.2444558892592032</v>
      </c>
    </row>
    <row r="712" spans="2:7" x14ac:dyDescent="0.2">
      <c r="B712" s="120" t="s">
        <v>1721</v>
      </c>
      <c r="C712" s="121" t="s">
        <v>1722</v>
      </c>
      <c r="D712" s="122" t="s">
        <v>3576</v>
      </c>
      <c r="E712" s="122" t="s">
        <v>3626</v>
      </c>
      <c r="F712" s="124"/>
      <c r="G712" s="123">
        <v>-1</v>
      </c>
    </row>
    <row r="713" spans="2:7" x14ac:dyDescent="0.2">
      <c r="B713" s="120" t="s">
        <v>1723</v>
      </c>
      <c r="C713" s="121" t="s">
        <v>1724</v>
      </c>
      <c r="D713" s="122" t="s">
        <v>3576</v>
      </c>
      <c r="E713" s="122" t="s">
        <v>3619</v>
      </c>
      <c r="F713" s="124">
        <v>0.64</v>
      </c>
      <c r="G713" s="123">
        <v>-6.2751755973931593E-3</v>
      </c>
    </row>
    <row r="714" spans="2:7" x14ac:dyDescent="0.2">
      <c r="B714" s="120" t="s">
        <v>1725</v>
      </c>
      <c r="C714" s="121" t="s">
        <v>1726</v>
      </c>
      <c r="D714" s="122" t="s">
        <v>24</v>
      </c>
      <c r="E714" s="122" t="s">
        <v>3762</v>
      </c>
      <c r="F714" s="124">
        <v>1.26</v>
      </c>
      <c r="G714" s="123">
        <v>2.1106623352119828E-2</v>
      </c>
    </row>
    <row r="715" spans="2:7" x14ac:dyDescent="0.2">
      <c r="B715" s="120" t="s">
        <v>1727</v>
      </c>
      <c r="C715" s="121" t="s">
        <v>1728</v>
      </c>
      <c r="D715" s="122" t="s">
        <v>3576</v>
      </c>
      <c r="E715" s="122" t="s">
        <v>3619</v>
      </c>
      <c r="F715" s="124">
        <v>17.95</v>
      </c>
      <c r="G715" s="123">
        <v>-7.2971870826930643E-3</v>
      </c>
    </row>
    <row r="716" spans="2:7" x14ac:dyDescent="0.2">
      <c r="B716" s="120" t="s">
        <v>1729</v>
      </c>
      <c r="C716" s="121" t="s">
        <v>1730</v>
      </c>
      <c r="D716" s="122" t="s">
        <v>3679</v>
      </c>
      <c r="E716" s="122" t="s">
        <v>3680</v>
      </c>
      <c r="F716" s="124"/>
      <c r="G716" s="123">
        <v>-2.4325577267565002E-2</v>
      </c>
    </row>
    <row r="717" spans="2:7" x14ac:dyDescent="0.2">
      <c r="B717" s="120" t="s">
        <v>1731</v>
      </c>
      <c r="C717" s="121" t="s">
        <v>1732</v>
      </c>
      <c r="D717" s="122" t="s">
        <v>25</v>
      </c>
      <c r="E717" s="122" t="s">
        <v>3703</v>
      </c>
      <c r="F717" s="124">
        <v>16.34</v>
      </c>
      <c r="G717" s="123">
        <v>9.1565015099134936E-2</v>
      </c>
    </row>
    <row r="718" spans="2:7" x14ac:dyDescent="0.2">
      <c r="B718" s="120" t="s">
        <v>1733</v>
      </c>
      <c r="C718" s="121" t="s">
        <v>1734</v>
      </c>
      <c r="D718" s="122" t="s">
        <v>3558</v>
      </c>
      <c r="E718" s="122" t="s">
        <v>3763</v>
      </c>
      <c r="F718" s="124">
        <v>6.87</v>
      </c>
      <c r="G718" s="123">
        <v>4.5608150924872394E-2</v>
      </c>
    </row>
    <row r="719" spans="2:7" x14ac:dyDescent="0.2">
      <c r="B719" s="120" t="s">
        <v>1735</v>
      </c>
      <c r="C719" s="121" t="s">
        <v>1736</v>
      </c>
      <c r="D719" s="122" t="s">
        <v>3556</v>
      </c>
      <c r="E719" s="122" t="s">
        <v>3630</v>
      </c>
      <c r="F719" s="124">
        <v>43.89</v>
      </c>
      <c r="G719" s="123">
        <v>0.29605436859136802</v>
      </c>
    </row>
    <row r="720" spans="2:7" x14ac:dyDescent="0.2">
      <c r="B720" s="120" t="s">
        <v>1737</v>
      </c>
      <c r="C720" s="121" t="s">
        <v>1738</v>
      </c>
      <c r="D720" s="122" t="s">
        <v>3569</v>
      </c>
      <c r="E720" s="122" t="s">
        <v>3625</v>
      </c>
      <c r="F720" s="124">
        <v>3.42</v>
      </c>
      <c r="G720" s="123">
        <v>0.13296899160106831</v>
      </c>
    </row>
    <row r="721" spans="2:7" x14ac:dyDescent="0.2">
      <c r="B721" s="120" t="s">
        <v>1739</v>
      </c>
      <c r="C721" s="121" t="s">
        <v>1740</v>
      </c>
      <c r="D721" s="122" t="s">
        <v>3594</v>
      </c>
      <c r="E721" s="122" t="s">
        <v>3602</v>
      </c>
      <c r="F721" s="124">
        <v>-5.08</v>
      </c>
      <c r="G721" s="123">
        <v>-6.8898207698048816E-2</v>
      </c>
    </row>
    <row r="722" spans="2:7" x14ac:dyDescent="0.2">
      <c r="B722" s="120" t="s">
        <v>1741</v>
      </c>
      <c r="C722" s="121" t="s">
        <v>1742</v>
      </c>
      <c r="D722" s="122" t="s">
        <v>3576</v>
      </c>
      <c r="E722" s="122" t="s">
        <v>3603</v>
      </c>
      <c r="F722" s="124">
        <v>6.2</v>
      </c>
      <c r="G722" s="123">
        <v>-4.4939402883271716E-2</v>
      </c>
    </row>
    <row r="723" spans="2:7" x14ac:dyDescent="0.2">
      <c r="B723" s="120" t="s">
        <v>1743</v>
      </c>
      <c r="C723" s="121" t="s">
        <v>1744</v>
      </c>
      <c r="D723" s="122" t="s">
        <v>25</v>
      </c>
      <c r="E723" s="122" t="s">
        <v>3738</v>
      </c>
      <c r="F723" s="124"/>
      <c r="G723" s="123">
        <v>9.9558794258796435E-2</v>
      </c>
    </row>
    <row r="724" spans="2:7" x14ac:dyDescent="0.2">
      <c r="B724" s="120" t="s">
        <v>1745</v>
      </c>
      <c r="C724" s="121" t="s">
        <v>1746</v>
      </c>
      <c r="D724" s="122" t="s">
        <v>3605</v>
      </c>
      <c r="E724" s="122" t="s">
        <v>3606</v>
      </c>
      <c r="F724" s="124">
        <v>4.47</v>
      </c>
      <c r="G724" s="123">
        <v>0.10922294550271813</v>
      </c>
    </row>
    <row r="725" spans="2:7" x14ac:dyDescent="0.2">
      <c r="B725" s="120" t="s">
        <v>1747</v>
      </c>
      <c r="C725" s="121" t="s">
        <v>1748</v>
      </c>
      <c r="D725" s="122" t="s">
        <v>3569</v>
      </c>
      <c r="E725" s="122" t="s">
        <v>3575</v>
      </c>
      <c r="F725" s="124">
        <v>34.83</v>
      </c>
      <c r="G725" s="123">
        <v>6.1656897736777252E-2</v>
      </c>
    </row>
    <row r="726" spans="2:7" x14ac:dyDescent="0.2">
      <c r="B726" s="120" t="s">
        <v>1749</v>
      </c>
      <c r="C726" s="121" t="s">
        <v>1750</v>
      </c>
      <c r="D726" s="122" t="s">
        <v>3556</v>
      </c>
      <c r="E726" s="122" t="s">
        <v>3744</v>
      </c>
      <c r="F726" s="124">
        <v>-3.44</v>
      </c>
      <c r="G726" s="123">
        <v>-5.403599405882871E-2</v>
      </c>
    </row>
    <row r="727" spans="2:7" x14ac:dyDescent="0.2">
      <c r="B727" s="120" t="s">
        <v>1751</v>
      </c>
      <c r="C727" s="121" t="s">
        <v>1752</v>
      </c>
      <c r="D727" s="122" t="s">
        <v>3563</v>
      </c>
      <c r="E727" s="122" t="s">
        <v>3622</v>
      </c>
      <c r="F727" s="124">
        <v>7.52</v>
      </c>
      <c r="G727" s="123">
        <v>0.1227434510390838</v>
      </c>
    </row>
    <row r="728" spans="2:7" x14ac:dyDescent="0.2">
      <c r="B728" s="120" t="s">
        <v>1753</v>
      </c>
      <c r="C728" s="121" t="s">
        <v>1754</v>
      </c>
      <c r="D728" s="122" t="s">
        <v>3569</v>
      </c>
      <c r="E728" s="122" t="s">
        <v>3574</v>
      </c>
      <c r="F728" s="124">
        <v>12.36</v>
      </c>
      <c r="G728" s="123">
        <v>3.3597314661378358E-2</v>
      </c>
    </row>
    <row r="729" spans="2:7" x14ac:dyDescent="0.2">
      <c r="B729" s="120" t="s">
        <v>1755</v>
      </c>
      <c r="C729" s="121" t="s">
        <v>1756</v>
      </c>
      <c r="D729" s="122" t="s">
        <v>3576</v>
      </c>
      <c r="E729" s="122" t="s">
        <v>3671</v>
      </c>
      <c r="F729" s="124">
        <v>18.16</v>
      </c>
      <c r="G729" s="123">
        <v>-9.7097199077274654E-2</v>
      </c>
    </row>
    <row r="730" spans="2:7" x14ac:dyDescent="0.2">
      <c r="B730" s="120" t="s">
        <v>1757</v>
      </c>
      <c r="C730" s="121" t="s">
        <v>1758</v>
      </c>
      <c r="D730" s="122" t="s">
        <v>3576</v>
      </c>
      <c r="E730" s="122" t="s">
        <v>3620</v>
      </c>
      <c r="F730" s="124">
        <v>23.15</v>
      </c>
      <c r="G730" s="123">
        <v>-0.17836010143702452</v>
      </c>
    </row>
    <row r="731" spans="2:7" x14ac:dyDescent="0.2">
      <c r="B731" s="120" t="s">
        <v>1759</v>
      </c>
      <c r="C731" s="121" t="s">
        <v>1760</v>
      </c>
      <c r="D731" s="122" t="s">
        <v>3556</v>
      </c>
      <c r="E731" s="122" t="s">
        <v>3760</v>
      </c>
      <c r="F731" s="124">
        <v>-3.24</v>
      </c>
      <c r="G731" s="123">
        <v>-2.2379748589664648E-2</v>
      </c>
    </row>
    <row r="732" spans="2:7" x14ac:dyDescent="0.2">
      <c r="B732" s="120" t="s">
        <v>1761</v>
      </c>
      <c r="C732" s="121" t="s">
        <v>1762</v>
      </c>
      <c r="D732" s="122" t="s">
        <v>3576</v>
      </c>
      <c r="E732" s="122" t="s">
        <v>3626</v>
      </c>
      <c r="F732" s="124">
        <v>3.43</v>
      </c>
      <c r="G732" s="123">
        <v>-0.37036325580280627</v>
      </c>
    </row>
    <row r="733" spans="2:7" x14ac:dyDescent="0.2">
      <c r="B733" s="120" t="s">
        <v>1763</v>
      </c>
      <c r="C733" s="121" t="s">
        <v>1764</v>
      </c>
      <c r="D733" s="122" t="s">
        <v>3576</v>
      </c>
      <c r="E733" s="122" t="s">
        <v>3688</v>
      </c>
      <c r="F733" s="124">
        <v>10.96</v>
      </c>
      <c r="G733" s="123">
        <v>-0.17626673040152963</v>
      </c>
    </row>
    <row r="734" spans="2:7" x14ac:dyDescent="0.2">
      <c r="B734" s="120" t="s">
        <v>1765</v>
      </c>
      <c r="C734" s="121" t="s">
        <v>1766</v>
      </c>
      <c r="D734" s="122" t="s">
        <v>3594</v>
      </c>
      <c r="E734" s="122" t="s">
        <v>3637</v>
      </c>
      <c r="F734" s="124">
        <v>0.17</v>
      </c>
      <c r="G734" s="123">
        <v>-7.5666018718502275E-3</v>
      </c>
    </row>
    <row r="735" spans="2:7" x14ac:dyDescent="0.2">
      <c r="B735" s="120" t="s">
        <v>1767</v>
      </c>
      <c r="C735" s="121" t="s">
        <v>1768</v>
      </c>
      <c r="D735" s="122" t="s">
        <v>3569</v>
      </c>
      <c r="E735" s="122" t="s">
        <v>3718</v>
      </c>
      <c r="F735" s="124">
        <v>13.26</v>
      </c>
      <c r="G735" s="123">
        <v>8.2392225073003034E-2</v>
      </c>
    </row>
    <row r="736" spans="2:7" x14ac:dyDescent="0.2">
      <c r="B736" s="120" t="s">
        <v>1769</v>
      </c>
      <c r="C736" s="121" t="s">
        <v>1770</v>
      </c>
      <c r="D736" s="122" t="s">
        <v>3569</v>
      </c>
      <c r="E736" s="122" t="s">
        <v>3572</v>
      </c>
      <c r="F736" s="124">
        <v>52.44</v>
      </c>
      <c r="G736" s="123">
        <v>-0.15091711665380986</v>
      </c>
    </row>
    <row r="737" spans="2:7" x14ac:dyDescent="0.2">
      <c r="B737" s="120" t="s">
        <v>1771</v>
      </c>
      <c r="C737" s="121" t="s">
        <v>1772</v>
      </c>
      <c r="D737" s="122" t="s">
        <v>3591</v>
      </c>
      <c r="E737" s="122" t="s">
        <v>3592</v>
      </c>
      <c r="F737" s="124">
        <v>2.1800000000000002</v>
      </c>
      <c r="G737" s="123">
        <v>-1</v>
      </c>
    </row>
    <row r="738" spans="2:7" x14ac:dyDescent="0.2">
      <c r="B738" s="120" t="s">
        <v>1773</v>
      </c>
      <c r="C738" s="121" t="s">
        <v>1774</v>
      </c>
      <c r="D738" s="122" t="s">
        <v>3563</v>
      </c>
      <c r="E738" s="122" t="s">
        <v>3676</v>
      </c>
      <c r="F738" s="124">
        <v>7.94</v>
      </c>
      <c r="G738" s="123">
        <v>2.6949556802834815E-2</v>
      </c>
    </row>
    <row r="739" spans="2:7" x14ac:dyDescent="0.2">
      <c r="B739" s="120" t="s">
        <v>1775</v>
      </c>
      <c r="C739" s="121" t="s">
        <v>1776</v>
      </c>
      <c r="D739" s="122" t="s">
        <v>3569</v>
      </c>
      <c r="E739" s="122" t="s">
        <v>3574</v>
      </c>
      <c r="F739" s="124">
        <v>10.53</v>
      </c>
      <c r="G739" s="123">
        <v>8.2232378775008705E-2</v>
      </c>
    </row>
    <row r="740" spans="2:7" x14ac:dyDescent="0.2">
      <c r="B740" s="120" t="s">
        <v>1777</v>
      </c>
      <c r="C740" s="121" t="s">
        <v>1778</v>
      </c>
      <c r="D740" s="122" t="s">
        <v>3558</v>
      </c>
      <c r="E740" s="122" t="s">
        <v>3642</v>
      </c>
      <c r="F740" s="124">
        <v>4.53</v>
      </c>
      <c r="G740" s="123">
        <v>2.9970539564434826E-2</v>
      </c>
    </row>
    <row r="741" spans="2:7" x14ac:dyDescent="0.2">
      <c r="B741" s="120" t="s">
        <v>1779</v>
      </c>
      <c r="C741" s="121" t="s">
        <v>1780</v>
      </c>
      <c r="D741" s="122" t="s">
        <v>24</v>
      </c>
      <c r="E741" s="122" t="s">
        <v>3589</v>
      </c>
      <c r="F741" s="124">
        <v>7.58</v>
      </c>
      <c r="G741" s="123">
        <v>0.29820691180981218</v>
      </c>
    </row>
    <row r="742" spans="2:7" x14ac:dyDescent="0.2">
      <c r="B742" s="120" t="s">
        <v>1781</v>
      </c>
      <c r="C742" s="121" t="s">
        <v>1782</v>
      </c>
      <c r="D742" s="122" t="s">
        <v>3556</v>
      </c>
      <c r="E742" s="122" t="s">
        <v>3616</v>
      </c>
      <c r="F742" s="124">
        <v>11.54</v>
      </c>
      <c r="G742" s="123">
        <v>-1</v>
      </c>
    </row>
    <row r="743" spans="2:7" x14ac:dyDescent="0.2">
      <c r="B743" s="120" t="s">
        <v>1783</v>
      </c>
      <c r="C743" s="121" t="s">
        <v>1784</v>
      </c>
      <c r="D743" s="122" t="s">
        <v>25</v>
      </c>
      <c r="E743" s="122" t="s">
        <v>3703</v>
      </c>
      <c r="F743" s="124"/>
      <c r="G743" s="123">
        <v>1.479048111743404</v>
      </c>
    </row>
    <row r="744" spans="2:7" x14ac:dyDescent="0.2">
      <c r="B744" s="120" t="s">
        <v>1785</v>
      </c>
      <c r="C744" s="121" t="s">
        <v>1786</v>
      </c>
      <c r="D744" s="122" t="s">
        <v>3558</v>
      </c>
      <c r="E744" s="122" t="s">
        <v>3642</v>
      </c>
      <c r="F744" s="124"/>
      <c r="G744" s="123">
        <v>-9.4360239742145025E-2</v>
      </c>
    </row>
    <row r="745" spans="2:7" x14ac:dyDescent="0.2">
      <c r="B745" s="120" t="s">
        <v>1787</v>
      </c>
      <c r="C745" s="121" t="s">
        <v>1788</v>
      </c>
      <c r="D745" s="122" t="s">
        <v>3582</v>
      </c>
      <c r="E745" s="122" t="s">
        <v>3664</v>
      </c>
      <c r="F745" s="124"/>
      <c r="G745" s="123">
        <v>-9.4248684154221093E-3</v>
      </c>
    </row>
    <row r="746" spans="2:7" x14ac:dyDescent="0.2">
      <c r="B746" s="120" t="s">
        <v>1789</v>
      </c>
      <c r="C746" s="121" t="s">
        <v>1790</v>
      </c>
      <c r="D746" s="122" t="s">
        <v>3569</v>
      </c>
      <c r="E746" s="122" t="s">
        <v>3575</v>
      </c>
      <c r="F746" s="124">
        <v>14.63</v>
      </c>
      <c r="G746" s="123">
        <v>5.9403813381338114E-2</v>
      </c>
    </row>
    <row r="747" spans="2:7" x14ac:dyDescent="0.2">
      <c r="B747" s="120" t="s">
        <v>1791</v>
      </c>
      <c r="C747" s="121" t="s">
        <v>1792</v>
      </c>
      <c r="D747" s="122" t="s">
        <v>24</v>
      </c>
      <c r="E747" s="122" t="s">
        <v>3675</v>
      </c>
      <c r="F747" s="124"/>
      <c r="G747" s="123">
        <v>-0.71707110170642285</v>
      </c>
    </row>
    <row r="748" spans="2:7" x14ac:dyDescent="0.2">
      <c r="B748" s="120" t="s">
        <v>1793</v>
      </c>
      <c r="C748" s="121" t="s">
        <v>1794</v>
      </c>
      <c r="D748" s="122" t="s">
        <v>3580</v>
      </c>
      <c r="E748" s="122" t="s">
        <v>3581</v>
      </c>
      <c r="F748" s="124"/>
      <c r="G748" s="123">
        <v>4.2381644154217683E-2</v>
      </c>
    </row>
    <row r="749" spans="2:7" x14ac:dyDescent="0.2">
      <c r="B749" s="120" t="s">
        <v>1795</v>
      </c>
      <c r="C749" s="121" t="s">
        <v>1796</v>
      </c>
      <c r="D749" s="122" t="s">
        <v>3569</v>
      </c>
      <c r="E749" s="122" t="s">
        <v>3575</v>
      </c>
      <c r="F749" s="124"/>
      <c r="G749" s="123">
        <v>29.092592592592592</v>
      </c>
    </row>
    <row r="750" spans="2:7" x14ac:dyDescent="0.2">
      <c r="B750" s="120" t="s">
        <v>1797</v>
      </c>
      <c r="C750" s="121" t="s">
        <v>1798</v>
      </c>
      <c r="D750" s="122" t="s">
        <v>3612</v>
      </c>
      <c r="E750" s="122" t="s">
        <v>3724</v>
      </c>
      <c r="F750" s="124">
        <v>-1.18</v>
      </c>
      <c r="G750" s="123">
        <v>3.3472119273450195E-2</v>
      </c>
    </row>
    <row r="751" spans="2:7" x14ac:dyDescent="0.2">
      <c r="B751" s="120" t="s">
        <v>1799</v>
      </c>
      <c r="C751" s="121" t="s">
        <v>1800</v>
      </c>
      <c r="D751" s="122" t="s">
        <v>3594</v>
      </c>
      <c r="E751" s="122" t="s">
        <v>3647</v>
      </c>
      <c r="F751" s="124"/>
      <c r="G751" s="123">
        <v>-1</v>
      </c>
    </row>
    <row r="752" spans="2:7" x14ac:dyDescent="0.2">
      <c r="B752" s="120" t="s">
        <v>1801</v>
      </c>
      <c r="C752" s="121" t="s">
        <v>1802</v>
      </c>
      <c r="D752" s="122" t="s">
        <v>3569</v>
      </c>
      <c r="E752" s="122" t="s">
        <v>3575</v>
      </c>
      <c r="F752" s="124">
        <v>37.35</v>
      </c>
      <c r="G752" s="123">
        <v>0.12034934746104951</v>
      </c>
    </row>
    <row r="753" spans="2:7" x14ac:dyDescent="0.2">
      <c r="B753" s="120" t="s">
        <v>1803</v>
      </c>
      <c r="C753" s="121" t="s">
        <v>1804</v>
      </c>
      <c r="D753" s="122" t="s">
        <v>3582</v>
      </c>
      <c r="E753" s="122" t="s">
        <v>3664</v>
      </c>
      <c r="F753" s="124">
        <v>45.65</v>
      </c>
      <c r="G753" s="123">
        <v>0.10877403721440694</v>
      </c>
    </row>
    <row r="754" spans="2:7" x14ac:dyDescent="0.2">
      <c r="B754" s="120" t="s">
        <v>1805</v>
      </c>
      <c r="C754" s="121" t="s">
        <v>1806</v>
      </c>
      <c r="D754" s="122" t="s">
        <v>3556</v>
      </c>
      <c r="E754" s="122" t="s">
        <v>3614</v>
      </c>
      <c r="F754" s="124">
        <v>7.67</v>
      </c>
      <c r="G754" s="123">
        <v>9.2178677006525989E-2</v>
      </c>
    </row>
    <row r="755" spans="2:7" x14ac:dyDescent="0.2">
      <c r="B755" s="120" t="s">
        <v>1807</v>
      </c>
      <c r="C755" s="121" t="s">
        <v>1808</v>
      </c>
      <c r="D755" s="122" t="s">
        <v>3576</v>
      </c>
      <c r="E755" s="122" t="s">
        <v>3626</v>
      </c>
      <c r="F755" s="124">
        <v>-3.15</v>
      </c>
      <c r="G755" s="123">
        <v>-4.4467706637868087E-2</v>
      </c>
    </row>
    <row r="756" spans="2:7" x14ac:dyDescent="0.2">
      <c r="B756" s="120" t="s">
        <v>1809</v>
      </c>
      <c r="C756" s="121" t="s">
        <v>1810</v>
      </c>
      <c r="D756" s="122" t="s">
        <v>24</v>
      </c>
      <c r="E756" s="122" t="s">
        <v>3633</v>
      </c>
      <c r="F756" s="124">
        <v>1.22</v>
      </c>
      <c r="G756" s="123">
        <v>-8.2668136428685021E-2</v>
      </c>
    </row>
    <row r="757" spans="2:7" x14ac:dyDescent="0.2">
      <c r="B757" s="120" t="s">
        <v>1811</v>
      </c>
      <c r="C757" s="121" t="s">
        <v>1812</v>
      </c>
      <c r="D757" s="122" t="s">
        <v>3556</v>
      </c>
      <c r="E757" s="122" t="s">
        <v>3764</v>
      </c>
      <c r="F757" s="124">
        <v>6.19</v>
      </c>
      <c r="G757" s="123">
        <v>-2.0844911924119226E-2</v>
      </c>
    </row>
    <row r="758" spans="2:7" x14ac:dyDescent="0.2">
      <c r="B758" s="120" t="s">
        <v>1813</v>
      </c>
      <c r="C758" s="121" t="s">
        <v>1814</v>
      </c>
      <c r="D758" s="122" t="s">
        <v>3556</v>
      </c>
      <c r="E758" s="122" t="s">
        <v>3579</v>
      </c>
      <c r="F758" s="124">
        <v>10.06</v>
      </c>
      <c r="G758" s="123">
        <v>0.10619188679245278</v>
      </c>
    </row>
    <row r="759" spans="2:7" x14ac:dyDescent="0.2">
      <c r="B759" s="120" t="s">
        <v>1815</v>
      </c>
      <c r="C759" s="121" t="s">
        <v>1816</v>
      </c>
      <c r="D759" s="122" t="s">
        <v>3576</v>
      </c>
      <c r="E759" s="122" t="s">
        <v>3689</v>
      </c>
      <c r="F759" s="124">
        <v>37.67</v>
      </c>
      <c r="G759" s="123">
        <v>3.1672250081255446E-2</v>
      </c>
    </row>
    <row r="760" spans="2:7" x14ac:dyDescent="0.2">
      <c r="B760" s="120" t="s">
        <v>1817</v>
      </c>
      <c r="C760" s="121" t="s">
        <v>1818</v>
      </c>
      <c r="D760" s="122" t="s">
        <v>3569</v>
      </c>
      <c r="E760" s="122" t="s">
        <v>3722</v>
      </c>
      <c r="F760" s="124">
        <v>33.51</v>
      </c>
      <c r="G760" s="123">
        <v>0.33103378524855342</v>
      </c>
    </row>
    <row r="761" spans="2:7" x14ac:dyDescent="0.2">
      <c r="B761" s="120" t="s">
        <v>1819</v>
      </c>
      <c r="C761" s="121" t="s">
        <v>1820</v>
      </c>
      <c r="D761" s="122" t="s">
        <v>3594</v>
      </c>
      <c r="E761" s="122" t="s">
        <v>3732</v>
      </c>
      <c r="F761" s="124">
        <v>-1.56</v>
      </c>
      <c r="G761" s="123">
        <v>-1.9016445121427982E-2</v>
      </c>
    </row>
    <row r="762" spans="2:7" x14ac:dyDescent="0.2">
      <c r="B762" s="120" t="s">
        <v>1821</v>
      </c>
      <c r="C762" s="121" t="s">
        <v>1822</v>
      </c>
      <c r="D762" s="122" t="s">
        <v>3582</v>
      </c>
      <c r="E762" s="122" t="s">
        <v>3765</v>
      </c>
      <c r="F762" s="124">
        <v>5.92</v>
      </c>
      <c r="G762" s="123">
        <v>-0.1087705097587086</v>
      </c>
    </row>
    <row r="763" spans="2:7" x14ac:dyDescent="0.2">
      <c r="B763" s="120" t="s">
        <v>1823</v>
      </c>
      <c r="C763" s="121" t="s">
        <v>1824</v>
      </c>
      <c r="D763" s="122" t="s">
        <v>3556</v>
      </c>
      <c r="E763" s="122" t="s">
        <v>3766</v>
      </c>
      <c r="F763" s="124">
        <v>17.95</v>
      </c>
      <c r="G763" s="123">
        <v>-6.7439573386671392E-2</v>
      </c>
    </row>
    <row r="764" spans="2:7" x14ac:dyDescent="0.2">
      <c r="B764" s="120" t="s">
        <v>1825</v>
      </c>
      <c r="C764" s="121" t="s">
        <v>1826</v>
      </c>
      <c r="D764" s="122" t="s">
        <v>3569</v>
      </c>
      <c r="E764" s="122" t="s">
        <v>3722</v>
      </c>
      <c r="F764" s="124"/>
      <c r="G764" s="123">
        <v>0.1023008360482858</v>
      </c>
    </row>
    <row r="765" spans="2:7" x14ac:dyDescent="0.2">
      <c r="B765" s="120" t="s">
        <v>1827</v>
      </c>
      <c r="C765" s="121" t="s">
        <v>1828</v>
      </c>
      <c r="D765" s="122" t="s">
        <v>25</v>
      </c>
      <c r="E765" s="122" t="s">
        <v>3767</v>
      </c>
      <c r="F765" s="124"/>
      <c r="G765" s="123">
        <v>0.14931409768421985</v>
      </c>
    </row>
    <row r="766" spans="2:7" x14ac:dyDescent="0.2">
      <c r="B766" s="120" t="s">
        <v>1829</v>
      </c>
      <c r="C766" s="121" t="s">
        <v>1830</v>
      </c>
      <c r="D766" s="122" t="s">
        <v>3582</v>
      </c>
      <c r="E766" s="122" t="s">
        <v>3631</v>
      </c>
      <c r="F766" s="124">
        <v>19.79</v>
      </c>
      <c r="G766" s="123">
        <v>6.4054508259700382E-2</v>
      </c>
    </row>
    <row r="767" spans="2:7" x14ac:dyDescent="0.2">
      <c r="B767" s="120" t="s">
        <v>1831</v>
      </c>
      <c r="C767" s="121" t="s">
        <v>1832</v>
      </c>
      <c r="D767" s="122" t="s">
        <v>3558</v>
      </c>
      <c r="E767" s="122" t="s">
        <v>3642</v>
      </c>
      <c r="F767" s="124">
        <v>4.83</v>
      </c>
      <c r="G767" s="123">
        <v>5.9423654918880159E-2</v>
      </c>
    </row>
    <row r="768" spans="2:7" x14ac:dyDescent="0.2">
      <c r="B768" s="120" t="s">
        <v>1833</v>
      </c>
      <c r="C768" s="121" t="s">
        <v>1834</v>
      </c>
      <c r="D768" s="122" t="s">
        <v>3556</v>
      </c>
      <c r="E768" s="122" t="s">
        <v>3744</v>
      </c>
      <c r="F768" s="124">
        <v>6.38</v>
      </c>
      <c r="G768" s="123">
        <v>6.196818416473876E-2</v>
      </c>
    </row>
    <row r="769" spans="2:7" x14ac:dyDescent="0.2">
      <c r="B769" s="120" t="s">
        <v>1835</v>
      </c>
      <c r="C769" s="121" t="s">
        <v>1836</v>
      </c>
      <c r="D769" s="122" t="s">
        <v>3576</v>
      </c>
      <c r="E769" s="122" t="s">
        <v>3619</v>
      </c>
      <c r="F769" s="124">
        <v>8.94</v>
      </c>
      <c r="G769" s="123">
        <v>1.4271021070765978E-2</v>
      </c>
    </row>
    <row r="770" spans="2:7" x14ac:dyDescent="0.2">
      <c r="B770" s="120" t="s">
        <v>1837</v>
      </c>
      <c r="C770" s="121" t="s">
        <v>1838</v>
      </c>
      <c r="D770" s="122" t="s">
        <v>3576</v>
      </c>
      <c r="E770" s="122" t="s">
        <v>3699</v>
      </c>
      <c r="F770" s="124">
        <v>9.01</v>
      </c>
      <c r="G770" s="123">
        <v>-0.28575781297904956</v>
      </c>
    </row>
    <row r="771" spans="2:7" x14ac:dyDescent="0.2">
      <c r="B771" s="120" t="s">
        <v>1839</v>
      </c>
      <c r="C771" s="121" t="s">
        <v>1840</v>
      </c>
      <c r="D771" s="122" t="s">
        <v>3576</v>
      </c>
      <c r="E771" s="122" t="s">
        <v>3626</v>
      </c>
      <c r="F771" s="124"/>
      <c r="G771" s="123">
        <v>3.4959253850468802E-2</v>
      </c>
    </row>
    <row r="772" spans="2:7" x14ac:dyDescent="0.2">
      <c r="B772" s="120" t="s">
        <v>1841</v>
      </c>
      <c r="C772" s="121" t="s">
        <v>1842</v>
      </c>
      <c r="D772" s="122" t="s">
        <v>3569</v>
      </c>
      <c r="E772" s="122" t="s">
        <v>3574</v>
      </c>
      <c r="F772" s="124">
        <v>14.99</v>
      </c>
      <c r="G772" s="123">
        <v>0.16306451318403947</v>
      </c>
    </row>
    <row r="773" spans="2:7" x14ac:dyDescent="0.2">
      <c r="B773" s="120" t="s">
        <v>1843</v>
      </c>
      <c r="C773" s="121" t="s">
        <v>1844</v>
      </c>
      <c r="D773" s="122" t="s">
        <v>3582</v>
      </c>
      <c r="E773" s="122" t="s">
        <v>3583</v>
      </c>
      <c r="F773" s="124">
        <v>19.5</v>
      </c>
      <c r="G773" s="123">
        <v>6.7822694339622749E-2</v>
      </c>
    </row>
    <row r="774" spans="2:7" x14ac:dyDescent="0.2">
      <c r="B774" s="120" t="s">
        <v>1845</v>
      </c>
      <c r="C774" s="121" t="s">
        <v>1846</v>
      </c>
      <c r="D774" s="122" t="s">
        <v>3556</v>
      </c>
      <c r="E774" s="122" t="s">
        <v>3557</v>
      </c>
      <c r="F774" s="124">
        <v>4.87</v>
      </c>
      <c r="G774" s="123">
        <v>4.0540860730939633E-2</v>
      </c>
    </row>
    <row r="775" spans="2:7" x14ac:dyDescent="0.2">
      <c r="B775" s="120" t="s">
        <v>1847</v>
      </c>
      <c r="C775" s="121" t="s">
        <v>1848</v>
      </c>
      <c r="D775" s="122" t="s">
        <v>3679</v>
      </c>
      <c r="E775" s="122" t="s">
        <v>3680</v>
      </c>
      <c r="F775" s="124">
        <v>1.61</v>
      </c>
      <c r="G775" s="123">
        <v>3.8680904156496991E-2</v>
      </c>
    </row>
    <row r="776" spans="2:7" x14ac:dyDescent="0.2">
      <c r="B776" s="120" t="s">
        <v>1849</v>
      </c>
      <c r="C776" s="121" t="s">
        <v>1850</v>
      </c>
      <c r="D776" s="122" t="s">
        <v>3576</v>
      </c>
      <c r="E776" s="122" t="s">
        <v>3626</v>
      </c>
      <c r="F776" s="124">
        <v>3.9</v>
      </c>
      <c r="G776" s="123">
        <v>-0.35114819125639768</v>
      </c>
    </row>
    <row r="777" spans="2:7" x14ac:dyDescent="0.2">
      <c r="B777" s="120" t="s">
        <v>1851</v>
      </c>
      <c r="C777" s="121" t="s">
        <v>1852</v>
      </c>
      <c r="D777" s="122" t="s">
        <v>3558</v>
      </c>
      <c r="E777" s="122" t="s">
        <v>3642</v>
      </c>
      <c r="F777" s="124">
        <v>1.1299999999999999</v>
      </c>
      <c r="G777" s="123">
        <v>-3.4151517470205804E-2</v>
      </c>
    </row>
    <row r="778" spans="2:7" x14ac:dyDescent="0.2">
      <c r="B778" s="120" t="s">
        <v>1853</v>
      </c>
      <c r="C778" s="121" t="s">
        <v>1854</v>
      </c>
      <c r="D778" s="122" t="s">
        <v>3576</v>
      </c>
      <c r="E778" s="122" t="s">
        <v>3604</v>
      </c>
      <c r="F778" s="124">
        <v>0.9</v>
      </c>
      <c r="G778" s="123">
        <v>0.18722212227846657</v>
      </c>
    </row>
    <row r="779" spans="2:7" x14ac:dyDescent="0.2">
      <c r="B779" s="120" t="s">
        <v>1855</v>
      </c>
      <c r="C779" s="121" t="s">
        <v>1856</v>
      </c>
      <c r="D779" s="122" t="s">
        <v>3576</v>
      </c>
      <c r="E779" s="122" t="s">
        <v>3651</v>
      </c>
      <c r="F779" s="124">
        <v>6.23</v>
      </c>
      <c r="G779" s="123">
        <v>5.6131973648152193E-2</v>
      </c>
    </row>
    <row r="780" spans="2:7" x14ac:dyDescent="0.2">
      <c r="B780" s="120" t="s">
        <v>1857</v>
      </c>
      <c r="C780" s="121" t="s">
        <v>1858</v>
      </c>
      <c r="D780" s="122" t="s">
        <v>24</v>
      </c>
      <c r="E780" s="122" t="s">
        <v>3675</v>
      </c>
      <c r="F780" s="124"/>
      <c r="G780" s="123">
        <v>1.3800801521471763E-3</v>
      </c>
    </row>
    <row r="781" spans="2:7" x14ac:dyDescent="0.2">
      <c r="B781" s="120" t="s">
        <v>1859</v>
      </c>
      <c r="C781" s="121" t="s">
        <v>1860</v>
      </c>
      <c r="D781" s="122" t="s">
        <v>3569</v>
      </c>
      <c r="E781" s="122" t="s">
        <v>3722</v>
      </c>
      <c r="F781" s="124">
        <v>12.51</v>
      </c>
      <c r="G781" s="123">
        <v>0.11577114843568199</v>
      </c>
    </row>
    <row r="782" spans="2:7" x14ac:dyDescent="0.2">
      <c r="B782" s="120" t="s">
        <v>1861</v>
      </c>
      <c r="C782" s="121" t="s">
        <v>1862</v>
      </c>
      <c r="D782" s="122" t="s">
        <v>3576</v>
      </c>
      <c r="E782" s="122" t="s">
        <v>3619</v>
      </c>
      <c r="F782" s="124"/>
      <c r="G782" s="123">
        <v>-0.18954327982861924</v>
      </c>
    </row>
    <row r="783" spans="2:7" x14ac:dyDescent="0.2">
      <c r="B783" s="120" t="s">
        <v>1863</v>
      </c>
      <c r="C783" s="121" t="s">
        <v>1864</v>
      </c>
      <c r="D783" s="122" t="s">
        <v>3561</v>
      </c>
      <c r="E783" s="122" t="s">
        <v>3768</v>
      </c>
      <c r="F783" s="124">
        <v>8.81</v>
      </c>
      <c r="G783" s="123">
        <v>6.2313348895572288E-2</v>
      </c>
    </row>
    <row r="784" spans="2:7" x14ac:dyDescent="0.2">
      <c r="B784" s="120" t="s">
        <v>1865</v>
      </c>
      <c r="C784" s="121" t="s">
        <v>1866</v>
      </c>
      <c r="D784" s="122" t="s">
        <v>3556</v>
      </c>
      <c r="E784" s="122" t="s">
        <v>3769</v>
      </c>
      <c r="F784" s="124">
        <v>8.16</v>
      </c>
      <c r="G784" s="123">
        <v>0.19434386356991634</v>
      </c>
    </row>
    <row r="785" spans="2:7" x14ac:dyDescent="0.2">
      <c r="B785" s="120" t="s">
        <v>1867</v>
      </c>
      <c r="C785" s="121" t="s">
        <v>1868</v>
      </c>
      <c r="D785" s="122" t="s">
        <v>3561</v>
      </c>
      <c r="E785" s="122" t="s">
        <v>3562</v>
      </c>
      <c r="F785" s="124">
        <v>6.48</v>
      </c>
      <c r="G785" s="123">
        <v>6.6426843823452542E-2</v>
      </c>
    </row>
    <row r="786" spans="2:7" x14ac:dyDescent="0.2">
      <c r="B786" s="120" t="s">
        <v>1869</v>
      </c>
      <c r="C786" s="121" t="s">
        <v>1870</v>
      </c>
      <c r="D786" s="122" t="s">
        <v>3558</v>
      </c>
      <c r="E786" s="122" t="s">
        <v>3770</v>
      </c>
      <c r="F786" s="124">
        <v>18.28</v>
      </c>
      <c r="G786" s="123">
        <v>2.6846918789394141E-2</v>
      </c>
    </row>
    <row r="787" spans="2:7" x14ac:dyDescent="0.2">
      <c r="B787" s="120" t="s">
        <v>1871</v>
      </c>
      <c r="C787" s="121" t="s">
        <v>1872</v>
      </c>
      <c r="D787" s="122" t="s">
        <v>3558</v>
      </c>
      <c r="E787" s="122" t="s">
        <v>3567</v>
      </c>
      <c r="F787" s="124">
        <v>36.42</v>
      </c>
      <c r="G787" s="123">
        <v>-0.23219172993630569</v>
      </c>
    </row>
    <row r="788" spans="2:7" x14ac:dyDescent="0.2">
      <c r="B788" s="120" t="s">
        <v>1873</v>
      </c>
      <c r="C788" s="121" t="s">
        <v>1874</v>
      </c>
      <c r="D788" s="122" t="s">
        <v>3556</v>
      </c>
      <c r="E788" s="122" t="s">
        <v>3630</v>
      </c>
      <c r="F788" s="124">
        <v>19.55</v>
      </c>
      <c r="G788" s="123">
        <v>0.10940366934481899</v>
      </c>
    </row>
    <row r="789" spans="2:7" x14ac:dyDescent="0.2">
      <c r="B789" s="120" t="s">
        <v>1875</v>
      </c>
      <c r="C789" s="121" t="s">
        <v>1876</v>
      </c>
      <c r="D789" s="122" t="s">
        <v>3563</v>
      </c>
      <c r="E789" s="122" t="s">
        <v>3622</v>
      </c>
      <c r="F789" s="124">
        <v>37.67</v>
      </c>
      <c r="G789" s="123">
        <v>0.19804475521436812</v>
      </c>
    </row>
    <row r="790" spans="2:7" x14ac:dyDescent="0.2">
      <c r="B790" s="120" t="s">
        <v>1877</v>
      </c>
      <c r="C790" s="121" t="s">
        <v>1878</v>
      </c>
      <c r="D790" s="122" t="s">
        <v>3580</v>
      </c>
      <c r="E790" s="122" t="s">
        <v>3581</v>
      </c>
      <c r="F790" s="124">
        <v>2.5099999999999998</v>
      </c>
      <c r="G790" s="123">
        <v>-0.15815439733327097</v>
      </c>
    </row>
    <row r="791" spans="2:7" x14ac:dyDescent="0.2">
      <c r="B791" s="120" t="s">
        <v>1879</v>
      </c>
      <c r="C791" s="121" t="s">
        <v>1880</v>
      </c>
      <c r="D791" s="122" t="s">
        <v>3594</v>
      </c>
      <c r="E791" s="122" t="s">
        <v>3754</v>
      </c>
      <c r="F791" s="124"/>
      <c r="G791" s="123">
        <v>0.11714236463686557</v>
      </c>
    </row>
    <row r="792" spans="2:7" x14ac:dyDescent="0.2">
      <c r="B792" s="120" t="s">
        <v>1881</v>
      </c>
      <c r="C792" s="121" t="s">
        <v>1882</v>
      </c>
      <c r="D792" s="122" t="s">
        <v>3576</v>
      </c>
      <c r="E792" s="122" t="s">
        <v>3604</v>
      </c>
      <c r="F792" s="124">
        <v>25.09</v>
      </c>
      <c r="G792" s="123">
        <v>-6.2630094519597598E-2</v>
      </c>
    </row>
    <row r="793" spans="2:7" x14ac:dyDescent="0.2">
      <c r="B793" s="120" t="s">
        <v>1883</v>
      </c>
      <c r="C793" s="121" t="s">
        <v>1884</v>
      </c>
      <c r="D793" s="122" t="s">
        <v>24</v>
      </c>
      <c r="E793" s="122" t="s">
        <v>3633</v>
      </c>
      <c r="F793" s="124">
        <v>5.53</v>
      </c>
      <c r="G793" s="123">
        <v>3.6880529224173543E-2</v>
      </c>
    </row>
    <row r="794" spans="2:7" x14ac:dyDescent="0.2">
      <c r="B794" s="120" t="s">
        <v>1885</v>
      </c>
      <c r="C794" s="121" t="s">
        <v>1886</v>
      </c>
      <c r="D794" s="122" t="s">
        <v>3556</v>
      </c>
      <c r="E794" s="122" t="s">
        <v>3771</v>
      </c>
      <c r="F794" s="124">
        <v>5.77</v>
      </c>
      <c r="G794" s="123">
        <v>6.9012468683381775E-2</v>
      </c>
    </row>
    <row r="795" spans="2:7" x14ac:dyDescent="0.2">
      <c r="B795" s="120" t="s">
        <v>1887</v>
      </c>
      <c r="C795" s="121" t="s">
        <v>1888</v>
      </c>
      <c r="D795" s="122" t="s">
        <v>3576</v>
      </c>
      <c r="E795" s="122" t="s">
        <v>3689</v>
      </c>
      <c r="F795" s="124">
        <v>29.02</v>
      </c>
      <c r="G795" s="123">
        <v>9.8585894450436293E-2</v>
      </c>
    </row>
    <row r="796" spans="2:7" x14ac:dyDescent="0.2">
      <c r="B796" s="120" t="s">
        <v>1889</v>
      </c>
      <c r="C796" s="121" t="s">
        <v>1890</v>
      </c>
      <c r="D796" s="122" t="s">
        <v>3594</v>
      </c>
      <c r="E796" s="122" t="s">
        <v>3602</v>
      </c>
      <c r="F796" s="124"/>
      <c r="G796" s="123">
        <v>1.3489235404638101E-2</v>
      </c>
    </row>
    <row r="797" spans="2:7" x14ac:dyDescent="0.2">
      <c r="B797" s="120" t="s">
        <v>1891</v>
      </c>
      <c r="C797" s="121" t="s">
        <v>1892</v>
      </c>
      <c r="D797" s="122" t="s">
        <v>3569</v>
      </c>
      <c r="E797" s="122" t="s">
        <v>3570</v>
      </c>
      <c r="F797" s="124">
        <v>3</v>
      </c>
      <c r="G797" s="123">
        <v>-8.759507728515768E-4</v>
      </c>
    </row>
    <row r="798" spans="2:7" x14ac:dyDescent="0.2">
      <c r="B798" s="120" t="s">
        <v>1893</v>
      </c>
      <c r="C798" s="121" t="s">
        <v>1894</v>
      </c>
      <c r="D798" s="122" t="s">
        <v>3556</v>
      </c>
      <c r="E798" s="122" t="s">
        <v>3742</v>
      </c>
      <c r="F798" s="124">
        <v>0.12</v>
      </c>
      <c r="G798" s="123">
        <v>-3.5951789133942966E-2</v>
      </c>
    </row>
    <row r="799" spans="2:7" x14ac:dyDescent="0.2">
      <c r="B799" s="120" t="s">
        <v>1895</v>
      </c>
      <c r="C799" s="121" t="s">
        <v>1896</v>
      </c>
      <c r="D799" s="122" t="s">
        <v>3576</v>
      </c>
      <c r="E799" s="122" t="s">
        <v>3654</v>
      </c>
      <c r="F799" s="124">
        <v>9.24</v>
      </c>
      <c r="G799" s="123">
        <v>-0.13658569993607889</v>
      </c>
    </row>
    <row r="800" spans="2:7" x14ac:dyDescent="0.2">
      <c r="B800" s="120" t="s">
        <v>1897</v>
      </c>
      <c r="C800" s="121" t="s">
        <v>1898</v>
      </c>
      <c r="D800" s="122" t="s">
        <v>3563</v>
      </c>
      <c r="E800" s="122" t="s">
        <v>3687</v>
      </c>
      <c r="F800" s="124">
        <v>4.9800000000000004</v>
      </c>
      <c r="G800" s="123">
        <v>1.1927687652780289E-2</v>
      </c>
    </row>
    <row r="801" spans="2:7" x14ac:dyDescent="0.2">
      <c r="B801" s="120" t="s">
        <v>1899</v>
      </c>
      <c r="C801" s="121" t="s">
        <v>1900</v>
      </c>
      <c r="D801" s="122" t="s">
        <v>3563</v>
      </c>
      <c r="E801" s="122" t="s">
        <v>3687</v>
      </c>
      <c r="F801" s="124"/>
      <c r="G801" s="123">
        <v>-3.1646747052748191E-2</v>
      </c>
    </row>
    <row r="802" spans="2:7" x14ac:dyDescent="0.2">
      <c r="B802" s="120" t="s">
        <v>1901</v>
      </c>
      <c r="C802" s="121" t="s">
        <v>1902</v>
      </c>
      <c r="D802" s="122" t="s">
        <v>3594</v>
      </c>
      <c r="E802" s="122" t="s">
        <v>3714</v>
      </c>
      <c r="F802" s="124">
        <v>11.51</v>
      </c>
      <c r="G802" s="123">
        <v>2.6822790317829984E-2</v>
      </c>
    </row>
    <row r="803" spans="2:7" x14ac:dyDescent="0.2">
      <c r="B803" s="120" t="s">
        <v>1903</v>
      </c>
      <c r="C803" s="121" t="s">
        <v>1904</v>
      </c>
      <c r="D803" s="122" t="s">
        <v>3563</v>
      </c>
      <c r="E803" s="122" t="s">
        <v>3676</v>
      </c>
      <c r="F803" s="124">
        <v>3.68</v>
      </c>
      <c r="G803" s="123">
        <v>-3.1610576923076922E-2</v>
      </c>
    </row>
    <row r="804" spans="2:7" x14ac:dyDescent="0.2">
      <c r="B804" s="120" t="s">
        <v>1905</v>
      </c>
      <c r="C804" s="121" t="s">
        <v>1906</v>
      </c>
      <c r="D804" s="122" t="s">
        <v>24</v>
      </c>
      <c r="E804" s="122" t="s">
        <v>3633</v>
      </c>
      <c r="F804" s="124">
        <v>-1.51</v>
      </c>
      <c r="G804" s="123">
        <v>-6.0235919391743193E-4</v>
      </c>
    </row>
    <row r="805" spans="2:7" x14ac:dyDescent="0.2">
      <c r="B805" s="120" t="s">
        <v>1907</v>
      </c>
      <c r="C805" s="121" t="s">
        <v>1908</v>
      </c>
      <c r="D805" s="122" t="s">
        <v>3563</v>
      </c>
      <c r="E805" s="122" t="s">
        <v>3734</v>
      </c>
      <c r="F805" s="124">
        <v>12.2</v>
      </c>
      <c r="G805" s="123">
        <v>-0.26380915481748718</v>
      </c>
    </row>
    <row r="806" spans="2:7" x14ac:dyDescent="0.2">
      <c r="B806" s="120" t="s">
        <v>1909</v>
      </c>
      <c r="C806" s="121" t="s">
        <v>1910</v>
      </c>
      <c r="D806" s="122" t="s">
        <v>3576</v>
      </c>
      <c r="E806" s="122" t="s">
        <v>3626</v>
      </c>
      <c r="F806" s="124">
        <v>3.57</v>
      </c>
      <c r="G806" s="123">
        <v>-1</v>
      </c>
    </row>
    <row r="807" spans="2:7" x14ac:dyDescent="0.2">
      <c r="B807" s="120" t="s">
        <v>1911</v>
      </c>
      <c r="C807" s="121" t="s">
        <v>1912</v>
      </c>
      <c r="D807" s="122" t="s">
        <v>3576</v>
      </c>
      <c r="E807" s="122" t="s">
        <v>3626</v>
      </c>
      <c r="F807" s="124">
        <v>-3.52</v>
      </c>
      <c r="G807" s="123">
        <v>-0.2718408433159597</v>
      </c>
    </row>
    <row r="808" spans="2:7" x14ac:dyDescent="0.2">
      <c r="B808" s="120" t="s">
        <v>1913</v>
      </c>
      <c r="C808" s="121" t="s">
        <v>1914</v>
      </c>
      <c r="D808" s="122" t="s">
        <v>3580</v>
      </c>
      <c r="E808" s="122" t="s">
        <v>3581</v>
      </c>
      <c r="F808" s="124">
        <v>-5.65</v>
      </c>
      <c r="G808" s="123">
        <v>0.14631184001628333</v>
      </c>
    </row>
    <row r="809" spans="2:7" x14ac:dyDescent="0.2">
      <c r="B809" s="120" t="s">
        <v>1915</v>
      </c>
      <c r="C809" s="121" t="s">
        <v>1916</v>
      </c>
      <c r="D809" s="122" t="s">
        <v>24</v>
      </c>
      <c r="E809" s="122" t="s">
        <v>3693</v>
      </c>
      <c r="F809" s="124">
        <v>11.57</v>
      </c>
      <c r="G809" s="123">
        <v>0.50533644987906479</v>
      </c>
    </row>
    <row r="810" spans="2:7" x14ac:dyDescent="0.2">
      <c r="B810" s="120" t="s">
        <v>1917</v>
      </c>
      <c r="C810" s="121" t="s">
        <v>1918</v>
      </c>
      <c r="D810" s="122" t="s">
        <v>3591</v>
      </c>
      <c r="E810" s="122" t="s">
        <v>3592</v>
      </c>
      <c r="F810" s="124">
        <v>-3.07</v>
      </c>
      <c r="G810" s="123">
        <v>-1</v>
      </c>
    </row>
    <row r="811" spans="2:7" x14ac:dyDescent="0.2">
      <c r="B811" s="120" t="s">
        <v>1919</v>
      </c>
      <c r="C811" s="121" t="s">
        <v>1920</v>
      </c>
      <c r="D811" s="122" t="s">
        <v>3561</v>
      </c>
      <c r="E811" s="122" t="s">
        <v>3618</v>
      </c>
      <c r="F811" s="124">
        <v>4.4000000000000004</v>
      </c>
      <c r="G811" s="123">
        <v>-4.5140774901537362E-3</v>
      </c>
    </row>
    <row r="812" spans="2:7" x14ac:dyDescent="0.2">
      <c r="B812" s="120" t="s">
        <v>1921</v>
      </c>
      <c r="C812" s="121" t="s">
        <v>1922</v>
      </c>
      <c r="D812" s="122" t="s">
        <v>3576</v>
      </c>
      <c r="E812" s="122" t="s">
        <v>3654</v>
      </c>
      <c r="F812" s="124">
        <v>15.91</v>
      </c>
      <c r="G812" s="123">
        <v>-0.12828983903692684</v>
      </c>
    </row>
    <row r="813" spans="2:7" x14ac:dyDescent="0.2">
      <c r="B813" s="120" t="s">
        <v>1923</v>
      </c>
      <c r="C813" s="121" t="s">
        <v>1924</v>
      </c>
      <c r="D813" s="122" t="s">
        <v>3556</v>
      </c>
      <c r="E813" s="122" t="s">
        <v>3640</v>
      </c>
      <c r="F813" s="124">
        <v>8.6</v>
      </c>
      <c r="G813" s="123">
        <v>0.10496900979886532</v>
      </c>
    </row>
    <row r="814" spans="2:7" x14ac:dyDescent="0.2">
      <c r="B814" s="120" t="s">
        <v>1925</v>
      </c>
      <c r="C814" s="121" t="s">
        <v>1926</v>
      </c>
      <c r="D814" s="122" t="s">
        <v>3594</v>
      </c>
      <c r="E814" s="122" t="s">
        <v>3595</v>
      </c>
      <c r="F814" s="124">
        <v>-0.77</v>
      </c>
      <c r="G814" s="123">
        <v>6.9006421589989486E-2</v>
      </c>
    </row>
    <row r="815" spans="2:7" x14ac:dyDescent="0.2">
      <c r="B815" s="120" t="s">
        <v>1927</v>
      </c>
      <c r="C815" s="121" t="s">
        <v>1928</v>
      </c>
      <c r="D815" s="122" t="s">
        <v>3556</v>
      </c>
      <c r="E815" s="122" t="s">
        <v>3630</v>
      </c>
      <c r="F815" s="124"/>
      <c r="G815" s="123">
        <v>0.1029625911121561</v>
      </c>
    </row>
    <row r="816" spans="2:7" x14ac:dyDescent="0.2">
      <c r="B816" s="120" t="s">
        <v>1929</v>
      </c>
      <c r="C816" s="121" t="s">
        <v>1930</v>
      </c>
      <c r="D816" s="122" t="s">
        <v>3563</v>
      </c>
      <c r="E816" s="122" t="s">
        <v>3734</v>
      </c>
      <c r="F816" s="124"/>
      <c r="G816" s="123">
        <v>-0.10811236219437528</v>
      </c>
    </row>
    <row r="817" spans="2:7" x14ac:dyDescent="0.2">
      <c r="B817" s="120" t="s">
        <v>1931</v>
      </c>
      <c r="C817" s="121" t="s">
        <v>1932</v>
      </c>
      <c r="D817" s="122" t="s">
        <v>24</v>
      </c>
      <c r="E817" s="122" t="s">
        <v>3633</v>
      </c>
      <c r="F817" s="124">
        <v>8.81</v>
      </c>
      <c r="G817" s="123">
        <v>-3.2116741688563946E-2</v>
      </c>
    </row>
    <row r="818" spans="2:7" x14ac:dyDescent="0.2">
      <c r="B818" s="120" t="s">
        <v>1933</v>
      </c>
      <c r="C818" s="121" t="s">
        <v>1934</v>
      </c>
      <c r="D818" s="122" t="s">
        <v>3561</v>
      </c>
      <c r="E818" s="122" t="s">
        <v>3639</v>
      </c>
      <c r="F818" s="124">
        <v>4.3</v>
      </c>
      <c r="G818" s="123">
        <v>0.13612389520885379</v>
      </c>
    </row>
    <row r="819" spans="2:7" x14ac:dyDescent="0.2">
      <c r="B819" s="120" t="s">
        <v>1935</v>
      </c>
      <c r="C819" s="121" t="s">
        <v>1936</v>
      </c>
      <c r="D819" s="122" t="s">
        <v>3558</v>
      </c>
      <c r="E819" s="122" t="s">
        <v>3638</v>
      </c>
      <c r="F819" s="124">
        <v>22.41</v>
      </c>
      <c r="G819" s="123">
        <v>4.2195719373378255E-3</v>
      </c>
    </row>
    <row r="820" spans="2:7" x14ac:dyDescent="0.2">
      <c r="B820" s="120" t="s">
        <v>1937</v>
      </c>
      <c r="C820" s="121" t="s">
        <v>1938</v>
      </c>
      <c r="D820" s="122" t="s">
        <v>3679</v>
      </c>
      <c r="E820" s="122" t="s">
        <v>3680</v>
      </c>
      <c r="F820" s="124"/>
      <c r="G820" s="123">
        <v>-0.16130266746590741</v>
      </c>
    </row>
    <row r="821" spans="2:7" x14ac:dyDescent="0.2">
      <c r="B821" s="120" t="s">
        <v>1939</v>
      </c>
      <c r="C821" s="121" t="s">
        <v>1940</v>
      </c>
      <c r="D821" s="122" t="s">
        <v>3576</v>
      </c>
      <c r="E821" s="122" t="s">
        <v>3604</v>
      </c>
      <c r="F821" s="124"/>
      <c r="G821" s="123">
        <v>-0.25228020652464278</v>
      </c>
    </row>
    <row r="822" spans="2:7" x14ac:dyDescent="0.2">
      <c r="B822" s="120" t="s">
        <v>1941</v>
      </c>
      <c r="C822" s="121" t="s">
        <v>1942</v>
      </c>
      <c r="D822" s="122" t="s">
        <v>3594</v>
      </c>
      <c r="E822" s="122" t="s">
        <v>3595</v>
      </c>
      <c r="F822" s="124">
        <v>48.78</v>
      </c>
      <c r="G822" s="123">
        <v>0.44776994464521619</v>
      </c>
    </row>
    <row r="823" spans="2:7" x14ac:dyDescent="0.2">
      <c r="B823" s="120" t="s">
        <v>1943</v>
      </c>
      <c r="C823" s="121" t="s">
        <v>1944</v>
      </c>
      <c r="D823" s="122" t="s">
        <v>3556</v>
      </c>
      <c r="E823" s="122" t="s">
        <v>3733</v>
      </c>
      <c r="F823" s="124">
        <v>11.97</v>
      </c>
      <c r="G823" s="123">
        <v>0.21217538138282752</v>
      </c>
    </row>
    <row r="824" spans="2:7" x14ac:dyDescent="0.2">
      <c r="B824" s="120" t="s">
        <v>1945</v>
      </c>
      <c r="C824" s="121" t="s">
        <v>1946</v>
      </c>
      <c r="D824" s="122" t="s">
        <v>3576</v>
      </c>
      <c r="E824" s="122" t="s">
        <v>3584</v>
      </c>
      <c r="F824" s="124"/>
      <c r="G824" s="123">
        <v>-2.8088191895879851E-2</v>
      </c>
    </row>
    <row r="825" spans="2:7" x14ac:dyDescent="0.2">
      <c r="B825" s="120" t="s">
        <v>1947</v>
      </c>
      <c r="C825" s="121" t="s">
        <v>1948</v>
      </c>
      <c r="D825" s="122" t="s">
        <v>3612</v>
      </c>
      <c r="E825" s="122" t="s">
        <v>3772</v>
      </c>
      <c r="F825" s="124"/>
      <c r="G825" s="123">
        <v>0.14442944889872192</v>
      </c>
    </row>
    <row r="826" spans="2:7" x14ac:dyDescent="0.2">
      <c r="B826" s="120" t="s">
        <v>1949</v>
      </c>
      <c r="C826" s="121" t="s">
        <v>1950</v>
      </c>
      <c r="D826" s="122" t="s">
        <v>24</v>
      </c>
      <c r="E826" s="122" t="s">
        <v>3589</v>
      </c>
      <c r="F826" s="124">
        <v>-2.23</v>
      </c>
      <c r="G826" s="123">
        <v>-4.9287731256084197E-4</v>
      </c>
    </row>
    <row r="827" spans="2:7" x14ac:dyDescent="0.2">
      <c r="B827" s="120" t="s">
        <v>1951</v>
      </c>
      <c r="C827" s="121" t="s">
        <v>1952</v>
      </c>
      <c r="D827" s="122" t="s">
        <v>3612</v>
      </c>
      <c r="E827" s="122" t="s">
        <v>3716</v>
      </c>
      <c r="F827" s="124">
        <v>-2.75</v>
      </c>
      <c r="G827" s="123">
        <v>7.8938277714932941E-4</v>
      </c>
    </row>
    <row r="828" spans="2:7" x14ac:dyDescent="0.2">
      <c r="B828" s="120" t="s">
        <v>1953</v>
      </c>
      <c r="C828" s="121" t="s">
        <v>1954</v>
      </c>
      <c r="D828" s="122" t="s">
        <v>3576</v>
      </c>
      <c r="E828" s="122" t="s">
        <v>3593</v>
      </c>
      <c r="F828" s="124">
        <v>14.38</v>
      </c>
      <c r="G828" s="123">
        <v>0.31541429760274892</v>
      </c>
    </row>
    <row r="829" spans="2:7" x14ac:dyDescent="0.2">
      <c r="B829" s="120" t="s">
        <v>1955</v>
      </c>
      <c r="C829" s="121" t="s">
        <v>1956</v>
      </c>
      <c r="D829" s="122" t="s">
        <v>3558</v>
      </c>
      <c r="E829" s="122" t="s">
        <v>3686</v>
      </c>
      <c r="F829" s="124">
        <v>7.11</v>
      </c>
      <c r="G829" s="123">
        <v>-4.7718098038906642E-2</v>
      </c>
    </row>
    <row r="830" spans="2:7" x14ac:dyDescent="0.2">
      <c r="B830" s="120" t="s">
        <v>1957</v>
      </c>
      <c r="C830" s="121" t="s">
        <v>1958</v>
      </c>
      <c r="D830" s="122" t="s">
        <v>3563</v>
      </c>
      <c r="E830" s="122" t="s">
        <v>3565</v>
      </c>
      <c r="F830" s="124">
        <v>6.7</v>
      </c>
      <c r="G830" s="123">
        <v>7.8836774683460842E-2</v>
      </c>
    </row>
    <row r="831" spans="2:7" x14ac:dyDescent="0.2">
      <c r="B831" s="120" t="s">
        <v>1959</v>
      </c>
      <c r="C831" s="121" t="s">
        <v>1960</v>
      </c>
      <c r="D831" s="122" t="s">
        <v>3556</v>
      </c>
      <c r="E831" s="122" t="s">
        <v>3683</v>
      </c>
      <c r="F831" s="124">
        <v>0.99</v>
      </c>
      <c r="G831" s="123">
        <v>4.0938040805364555E-2</v>
      </c>
    </row>
    <row r="832" spans="2:7" x14ac:dyDescent="0.2">
      <c r="B832" s="120" t="s">
        <v>1961</v>
      </c>
      <c r="C832" s="121" t="s">
        <v>1962</v>
      </c>
      <c r="D832" s="122" t="s">
        <v>3556</v>
      </c>
      <c r="E832" s="122" t="s">
        <v>3579</v>
      </c>
      <c r="F832" s="124">
        <v>2.2200000000000002</v>
      </c>
      <c r="G832" s="123">
        <v>6.4159445436616988E-2</v>
      </c>
    </row>
    <row r="833" spans="2:7" x14ac:dyDescent="0.2">
      <c r="B833" s="120" t="s">
        <v>1963</v>
      </c>
      <c r="C833" s="121" t="s">
        <v>1964</v>
      </c>
      <c r="D833" s="122" t="s">
        <v>3561</v>
      </c>
      <c r="E833" s="122" t="s">
        <v>3768</v>
      </c>
      <c r="F833" s="124">
        <v>3.75</v>
      </c>
      <c r="G833" s="123">
        <v>-5.7034082637390481E-2</v>
      </c>
    </row>
    <row r="834" spans="2:7" x14ac:dyDescent="0.2">
      <c r="B834" s="120" t="s">
        <v>1965</v>
      </c>
      <c r="C834" s="121" t="s">
        <v>1966</v>
      </c>
      <c r="D834" s="122" t="s">
        <v>24</v>
      </c>
      <c r="E834" s="122" t="s">
        <v>3693</v>
      </c>
      <c r="F834" s="124">
        <v>-8.8000000000000007</v>
      </c>
      <c r="G834" s="123">
        <v>0.15682632376946254</v>
      </c>
    </row>
    <row r="835" spans="2:7" x14ac:dyDescent="0.2">
      <c r="B835" s="120" t="s">
        <v>1967</v>
      </c>
      <c r="C835" s="121" t="s">
        <v>1968</v>
      </c>
      <c r="D835" s="122" t="s">
        <v>24</v>
      </c>
      <c r="E835" s="122" t="s">
        <v>3693</v>
      </c>
      <c r="F835" s="124">
        <v>-0.84</v>
      </c>
      <c r="G835" s="123">
        <v>2.6663229100514125E-2</v>
      </c>
    </row>
    <row r="836" spans="2:7" x14ac:dyDescent="0.2">
      <c r="B836" s="120" t="s">
        <v>1969</v>
      </c>
      <c r="C836" s="121" t="s">
        <v>14</v>
      </c>
      <c r="D836" s="122" t="s">
        <v>3563</v>
      </c>
      <c r="E836" s="122" t="s">
        <v>3687</v>
      </c>
      <c r="F836" s="124">
        <v>3.45</v>
      </c>
      <c r="G836" s="123">
        <v>1.1357469751242138E-2</v>
      </c>
    </row>
    <row r="837" spans="2:7" x14ac:dyDescent="0.2">
      <c r="B837" s="120" t="s">
        <v>1970</v>
      </c>
      <c r="C837" s="121" t="s">
        <v>1971</v>
      </c>
      <c r="D837" s="122" t="s">
        <v>3576</v>
      </c>
      <c r="E837" s="122" t="s">
        <v>3619</v>
      </c>
      <c r="F837" s="124">
        <v>9.49</v>
      </c>
      <c r="G837" s="123">
        <v>9.0351933627726616E-2</v>
      </c>
    </row>
    <row r="838" spans="2:7" x14ac:dyDescent="0.2">
      <c r="B838" s="120" t="s">
        <v>1972</v>
      </c>
      <c r="C838" s="121" t="s">
        <v>1973</v>
      </c>
      <c r="D838" s="122" t="s">
        <v>3563</v>
      </c>
      <c r="E838" s="122" t="s">
        <v>3773</v>
      </c>
      <c r="F838" s="124">
        <v>1.23</v>
      </c>
      <c r="G838" s="123">
        <v>-1.9168315784270161E-2</v>
      </c>
    </row>
    <row r="839" spans="2:7" x14ac:dyDescent="0.2">
      <c r="B839" s="120" t="s">
        <v>1974</v>
      </c>
      <c r="C839" s="121" t="s">
        <v>1975</v>
      </c>
      <c r="D839" s="122" t="s">
        <v>3561</v>
      </c>
      <c r="E839" s="122" t="s">
        <v>3706</v>
      </c>
      <c r="F839" s="124">
        <v>2.11</v>
      </c>
      <c r="G839" s="123">
        <v>5.0569672070744323E-2</v>
      </c>
    </row>
    <row r="840" spans="2:7" x14ac:dyDescent="0.2">
      <c r="B840" s="120" t="s">
        <v>1976</v>
      </c>
      <c r="C840" s="121" t="s">
        <v>1977</v>
      </c>
      <c r="D840" s="122" t="s">
        <v>3556</v>
      </c>
      <c r="E840" s="122" t="s">
        <v>3621</v>
      </c>
      <c r="F840" s="124"/>
      <c r="G840" s="123">
        <v>-1</v>
      </c>
    </row>
    <row r="841" spans="2:7" x14ac:dyDescent="0.2">
      <c r="B841" s="120" t="s">
        <v>1978</v>
      </c>
      <c r="C841" s="121" t="s">
        <v>1979</v>
      </c>
      <c r="D841" s="122" t="s">
        <v>3558</v>
      </c>
      <c r="E841" s="122" t="s">
        <v>3598</v>
      </c>
      <c r="F841" s="124"/>
      <c r="G841" s="123" t="e">
        <v>#DIV/0!</v>
      </c>
    </row>
    <row r="842" spans="2:7" x14ac:dyDescent="0.2">
      <c r="B842" s="120" t="s">
        <v>1980</v>
      </c>
      <c r="C842" s="121" t="s">
        <v>1981</v>
      </c>
      <c r="D842" s="122" t="s">
        <v>3594</v>
      </c>
      <c r="E842" s="122" t="s">
        <v>3714</v>
      </c>
      <c r="F842" s="124">
        <v>5.66</v>
      </c>
      <c r="G842" s="123">
        <v>-5.1390045656416292E-2</v>
      </c>
    </row>
    <row r="843" spans="2:7" x14ac:dyDescent="0.2">
      <c r="B843" s="120" t="s">
        <v>1982</v>
      </c>
      <c r="C843" s="121" t="s">
        <v>1983</v>
      </c>
      <c r="D843" s="122" t="s">
        <v>3558</v>
      </c>
      <c r="E843" s="122" t="s">
        <v>3642</v>
      </c>
      <c r="F843" s="124">
        <v>0.61</v>
      </c>
      <c r="G843" s="123">
        <v>4.0985635288352334E-2</v>
      </c>
    </row>
    <row r="844" spans="2:7" x14ac:dyDescent="0.2">
      <c r="B844" s="120" t="s">
        <v>1984</v>
      </c>
      <c r="C844" s="121" t="s">
        <v>1985</v>
      </c>
      <c r="D844" s="122" t="s">
        <v>3556</v>
      </c>
      <c r="E844" s="122" t="s">
        <v>3560</v>
      </c>
      <c r="F844" s="124">
        <v>3.19</v>
      </c>
      <c r="G844" s="123">
        <v>-1</v>
      </c>
    </row>
    <row r="845" spans="2:7" x14ac:dyDescent="0.2">
      <c r="B845" s="120" t="s">
        <v>1986</v>
      </c>
      <c r="C845" s="121" t="s">
        <v>1987</v>
      </c>
      <c r="D845" s="122" t="s">
        <v>3576</v>
      </c>
      <c r="E845" s="122" t="s">
        <v>3593</v>
      </c>
      <c r="F845" s="124">
        <v>0.3</v>
      </c>
      <c r="G845" s="123">
        <v>-1</v>
      </c>
    </row>
    <row r="846" spans="2:7" x14ac:dyDescent="0.2">
      <c r="B846" s="120" t="s">
        <v>1988</v>
      </c>
      <c r="C846" s="121" t="s">
        <v>1989</v>
      </c>
      <c r="D846" s="122" t="s">
        <v>3563</v>
      </c>
      <c r="E846" s="122" t="s">
        <v>3623</v>
      </c>
      <c r="F846" s="124">
        <v>19.100000000000001</v>
      </c>
      <c r="G846" s="123">
        <v>5.4560776219398817E-2</v>
      </c>
    </row>
    <row r="847" spans="2:7" x14ac:dyDescent="0.2">
      <c r="B847" s="120" t="s">
        <v>1990</v>
      </c>
      <c r="C847" s="121" t="s">
        <v>1991</v>
      </c>
      <c r="D847" s="122" t="s">
        <v>3576</v>
      </c>
      <c r="E847" s="122" t="s">
        <v>3619</v>
      </c>
      <c r="F847" s="124">
        <v>6.07</v>
      </c>
      <c r="G847" s="123">
        <v>7.450314032521721E-2</v>
      </c>
    </row>
    <row r="848" spans="2:7" x14ac:dyDescent="0.2">
      <c r="B848" s="120" t="s">
        <v>1992</v>
      </c>
      <c r="C848" s="121" t="s">
        <v>1993</v>
      </c>
      <c r="D848" s="122" t="s">
        <v>25</v>
      </c>
      <c r="E848" s="122" t="s">
        <v>3659</v>
      </c>
      <c r="F848" s="124">
        <v>-7.75</v>
      </c>
      <c r="G848" s="123">
        <v>-4.6516745268938373E-3</v>
      </c>
    </row>
    <row r="849" spans="2:7" x14ac:dyDescent="0.2">
      <c r="B849" s="120" t="s">
        <v>1994</v>
      </c>
      <c r="C849" s="121" t="s">
        <v>1995</v>
      </c>
      <c r="D849" s="122" t="s">
        <v>3576</v>
      </c>
      <c r="E849" s="122" t="s">
        <v>3604</v>
      </c>
      <c r="F849" s="124">
        <v>4.83</v>
      </c>
      <c r="G849" s="123">
        <v>-1</v>
      </c>
    </row>
    <row r="850" spans="2:7" x14ac:dyDescent="0.2">
      <c r="B850" s="120" t="s">
        <v>1996</v>
      </c>
      <c r="C850" s="121" t="s">
        <v>1997</v>
      </c>
      <c r="D850" s="122" t="s">
        <v>3563</v>
      </c>
      <c r="E850" s="122" t="s">
        <v>3676</v>
      </c>
      <c r="F850" s="124">
        <v>3.31</v>
      </c>
      <c r="G850" s="123">
        <v>-1.1164808474504561E-2</v>
      </c>
    </row>
    <row r="851" spans="2:7" x14ac:dyDescent="0.2">
      <c r="B851" s="120" t="s">
        <v>1998</v>
      </c>
      <c r="C851" s="121" t="s">
        <v>1999</v>
      </c>
      <c r="D851" s="122" t="s">
        <v>25</v>
      </c>
      <c r="E851" s="122" t="s">
        <v>3681</v>
      </c>
      <c r="F851" s="124">
        <v>-34.630000000000003</v>
      </c>
      <c r="G851" s="123">
        <v>-0.21235399820305481</v>
      </c>
    </row>
    <row r="852" spans="2:7" x14ac:dyDescent="0.2">
      <c r="B852" s="120" t="s">
        <v>2000</v>
      </c>
      <c r="C852" s="121" t="s">
        <v>2001</v>
      </c>
      <c r="D852" s="122" t="s">
        <v>25</v>
      </c>
      <c r="E852" s="122" t="s">
        <v>3681</v>
      </c>
      <c r="F852" s="124">
        <v>-8.3800000000000008</v>
      </c>
      <c r="G852" s="123">
        <v>-5.488057685714038E-2</v>
      </c>
    </row>
    <row r="853" spans="2:7" x14ac:dyDescent="0.2">
      <c r="B853" s="120" t="s">
        <v>2002</v>
      </c>
      <c r="C853" s="121" t="s">
        <v>2003</v>
      </c>
      <c r="D853" s="122" t="s">
        <v>3605</v>
      </c>
      <c r="E853" s="122" t="s">
        <v>3653</v>
      </c>
      <c r="F853" s="124">
        <v>23.09</v>
      </c>
      <c r="G853" s="123">
        <v>6.0722184618402966E-2</v>
      </c>
    </row>
    <row r="854" spans="2:7" x14ac:dyDescent="0.2">
      <c r="B854" s="120" t="s">
        <v>2004</v>
      </c>
      <c r="C854" s="121" t="s">
        <v>2005</v>
      </c>
      <c r="D854" s="122" t="s">
        <v>3610</v>
      </c>
      <c r="E854" s="122" t="s">
        <v>3611</v>
      </c>
      <c r="F854" s="124">
        <v>4.51</v>
      </c>
      <c r="G854" s="123">
        <v>-5.0037162919356025E-2</v>
      </c>
    </row>
    <row r="855" spans="2:7" x14ac:dyDescent="0.2">
      <c r="B855" s="120" t="s">
        <v>2006</v>
      </c>
      <c r="C855" s="121" t="s">
        <v>2007</v>
      </c>
      <c r="D855" s="122" t="s">
        <v>3558</v>
      </c>
      <c r="E855" s="122" t="s">
        <v>3774</v>
      </c>
      <c r="F855" s="124">
        <v>2.4300000000000002</v>
      </c>
      <c r="G855" s="123">
        <v>1.6193282860133267E-2</v>
      </c>
    </row>
    <row r="856" spans="2:7" x14ac:dyDescent="0.2">
      <c r="B856" s="120" t="s">
        <v>2008</v>
      </c>
      <c r="C856" s="121" t="s">
        <v>2009</v>
      </c>
      <c r="D856" s="122" t="s">
        <v>25</v>
      </c>
      <c r="E856" s="122" t="s">
        <v>3775</v>
      </c>
      <c r="F856" s="124">
        <v>2.57</v>
      </c>
      <c r="G856" s="123">
        <v>0.11493153530858405</v>
      </c>
    </row>
    <row r="857" spans="2:7" x14ac:dyDescent="0.2">
      <c r="B857" s="120" t="s">
        <v>2010</v>
      </c>
      <c r="C857" s="121" t="s">
        <v>2011</v>
      </c>
      <c r="D857" s="122" t="s">
        <v>3580</v>
      </c>
      <c r="E857" s="122" t="s">
        <v>3730</v>
      </c>
      <c r="F857" s="124">
        <v>24.85</v>
      </c>
      <c r="G857" s="123">
        <v>5.1623016746849923E-2</v>
      </c>
    </row>
    <row r="858" spans="2:7" x14ac:dyDescent="0.2">
      <c r="B858" s="120" t="s">
        <v>2012</v>
      </c>
      <c r="C858" s="121" t="s">
        <v>2013</v>
      </c>
      <c r="D858" s="122" t="s">
        <v>3576</v>
      </c>
      <c r="E858" s="122" t="s">
        <v>3641</v>
      </c>
      <c r="F858" s="124">
        <v>7.09</v>
      </c>
      <c r="G858" s="123">
        <v>-1</v>
      </c>
    </row>
    <row r="859" spans="2:7" x14ac:dyDescent="0.2">
      <c r="B859" s="120" t="s">
        <v>2014</v>
      </c>
      <c r="C859" s="121" t="s">
        <v>2015</v>
      </c>
      <c r="D859" s="122" t="s">
        <v>3556</v>
      </c>
      <c r="E859" s="122" t="s">
        <v>3560</v>
      </c>
      <c r="F859" s="124">
        <v>18.91</v>
      </c>
      <c r="G859" s="123">
        <v>-0.11481027309176184</v>
      </c>
    </row>
    <row r="860" spans="2:7" x14ac:dyDescent="0.2">
      <c r="B860" s="120" t="s">
        <v>2016</v>
      </c>
      <c r="C860" s="121" t="s">
        <v>2017</v>
      </c>
      <c r="D860" s="122" t="s">
        <v>3569</v>
      </c>
      <c r="E860" s="122" t="s">
        <v>3571</v>
      </c>
      <c r="F860" s="124">
        <v>14.39</v>
      </c>
      <c r="G860" s="123">
        <v>1.2103967035488133E-2</v>
      </c>
    </row>
    <row r="861" spans="2:7" x14ac:dyDescent="0.2">
      <c r="B861" s="120" t="s">
        <v>2018</v>
      </c>
      <c r="C861" s="121" t="s">
        <v>2019</v>
      </c>
      <c r="D861" s="122" t="s">
        <v>3569</v>
      </c>
      <c r="E861" s="122" t="s">
        <v>3718</v>
      </c>
      <c r="F861" s="124">
        <v>23.93</v>
      </c>
      <c r="G861" s="123">
        <v>0.1608516044553471</v>
      </c>
    </row>
    <row r="862" spans="2:7" x14ac:dyDescent="0.2">
      <c r="B862" s="120" t="s">
        <v>2020</v>
      </c>
      <c r="C862" s="121" t="s">
        <v>2021</v>
      </c>
      <c r="D862" s="122" t="s">
        <v>3605</v>
      </c>
      <c r="E862" s="122" t="s">
        <v>3653</v>
      </c>
      <c r="F862" s="124">
        <v>4.78</v>
      </c>
      <c r="G862" s="123">
        <v>1.6551977650345537</v>
      </c>
    </row>
    <row r="863" spans="2:7" x14ac:dyDescent="0.2">
      <c r="B863" s="120" t="s">
        <v>2022</v>
      </c>
      <c r="C863" s="121" t="s">
        <v>2023</v>
      </c>
      <c r="D863" s="122" t="s">
        <v>3580</v>
      </c>
      <c r="E863" s="122" t="s">
        <v>3776</v>
      </c>
      <c r="F863" s="124">
        <v>3.87</v>
      </c>
      <c r="G863" s="123">
        <v>-2.2971523468678454E-2</v>
      </c>
    </row>
    <row r="864" spans="2:7" x14ac:dyDescent="0.2">
      <c r="B864" s="120" t="s">
        <v>2000</v>
      </c>
      <c r="C864" s="121" t="s">
        <v>2024</v>
      </c>
      <c r="D864" s="122" t="s">
        <v>3556</v>
      </c>
      <c r="E864" s="122" t="s">
        <v>3721</v>
      </c>
      <c r="F864" s="124">
        <v>23.91</v>
      </c>
      <c r="G864" s="123">
        <v>2.9856728823164348E-2</v>
      </c>
    </row>
    <row r="865" spans="2:7" x14ac:dyDescent="0.2">
      <c r="B865" s="120" t="s">
        <v>2025</v>
      </c>
      <c r="C865" s="121" t="s">
        <v>2026</v>
      </c>
      <c r="D865" s="122" t="s">
        <v>3612</v>
      </c>
      <c r="E865" s="122" t="s">
        <v>3661</v>
      </c>
      <c r="F865" s="124">
        <v>7.96</v>
      </c>
      <c r="G865" s="123">
        <v>0.91335688389261749</v>
      </c>
    </row>
    <row r="866" spans="2:7" x14ac:dyDescent="0.2">
      <c r="B866" s="120" t="s">
        <v>2027</v>
      </c>
      <c r="C866" s="121" t="s">
        <v>2028</v>
      </c>
      <c r="D866" s="122" t="s">
        <v>24</v>
      </c>
      <c r="E866" s="122" t="s">
        <v>3589</v>
      </c>
      <c r="F866" s="124"/>
      <c r="G866" s="123">
        <v>3.5106374240184028E-2</v>
      </c>
    </row>
    <row r="867" spans="2:7" x14ac:dyDescent="0.2">
      <c r="B867" s="120" t="s">
        <v>2029</v>
      </c>
      <c r="C867" s="121" t="s">
        <v>2030</v>
      </c>
      <c r="D867" s="122" t="s">
        <v>3556</v>
      </c>
      <c r="E867" s="122" t="s">
        <v>3766</v>
      </c>
      <c r="F867" s="124">
        <v>17.079999999999998</v>
      </c>
      <c r="G867" s="123">
        <v>9.9736766115121736E-2</v>
      </c>
    </row>
    <row r="868" spans="2:7" x14ac:dyDescent="0.2">
      <c r="B868" s="120" t="s">
        <v>2031</v>
      </c>
      <c r="C868" s="121" t="s">
        <v>2032</v>
      </c>
      <c r="D868" s="122" t="s">
        <v>3569</v>
      </c>
      <c r="E868" s="122" t="s">
        <v>3574</v>
      </c>
      <c r="F868" s="124">
        <v>43.22</v>
      </c>
      <c r="G868" s="123">
        <v>6.621770551039737E-4</v>
      </c>
    </row>
    <row r="869" spans="2:7" x14ac:dyDescent="0.2">
      <c r="B869" s="120" t="s">
        <v>2033</v>
      </c>
      <c r="C869" s="121" t="s">
        <v>2034</v>
      </c>
      <c r="D869" s="122" t="s">
        <v>3610</v>
      </c>
      <c r="E869" s="122" t="s">
        <v>3684</v>
      </c>
      <c r="F869" s="124">
        <v>15.53</v>
      </c>
      <c r="G869" s="123">
        <v>5.2818058428835662E-2</v>
      </c>
    </row>
    <row r="870" spans="2:7" x14ac:dyDescent="0.2">
      <c r="B870" s="120" t="s">
        <v>2035</v>
      </c>
      <c r="C870" s="121" t="s">
        <v>2036</v>
      </c>
      <c r="D870" s="122" t="s">
        <v>3569</v>
      </c>
      <c r="E870" s="122" t="s">
        <v>3570</v>
      </c>
      <c r="F870" s="124">
        <v>5.29</v>
      </c>
      <c r="G870" s="123">
        <v>-9.0496538889137834E-2</v>
      </c>
    </row>
    <row r="871" spans="2:7" x14ac:dyDescent="0.2">
      <c r="B871" s="120" t="s">
        <v>2037</v>
      </c>
      <c r="C871" s="121" t="s">
        <v>2038</v>
      </c>
      <c r="D871" s="122" t="s">
        <v>3576</v>
      </c>
      <c r="E871" s="122" t="s">
        <v>3604</v>
      </c>
      <c r="F871" s="124">
        <v>2.2200000000000002</v>
      </c>
      <c r="G871" s="123">
        <v>2.0022285293083979E-3</v>
      </c>
    </row>
    <row r="872" spans="2:7" x14ac:dyDescent="0.2">
      <c r="B872" s="120" t="s">
        <v>2039</v>
      </c>
      <c r="C872" s="121" t="s">
        <v>2040</v>
      </c>
      <c r="D872" s="122" t="s">
        <v>3605</v>
      </c>
      <c r="E872" s="122" t="s">
        <v>3653</v>
      </c>
      <c r="F872" s="124">
        <v>5.09</v>
      </c>
      <c r="G872" s="123">
        <v>0.10313119043190362</v>
      </c>
    </row>
    <row r="873" spans="2:7" x14ac:dyDescent="0.2">
      <c r="B873" s="120" t="s">
        <v>2041</v>
      </c>
      <c r="C873" s="121" t="s">
        <v>2042</v>
      </c>
      <c r="D873" s="122" t="s">
        <v>3556</v>
      </c>
      <c r="E873" s="122" t="s">
        <v>3630</v>
      </c>
      <c r="F873" s="124">
        <v>22.12</v>
      </c>
      <c r="G873" s="123">
        <v>3.2990919750480886E-2</v>
      </c>
    </row>
    <row r="874" spans="2:7" x14ac:dyDescent="0.2">
      <c r="B874" s="120" t="s">
        <v>2043</v>
      </c>
      <c r="C874" s="121" t="s">
        <v>2044</v>
      </c>
      <c r="D874" s="122" t="s">
        <v>3576</v>
      </c>
      <c r="E874" s="122" t="s">
        <v>3641</v>
      </c>
      <c r="F874" s="124">
        <v>4.66</v>
      </c>
      <c r="G874" s="123">
        <v>9.0470333658061425E-2</v>
      </c>
    </row>
    <row r="875" spans="2:7" x14ac:dyDescent="0.2">
      <c r="B875" s="120" t="s">
        <v>2045</v>
      </c>
      <c r="C875" s="121" t="s">
        <v>2046</v>
      </c>
      <c r="D875" s="122" t="s">
        <v>3612</v>
      </c>
      <c r="E875" s="122" t="s">
        <v>3627</v>
      </c>
      <c r="F875" s="124">
        <v>162.56</v>
      </c>
      <c r="G875" s="123">
        <v>0.2064516940027544</v>
      </c>
    </row>
    <row r="876" spans="2:7" x14ac:dyDescent="0.2">
      <c r="B876" s="120" t="s">
        <v>2047</v>
      </c>
      <c r="C876" s="121" t="s">
        <v>2048</v>
      </c>
      <c r="D876" s="122" t="s">
        <v>3591</v>
      </c>
      <c r="E876" s="122" t="s">
        <v>3592</v>
      </c>
      <c r="F876" s="124">
        <v>1.84</v>
      </c>
      <c r="G876" s="123">
        <v>4.6824161833356907E-2</v>
      </c>
    </row>
    <row r="877" spans="2:7" x14ac:dyDescent="0.2">
      <c r="B877" s="120" t="s">
        <v>2049</v>
      </c>
      <c r="C877" s="121" t="s">
        <v>2050</v>
      </c>
      <c r="D877" s="122" t="s">
        <v>3556</v>
      </c>
      <c r="E877" s="122" t="s">
        <v>3566</v>
      </c>
      <c r="F877" s="124">
        <v>2.36</v>
      </c>
      <c r="G877" s="123">
        <v>3.9167660566636675E-2</v>
      </c>
    </row>
    <row r="878" spans="2:7" x14ac:dyDescent="0.2">
      <c r="B878" s="120" t="s">
        <v>2051</v>
      </c>
      <c r="C878" s="121" t="s">
        <v>2052</v>
      </c>
      <c r="D878" s="122" t="s">
        <v>3556</v>
      </c>
      <c r="E878" s="122" t="s">
        <v>3628</v>
      </c>
      <c r="F878" s="124">
        <v>7.35</v>
      </c>
      <c r="G878" s="123">
        <v>6.1933702014115972E-2</v>
      </c>
    </row>
    <row r="879" spans="2:7" x14ac:dyDescent="0.2">
      <c r="B879" s="120" t="s">
        <v>2053</v>
      </c>
      <c r="C879" s="121" t="s">
        <v>2054</v>
      </c>
      <c r="D879" s="122" t="s">
        <v>3556</v>
      </c>
      <c r="E879" s="122" t="s">
        <v>3682</v>
      </c>
      <c r="F879" s="124">
        <v>58.19</v>
      </c>
      <c r="G879" s="123">
        <v>4.6651508733461258E-2</v>
      </c>
    </row>
    <row r="880" spans="2:7" x14ac:dyDescent="0.2">
      <c r="B880" s="120" t="s">
        <v>2055</v>
      </c>
      <c r="C880" s="121" t="s">
        <v>2056</v>
      </c>
      <c r="D880" s="122" t="s">
        <v>25</v>
      </c>
      <c r="E880" s="122" t="s">
        <v>3659</v>
      </c>
      <c r="F880" s="124">
        <v>5.08</v>
      </c>
      <c r="G880" s="123">
        <v>-8.015256061502074E-2</v>
      </c>
    </row>
    <row r="881" spans="2:7" x14ac:dyDescent="0.2">
      <c r="B881" s="120" t="s">
        <v>2057</v>
      </c>
      <c r="C881" s="121" t="s">
        <v>2058</v>
      </c>
      <c r="D881" s="122" t="s">
        <v>3563</v>
      </c>
      <c r="E881" s="122" t="s">
        <v>3747</v>
      </c>
      <c r="F881" s="124">
        <v>6.35</v>
      </c>
      <c r="G881" s="123">
        <v>1.6681033389894621E-2</v>
      </c>
    </row>
    <row r="882" spans="2:7" x14ac:dyDescent="0.2">
      <c r="B882" s="120" t="s">
        <v>2059</v>
      </c>
      <c r="C882" s="121" t="s">
        <v>2060</v>
      </c>
      <c r="D882" s="122" t="s">
        <v>3556</v>
      </c>
      <c r="E882" s="122" t="s">
        <v>3628</v>
      </c>
      <c r="F882" s="124">
        <v>-3.22</v>
      </c>
      <c r="G882" s="123">
        <v>-0.10140620636964755</v>
      </c>
    </row>
    <row r="883" spans="2:7" x14ac:dyDescent="0.2">
      <c r="B883" s="120" t="s">
        <v>2061</v>
      </c>
      <c r="C883" s="121" t="s">
        <v>2062</v>
      </c>
      <c r="D883" s="122" t="s">
        <v>3576</v>
      </c>
      <c r="E883" s="122" t="s">
        <v>3620</v>
      </c>
      <c r="F883" s="124">
        <v>4.05</v>
      </c>
      <c r="G883" s="123">
        <v>8.1847978182098616E-2</v>
      </c>
    </row>
    <row r="884" spans="2:7" x14ac:dyDescent="0.2">
      <c r="B884" s="120" t="s">
        <v>2063</v>
      </c>
      <c r="C884" s="121" t="s">
        <v>2064</v>
      </c>
      <c r="D884" s="122" t="s">
        <v>3576</v>
      </c>
      <c r="E884" s="122" t="s">
        <v>3619</v>
      </c>
      <c r="F884" s="124">
        <v>-3.14</v>
      </c>
      <c r="G884" s="123">
        <v>-6.3486543999773035E-2</v>
      </c>
    </row>
    <row r="885" spans="2:7" x14ac:dyDescent="0.2">
      <c r="B885" s="120" t="s">
        <v>2065</v>
      </c>
      <c r="C885" s="121" t="s">
        <v>2066</v>
      </c>
      <c r="D885" s="122" t="s">
        <v>3580</v>
      </c>
      <c r="E885" s="122" t="s">
        <v>3750</v>
      </c>
      <c r="F885" s="124">
        <v>10.73</v>
      </c>
      <c r="G885" s="123">
        <v>-0.1424904172560113</v>
      </c>
    </row>
    <row r="886" spans="2:7" x14ac:dyDescent="0.2">
      <c r="B886" s="120" t="s">
        <v>2067</v>
      </c>
      <c r="C886" s="121" t="s">
        <v>2068</v>
      </c>
      <c r="D886" s="122" t="s">
        <v>3556</v>
      </c>
      <c r="E886" s="122" t="s">
        <v>3615</v>
      </c>
      <c r="F886" s="124">
        <v>22.1</v>
      </c>
      <c r="G886" s="123">
        <v>-3.8324636714331298E-2</v>
      </c>
    </row>
    <row r="887" spans="2:7" x14ac:dyDescent="0.2">
      <c r="B887" s="120" t="s">
        <v>2069</v>
      </c>
      <c r="C887" s="121" t="s">
        <v>2070</v>
      </c>
      <c r="D887" s="122" t="s">
        <v>24</v>
      </c>
      <c r="E887" s="122" t="s">
        <v>3713</v>
      </c>
      <c r="F887" s="124"/>
      <c r="G887" s="123">
        <v>3.7061029686575209E-2</v>
      </c>
    </row>
    <row r="888" spans="2:7" x14ac:dyDescent="0.2">
      <c r="B888" s="120" t="s">
        <v>2071</v>
      </c>
      <c r="C888" s="121" t="s">
        <v>2072</v>
      </c>
      <c r="D888" s="122" t="s">
        <v>3576</v>
      </c>
      <c r="E888" s="122" t="s">
        <v>3619</v>
      </c>
      <c r="F888" s="124">
        <v>14.74</v>
      </c>
      <c r="G888" s="123">
        <v>4.2287337750748902E-2</v>
      </c>
    </row>
    <row r="889" spans="2:7" x14ac:dyDescent="0.2">
      <c r="B889" s="120" t="s">
        <v>2073</v>
      </c>
      <c r="C889" s="121" t="s">
        <v>2074</v>
      </c>
      <c r="D889" s="122" t="s">
        <v>3561</v>
      </c>
      <c r="E889" s="122" t="s">
        <v>3768</v>
      </c>
      <c r="F889" s="124">
        <v>8.91</v>
      </c>
      <c r="G889" s="123">
        <v>-9.1374458846318923E-2</v>
      </c>
    </row>
    <row r="890" spans="2:7" x14ac:dyDescent="0.2">
      <c r="B890" s="120" t="s">
        <v>1509</v>
      </c>
      <c r="C890" s="121" t="s">
        <v>2075</v>
      </c>
      <c r="D890" s="122" t="s">
        <v>3556</v>
      </c>
      <c r="E890" s="122" t="s">
        <v>3744</v>
      </c>
      <c r="F890" s="124"/>
      <c r="G890" s="123">
        <v>0.25394212441517933</v>
      </c>
    </row>
    <row r="891" spans="2:7" x14ac:dyDescent="0.2">
      <c r="B891" s="120" t="s">
        <v>2076</v>
      </c>
      <c r="C891" s="121" t="s">
        <v>2077</v>
      </c>
      <c r="D891" s="122" t="s">
        <v>3561</v>
      </c>
      <c r="E891" s="122" t="s">
        <v>3562</v>
      </c>
      <c r="F891" s="124">
        <v>-4.05</v>
      </c>
      <c r="G891" s="123">
        <v>5.6478804421421634E-2</v>
      </c>
    </row>
    <row r="892" spans="2:7" x14ac:dyDescent="0.2">
      <c r="B892" s="120" t="s">
        <v>15</v>
      </c>
      <c r="C892" s="121" t="s">
        <v>16</v>
      </c>
      <c r="D892" s="122" t="s">
        <v>25</v>
      </c>
      <c r="E892" s="122" t="s">
        <v>3712</v>
      </c>
      <c r="F892" s="124">
        <v>16</v>
      </c>
      <c r="G892" s="123">
        <v>0.1724932336268975</v>
      </c>
    </row>
    <row r="893" spans="2:7" x14ac:dyDescent="0.2">
      <c r="B893" s="120" t="s">
        <v>2078</v>
      </c>
      <c r="C893" s="121" t="s">
        <v>2079</v>
      </c>
      <c r="D893" s="122" t="s">
        <v>3561</v>
      </c>
      <c r="E893" s="122" t="s">
        <v>3562</v>
      </c>
      <c r="F893" s="124">
        <v>3.89</v>
      </c>
      <c r="G893" s="123">
        <v>2.5147517869337558E-2</v>
      </c>
    </row>
    <row r="894" spans="2:7" x14ac:dyDescent="0.2">
      <c r="B894" s="120" t="s">
        <v>2080</v>
      </c>
      <c r="C894" s="121" t="s">
        <v>2081</v>
      </c>
      <c r="D894" s="122" t="s">
        <v>25</v>
      </c>
      <c r="E894" s="122" t="s">
        <v>3712</v>
      </c>
      <c r="F894" s="124"/>
      <c r="G894" s="123">
        <v>6.5938967871336379E-2</v>
      </c>
    </row>
    <row r="895" spans="2:7" x14ac:dyDescent="0.2">
      <c r="B895" s="120" t="s">
        <v>2082</v>
      </c>
      <c r="C895" s="121" t="s">
        <v>2083</v>
      </c>
      <c r="D895" s="122" t="s">
        <v>25</v>
      </c>
      <c r="E895" s="122" t="s">
        <v>3702</v>
      </c>
      <c r="F895" s="124">
        <v>0.83</v>
      </c>
      <c r="G895" s="123">
        <v>9.0984121203293298E-4</v>
      </c>
    </row>
    <row r="896" spans="2:7" x14ac:dyDescent="0.2">
      <c r="B896" s="120" t="s">
        <v>2084</v>
      </c>
      <c r="C896" s="121" t="s">
        <v>2085</v>
      </c>
      <c r="D896" s="122" t="s">
        <v>24</v>
      </c>
      <c r="E896" s="122" t="s">
        <v>3633</v>
      </c>
      <c r="F896" s="124"/>
      <c r="G896" s="123">
        <v>6.5023292958871354E-2</v>
      </c>
    </row>
    <row r="897" spans="2:7" x14ac:dyDescent="0.2">
      <c r="B897" s="120" t="s">
        <v>2086</v>
      </c>
      <c r="C897" s="121" t="s">
        <v>2087</v>
      </c>
      <c r="D897" s="122" t="s">
        <v>3594</v>
      </c>
      <c r="E897" s="122" t="s">
        <v>3602</v>
      </c>
      <c r="F897" s="124">
        <v>-1.79</v>
      </c>
      <c r="G897" s="123">
        <v>-6.9510298687314051E-2</v>
      </c>
    </row>
    <row r="898" spans="2:7" x14ac:dyDescent="0.2">
      <c r="B898" s="120" t="s">
        <v>2088</v>
      </c>
      <c r="C898" s="121" t="s">
        <v>2089</v>
      </c>
      <c r="D898" s="122" t="s">
        <v>3576</v>
      </c>
      <c r="E898" s="122" t="s">
        <v>3626</v>
      </c>
      <c r="F898" s="124">
        <v>-19.52</v>
      </c>
      <c r="G898" s="123">
        <v>-8.8554326667811059E-2</v>
      </c>
    </row>
    <row r="899" spans="2:7" x14ac:dyDescent="0.2">
      <c r="B899" s="120" t="s">
        <v>2090</v>
      </c>
      <c r="C899" s="121" t="s">
        <v>2091</v>
      </c>
      <c r="D899" s="122" t="s">
        <v>3569</v>
      </c>
      <c r="E899" s="122" t="s">
        <v>3572</v>
      </c>
      <c r="F899" s="124"/>
      <c r="G899" s="123">
        <v>7.2673964245099545E-2</v>
      </c>
    </row>
    <row r="900" spans="2:7" x14ac:dyDescent="0.2">
      <c r="B900" s="120" t="s">
        <v>2092</v>
      </c>
      <c r="C900" s="121" t="s">
        <v>2093</v>
      </c>
      <c r="D900" s="122" t="s">
        <v>3563</v>
      </c>
      <c r="E900" s="122" t="s">
        <v>3773</v>
      </c>
      <c r="F900" s="124">
        <v>-2.97</v>
      </c>
      <c r="G900" s="123">
        <v>-5.068457811060887E-3</v>
      </c>
    </row>
    <row r="901" spans="2:7" x14ac:dyDescent="0.2">
      <c r="B901" s="120" t="s">
        <v>2094</v>
      </c>
      <c r="C901" s="121" t="s">
        <v>2095</v>
      </c>
      <c r="D901" s="122" t="s">
        <v>3582</v>
      </c>
      <c r="E901" s="122" t="s">
        <v>3590</v>
      </c>
      <c r="F901" s="124">
        <v>12.86</v>
      </c>
      <c r="G901" s="123">
        <v>0.12437709030100334</v>
      </c>
    </row>
    <row r="902" spans="2:7" x14ac:dyDescent="0.2">
      <c r="B902" s="120" t="s">
        <v>2096</v>
      </c>
      <c r="C902" s="121" t="s">
        <v>2097</v>
      </c>
      <c r="D902" s="122" t="s">
        <v>3576</v>
      </c>
      <c r="E902" s="122" t="s">
        <v>3577</v>
      </c>
      <c r="F902" s="124">
        <v>13.65</v>
      </c>
      <c r="G902" s="123">
        <v>3.9023794826104984E-2</v>
      </c>
    </row>
    <row r="903" spans="2:7" x14ac:dyDescent="0.2">
      <c r="B903" s="120" t="s">
        <v>2098</v>
      </c>
      <c r="C903" s="121" t="s">
        <v>2099</v>
      </c>
      <c r="D903" s="122" t="s">
        <v>3576</v>
      </c>
      <c r="E903" s="122" t="s">
        <v>3584</v>
      </c>
      <c r="F903" s="124">
        <v>-5.5</v>
      </c>
      <c r="G903" s="123">
        <v>-8.7475389181027721E-2</v>
      </c>
    </row>
    <row r="904" spans="2:7" x14ac:dyDescent="0.2">
      <c r="B904" s="120" t="s">
        <v>2100</v>
      </c>
      <c r="C904" s="121" t="s">
        <v>2101</v>
      </c>
      <c r="D904" s="122" t="s">
        <v>3582</v>
      </c>
      <c r="E904" s="122" t="s">
        <v>3777</v>
      </c>
      <c r="F904" s="124">
        <v>2.08</v>
      </c>
      <c r="G904" s="123">
        <v>-3.7810081759976702E-2</v>
      </c>
    </row>
    <row r="905" spans="2:7" x14ac:dyDescent="0.2">
      <c r="B905" s="120" t="s">
        <v>2102</v>
      </c>
      <c r="C905" s="121" t="s">
        <v>2103</v>
      </c>
      <c r="D905" s="122" t="s">
        <v>3556</v>
      </c>
      <c r="E905" s="122" t="s">
        <v>3579</v>
      </c>
      <c r="F905" s="124">
        <v>3.14</v>
      </c>
      <c r="G905" s="123">
        <v>7.4905214965305125E-2</v>
      </c>
    </row>
    <row r="906" spans="2:7" x14ac:dyDescent="0.2">
      <c r="B906" s="120" t="s">
        <v>2104</v>
      </c>
      <c r="C906" s="121" t="s">
        <v>2105</v>
      </c>
      <c r="D906" s="122" t="s">
        <v>25</v>
      </c>
      <c r="E906" s="122" t="s">
        <v>3703</v>
      </c>
      <c r="F906" s="124">
        <v>13.05</v>
      </c>
      <c r="G906" s="123">
        <v>1.7465404663262275E-2</v>
      </c>
    </row>
    <row r="907" spans="2:7" x14ac:dyDescent="0.2">
      <c r="B907" s="120" t="s">
        <v>2106</v>
      </c>
      <c r="C907" s="121" t="s">
        <v>2107</v>
      </c>
      <c r="D907" s="122" t="s">
        <v>3580</v>
      </c>
      <c r="E907" s="122" t="s">
        <v>3649</v>
      </c>
      <c r="F907" s="124">
        <v>0.04</v>
      </c>
      <c r="G907" s="123">
        <v>8.2421916497187973E-3</v>
      </c>
    </row>
    <row r="908" spans="2:7" x14ac:dyDescent="0.2">
      <c r="B908" s="120" t="s">
        <v>2108</v>
      </c>
      <c r="C908" s="121" t="s">
        <v>2109</v>
      </c>
      <c r="D908" s="122" t="s">
        <v>3569</v>
      </c>
      <c r="E908" s="122" t="s">
        <v>3574</v>
      </c>
      <c r="F908" s="124">
        <v>10.62</v>
      </c>
      <c r="G908" s="123">
        <v>7.8679700334385913E-2</v>
      </c>
    </row>
    <row r="909" spans="2:7" x14ac:dyDescent="0.2">
      <c r="B909" s="120" t="s">
        <v>2110</v>
      </c>
      <c r="C909" s="121" t="s">
        <v>2111</v>
      </c>
      <c r="D909" s="122" t="s">
        <v>25</v>
      </c>
      <c r="E909" s="122" t="s">
        <v>3645</v>
      </c>
      <c r="F909" s="124">
        <v>-6.86</v>
      </c>
      <c r="G909" s="123">
        <v>-1.0798301890975068E-2</v>
      </c>
    </row>
    <row r="910" spans="2:7" x14ac:dyDescent="0.2">
      <c r="B910" s="120" t="s">
        <v>2112</v>
      </c>
      <c r="C910" s="121" t="s">
        <v>2113</v>
      </c>
      <c r="D910" s="122" t="s">
        <v>3556</v>
      </c>
      <c r="E910" s="122" t="s">
        <v>3621</v>
      </c>
      <c r="F910" s="124">
        <v>-4.04</v>
      </c>
      <c r="G910" s="123">
        <v>6.8638279368848518E-2</v>
      </c>
    </row>
    <row r="911" spans="2:7" x14ac:dyDescent="0.2">
      <c r="B911" s="120" t="s">
        <v>2114</v>
      </c>
      <c r="C911" s="121" t="s">
        <v>2115</v>
      </c>
      <c r="D911" s="122" t="s">
        <v>3563</v>
      </c>
      <c r="E911" s="122" t="s">
        <v>3690</v>
      </c>
      <c r="F911" s="124">
        <v>-6.05</v>
      </c>
      <c r="G911" s="123">
        <v>4.7321000513669614E-3</v>
      </c>
    </row>
    <row r="912" spans="2:7" x14ac:dyDescent="0.2">
      <c r="B912" s="120" t="s">
        <v>2116</v>
      </c>
      <c r="C912" s="121" t="s">
        <v>2117</v>
      </c>
      <c r="D912" s="122" t="s">
        <v>3556</v>
      </c>
      <c r="E912" s="122" t="s">
        <v>3586</v>
      </c>
      <c r="F912" s="124">
        <v>26.16</v>
      </c>
      <c r="G912" s="123">
        <v>1.2546987568931646E-2</v>
      </c>
    </row>
    <row r="913" spans="2:7" x14ac:dyDescent="0.2">
      <c r="B913" s="120" t="s">
        <v>2118</v>
      </c>
      <c r="C913" s="121" t="s">
        <v>2119</v>
      </c>
      <c r="D913" s="122" t="s">
        <v>3569</v>
      </c>
      <c r="E913" s="122" t="s">
        <v>3571</v>
      </c>
      <c r="F913" s="124">
        <v>5.05</v>
      </c>
      <c r="G913" s="123">
        <v>4.2524956956686059E-2</v>
      </c>
    </row>
    <row r="914" spans="2:7" x14ac:dyDescent="0.2">
      <c r="B914" s="120" t="s">
        <v>2120</v>
      </c>
      <c r="C914" s="121" t="s">
        <v>2121</v>
      </c>
      <c r="D914" s="122" t="s">
        <v>3576</v>
      </c>
      <c r="E914" s="122" t="s">
        <v>3651</v>
      </c>
      <c r="F914" s="124">
        <v>8.08</v>
      </c>
      <c r="G914" s="123">
        <v>5.5741501789452447E-2</v>
      </c>
    </row>
    <row r="915" spans="2:7" x14ac:dyDescent="0.2">
      <c r="B915" s="120" t="s">
        <v>2122</v>
      </c>
      <c r="C915" s="121" t="s">
        <v>2123</v>
      </c>
      <c r="D915" s="122" t="s">
        <v>3576</v>
      </c>
      <c r="E915" s="122" t="s">
        <v>3578</v>
      </c>
      <c r="F915" s="124">
        <v>4.41</v>
      </c>
      <c r="G915" s="123">
        <v>0.10646452366863902</v>
      </c>
    </row>
    <row r="916" spans="2:7" x14ac:dyDescent="0.2">
      <c r="B916" s="120" t="s">
        <v>2124</v>
      </c>
      <c r="C916" s="121" t="s">
        <v>2125</v>
      </c>
      <c r="D916" s="122" t="s">
        <v>3556</v>
      </c>
      <c r="E916" s="122" t="s">
        <v>3630</v>
      </c>
      <c r="F916" s="124"/>
      <c r="G916" s="123">
        <v>0.46273679874166729</v>
      </c>
    </row>
    <row r="917" spans="2:7" x14ac:dyDescent="0.2">
      <c r="B917" s="120" t="s">
        <v>2126</v>
      </c>
      <c r="C917" s="121" t="s">
        <v>2127</v>
      </c>
      <c r="D917" s="122" t="s">
        <v>3569</v>
      </c>
      <c r="E917" s="122" t="s">
        <v>3575</v>
      </c>
      <c r="F917" s="124"/>
      <c r="G917" s="123">
        <v>1.9315960912052117</v>
      </c>
    </row>
    <row r="918" spans="2:7" x14ac:dyDescent="0.2">
      <c r="B918" s="120" t="s">
        <v>2128</v>
      </c>
      <c r="C918" s="121" t="s">
        <v>2129</v>
      </c>
      <c r="D918" s="122" t="s">
        <v>24</v>
      </c>
      <c r="E918" s="122" t="s">
        <v>3633</v>
      </c>
      <c r="F918" s="124">
        <v>-6.19</v>
      </c>
      <c r="G918" s="123">
        <v>-3.3838206492405407E-3</v>
      </c>
    </row>
    <row r="919" spans="2:7" x14ac:dyDescent="0.2">
      <c r="B919" s="120" t="s">
        <v>2130</v>
      </c>
      <c r="C919" s="121" t="s">
        <v>2131</v>
      </c>
      <c r="D919" s="122" t="s">
        <v>3569</v>
      </c>
      <c r="E919" s="122" t="s">
        <v>3697</v>
      </c>
      <c r="F919" s="124">
        <v>17.37</v>
      </c>
      <c r="G919" s="123">
        <v>0.16396097215667754</v>
      </c>
    </row>
    <row r="920" spans="2:7" x14ac:dyDescent="0.2">
      <c r="B920" s="120" t="s">
        <v>2132</v>
      </c>
      <c r="C920" s="121" t="s">
        <v>2133</v>
      </c>
      <c r="D920" s="122" t="s">
        <v>3569</v>
      </c>
      <c r="E920" s="122" t="s">
        <v>3572</v>
      </c>
      <c r="F920" s="124">
        <v>10.220000000000001</v>
      </c>
      <c r="G920" s="123">
        <v>3.0886501292666166E-2</v>
      </c>
    </row>
    <row r="921" spans="2:7" x14ac:dyDescent="0.2">
      <c r="B921" s="120" t="s">
        <v>2134</v>
      </c>
      <c r="C921" s="121" t="s">
        <v>2135</v>
      </c>
      <c r="D921" s="122" t="s">
        <v>3591</v>
      </c>
      <c r="E921" s="122" t="s">
        <v>3643</v>
      </c>
      <c r="F921" s="124">
        <v>0.57999999999999996</v>
      </c>
      <c r="G921" s="123">
        <v>6.8717450790007864E-2</v>
      </c>
    </row>
    <row r="922" spans="2:7" x14ac:dyDescent="0.2">
      <c r="B922" s="120" t="s">
        <v>2136</v>
      </c>
      <c r="C922" s="121" t="s">
        <v>2137</v>
      </c>
      <c r="D922" s="122" t="s">
        <v>3569</v>
      </c>
      <c r="E922" s="122" t="s">
        <v>3718</v>
      </c>
      <c r="F922" s="124">
        <v>25.42</v>
      </c>
      <c r="G922" s="123">
        <v>0.21579070097503503</v>
      </c>
    </row>
    <row r="923" spans="2:7" x14ac:dyDescent="0.2">
      <c r="B923" s="120" t="s">
        <v>2138</v>
      </c>
      <c r="C923" s="121" t="s">
        <v>2139</v>
      </c>
      <c r="D923" s="122" t="s">
        <v>3563</v>
      </c>
      <c r="E923" s="122" t="s">
        <v>3622</v>
      </c>
      <c r="F923" s="124">
        <v>31.58</v>
      </c>
      <c r="G923" s="123">
        <v>0.58563184107248278</v>
      </c>
    </row>
    <row r="924" spans="2:7" x14ac:dyDescent="0.2">
      <c r="B924" s="120" t="s">
        <v>2140</v>
      </c>
      <c r="C924" s="121" t="s">
        <v>2141</v>
      </c>
      <c r="D924" s="122" t="s">
        <v>3576</v>
      </c>
      <c r="E924" s="122" t="s">
        <v>3593</v>
      </c>
      <c r="F924" s="124">
        <v>-2.13</v>
      </c>
      <c r="G924" s="123">
        <v>-5.0881060920504546E-2</v>
      </c>
    </row>
    <row r="925" spans="2:7" x14ac:dyDescent="0.2">
      <c r="B925" s="120" t="s">
        <v>2142</v>
      </c>
      <c r="C925" s="121" t="s">
        <v>2143</v>
      </c>
      <c r="D925" s="122" t="s">
        <v>3576</v>
      </c>
      <c r="E925" s="122" t="s">
        <v>3600</v>
      </c>
      <c r="F925" s="124">
        <v>-2.21</v>
      </c>
      <c r="G925" s="123">
        <v>-0.41317183488050563</v>
      </c>
    </row>
    <row r="926" spans="2:7" x14ac:dyDescent="0.2">
      <c r="B926" s="120" t="s">
        <v>2144</v>
      </c>
      <c r="C926" s="121" t="s">
        <v>2145</v>
      </c>
      <c r="D926" s="122" t="s">
        <v>3576</v>
      </c>
      <c r="E926" s="122" t="s">
        <v>3641</v>
      </c>
      <c r="F926" s="124">
        <v>0.21</v>
      </c>
      <c r="G926" s="123">
        <v>0.78308288003490467</v>
      </c>
    </row>
    <row r="927" spans="2:7" x14ac:dyDescent="0.2">
      <c r="B927" s="120" t="s">
        <v>2146</v>
      </c>
      <c r="C927" s="121" t="s">
        <v>2147</v>
      </c>
      <c r="D927" s="122" t="s">
        <v>3576</v>
      </c>
      <c r="E927" s="122" t="s">
        <v>3626</v>
      </c>
      <c r="F927" s="124">
        <v>6.44</v>
      </c>
      <c r="G927" s="123">
        <v>-1</v>
      </c>
    </row>
    <row r="928" spans="2:7" x14ac:dyDescent="0.2">
      <c r="B928" s="120" t="s">
        <v>2148</v>
      </c>
      <c r="C928" s="121" t="s">
        <v>2149</v>
      </c>
      <c r="D928" s="122" t="s">
        <v>3610</v>
      </c>
      <c r="E928" s="122" t="s">
        <v>3611</v>
      </c>
      <c r="F928" s="124">
        <v>4.18</v>
      </c>
      <c r="G928" s="123">
        <v>-1.6714103901829726E-2</v>
      </c>
    </row>
    <row r="929" spans="2:7" x14ac:dyDescent="0.2">
      <c r="B929" s="120" t="s">
        <v>2150</v>
      </c>
      <c r="C929" s="121" t="s">
        <v>2151</v>
      </c>
      <c r="D929" s="122" t="s">
        <v>3610</v>
      </c>
      <c r="E929" s="122" t="s">
        <v>3672</v>
      </c>
      <c r="F929" s="124"/>
      <c r="G929" s="123">
        <v>2.7485713989185482E-2</v>
      </c>
    </row>
    <row r="930" spans="2:7" x14ac:dyDescent="0.2">
      <c r="B930" s="120" t="s">
        <v>2152</v>
      </c>
      <c r="C930" s="121" t="s">
        <v>2153</v>
      </c>
      <c r="D930" s="122" t="s">
        <v>25</v>
      </c>
      <c r="E930" s="122" t="s">
        <v>3702</v>
      </c>
      <c r="F930" s="124">
        <v>5.47</v>
      </c>
      <c r="G930" s="123">
        <v>0.10709009699824017</v>
      </c>
    </row>
    <row r="931" spans="2:7" x14ac:dyDescent="0.2">
      <c r="B931" s="120" t="s">
        <v>2154</v>
      </c>
      <c r="C931" s="121" t="s">
        <v>2155</v>
      </c>
      <c r="D931" s="122" t="s">
        <v>3612</v>
      </c>
      <c r="E931" s="122" t="s">
        <v>3627</v>
      </c>
      <c r="F931" s="124"/>
      <c r="G931" s="123">
        <v>0.1194243200362648</v>
      </c>
    </row>
    <row r="932" spans="2:7" x14ac:dyDescent="0.2">
      <c r="B932" s="120" t="s">
        <v>2156</v>
      </c>
      <c r="C932" s="121" t="s">
        <v>2157</v>
      </c>
      <c r="D932" s="122" t="s">
        <v>25</v>
      </c>
      <c r="E932" s="122" t="s">
        <v>3778</v>
      </c>
      <c r="F932" s="124">
        <v>6.47</v>
      </c>
      <c r="G932" s="123">
        <v>2.0985403104884183E-3</v>
      </c>
    </row>
    <row r="933" spans="2:7" x14ac:dyDescent="0.2">
      <c r="B933" s="120" t="s">
        <v>2158</v>
      </c>
      <c r="C933" s="121" t="s">
        <v>2159</v>
      </c>
      <c r="D933" s="122" t="s">
        <v>3558</v>
      </c>
      <c r="E933" s="122" t="s">
        <v>3642</v>
      </c>
      <c r="F933" s="124"/>
      <c r="G933" s="123">
        <v>1.9907700840060129E-2</v>
      </c>
    </row>
    <row r="934" spans="2:7" x14ac:dyDescent="0.2">
      <c r="B934" s="120" t="s">
        <v>2160</v>
      </c>
      <c r="C934" s="121" t="s">
        <v>2161</v>
      </c>
      <c r="D934" s="122" t="s">
        <v>3679</v>
      </c>
      <c r="E934" s="122" t="s">
        <v>3680</v>
      </c>
      <c r="F934" s="124">
        <v>7.33</v>
      </c>
      <c r="G934" s="123">
        <v>1.0996134042565308E-2</v>
      </c>
    </row>
    <row r="935" spans="2:7" x14ac:dyDescent="0.2">
      <c r="B935" s="120" t="s">
        <v>2162</v>
      </c>
      <c r="C935" s="121" t="s">
        <v>2163</v>
      </c>
      <c r="D935" s="122" t="s">
        <v>3558</v>
      </c>
      <c r="E935" s="122" t="s">
        <v>3642</v>
      </c>
      <c r="F935" s="124">
        <v>13.55</v>
      </c>
      <c r="G935" s="123">
        <v>0.10769646300125231</v>
      </c>
    </row>
    <row r="936" spans="2:7" x14ac:dyDescent="0.2">
      <c r="B936" s="120" t="s">
        <v>2164</v>
      </c>
      <c r="C936" s="121" t="s">
        <v>2165</v>
      </c>
      <c r="D936" s="122" t="s">
        <v>24</v>
      </c>
      <c r="E936" s="122" t="s">
        <v>3633</v>
      </c>
      <c r="F936" s="124">
        <v>6.23</v>
      </c>
      <c r="G936" s="123">
        <v>-6.5336667344560988E-3</v>
      </c>
    </row>
    <row r="937" spans="2:7" x14ac:dyDescent="0.2">
      <c r="B937" s="120" t="s">
        <v>2166</v>
      </c>
      <c r="C937" s="121" t="s">
        <v>2167</v>
      </c>
      <c r="D937" s="122" t="s">
        <v>3576</v>
      </c>
      <c r="E937" s="122" t="s">
        <v>3578</v>
      </c>
      <c r="F937" s="124">
        <v>9.4</v>
      </c>
      <c r="G937" s="123">
        <v>0.15831368937729576</v>
      </c>
    </row>
    <row r="938" spans="2:7" x14ac:dyDescent="0.2">
      <c r="B938" s="120" t="s">
        <v>2168</v>
      </c>
      <c r="C938" s="121" t="s">
        <v>2169</v>
      </c>
      <c r="D938" s="122" t="s">
        <v>3556</v>
      </c>
      <c r="E938" s="122" t="s">
        <v>3741</v>
      </c>
      <c r="F938" s="124">
        <v>30.79</v>
      </c>
      <c r="G938" s="123">
        <v>-8.6775163726260374E-2</v>
      </c>
    </row>
    <row r="939" spans="2:7" x14ac:dyDescent="0.2">
      <c r="B939" s="120" t="s">
        <v>2170</v>
      </c>
      <c r="C939" s="121" t="s">
        <v>2171</v>
      </c>
      <c r="D939" s="122" t="s">
        <v>3576</v>
      </c>
      <c r="E939" s="122" t="s">
        <v>3688</v>
      </c>
      <c r="F939" s="124">
        <v>13.31</v>
      </c>
      <c r="G939" s="123">
        <v>0.13951144477351515</v>
      </c>
    </row>
    <row r="940" spans="2:7" x14ac:dyDescent="0.2">
      <c r="B940" s="120" t="s">
        <v>2172</v>
      </c>
      <c r="C940" s="121" t="s">
        <v>2173</v>
      </c>
      <c r="D940" s="122" t="s">
        <v>25</v>
      </c>
      <c r="E940" s="122" t="s">
        <v>3702</v>
      </c>
      <c r="F940" s="124">
        <v>4.58</v>
      </c>
      <c r="G940" s="123">
        <v>8.8841506559064448E-2</v>
      </c>
    </row>
    <row r="941" spans="2:7" x14ac:dyDescent="0.2">
      <c r="B941" s="120" t="s">
        <v>2174</v>
      </c>
      <c r="C941" s="121" t="s">
        <v>2175</v>
      </c>
      <c r="D941" s="122" t="s">
        <v>3580</v>
      </c>
      <c r="E941" s="122" t="s">
        <v>3601</v>
      </c>
      <c r="F941" s="124">
        <v>8.58</v>
      </c>
      <c r="G941" s="123">
        <v>2.9835955299733465E-2</v>
      </c>
    </row>
    <row r="942" spans="2:7" x14ac:dyDescent="0.2">
      <c r="B942" s="120" t="s">
        <v>2176</v>
      </c>
      <c r="C942" s="121" t="s">
        <v>2177</v>
      </c>
      <c r="D942" s="122" t="s">
        <v>3556</v>
      </c>
      <c r="E942" s="122" t="s">
        <v>3616</v>
      </c>
      <c r="F942" s="124">
        <v>21.21</v>
      </c>
      <c r="G942" s="123">
        <v>0.17124386905964686</v>
      </c>
    </row>
    <row r="943" spans="2:7" x14ac:dyDescent="0.2">
      <c r="B943" s="120" t="s">
        <v>2178</v>
      </c>
      <c r="C943" s="121" t="s">
        <v>2179</v>
      </c>
      <c r="D943" s="122" t="s">
        <v>3576</v>
      </c>
      <c r="E943" s="122" t="s">
        <v>3603</v>
      </c>
      <c r="F943" s="124">
        <v>4.2699999999999996</v>
      </c>
      <c r="G943" s="123">
        <v>0.12811559331103667</v>
      </c>
    </row>
    <row r="944" spans="2:7" x14ac:dyDescent="0.2">
      <c r="B944" s="120" t="s">
        <v>2180</v>
      </c>
      <c r="C944" s="121" t="s">
        <v>2181</v>
      </c>
      <c r="D944" s="122" t="s">
        <v>3679</v>
      </c>
      <c r="E944" s="122" t="s">
        <v>3680</v>
      </c>
      <c r="F944" s="124">
        <v>1.1100000000000001</v>
      </c>
      <c r="G944" s="123">
        <v>-1.6401838852434E-2</v>
      </c>
    </row>
    <row r="945" spans="2:7" x14ac:dyDescent="0.2">
      <c r="B945" s="120" t="s">
        <v>2182</v>
      </c>
      <c r="C945" s="121" t="s">
        <v>2183</v>
      </c>
      <c r="D945" s="122" t="s">
        <v>3612</v>
      </c>
      <c r="E945" s="122" t="s">
        <v>3670</v>
      </c>
      <c r="F945" s="124">
        <v>5.84</v>
      </c>
      <c r="G945" s="123">
        <v>1.0032643805035792E-2</v>
      </c>
    </row>
    <row r="946" spans="2:7" x14ac:dyDescent="0.2">
      <c r="B946" s="120" t="s">
        <v>2184</v>
      </c>
      <c r="C946" s="121" t="s">
        <v>2185</v>
      </c>
      <c r="D946" s="122" t="s">
        <v>3582</v>
      </c>
      <c r="E946" s="122" t="s">
        <v>3655</v>
      </c>
      <c r="F946" s="124">
        <v>8.01</v>
      </c>
      <c r="G946" s="123">
        <v>0.21119371802160339</v>
      </c>
    </row>
    <row r="947" spans="2:7" x14ac:dyDescent="0.2">
      <c r="B947" s="120" t="s">
        <v>2186</v>
      </c>
      <c r="C947" s="121" t="s">
        <v>2187</v>
      </c>
      <c r="D947" s="122" t="s">
        <v>24</v>
      </c>
      <c r="E947" s="122" t="s">
        <v>3693</v>
      </c>
      <c r="F947" s="124">
        <v>11.39</v>
      </c>
      <c r="G947" s="123">
        <v>9.7976927804832081E-2</v>
      </c>
    </row>
    <row r="948" spans="2:7" x14ac:dyDescent="0.2">
      <c r="B948" s="120" t="s">
        <v>2188</v>
      </c>
      <c r="C948" s="121" t="s">
        <v>2189</v>
      </c>
      <c r="D948" s="122" t="s">
        <v>24</v>
      </c>
      <c r="E948" s="122" t="s">
        <v>3675</v>
      </c>
      <c r="F948" s="124">
        <v>0.4</v>
      </c>
      <c r="G948" s="123">
        <v>-0.22298752050149814</v>
      </c>
    </row>
    <row r="949" spans="2:7" x14ac:dyDescent="0.2">
      <c r="B949" s="120" t="s">
        <v>2190</v>
      </c>
      <c r="C949" s="121" t="s">
        <v>2191</v>
      </c>
      <c r="D949" s="122" t="s">
        <v>3605</v>
      </c>
      <c r="E949" s="122" t="s">
        <v>3606</v>
      </c>
      <c r="F949" s="124">
        <v>1.6</v>
      </c>
      <c r="G949" s="123">
        <v>6.312304620460836E-2</v>
      </c>
    </row>
    <row r="950" spans="2:7" x14ac:dyDescent="0.2">
      <c r="B950" s="120" t="s">
        <v>2192</v>
      </c>
      <c r="C950" s="121" t="s">
        <v>2193</v>
      </c>
      <c r="D950" s="122" t="s">
        <v>3569</v>
      </c>
      <c r="E950" s="122" t="s">
        <v>3625</v>
      </c>
      <c r="F950" s="124">
        <v>16.13</v>
      </c>
      <c r="G950" s="123">
        <v>-0.12122857702488084</v>
      </c>
    </row>
    <row r="951" spans="2:7" x14ac:dyDescent="0.2">
      <c r="B951" s="120" t="s">
        <v>2194</v>
      </c>
      <c r="C951" s="121" t="s">
        <v>2195</v>
      </c>
      <c r="D951" s="122" t="s">
        <v>3556</v>
      </c>
      <c r="E951" s="122" t="s">
        <v>3756</v>
      </c>
      <c r="F951" s="124">
        <v>159.96</v>
      </c>
      <c r="G951" s="123">
        <v>0.22008694113846472</v>
      </c>
    </row>
    <row r="952" spans="2:7" x14ac:dyDescent="0.2">
      <c r="B952" s="120" t="s">
        <v>2196</v>
      </c>
      <c r="C952" s="121" t="s">
        <v>2197</v>
      </c>
      <c r="D952" s="122" t="s">
        <v>3594</v>
      </c>
      <c r="E952" s="122" t="s">
        <v>3732</v>
      </c>
      <c r="F952" s="124"/>
      <c r="G952" s="123">
        <v>-5.8070360586119293E-2</v>
      </c>
    </row>
    <row r="953" spans="2:7" x14ac:dyDescent="0.2">
      <c r="B953" s="120" t="s">
        <v>2198</v>
      </c>
      <c r="C953" s="121" t="s">
        <v>2199</v>
      </c>
      <c r="D953" s="122" t="s">
        <v>3563</v>
      </c>
      <c r="E953" s="122" t="s">
        <v>3622</v>
      </c>
      <c r="F953" s="124"/>
      <c r="G953" s="123">
        <v>0.23726838393869196</v>
      </c>
    </row>
    <row r="954" spans="2:7" x14ac:dyDescent="0.2">
      <c r="B954" s="120" t="s">
        <v>2200</v>
      </c>
      <c r="C954" s="121" t="s">
        <v>2201</v>
      </c>
      <c r="D954" s="122" t="s">
        <v>3594</v>
      </c>
      <c r="E954" s="122" t="s">
        <v>3698</v>
      </c>
      <c r="F954" s="124">
        <v>-0.28000000000000003</v>
      </c>
      <c r="G954" s="123">
        <v>-3.0090487415643626E-2</v>
      </c>
    </row>
    <row r="955" spans="2:7" x14ac:dyDescent="0.2">
      <c r="B955" s="120" t="s">
        <v>2202</v>
      </c>
      <c r="C955" s="121" t="s">
        <v>2203</v>
      </c>
      <c r="D955" s="122" t="s">
        <v>3612</v>
      </c>
      <c r="E955" s="122" t="s">
        <v>3739</v>
      </c>
      <c r="F955" s="124">
        <v>2.4500000000000002</v>
      </c>
      <c r="G955" s="123">
        <v>0.28710515097526318</v>
      </c>
    </row>
    <row r="956" spans="2:7" x14ac:dyDescent="0.2">
      <c r="B956" s="120" t="s">
        <v>2204</v>
      </c>
      <c r="C956" s="121" t="s">
        <v>2205</v>
      </c>
      <c r="D956" s="122" t="s">
        <v>3612</v>
      </c>
      <c r="E956" s="122" t="s">
        <v>3716</v>
      </c>
      <c r="F956" s="124">
        <v>89.07</v>
      </c>
      <c r="G956" s="123">
        <v>0.25457183190661481</v>
      </c>
    </row>
    <row r="957" spans="2:7" x14ac:dyDescent="0.2">
      <c r="B957" s="120" t="s">
        <v>2206</v>
      </c>
      <c r="C957" s="121" t="s">
        <v>2207</v>
      </c>
      <c r="D957" s="122" t="s">
        <v>3576</v>
      </c>
      <c r="E957" s="122" t="s">
        <v>3619</v>
      </c>
      <c r="F957" s="124">
        <v>24.5</v>
      </c>
      <c r="G957" s="123">
        <v>1.4329806760821935E-2</v>
      </c>
    </row>
    <row r="958" spans="2:7" x14ac:dyDescent="0.2">
      <c r="B958" s="120" t="s">
        <v>2208</v>
      </c>
      <c r="C958" s="121" t="s">
        <v>2209</v>
      </c>
      <c r="D958" s="122" t="s">
        <v>3556</v>
      </c>
      <c r="E958" s="122" t="s">
        <v>3586</v>
      </c>
      <c r="F958" s="124">
        <v>19.28</v>
      </c>
      <c r="G958" s="123">
        <v>6.40354579484185E-2</v>
      </c>
    </row>
    <row r="959" spans="2:7" x14ac:dyDescent="0.2">
      <c r="B959" s="120" t="s">
        <v>2210</v>
      </c>
      <c r="C959" s="121" t="s">
        <v>2211</v>
      </c>
      <c r="D959" s="122" t="s">
        <v>3556</v>
      </c>
      <c r="E959" s="122" t="s">
        <v>3628</v>
      </c>
      <c r="F959" s="124">
        <v>28.99</v>
      </c>
      <c r="G959" s="123">
        <v>0.16157254788160183</v>
      </c>
    </row>
    <row r="960" spans="2:7" x14ac:dyDescent="0.2">
      <c r="B960" s="120" t="s">
        <v>2212</v>
      </c>
      <c r="C960" s="121" t="s">
        <v>2213</v>
      </c>
      <c r="D960" s="122" t="s">
        <v>3569</v>
      </c>
      <c r="E960" s="122" t="s">
        <v>3570</v>
      </c>
      <c r="F960" s="124">
        <v>0.77</v>
      </c>
      <c r="G960" s="123">
        <v>8.9679442474109819E-2</v>
      </c>
    </row>
    <row r="961" spans="2:7" x14ac:dyDescent="0.2">
      <c r="B961" s="120" t="s">
        <v>2214</v>
      </c>
      <c r="C961" s="121" t="s">
        <v>2215</v>
      </c>
      <c r="D961" s="122" t="s">
        <v>3569</v>
      </c>
      <c r="E961" s="122" t="s">
        <v>3575</v>
      </c>
      <c r="F961" s="124"/>
      <c r="G961" s="123">
        <v>-0.34312586066484041</v>
      </c>
    </row>
    <row r="962" spans="2:7" x14ac:dyDescent="0.2">
      <c r="B962" s="120" t="s">
        <v>2216</v>
      </c>
      <c r="C962" s="121" t="s">
        <v>2217</v>
      </c>
      <c r="D962" s="122" t="s">
        <v>3612</v>
      </c>
      <c r="E962" s="122" t="s">
        <v>3613</v>
      </c>
      <c r="F962" s="124">
        <v>-11.07</v>
      </c>
      <c r="G962" s="123">
        <v>-0.19304468550592518</v>
      </c>
    </row>
    <row r="963" spans="2:7" x14ac:dyDescent="0.2">
      <c r="B963" s="120" t="s">
        <v>2218</v>
      </c>
      <c r="C963" s="121" t="s">
        <v>2219</v>
      </c>
      <c r="D963" s="122" t="s">
        <v>3569</v>
      </c>
      <c r="E963" s="122" t="s">
        <v>3575</v>
      </c>
      <c r="F963" s="124"/>
      <c r="G963" s="123">
        <v>-0.84641144624903319</v>
      </c>
    </row>
    <row r="964" spans="2:7" x14ac:dyDescent="0.2">
      <c r="B964" s="120" t="s">
        <v>2220</v>
      </c>
      <c r="C964" s="121" t="s">
        <v>2221</v>
      </c>
      <c r="D964" s="122" t="s">
        <v>3556</v>
      </c>
      <c r="E964" s="122" t="s">
        <v>3727</v>
      </c>
      <c r="F964" s="124">
        <v>-5.0999999999999996</v>
      </c>
      <c r="G964" s="123">
        <v>-6.3704573607975393E-2</v>
      </c>
    </row>
    <row r="965" spans="2:7" x14ac:dyDescent="0.2">
      <c r="B965" s="120" t="s">
        <v>2222</v>
      </c>
      <c r="C965" s="121" t="s">
        <v>2223</v>
      </c>
      <c r="D965" s="122" t="s">
        <v>3563</v>
      </c>
      <c r="E965" s="122" t="s">
        <v>3779</v>
      </c>
      <c r="F965" s="124"/>
      <c r="G965" s="123">
        <v>-7.1833833487519455E-2</v>
      </c>
    </row>
    <row r="966" spans="2:7" x14ac:dyDescent="0.2">
      <c r="B966" s="120" t="s">
        <v>2224</v>
      </c>
      <c r="C966" s="121" t="s">
        <v>2225</v>
      </c>
      <c r="D966" s="122" t="s">
        <v>3576</v>
      </c>
      <c r="E966" s="122" t="s">
        <v>3620</v>
      </c>
      <c r="F966" s="124">
        <v>7.68</v>
      </c>
      <c r="G966" s="123">
        <v>-0.21178843424381888</v>
      </c>
    </row>
    <row r="967" spans="2:7" x14ac:dyDescent="0.2">
      <c r="B967" s="120" t="s">
        <v>2226</v>
      </c>
      <c r="C967" s="121" t="s">
        <v>2227</v>
      </c>
      <c r="D967" s="122" t="s">
        <v>3558</v>
      </c>
      <c r="E967" s="122" t="s">
        <v>3567</v>
      </c>
      <c r="F967" s="124">
        <v>4.4800000000000004</v>
      </c>
      <c r="G967" s="123">
        <v>4.2763419483101396E-2</v>
      </c>
    </row>
    <row r="968" spans="2:7" x14ac:dyDescent="0.2">
      <c r="B968" s="120" t="s">
        <v>2228</v>
      </c>
      <c r="C968" s="121" t="s">
        <v>2229</v>
      </c>
      <c r="D968" s="122" t="s">
        <v>3576</v>
      </c>
      <c r="E968" s="122" t="s">
        <v>3578</v>
      </c>
      <c r="F968" s="124"/>
      <c r="G968" s="123">
        <v>-1</v>
      </c>
    </row>
    <row r="969" spans="2:7" x14ac:dyDescent="0.2">
      <c r="B969" s="120" t="s">
        <v>2230</v>
      </c>
      <c r="C969" s="121" t="s">
        <v>2231</v>
      </c>
      <c r="D969" s="122" t="s">
        <v>3556</v>
      </c>
      <c r="E969" s="122" t="s">
        <v>3723</v>
      </c>
      <c r="F969" s="124">
        <v>9.19</v>
      </c>
      <c r="G969" s="123">
        <v>7.5957802758755258E-2</v>
      </c>
    </row>
    <row r="970" spans="2:7" x14ac:dyDescent="0.2">
      <c r="B970" s="120" t="s">
        <v>2232</v>
      </c>
      <c r="C970" s="121" t="s">
        <v>2233</v>
      </c>
      <c r="D970" s="122" t="s">
        <v>3556</v>
      </c>
      <c r="E970" s="122" t="s">
        <v>3579</v>
      </c>
      <c r="F970" s="124">
        <v>6.78</v>
      </c>
      <c r="G970" s="123">
        <v>0.11156733985998427</v>
      </c>
    </row>
    <row r="971" spans="2:7" x14ac:dyDescent="0.2">
      <c r="B971" s="120" t="s">
        <v>2234</v>
      </c>
      <c r="C971" s="121" t="s">
        <v>2235</v>
      </c>
      <c r="D971" s="122" t="s">
        <v>25</v>
      </c>
      <c r="E971" s="122" t="s">
        <v>3694</v>
      </c>
      <c r="F971" s="124">
        <v>13.38</v>
      </c>
      <c r="G971" s="123">
        <v>5.6798917275162931E-2</v>
      </c>
    </row>
    <row r="972" spans="2:7" x14ac:dyDescent="0.2">
      <c r="B972" s="120" t="s">
        <v>2236</v>
      </c>
      <c r="C972" s="121" t="s">
        <v>2237</v>
      </c>
      <c r="D972" s="122" t="s">
        <v>3556</v>
      </c>
      <c r="E972" s="122" t="s">
        <v>3742</v>
      </c>
      <c r="F972" s="124">
        <v>4.3600000000000003</v>
      </c>
      <c r="G972" s="123">
        <v>7.6033230287348444E-2</v>
      </c>
    </row>
    <row r="973" spans="2:7" x14ac:dyDescent="0.2">
      <c r="B973" s="120" t="s">
        <v>2238</v>
      </c>
      <c r="C973" s="121" t="s">
        <v>2239</v>
      </c>
      <c r="D973" s="122" t="s">
        <v>3558</v>
      </c>
      <c r="E973" s="122" t="s">
        <v>3638</v>
      </c>
      <c r="F973" s="124">
        <v>3.33</v>
      </c>
      <c r="G973" s="123">
        <v>7.9173068279710782E-2</v>
      </c>
    </row>
    <row r="974" spans="2:7" x14ac:dyDescent="0.2">
      <c r="B974" s="120" t="s">
        <v>2240</v>
      </c>
      <c r="C974" s="121" t="s">
        <v>2241</v>
      </c>
      <c r="D974" s="122" t="s">
        <v>3594</v>
      </c>
      <c r="E974" s="122" t="s">
        <v>3754</v>
      </c>
      <c r="F974" s="124">
        <v>0.7</v>
      </c>
      <c r="G974" s="123">
        <v>-4.4547679954756489E-2</v>
      </c>
    </row>
    <row r="975" spans="2:7" x14ac:dyDescent="0.2">
      <c r="B975" s="120" t="s">
        <v>2242</v>
      </c>
      <c r="C975" s="121" t="s">
        <v>2243</v>
      </c>
      <c r="D975" s="122" t="s">
        <v>3576</v>
      </c>
      <c r="E975" s="122" t="s">
        <v>3654</v>
      </c>
      <c r="F975" s="124">
        <v>8.41</v>
      </c>
      <c r="G975" s="123">
        <v>-4.6787999770710138E-2</v>
      </c>
    </row>
    <row r="976" spans="2:7" x14ac:dyDescent="0.2">
      <c r="B976" s="120" t="s">
        <v>2244</v>
      </c>
      <c r="C976" s="121" t="s">
        <v>2245</v>
      </c>
      <c r="D976" s="122" t="s">
        <v>3556</v>
      </c>
      <c r="E976" s="122" t="s">
        <v>3607</v>
      </c>
      <c r="F976" s="124">
        <v>18.27</v>
      </c>
      <c r="G976" s="123">
        <v>0.18506058328756833</v>
      </c>
    </row>
    <row r="977" spans="2:7" x14ac:dyDescent="0.2">
      <c r="B977" s="120" t="s">
        <v>2246</v>
      </c>
      <c r="C977" s="121" t="s">
        <v>2247</v>
      </c>
      <c r="D977" s="122" t="s">
        <v>3556</v>
      </c>
      <c r="E977" s="122" t="s">
        <v>3673</v>
      </c>
      <c r="F977" s="124">
        <v>4.9000000000000004</v>
      </c>
      <c r="G977" s="123">
        <v>2.5595212546711158E-2</v>
      </c>
    </row>
    <row r="978" spans="2:7" x14ac:dyDescent="0.2">
      <c r="B978" s="120" t="s">
        <v>2248</v>
      </c>
      <c r="C978" s="121" t="s">
        <v>2249</v>
      </c>
      <c r="D978" s="122" t="s">
        <v>3576</v>
      </c>
      <c r="E978" s="122" t="s">
        <v>3593</v>
      </c>
      <c r="F978" s="124">
        <v>3.68</v>
      </c>
      <c r="G978" s="123">
        <v>5.7258486452818474E-2</v>
      </c>
    </row>
    <row r="979" spans="2:7" x14ac:dyDescent="0.2">
      <c r="B979" s="120" t="s">
        <v>2250</v>
      </c>
      <c r="C979" s="121" t="s">
        <v>2251</v>
      </c>
      <c r="D979" s="122" t="s">
        <v>3594</v>
      </c>
      <c r="E979" s="122" t="s">
        <v>3602</v>
      </c>
      <c r="F979" s="124"/>
      <c r="G979" s="123">
        <v>8.2571621333522392E-3</v>
      </c>
    </row>
    <row r="980" spans="2:7" x14ac:dyDescent="0.2">
      <c r="B980" s="120" t="s">
        <v>2252</v>
      </c>
      <c r="C980" s="121" t="s">
        <v>2253</v>
      </c>
      <c r="D980" s="122" t="s">
        <v>25</v>
      </c>
      <c r="E980" s="122" t="s">
        <v>3694</v>
      </c>
      <c r="F980" s="124">
        <v>13.1</v>
      </c>
      <c r="G980" s="123">
        <v>0.20498675648132042</v>
      </c>
    </row>
    <row r="981" spans="2:7" x14ac:dyDescent="0.2">
      <c r="B981" s="120" t="s">
        <v>2254</v>
      </c>
      <c r="C981" s="121" t="s">
        <v>2255</v>
      </c>
      <c r="D981" s="122" t="s">
        <v>3580</v>
      </c>
      <c r="E981" s="122" t="s">
        <v>3692</v>
      </c>
      <c r="F981" s="124">
        <v>13.27</v>
      </c>
      <c r="G981" s="123">
        <v>0.1157908724610749</v>
      </c>
    </row>
    <row r="982" spans="2:7" x14ac:dyDescent="0.2">
      <c r="B982" s="120" t="s">
        <v>2256</v>
      </c>
      <c r="C982" s="121" t="s">
        <v>2257</v>
      </c>
      <c r="D982" s="122" t="s">
        <v>3556</v>
      </c>
      <c r="E982" s="122" t="s">
        <v>3780</v>
      </c>
      <c r="F982" s="124">
        <v>17.760000000000002</v>
      </c>
      <c r="G982" s="123">
        <v>-0.3599238366621697</v>
      </c>
    </row>
    <row r="983" spans="2:7" x14ac:dyDescent="0.2">
      <c r="B983" s="120" t="s">
        <v>2258</v>
      </c>
      <c r="C983" s="121" t="s">
        <v>2259</v>
      </c>
      <c r="D983" s="122" t="s">
        <v>3576</v>
      </c>
      <c r="E983" s="122" t="s">
        <v>3626</v>
      </c>
      <c r="F983" s="124">
        <v>5.64</v>
      </c>
      <c r="G983" s="123">
        <v>-1</v>
      </c>
    </row>
    <row r="984" spans="2:7" x14ac:dyDescent="0.2">
      <c r="B984" s="120" t="s">
        <v>2260</v>
      </c>
      <c r="C984" s="121" t="s">
        <v>2261</v>
      </c>
      <c r="D984" s="122" t="s">
        <v>3612</v>
      </c>
      <c r="E984" s="122" t="s">
        <v>3627</v>
      </c>
      <c r="F984" s="124">
        <v>-15.18</v>
      </c>
      <c r="G984" s="123">
        <v>7.4731607406831116E-2</v>
      </c>
    </row>
    <row r="985" spans="2:7" x14ac:dyDescent="0.2">
      <c r="B985" s="120" t="s">
        <v>2262</v>
      </c>
      <c r="C985" s="121" t="s">
        <v>2263</v>
      </c>
      <c r="D985" s="122" t="s">
        <v>3558</v>
      </c>
      <c r="E985" s="122" t="s">
        <v>3642</v>
      </c>
      <c r="F985" s="124">
        <v>-1.91</v>
      </c>
      <c r="G985" s="123">
        <v>9.3105794761631583E-2</v>
      </c>
    </row>
    <row r="986" spans="2:7" x14ac:dyDescent="0.2">
      <c r="B986" s="120" t="s">
        <v>2264</v>
      </c>
      <c r="C986" s="121" t="s">
        <v>2265</v>
      </c>
      <c r="D986" s="122" t="s">
        <v>3556</v>
      </c>
      <c r="E986" s="122" t="s">
        <v>3586</v>
      </c>
      <c r="F986" s="124">
        <v>1.0900000000000001</v>
      </c>
      <c r="G986" s="123">
        <v>-4.5892284159994509E-2</v>
      </c>
    </row>
    <row r="987" spans="2:7" x14ac:dyDescent="0.2">
      <c r="B987" s="120" t="s">
        <v>2266</v>
      </c>
      <c r="C987" s="121" t="s">
        <v>2267</v>
      </c>
      <c r="D987" s="122" t="s">
        <v>3569</v>
      </c>
      <c r="E987" s="122" t="s">
        <v>3599</v>
      </c>
      <c r="F987" s="124">
        <v>10.050000000000001</v>
      </c>
      <c r="G987" s="123">
        <v>2.0112238168953755E-2</v>
      </c>
    </row>
    <row r="988" spans="2:7" x14ac:dyDescent="0.2">
      <c r="B988" s="120" t="s">
        <v>2268</v>
      </c>
      <c r="C988" s="121" t="s">
        <v>2269</v>
      </c>
      <c r="D988" s="122" t="s">
        <v>3610</v>
      </c>
      <c r="E988" s="122" t="s">
        <v>3656</v>
      </c>
      <c r="F988" s="124">
        <v>4.6500000000000004</v>
      </c>
      <c r="G988" s="123">
        <v>2.3532347471502218E-2</v>
      </c>
    </row>
    <row r="989" spans="2:7" x14ac:dyDescent="0.2">
      <c r="B989" s="120" t="s">
        <v>2270</v>
      </c>
      <c r="C989" s="121" t="s">
        <v>2271</v>
      </c>
      <c r="D989" s="122" t="s">
        <v>3576</v>
      </c>
      <c r="E989" s="122" t="s">
        <v>3626</v>
      </c>
      <c r="F989" s="124"/>
      <c r="G989" s="123">
        <v>-1</v>
      </c>
    </row>
    <row r="990" spans="2:7" x14ac:dyDescent="0.2">
      <c r="B990" s="120" t="s">
        <v>2272</v>
      </c>
      <c r="C990" s="121" t="s">
        <v>2273</v>
      </c>
      <c r="D990" s="122" t="s">
        <v>3576</v>
      </c>
      <c r="E990" s="122" t="s">
        <v>3609</v>
      </c>
      <c r="F990" s="124">
        <v>0.19</v>
      </c>
      <c r="G990" s="123">
        <v>-0.79156274509803914</v>
      </c>
    </row>
    <row r="991" spans="2:7" x14ac:dyDescent="0.2">
      <c r="B991" s="120" t="s">
        <v>2274</v>
      </c>
      <c r="C991" s="121" t="s">
        <v>2275</v>
      </c>
      <c r="D991" s="122" t="s">
        <v>3569</v>
      </c>
      <c r="E991" s="122" t="s">
        <v>3722</v>
      </c>
      <c r="F991" s="124"/>
      <c r="G991" s="123">
        <v>0.69012722719617048</v>
      </c>
    </row>
    <row r="992" spans="2:7" x14ac:dyDescent="0.2">
      <c r="B992" s="120" t="s">
        <v>2276</v>
      </c>
      <c r="C992" s="121" t="s">
        <v>2277</v>
      </c>
      <c r="D992" s="122" t="s">
        <v>3612</v>
      </c>
      <c r="E992" s="122" t="s">
        <v>3627</v>
      </c>
      <c r="F992" s="124">
        <v>3.66</v>
      </c>
      <c r="G992" s="123">
        <v>-0.12065560970718002</v>
      </c>
    </row>
    <row r="993" spans="2:7" x14ac:dyDescent="0.2">
      <c r="B993" s="120" t="s">
        <v>2278</v>
      </c>
      <c r="C993" s="121" t="s">
        <v>2279</v>
      </c>
      <c r="D993" s="122" t="s">
        <v>25</v>
      </c>
      <c r="E993" s="122" t="s">
        <v>3694</v>
      </c>
      <c r="F993" s="124">
        <v>15.82</v>
      </c>
      <c r="G993" s="123">
        <v>5.7499325365433972E-2</v>
      </c>
    </row>
    <row r="994" spans="2:7" x14ac:dyDescent="0.2">
      <c r="B994" s="120" t="s">
        <v>2280</v>
      </c>
      <c r="C994" s="121" t="s">
        <v>2281</v>
      </c>
      <c r="D994" s="122" t="s">
        <v>3556</v>
      </c>
      <c r="E994" s="122" t="s">
        <v>3760</v>
      </c>
      <c r="F994" s="124">
        <v>0.01</v>
      </c>
      <c r="G994" s="123">
        <v>3.0344259172521478E-2</v>
      </c>
    </row>
    <row r="995" spans="2:7" x14ac:dyDescent="0.2">
      <c r="B995" s="120" t="s">
        <v>2282</v>
      </c>
      <c r="C995" s="121" t="s">
        <v>2283</v>
      </c>
      <c r="D995" s="122" t="s">
        <v>3561</v>
      </c>
      <c r="E995" s="122" t="s">
        <v>3608</v>
      </c>
      <c r="F995" s="124"/>
      <c r="G995" s="123">
        <v>0.2027817840009222</v>
      </c>
    </row>
    <row r="996" spans="2:7" x14ac:dyDescent="0.2">
      <c r="B996" s="120" t="s">
        <v>2284</v>
      </c>
      <c r="C996" s="121" t="s">
        <v>2285</v>
      </c>
      <c r="D996" s="122" t="s">
        <v>3576</v>
      </c>
      <c r="E996" s="122" t="s">
        <v>3688</v>
      </c>
      <c r="F996" s="124">
        <v>5.63</v>
      </c>
      <c r="G996" s="123">
        <v>-0.40562546411035777</v>
      </c>
    </row>
    <row r="997" spans="2:7" x14ac:dyDescent="0.2">
      <c r="B997" s="120" t="s">
        <v>2286</v>
      </c>
      <c r="C997" s="121" t="s">
        <v>2287</v>
      </c>
      <c r="D997" s="122" t="s">
        <v>3558</v>
      </c>
      <c r="E997" s="122" t="s">
        <v>3642</v>
      </c>
      <c r="F997" s="124">
        <v>7.82</v>
      </c>
      <c r="G997" s="123">
        <v>-1.5524671016157532E-2</v>
      </c>
    </row>
    <row r="998" spans="2:7" x14ac:dyDescent="0.2">
      <c r="B998" s="120" t="s">
        <v>2288</v>
      </c>
      <c r="C998" s="121" t="s">
        <v>2289</v>
      </c>
      <c r="D998" s="122" t="s">
        <v>3591</v>
      </c>
      <c r="E998" s="122" t="s">
        <v>3592</v>
      </c>
      <c r="F998" s="124">
        <v>-0.18</v>
      </c>
      <c r="G998" s="123">
        <v>0.13518095713517059</v>
      </c>
    </row>
    <row r="999" spans="2:7" x14ac:dyDescent="0.2">
      <c r="B999" s="120" t="s">
        <v>2290</v>
      </c>
      <c r="C999" s="121" t="s">
        <v>2291</v>
      </c>
      <c r="D999" s="122" t="s">
        <v>3594</v>
      </c>
      <c r="E999" s="122" t="s">
        <v>3595</v>
      </c>
      <c r="F999" s="124">
        <v>-0.86</v>
      </c>
      <c r="G999" s="123">
        <v>0.43608719426444242</v>
      </c>
    </row>
    <row r="1000" spans="2:7" x14ac:dyDescent="0.2">
      <c r="B1000" s="120" t="s">
        <v>2292</v>
      </c>
      <c r="C1000" s="121" t="s">
        <v>2293</v>
      </c>
      <c r="D1000" s="122" t="s">
        <v>3569</v>
      </c>
      <c r="E1000" s="122" t="s">
        <v>3572</v>
      </c>
      <c r="F1000" s="124">
        <v>11.48</v>
      </c>
      <c r="G1000" s="123">
        <v>5.9175764745648188E-2</v>
      </c>
    </row>
    <row r="1001" spans="2:7" x14ac:dyDescent="0.2">
      <c r="B1001" s="120" t="s">
        <v>2294</v>
      </c>
      <c r="C1001" s="121" t="s">
        <v>2295</v>
      </c>
      <c r="D1001" s="122" t="s">
        <v>3612</v>
      </c>
      <c r="E1001" s="122" t="s">
        <v>3726</v>
      </c>
      <c r="F1001" s="124">
        <v>21.03</v>
      </c>
      <c r="G1001" s="123">
        <v>0.43198054474708175</v>
      </c>
    </row>
    <row r="1002" spans="2:7" x14ac:dyDescent="0.2">
      <c r="B1002" s="120" t="s">
        <v>2296</v>
      </c>
      <c r="C1002" s="121" t="s">
        <v>2297</v>
      </c>
      <c r="D1002" s="122" t="s">
        <v>3556</v>
      </c>
      <c r="E1002" s="122" t="s">
        <v>3630</v>
      </c>
      <c r="F1002" s="124">
        <v>44.61</v>
      </c>
      <c r="G1002" s="123">
        <v>0.24596335788660975</v>
      </c>
    </row>
    <row r="1003" spans="2:7" x14ac:dyDescent="0.2">
      <c r="B1003" s="120" t="s">
        <v>2298</v>
      </c>
      <c r="C1003" s="121" t="s">
        <v>2299</v>
      </c>
      <c r="D1003" s="122" t="s">
        <v>3612</v>
      </c>
      <c r="E1003" s="122" t="s">
        <v>3669</v>
      </c>
      <c r="F1003" s="124"/>
      <c r="G1003" s="123">
        <v>0.89465716829919872</v>
      </c>
    </row>
    <row r="1004" spans="2:7" x14ac:dyDescent="0.2">
      <c r="B1004" s="120" t="s">
        <v>2300</v>
      </c>
      <c r="C1004" s="121" t="s">
        <v>2301</v>
      </c>
      <c r="D1004" s="122" t="s">
        <v>3591</v>
      </c>
      <c r="E1004" s="122" t="s">
        <v>3643</v>
      </c>
      <c r="F1004" s="124">
        <v>-3.54</v>
      </c>
      <c r="G1004" s="123">
        <v>8.4082050895665658E-2</v>
      </c>
    </row>
    <row r="1005" spans="2:7" x14ac:dyDescent="0.2">
      <c r="B1005" s="120" t="s">
        <v>2302</v>
      </c>
      <c r="C1005" s="121" t="s">
        <v>2303</v>
      </c>
      <c r="D1005" s="122" t="s">
        <v>25</v>
      </c>
      <c r="E1005" s="122" t="s">
        <v>3691</v>
      </c>
      <c r="F1005" s="124">
        <v>30.56</v>
      </c>
      <c r="G1005" s="123">
        <v>0.28006867270174002</v>
      </c>
    </row>
    <row r="1006" spans="2:7" x14ac:dyDescent="0.2">
      <c r="B1006" s="120" t="s">
        <v>2304</v>
      </c>
      <c r="C1006" s="121" t="s">
        <v>2305</v>
      </c>
      <c r="D1006" s="122" t="s">
        <v>3591</v>
      </c>
      <c r="E1006" s="122" t="s">
        <v>3592</v>
      </c>
      <c r="F1006" s="124"/>
      <c r="G1006" s="123">
        <v>5.1481920084087439E-2</v>
      </c>
    </row>
    <row r="1007" spans="2:7" x14ac:dyDescent="0.2">
      <c r="B1007" s="120" t="s">
        <v>2306</v>
      </c>
      <c r="C1007" s="121" t="s">
        <v>2307</v>
      </c>
      <c r="D1007" s="122" t="s">
        <v>3594</v>
      </c>
      <c r="E1007" s="122" t="s">
        <v>3647</v>
      </c>
      <c r="F1007" s="124"/>
      <c r="G1007" s="123">
        <v>0.10831616696848961</v>
      </c>
    </row>
    <row r="1008" spans="2:7" x14ac:dyDescent="0.2">
      <c r="B1008" s="120" t="s">
        <v>2308</v>
      </c>
      <c r="C1008" s="121" t="s">
        <v>2309</v>
      </c>
      <c r="D1008" s="122" t="s">
        <v>3594</v>
      </c>
      <c r="E1008" s="122" t="s">
        <v>3637</v>
      </c>
      <c r="F1008" s="124">
        <v>8.16</v>
      </c>
      <c r="G1008" s="123">
        <v>0.18004582745236419</v>
      </c>
    </row>
    <row r="1009" spans="2:7" x14ac:dyDescent="0.2">
      <c r="B1009" s="120" t="s">
        <v>2310</v>
      </c>
      <c r="C1009" s="121" t="s">
        <v>2311</v>
      </c>
      <c r="D1009" s="122" t="s">
        <v>3576</v>
      </c>
      <c r="E1009" s="122" t="s">
        <v>3619</v>
      </c>
      <c r="F1009" s="124">
        <v>12.49</v>
      </c>
      <c r="G1009" s="123">
        <v>6.1056956654560152E-2</v>
      </c>
    </row>
    <row r="1010" spans="2:7" x14ac:dyDescent="0.2">
      <c r="B1010" s="120" t="s">
        <v>2312</v>
      </c>
      <c r="C1010" s="121" t="s">
        <v>2313</v>
      </c>
      <c r="D1010" s="122" t="s">
        <v>3558</v>
      </c>
      <c r="E1010" s="122" t="s">
        <v>3737</v>
      </c>
      <c r="F1010" s="124">
        <v>14.19</v>
      </c>
      <c r="G1010" s="123">
        <v>-1</v>
      </c>
    </row>
    <row r="1011" spans="2:7" x14ac:dyDescent="0.2">
      <c r="B1011" s="120" t="s">
        <v>2314</v>
      </c>
      <c r="C1011" s="121" t="s">
        <v>2315</v>
      </c>
      <c r="D1011" s="122" t="s">
        <v>3591</v>
      </c>
      <c r="E1011" s="122" t="s">
        <v>3592</v>
      </c>
      <c r="F1011" s="124">
        <v>-3.16</v>
      </c>
      <c r="G1011" s="123">
        <v>4.2937911819337204E-2</v>
      </c>
    </row>
    <row r="1012" spans="2:7" x14ac:dyDescent="0.2">
      <c r="B1012" s="120" t="s">
        <v>2316</v>
      </c>
      <c r="C1012" s="121" t="s">
        <v>2317</v>
      </c>
      <c r="D1012" s="122" t="s">
        <v>3556</v>
      </c>
      <c r="E1012" s="122" t="s">
        <v>3630</v>
      </c>
      <c r="F1012" s="124">
        <v>11.2</v>
      </c>
      <c r="G1012" s="123">
        <v>9.0450786420402607E-2</v>
      </c>
    </row>
    <row r="1013" spans="2:7" x14ac:dyDescent="0.2">
      <c r="B1013" s="120" t="s">
        <v>2318</v>
      </c>
      <c r="C1013" s="121" t="s">
        <v>2319</v>
      </c>
      <c r="D1013" s="122" t="s">
        <v>3556</v>
      </c>
      <c r="E1013" s="122" t="s">
        <v>3741</v>
      </c>
      <c r="F1013" s="124">
        <v>-5.22</v>
      </c>
      <c r="G1013" s="123">
        <v>-7.7300485031773392E-2</v>
      </c>
    </row>
    <row r="1014" spans="2:7" x14ac:dyDescent="0.2">
      <c r="B1014" s="120" t="s">
        <v>2320</v>
      </c>
      <c r="C1014" s="121" t="s">
        <v>2321</v>
      </c>
      <c r="D1014" s="122" t="s">
        <v>3610</v>
      </c>
      <c r="E1014" s="122" t="s">
        <v>3656</v>
      </c>
      <c r="F1014" s="124"/>
      <c r="G1014" s="123">
        <v>1.4883005610176083</v>
      </c>
    </row>
    <row r="1015" spans="2:7" x14ac:dyDescent="0.2">
      <c r="B1015" s="120" t="s">
        <v>2322</v>
      </c>
      <c r="C1015" s="121" t="s">
        <v>2323</v>
      </c>
      <c r="D1015" s="122" t="s">
        <v>3556</v>
      </c>
      <c r="E1015" s="122" t="s">
        <v>3560</v>
      </c>
      <c r="F1015" s="124">
        <v>11.65</v>
      </c>
      <c r="G1015" s="123">
        <v>-1</v>
      </c>
    </row>
    <row r="1016" spans="2:7" x14ac:dyDescent="0.2">
      <c r="B1016" s="120" t="s">
        <v>2324</v>
      </c>
      <c r="C1016" s="121" t="s">
        <v>2325</v>
      </c>
      <c r="D1016" s="122" t="s">
        <v>3591</v>
      </c>
      <c r="E1016" s="122" t="s">
        <v>3643</v>
      </c>
      <c r="F1016" s="124">
        <v>-1.65</v>
      </c>
      <c r="G1016" s="123">
        <v>-0.10871289591130349</v>
      </c>
    </row>
    <row r="1017" spans="2:7" x14ac:dyDescent="0.2">
      <c r="B1017" s="120" t="s">
        <v>2326</v>
      </c>
      <c r="C1017" s="121" t="s">
        <v>2327</v>
      </c>
      <c r="D1017" s="122" t="s">
        <v>25</v>
      </c>
      <c r="E1017" s="122" t="s">
        <v>3585</v>
      </c>
      <c r="F1017" s="124">
        <v>6.25</v>
      </c>
      <c r="G1017" s="123">
        <v>7.8078964133241321E-2</v>
      </c>
    </row>
    <row r="1018" spans="2:7" x14ac:dyDescent="0.2">
      <c r="B1018" s="120" t="s">
        <v>2328</v>
      </c>
      <c r="C1018" s="121" t="s">
        <v>2329</v>
      </c>
      <c r="D1018" s="122" t="s">
        <v>3569</v>
      </c>
      <c r="E1018" s="122" t="s">
        <v>3722</v>
      </c>
      <c r="F1018" s="124">
        <v>30.07</v>
      </c>
      <c r="G1018" s="123">
        <v>-0.91266132303154224</v>
      </c>
    </row>
    <row r="1019" spans="2:7" x14ac:dyDescent="0.2">
      <c r="B1019" s="120" t="s">
        <v>2330</v>
      </c>
      <c r="C1019" s="121" t="s">
        <v>2331</v>
      </c>
      <c r="D1019" s="122" t="s">
        <v>3582</v>
      </c>
      <c r="E1019" s="122" t="s">
        <v>3664</v>
      </c>
      <c r="F1019" s="124">
        <v>1.39</v>
      </c>
      <c r="G1019" s="123">
        <v>-5.1272156561780191E-3</v>
      </c>
    </row>
    <row r="1020" spans="2:7" x14ac:dyDescent="0.2">
      <c r="B1020" s="120" t="s">
        <v>2332</v>
      </c>
      <c r="C1020" s="121" t="s">
        <v>2333</v>
      </c>
      <c r="D1020" s="122" t="s">
        <v>3576</v>
      </c>
      <c r="E1020" s="122" t="s">
        <v>3600</v>
      </c>
      <c r="F1020" s="124">
        <v>3.95</v>
      </c>
      <c r="G1020" s="123">
        <v>-1</v>
      </c>
    </row>
    <row r="1021" spans="2:7" x14ac:dyDescent="0.2">
      <c r="B1021" s="120" t="s">
        <v>2334</v>
      </c>
      <c r="C1021" s="121" t="s">
        <v>2335</v>
      </c>
      <c r="D1021" s="122" t="s">
        <v>3569</v>
      </c>
      <c r="E1021" s="122" t="s">
        <v>3718</v>
      </c>
      <c r="F1021" s="124"/>
      <c r="G1021" s="123">
        <v>0.22780405881638105</v>
      </c>
    </row>
    <row r="1022" spans="2:7" x14ac:dyDescent="0.2">
      <c r="B1022" s="120" t="s">
        <v>2336</v>
      </c>
      <c r="C1022" s="121" t="s">
        <v>2337</v>
      </c>
      <c r="D1022" s="122" t="s">
        <v>3576</v>
      </c>
      <c r="E1022" s="122" t="s">
        <v>3620</v>
      </c>
      <c r="F1022" s="124">
        <v>2.0099999999999998</v>
      </c>
      <c r="G1022" s="123">
        <v>-1</v>
      </c>
    </row>
    <row r="1023" spans="2:7" x14ac:dyDescent="0.2">
      <c r="B1023" s="120" t="s">
        <v>2338</v>
      </c>
      <c r="C1023" s="121" t="s">
        <v>2339</v>
      </c>
      <c r="D1023" s="122" t="s">
        <v>3594</v>
      </c>
      <c r="E1023" s="122" t="s">
        <v>3637</v>
      </c>
      <c r="F1023" s="124"/>
      <c r="G1023" s="123">
        <v>1.1792893966687753E-2</v>
      </c>
    </row>
    <row r="1024" spans="2:7" x14ac:dyDescent="0.2">
      <c r="B1024" s="120" t="s">
        <v>2340</v>
      </c>
      <c r="C1024" s="121" t="s">
        <v>2341</v>
      </c>
      <c r="D1024" s="122" t="s">
        <v>3576</v>
      </c>
      <c r="E1024" s="122" t="s">
        <v>3584</v>
      </c>
      <c r="F1024" s="124">
        <v>9.39</v>
      </c>
      <c r="G1024" s="123">
        <v>6.9843863424662075E-2</v>
      </c>
    </row>
    <row r="1025" spans="2:7" x14ac:dyDescent="0.2">
      <c r="B1025" s="120" t="s">
        <v>2342</v>
      </c>
      <c r="C1025" s="121" t="s">
        <v>2343</v>
      </c>
      <c r="D1025" s="122" t="s">
        <v>3605</v>
      </c>
      <c r="E1025" s="122" t="s">
        <v>3653</v>
      </c>
      <c r="F1025" s="124">
        <v>6.14</v>
      </c>
      <c r="G1025" s="123">
        <v>0.13011115833194892</v>
      </c>
    </row>
    <row r="1026" spans="2:7" x14ac:dyDescent="0.2">
      <c r="B1026" s="120" t="s">
        <v>2344</v>
      </c>
      <c r="C1026" s="121" t="s">
        <v>2345</v>
      </c>
      <c r="D1026" s="122" t="s">
        <v>3556</v>
      </c>
      <c r="E1026" s="122" t="s">
        <v>3742</v>
      </c>
      <c r="F1026" s="124">
        <v>15.57</v>
      </c>
      <c r="G1026" s="123">
        <v>-1.6177328157045024E-2</v>
      </c>
    </row>
    <row r="1027" spans="2:7" x14ac:dyDescent="0.2">
      <c r="B1027" s="120" t="s">
        <v>2346</v>
      </c>
      <c r="C1027" s="121" t="s">
        <v>2347</v>
      </c>
      <c r="D1027" s="122" t="s">
        <v>24</v>
      </c>
      <c r="E1027" s="122" t="s">
        <v>3633</v>
      </c>
      <c r="F1027" s="124">
        <v>11.3</v>
      </c>
      <c r="G1027" s="123">
        <v>1.7344191574763263E-2</v>
      </c>
    </row>
    <row r="1028" spans="2:7" x14ac:dyDescent="0.2">
      <c r="B1028" s="120" t="s">
        <v>2348</v>
      </c>
      <c r="C1028" s="121" t="s">
        <v>2349</v>
      </c>
      <c r="D1028" s="122" t="s">
        <v>3612</v>
      </c>
      <c r="E1028" s="122" t="s">
        <v>3781</v>
      </c>
      <c r="F1028" s="124">
        <v>-21.82</v>
      </c>
      <c r="G1028" s="123">
        <v>-3.0543428368625699E-3</v>
      </c>
    </row>
    <row r="1029" spans="2:7" x14ac:dyDescent="0.2">
      <c r="B1029" s="120" t="s">
        <v>2350</v>
      </c>
      <c r="C1029" s="121" t="s">
        <v>2351</v>
      </c>
      <c r="D1029" s="122" t="s">
        <v>3556</v>
      </c>
      <c r="E1029" s="122" t="s">
        <v>3614</v>
      </c>
      <c r="F1029" s="124">
        <v>39.299999999999997</v>
      </c>
      <c r="G1029" s="123">
        <v>0.32564797494652742</v>
      </c>
    </row>
    <row r="1030" spans="2:7" x14ac:dyDescent="0.2">
      <c r="B1030" s="120" t="s">
        <v>2352</v>
      </c>
      <c r="C1030" s="121" t="s">
        <v>2353</v>
      </c>
      <c r="D1030" s="122" t="s">
        <v>3580</v>
      </c>
      <c r="E1030" s="122" t="s">
        <v>3782</v>
      </c>
      <c r="F1030" s="124"/>
      <c r="G1030" s="123" t="e">
        <v>#DIV/0!</v>
      </c>
    </row>
    <row r="1031" spans="2:7" x14ac:dyDescent="0.2">
      <c r="B1031" s="120" t="s">
        <v>2354</v>
      </c>
      <c r="C1031" s="121" t="s">
        <v>2355</v>
      </c>
      <c r="D1031" s="122" t="s">
        <v>3591</v>
      </c>
      <c r="E1031" s="122" t="s">
        <v>3592</v>
      </c>
      <c r="F1031" s="124">
        <v>-10.42</v>
      </c>
      <c r="G1031" s="123">
        <v>-1.2833379404937811E-2</v>
      </c>
    </row>
    <row r="1032" spans="2:7" x14ac:dyDescent="0.2">
      <c r="B1032" s="120" t="s">
        <v>2356</v>
      </c>
      <c r="C1032" s="121" t="s">
        <v>2357</v>
      </c>
      <c r="D1032" s="122" t="s">
        <v>3582</v>
      </c>
      <c r="E1032" s="122" t="s">
        <v>3631</v>
      </c>
      <c r="F1032" s="124">
        <v>12.44</v>
      </c>
      <c r="G1032" s="123">
        <v>8.7776229184058932E-2</v>
      </c>
    </row>
    <row r="1033" spans="2:7" x14ac:dyDescent="0.2">
      <c r="B1033" s="120" t="s">
        <v>2358</v>
      </c>
      <c r="C1033" s="121" t="s">
        <v>2359</v>
      </c>
      <c r="D1033" s="122" t="s">
        <v>3576</v>
      </c>
      <c r="E1033" s="122" t="s">
        <v>3600</v>
      </c>
      <c r="F1033" s="124">
        <v>47.53</v>
      </c>
      <c r="G1033" s="123">
        <v>-0.45142890363052962</v>
      </c>
    </row>
    <row r="1034" spans="2:7" x14ac:dyDescent="0.2">
      <c r="B1034" s="120" t="s">
        <v>2360</v>
      </c>
      <c r="C1034" s="121" t="s">
        <v>2361</v>
      </c>
      <c r="D1034" s="122" t="s">
        <v>3612</v>
      </c>
      <c r="E1034" s="122" t="s">
        <v>3670</v>
      </c>
      <c r="F1034" s="124">
        <v>-8.8800000000000008</v>
      </c>
      <c r="G1034" s="123">
        <v>-0.17130283520919987</v>
      </c>
    </row>
    <row r="1035" spans="2:7" x14ac:dyDescent="0.2">
      <c r="B1035" s="120" t="s">
        <v>2362</v>
      </c>
      <c r="C1035" s="121" t="s">
        <v>2363</v>
      </c>
      <c r="D1035" s="122" t="s">
        <v>3610</v>
      </c>
      <c r="E1035" s="122" t="s">
        <v>3656</v>
      </c>
      <c r="F1035" s="124">
        <v>1.1499999999999999</v>
      </c>
      <c r="G1035" s="123">
        <v>-4.7511793408124565E-2</v>
      </c>
    </row>
    <row r="1036" spans="2:7" x14ac:dyDescent="0.2">
      <c r="B1036" s="120" t="s">
        <v>2364</v>
      </c>
      <c r="C1036" s="121" t="s">
        <v>2365</v>
      </c>
      <c r="D1036" s="122" t="s">
        <v>3561</v>
      </c>
      <c r="E1036" s="122" t="s">
        <v>3706</v>
      </c>
      <c r="F1036" s="124">
        <v>0.15</v>
      </c>
      <c r="G1036" s="123">
        <v>1.7844893524175284E-2</v>
      </c>
    </row>
    <row r="1037" spans="2:7" x14ac:dyDescent="0.2">
      <c r="B1037" s="120" t="s">
        <v>2366</v>
      </c>
      <c r="C1037" s="121" t="s">
        <v>2367</v>
      </c>
      <c r="D1037" s="122" t="s">
        <v>3582</v>
      </c>
      <c r="E1037" s="122" t="s">
        <v>3777</v>
      </c>
      <c r="F1037" s="124">
        <v>12.84</v>
      </c>
      <c r="G1037" s="123">
        <v>0.12707729296992318</v>
      </c>
    </row>
    <row r="1038" spans="2:7" x14ac:dyDescent="0.2">
      <c r="B1038" s="120" t="s">
        <v>2368</v>
      </c>
      <c r="C1038" s="121" t="s">
        <v>2369</v>
      </c>
      <c r="D1038" s="122" t="s">
        <v>24</v>
      </c>
      <c r="E1038" s="122" t="s">
        <v>3633</v>
      </c>
      <c r="F1038" s="124"/>
      <c r="G1038" s="123">
        <v>4.365551586768384E-2</v>
      </c>
    </row>
    <row r="1039" spans="2:7" x14ac:dyDescent="0.2">
      <c r="B1039" s="120" t="s">
        <v>2370</v>
      </c>
      <c r="C1039" s="121" t="s">
        <v>2371</v>
      </c>
      <c r="D1039" s="122" t="s">
        <v>3556</v>
      </c>
      <c r="E1039" s="122" t="s">
        <v>3783</v>
      </c>
      <c r="F1039" s="124">
        <v>0.09</v>
      </c>
      <c r="G1039" s="123">
        <v>-6.7130489749430533E-2</v>
      </c>
    </row>
    <row r="1040" spans="2:7" x14ac:dyDescent="0.2">
      <c r="B1040" s="120" t="s">
        <v>2372</v>
      </c>
      <c r="C1040" s="121" t="s">
        <v>2373</v>
      </c>
      <c r="D1040" s="122" t="s">
        <v>25</v>
      </c>
      <c r="E1040" s="122" t="s">
        <v>3645</v>
      </c>
      <c r="F1040" s="124">
        <v>24.4</v>
      </c>
      <c r="G1040" s="123">
        <v>0.15673527946880866</v>
      </c>
    </row>
    <row r="1041" spans="2:7" x14ac:dyDescent="0.2">
      <c r="B1041" s="120" t="s">
        <v>2374</v>
      </c>
      <c r="C1041" s="121" t="s">
        <v>2375</v>
      </c>
      <c r="D1041" s="122" t="s">
        <v>3582</v>
      </c>
      <c r="E1041" s="122" t="s">
        <v>3631</v>
      </c>
      <c r="F1041" s="124"/>
      <c r="G1041" s="123">
        <v>5.9365061459348202E-2</v>
      </c>
    </row>
    <row r="1042" spans="2:7" x14ac:dyDescent="0.2">
      <c r="B1042" s="120" t="s">
        <v>2376</v>
      </c>
      <c r="C1042" s="121" t="s">
        <v>2377</v>
      </c>
      <c r="D1042" s="122" t="s">
        <v>3556</v>
      </c>
      <c r="E1042" s="122" t="s">
        <v>3756</v>
      </c>
      <c r="F1042" s="124">
        <v>46.98</v>
      </c>
      <c r="G1042" s="123">
        <v>9.569972562068077E-2</v>
      </c>
    </row>
    <row r="1043" spans="2:7" x14ac:dyDescent="0.2">
      <c r="B1043" s="120" t="s">
        <v>2378</v>
      </c>
      <c r="C1043" s="121" t="s">
        <v>2379</v>
      </c>
      <c r="D1043" s="122" t="s">
        <v>3576</v>
      </c>
      <c r="E1043" s="122" t="s">
        <v>3626</v>
      </c>
      <c r="F1043" s="124">
        <v>8.1199999999999992</v>
      </c>
      <c r="G1043" s="123">
        <v>-0.32256209972442801</v>
      </c>
    </row>
    <row r="1044" spans="2:7" x14ac:dyDescent="0.2">
      <c r="B1044" s="120" t="s">
        <v>2380</v>
      </c>
      <c r="C1044" s="121" t="s">
        <v>2381</v>
      </c>
      <c r="D1044" s="122" t="s">
        <v>3556</v>
      </c>
      <c r="E1044" s="122" t="s">
        <v>3614</v>
      </c>
      <c r="F1044" s="124">
        <v>60.27</v>
      </c>
      <c r="G1044" s="123">
        <v>0.10847238176905516</v>
      </c>
    </row>
    <row r="1045" spans="2:7" x14ac:dyDescent="0.2">
      <c r="B1045" s="120" t="s">
        <v>2382</v>
      </c>
      <c r="C1045" s="121" t="s">
        <v>2383</v>
      </c>
      <c r="D1045" s="122" t="s">
        <v>3594</v>
      </c>
      <c r="E1045" s="122" t="s">
        <v>3698</v>
      </c>
      <c r="F1045" s="124">
        <v>24.46</v>
      </c>
      <c r="G1045" s="123">
        <v>2.9360732328376479E-2</v>
      </c>
    </row>
    <row r="1046" spans="2:7" x14ac:dyDescent="0.2">
      <c r="B1046" s="120" t="s">
        <v>2384</v>
      </c>
      <c r="C1046" s="121" t="s">
        <v>2385</v>
      </c>
      <c r="D1046" s="122" t="s">
        <v>3576</v>
      </c>
      <c r="E1046" s="122" t="s">
        <v>3654</v>
      </c>
      <c r="F1046" s="124">
        <v>9.7899999999999991</v>
      </c>
      <c r="G1046" s="123">
        <v>-9.4529722626860269E-2</v>
      </c>
    </row>
    <row r="1047" spans="2:7" x14ac:dyDescent="0.2">
      <c r="B1047" s="120" t="s">
        <v>2386</v>
      </c>
      <c r="C1047" s="121" t="s">
        <v>2387</v>
      </c>
      <c r="D1047" s="122" t="s">
        <v>3591</v>
      </c>
      <c r="E1047" s="122" t="s">
        <v>3658</v>
      </c>
      <c r="F1047" s="124">
        <v>2.4500000000000002</v>
      </c>
      <c r="G1047" s="123">
        <v>-1</v>
      </c>
    </row>
    <row r="1048" spans="2:7" x14ac:dyDescent="0.2">
      <c r="B1048" s="120" t="s">
        <v>2388</v>
      </c>
      <c r="C1048" s="121" t="s">
        <v>2389</v>
      </c>
      <c r="D1048" s="122" t="s">
        <v>3556</v>
      </c>
      <c r="E1048" s="122" t="s">
        <v>3579</v>
      </c>
      <c r="F1048" s="124">
        <v>0.63</v>
      </c>
      <c r="G1048" s="123">
        <v>-9.3051480264761149E-2</v>
      </c>
    </row>
    <row r="1049" spans="2:7" x14ac:dyDescent="0.2">
      <c r="B1049" s="120" t="s">
        <v>2390</v>
      </c>
      <c r="C1049" s="121" t="s">
        <v>2391</v>
      </c>
      <c r="D1049" s="122" t="s">
        <v>3594</v>
      </c>
      <c r="E1049" s="122" t="s">
        <v>3754</v>
      </c>
      <c r="F1049" s="124">
        <v>6.26</v>
      </c>
      <c r="G1049" s="123">
        <v>-6.4157445881643252E-2</v>
      </c>
    </row>
    <row r="1050" spans="2:7" x14ac:dyDescent="0.2">
      <c r="B1050" s="120" t="s">
        <v>2392</v>
      </c>
      <c r="C1050" s="121" t="s">
        <v>2393</v>
      </c>
      <c r="D1050" s="122" t="s">
        <v>3569</v>
      </c>
      <c r="E1050" s="122" t="s">
        <v>3572</v>
      </c>
      <c r="F1050" s="124">
        <v>9.99</v>
      </c>
      <c r="G1050" s="123">
        <v>4.7899129534995463E-2</v>
      </c>
    </row>
    <row r="1051" spans="2:7" x14ac:dyDescent="0.2">
      <c r="B1051" s="120" t="s">
        <v>2394</v>
      </c>
      <c r="C1051" s="121" t="s">
        <v>2395</v>
      </c>
      <c r="D1051" s="122" t="s">
        <v>3569</v>
      </c>
      <c r="E1051" s="122" t="s">
        <v>3718</v>
      </c>
      <c r="F1051" s="124">
        <v>98.57</v>
      </c>
      <c r="G1051" s="123">
        <v>0.38298052968920071</v>
      </c>
    </row>
    <row r="1052" spans="2:7" x14ac:dyDescent="0.2">
      <c r="B1052" s="120" t="s">
        <v>2396</v>
      </c>
      <c r="C1052" s="121" t="s">
        <v>2397</v>
      </c>
      <c r="D1052" s="122" t="s">
        <v>3556</v>
      </c>
      <c r="E1052" s="122" t="s">
        <v>3764</v>
      </c>
      <c r="F1052" s="124">
        <v>27.26</v>
      </c>
      <c r="G1052" s="123">
        <v>-8.2489691020826261E-2</v>
      </c>
    </row>
    <row r="1053" spans="2:7" x14ac:dyDescent="0.2">
      <c r="B1053" s="120" t="s">
        <v>2398</v>
      </c>
      <c r="C1053" s="121" t="s">
        <v>2399</v>
      </c>
      <c r="D1053" s="122" t="s">
        <v>3569</v>
      </c>
      <c r="E1053" s="122" t="s">
        <v>3570</v>
      </c>
      <c r="F1053" s="124">
        <v>3.62</v>
      </c>
      <c r="G1053" s="123">
        <v>2.6575891497010833E-2</v>
      </c>
    </row>
    <row r="1054" spans="2:7" x14ac:dyDescent="0.2">
      <c r="B1054" s="120" t="s">
        <v>2400</v>
      </c>
      <c r="C1054" s="121" t="s">
        <v>2401</v>
      </c>
      <c r="D1054" s="122" t="s">
        <v>3580</v>
      </c>
      <c r="E1054" s="122" t="s">
        <v>3730</v>
      </c>
      <c r="F1054" s="124">
        <v>11.87</v>
      </c>
      <c r="G1054" s="123">
        <v>2.3007322644661047E-2</v>
      </c>
    </row>
    <row r="1055" spans="2:7" x14ac:dyDescent="0.2">
      <c r="B1055" s="120" t="s">
        <v>2402</v>
      </c>
      <c r="C1055" s="121" t="s">
        <v>2403</v>
      </c>
      <c r="D1055" s="122" t="s">
        <v>3569</v>
      </c>
      <c r="E1055" s="122" t="s">
        <v>3570</v>
      </c>
      <c r="F1055" s="124">
        <v>-2.23</v>
      </c>
      <c r="G1055" s="123">
        <v>-8.5738951252408463E-2</v>
      </c>
    </row>
    <row r="1056" spans="2:7" x14ac:dyDescent="0.2">
      <c r="B1056" s="120" t="s">
        <v>2404</v>
      </c>
      <c r="C1056" s="121" t="s">
        <v>2405</v>
      </c>
      <c r="D1056" s="122" t="s">
        <v>3556</v>
      </c>
      <c r="E1056" s="122" t="s">
        <v>3560</v>
      </c>
      <c r="F1056" s="124"/>
      <c r="G1056" s="123">
        <v>4.5152692446811828E-5</v>
      </c>
    </row>
    <row r="1057" spans="2:7" x14ac:dyDescent="0.2">
      <c r="B1057" s="120" t="s">
        <v>2406</v>
      </c>
      <c r="C1057" s="121" t="s">
        <v>2407</v>
      </c>
      <c r="D1057" s="122" t="s">
        <v>3594</v>
      </c>
      <c r="E1057" s="122" t="s">
        <v>3637</v>
      </c>
      <c r="F1057" s="124">
        <v>1.78</v>
      </c>
      <c r="G1057" s="123">
        <v>-4.2015986460178442E-2</v>
      </c>
    </row>
    <row r="1058" spans="2:7" x14ac:dyDescent="0.2">
      <c r="B1058" s="120" t="s">
        <v>2408</v>
      </c>
      <c r="C1058" s="121" t="s">
        <v>2409</v>
      </c>
      <c r="D1058" s="122" t="s">
        <v>3591</v>
      </c>
      <c r="E1058" s="122" t="s">
        <v>3592</v>
      </c>
      <c r="F1058" s="124">
        <v>1.05</v>
      </c>
      <c r="G1058" s="123">
        <v>3.6904052818348847E-2</v>
      </c>
    </row>
    <row r="1059" spans="2:7" x14ac:dyDescent="0.2">
      <c r="B1059" s="120" t="s">
        <v>2410</v>
      </c>
      <c r="C1059" s="121" t="s">
        <v>2411</v>
      </c>
      <c r="D1059" s="122" t="s">
        <v>24</v>
      </c>
      <c r="E1059" s="122" t="s">
        <v>3589</v>
      </c>
      <c r="F1059" s="124">
        <v>18.91</v>
      </c>
      <c r="G1059" s="123">
        <v>7.205876907390886E-2</v>
      </c>
    </row>
    <row r="1060" spans="2:7" x14ac:dyDescent="0.2">
      <c r="B1060" s="120" t="s">
        <v>2412</v>
      </c>
      <c r="C1060" s="121" t="s">
        <v>2413</v>
      </c>
      <c r="D1060" s="122" t="s">
        <v>25</v>
      </c>
      <c r="E1060" s="122" t="s">
        <v>3767</v>
      </c>
      <c r="F1060" s="124">
        <v>2.97</v>
      </c>
      <c r="G1060" s="123">
        <v>-1.192376414528369E-5</v>
      </c>
    </row>
    <row r="1061" spans="2:7" x14ac:dyDescent="0.2">
      <c r="B1061" s="120" t="s">
        <v>2414</v>
      </c>
      <c r="C1061" s="121" t="s">
        <v>2415</v>
      </c>
      <c r="D1061" s="122" t="s">
        <v>3563</v>
      </c>
      <c r="E1061" s="122" t="s">
        <v>3676</v>
      </c>
      <c r="F1061" s="124"/>
      <c r="G1061" s="123">
        <v>1.4261168010251438E-2</v>
      </c>
    </row>
    <row r="1062" spans="2:7" x14ac:dyDescent="0.2">
      <c r="B1062" s="120" t="s">
        <v>2416</v>
      </c>
      <c r="C1062" s="121" t="s">
        <v>2417</v>
      </c>
      <c r="D1062" s="122" t="s">
        <v>3556</v>
      </c>
      <c r="E1062" s="122" t="s">
        <v>3586</v>
      </c>
      <c r="F1062" s="124">
        <v>13.89</v>
      </c>
      <c r="G1062" s="123">
        <v>-6.1484923992771341E-2</v>
      </c>
    </row>
    <row r="1063" spans="2:7" x14ac:dyDescent="0.2">
      <c r="B1063" s="120" t="s">
        <v>2418</v>
      </c>
      <c r="C1063" s="121" t="s">
        <v>2419</v>
      </c>
      <c r="D1063" s="122" t="s">
        <v>25</v>
      </c>
      <c r="E1063" s="122" t="s">
        <v>3691</v>
      </c>
      <c r="F1063" s="124">
        <v>45.55</v>
      </c>
      <c r="G1063" s="123">
        <v>-4.4774283442368057E-2</v>
      </c>
    </row>
    <row r="1064" spans="2:7" x14ac:dyDescent="0.2">
      <c r="B1064" s="120" t="s">
        <v>2420</v>
      </c>
      <c r="C1064" s="121" t="s">
        <v>2421</v>
      </c>
      <c r="D1064" s="122" t="s">
        <v>3576</v>
      </c>
      <c r="E1064" s="122" t="s">
        <v>3699</v>
      </c>
      <c r="F1064" s="124">
        <v>-1.44</v>
      </c>
      <c r="G1064" s="123">
        <v>-0.41538317342510517</v>
      </c>
    </row>
    <row r="1065" spans="2:7" x14ac:dyDescent="0.2">
      <c r="B1065" s="120" t="s">
        <v>2422</v>
      </c>
      <c r="C1065" s="121" t="s">
        <v>2423</v>
      </c>
      <c r="D1065" s="122" t="s">
        <v>24</v>
      </c>
      <c r="E1065" s="122" t="s">
        <v>3784</v>
      </c>
      <c r="F1065" s="124">
        <v>2.77</v>
      </c>
      <c r="G1065" s="123">
        <v>4.0106359373212948E-2</v>
      </c>
    </row>
    <row r="1066" spans="2:7" x14ac:dyDescent="0.2">
      <c r="B1066" s="120" t="s">
        <v>2424</v>
      </c>
      <c r="C1066" s="121" t="s">
        <v>2425</v>
      </c>
      <c r="D1066" s="122" t="s">
        <v>3576</v>
      </c>
      <c r="E1066" s="122" t="s">
        <v>3584</v>
      </c>
      <c r="F1066" s="124">
        <v>9.24</v>
      </c>
      <c r="G1066" s="123">
        <v>0.11414330792866624</v>
      </c>
    </row>
    <row r="1067" spans="2:7" x14ac:dyDescent="0.2">
      <c r="B1067" s="120" t="s">
        <v>2426</v>
      </c>
      <c r="C1067" s="121" t="s">
        <v>2427</v>
      </c>
      <c r="D1067" s="122" t="s">
        <v>3576</v>
      </c>
      <c r="E1067" s="122" t="s">
        <v>3604</v>
      </c>
      <c r="F1067" s="124">
        <v>68.290000000000006</v>
      </c>
      <c r="G1067" s="123">
        <v>0.13884481415214128</v>
      </c>
    </row>
    <row r="1068" spans="2:7" x14ac:dyDescent="0.2">
      <c r="B1068" s="120" t="s">
        <v>2428</v>
      </c>
      <c r="C1068" s="121" t="s">
        <v>2429</v>
      </c>
      <c r="D1068" s="122" t="s">
        <v>3556</v>
      </c>
      <c r="E1068" s="122" t="s">
        <v>3682</v>
      </c>
      <c r="F1068" s="124"/>
      <c r="G1068" s="123" t="e">
        <v>#DIV/0!</v>
      </c>
    </row>
    <row r="1069" spans="2:7" x14ac:dyDescent="0.2">
      <c r="B1069" s="120" t="s">
        <v>2430</v>
      </c>
      <c r="C1069" s="121" t="s">
        <v>2431</v>
      </c>
      <c r="D1069" s="122" t="s">
        <v>3580</v>
      </c>
      <c r="E1069" s="122" t="s">
        <v>3649</v>
      </c>
      <c r="F1069" s="124">
        <v>7.86</v>
      </c>
      <c r="G1069" s="123">
        <v>1.7979431769873822E-2</v>
      </c>
    </row>
    <row r="1070" spans="2:7" x14ac:dyDescent="0.2">
      <c r="B1070" s="120" t="s">
        <v>2432</v>
      </c>
      <c r="C1070" s="121" t="s">
        <v>2433</v>
      </c>
      <c r="D1070" s="122" t="s">
        <v>3569</v>
      </c>
      <c r="E1070" s="122" t="s">
        <v>3574</v>
      </c>
      <c r="F1070" s="124"/>
      <c r="G1070" s="123">
        <v>1.0455600314049216E-2</v>
      </c>
    </row>
    <row r="1071" spans="2:7" x14ac:dyDescent="0.2">
      <c r="B1071" s="120" t="s">
        <v>2434</v>
      </c>
      <c r="C1071" s="121" t="s">
        <v>2435</v>
      </c>
      <c r="D1071" s="122" t="s">
        <v>3561</v>
      </c>
      <c r="E1071" s="122" t="s">
        <v>3768</v>
      </c>
      <c r="F1071" s="124">
        <v>9.24</v>
      </c>
      <c r="G1071" s="123">
        <v>3.0595721739990717E-2</v>
      </c>
    </row>
    <row r="1072" spans="2:7" x14ac:dyDescent="0.2">
      <c r="B1072" s="120" t="s">
        <v>2436</v>
      </c>
      <c r="C1072" s="121" t="s">
        <v>2437</v>
      </c>
      <c r="D1072" s="122" t="s">
        <v>3582</v>
      </c>
      <c r="E1072" s="122" t="s">
        <v>3631</v>
      </c>
      <c r="F1072" s="124"/>
      <c r="G1072" s="123">
        <v>0.15210646946968101</v>
      </c>
    </row>
    <row r="1073" spans="2:7" x14ac:dyDescent="0.2">
      <c r="B1073" s="120" t="s">
        <v>2438</v>
      </c>
      <c r="C1073" s="121" t="s">
        <v>2439</v>
      </c>
      <c r="D1073" s="122" t="s">
        <v>3576</v>
      </c>
      <c r="E1073" s="122" t="s">
        <v>3619</v>
      </c>
      <c r="F1073" s="124">
        <v>-0.16</v>
      </c>
      <c r="G1073" s="123">
        <v>1.8292349206898265E-2</v>
      </c>
    </row>
    <row r="1074" spans="2:7" x14ac:dyDescent="0.2">
      <c r="B1074" s="120" t="s">
        <v>2440</v>
      </c>
      <c r="C1074" s="121" t="s">
        <v>2441</v>
      </c>
      <c r="D1074" s="122" t="s">
        <v>3591</v>
      </c>
      <c r="E1074" s="122" t="s">
        <v>3592</v>
      </c>
      <c r="F1074" s="124">
        <v>-0.84</v>
      </c>
      <c r="G1074" s="123">
        <v>-1</v>
      </c>
    </row>
    <row r="1075" spans="2:7" x14ac:dyDescent="0.2">
      <c r="B1075" s="120" t="s">
        <v>2442</v>
      </c>
      <c r="C1075" s="121" t="s">
        <v>2443</v>
      </c>
      <c r="D1075" s="122" t="s">
        <v>3591</v>
      </c>
      <c r="E1075" s="122" t="s">
        <v>3643</v>
      </c>
      <c r="F1075" s="124">
        <v>-0.89</v>
      </c>
      <c r="G1075" s="123">
        <v>2.2182349592649999E-2</v>
      </c>
    </row>
    <row r="1076" spans="2:7" x14ac:dyDescent="0.2">
      <c r="B1076" s="120" t="s">
        <v>2444</v>
      </c>
      <c r="C1076" s="121" t="s">
        <v>2445</v>
      </c>
      <c r="D1076" s="122" t="s">
        <v>3576</v>
      </c>
      <c r="E1076" s="122" t="s">
        <v>3619</v>
      </c>
      <c r="F1076" s="124">
        <v>12.9</v>
      </c>
      <c r="G1076" s="123">
        <v>3.7086006260774892E-2</v>
      </c>
    </row>
    <row r="1077" spans="2:7" x14ac:dyDescent="0.2">
      <c r="B1077" s="120" t="s">
        <v>2446</v>
      </c>
      <c r="C1077" s="121" t="s">
        <v>2447</v>
      </c>
      <c r="D1077" s="122" t="s">
        <v>3591</v>
      </c>
      <c r="E1077" s="122" t="s">
        <v>3643</v>
      </c>
      <c r="F1077" s="124">
        <v>5.53</v>
      </c>
      <c r="G1077" s="123">
        <v>-0.12052665089095707</v>
      </c>
    </row>
    <row r="1078" spans="2:7" x14ac:dyDescent="0.2">
      <c r="B1078" s="120" t="s">
        <v>2448</v>
      </c>
      <c r="C1078" s="121" t="s">
        <v>2449</v>
      </c>
      <c r="D1078" s="122" t="s">
        <v>3556</v>
      </c>
      <c r="E1078" s="122" t="s">
        <v>3756</v>
      </c>
      <c r="F1078" s="124">
        <v>55.72</v>
      </c>
      <c r="G1078" s="123">
        <v>0.40299804633688169</v>
      </c>
    </row>
    <row r="1079" spans="2:7" x14ac:dyDescent="0.2">
      <c r="B1079" s="120" t="s">
        <v>2450</v>
      </c>
      <c r="C1079" s="121" t="s">
        <v>2451</v>
      </c>
      <c r="D1079" s="122" t="s">
        <v>25</v>
      </c>
      <c r="E1079" s="122" t="s">
        <v>3703</v>
      </c>
      <c r="F1079" s="124">
        <v>5.03</v>
      </c>
      <c r="G1079" s="123">
        <v>2.8472081765526517E-2</v>
      </c>
    </row>
    <row r="1080" spans="2:7" x14ac:dyDescent="0.2">
      <c r="B1080" s="120" t="s">
        <v>2452</v>
      </c>
      <c r="C1080" s="121" t="s">
        <v>2453</v>
      </c>
      <c r="D1080" s="122" t="s">
        <v>3556</v>
      </c>
      <c r="E1080" s="122" t="s">
        <v>3560</v>
      </c>
      <c r="F1080" s="124">
        <v>15.12</v>
      </c>
      <c r="G1080" s="123">
        <v>0.54039044501030686</v>
      </c>
    </row>
    <row r="1081" spans="2:7" x14ac:dyDescent="0.2">
      <c r="B1081" s="120" t="s">
        <v>2454</v>
      </c>
      <c r="C1081" s="121" t="s">
        <v>2455</v>
      </c>
      <c r="D1081" s="122" t="s">
        <v>24</v>
      </c>
      <c r="E1081" s="122" t="s">
        <v>3589</v>
      </c>
      <c r="F1081" s="124">
        <v>18.16</v>
      </c>
      <c r="G1081" s="123">
        <v>0.15454415247547076</v>
      </c>
    </row>
    <row r="1082" spans="2:7" x14ac:dyDescent="0.2">
      <c r="B1082" s="120" t="s">
        <v>2456</v>
      </c>
      <c r="C1082" s="121" t="s">
        <v>2457</v>
      </c>
      <c r="D1082" s="122" t="s">
        <v>3594</v>
      </c>
      <c r="E1082" s="122" t="s">
        <v>3602</v>
      </c>
      <c r="F1082" s="124">
        <v>33.89</v>
      </c>
      <c r="G1082" s="123">
        <v>-6.4206992413008743E-2</v>
      </c>
    </row>
    <row r="1083" spans="2:7" x14ac:dyDescent="0.2">
      <c r="B1083" s="120" t="s">
        <v>2458</v>
      </c>
      <c r="C1083" s="121" t="s">
        <v>17</v>
      </c>
      <c r="D1083" s="122" t="s">
        <v>3582</v>
      </c>
      <c r="E1083" s="122" t="s">
        <v>3765</v>
      </c>
      <c r="F1083" s="124">
        <v>0.02</v>
      </c>
      <c r="G1083" s="123">
        <v>-2.1088990987691521E-2</v>
      </c>
    </row>
    <row r="1084" spans="2:7" x14ac:dyDescent="0.2">
      <c r="B1084" s="120" t="s">
        <v>2459</v>
      </c>
      <c r="C1084" s="121" t="s">
        <v>2460</v>
      </c>
      <c r="D1084" s="122" t="s">
        <v>3569</v>
      </c>
      <c r="E1084" s="122" t="s">
        <v>3697</v>
      </c>
      <c r="F1084" s="124">
        <v>16.16</v>
      </c>
      <c r="G1084" s="123">
        <v>0.13594006172917911</v>
      </c>
    </row>
    <row r="1085" spans="2:7" x14ac:dyDescent="0.2">
      <c r="B1085" s="120" t="s">
        <v>2461</v>
      </c>
      <c r="C1085" s="121" t="s">
        <v>2462</v>
      </c>
      <c r="D1085" s="122" t="s">
        <v>3576</v>
      </c>
      <c r="E1085" s="122" t="s">
        <v>3609</v>
      </c>
      <c r="F1085" s="124">
        <v>13.11</v>
      </c>
      <c r="G1085" s="123">
        <v>-0.27353286153119094</v>
      </c>
    </row>
    <row r="1086" spans="2:7" x14ac:dyDescent="0.2">
      <c r="B1086" s="120" t="s">
        <v>2463</v>
      </c>
      <c r="C1086" s="121" t="s">
        <v>2464</v>
      </c>
      <c r="D1086" s="122" t="s">
        <v>3612</v>
      </c>
      <c r="E1086" s="122" t="s">
        <v>3669</v>
      </c>
      <c r="F1086" s="124">
        <v>-12.87</v>
      </c>
      <c r="G1086" s="123">
        <v>-1</v>
      </c>
    </row>
    <row r="1087" spans="2:7" x14ac:dyDescent="0.2">
      <c r="B1087" s="120" t="s">
        <v>2465</v>
      </c>
      <c r="C1087" s="121" t="s">
        <v>2466</v>
      </c>
      <c r="D1087" s="122" t="s">
        <v>3556</v>
      </c>
      <c r="E1087" s="122" t="s">
        <v>3586</v>
      </c>
      <c r="F1087" s="124">
        <v>17.68</v>
      </c>
      <c r="G1087" s="123">
        <v>-6.5891296803497604E-2</v>
      </c>
    </row>
    <row r="1088" spans="2:7" x14ac:dyDescent="0.2">
      <c r="B1088" s="120" t="s">
        <v>2467</v>
      </c>
      <c r="C1088" s="121" t="s">
        <v>2468</v>
      </c>
      <c r="D1088" s="122" t="s">
        <v>3576</v>
      </c>
      <c r="E1088" s="122" t="s">
        <v>3636</v>
      </c>
      <c r="F1088" s="124">
        <v>9.1999999999999993</v>
      </c>
      <c r="G1088" s="123">
        <v>-3.2181096271227456E-2</v>
      </c>
    </row>
    <row r="1089" spans="2:7" x14ac:dyDescent="0.2">
      <c r="B1089" s="120" t="s">
        <v>2469</v>
      </c>
      <c r="C1089" s="121" t="s">
        <v>2470</v>
      </c>
      <c r="D1089" s="122" t="s">
        <v>3569</v>
      </c>
      <c r="E1089" s="122" t="s">
        <v>3575</v>
      </c>
      <c r="F1089" s="124">
        <v>58.14</v>
      </c>
      <c r="G1089" s="123">
        <v>0.64504017305315209</v>
      </c>
    </row>
    <row r="1090" spans="2:7" x14ac:dyDescent="0.2">
      <c r="B1090" s="120" t="s">
        <v>2471</v>
      </c>
      <c r="C1090" s="121" t="s">
        <v>2472</v>
      </c>
      <c r="D1090" s="122" t="s">
        <v>3612</v>
      </c>
      <c r="E1090" s="122" t="s">
        <v>3726</v>
      </c>
      <c r="F1090" s="124">
        <v>7.04</v>
      </c>
      <c r="G1090" s="123">
        <v>2.2151625954092334E-2</v>
      </c>
    </row>
    <row r="1091" spans="2:7" x14ac:dyDescent="0.2">
      <c r="B1091" s="120" t="s">
        <v>2473</v>
      </c>
      <c r="C1091" s="121" t="s">
        <v>2474</v>
      </c>
      <c r="D1091" s="122" t="s">
        <v>3556</v>
      </c>
      <c r="E1091" s="122" t="s">
        <v>3621</v>
      </c>
      <c r="F1091" s="124"/>
      <c r="G1091" s="123">
        <v>-4.230389151778275E-2</v>
      </c>
    </row>
    <row r="1092" spans="2:7" x14ac:dyDescent="0.2">
      <c r="B1092" s="120" t="s">
        <v>2475</v>
      </c>
      <c r="C1092" s="121" t="s">
        <v>2476</v>
      </c>
      <c r="D1092" s="122" t="s">
        <v>3556</v>
      </c>
      <c r="E1092" s="122" t="s">
        <v>3579</v>
      </c>
      <c r="F1092" s="124">
        <v>1.1499999999999999</v>
      </c>
      <c r="G1092" s="123">
        <v>1.5557268769300837E-2</v>
      </c>
    </row>
    <row r="1093" spans="2:7" x14ac:dyDescent="0.2">
      <c r="B1093" s="120" t="s">
        <v>2477</v>
      </c>
      <c r="C1093" s="121" t="s">
        <v>2478</v>
      </c>
      <c r="D1093" s="122" t="s">
        <v>3569</v>
      </c>
      <c r="E1093" s="122" t="s">
        <v>3722</v>
      </c>
      <c r="F1093" s="124"/>
      <c r="G1093" s="123">
        <v>1.0723762170402995E-2</v>
      </c>
    </row>
    <row r="1094" spans="2:7" x14ac:dyDescent="0.2">
      <c r="B1094" s="120" t="s">
        <v>2479</v>
      </c>
      <c r="C1094" s="121" t="s">
        <v>2480</v>
      </c>
      <c r="D1094" s="122" t="s">
        <v>3563</v>
      </c>
      <c r="E1094" s="122" t="s">
        <v>3565</v>
      </c>
      <c r="F1094" s="124">
        <v>6.86</v>
      </c>
      <c r="G1094" s="123">
        <v>5.9836504855590653E-2</v>
      </c>
    </row>
    <row r="1095" spans="2:7" x14ac:dyDescent="0.2">
      <c r="B1095" s="120" t="s">
        <v>2481</v>
      </c>
      <c r="C1095" s="121" t="s">
        <v>2482</v>
      </c>
      <c r="D1095" s="122" t="s">
        <v>3610</v>
      </c>
      <c r="E1095" s="122" t="s">
        <v>3611</v>
      </c>
      <c r="F1095" s="124">
        <v>5.93</v>
      </c>
      <c r="G1095" s="123">
        <v>8.0674670040879928E-2</v>
      </c>
    </row>
    <row r="1096" spans="2:7" x14ac:dyDescent="0.2">
      <c r="B1096" s="120" t="s">
        <v>2483</v>
      </c>
      <c r="C1096" s="121" t="s">
        <v>2484</v>
      </c>
      <c r="D1096" s="122" t="s">
        <v>3556</v>
      </c>
      <c r="E1096" s="122" t="s">
        <v>3579</v>
      </c>
      <c r="F1096" s="124">
        <v>13.35</v>
      </c>
      <c r="G1096" s="123">
        <v>4.0040763398692773E-2</v>
      </c>
    </row>
    <row r="1097" spans="2:7" x14ac:dyDescent="0.2">
      <c r="B1097" s="120" t="s">
        <v>2485</v>
      </c>
      <c r="C1097" s="121" t="s">
        <v>2486</v>
      </c>
      <c r="D1097" s="122" t="s">
        <v>3576</v>
      </c>
      <c r="E1097" s="122" t="s">
        <v>3619</v>
      </c>
      <c r="F1097" s="124">
        <v>3.46</v>
      </c>
      <c r="G1097" s="123">
        <v>0.10380404059270321</v>
      </c>
    </row>
    <row r="1098" spans="2:7" x14ac:dyDescent="0.2">
      <c r="B1098" s="120" t="s">
        <v>2487</v>
      </c>
      <c r="C1098" s="121" t="s">
        <v>2488</v>
      </c>
      <c r="D1098" s="122" t="s">
        <v>3576</v>
      </c>
      <c r="E1098" s="122" t="s">
        <v>3626</v>
      </c>
      <c r="F1098" s="124"/>
      <c r="G1098" s="123">
        <v>-0.28764042151307284</v>
      </c>
    </row>
    <row r="1099" spans="2:7" x14ac:dyDescent="0.2">
      <c r="B1099" s="120" t="s">
        <v>2489</v>
      </c>
      <c r="C1099" s="121" t="s">
        <v>2490</v>
      </c>
      <c r="D1099" s="122" t="s">
        <v>3612</v>
      </c>
      <c r="E1099" s="122" t="s">
        <v>3613</v>
      </c>
      <c r="F1099" s="124">
        <v>-1.18</v>
      </c>
      <c r="G1099" s="123">
        <v>3.3297620928779676</v>
      </c>
    </row>
    <row r="1100" spans="2:7" x14ac:dyDescent="0.2">
      <c r="B1100" s="120" t="s">
        <v>2491</v>
      </c>
      <c r="C1100" s="121" t="s">
        <v>2492</v>
      </c>
      <c r="D1100" s="122" t="s">
        <v>3576</v>
      </c>
      <c r="E1100" s="122" t="s">
        <v>3646</v>
      </c>
      <c r="F1100" s="124">
        <v>34.479999999999997</v>
      </c>
      <c r="G1100" s="123">
        <v>-0.16984254379069816</v>
      </c>
    </row>
    <row r="1101" spans="2:7" x14ac:dyDescent="0.2">
      <c r="B1101" s="120" t="s">
        <v>2493</v>
      </c>
      <c r="C1101" s="121" t="s">
        <v>2494</v>
      </c>
      <c r="D1101" s="122" t="s">
        <v>3612</v>
      </c>
      <c r="E1101" s="122" t="s">
        <v>3670</v>
      </c>
      <c r="F1101" s="124">
        <v>-1.47</v>
      </c>
      <c r="G1101" s="123">
        <v>-3.568928028189685E-2</v>
      </c>
    </row>
    <row r="1102" spans="2:7" x14ac:dyDescent="0.2">
      <c r="B1102" s="120" t="s">
        <v>2495</v>
      </c>
      <c r="C1102" s="121" t="s">
        <v>2496</v>
      </c>
      <c r="D1102" s="122" t="s">
        <v>3594</v>
      </c>
      <c r="E1102" s="122" t="s">
        <v>3678</v>
      </c>
      <c r="F1102" s="124">
        <v>4.32</v>
      </c>
      <c r="G1102" s="123">
        <v>0.57747709977182637</v>
      </c>
    </row>
    <row r="1103" spans="2:7" x14ac:dyDescent="0.2">
      <c r="B1103" s="120" t="s">
        <v>2497</v>
      </c>
      <c r="C1103" s="121" t="s">
        <v>2498</v>
      </c>
      <c r="D1103" s="122" t="s">
        <v>3561</v>
      </c>
      <c r="E1103" s="122" t="s">
        <v>3639</v>
      </c>
      <c r="F1103" s="124">
        <v>15.75</v>
      </c>
      <c r="G1103" s="123">
        <v>0.14573980854477717</v>
      </c>
    </row>
    <row r="1104" spans="2:7" x14ac:dyDescent="0.2">
      <c r="B1104" s="120" t="s">
        <v>2499</v>
      </c>
      <c r="C1104" s="121" t="s">
        <v>2500</v>
      </c>
      <c r="D1104" s="122" t="s">
        <v>3576</v>
      </c>
      <c r="E1104" s="122" t="s">
        <v>3667</v>
      </c>
      <c r="F1104" s="124">
        <v>13.63</v>
      </c>
      <c r="G1104" s="123">
        <v>-0.10524299593226029</v>
      </c>
    </row>
    <row r="1105" spans="2:7" x14ac:dyDescent="0.2">
      <c r="B1105" s="120" t="s">
        <v>2501</v>
      </c>
      <c r="C1105" s="121" t="s">
        <v>2502</v>
      </c>
      <c r="D1105" s="122" t="s">
        <v>3563</v>
      </c>
      <c r="E1105" s="122" t="s">
        <v>3623</v>
      </c>
      <c r="F1105" s="124">
        <v>6.51</v>
      </c>
      <c r="G1105" s="123">
        <v>3.389241653536755E-3</v>
      </c>
    </row>
    <row r="1106" spans="2:7" x14ac:dyDescent="0.2">
      <c r="B1106" s="120" t="s">
        <v>2503</v>
      </c>
      <c r="C1106" s="121" t="s">
        <v>2504</v>
      </c>
      <c r="D1106" s="122" t="s">
        <v>3612</v>
      </c>
      <c r="E1106" s="122" t="s">
        <v>3716</v>
      </c>
      <c r="F1106" s="124">
        <v>-1.47</v>
      </c>
      <c r="G1106" s="123">
        <v>3.5228283952429856E-2</v>
      </c>
    </row>
    <row r="1107" spans="2:7" x14ac:dyDescent="0.2">
      <c r="B1107" s="120" t="s">
        <v>2505</v>
      </c>
      <c r="C1107" s="121" t="s">
        <v>2506</v>
      </c>
      <c r="D1107" s="122" t="s">
        <v>3582</v>
      </c>
      <c r="E1107" s="122" t="s">
        <v>3590</v>
      </c>
      <c r="F1107" s="124"/>
      <c r="G1107" s="123">
        <v>0.26940579048154462</v>
      </c>
    </row>
    <row r="1108" spans="2:7" x14ac:dyDescent="0.2">
      <c r="B1108" s="120" t="s">
        <v>2507</v>
      </c>
      <c r="C1108" s="121" t="s">
        <v>2508</v>
      </c>
      <c r="D1108" s="122" t="s">
        <v>3556</v>
      </c>
      <c r="E1108" s="122" t="s">
        <v>3704</v>
      </c>
      <c r="F1108" s="124">
        <v>34.92</v>
      </c>
      <c r="G1108" s="123">
        <v>0.19710132087184445</v>
      </c>
    </row>
    <row r="1109" spans="2:7" x14ac:dyDescent="0.2">
      <c r="B1109" s="120" t="s">
        <v>2509</v>
      </c>
      <c r="C1109" s="121" t="s">
        <v>2510</v>
      </c>
      <c r="D1109" s="122" t="s">
        <v>3556</v>
      </c>
      <c r="E1109" s="122" t="s">
        <v>3630</v>
      </c>
      <c r="F1109" s="124">
        <v>38.31</v>
      </c>
      <c r="G1109" s="123">
        <v>0.28803188897128923</v>
      </c>
    </row>
    <row r="1110" spans="2:7" x14ac:dyDescent="0.2">
      <c r="B1110" s="120" t="s">
        <v>2511</v>
      </c>
      <c r="C1110" s="121" t="s">
        <v>2512</v>
      </c>
      <c r="D1110" s="122" t="s">
        <v>3582</v>
      </c>
      <c r="E1110" s="122" t="s">
        <v>3588</v>
      </c>
      <c r="F1110" s="124">
        <v>7.68</v>
      </c>
      <c r="G1110" s="123">
        <v>0.10307012060967517</v>
      </c>
    </row>
    <row r="1111" spans="2:7" x14ac:dyDescent="0.2">
      <c r="B1111" s="120" t="s">
        <v>2513</v>
      </c>
      <c r="C1111" s="121" t="s">
        <v>18</v>
      </c>
      <c r="D1111" s="122" t="s">
        <v>3576</v>
      </c>
      <c r="E1111" s="122" t="s">
        <v>3668</v>
      </c>
      <c r="F1111" s="124">
        <v>0.42</v>
      </c>
      <c r="G1111" s="123">
        <v>-0.11955365147885484</v>
      </c>
    </row>
    <row r="1112" spans="2:7" x14ac:dyDescent="0.2">
      <c r="B1112" s="120" t="s">
        <v>2514</v>
      </c>
      <c r="C1112" s="121" t="s">
        <v>2515</v>
      </c>
      <c r="D1112" s="122" t="s">
        <v>3612</v>
      </c>
      <c r="E1112" s="122" t="s">
        <v>3716</v>
      </c>
      <c r="F1112" s="124">
        <v>5.44</v>
      </c>
      <c r="G1112" s="123">
        <v>-7.9232149846436319E-3</v>
      </c>
    </row>
    <row r="1113" spans="2:7" x14ac:dyDescent="0.2">
      <c r="B1113" s="120" t="s">
        <v>2516</v>
      </c>
      <c r="C1113" s="121" t="s">
        <v>2517</v>
      </c>
      <c r="D1113" s="122" t="s">
        <v>3576</v>
      </c>
      <c r="E1113" s="122" t="s">
        <v>3699</v>
      </c>
      <c r="F1113" s="124">
        <v>9.3699999999999992</v>
      </c>
      <c r="G1113" s="123">
        <v>-5.7584110885733578E-2</v>
      </c>
    </row>
    <row r="1114" spans="2:7" x14ac:dyDescent="0.2">
      <c r="B1114" s="120" t="s">
        <v>2518</v>
      </c>
      <c r="C1114" s="121" t="s">
        <v>2519</v>
      </c>
      <c r="D1114" s="122" t="s">
        <v>3612</v>
      </c>
      <c r="E1114" s="122" t="s">
        <v>3696</v>
      </c>
      <c r="F1114" s="124">
        <v>-7.32</v>
      </c>
      <c r="G1114" s="123">
        <v>-0.14687285863742885</v>
      </c>
    </row>
    <row r="1115" spans="2:7" x14ac:dyDescent="0.2">
      <c r="B1115" s="120" t="s">
        <v>2520</v>
      </c>
      <c r="C1115" s="121" t="s">
        <v>2521</v>
      </c>
      <c r="D1115" s="122" t="s">
        <v>3610</v>
      </c>
      <c r="E1115" s="122" t="s">
        <v>3745</v>
      </c>
      <c r="F1115" s="124">
        <v>5.46</v>
      </c>
      <c r="G1115" s="123">
        <v>2.1904988572376983E-2</v>
      </c>
    </row>
    <row r="1116" spans="2:7" x14ac:dyDescent="0.2">
      <c r="B1116" s="120" t="s">
        <v>2522</v>
      </c>
      <c r="C1116" s="121" t="s">
        <v>2523</v>
      </c>
      <c r="D1116" s="122" t="s">
        <v>3591</v>
      </c>
      <c r="E1116" s="122" t="s">
        <v>3592</v>
      </c>
      <c r="F1116" s="124">
        <v>-0.3</v>
      </c>
      <c r="G1116" s="123">
        <v>5.1560445133957697E-3</v>
      </c>
    </row>
    <row r="1117" spans="2:7" x14ac:dyDescent="0.2">
      <c r="B1117" s="120" t="s">
        <v>2524</v>
      </c>
      <c r="C1117" s="121" t="s">
        <v>2525</v>
      </c>
      <c r="D1117" s="122" t="s">
        <v>25</v>
      </c>
      <c r="E1117" s="122" t="s">
        <v>3735</v>
      </c>
      <c r="F1117" s="124">
        <v>1.56</v>
      </c>
      <c r="G1117" s="123">
        <v>-1.8868710315213068E-2</v>
      </c>
    </row>
    <row r="1118" spans="2:7" x14ac:dyDescent="0.2">
      <c r="B1118" s="120" t="s">
        <v>2526</v>
      </c>
      <c r="C1118" s="121" t="s">
        <v>2527</v>
      </c>
      <c r="D1118" s="122" t="s">
        <v>3556</v>
      </c>
      <c r="E1118" s="122" t="s">
        <v>3630</v>
      </c>
      <c r="F1118" s="124">
        <v>33.71</v>
      </c>
      <c r="G1118" s="123">
        <v>0.20830564762739784</v>
      </c>
    </row>
    <row r="1119" spans="2:7" x14ac:dyDescent="0.2">
      <c r="B1119" s="120" t="s">
        <v>2528</v>
      </c>
      <c r="C1119" s="121" t="s">
        <v>2529</v>
      </c>
      <c r="D1119" s="122" t="s">
        <v>3563</v>
      </c>
      <c r="E1119" s="122" t="s">
        <v>3622</v>
      </c>
      <c r="F1119" s="124"/>
      <c r="G1119" s="123">
        <v>1.3150711291150914</v>
      </c>
    </row>
    <row r="1120" spans="2:7" x14ac:dyDescent="0.2">
      <c r="B1120" s="120" t="s">
        <v>2530</v>
      </c>
      <c r="C1120" s="121" t="s">
        <v>2531</v>
      </c>
      <c r="D1120" s="122" t="s">
        <v>24</v>
      </c>
      <c r="E1120" s="122" t="s">
        <v>3573</v>
      </c>
      <c r="F1120" s="124"/>
      <c r="G1120" s="123">
        <v>6.2795369089013245E-2</v>
      </c>
    </row>
    <row r="1121" spans="2:7" x14ac:dyDescent="0.2">
      <c r="B1121" s="120" t="s">
        <v>2532</v>
      </c>
      <c r="C1121" s="121" t="s">
        <v>2533</v>
      </c>
      <c r="D1121" s="122" t="s">
        <v>3612</v>
      </c>
      <c r="E1121" s="122" t="s">
        <v>3627</v>
      </c>
      <c r="F1121" s="124">
        <v>64.41</v>
      </c>
      <c r="G1121" s="123">
        <v>5.8464353958268218E-2</v>
      </c>
    </row>
    <row r="1122" spans="2:7" x14ac:dyDescent="0.2">
      <c r="B1122" s="120" t="s">
        <v>2534</v>
      </c>
      <c r="C1122" s="121" t="s">
        <v>2535</v>
      </c>
      <c r="D1122" s="122" t="s">
        <v>3576</v>
      </c>
      <c r="E1122" s="122" t="s">
        <v>3619</v>
      </c>
      <c r="F1122" s="124">
        <v>9.2200000000000006</v>
      </c>
      <c r="G1122" s="123">
        <v>0.93178183375971435</v>
      </c>
    </row>
    <row r="1123" spans="2:7" x14ac:dyDescent="0.2">
      <c r="B1123" s="120" t="s">
        <v>2536</v>
      </c>
      <c r="C1123" s="121" t="s">
        <v>19</v>
      </c>
      <c r="D1123" s="122" t="s">
        <v>3591</v>
      </c>
      <c r="E1123" s="122" t="s">
        <v>3592</v>
      </c>
      <c r="F1123" s="124">
        <v>-2.82</v>
      </c>
      <c r="G1123" s="123">
        <v>6.440467924917484E-2</v>
      </c>
    </row>
    <row r="1124" spans="2:7" x14ac:dyDescent="0.2">
      <c r="B1124" s="120" t="s">
        <v>2537</v>
      </c>
      <c r="C1124" s="121" t="s">
        <v>2538</v>
      </c>
      <c r="D1124" s="122" t="s">
        <v>3556</v>
      </c>
      <c r="E1124" s="122" t="s">
        <v>3579</v>
      </c>
      <c r="F1124" s="124">
        <v>10.039999999999999</v>
      </c>
      <c r="G1124" s="123">
        <v>4.6371621166917058E-2</v>
      </c>
    </row>
    <row r="1125" spans="2:7" x14ac:dyDescent="0.2">
      <c r="B1125" s="120" t="s">
        <v>2539</v>
      </c>
      <c r="C1125" s="121" t="s">
        <v>2540</v>
      </c>
      <c r="D1125" s="122" t="s">
        <v>3569</v>
      </c>
      <c r="E1125" s="122" t="s">
        <v>3574</v>
      </c>
      <c r="F1125" s="124">
        <v>33.68</v>
      </c>
      <c r="G1125" s="123">
        <v>0.20892709129320816</v>
      </c>
    </row>
    <row r="1126" spans="2:7" x14ac:dyDescent="0.2">
      <c r="B1126" s="120" t="s">
        <v>2541</v>
      </c>
      <c r="C1126" s="121" t="s">
        <v>2542</v>
      </c>
      <c r="D1126" s="122" t="s">
        <v>24</v>
      </c>
      <c r="E1126" s="122" t="s">
        <v>3693</v>
      </c>
      <c r="F1126" s="124">
        <v>-0.28999999999999998</v>
      </c>
      <c r="G1126" s="123">
        <v>3.0494013856884383E-2</v>
      </c>
    </row>
    <row r="1127" spans="2:7" x14ac:dyDescent="0.2">
      <c r="B1127" s="120" t="s">
        <v>2543</v>
      </c>
      <c r="C1127" s="121" t="s">
        <v>2544</v>
      </c>
      <c r="D1127" s="122" t="s">
        <v>3569</v>
      </c>
      <c r="E1127" s="122" t="s">
        <v>3570</v>
      </c>
      <c r="F1127" s="124">
        <v>2.2400000000000002</v>
      </c>
      <c r="G1127" s="123">
        <v>-4.9683871045911265E-2</v>
      </c>
    </row>
    <row r="1128" spans="2:7" x14ac:dyDescent="0.2">
      <c r="B1128" s="120" t="s">
        <v>2545</v>
      </c>
      <c r="C1128" s="121" t="s">
        <v>2546</v>
      </c>
      <c r="D1128" s="122" t="s">
        <v>3576</v>
      </c>
      <c r="E1128" s="122" t="s">
        <v>3604</v>
      </c>
      <c r="F1128" s="124">
        <v>8.02</v>
      </c>
      <c r="G1128" s="123">
        <v>0.10952472326019161</v>
      </c>
    </row>
    <row r="1129" spans="2:7" x14ac:dyDescent="0.2">
      <c r="B1129" s="120" t="s">
        <v>2547</v>
      </c>
      <c r="C1129" s="121" t="s">
        <v>2548</v>
      </c>
      <c r="D1129" s="122" t="s">
        <v>3563</v>
      </c>
      <c r="E1129" s="122" t="s">
        <v>3779</v>
      </c>
      <c r="F1129" s="124">
        <v>5.54</v>
      </c>
      <c r="G1129" s="123">
        <v>0.26325119659634816</v>
      </c>
    </row>
    <row r="1130" spans="2:7" x14ac:dyDescent="0.2">
      <c r="B1130" s="120" t="s">
        <v>2549</v>
      </c>
      <c r="C1130" s="121" t="s">
        <v>2550</v>
      </c>
      <c r="D1130" s="122" t="s">
        <v>3556</v>
      </c>
      <c r="E1130" s="122" t="s">
        <v>3704</v>
      </c>
      <c r="F1130" s="124">
        <v>38.159999999999997</v>
      </c>
      <c r="G1130" s="123">
        <v>0.22759448527873463</v>
      </c>
    </row>
    <row r="1131" spans="2:7" x14ac:dyDescent="0.2">
      <c r="B1131" s="120" t="s">
        <v>2551</v>
      </c>
      <c r="C1131" s="121" t="s">
        <v>2552</v>
      </c>
      <c r="D1131" s="122" t="s">
        <v>24</v>
      </c>
      <c r="E1131" s="122" t="s">
        <v>3701</v>
      </c>
      <c r="F1131" s="124">
        <v>-3.9</v>
      </c>
      <c r="G1131" s="123">
        <v>3.955213743277592E-2</v>
      </c>
    </row>
    <row r="1132" spans="2:7" x14ac:dyDescent="0.2">
      <c r="B1132" s="120" t="s">
        <v>2553</v>
      </c>
      <c r="C1132" s="121" t="s">
        <v>2554</v>
      </c>
      <c r="D1132" s="122" t="s">
        <v>3576</v>
      </c>
      <c r="E1132" s="122" t="s">
        <v>3578</v>
      </c>
      <c r="F1132" s="124">
        <v>14</v>
      </c>
      <c r="G1132" s="123">
        <v>0.16440110103505434</v>
      </c>
    </row>
    <row r="1133" spans="2:7" x14ac:dyDescent="0.2">
      <c r="B1133" s="120" t="s">
        <v>2555</v>
      </c>
      <c r="C1133" s="121" t="s">
        <v>2556</v>
      </c>
      <c r="D1133" s="122" t="s">
        <v>3576</v>
      </c>
      <c r="E1133" s="122" t="s">
        <v>3619</v>
      </c>
      <c r="F1133" s="124">
        <v>14.59</v>
      </c>
      <c r="G1133" s="123">
        <v>2.9444239485611864E-2</v>
      </c>
    </row>
    <row r="1134" spans="2:7" x14ac:dyDescent="0.2">
      <c r="B1134" s="120" t="s">
        <v>2557</v>
      </c>
      <c r="C1134" s="121" t="s">
        <v>2558</v>
      </c>
      <c r="D1134" s="122" t="s">
        <v>3558</v>
      </c>
      <c r="E1134" s="122" t="s">
        <v>3642</v>
      </c>
      <c r="F1134" s="124">
        <v>3.36</v>
      </c>
      <c r="G1134" s="123">
        <v>-1.7029497944180037E-2</v>
      </c>
    </row>
    <row r="1135" spans="2:7" x14ac:dyDescent="0.2">
      <c r="B1135" s="120" t="s">
        <v>2559</v>
      </c>
      <c r="C1135" s="121" t="s">
        <v>2560</v>
      </c>
      <c r="D1135" s="122" t="s">
        <v>3556</v>
      </c>
      <c r="E1135" s="122" t="s">
        <v>3733</v>
      </c>
      <c r="F1135" s="124">
        <v>-7.43</v>
      </c>
      <c r="G1135" s="123">
        <v>1.5472590661227709E-2</v>
      </c>
    </row>
    <row r="1136" spans="2:7" x14ac:dyDescent="0.2">
      <c r="B1136" s="120" t="s">
        <v>2561</v>
      </c>
      <c r="C1136" s="121" t="s">
        <v>2562</v>
      </c>
      <c r="D1136" s="122" t="s">
        <v>3556</v>
      </c>
      <c r="E1136" s="122" t="s">
        <v>3621</v>
      </c>
      <c r="F1136" s="124">
        <v>-5.26</v>
      </c>
      <c r="G1136" s="123">
        <v>-1</v>
      </c>
    </row>
    <row r="1137" spans="2:7" x14ac:dyDescent="0.2">
      <c r="B1137" s="120" t="s">
        <v>2563</v>
      </c>
      <c r="C1137" s="121" t="s">
        <v>2564</v>
      </c>
      <c r="D1137" s="122" t="s">
        <v>3580</v>
      </c>
      <c r="E1137" s="122" t="s">
        <v>3730</v>
      </c>
      <c r="F1137" s="124">
        <v>15.73</v>
      </c>
      <c r="G1137" s="123">
        <v>-2.2723313830627739E-2</v>
      </c>
    </row>
    <row r="1138" spans="2:7" x14ac:dyDescent="0.2">
      <c r="B1138" s="120" t="s">
        <v>2565</v>
      </c>
      <c r="C1138" s="121" t="s">
        <v>2566</v>
      </c>
      <c r="D1138" s="122" t="s">
        <v>3610</v>
      </c>
      <c r="E1138" s="122" t="s">
        <v>3745</v>
      </c>
      <c r="F1138" s="124">
        <v>8.1</v>
      </c>
      <c r="G1138" s="123">
        <v>0.12447889460298037</v>
      </c>
    </row>
    <row r="1139" spans="2:7" x14ac:dyDescent="0.2">
      <c r="B1139" s="120" t="s">
        <v>2567</v>
      </c>
      <c r="C1139" s="121" t="s">
        <v>2568</v>
      </c>
      <c r="D1139" s="122" t="s">
        <v>3569</v>
      </c>
      <c r="E1139" s="122" t="s">
        <v>3718</v>
      </c>
      <c r="F1139" s="124">
        <v>15.6</v>
      </c>
      <c r="G1139" s="123">
        <v>2.9218824940047919E-2</v>
      </c>
    </row>
    <row r="1140" spans="2:7" x14ac:dyDescent="0.2">
      <c r="B1140" s="120" t="s">
        <v>2569</v>
      </c>
      <c r="C1140" s="121" t="s">
        <v>2570</v>
      </c>
      <c r="D1140" s="122" t="s">
        <v>3558</v>
      </c>
      <c r="E1140" s="122" t="s">
        <v>3644</v>
      </c>
      <c r="F1140" s="124">
        <v>5.19</v>
      </c>
      <c r="G1140" s="123">
        <v>8.1172696946357618E-4</v>
      </c>
    </row>
    <row r="1141" spans="2:7" x14ac:dyDescent="0.2">
      <c r="B1141" s="120" t="s">
        <v>2571</v>
      </c>
      <c r="C1141" s="121" t="s">
        <v>2572</v>
      </c>
      <c r="D1141" s="122" t="s">
        <v>3556</v>
      </c>
      <c r="E1141" s="122" t="s">
        <v>3673</v>
      </c>
      <c r="F1141" s="124">
        <v>4.5999999999999996</v>
      </c>
      <c r="G1141" s="123">
        <v>4.8420079193664513E-2</v>
      </c>
    </row>
    <row r="1142" spans="2:7" x14ac:dyDescent="0.2">
      <c r="B1142" s="120" t="s">
        <v>2573</v>
      </c>
      <c r="C1142" s="121" t="s">
        <v>2574</v>
      </c>
      <c r="D1142" s="122" t="s">
        <v>3556</v>
      </c>
      <c r="E1142" s="122" t="s">
        <v>3630</v>
      </c>
      <c r="F1142" s="124"/>
      <c r="G1142" s="123">
        <v>0.42199966755319157</v>
      </c>
    </row>
    <row r="1143" spans="2:7" x14ac:dyDescent="0.2">
      <c r="B1143" s="120" t="s">
        <v>2575</v>
      </c>
      <c r="C1143" s="121" t="s">
        <v>2576</v>
      </c>
      <c r="D1143" s="122" t="s">
        <v>3576</v>
      </c>
      <c r="E1143" s="122" t="s">
        <v>3619</v>
      </c>
      <c r="F1143" s="124">
        <v>11.45</v>
      </c>
      <c r="G1143" s="123">
        <v>1.4346164132004628E-2</v>
      </c>
    </row>
    <row r="1144" spans="2:7" x14ac:dyDescent="0.2">
      <c r="B1144" s="120" t="s">
        <v>2577</v>
      </c>
      <c r="C1144" s="121" t="s">
        <v>2578</v>
      </c>
      <c r="D1144" s="122" t="s">
        <v>25</v>
      </c>
      <c r="E1144" s="122" t="s">
        <v>3694</v>
      </c>
      <c r="F1144" s="124">
        <v>18.86</v>
      </c>
      <c r="G1144" s="123">
        <v>0.18677783208238796</v>
      </c>
    </row>
    <row r="1145" spans="2:7" x14ac:dyDescent="0.2">
      <c r="B1145" s="120" t="s">
        <v>2579</v>
      </c>
      <c r="C1145" s="121" t="s">
        <v>2580</v>
      </c>
      <c r="D1145" s="122" t="s">
        <v>24</v>
      </c>
      <c r="E1145" s="122" t="s">
        <v>3675</v>
      </c>
      <c r="F1145" s="124">
        <v>0.63</v>
      </c>
      <c r="G1145" s="123">
        <v>-0.62548491086528946</v>
      </c>
    </row>
    <row r="1146" spans="2:7" x14ac:dyDescent="0.2">
      <c r="B1146" s="120" t="s">
        <v>2581</v>
      </c>
      <c r="C1146" s="121" t="s">
        <v>2582</v>
      </c>
      <c r="D1146" s="122" t="s">
        <v>3576</v>
      </c>
      <c r="E1146" s="122" t="s">
        <v>3654</v>
      </c>
      <c r="F1146" s="124">
        <v>5.6</v>
      </c>
      <c r="G1146" s="123">
        <v>-0.12079432901515533</v>
      </c>
    </row>
    <row r="1147" spans="2:7" x14ac:dyDescent="0.2">
      <c r="B1147" s="120" t="s">
        <v>2583</v>
      </c>
      <c r="C1147" s="121" t="s">
        <v>2584</v>
      </c>
      <c r="D1147" s="122" t="s">
        <v>3576</v>
      </c>
      <c r="E1147" s="122" t="s">
        <v>3671</v>
      </c>
      <c r="F1147" s="124">
        <v>46.08</v>
      </c>
      <c r="G1147" s="123">
        <v>-9.5463554056762295E-2</v>
      </c>
    </row>
    <row r="1148" spans="2:7" x14ac:dyDescent="0.2">
      <c r="B1148" s="120" t="s">
        <v>2585</v>
      </c>
      <c r="C1148" s="121" t="s">
        <v>2586</v>
      </c>
      <c r="D1148" s="122" t="s">
        <v>3591</v>
      </c>
      <c r="E1148" s="122" t="s">
        <v>3592</v>
      </c>
      <c r="F1148" s="124">
        <v>0.21</v>
      </c>
      <c r="G1148" s="123">
        <v>2.010984191951894E-2</v>
      </c>
    </row>
    <row r="1149" spans="2:7" x14ac:dyDescent="0.2">
      <c r="B1149" s="120" t="s">
        <v>2587</v>
      </c>
      <c r="C1149" s="121" t="s">
        <v>2588</v>
      </c>
      <c r="D1149" s="122" t="s">
        <v>3558</v>
      </c>
      <c r="E1149" s="122" t="s">
        <v>3770</v>
      </c>
      <c r="F1149" s="124">
        <v>-16.53</v>
      </c>
      <c r="G1149" s="123">
        <v>4.9428687059458881E-3</v>
      </c>
    </row>
    <row r="1150" spans="2:7" x14ac:dyDescent="0.2">
      <c r="B1150" s="120" t="s">
        <v>2589</v>
      </c>
      <c r="C1150" s="121" t="s">
        <v>2590</v>
      </c>
      <c r="D1150" s="122" t="s">
        <v>3591</v>
      </c>
      <c r="E1150" s="122" t="s">
        <v>3592</v>
      </c>
      <c r="F1150" s="124">
        <v>1.39</v>
      </c>
      <c r="G1150" s="123">
        <v>1.6950913647138507E-2</v>
      </c>
    </row>
    <row r="1151" spans="2:7" x14ac:dyDescent="0.2">
      <c r="B1151" s="120" t="s">
        <v>2591</v>
      </c>
      <c r="C1151" s="121" t="s">
        <v>2592</v>
      </c>
      <c r="D1151" s="122" t="s">
        <v>3569</v>
      </c>
      <c r="E1151" s="122" t="s">
        <v>3572</v>
      </c>
      <c r="F1151" s="124">
        <v>19.649999999999999</v>
      </c>
      <c r="G1151" s="123">
        <v>0.25997121421730329</v>
      </c>
    </row>
    <row r="1152" spans="2:7" x14ac:dyDescent="0.2">
      <c r="B1152" s="120" t="s">
        <v>2593</v>
      </c>
      <c r="C1152" s="121" t="s">
        <v>2594</v>
      </c>
      <c r="D1152" s="122" t="s">
        <v>25</v>
      </c>
      <c r="E1152" s="122" t="s">
        <v>3657</v>
      </c>
      <c r="F1152" s="124">
        <v>7.55</v>
      </c>
      <c r="G1152" s="123">
        <v>6.4035542510256574E-2</v>
      </c>
    </row>
    <row r="1153" spans="2:7" x14ac:dyDescent="0.2">
      <c r="B1153" s="120" t="s">
        <v>2595</v>
      </c>
      <c r="C1153" s="121" t="s">
        <v>2596</v>
      </c>
      <c r="D1153" s="122" t="s">
        <v>3591</v>
      </c>
      <c r="E1153" s="122" t="s">
        <v>3592</v>
      </c>
      <c r="F1153" s="124">
        <v>1.87</v>
      </c>
      <c r="G1153" s="123">
        <v>5.1554500251130175E-2</v>
      </c>
    </row>
    <row r="1154" spans="2:7" x14ac:dyDescent="0.2">
      <c r="B1154" s="120" t="s">
        <v>2597</v>
      </c>
      <c r="C1154" s="121" t="s">
        <v>2598</v>
      </c>
      <c r="D1154" s="122" t="s">
        <v>24</v>
      </c>
      <c r="E1154" s="122" t="s">
        <v>3713</v>
      </c>
      <c r="F1154" s="124"/>
      <c r="G1154" s="123">
        <v>8.3563333995234301E-2</v>
      </c>
    </row>
    <row r="1155" spans="2:7" x14ac:dyDescent="0.2">
      <c r="B1155" s="120" t="s">
        <v>2599</v>
      </c>
      <c r="C1155" s="121" t="s">
        <v>2600</v>
      </c>
      <c r="D1155" s="122" t="s">
        <v>24</v>
      </c>
      <c r="E1155" s="122" t="s">
        <v>3633</v>
      </c>
      <c r="F1155" s="124">
        <v>14.48</v>
      </c>
      <c r="G1155" s="123">
        <v>-9.0068241385923384E-2</v>
      </c>
    </row>
    <row r="1156" spans="2:7" x14ac:dyDescent="0.2">
      <c r="B1156" s="120" t="s">
        <v>2601</v>
      </c>
      <c r="C1156" s="121" t="s">
        <v>2602</v>
      </c>
      <c r="D1156" s="122" t="s">
        <v>24</v>
      </c>
      <c r="E1156" s="122" t="s">
        <v>3761</v>
      </c>
      <c r="F1156" s="124">
        <v>7.23</v>
      </c>
      <c r="G1156" s="123">
        <v>-1</v>
      </c>
    </row>
    <row r="1157" spans="2:7" x14ac:dyDescent="0.2">
      <c r="B1157" s="120" t="s">
        <v>2603</v>
      </c>
      <c r="C1157" s="121" t="s">
        <v>2604</v>
      </c>
      <c r="D1157" s="122" t="s">
        <v>3594</v>
      </c>
      <c r="E1157" s="122" t="s">
        <v>3602</v>
      </c>
      <c r="F1157" s="124">
        <v>-0.35</v>
      </c>
      <c r="G1157" s="123">
        <v>2.7821295694028967E-3</v>
      </c>
    </row>
    <row r="1158" spans="2:7" x14ac:dyDescent="0.2">
      <c r="B1158" s="120" t="s">
        <v>2605</v>
      </c>
      <c r="C1158" s="121" t="s">
        <v>2606</v>
      </c>
      <c r="D1158" s="122" t="s">
        <v>3591</v>
      </c>
      <c r="E1158" s="122" t="s">
        <v>3592</v>
      </c>
      <c r="F1158" s="124">
        <v>-9.1300000000000008</v>
      </c>
      <c r="G1158" s="123">
        <v>2.2824026974951835E-2</v>
      </c>
    </row>
    <row r="1159" spans="2:7" x14ac:dyDescent="0.2">
      <c r="B1159" s="120" t="s">
        <v>2607</v>
      </c>
      <c r="C1159" s="121" t="s">
        <v>2608</v>
      </c>
      <c r="D1159" s="122" t="s">
        <v>3563</v>
      </c>
      <c r="E1159" s="122" t="s">
        <v>3676</v>
      </c>
      <c r="F1159" s="124"/>
      <c r="G1159" s="123">
        <v>9.1631045774920525E-2</v>
      </c>
    </row>
    <row r="1160" spans="2:7" x14ac:dyDescent="0.2">
      <c r="B1160" s="120" t="s">
        <v>2609</v>
      </c>
      <c r="C1160" s="121" t="s">
        <v>2610</v>
      </c>
      <c r="D1160" s="122" t="s">
        <v>3569</v>
      </c>
      <c r="E1160" s="122" t="s">
        <v>3718</v>
      </c>
      <c r="F1160" s="124">
        <v>18.7</v>
      </c>
      <c r="G1160" s="123">
        <v>6.4002809966851454E-2</v>
      </c>
    </row>
    <row r="1161" spans="2:7" x14ac:dyDescent="0.2">
      <c r="B1161" s="120" t="s">
        <v>2611</v>
      </c>
      <c r="C1161" s="121" t="s">
        <v>2612</v>
      </c>
      <c r="D1161" s="122" t="s">
        <v>3569</v>
      </c>
      <c r="E1161" s="122" t="s">
        <v>3572</v>
      </c>
      <c r="F1161" s="124">
        <v>1.23</v>
      </c>
      <c r="G1161" s="123">
        <v>9.085102605828746E-3</v>
      </c>
    </row>
    <row r="1162" spans="2:7" x14ac:dyDescent="0.2">
      <c r="B1162" s="120" t="s">
        <v>2613</v>
      </c>
      <c r="C1162" s="121" t="s">
        <v>2614</v>
      </c>
      <c r="D1162" s="122" t="s">
        <v>3576</v>
      </c>
      <c r="E1162" s="122" t="s">
        <v>3641</v>
      </c>
      <c r="F1162" s="124">
        <v>9.27</v>
      </c>
      <c r="G1162" s="123">
        <v>7.2037618957385904E-2</v>
      </c>
    </row>
    <row r="1163" spans="2:7" x14ac:dyDescent="0.2">
      <c r="B1163" s="120" t="s">
        <v>2615</v>
      </c>
      <c r="C1163" s="121" t="s">
        <v>2616</v>
      </c>
      <c r="D1163" s="122" t="s">
        <v>3556</v>
      </c>
      <c r="E1163" s="122" t="s">
        <v>3614</v>
      </c>
      <c r="F1163" s="124"/>
      <c r="G1163" s="123">
        <v>9.5089320099255623E-2</v>
      </c>
    </row>
    <row r="1164" spans="2:7" x14ac:dyDescent="0.2">
      <c r="B1164" s="120" t="s">
        <v>2617</v>
      </c>
      <c r="C1164" s="121" t="s">
        <v>2618</v>
      </c>
      <c r="D1164" s="122" t="s">
        <v>3576</v>
      </c>
      <c r="E1164" s="122" t="s">
        <v>3593</v>
      </c>
      <c r="F1164" s="124">
        <v>1.68</v>
      </c>
      <c r="G1164" s="123">
        <v>-2.2489866506106952E-2</v>
      </c>
    </row>
    <row r="1165" spans="2:7" x14ac:dyDescent="0.2">
      <c r="B1165" s="120" t="s">
        <v>2619</v>
      </c>
      <c r="C1165" s="121" t="s">
        <v>2620</v>
      </c>
      <c r="D1165" s="122" t="s">
        <v>3576</v>
      </c>
      <c r="E1165" s="122" t="s">
        <v>3619</v>
      </c>
      <c r="F1165" s="124">
        <v>5.61</v>
      </c>
      <c r="G1165" s="123">
        <v>3.1565407293376091E-2</v>
      </c>
    </row>
    <row r="1166" spans="2:7" x14ac:dyDescent="0.2">
      <c r="B1166" s="120" t="s">
        <v>2621</v>
      </c>
      <c r="C1166" s="121" t="s">
        <v>2622</v>
      </c>
      <c r="D1166" s="122" t="s">
        <v>3576</v>
      </c>
      <c r="E1166" s="122" t="s">
        <v>3619</v>
      </c>
      <c r="F1166" s="124">
        <v>2.81</v>
      </c>
      <c r="G1166" s="123">
        <v>3.4798800541690954E-2</v>
      </c>
    </row>
    <row r="1167" spans="2:7" x14ac:dyDescent="0.2">
      <c r="B1167" s="120" t="s">
        <v>2623</v>
      </c>
      <c r="C1167" s="121" t="s">
        <v>2624</v>
      </c>
      <c r="D1167" s="122" t="s">
        <v>3556</v>
      </c>
      <c r="E1167" s="122" t="s">
        <v>3783</v>
      </c>
      <c r="F1167" s="124">
        <v>48.1</v>
      </c>
      <c r="G1167" s="123">
        <v>0.23643566795605311</v>
      </c>
    </row>
    <row r="1168" spans="2:7" x14ac:dyDescent="0.2">
      <c r="B1168" s="120" t="s">
        <v>2625</v>
      </c>
      <c r="C1168" s="121" t="s">
        <v>2626</v>
      </c>
      <c r="D1168" s="122" t="s">
        <v>3612</v>
      </c>
      <c r="E1168" s="122" t="s">
        <v>3739</v>
      </c>
      <c r="F1168" s="124">
        <v>-5.29</v>
      </c>
      <c r="G1168" s="123">
        <v>-4.2509748461262375E-2</v>
      </c>
    </row>
    <row r="1169" spans="2:7" x14ac:dyDescent="0.2">
      <c r="B1169" s="120" t="s">
        <v>2627</v>
      </c>
      <c r="C1169" s="121" t="s">
        <v>2628</v>
      </c>
      <c r="D1169" s="122" t="s">
        <v>3612</v>
      </c>
      <c r="E1169" s="122" t="s">
        <v>3785</v>
      </c>
      <c r="F1169" s="124">
        <v>61.84</v>
      </c>
      <c r="G1169" s="123">
        <v>0.11361574697173626</v>
      </c>
    </row>
    <row r="1170" spans="2:7" x14ac:dyDescent="0.2">
      <c r="B1170" s="120" t="s">
        <v>2629</v>
      </c>
      <c r="C1170" s="121" t="s">
        <v>2630</v>
      </c>
      <c r="D1170" s="122" t="s">
        <v>3556</v>
      </c>
      <c r="E1170" s="122" t="s">
        <v>3579</v>
      </c>
      <c r="F1170" s="124">
        <v>-1.1299999999999999</v>
      </c>
      <c r="G1170" s="123">
        <v>5.5364698587556938E-2</v>
      </c>
    </row>
    <row r="1171" spans="2:7" x14ac:dyDescent="0.2">
      <c r="B1171" s="120" t="s">
        <v>2631</v>
      </c>
      <c r="C1171" s="121" t="s">
        <v>2632</v>
      </c>
      <c r="D1171" s="122" t="s">
        <v>3612</v>
      </c>
      <c r="E1171" s="122" t="s">
        <v>3669</v>
      </c>
      <c r="F1171" s="124">
        <v>1.1399999999999999</v>
      </c>
      <c r="G1171" s="123">
        <v>-0.10103951776726156</v>
      </c>
    </row>
    <row r="1172" spans="2:7" x14ac:dyDescent="0.2">
      <c r="B1172" s="120" t="s">
        <v>2633</v>
      </c>
      <c r="C1172" s="121" t="s">
        <v>2634</v>
      </c>
      <c r="D1172" s="122" t="s">
        <v>3582</v>
      </c>
      <c r="E1172" s="122" t="s">
        <v>3765</v>
      </c>
      <c r="F1172" s="124"/>
      <c r="G1172" s="123">
        <v>-1</v>
      </c>
    </row>
    <row r="1173" spans="2:7" x14ac:dyDescent="0.2">
      <c r="B1173" s="120" t="s">
        <v>2635</v>
      </c>
      <c r="C1173" s="121" t="s">
        <v>2636</v>
      </c>
      <c r="D1173" s="122" t="s">
        <v>3610</v>
      </c>
      <c r="E1173" s="122" t="s">
        <v>3656</v>
      </c>
      <c r="F1173" s="124"/>
      <c r="G1173" s="123">
        <v>-4.0820052684134217E-2</v>
      </c>
    </row>
    <row r="1174" spans="2:7" x14ac:dyDescent="0.2">
      <c r="B1174" s="120" t="s">
        <v>2637</v>
      </c>
      <c r="C1174" s="121" t="s">
        <v>2638</v>
      </c>
      <c r="D1174" s="122" t="s">
        <v>3576</v>
      </c>
      <c r="E1174" s="122" t="s">
        <v>3593</v>
      </c>
      <c r="F1174" s="124"/>
      <c r="G1174" s="123">
        <v>0.24653841895368278</v>
      </c>
    </row>
    <row r="1175" spans="2:7" x14ac:dyDescent="0.2">
      <c r="B1175" s="120" t="s">
        <v>2639</v>
      </c>
      <c r="C1175" s="121" t="s">
        <v>2640</v>
      </c>
      <c r="D1175" s="122" t="s">
        <v>25</v>
      </c>
      <c r="E1175" s="122" t="s">
        <v>3712</v>
      </c>
      <c r="F1175" s="124">
        <v>4.6500000000000004</v>
      </c>
      <c r="G1175" s="123">
        <v>1.9003852207770736E-2</v>
      </c>
    </row>
    <row r="1176" spans="2:7" x14ac:dyDescent="0.2">
      <c r="B1176" s="120" t="s">
        <v>2641</v>
      </c>
      <c r="C1176" s="121" t="s">
        <v>2642</v>
      </c>
      <c r="D1176" s="122" t="s">
        <v>3556</v>
      </c>
      <c r="E1176" s="122" t="s">
        <v>3630</v>
      </c>
      <c r="F1176" s="124"/>
      <c r="G1176" s="123">
        <v>0.16088459140062958</v>
      </c>
    </row>
    <row r="1177" spans="2:7" x14ac:dyDescent="0.2">
      <c r="B1177" s="120" t="s">
        <v>2643</v>
      </c>
      <c r="C1177" s="121" t="s">
        <v>2644</v>
      </c>
      <c r="D1177" s="122" t="s">
        <v>3580</v>
      </c>
      <c r="E1177" s="122" t="s">
        <v>3581</v>
      </c>
      <c r="F1177" s="124">
        <v>10.06</v>
      </c>
      <c r="G1177" s="123">
        <v>4.5756051603108638E-2</v>
      </c>
    </row>
    <row r="1178" spans="2:7" x14ac:dyDescent="0.2">
      <c r="B1178" s="120" t="s">
        <v>2645</v>
      </c>
      <c r="C1178" s="121" t="s">
        <v>2646</v>
      </c>
      <c r="D1178" s="122" t="s">
        <v>3612</v>
      </c>
      <c r="E1178" s="122" t="s">
        <v>3627</v>
      </c>
      <c r="F1178" s="124">
        <v>17.22</v>
      </c>
      <c r="G1178" s="123">
        <v>2.5375061072756373E-3</v>
      </c>
    </row>
    <row r="1179" spans="2:7" x14ac:dyDescent="0.2">
      <c r="B1179" s="120" t="s">
        <v>2647</v>
      </c>
      <c r="C1179" s="121" t="s">
        <v>2648</v>
      </c>
      <c r="D1179" s="122" t="s">
        <v>3556</v>
      </c>
      <c r="E1179" s="122" t="s">
        <v>3630</v>
      </c>
      <c r="F1179" s="124">
        <v>18.14</v>
      </c>
      <c r="G1179" s="123">
        <v>0.1471332250339783</v>
      </c>
    </row>
    <row r="1180" spans="2:7" x14ac:dyDescent="0.2">
      <c r="B1180" s="120" t="s">
        <v>2649</v>
      </c>
      <c r="C1180" s="121" t="s">
        <v>2650</v>
      </c>
      <c r="D1180" s="122" t="s">
        <v>3556</v>
      </c>
      <c r="E1180" s="122" t="s">
        <v>3742</v>
      </c>
      <c r="F1180" s="124">
        <v>-3.73</v>
      </c>
      <c r="G1180" s="123">
        <v>-0.15049140902692246</v>
      </c>
    </row>
    <row r="1181" spans="2:7" x14ac:dyDescent="0.2">
      <c r="B1181" s="120" t="s">
        <v>2651</v>
      </c>
      <c r="C1181" s="121" t="s">
        <v>2652</v>
      </c>
      <c r="D1181" s="122" t="s">
        <v>3569</v>
      </c>
      <c r="E1181" s="122" t="s">
        <v>3575</v>
      </c>
      <c r="F1181" s="124">
        <v>3.51</v>
      </c>
      <c r="G1181" s="123">
        <v>3.3600545993274972E-2</v>
      </c>
    </row>
    <row r="1182" spans="2:7" x14ac:dyDescent="0.2">
      <c r="B1182" s="120" t="s">
        <v>2653</v>
      </c>
      <c r="C1182" s="121" t="s">
        <v>2654</v>
      </c>
      <c r="D1182" s="122" t="s">
        <v>3556</v>
      </c>
      <c r="E1182" s="122" t="s">
        <v>3704</v>
      </c>
      <c r="F1182" s="124">
        <v>19.7</v>
      </c>
      <c r="G1182" s="123">
        <v>0.15417185987306839</v>
      </c>
    </row>
    <row r="1183" spans="2:7" x14ac:dyDescent="0.2">
      <c r="B1183" s="120" t="s">
        <v>2655</v>
      </c>
      <c r="C1183" s="121" t="s">
        <v>2656</v>
      </c>
      <c r="D1183" s="122" t="s">
        <v>3563</v>
      </c>
      <c r="E1183" s="122" t="s">
        <v>3622</v>
      </c>
      <c r="F1183" s="124">
        <v>8.59</v>
      </c>
      <c r="G1183" s="123">
        <v>-4.1577825159914712E-2</v>
      </c>
    </row>
    <row r="1184" spans="2:7" x14ac:dyDescent="0.2">
      <c r="B1184" s="120" t="s">
        <v>2657</v>
      </c>
      <c r="C1184" s="121" t="s">
        <v>2658</v>
      </c>
      <c r="D1184" s="122" t="s">
        <v>3556</v>
      </c>
      <c r="E1184" s="122" t="s">
        <v>3786</v>
      </c>
      <c r="F1184" s="124">
        <v>16.78</v>
      </c>
      <c r="G1184" s="123">
        <v>-3.9306579901110646E-2</v>
      </c>
    </row>
    <row r="1185" spans="2:7" x14ac:dyDescent="0.2">
      <c r="B1185" s="120" t="s">
        <v>2659</v>
      </c>
      <c r="C1185" s="121" t="s">
        <v>2660</v>
      </c>
      <c r="D1185" s="122" t="s">
        <v>3563</v>
      </c>
      <c r="E1185" s="122" t="s">
        <v>3690</v>
      </c>
      <c r="F1185" s="124">
        <v>30.52</v>
      </c>
      <c r="G1185" s="123">
        <v>4.4801922717939091E-2</v>
      </c>
    </row>
    <row r="1186" spans="2:7" x14ac:dyDescent="0.2">
      <c r="B1186" s="120" t="s">
        <v>2661</v>
      </c>
      <c r="C1186" s="121" t="s">
        <v>2662</v>
      </c>
      <c r="D1186" s="122" t="s">
        <v>3556</v>
      </c>
      <c r="E1186" s="122" t="s">
        <v>3723</v>
      </c>
      <c r="F1186" s="124">
        <v>32</v>
      </c>
      <c r="G1186" s="123">
        <v>0.30073409373703858</v>
      </c>
    </row>
    <row r="1187" spans="2:7" x14ac:dyDescent="0.2">
      <c r="B1187" s="120" t="s">
        <v>2663</v>
      </c>
      <c r="C1187" s="121" t="s">
        <v>2664</v>
      </c>
      <c r="D1187" s="122" t="s">
        <v>3610</v>
      </c>
      <c r="E1187" s="122" t="s">
        <v>3611</v>
      </c>
      <c r="F1187" s="124">
        <v>8.5399999999999991</v>
      </c>
      <c r="G1187" s="123">
        <v>4.6141119468391084E-2</v>
      </c>
    </row>
    <row r="1188" spans="2:7" x14ac:dyDescent="0.2">
      <c r="B1188" s="120" t="s">
        <v>2665</v>
      </c>
      <c r="C1188" s="121" t="s">
        <v>2666</v>
      </c>
      <c r="D1188" s="122" t="s">
        <v>3582</v>
      </c>
      <c r="E1188" s="122" t="s">
        <v>3631</v>
      </c>
      <c r="F1188" s="124">
        <v>-13.3</v>
      </c>
      <c r="G1188" s="123">
        <v>0.30849730411035642</v>
      </c>
    </row>
    <row r="1189" spans="2:7" x14ac:dyDescent="0.2">
      <c r="B1189" s="120" t="s">
        <v>2667</v>
      </c>
      <c r="C1189" s="121" t="s">
        <v>2668</v>
      </c>
      <c r="D1189" s="122" t="s">
        <v>3582</v>
      </c>
      <c r="E1189" s="122" t="s">
        <v>3715</v>
      </c>
      <c r="F1189" s="124">
        <v>22.3</v>
      </c>
      <c r="G1189" s="123">
        <v>0.14947650060254872</v>
      </c>
    </row>
    <row r="1190" spans="2:7" x14ac:dyDescent="0.2">
      <c r="B1190" s="120" t="s">
        <v>2669</v>
      </c>
      <c r="C1190" s="121" t="s">
        <v>2670</v>
      </c>
      <c r="D1190" s="122" t="s">
        <v>3558</v>
      </c>
      <c r="E1190" s="122" t="s">
        <v>3568</v>
      </c>
      <c r="F1190" s="124">
        <v>1.5</v>
      </c>
      <c r="G1190" s="123">
        <v>-7.0777652512617889E-2</v>
      </c>
    </row>
    <row r="1191" spans="2:7" x14ac:dyDescent="0.2">
      <c r="B1191" s="120" t="s">
        <v>2671</v>
      </c>
      <c r="C1191" s="121" t="s">
        <v>2672</v>
      </c>
      <c r="D1191" s="122" t="s">
        <v>24</v>
      </c>
      <c r="E1191" s="122" t="s">
        <v>3701</v>
      </c>
      <c r="F1191" s="124"/>
      <c r="G1191" s="123">
        <v>-3.1870110244200132E-2</v>
      </c>
    </row>
    <row r="1192" spans="2:7" x14ac:dyDescent="0.2">
      <c r="B1192" s="120" t="s">
        <v>2673</v>
      </c>
      <c r="C1192" s="121" t="s">
        <v>2674</v>
      </c>
      <c r="D1192" s="122" t="s">
        <v>3576</v>
      </c>
      <c r="E1192" s="122" t="s">
        <v>3626</v>
      </c>
      <c r="F1192" s="124">
        <v>-10.78</v>
      </c>
      <c r="G1192" s="123">
        <v>-0.23214360646707033</v>
      </c>
    </row>
    <row r="1193" spans="2:7" x14ac:dyDescent="0.2">
      <c r="B1193" s="120" t="s">
        <v>2675</v>
      </c>
      <c r="C1193" s="121" t="s">
        <v>2676</v>
      </c>
      <c r="D1193" s="122" t="s">
        <v>25</v>
      </c>
      <c r="E1193" s="122" t="s">
        <v>3681</v>
      </c>
      <c r="F1193" s="124">
        <v>0.99</v>
      </c>
      <c r="G1193" s="123">
        <v>-4.1320994617908132E-3</v>
      </c>
    </row>
    <row r="1194" spans="2:7" x14ac:dyDescent="0.2">
      <c r="B1194" s="120" t="s">
        <v>2677</v>
      </c>
      <c r="C1194" s="121" t="s">
        <v>2678</v>
      </c>
      <c r="D1194" s="122" t="s">
        <v>25</v>
      </c>
      <c r="E1194" s="122" t="s">
        <v>3694</v>
      </c>
      <c r="F1194" s="124">
        <v>4.4000000000000004</v>
      </c>
      <c r="G1194" s="123">
        <v>0.15568318543056808</v>
      </c>
    </row>
    <row r="1195" spans="2:7" x14ac:dyDescent="0.2">
      <c r="B1195" s="120" t="s">
        <v>2679</v>
      </c>
      <c r="C1195" s="121" t="s">
        <v>2680</v>
      </c>
      <c r="D1195" s="122" t="s">
        <v>3582</v>
      </c>
      <c r="E1195" s="122" t="s">
        <v>3664</v>
      </c>
      <c r="F1195" s="124"/>
      <c r="G1195" s="123">
        <v>7.095514433160155E-2</v>
      </c>
    </row>
    <row r="1196" spans="2:7" x14ac:dyDescent="0.2">
      <c r="B1196" s="120" t="s">
        <v>2681</v>
      </c>
      <c r="C1196" s="121" t="s">
        <v>2682</v>
      </c>
      <c r="D1196" s="122" t="s">
        <v>3576</v>
      </c>
      <c r="E1196" s="122" t="s">
        <v>3593</v>
      </c>
      <c r="F1196" s="124">
        <v>1.1299999999999999</v>
      </c>
      <c r="G1196" s="123">
        <v>0.11672333288819411</v>
      </c>
    </row>
    <row r="1197" spans="2:7" x14ac:dyDescent="0.2">
      <c r="B1197" s="120" t="s">
        <v>2683</v>
      </c>
      <c r="C1197" s="121" t="s">
        <v>2684</v>
      </c>
      <c r="D1197" s="122" t="s">
        <v>3612</v>
      </c>
      <c r="E1197" s="122" t="s">
        <v>3669</v>
      </c>
      <c r="F1197" s="124">
        <v>1.52</v>
      </c>
      <c r="G1197" s="123">
        <v>-0.15245907891949687</v>
      </c>
    </row>
    <row r="1198" spans="2:7" x14ac:dyDescent="0.2">
      <c r="B1198" s="120" t="s">
        <v>2685</v>
      </c>
      <c r="C1198" s="121" t="s">
        <v>2686</v>
      </c>
      <c r="D1198" s="122" t="s">
        <v>3594</v>
      </c>
      <c r="E1198" s="122" t="s">
        <v>3602</v>
      </c>
      <c r="F1198" s="124"/>
      <c r="G1198" s="123">
        <v>-6.2753839167503489E-2</v>
      </c>
    </row>
    <row r="1199" spans="2:7" x14ac:dyDescent="0.2">
      <c r="B1199" s="120" t="s">
        <v>2687</v>
      </c>
      <c r="C1199" s="121" t="s">
        <v>2688</v>
      </c>
      <c r="D1199" s="122" t="s">
        <v>3569</v>
      </c>
      <c r="E1199" s="122" t="s">
        <v>3599</v>
      </c>
      <c r="F1199" s="124">
        <v>-2.25</v>
      </c>
      <c r="G1199" s="123">
        <v>0.10452806741573041</v>
      </c>
    </row>
    <row r="1200" spans="2:7" x14ac:dyDescent="0.2">
      <c r="B1200" s="120" t="s">
        <v>2689</v>
      </c>
      <c r="C1200" s="121" t="s">
        <v>2690</v>
      </c>
      <c r="D1200" s="122" t="s">
        <v>3576</v>
      </c>
      <c r="E1200" s="122" t="s">
        <v>3578</v>
      </c>
      <c r="F1200" s="124">
        <v>6.86</v>
      </c>
      <c r="G1200" s="123">
        <v>0.10532529099754519</v>
      </c>
    </row>
    <row r="1201" spans="2:7" x14ac:dyDescent="0.2">
      <c r="B1201" s="120" t="s">
        <v>2691</v>
      </c>
      <c r="C1201" s="121" t="s">
        <v>2692</v>
      </c>
      <c r="D1201" s="122" t="s">
        <v>3576</v>
      </c>
      <c r="E1201" s="122" t="s">
        <v>3584</v>
      </c>
      <c r="F1201" s="124">
        <v>21.65</v>
      </c>
      <c r="G1201" s="123">
        <v>-1.5693506516677516E-2</v>
      </c>
    </row>
    <row r="1202" spans="2:7" x14ac:dyDescent="0.2">
      <c r="B1202" s="120" t="s">
        <v>2693</v>
      </c>
      <c r="C1202" s="121" t="s">
        <v>2694</v>
      </c>
      <c r="D1202" s="122" t="s">
        <v>3569</v>
      </c>
      <c r="E1202" s="122" t="s">
        <v>3575</v>
      </c>
      <c r="F1202" s="124">
        <v>22.12</v>
      </c>
      <c r="G1202" s="123">
        <v>0.13218559486201339</v>
      </c>
    </row>
    <row r="1203" spans="2:7" x14ac:dyDescent="0.2">
      <c r="B1203" s="120" t="s">
        <v>2695</v>
      </c>
      <c r="C1203" s="121" t="s">
        <v>2696</v>
      </c>
      <c r="D1203" s="122" t="s">
        <v>3612</v>
      </c>
      <c r="E1203" s="122" t="s">
        <v>3669</v>
      </c>
      <c r="F1203" s="124"/>
      <c r="G1203" s="123">
        <v>-0.13880584198001655</v>
      </c>
    </row>
    <row r="1204" spans="2:7" x14ac:dyDescent="0.2">
      <c r="B1204" s="120" t="s">
        <v>2697</v>
      </c>
      <c r="C1204" s="121" t="s">
        <v>2698</v>
      </c>
      <c r="D1204" s="122" t="s">
        <v>3576</v>
      </c>
      <c r="E1204" s="122" t="s">
        <v>3619</v>
      </c>
      <c r="F1204" s="124">
        <v>32.69</v>
      </c>
      <c r="G1204" s="123">
        <v>0.22460826391830205</v>
      </c>
    </row>
    <row r="1205" spans="2:7" x14ac:dyDescent="0.2">
      <c r="B1205" s="120" t="s">
        <v>2699</v>
      </c>
      <c r="C1205" s="121" t="s">
        <v>2700</v>
      </c>
      <c r="D1205" s="122" t="s">
        <v>3576</v>
      </c>
      <c r="E1205" s="122" t="s">
        <v>3671</v>
      </c>
      <c r="F1205" s="124">
        <v>4.18</v>
      </c>
      <c r="G1205" s="123">
        <v>-8.8332531191515851E-2</v>
      </c>
    </row>
    <row r="1206" spans="2:7" x14ac:dyDescent="0.2">
      <c r="B1206" s="120" t="s">
        <v>2701</v>
      </c>
      <c r="C1206" s="121" t="s">
        <v>2702</v>
      </c>
      <c r="D1206" s="122" t="s">
        <v>3576</v>
      </c>
      <c r="E1206" s="122" t="s">
        <v>3641</v>
      </c>
      <c r="F1206" s="124">
        <v>5.73</v>
      </c>
      <c r="G1206" s="123">
        <v>7.4881185119830704E-2</v>
      </c>
    </row>
    <row r="1207" spans="2:7" x14ac:dyDescent="0.2">
      <c r="B1207" s="120" t="s">
        <v>2703</v>
      </c>
      <c r="C1207" s="121" t="s">
        <v>2704</v>
      </c>
      <c r="D1207" s="122" t="s">
        <v>3569</v>
      </c>
      <c r="E1207" s="122" t="s">
        <v>3575</v>
      </c>
      <c r="F1207" s="124">
        <v>31.9</v>
      </c>
      <c r="G1207" s="123">
        <v>0.3698705354842034</v>
      </c>
    </row>
    <row r="1208" spans="2:7" x14ac:dyDescent="0.2">
      <c r="B1208" s="120" t="s">
        <v>2705</v>
      </c>
      <c r="C1208" s="121" t="s">
        <v>2706</v>
      </c>
      <c r="D1208" s="122" t="s">
        <v>3594</v>
      </c>
      <c r="E1208" s="122" t="s">
        <v>3595</v>
      </c>
      <c r="F1208" s="124">
        <v>13.76</v>
      </c>
      <c r="G1208" s="123">
        <v>0.22330879780645763</v>
      </c>
    </row>
    <row r="1209" spans="2:7" x14ac:dyDescent="0.2">
      <c r="B1209" s="120" t="s">
        <v>2707</v>
      </c>
      <c r="C1209" s="121" t="s">
        <v>2708</v>
      </c>
      <c r="D1209" s="122" t="s">
        <v>3563</v>
      </c>
      <c r="E1209" s="122" t="s">
        <v>3787</v>
      </c>
      <c r="F1209" s="124">
        <v>7.67</v>
      </c>
      <c r="G1209" s="123">
        <v>7.1868784546923914E-2</v>
      </c>
    </row>
    <row r="1210" spans="2:7" x14ac:dyDescent="0.2">
      <c r="B1210" s="120" t="s">
        <v>2709</v>
      </c>
      <c r="C1210" s="121" t="s">
        <v>2710</v>
      </c>
      <c r="D1210" s="122" t="s">
        <v>3569</v>
      </c>
      <c r="E1210" s="122" t="s">
        <v>3570</v>
      </c>
      <c r="F1210" s="124"/>
      <c r="G1210" s="123">
        <v>7.2615932053319565E-2</v>
      </c>
    </row>
    <row r="1211" spans="2:7" x14ac:dyDescent="0.2">
      <c r="B1211" s="120" t="s">
        <v>2711</v>
      </c>
      <c r="C1211" s="121" t="s">
        <v>2712</v>
      </c>
      <c r="D1211" s="122" t="s">
        <v>3582</v>
      </c>
      <c r="E1211" s="122" t="s">
        <v>3777</v>
      </c>
      <c r="F1211" s="124">
        <v>4.5999999999999996</v>
      </c>
      <c r="G1211" s="123">
        <v>5.0736460544077981E-2</v>
      </c>
    </row>
    <row r="1212" spans="2:7" x14ac:dyDescent="0.2">
      <c r="B1212" s="120" t="s">
        <v>2713</v>
      </c>
      <c r="C1212" s="121" t="s">
        <v>2714</v>
      </c>
      <c r="D1212" s="122" t="s">
        <v>3576</v>
      </c>
      <c r="E1212" s="122" t="s">
        <v>3619</v>
      </c>
      <c r="F1212" s="124">
        <v>5.97</v>
      </c>
      <c r="G1212" s="123">
        <v>0.24409466560010043</v>
      </c>
    </row>
    <row r="1213" spans="2:7" x14ac:dyDescent="0.2">
      <c r="B1213" s="120" t="s">
        <v>2715</v>
      </c>
      <c r="C1213" s="121" t="s">
        <v>2716</v>
      </c>
      <c r="D1213" s="122" t="s">
        <v>3556</v>
      </c>
      <c r="E1213" s="122" t="s">
        <v>3683</v>
      </c>
      <c r="F1213" s="124">
        <v>-2.25</v>
      </c>
      <c r="G1213" s="123">
        <v>2.339713009213373E-2</v>
      </c>
    </row>
    <row r="1214" spans="2:7" x14ac:dyDescent="0.2">
      <c r="B1214" s="120" t="s">
        <v>2717</v>
      </c>
      <c r="C1214" s="121" t="s">
        <v>2718</v>
      </c>
      <c r="D1214" s="122" t="s">
        <v>3612</v>
      </c>
      <c r="E1214" s="122" t="s">
        <v>3759</v>
      </c>
      <c r="F1214" s="124">
        <v>-25.66</v>
      </c>
      <c r="G1214" s="123">
        <v>5.548843936381706E-2</v>
      </c>
    </row>
    <row r="1215" spans="2:7" x14ac:dyDescent="0.2">
      <c r="B1215" s="120" t="s">
        <v>2719</v>
      </c>
      <c r="C1215" s="121" t="s">
        <v>2720</v>
      </c>
      <c r="D1215" s="122" t="s">
        <v>3594</v>
      </c>
      <c r="E1215" s="122" t="s">
        <v>3647</v>
      </c>
      <c r="F1215" s="124"/>
      <c r="G1215" s="123">
        <v>3.627977148215792E-2</v>
      </c>
    </row>
    <row r="1216" spans="2:7" x14ac:dyDescent="0.2">
      <c r="B1216" s="120" t="s">
        <v>2721</v>
      </c>
      <c r="C1216" s="121" t="s">
        <v>2722</v>
      </c>
      <c r="D1216" s="122" t="s">
        <v>3576</v>
      </c>
      <c r="E1216" s="122" t="s">
        <v>3620</v>
      </c>
      <c r="F1216" s="124">
        <v>11.37</v>
      </c>
      <c r="G1216" s="123">
        <v>3.1191227183105037E-2</v>
      </c>
    </row>
    <row r="1217" spans="2:7" x14ac:dyDescent="0.2">
      <c r="B1217" s="120" t="s">
        <v>2723</v>
      </c>
      <c r="C1217" s="121" t="s">
        <v>20</v>
      </c>
      <c r="D1217" s="122" t="s">
        <v>25</v>
      </c>
      <c r="E1217" s="122" t="s">
        <v>3712</v>
      </c>
      <c r="F1217" s="124">
        <v>-5.21</v>
      </c>
      <c r="G1217" s="123">
        <v>1.8306640266117488E-2</v>
      </c>
    </row>
    <row r="1218" spans="2:7" x14ac:dyDescent="0.2">
      <c r="B1218" s="120" t="s">
        <v>2724</v>
      </c>
      <c r="C1218" s="121" t="s">
        <v>2725</v>
      </c>
      <c r="D1218" s="122" t="s">
        <v>3576</v>
      </c>
      <c r="E1218" s="122" t="s">
        <v>3578</v>
      </c>
      <c r="F1218" s="124">
        <v>2.35</v>
      </c>
      <c r="G1218" s="123">
        <v>0.1092382413337897</v>
      </c>
    </row>
    <row r="1219" spans="2:7" x14ac:dyDescent="0.2">
      <c r="B1219" s="120" t="s">
        <v>2726</v>
      </c>
      <c r="C1219" s="121" t="s">
        <v>2727</v>
      </c>
      <c r="D1219" s="122" t="s">
        <v>3569</v>
      </c>
      <c r="E1219" s="122" t="s">
        <v>3572</v>
      </c>
      <c r="F1219" s="124">
        <v>11.5</v>
      </c>
      <c r="G1219" s="123">
        <v>9.9136439842398241E-2</v>
      </c>
    </row>
    <row r="1220" spans="2:7" x14ac:dyDescent="0.2">
      <c r="B1220" s="120" t="s">
        <v>2728</v>
      </c>
      <c r="C1220" s="121" t="s">
        <v>2729</v>
      </c>
      <c r="D1220" s="122" t="s">
        <v>3556</v>
      </c>
      <c r="E1220" s="122" t="s">
        <v>3756</v>
      </c>
      <c r="F1220" s="124">
        <v>31.96</v>
      </c>
      <c r="G1220" s="123">
        <v>0.29956796116504858</v>
      </c>
    </row>
    <row r="1221" spans="2:7" x14ac:dyDescent="0.2">
      <c r="B1221" s="120" t="s">
        <v>2730</v>
      </c>
      <c r="C1221" s="121" t="s">
        <v>2731</v>
      </c>
      <c r="D1221" s="122" t="s">
        <v>3610</v>
      </c>
      <c r="E1221" s="122" t="s">
        <v>3656</v>
      </c>
      <c r="F1221" s="124"/>
      <c r="G1221" s="123">
        <v>-8.4590320924750231E-2</v>
      </c>
    </row>
    <row r="1222" spans="2:7" x14ac:dyDescent="0.2">
      <c r="B1222" s="120" t="s">
        <v>2732</v>
      </c>
      <c r="C1222" s="121" t="s">
        <v>2733</v>
      </c>
      <c r="D1222" s="122" t="s">
        <v>3576</v>
      </c>
      <c r="E1222" s="122" t="s">
        <v>3578</v>
      </c>
      <c r="F1222" s="124">
        <v>15.99</v>
      </c>
      <c r="G1222" s="123">
        <v>0.56963570030940647</v>
      </c>
    </row>
    <row r="1223" spans="2:7" x14ac:dyDescent="0.2">
      <c r="B1223" s="120" t="s">
        <v>2734</v>
      </c>
      <c r="C1223" s="121" t="s">
        <v>2735</v>
      </c>
      <c r="D1223" s="122" t="s">
        <v>3582</v>
      </c>
      <c r="E1223" s="122" t="s">
        <v>3631</v>
      </c>
      <c r="F1223" s="124"/>
      <c r="G1223" s="123">
        <v>3.5699105687475231E-2</v>
      </c>
    </row>
    <row r="1224" spans="2:7" x14ac:dyDescent="0.2">
      <c r="B1224" s="120" t="s">
        <v>2736</v>
      </c>
      <c r="C1224" s="121" t="s">
        <v>2737</v>
      </c>
      <c r="D1224" s="122" t="s">
        <v>3558</v>
      </c>
      <c r="E1224" s="122" t="s">
        <v>3746</v>
      </c>
      <c r="F1224" s="124">
        <v>0.94</v>
      </c>
      <c r="G1224" s="123">
        <v>-2.2891944194418936E-3</v>
      </c>
    </row>
    <row r="1225" spans="2:7" x14ac:dyDescent="0.2">
      <c r="B1225" s="120" t="s">
        <v>2738</v>
      </c>
      <c r="C1225" s="121" t="s">
        <v>2739</v>
      </c>
      <c r="D1225" s="122" t="s">
        <v>25</v>
      </c>
      <c r="E1225" s="122" t="s">
        <v>3691</v>
      </c>
      <c r="F1225" s="124"/>
      <c r="G1225" s="123">
        <v>0.45756959502228928</v>
      </c>
    </row>
    <row r="1226" spans="2:7" x14ac:dyDescent="0.2">
      <c r="B1226" s="120" t="s">
        <v>2740</v>
      </c>
      <c r="C1226" s="121" t="s">
        <v>2741</v>
      </c>
      <c r="D1226" s="122" t="s">
        <v>3582</v>
      </c>
      <c r="E1226" s="122" t="s">
        <v>3788</v>
      </c>
      <c r="F1226" s="124">
        <v>6.56</v>
      </c>
      <c r="G1226" s="123">
        <v>9.6477766310195737E-2</v>
      </c>
    </row>
    <row r="1227" spans="2:7" x14ac:dyDescent="0.2">
      <c r="B1227" s="120" t="s">
        <v>2742</v>
      </c>
      <c r="C1227" s="121" t="s">
        <v>2743</v>
      </c>
      <c r="D1227" s="122" t="s">
        <v>3558</v>
      </c>
      <c r="E1227" s="122" t="s">
        <v>3642</v>
      </c>
      <c r="F1227" s="124">
        <v>10.97</v>
      </c>
      <c r="G1227" s="123">
        <v>7.5687539144793037E-2</v>
      </c>
    </row>
    <row r="1228" spans="2:7" x14ac:dyDescent="0.2">
      <c r="B1228" s="120" t="s">
        <v>2744</v>
      </c>
      <c r="C1228" s="121" t="s">
        <v>2745</v>
      </c>
      <c r="D1228" s="122" t="s">
        <v>3558</v>
      </c>
      <c r="E1228" s="122" t="s">
        <v>3642</v>
      </c>
      <c r="F1228" s="124">
        <v>10.63</v>
      </c>
      <c r="G1228" s="123">
        <v>4.1966244798890398E-2</v>
      </c>
    </row>
    <row r="1229" spans="2:7" x14ac:dyDescent="0.2">
      <c r="B1229" s="120" t="s">
        <v>2746</v>
      </c>
      <c r="C1229" s="121" t="s">
        <v>2747</v>
      </c>
      <c r="D1229" s="122" t="s">
        <v>3563</v>
      </c>
      <c r="E1229" s="122" t="s">
        <v>3677</v>
      </c>
      <c r="F1229" s="124">
        <v>8.09</v>
      </c>
      <c r="G1229" s="123">
        <v>6.1456307387973703E-2</v>
      </c>
    </row>
    <row r="1230" spans="2:7" x14ac:dyDescent="0.2">
      <c r="B1230" s="120" t="s">
        <v>2748</v>
      </c>
      <c r="C1230" s="121" t="s">
        <v>2749</v>
      </c>
      <c r="D1230" s="122" t="s">
        <v>3556</v>
      </c>
      <c r="E1230" s="122" t="s">
        <v>3723</v>
      </c>
      <c r="F1230" s="124">
        <v>20.85</v>
      </c>
      <c r="G1230" s="123">
        <v>0.13891406357823069</v>
      </c>
    </row>
    <row r="1231" spans="2:7" x14ac:dyDescent="0.2">
      <c r="B1231" s="120" t="s">
        <v>2750</v>
      </c>
      <c r="C1231" s="121" t="s">
        <v>2751</v>
      </c>
      <c r="D1231" s="122" t="s">
        <v>3580</v>
      </c>
      <c r="E1231" s="122" t="s">
        <v>3782</v>
      </c>
      <c r="F1231" s="124">
        <v>5.17</v>
      </c>
      <c r="G1231" s="123">
        <v>3.1295224231968392E-2</v>
      </c>
    </row>
    <row r="1232" spans="2:7" x14ac:dyDescent="0.2">
      <c r="B1232" s="120" t="s">
        <v>2752</v>
      </c>
      <c r="C1232" s="121" t="s">
        <v>2753</v>
      </c>
      <c r="D1232" s="122" t="s">
        <v>3558</v>
      </c>
      <c r="E1232" s="122" t="s">
        <v>3559</v>
      </c>
      <c r="F1232" s="124">
        <v>2.88</v>
      </c>
      <c r="G1232" s="123">
        <v>-3.6048614157527345E-2</v>
      </c>
    </row>
    <row r="1233" spans="2:7" x14ac:dyDescent="0.2">
      <c r="B1233" s="120" t="s">
        <v>2754</v>
      </c>
      <c r="C1233" s="121" t="s">
        <v>2755</v>
      </c>
      <c r="D1233" s="122" t="s">
        <v>3582</v>
      </c>
      <c r="E1233" s="122" t="s">
        <v>3707</v>
      </c>
      <c r="F1233" s="124">
        <v>3.61</v>
      </c>
      <c r="G1233" s="123">
        <v>4.0553511139439731E-2</v>
      </c>
    </row>
    <row r="1234" spans="2:7" x14ac:dyDescent="0.2">
      <c r="B1234" s="120" t="s">
        <v>2756</v>
      </c>
      <c r="C1234" s="121" t="s">
        <v>2757</v>
      </c>
      <c r="D1234" s="122" t="s">
        <v>3605</v>
      </c>
      <c r="E1234" s="122" t="s">
        <v>3606</v>
      </c>
      <c r="F1234" s="124">
        <v>4.58</v>
      </c>
      <c r="G1234" s="123">
        <v>6.9413822529381289E-2</v>
      </c>
    </row>
    <row r="1235" spans="2:7" x14ac:dyDescent="0.2">
      <c r="B1235" s="120" t="s">
        <v>2758</v>
      </c>
      <c r="C1235" s="121" t="s">
        <v>2759</v>
      </c>
      <c r="D1235" s="122" t="s">
        <v>3582</v>
      </c>
      <c r="E1235" s="122" t="s">
        <v>3728</v>
      </c>
      <c r="F1235" s="124"/>
      <c r="G1235" s="123">
        <v>3.7326337758528699E-2</v>
      </c>
    </row>
    <row r="1236" spans="2:7" x14ac:dyDescent="0.2">
      <c r="B1236" s="120" t="s">
        <v>2760</v>
      </c>
      <c r="C1236" s="121" t="s">
        <v>2761</v>
      </c>
      <c r="D1236" s="122" t="s">
        <v>3580</v>
      </c>
      <c r="E1236" s="122" t="s">
        <v>3581</v>
      </c>
      <c r="F1236" s="124"/>
      <c r="G1236" s="123">
        <v>-3.1989460653104956E-2</v>
      </c>
    </row>
    <row r="1237" spans="2:7" x14ac:dyDescent="0.2">
      <c r="B1237" s="120" t="s">
        <v>2762</v>
      </c>
      <c r="C1237" s="121" t="s">
        <v>2763</v>
      </c>
      <c r="D1237" s="122" t="s">
        <v>3591</v>
      </c>
      <c r="E1237" s="122" t="s">
        <v>3592</v>
      </c>
      <c r="F1237" s="124"/>
      <c r="G1237" s="123">
        <v>-1.8854815714205261E-2</v>
      </c>
    </row>
    <row r="1238" spans="2:7" x14ac:dyDescent="0.2">
      <c r="B1238" s="120" t="s">
        <v>2764</v>
      </c>
      <c r="C1238" s="121" t="s">
        <v>2765</v>
      </c>
      <c r="D1238" s="122" t="s">
        <v>3576</v>
      </c>
      <c r="E1238" s="122" t="s">
        <v>3626</v>
      </c>
      <c r="F1238" s="124">
        <v>6.99</v>
      </c>
      <c r="G1238" s="123">
        <v>-0.20447640878344467</v>
      </c>
    </row>
    <row r="1239" spans="2:7" x14ac:dyDescent="0.2">
      <c r="B1239" s="120" t="s">
        <v>2766</v>
      </c>
      <c r="C1239" s="121" t="s">
        <v>2767</v>
      </c>
      <c r="D1239" s="122" t="s">
        <v>3561</v>
      </c>
      <c r="E1239" s="122" t="s">
        <v>3562</v>
      </c>
      <c r="F1239" s="124">
        <v>7.25</v>
      </c>
      <c r="G1239" s="123">
        <v>7.0107500454307817E-2</v>
      </c>
    </row>
    <row r="1240" spans="2:7" x14ac:dyDescent="0.2">
      <c r="B1240" s="120" t="s">
        <v>2768</v>
      </c>
      <c r="C1240" s="121" t="s">
        <v>2769</v>
      </c>
      <c r="D1240" s="122" t="s">
        <v>3605</v>
      </c>
      <c r="E1240" s="122" t="s">
        <v>3606</v>
      </c>
      <c r="F1240" s="124"/>
      <c r="G1240" s="123">
        <v>-9.7620058604206431E-2</v>
      </c>
    </row>
    <row r="1241" spans="2:7" x14ac:dyDescent="0.2">
      <c r="B1241" s="120" t="s">
        <v>2770</v>
      </c>
      <c r="C1241" s="121" t="s">
        <v>2771</v>
      </c>
      <c r="D1241" s="122" t="s">
        <v>3580</v>
      </c>
      <c r="E1241" s="122" t="s">
        <v>3750</v>
      </c>
      <c r="F1241" s="124">
        <v>3.91</v>
      </c>
      <c r="G1241" s="123">
        <v>-7.3238561450802611E-2</v>
      </c>
    </row>
    <row r="1242" spans="2:7" x14ac:dyDescent="0.2">
      <c r="B1242" s="120" t="s">
        <v>2772</v>
      </c>
      <c r="C1242" s="121" t="s">
        <v>2773</v>
      </c>
      <c r="D1242" s="122" t="s">
        <v>3556</v>
      </c>
      <c r="E1242" s="122" t="s">
        <v>3721</v>
      </c>
      <c r="F1242" s="124">
        <v>-0.74</v>
      </c>
      <c r="G1242" s="123">
        <v>-2.6746477678571388E-2</v>
      </c>
    </row>
    <row r="1243" spans="2:7" x14ac:dyDescent="0.2">
      <c r="B1243" s="120" t="s">
        <v>2774</v>
      </c>
      <c r="C1243" s="121" t="s">
        <v>2775</v>
      </c>
      <c r="D1243" s="122" t="s">
        <v>3556</v>
      </c>
      <c r="E1243" s="122" t="s">
        <v>3756</v>
      </c>
      <c r="F1243" s="124">
        <v>8.36</v>
      </c>
      <c r="G1243" s="123">
        <v>3.3702161387756745E-2</v>
      </c>
    </row>
    <row r="1244" spans="2:7" x14ac:dyDescent="0.2">
      <c r="B1244" s="120" t="s">
        <v>2776</v>
      </c>
      <c r="C1244" s="121" t="s">
        <v>2777</v>
      </c>
      <c r="D1244" s="122" t="s">
        <v>24</v>
      </c>
      <c r="E1244" s="122" t="s">
        <v>3761</v>
      </c>
      <c r="F1244" s="124">
        <v>4.83</v>
      </c>
      <c r="G1244" s="123">
        <v>7.9171801606922179E-2</v>
      </c>
    </row>
    <row r="1245" spans="2:7" x14ac:dyDescent="0.2">
      <c r="B1245" s="120" t="s">
        <v>2778</v>
      </c>
      <c r="C1245" s="121" t="s">
        <v>2779</v>
      </c>
      <c r="D1245" s="122" t="s">
        <v>3605</v>
      </c>
      <c r="E1245" s="122" t="s">
        <v>3653</v>
      </c>
      <c r="F1245" s="124"/>
      <c r="G1245" s="123">
        <v>9.8528782524572547E-2</v>
      </c>
    </row>
    <row r="1246" spans="2:7" x14ac:dyDescent="0.2">
      <c r="B1246" s="120" t="s">
        <v>2780</v>
      </c>
      <c r="C1246" s="121" t="s">
        <v>2781</v>
      </c>
      <c r="D1246" s="122" t="s">
        <v>3569</v>
      </c>
      <c r="E1246" s="122" t="s">
        <v>3722</v>
      </c>
      <c r="F1246" s="124"/>
      <c r="G1246" s="123">
        <v>-0.81468926553672327</v>
      </c>
    </row>
    <row r="1247" spans="2:7" x14ac:dyDescent="0.2">
      <c r="B1247" s="120" t="s">
        <v>2782</v>
      </c>
      <c r="C1247" s="121" t="s">
        <v>2783</v>
      </c>
      <c r="D1247" s="122" t="s">
        <v>3556</v>
      </c>
      <c r="E1247" s="122" t="s">
        <v>3614</v>
      </c>
      <c r="F1247" s="124">
        <v>5.14</v>
      </c>
      <c r="G1247" s="123">
        <v>0.38985144236960717</v>
      </c>
    </row>
    <row r="1248" spans="2:7" x14ac:dyDescent="0.2">
      <c r="B1248" s="120" t="s">
        <v>2784</v>
      </c>
      <c r="C1248" s="121" t="s">
        <v>2785</v>
      </c>
      <c r="D1248" s="122" t="s">
        <v>24</v>
      </c>
      <c r="E1248" s="122" t="s">
        <v>3573</v>
      </c>
      <c r="F1248" s="124">
        <v>2.5099999999999998</v>
      </c>
      <c r="G1248" s="123">
        <v>0.2059458142921709</v>
      </c>
    </row>
    <row r="1249" spans="2:7" x14ac:dyDescent="0.2">
      <c r="B1249" s="120" t="s">
        <v>2786</v>
      </c>
      <c r="C1249" s="121" t="s">
        <v>2787</v>
      </c>
      <c r="D1249" s="122" t="s">
        <v>3576</v>
      </c>
      <c r="E1249" s="122" t="s">
        <v>3626</v>
      </c>
      <c r="F1249" s="124">
        <v>2.12</v>
      </c>
      <c r="G1249" s="123">
        <v>-3.2669589825225949E-2</v>
      </c>
    </row>
    <row r="1250" spans="2:7" x14ac:dyDescent="0.2">
      <c r="B1250" s="120" t="s">
        <v>2788</v>
      </c>
      <c r="C1250" s="121" t="s">
        <v>2789</v>
      </c>
      <c r="D1250" s="122" t="s">
        <v>3556</v>
      </c>
      <c r="E1250" s="122" t="s">
        <v>3579</v>
      </c>
      <c r="F1250" s="124">
        <v>7.09</v>
      </c>
      <c r="G1250" s="123">
        <v>5.1737520227604736E-2</v>
      </c>
    </row>
    <row r="1251" spans="2:7" x14ac:dyDescent="0.2">
      <c r="B1251" s="120" t="s">
        <v>2790</v>
      </c>
      <c r="C1251" s="121" t="s">
        <v>2791</v>
      </c>
      <c r="D1251" s="122" t="s">
        <v>3612</v>
      </c>
      <c r="E1251" s="122" t="s">
        <v>3759</v>
      </c>
      <c r="F1251" s="124"/>
      <c r="G1251" s="123">
        <v>-7.0036783233697192E-2</v>
      </c>
    </row>
    <row r="1252" spans="2:7" x14ac:dyDescent="0.2">
      <c r="B1252" s="120" t="s">
        <v>2792</v>
      </c>
      <c r="C1252" s="121" t="s">
        <v>2793</v>
      </c>
      <c r="D1252" s="122" t="s">
        <v>3569</v>
      </c>
      <c r="E1252" s="122" t="s">
        <v>3574</v>
      </c>
      <c r="F1252" s="124">
        <v>15.33</v>
      </c>
      <c r="G1252" s="123">
        <v>8.0756950527169483E-2</v>
      </c>
    </row>
    <row r="1253" spans="2:7" x14ac:dyDescent="0.2">
      <c r="B1253" s="120" t="s">
        <v>2794</v>
      </c>
      <c r="C1253" s="121" t="s">
        <v>2795</v>
      </c>
      <c r="D1253" s="122" t="s">
        <v>3556</v>
      </c>
      <c r="E1253" s="122" t="s">
        <v>3744</v>
      </c>
      <c r="F1253" s="124">
        <v>-13.08</v>
      </c>
      <c r="G1253" s="123">
        <v>3.0525567095096032E-2</v>
      </c>
    </row>
    <row r="1254" spans="2:7" x14ac:dyDescent="0.2">
      <c r="B1254" s="120" t="s">
        <v>2796</v>
      </c>
      <c r="C1254" s="121" t="s">
        <v>2797</v>
      </c>
      <c r="D1254" s="122" t="s">
        <v>3569</v>
      </c>
      <c r="E1254" s="122" t="s">
        <v>3571</v>
      </c>
      <c r="F1254" s="124"/>
      <c r="G1254" s="123">
        <v>0.4170876724206577</v>
      </c>
    </row>
    <row r="1255" spans="2:7" x14ac:dyDescent="0.2">
      <c r="B1255" s="120" t="s">
        <v>2798</v>
      </c>
      <c r="C1255" s="121" t="s">
        <v>2799</v>
      </c>
      <c r="D1255" s="122" t="s">
        <v>3576</v>
      </c>
      <c r="E1255" s="122" t="s">
        <v>3619</v>
      </c>
      <c r="F1255" s="124">
        <v>4.83</v>
      </c>
      <c r="G1255" s="123">
        <v>6.9292331523457804E-2</v>
      </c>
    </row>
    <row r="1256" spans="2:7" x14ac:dyDescent="0.2">
      <c r="B1256" s="120" t="s">
        <v>2800</v>
      </c>
      <c r="C1256" s="121" t="s">
        <v>2801</v>
      </c>
      <c r="D1256" s="122" t="s">
        <v>25</v>
      </c>
      <c r="E1256" s="122" t="s">
        <v>3691</v>
      </c>
      <c r="F1256" s="124">
        <v>11.06</v>
      </c>
      <c r="G1256" s="123">
        <v>9.9833719575360077E-5</v>
      </c>
    </row>
    <row r="1257" spans="2:7" x14ac:dyDescent="0.2">
      <c r="B1257" s="120" t="s">
        <v>2802</v>
      </c>
      <c r="C1257" s="121" t="s">
        <v>2803</v>
      </c>
      <c r="D1257" s="122" t="s">
        <v>3576</v>
      </c>
      <c r="E1257" s="122" t="s">
        <v>3646</v>
      </c>
      <c r="F1257" s="124">
        <v>15.55</v>
      </c>
      <c r="G1257" s="123">
        <v>-0.22175961782704076</v>
      </c>
    </row>
    <row r="1258" spans="2:7" x14ac:dyDescent="0.2">
      <c r="B1258" s="120" t="s">
        <v>2804</v>
      </c>
      <c r="C1258" s="121" t="s">
        <v>2805</v>
      </c>
      <c r="D1258" s="122" t="s">
        <v>3576</v>
      </c>
      <c r="E1258" s="122" t="s">
        <v>3619</v>
      </c>
      <c r="F1258" s="124">
        <v>34.81</v>
      </c>
      <c r="G1258" s="123">
        <v>6.3045202996423036E-2</v>
      </c>
    </row>
    <row r="1259" spans="2:7" x14ac:dyDescent="0.2">
      <c r="B1259" s="120" t="s">
        <v>2806</v>
      </c>
      <c r="C1259" s="121" t="s">
        <v>2807</v>
      </c>
      <c r="D1259" s="122" t="s">
        <v>3591</v>
      </c>
      <c r="E1259" s="122" t="s">
        <v>3650</v>
      </c>
      <c r="F1259" s="124">
        <v>-0.19</v>
      </c>
      <c r="G1259" s="123">
        <v>-8.6639317679861917E-4</v>
      </c>
    </row>
    <row r="1260" spans="2:7" x14ac:dyDescent="0.2">
      <c r="B1260" s="120" t="s">
        <v>2808</v>
      </c>
      <c r="C1260" s="121" t="s">
        <v>2809</v>
      </c>
      <c r="D1260" s="122" t="s">
        <v>3563</v>
      </c>
      <c r="E1260" s="122" t="s">
        <v>3690</v>
      </c>
      <c r="F1260" s="124">
        <v>9.56</v>
      </c>
      <c r="G1260" s="123">
        <v>6.7555946115414905E-2</v>
      </c>
    </row>
    <row r="1261" spans="2:7" x14ac:dyDescent="0.2">
      <c r="B1261" s="120" t="s">
        <v>2810</v>
      </c>
      <c r="C1261" s="121" t="s">
        <v>2811</v>
      </c>
      <c r="D1261" s="122" t="s">
        <v>3576</v>
      </c>
      <c r="E1261" s="122" t="s">
        <v>3609</v>
      </c>
      <c r="F1261" s="124">
        <v>3.94</v>
      </c>
      <c r="G1261" s="123">
        <v>0.11080739803070573</v>
      </c>
    </row>
    <row r="1262" spans="2:7" x14ac:dyDescent="0.2">
      <c r="B1262" s="120" t="s">
        <v>2812</v>
      </c>
      <c r="C1262" s="121" t="s">
        <v>2813</v>
      </c>
      <c r="D1262" s="122" t="s">
        <v>3576</v>
      </c>
      <c r="E1262" s="122" t="s">
        <v>3626</v>
      </c>
      <c r="F1262" s="124"/>
      <c r="G1262" s="123">
        <v>-0.34651846689595872</v>
      </c>
    </row>
    <row r="1263" spans="2:7" x14ac:dyDescent="0.2">
      <c r="B1263" s="120" t="s">
        <v>2814</v>
      </c>
      <c r="C1263" s="121" t="s">
        <v>2815</v>
      </c>
      <c r="D1263" s="122" t="s">
        <v>3594</v>
      </c>
      <c r="E1263" s="122" t="s">
        <v>3634</v>
      </c>
      <c r="F1263" s="124">
        <v>7.19</v>
      </c>
      <c r="G1263" s="123">
        <v>7.0346804852959799E-2</v>
      </c>
    </row>
    <row r="1264" spans="2:7" x14ac:dyDescent="0.2">
      <c r="B1264" s="120" t="s">
        <v>2816</v>
      </c>
      <c r="C1264" s="121" t="s">
        <v>2817</v>
      </c>
      <c r="D1264" s="122" t="s">
        <v>3576</v>
      </c>
      <c r="E1264" s="122" t="s">
        <v>3626</v>
      </c>
      <c r="F1264" s="124">
        <v>-0.57999999999999996</v>
      </c>
      <c r="G1264" s="123">
        <v>-7.5965177318259094E-2</v>
      </c>
    </row>
    <row r="1265" spans="2:7" x14ac:dyDescent="0.2">
      <c r="B1265" s="120" t="s">
        <v>2818</v>
      </c>
      <c r="C1265" s="121" t="s">
        <v>2819</v>
      </c>
      <c r="D1265" s="122" t="s">
        <v>3576</v>
      </c>
      <c r="E1265" s="122" t="s">
        <v>3620</v>
      </c>
      <c r="F1265" s="124">
        <v>14.3</v>
      </c>
      <c r="G1265" s="123">
        <v>6.0066303789972401E-2</v>
      </c>
    </row>
    <row r="1266" spans="2:7" x14ac:dyDescent="0.2">
      <c r="B1266" s="120" t="s">
        <v>2820</v>
      </c>
      <c r="C1266" s="121" t="s">
        <v>2821</v>
      </c>
      <c r="D1266" s="122" t="s">
        <v>24</v>
      </c>
      <c r="E1266" s="122" t="s">
        <v>3789</v>
      </c>
      <c r="F1266" s="124">
        <v>1.88</v>
      </c>
      <c r="G1266" s="123">
        <v>2.0650949635912821E-2</v>
      </c>
    </row>
    <row r="1267" spans="2:7" x14ac:dyDescent="0.2">
      <c r="B1267" s="120" t="s">
        <v>2822</v>
      </c>
      <c r="C1267" s="121" t="s">
        <v>2823</v>
      </c>
      <c r="D1267" s="122" t="s">
        <v>3591</v>
      </c>
      <c r="E1267" s="122" t="s">
        <v>3658</v>
      </c>
      <c r="F1267" s="124">
        <v>-1.59</v>
      </c>
      <c r="G1267" s="123">
        <v>-2.8457112535757608E-2</v>
      </c>
    </row>
    <row r="1268" spans="2:7" x14ac:dyDescent="0.2">
      <c r="B1268" s="120" t="s">
        <v>2824</v>
      </c>
      <c r="C1268" s="121" t="s">
        <v>2825</v>
      </c>
      <c r="D1268" s="122" t="s">
        <v>3576</v>
      </c>
      <c r="E1268" s="122" t="s">
        <v>3593</v>
      </c>
      <c r="F1268" s="124">
        <v>4.8899999999999997</v>
      </c>
      <c r="G1268" s="123">
        <v>-2.034744263359781E-2</v>
      </c>
    </row>
    <row r="1269" spans="2:7" x14ac:dyDescent="0.2">
      <c r="B1269" s="120" t="s">
        <v>2826</v>
      </c>
      <c r="C1269" s="121" t="s">
        <v>2827</v>
      </c>
      <c r="D1269" s="122" t="s">
        <v>3558</v>
      </c>
      <c r="E1269" s="122" t="s">
        <v>3774</v>
      </c>
      <c r="F1269" s="124">
        <v>-0.65</v>
      </c>
      <c r="G1269" s="123">
        <v>-4.66328392839944E-2</v>
      </c>
    </row>
    <row r="1270" spans="2:7" x14ac:dyDescent="0.2">
      <c r="B1270" s="120" t="s">
        <v>2828</v>
      </c>
      <c r="C1270" s="121" t="s">
        <v>2829</v>
      </c>
      <c r="D1270" s="122" t="s">
        <v>3576</v>
      </c>
      <c r="E1270" s="122" t="s">
        <v>3790</v>
      </c>
      <c r="F1270" s="124"/>
      <c r="G1270" s="123">
        <v>2.2300651656045565</v>
      </c>
    </row>
    <row r="1271" spans="2:7" x14ac:dyDescent="0.2">
      <c r="B1271" s="120" t="s">
        <v>2830</v>
      </c>
      <c r="C1271" s="121" t="s">
        <v>2831</v>
      </c>
      <c r="D1271" s="122" t="s">
        <v>3612</v>
      </c>
      <c r="E1271" s="122" t="s">
        <v>3740</v>
      </c>
      <c r="F1271" s="124">
        <v>35.270000000000003</v>
      </c>
      <c r="G1271" s="123">
        <v>0.4872444838035081</v>
      </c>
    </row>
    <row r="1272" spans="2:7" x14ac:dyDescent="0.2">
      <c r="B1272" s="120" t="s">
        <v>2832</v>
      </c>
      <c r="C1272" s="121" t="s">
        <v>2833</v>
      </c>
      <c r="D1272" s="122" t="s">
        <v>3558</v>
      </c>
      <c r="E1272" s="122" t="s">
        <v>3644</v>
      </c>
      <c r="F1272" s="124">
        <v>-12.74</v>
      </c>
      <c r="G1272" s="123">
        <v>2.2018763073932437E-2</v>
      </c>
    </row>
    <row r="1273" spans="2:7" x14ac:dyDescent="0.2">
      <c r="B1273" s="120" t="s">
        <v>2834</v>
      </c>
      <c r="C1273" s="121" t="s">
        <v>2835</v>
      </c>
      <c r="D1273" s="122" t="s">
        <v>3576</v>
      </c>
      <c r="E1273" s="122" t="s">
        <v>3619</v>
      </c>
      <c r="F1273" s="124"/>
      <c r="G1273" s="123">
        <v>-0.22806878629146876</v>
      </c>
    </row>
    <row r="1274" spans="2:7" x14ac:dyDescent="0.2">
      <c r="B1274" s="120" t="s">
        <v>2836</v>
      </c>
      <c r="C1274" s="121" t="s">
        <v>2837</v>
      </c>
      <c r="D1274" s="122" t="s">
        <v>3576</v>
      </c>
      <c r="E1274" s="122" t="s">
        <v>3604</v>
      </c>
      <c r="F1274" s="124">
        <v>6.45</v>
      </c>
      <c r="G1274" s="123">
        <v>1.4522463781500636E-2</v>
      </c>
    </row>
    <row r="1275" spans="2:7" x14ac:dyDescent="0.2">
      <c r="B1275" s="120" t="s">
        <v>2838</v>
      </c>
      <c r="C1275" s="121" t="s">
        <v>2839</v>
      </c>
      <c r="D1275" s="122" t="s">
        <v>3556</v>
      </c>
      <c r="E1275" s="122" t="s">
        <v>3683</v>
      </c>
      <c r="F1275" s="124">
        <v>1.54</v>
      </c>
      <c r="G1275" s="123">
        <v>2.8082368358666381E-2</v>
      </c>
    </row>
    <row r="1276" spans="2:7" x14ac:dyDescent="0.2">
      <c r="B1276" s="120" t="s">
        <v>2840</v>
      </c>
      <c r="C1276" s="121" t="s">
        <v>2841</v>
      </c>
      <c r="D1276" s="122" t="s">
        <v>3556</v>
      </c>
      <c r="E1276" s="122" t="s">
        <v>3733</v>
      </c>
      <c r="F1276" s="124"/>
      <c r="G1276" s="123">
        <v>-3.8221343209000135E-2</v>
      </c>
    </row>
    <row r="1277" spans="2:7" x14ac:dyDescent="0.2">
      <c r="B1277" s="120" t="s">
        <v>2842</v>
      </c>
      <c r="C1277" s="121" t="s">
        <v>2843</v>
      </c>
      <c r="D1277" s="122" t="s">
        <v>3582</v>
      </c>
      <c r="E1277" s="122" t="s">
        <v>3788</v>
      </c>
      <c r="F1277" s="124">
        <v>3.08</v>
      </c>
      <c r="G1277" s="123">
        <v>8.98762578947368E-2</v>
      </c>
    </row>
    <row r="1278" spans="2:7" x14ac:dyDescent="0.2">
      <c r="B1278" s="120" t="s">
        <v>2844</v>
      </c>
      <c r="C1278" s="121" t="s">
        <v>2845</v>
      </c>
      <c r="D1278" s="122" t="s">
        <v>3576</v>
      </c>
      <c r="E1278" s="122" t="s">
        <v>3620</v>
      </c>
      <c r="F1278" s="124">
        <v>8.77</v>
      </c>
      <c r="G1278" s="123">
        <v>2.4767937901668816E-2</v>
      </c>
    </row>
    <row r="1279" spans="2:7" x14ac:dyDescent="0.2">
      <c r="B1279" s="120" t="s">
        <v>2846</v>
      </c>
      <c r="C1279" s="121" t="s">
        <v>2847</v>
      </c>
      <c r="D1279" s="122" t="s">
        <v>3569</v>
      </c>
      <c r="E1279" s="122" t="s">
        <v>3575</v>
      </c>
      <c r="F1279" s="124">
        <v>22.74</v>
      </c>
      <c r="G1279" s="123">
        <v>0.28807540858408415</v>
      </c>
    </row>
    <row r="1280" spans="2:7" x14ac:dyDescent="0.2">
      <c r="B1280" s="120" t="s">
        <v>2848</v>
      </c>
      <c r="C1280" s="121" t="s">
        <v>2849</v>
      </c>
      <c r="D1280" s="122" t="s">
        <v>3556</v>
      </c>
      <c r="E1280" s="122" t="s">
        <v>3723</v>
      </c>
      <c r="F1280" s="124"/>
      <c r="G1280" s="123">
        <v>0.15650074088570801</v>
      </c>
    </row>
    <row r="1281" spans="2:7" x14ac:dyDescent="0.2">
      <c r="B1281" s="120" t="s">
        <v>2850</v>
      </c>
      <c r="C1281" s="121" t="s">
        <v>2851</v>
      </c>
      <c r="D1281" s="122" t="s">
        <v>3582</v>
      </c>
      <c r="E1281" s="122" t="s">
        <v>3728</v>
      </c>
      <c r="F1281" s="124"/>
      <c r="G1281" s="123">
        <v>2.4306987055606175E-2</v>
      </c>
    </row>
    <row r="1282" spans="2:7" x14ac:dyDescent="0.2">
      <c r="B1282" s="120" t="s">
        <v>2852</v>
      </c>
      <c r="C1282" s="121" t="s">
        <v>2853</v>
      </c>
      <c r="D1282" s="122" t="s">
        <v>3563</v>
      </c>
      <c r="E1282" s="122" t="s">
        <v>3690</v>
      </c>
      <c r="F1282" s="124">
        <v>38.81</v>
      </c>
      <c r="G1282" s="123">
        <v>0.34167952602167917</v>
      </c>
    </row>
    <row r="1283" spans="2:7" x14ac:dyDescent="0.2">
      <c r="B1283" s="120" t="s">
        <v>2854</v>
      </c>
      <c r="C1283" s="121" t="s">
        <v>2855</v>
      </c>
      <c r="D1283" s="122" t="s">
        <v>25</v>
      </c>
      <c r="E1283" s="122" t="s">
        <v>3735</v>
      </c>
      <c r="F1283" s="124">
        <v>-3.46</v>
      </c>
      <c r="G1283" s="123">
        <v>2.7034109121107847E-2</v>
      </c>
    </row>
    <row r="1284" spans="2:7" x14ac:dyDescent="0.2">
      <c r="B1284" s="120" t="s">
        <v>2856</v>
      </c>
      <c r="C1284" s="121" t="s">
        <v>2857</v>
      </c>
      <c r="D1284" s="122" t="s">
        <v>3594</v>
      </c>
      <c r="E1284" s="122" t="s">
        <v>3602</v>
      </c>
      <c r="F1284" s="124"/>
      <c r="G1284" s="123">
        <v>0.11917596397700403</v>
      </c>
    </row>
    <row r="1285" spans="2:7" x14ac:dyDescent="0.2">
      <c r="B1285" s="120" t="s">
        <v>2858</v>
      </c>
      <c r="C1285" s="121" t="s">
        <v>2859</v>
      </c>
      <c r="D1285" s="122" t="s">
        <v>3576</v>
      </c>
      <c r="E1285" s="122" t="s">
        <v>3626</v>
      </c>
      <c r="F1285" s="124">
        <v>11.82</v>
      </c>
      <c r="G1285" s="123">
        <v>-1</v>
      </c>
    </row>
    <row r="1286" spans="2:7" x14ac:dyDescent="0.2">
      <c r="B1286" s="120" t="s">
        <v>2860</v>
      </c>
      <c r="C1286" s="121" t="s">
        <v>2861</v>
      </c>
      <c r="D1286" s="122" t="s">
        <v>3594</v>
      </c>
      <c r="E1286" s="122" t="s">
        <v>3602</v>
      </c>
      <c r="F1286" s="124">
        <v>1.51</v>
      </c>
      <c r="G1286" s="123">
        <v>-1</v>
      </c>
    </row>
    <row r="1287" spans="2:7" x14ac:dyDescent="0.2">
      <c r="B1287" s="120" t="s">
        <v>2862</v>
      </c>
      <c r="C1287" s="121" t="s">
        <v>2863</v>
      </c>
      <c r="D1287" s="122" t="s">
        <v>3612</v>
      </c>
      <c r="E1287" s="122" t="s">
        <v>3670</v>
      </c>
      <c r="F1287" s="124">
        <v>26.9</v>
      </c>
      <c r="G1287" s="123">
        <v>-6.7181227368019861E-2</v>
      </c>
    </row>
    <row r="1288" spans="2:7" x14ac:dyDescent="0.2">
      <c r="B1288" s="120" t="s">
        <v>2864</v>
      </c>
      <c r="C1288" s="121" t="s">
        <v>2865</v>
      </c>
      <c r="D1288" s="122" t="s">
        <v>3576</v>
      </c>
      <c r="E1288" s="122" t="s">
        <v>3604</v>
      </c>
      <c r="F1288" s="124"/>
      <c r="G1288" s="123">
        <v>-0.1851488087512746</v>
      </c>
    </row>
    <row r="1289" spans="2:7" x14ac:dyDescent="0.2">
      <c r="B1289" s="120" t="s">
        <v>2866</v>
      </c>
      <c r="C1289" s="121" t="s">
        <v>2867</v>
      </c>
      <c r="D1289" s="122" t="s">
        <v>3576</v>
      </c>
      <c r="E1289" s="122" t="s">
        <v>3619</v>
      </c>
      <c r="F1289" s="124">
        <v>-0.49</v>
      </c>
      <c r="G1289" s="123">
        <v>-3.9492687977222628E-2</v>
      </c>
    </row>
    <row r="1290" spans="2:7" x14ac:dyDescent="0.2">
      <c r="B1290" s="120" t="s">
        <v>2868</v>
      </c>
      <c r="C1290" s="121" t="s">
        <v>2869</v>
      </c>
      <c r="D1290" s="122" t="s">
        <v>3556</v>
      </c>
      <c r="E1290" s="122" t="s">
        <v>3607</v>
      </c>
      <c r="F1290" s="124">
        <v>76.25</v>
      </c>
      <c r="G1290" s="123">
        <v>0.43054047128760853</v>
      </c>
    </row>
    <row r="1291" spans="2:7" x14ac:dyDescent="0.2">
      <c r="B1291" s="120" t="s">
        <v>2870</v>
      </c>
      <c r="C1291" s="121" t="s">
        <v>2871</v>
      </c>
      <c r="D1291" s="122" t="s">
        <v>3580</v>
      </c>
      <c r="E1291" s="122" t="s">
        <v>3782</v>
      </c>
      <c r="F1291" s="124">
        <v>12.79</v>
      </c>
      <c r="G1291" s="123">
        <v>2.5868449552852599E-2</v>
      </c>
    </row>
    <row r="1292" spans="2:7" x14ac:dyDescent="0.2">
      <c r="B1292" s="120" t="s">
        <v>2872</v>
      </c>
      <c r="C1292" s="121" t="s">
        <v>2873</v>
      </c>
      <c r="D1292" s="122" t="s">
        <v>3594</v>
      </c>
      <c r="E1292" s="122" t="s">
        <v>3602</v>
      </c>
      <c r="F1292" s="124"/>
      <c r="G1292" s="123">
        <v>1.788323564492145E-2</v>
      </c>
    </row>
    <row r="1293" spans="2:7" x14ac:dyDescent="0.2">
      <c r="B1293" s="120" t="s">
        <v>2874</v>
      </c>
      <c r="C1293" s="121" t="s">
        <v>2875</v>
      </c>
      <c r="D1293" s="122" t="s">
        <v>3594</v>
      </c>
      <c r="E1293" s="122" t="s">
        <v>3754</v>
      </c>
      <c r="F1293" s="124">
        <v>4.92</v>
      </c>
      <c r="G1293" s="123">
        <v>0.1201533125497658</v>
      </c>
    </row>
    <row r="1294" spans="2:7" x14ac:dyDescent="0.2">
      <c r="B1294" s="120" t="s">
        <v>2876</v>
      </c>
      <c r="C1294" s="121" t="s">
        <v>2877</v>
      </c>
      <c r="D1294" s="122" t="s">
        <v>3558</v>
      </c>
      <c r="E1294" s="122" t="s">
        <v>3638</v>
      </c>
      <c r="F1294" s="124">
        <v>2.33</v>
      </c>
      <c r="G1294" s="123">
        <v>3.6869241578241915E-3</v>
      </c>
    </row>
    <row r="1295" spans="2:7" x14ac:dyDescent="0.2">
      <c r="B1295" s="120" t="s">
        <v>2878</v>
      </c>
      <c r="C1295" s="121" t="s">
        <v>2879</v>
      </c>
      <c r="D1295" s="122" t="s">
        <v>3576</v>
      </c>
      <c r="E1295" s="122" t="s">
        <v>3578</v>
      </c>
      <c r="F1295" s="124">
        <v>6.73</v>
      </c>
      <c r="G1295" s="123">
        <v>9.6090673214492869E-2</v>
      </c>
    </row>
    <row r="1296" spans="2:7" x14ac:dyDescent="0.2">
      <c r="B1296" s="120" t="s">
        <v>2880</v>
      </c>
      <c r="C1296" s="121" t="s">
        <v>2881</v>
      </c>
      <c r="D1296" s="122" t="s">
        <v>3556</v>
      </c>
      <c r="E1296" s="122" t="s">
        <v>3791</v>
      </c>
      <c r="F1296" s="124">
        <v>29.64</v>
      </c>
      <c r="G1296" s="123">
        <v>4.0985040292553877E-2</v>
      </c>
    </row>
    <row r="1297" spans="2:7" x14ac:dyDescent="0.2">
      <c r="B1297" s="120" t="s">
        <v>2882</v>
      </c>
      <c r="C1297" s="121" t="s">
        <v>2883</v>
      </c>
      <c r="D1297" s="122" t="s">
        <v>25</v>
      </c>
      <c r="E1297" s="122" t="s">
        <v>3691</v>
      </c>
      <c r="F1297" s="124">
        <v>9.36</v>
      </c>
      <c r="G1297" s="123">
        <v>0.3499165940294835</v>
      </c>
    </row>
    <row r="1298" spans="2:7" x14ac:dyDescent="0.2">
      <c r="B1298" s="120" t="s">
        <v>2884</v>
      </c>
      <c r="C1298" s="121" t="s">
        <v>2885</v>
      </c>
      <c r="D1298" s="122" t="s">
        <v>3558</v>
      </c>
      <c r="E1298" s="122" t="s">
        <v>3638</v>
      </c>
      <c r="F1298" s="124">
        <v>12.43</v>
      </c>
      <c r="G1298" s="123">
        <v>0.11359366093831368</v>
      </c>
    </row>
    <row r="1299" spans="2:7" x14ac:dyDescent="0.2">
      <c r="B1299" s="120" t="s">
        <v>2886</v>
      </c>
      <c r="C1299" s="121" t="s">
        <v>2887</v>
      </c>
      <c r="D1299" s="122" t="s">
        <v>3576</v>
      </c>
      <c r="E1299" s="122" t="s">
        <v>3667</v>
      </c>
      <c r="F1299" s="124">
        <v>17.66</v>
      </c>
      <c r="G1299" s="123">
        <v>0.18667123898205829</v>
      </c>
    </row>
    <row r="1300" spans="2:7" x14ac:dyDescent="0.2">
      <c r="B1300" s="120" t="s">
        <v>2888</v>
      </c>
      <c r="C1300" s="121" t="s">
        <v>2889</v>
      </c>
      <c r="D1300" s="122" t="s">
        <v>25</v>
      </c>
      <c r="E1300" s="122" t="s">
        <v>3694</v>
      </c>
      <c r="F1300" s="124">
        <v>5.32</v>
      </c>
      <c r="G1300" s="123">
        <v>5.1098933531915504E-2</v>
      </c>
    </row>
    <row r="1301" spans="2:7" x14ac:dyDescent="0.2">
      <c r="B1301" s="120" t="s">
        <v>2890</v>
      </c>
      <c r="C1301" s="121" t="s">
        <v>2891</v>
      </c>
      <c r="D1301" s="122" t="s">
        <v>3591</v>
      </c>
      <c r="E1301" s="122" t="s">
        <v>3643</v>
      </c>
      <c r="F1301" s="124">
        <v>15.75</v>
      </c>
      <c r="G1301" s="123">
        <v>5.4461586264881227E-2</v>
      </c>
    </row>
    <row r="1302" spans="2:7" x14ac:dyDescent="0.2">
      <c r="B1302" s="120" t="s">
        <v>2892</v>
      </c>
      <c r="C1302" s="121" t="s">
        <v>2893</v>
      </c>
      <c r="D1302" s="122" t="s">
        <v>24</v>
      </c>
      <c r="E1302" s="122" t="s">
        <v>3633</v>
      </c>
      <c r="F1302" s="124">
        <v>6.05</v>
      </c>
      <c r="G1302" s="123">
        <v>-3.3125631538657293E-3</v>
      </c>
    </row>
    <row r="1303" spans="2:7" x14ac:dyDescent="0.2">
      <c r="B1303" s="120" t="s">
        <v>2894</v>
      </c>
      <c r="C1303" s="121" t="s">
        <v>2895</v>
      </c>
      <c r="D1303" s="122" t="s">
        <v>3558</v>
      </c>
      <c r="E1303" s="122" t="s">
        <v>3737</v>
      </c>
      <c r="F1303" s="124">
        <v>0.27</v>
      </c>
      <c r="G1303" s="123">
        <v>-7.4524281523025149E-2</v>
      </c>
    </row>
    <row r="1304" spans="2:7" x14ac:dyDescent="0.2">
      <c r="B1304" s="120" t="s">
        <v>2896</v>
      </c>
      <c r="C1304" s="121" t="s">
        <v>2897</v>
      </c>
      <c r="D1304" s="122" t="s">
        <v>3556</v>
      </c>
      <c r="E1304" s="122" t="s">
        <v>3621</v>
      </c>
      <c r="F1304" s="124">
        <v>7.09</v>
      </c>
      <c r="G1304" s="123">
        <v>-1</v>
      </c>
    </row>
    <row r="1305" spans="2:7" x14ac:dyDescent="0.2">
      <c r="B1305" s="120" t="s">
        <v>2898</v>
      </c>
      <c r="C1305" s="121" t="s">
        <v>2899</v>
      </c>
      <c r="D1305" s="122" t="s">
        <v>25</v>
      </c>
      <c r="E1305" s="122" t="s">
        <v>3585</v>
      </c>
      <c r="F1305" s="124">
        <v>16.36</v>
      </c>
      <c r="G1305" s="123">
        <v>9.7910656237411423E-2</v>
      </c>
    </row>
    <row r="1306" spans="2:7" x14ac:dyDescent="0.2">
      <c r="B1306" s="120" t="s">
        <v>2900</v>
      </c>
      <c r="C1306" s="121" t="s">
        <v>2901</v>
      </c>
      <c r="D1306" s="122" t="s">
        <v>3561</v>
      </c>
      <c r="E1306" s="122" t="s">
        <v>3562</v>
      </c>
      <c r="F1306" s="124">
        <v>-0.06</v>
      </c>
      <c r="G1306" s="123">
        <v>-8.42780536862755E-2</v>
      </c>
    </row>
    <row r="1307" spans="2:7" x14ac:dyDescent="0.2">
      <c r="B1307" s="120" t="s">
        <v>2902</v>
      </c>
      <c r="C1307" s="121" t="s">
        <v>2903</v>
      </c>
      <c r="D1307" s="122" t="s">
        <v>3556</v>
      </c>
      <c r="E1307" s="122" t="s">
        <v>3586</v>
      </c>
      <c r="F1307" s="124">
        <v>8.3000000000000007</v>
      </c>
      <c r="G1307" s="123">
        <v>-3.9149101086067686E-2</v>
      </c>
    </row>
    <row r="1308" spans="2:7" x14ac:dyDescent="0.2">
      <c r="B1308" s="120" t="s">
        <v>2904</v>
      </c>
      <c r="C1308" s="121" t="s">
        <v>2905</v>
      </c>
      <c r="D1308" s="122" t="s">
        <v>3612</v>
      </c>
      <c r="E1308" s="122" t="s">
        <v>3661</v>
      </c>
      <c r="F1308" s="124">
        <v>-7.88</v>
      </c>
      <c r="G1308" s="123">
        <v>1.6367443242419726E-2</v>
      </c>
    </row>
    <row r="1309" spans="2:7" x14ac:dyDescent="0.2">
      <c r="B1309" s="120" t="s">
        <v>2906</v>
      </c>
      <c r="C1309" s="121" t="s">
        <v>2907</v>
      </c>
      <c r="D1309" s="122" t="s">
        <v>3576</v>
      </c>
      <c r="E1309" s="122" t="s">
        <v>3641</v>
      </c>
      <c r="F1309" s="124">
        <v>4.1100000000000003</v>
      </c>
      <c r="G1309" s="123">
        <v>0.47644807580785142</v>
      </c>
    </row>
    <row r="1310" spans="2:7" x14ac:dyDescent="0.2">
      <c r="B1310" s="120" t="s">
        <v>2908</v>
      </c>
      <c r="C1310" s="121" t="s">
        <v>2909</v>
      </c>
      <c r="D1310" s="122" t="s">
        <v>3576</v>
      </c>
      <c r="E1310" s="122" t="s">
        <v>3651</v>
      </c>
      <c r="F1310" s="124"/>
      <c r="G1310" s="123">
        <v>-0.26146083615167737</v>
      </c>
    </row>
    <row r="1311" spans="2:7" x14ac:dyDescent="0.2">
      <c r="B1311" s="120" t="s">
        <v>2910</v>
      </c>
      <c r="C1311" s="121" t="s">
        <v>2911</v>
      </c>
      <c r="D1311" s="122" t="s">
        <v>3576</v>
      </c>
      <c r="E1311" s="122" t="s">
        <v>3619</v>
      </c>
      <c r="F1311" s="124">
        <v>-5.98</v>
      </c>
      <c r="G1311" s="123">
        <v>-0.30010101923593979</v>
      </c>
    </row>
    <row r="1312" spans="2:7" x14ac:dyDescent="0.2">
      <c r="B1312" s="120" t="s">
        <v>2912</v>
      </c>
      <c r="C1312" s="121" t="s">
        <v>2913</v>
      </c>
      <c r="D1312" s="122" t="s">
        <v>3558</v>
      </c>
      <c r="E1312" s="122" t="s">
        <v>3665</v>
      </c>
      <c r="F1312" s="124">
        <v>3.77</v>
      </c>
      <c r="G1312" s="123">
        <v>1.0379012789678333E-2</v>
      </c>
    </row>
    <row r="1313" spans="2:7" x14ac:dyDescent="0.2">
      <c r="B1313" s="120" t="s">
        <v>2914</v>
      </c>
      <c r="C1313" s="121" t="s">
        <v>2915</v>
      </c>
      <c r="D1313" s="122" t="s">
        <v>3576</v>
      </c>
      <c r="E1313" s="122" t="s">
        <v>3609</v>
      </c>
      <c r="F1313" s="124">
        <v>7.65</v>
      </c>
      <c r="G1313" s="123">
        <v>-0.14658291123782824</v>
      </c>
    </row>
    <row r="1314" spans="2:7" x14ac:dyDescent="0.2">
      <c r="B1314" s="120" t="s">
        <v>2916</v>
      </c>
      <c r="C1314" s="121" t="s">
        <v>2917</v>
      </c>
      <c r="D1314" s="122" t="s">
        <v>3556</v>
      </c>
      <c r="E1314" s="122" t="s">
        <v>3630</v>
      </c>
      <c r="F1314" s="124"/>
      <c r="G1314" s="123">
        <v>0.50113099257258609</v>
      </c>
    </row>
    <row r="1315" spans="2:7" x14ac:dyDescent="0.2">
      <c r="B1315" s="120" t="s">
        <v>2918</v>
      </c>
      <c r="C1315" s="121" t="s">
        <v>2919</v>
      </c>
      <c r="D1315" s="122" t="s">
        <v>3556</v>
      </c>
      <c r="E1315" s="122" t="s">
        <v>3733</v>
      </c>
      <c r="F1315" s="124">
        <v>7.12</v>
      </c>
      <c r="G1315" s="123">
        <v>1.6605419933413232E-2</v>
      </c>
    </row>
    <row r="1316" spans="2:7" x14ac:dyDescent="0.2">
      <c r="B1316" s="120" t="s">
        <v>2920</v>
      </c>
      <c r="C1316" s="121" t="s">
        <v>2921</v>
      </c>
      <c r="D1316" s="122" t="s">
        <v>3576</v>
      </c>
      <c r="E1316" s="122" t="s">
        <v>3626</v>
      </c>
      <c r="F1316" s="124">
        <v>6.39</v>
      </c>
      <c r="G1316" s="123">
        <v>-1</v>
      </c>
    </row>
    <row r="1317" spans="2:7" x14ac:dyDescent="0.2">
      <c r="B1317" s="120" t="s">
        <v>2922</v>
      </c>
      <c r="C1317" s="121" t="s">
        <v>2923</v>
      </c>
      <c r="D1317" s="122" t="s">
        <v>3594</v>
      </c>
      <c r="E1317" s="122" t="s">
        <v>3732</v>
      </c>
      <c r="F1317" s="124"/>
      <c r="G1317" s="123">
        <v>1.3961139764480903E-2</v>
      </c>
    </row>
    <row r="1318" spans="2:7" x14ac:dyDescent="0.2">
      <c r="B1318" s="120" t="s">
        <v>2924</v>
      </c>
      <c r="C1318" s="121" t="s">
        <v>2925</v>
      </c>
      <c r="D1318" s="122" t="s">
        <v>3594</v>
      </c>
      <c r="E1318" s="122" t="s">
        <v>3698</v>
      </c>
      <c r="F1318" s="124">
        <v>-1.18</v>
      </c>
      <c r="G1318" s="123">
        <v>0.16727607193812408</v>
      </c>
    </row>
    <row r="1319" spans="2:7" x14ac:dyDescent="0.2">
      <c r="B1319" s="120" t="s">
        <v>2926</v>
      </c>
      <c r="C1319" s="121" t="s">
        <v>2927</v>
      </c>
      <c r="D1319" s="122" t="s">
        <v>3582</v>
      </c>
      <c r="E1319" s="122" t="s">
        <v>3631</v>
      </c>
      <c r="F1319" s="124"/>
      <c r="G1319" s="123">
        <v>1.6787453172714475E-2</v>
      </c>
    </row>
    <row r="1320" spans="2:7" x14ac:dyDescent="0.2">
      <c r="B1320" s="120" t="s">
        <v>2928</v>
      </c>
      <c r="C1320" s="121" t="s">
        <v>2929</v>
      </c>
      <c r="D1320" s="122" t="s">
        <v>3556</v>
      </c>
      <c r="E1320" s="122" t="s">
        <v>3616</v>
      </c>
      <c r="F1320" s="124">
        <v>13.49</v>
      </c>
      <c r="G1320" s="123">
        <v>-8.0854633063292033E-2</v>
      </c>
    </row>
    <row r="1321" spans="2:7" x14ac:dyDescent="0.2">
      <c r="B1321" s="120" t="s">
        <v>2930</v>
      </c>
      <c r="C1321" s="121" t="s">
        <v>2931</v>
      </c>
      <c r="D1321" s="122" t="s">
        <v>3556</v>
      </c>
      <c r="E1321" s="122" t="s">
        <v>3586</v>
      </c>
      <c r="F1321" s="124">
        <v>3.84</v>
      </c>
      <c r="G1321" s="123">
        <v>-0.11907050382653059</v>
      </c>
    </row>
    <row r="1322" spans="2:7" x14ac:dyDescent="0.2">
      <c r="B1322" s="120" t="s">
        <v>2932</v>
      </c>
      <c r="C1322" s="121" t="s">
        <v>2933</v>
      </c>
      <c r="D1322" s="122" t="s">
        <v>25</v>
      </c>
      <c r="E1322" s="122" t="s">
        <v>3792</v>
      </c>
      <c r="F1322" s="124">
        <v>3.56</v>
      </c>
      <c r="G1322" s="123">
        <v>5.4139332210549375E-3</v>
      </c>
    </row>
    <row r="1323" spans="2:7" x14ac:dyDescent="0.2">
      <c r="B1323" s="120" t="s">
        <v>2934</v>
      </c>
      <c r="C1323" s="121" t="s">
        <v>2935</v>
      </c>
      <c r="D1323" s="122" t="s">
        <v>3556</v>
      </c>
      <c r="E1323" s="122" t="s">
        <v>3630</v>
      </c>
      <c r="F1323" s="124">
        <v>58.89</v>
      </c>
      <c r="G1323" s="123">
        <v>0.42845181075013766</v>
      </c>
    </row>
    <row r="1324" spans="2:7" x14ac:dyDescent="0.2">
      <c r="B1324" s="120" t="s">
        <v>2936</v>
      </c>
      <c r="C1324" s="121" t="s">
        <v>2937</v>
      </c>
      <c r="D1324" s="122" t="s">
        <v>3561</v>
      </c>
      <c r="E1324" s="122" t="s">
        <v>3639</v>
      </c>
      <c r="F1324" s="124">
        <v>10.28</v>
      </c>
      <c r="G1324" s="123">
        <v>-1.5282310628892865E-2</v>
      </c>
    </row>
    <row r="1325" spans="2:7" x14ac:dyDescent="0.2">
      <c r="B1325" s="120" t="s">
        <v>2938</v>
      </c>
      <c r="C1325" s="121" t="s">
        <v>2939</v>
      </c>
      <c r="D1325" s="122" t="s">
        <v>25</v>
      </c>
      <c r="E1325" s="122" t="s">
        <v>3735</v>
      </c>
      <c r="F1325" s="124">
        <v>2.74</v>
      </c>
      <c r="G1325" s="123">
        <v>1.7429121377099479E-2</v>
      </c>
    </row>
    <row r="1326" spans="2:7" x14ac:dyDescent="0.2">
      <c r="B1326" s="120" t="s">
        <v>2940</v>
      </c>
      <c r="C1326" s="121" t="s">
        <v>2941</v>
      </c>
      <c r="D1326" s="122" t="s">
        <v>3569</v>
      </c>
      <c r="E1326" s="122" t="s">
        <v>3572</v>
      </c>
      <c r="F1326" s="124"/>
      <c r="G1326" s="123">
        <v>4.4649855220228345E-2</v>
      </c>
    </row>
    <row r="1327" spans="2:7" x14ac:dyDescent="0.2">
      <c r="B1327" s="120" t="s">
        <v>2942</v>
      </c>
      <c r="C1327" s="121" t="s">
        <v>2943</v>
      </c>
      <c r="D1327" s="122" t="s">
        <v>3612</v>
      </c>
      <c r="E1327" s="122" t="s">
        <v>3696</v>
      </c>
      <c r="F1327" s="124"/>
      <c r="G1327" s="123">
        <v>-4.6093394994378555E-2</v>
      </c>
    </row>
    <row r="1328" spans="2:7" x14ac:dyDescent="0.2">
      <c r="B1328" s="120" t="s">
        <v>2944</v>
      </c>
      <c r="C1328" s="121" t="s">
        <v>2945</v>
      </c>
      <c r="D1328" s="122" t="s">
        <v>3556</v>
      </c>
      <c r="E1328" s="122" t="s">
        <v>3579</v>
      </c>
      <c r="F1328" s="124">
        <v>10.95</v>
      </c>
      <c r="G1328" s="123">
        <v>7.2311970932952288E-2</v>
      </c>
    </row>
    <row r="1329" spans="2:7" x14ac:dyDescent="0.2">
      <c r="B1329" s="120" t="s">
        <v>2946</v>
      </c>
      <c r="C1329" s="121" t="s">
        <v>2947</v>
      </c>
      <c r="D1329" s="122" t="s">
        <v>3569</v>
      </c>
      <c r="E1329" s="122" t="s">
        <v>3572</v>
      </c>
      <c r="F1329" s="124"/>
      <c r="G1329" s="123">
        <v>1.2845223271497777</v>
      </c>
    </row>
    <row r="1330" spans="2:7" x14ac:dyDescent="0.2">
      <c r="B1330" s="120" t="s">
        <v>2948</v>
      </c>
      <c r="C1330" s="121" t="s">
        <v>2949</v>
      </c>
      <c r="D1330" s="122" t="s">
        <v>3576</v>
      </c>
      <c r="E1330" s="122" t="s">
        <v>3671</v>
      </c>
      <c r="F1330" s="124">
        <v>10.61</v>
      </c>
      <c r="G1330" s="123">
        <v>0.19532378108840187</v>
      </c>
    </row>
    <row r="1331" spans="2:7" x14ac:dyDescent="0.2">
      <c r="B1331" s="120" t="s">
        <v>2950</v>
      </c>
      <c r="C1331" s="121" t="s">
        <v>2951</v>
      </c>
      <c r="D1331" s="122" t="s">
        <v>3556</v>
      </c>
      <c r="E1331" s="122" t="s">
        <v>3723</v>
      </c>
      <c r="F1331" s="124">
        <v>11.32</v>
      </c>
      <c r="G1331" s="123">
        <v>0.12484058849811723</v>
      </c>
    </row>
    <row r="1332" spans="2:7" x14ac:dyDescent="0.2">
      <c r="B1332" s="120" t="s">
        <v>2952</v>
      </c>
      <c r="C1332" s="121" t="s">
        <v>2953</v>
      </c>
      <c r="D1332" s="122" t="s">
        <v>3569</v>
      </c>
      <c r="E1332" s="122" t="s">
        <v>3570</v>
      </c>
      <c r="F1332" s="124">
        <v>-1.32</v>
      </c>
      <c r="G1332" s="123">
        <v>3.8297023820931052E-2</v>
      </c>
    </row>
    <row r="1333" spans="2:7" x14ac:dyDescent="0.2">
      <c r="B1333" s="120" t="s">
        <v>2954</v>
      </c>
      <c r="C1333" s="121" t="s">
        <v>2955</v>
      </c>
      <c r="D1333" s="122" t="s">
        <v>3591</v>
      </c>
      <c r="E1333" s="122" t="s">
        <v>3592</v>
      </c>
      <c r="F1333" s="124">
        <v>7.57</v>
      </c>
      <c r="G1333" s="123">
        <v>-5.8565319855288393E-2</v>
      </c>
    </row>
    <row r="1334" spans="2:7" x14ac:dyDescent="0.2">
      <c r="B1334" s="120" t="s">
        <v>2956</v>
      </c>
      <c r="C1334" s="121" t="s">
        <v>2957</v>
      </c>
      <c r="D1334" s="122" t="s">
        <v>3582</v>
      </c>
      <c r="E1334" s="122" t="s">
        <v>3728</v>
      </c>
      <c r="F1334" s="124">
        <v>5.22</v>
      </c>
      <c r="G1334" s="123">
        <v>5.5036837096672502E-2</v>
      </c>
    </row>
    <row r="1335" spans="2:7" x14ac:dyDescent="0.2">
      <c r="B1335" s="120" t="s">
        <v>2958</v>
      </c>
      <c r="C1335" s="121" t="s">
        <v>2959</v>
      </c>
      <c r="D1335" s="122" t="s">
        <v>3594</v>
      </c>
      <c r="E1335" s="122" t="s">
        <v>3602</v>
      </c>
      <c r="F1335" s="124"/>
      <c r="G1335" s="123">
        <v>-3.4487952566869574E-2</v>
      </c>
    </row>
    <row r="1336" spans="2:7" x14ac:dyDescent="0.2">
      <c r="B1336" s="120" t="s">
        <v>2960</v>
      </c>
      <c r="C1336" s="121" t="s">
        <v>2961</v>
      </c>
      <c r="D1336" s="122" t="s">
        <v>3558</v>
      </c>
      <c r="E1336" s="122" t="s">
        <v>3644</v>
      </c>
      <c r="F1336" s="124">
        <v>1.81</v>
      </c>
      <c r="G1336" s="123">
        <v>1.5574259776588266E-2</v>
      </c>
    </row>
    <row r="1337" spans="2:7" x14ac:dyDescent="0.2">
      <c r="B1337" s="120" t="s">
        <v>2962</v>
      </c>
      <c r="C1337" s="121" t="s">
        <v>2963</v>
      </c>
      <c r="D1337" s="122" t="s">
        <v>3569</v>
      </c>
      <c r="E1337" s="122" t="s">
        <v>3574</v>
      </c>
      <c r="F1337" s="124"/>
      <c r="G1337" s="123">
        <v>8.2039387096774163E-2</v>
      </c>
    </row>
    <row r="1338" spans="2:7" x14ac:dyDescent="0.2">
      <c r="B1338" s="120" t="s">
        <v>2964</v>
      </c>
      <c r="C1338" s="121" t="s">
        <v>2965</v>
      </c>
      <c r="D1338" s="122" t="s">
        <v>3594</v>
      </c>
      <c r="E1338" s="122" t="s">
        <v>3647</v>
      </c>
      <c r="F1338" s="124"/>
      <c r="G1338" s="123">
        <v>-6.486424162140686E-2</v>
      </c>
    </row>
    <row r="1339" spans="2:7" x14ac:dyDescent="0.2">
      <c r="B1339" s="120" t="s">
        <v>2966</v>
      </c>
      <c r="C1339" s="121" t="s">
        <v>2967</v>
      </c>
      <c r="D1339" s="122" t="s">
        <v>3576</v>
      </c>
      <c r="E1339" s="122" t="s">
        <v>3584</v>
      </c>
      <c r="F1339" s="124">
        <v>2.86</v>
      </c>
      <c r="G1339" s="123">
        <v>-4.8567477094055437E-3</v>
      </c>
    </row>
    <row r="1340" spans="2:7" x14ac:dyDescent="0.2">
      <c r="B1340" s="120" t="s">
        <v>2968</v>
      </c>
      <c r="C1340" s="121" t="s">
        <v>2969</v>
      </c>
      <c r="D1340" s="122" t="s">
        <v>3582</v>
      </c>
      <c r="E1340" s="122" t="s">
        <v>3664</v>
      </c>
      <c r="F1340" s="124">
        <v>5.45</v>
      </c>
      <c r="G1340" s="123">
        <v>5.0472347395333989E-2</v>
      </c>
    </row>
    <row r="1341" spans="2:7" x14ac:dyDescent="0.2">
      <c r="B1341" s="120" t="s">
        <v>2970</v>
      </c>
      <c r="C1341" s="121" t="s">
        <v>2971</v>
      </c>
      <c r="D1341" s="122" t="s">
        <v>3556</v>
      </c>
      <c r="E1341" s="122" t="s">
        <v>3630</v>
      </c>
      <c r="F1341" s="124">
        <v>41.43</v>
      </c>
      <c r="G1341" s="123">
        <v>0.27804389326736967</v>
      </c>
    </row>
    <row r="1342" spans="2:7" x14ac:dyDescent="0.2">
      <c r="B1342" s="120" t="s">
        <v>2972</v>
      </c>
      <c r="C1342" s="121" t="s">
        <v>2973</v>
      </c>
      <c r="D1342" s="122" t="s">
        <v>3582</v>
      </c>
      <c r="E1342" s="122" t="s">
        <v>3631</v>
      </c>
      <c r="F1342" s="124"/>
      <c r="G1342" s="123">
        <v>0.21907969647106557</v>
      </c>
    </row>
    <row r="1343" spans="2:7" x14ac:dyDescent="0.2">
      <c r="B1343" s="120" t="s">
        <v>2974</v>
      </c>
      <c r="C1343" s="121" t="s">
        <v>2975</v>
      </c>
      <c r="D1343" s="122" t="s">
        <v>3605</v>
      </c>
      <c r="E1343" s="122" t="s">
        <v>3606</v>
      </c>
      <c r="F1343" s="124">
        <v>2.21</v>
      </c>
      <c r="G1343" s="123">
        <v>0.10148880365549713</v>
      </c>
    </row>
    <row r="1344" spans="2:7" x14ac:dyDescent="0.2">
      <c r="B1344" s="120" t="s">
        <v>2976</v>
      </c>
      <c r="C1344" s="121" t="s">
        <v>2977</v>
      </c>
      <c r="D1344" s="122" t="s">
        <v>3580</v>
      </c>
      <c r="E1344" s="122" t="s">
        <v>3581</v>
      </c>
      <c r="F1344" s="124"/>
      <c r="G1344" s="123">
        <v>0.4725978814343158</v>
      </c>
    </row>
    <row r="1345" spans="2:7" x14ac:dyDescent="0.2">
      <c r="B1345" s="120" t="s">
        <v>2978</v>
      </c>
      <c r="C1345" s="121" t="s">
        <v>2979</v>
      </c>
      <c r="D1345" s="122" t="s">
        <v>3556</v>
      </c>
      <c r="E1345" s="122" t="s">
        <v>3630</v>
      </c>
      <c r="F1345" s="124">
        <v>37.03</v>
      </c>
      <c r="G1345" s="123">
        <v>0.37855844132218375</v>
      </c>
    </row>
    <row r="1346" spans="2:7" x14ac:dyDescent="0.2">
      <c r="B1346" s="120" t="s">
        <v>2980</v>
      </c>
      <c r="C1346" s="121" t="s">
        <v>2981</v>
      </c>
      <c r="D1346" s="122" t="s">
        <v>3594</v>
      </c>
      <c r="E1346" s="122" t="s">
        <v>3698</v>
      </c>
      <c r="F1346" s="124">
        <v>5.01</v>
      </c>
      <c r="G1346" s="123">
        <v>-9.9164520257745692E-2</v>
      </c>
    </row>
    <row r="1347" spans="2:7" x14ac:dyDescent="0.2">
      <c r="B1347" s="120" t="s">
        <v>2982</v>
      </c>
      <c r="C1347" s="121" t="s">
        <v>2983</v>
      </c>
      <c r="D1347" s="122" t="s">
        <v>24</v>
      </c>
      <c r="E1347" s="122" t="s">
        <v>3793</v>
      </c>
      <c r="F1347" s="124"/>
      <c r="G1347" s="123">
        <v>-1.1915374677011649E-4</v>
      </c>
    </row>
    <row r="1348" spans="2:7" x14ac:dyDescent="0.2">
      <c r="B1348" s="120" t="s">
        <v>2984</v>
      </c>
      <c r="C1348" s="121" t="s">
        <v>2985</v>
      </c>
      <c r="D1348" s="122" t="s">
        <v>3591</v>
      </c>
      <c r="E1348" s="122" t="s">
        <v>3643</v>
      </c>
      <c r="F1348" s="124">
        <v>2.86</v>
      </c>
      <c r="G1348" s="123">
        <v>1.1253450381679379E-2</v>
      </c>
    </row>
    <row r="1349" spans="2:7" x14ac:dyDescent="0.2">
      <c r="B1349" s="120" t="s">
        <v>2986</v>
      </c>
      <c r="C1349" s="121" t="s">
        <v>2987</v>
      </c>
      <c r="D1349" s="122" t="s">
        <v>3576</v>
      </c>
      <c r="E1349" s="122" t="s">
        <v>3577</v>
      </c>
      <c r="F1349" s="124">
        <v>-4.47</v>
      </c>
      <c r="G1349" s="123">
        <v>-2.6971918315997583E-2</v>
      </c>
    </row>
    <row r="1350" spans="2:7" x14ac:dyDescent="0.2">
      <c r="B1350" s="120" t="s">
        <v>2988</v>
      </c>
      <c r="C1350" s="121" t="s">
        <v>2989</v>
      </c>
      <c r="D1350" s="122" t="s">
        <v>3582</v>
      </c>
      <c r="E1350" s="122" t="s">
        <v>3707</v>
      </c>
      <c r="F1350" s="124">
        <v>7.52</v>
      </c>
      <c r="G1350" s="123">
        <v>-3.1594104822284079E-2</v>
      </c>
    </row>
    <row r="1351" spans="2:7" x14ac:dyDescent="0.2">
      <c r="B1351" s="120" t="s">
        <v>2990</v>
      </c>
      <c r="C1351" s="121" t="s">
        <v>2991</v>
      </c>
      <c r="D1351" s="122" t="s">
        <v>3591</v>
      </c>
      <c r="E1351" s="122" t="s">
        <v>3643</v>
      </c>
      <c r="F1351" s="124">
        <v>2</v>
      </c>
      <c r="G1351" s="123">
        <v>-1.3404902027894242E-2</v>
      </c>
    </row>
    <row r="1352" spans="2:7" x14ac:dyDescent="0.2">
      <c r="B1352" s="120" t="s">
        <v>2992</v>
      </c>
      <c r="C1352" s="121" t="s">
        <v>2993</v>
      </c>
      <c r="D1352" s="122" t="s">
        <v>3569</v>
      </c>
      <c r="E1352" s="122" t="s">
        <v>3575</v>
      </c>
      <c r="F1352" s="124"/>
      <c r="G1352" s="123">
        <v>0.26700328870876672</v>
      </c>
    </row>
    <row r="1353" spans="2:7" x14ac:dyDescent="0.2">
      <c r="B1353" s="120" t="s">
        <v>2994</v>
      </c>
      <c r="C1353" s="121" t="s">
        <v>2995</v>
      </c>
      <c r="D1353" s="122" t="s">
        <v>3580</v>
      </c>
      <c r="E1353" s="122" t="s">
        <v>3649</v>
      </c>
      <c r="F1353" s="124">
        <v>9.65</v>
      </c>
      <c r="G1353" s="123">
        <v>5.3503415800743394E-2</v>
      </c>
    </row>
    <row r="1354" spans="2:7" x14ac:dyDescent="0.2">
      <c r="B1354" s="120" t="s">
        <v>2996</v>
      </c>
      <c r="C1354" s="121" t="s">
        <v>2997</v>
      </c>
      <c r="D1354" s="122" t="s">
        <v>24</v>
      </c>
      <c r="E1354" s="122" t="s">
        <v>3713</v>
      </c>
      <c r="F1354" s="124">
        <v>7.23</v>
      </c>
      <c r="G1354" s="123">
        <v>8.1313140122726141E-2</v>
      </c>
    </row>
    <row r="1355" spans="2:7" x14ac:dyDescent="0.2">
      <c r="B1355" s="120" t="s">
        <v>2998</v>
      </c>
      <c r="C1355" s="121" t="s">
        <v>2999</v>
      </c>
      <c r="D1355" s="122" t="s">
        <v>3556</v>
      </c>
      <c r="E1355" s="122" t="s">
        <v>3757</v>
      </c>
      <c r="F1355" s="124"/>
      <c r="G1355" s="123">
        <v>4.6025952825593999</v>
      </c>
    </row>
    <row r="1356" spans="2:7" x14ac:dyDescent="0.2">
      <c r="B1356" s="120" t="s">
        <v>3000</v>
      </c>
      <c r="C1356" s="121" t="s">
        <v>3001</v>
      </c>
      <c r="D1356" s="122" t="s">
        <v>3612</v>
      </c>
      <c r="E1356" s="122" t="s">
        <v>3669</v>
      </c>
      <c r="F1356" s="124"/>
      <c r="G1356" s="123">
        <v>-1</v>
      </c>
    </row>
    <row r="1357" spans="2:7" x14ac:dyDescent="0.2">
      <c r="B1357" s="120" t="s">
        <v>3002</v>
      </c>
      <c r="C1357" s="121" t="s">
        <v>3003</v>
      </c>
      <c r="D1357" s="122" t="s">
        <v>3556</v>
      </c>
      <c r="E1357" s="122" t="s">
        <v>3579</v>
      </c>
      <c r="F1357" s="124">
        <v>43.14</v>
      </c>
      <c r="G1357" s="123">
        <v>0.35274030574961263</v>
      </c>
    </row>
    <row r="1358" spans="2:7" x14ac:dyDescent="0.2">
      <c r="B1358" s="120" t="s">
        <v>3004</v>
      </c>
      <c r="C1358" s="121" t="s">
        <v>3005</v>
      </c>
      <c r="D1358" s="122" t="s">
        <v>3576</v>
      </c>
      <c r="E1358" s="122" t="s">
        <v>3593</v>
      </c>
      <c r="F1358" s="124"/>
      <c r="G1358" s="123">
        <v>-2.3989480659702571E-2</v>
      </c>
    </row>
    <row r="1359" spans="2:7" x14ac:dyDescent="0.2">
      <c r="B1359" s="120" t="s">
        <v>3006</v>
      </c>
      <c r="C1359" s="121" t="s">
        <v>3007</v>
      </c>
      <c r="D1359" s="122" t="s">
        <v>3556</v>
      </c>
      <c r="E1359" s="122" t="s">
        <v>3794</v>
      </c>
      <c r="F1359" s="124">
        <v>8.24</v>
      </c>
      <c r="G1359" s="123">
        <v>-7.6072500518226402E-3</v>
      </c>
    </row>
    <row r="1360" spans="2:7" x14ac:dyDescent="0.2">
      <c r="B1360" s="120" t="s">
        <v>3008</v>
      </c>
      <c r="C1360" s="121" t="s">
        <v>3009</v>
      </c>
      <c r="D1360" s="122" t="s">
        <v>3576</v>
      </c>
      <c r="E1360" s="122" t="s">
        <v>3619</v>
      </c>
      <c r="F1360" s="124">
        <v>18.600000000000001</v>
      </c>
      <c r="G1360" s="123">
        <v>0.14057098492834547</v>
      </c>
    </row>
    <row r="1361" spans="2:7" x14ac:dyDescent="0.2">
      <c r="B1361" s="120" t="s">
        <v>3010</v>
      </c>
      <c r="C1361" s="121" t="s">
        <v>3011</v>
      </c>
      <c r="D1361" s="122" t="s">
        <v>3569</v>
      </c>
      <c r="E1361" s="122" t="s">
        <v>3574</v>
      </c>
      <c r="F1361" s="124">
        <v>10.82</v>
      </c>
      <c r="G1361" s="123">
        <v>6.1497708623125112E-2</v>
      </c>
    </row>
    <row r="1362" spans="2:7" x14ac:dyDescent="0.2">
      <c r="B1362" s="120" t="s">
        <v>3012</v>
      </c>
      <c r="C1362" s="121" t="s">
        <v>3013</v>
      </c>
      <c r="D1362" s="122" t="s">
        <v>3576</v>
      </c>
      <c r="E1362" s="122" t="s">
        <v>3654</v>
      </c>
      <c r="F1362" s="124">
        <v>5.49</v>
      </c>
      <c r="G1362" s="123">
        <v>-9.0230874316939838E-2</v>
      </c>
    </row>
    <row r="1363" spans="2:7" x14ac:dyDescent="0.2">
      <c r="B1363" s="120" t="s">
        <v>3014</v>
      </c>
      <c r="C1363" s="121" t="s">
        <v>3015</v>
      </c>
      <c r="D1363" s="122" t="s">
        <v>3576</v>
      </c>
      <c r="E1363" s="122" t="s">
        <v>3646</v>
      </c>
      <c r="F1363" s="124">
        <v>41.65</v>
      </c>
      <c r="G1363" s="123">
        <v>-0.19452533030411623</v>
      </c>
    </row>
    <row r="1364" spans="2:7" x14ac:dyDescent="0.2">
      <c r="B1364" s="120" t="s">
        <v>3016</v>
      </c>
      <c r="C1364" s="121" t="s">
        <v>3017</v>
      </c>
      <c r="D1364" s="122" t="s">
        <v>3594</v>
      </c>
      <c r="E1364" s="122" t="s">
        <v>3754</v>
      </c>
      <c r="F1364" s="124">
        <v>8.68</v>
      </c>
      <c r="G1364" s="123">
        <v>-7.7336929784196082E-2</v>
      </c>
    </row>
    <row r="1365" spans="2:7" x14ac:dyDescent="0.2">
      <c r="B1365" s="120" t="s">
        <v>3018</v>
      </c>
      <c r="C1365" s="121" t="s">
        <v>3019</v>
      </c>
      <c r="D1365" s="122" t="s">
        <v>3556</v>
      </c>
      <c r="E1365" s="122" t="s">
        <v>3764</v>
      </c>
      <c r="F1365" s="124">
        <v>7.35</v>
      </c>
      <c r="G1365" s="123">
        <v>-3.2491721854304635E-2</v>
      </c>
    </row>
    <row r="1366" spans="2:7" x14ac:dyDescent="0.2">
      <c r="B1366" s="120" t="s">
        <v>3020</v>
      </c>
      <c r="C1366" s="121" t="s">
        <v>3021</v>
      </c>
      <c r="D1366" s="122" t="s">
        <v>3556</v>
      </c>
      <c r="E1366" s="122" t="s">
        <v>3630</v>
      </c>
      <c r="F1366" s="124"/>
      <c r="G1366" s="123">
        <v>0.42570039060616288</v>
      </c>
    </row>
    <row r="1367" spans="2:7" x14ac:dyDescent="0.2">
      <c r="B1367" s="120" t="s">
        <v>3022</v>
      </c>
      <c r="C1367" s="121" t="s">
        <v>3023</v>
      </c>
      <c r="D1367" s="122" t="s">
        <v>3576</v>
      </c>
      <c r="E1367" s="122" t="s">
        <v>3584</v>
      </c>
      <c r="F1367" s="124">
        <v>28.59</v>
      </c>
      <c r="G1367" s="123">
        <v>0.16875506694282122</v>
      </c>
    </row>
    <row r="1368" spans="2:7" x14ac:dyDescent="0.2">
      <c r="B1368" s="120" t="s">
        <v>3024</v>
      </c>
      <c r="C1368" s="121" t="s">
        <v>3025</v>
      </c>
      <c r="D1368" s="122" t="s">
        <v>25</v>
      </c>
      <c r="E1368" s="122" t="s">
        <v>3659</v>
      </c>
      <c r="F1368" s="124">
        <v>9.81</v>
      </c>
      <c r="G1368" s="123">
        <v>0.55574125642562067</v>
      </c>
    </row>
    <row r="1369" spans="2:7" x14ac:dyDescent="0.2">
      <c r="B1369" s="120" t="s">
        <v>3026</v>
      </c>
      <c r="C1369" s="121" t="s">
        <v>3027</v>
      </c>
      <c r="D1369" s="122" t="s">
        <v>3576</v>
      </c>
      <c r="E1369" s="122" t="s">
        <v>3654</v>
      </c>
      <c r="F1369" s="124">
        <v>4.87</v>
      </c>
      <c r="G1369" s="123">
        <v>-0.10775783913009943</v>
      </c>
    </row>
    <row r="1370" spans="2:7" x14ac:dyDescent="0.2">
      <c r="B1370" s="120" t="s">
        <v>3028</v>
      </c>
      <c r="C1370" s="121" t="s">
        <v>3029</v>
      </c>
      <c r="D1370" s="122" t="s">
        <v>3576</v>
      </c>
      <c r="E1370" s="122" t="s">
        <v>3600</v>
      </c>
      <c r="F1370" s="124">
        <v>11.55</v>
      </c>
      <c r="G1370" s="123">
        <v>0.16304721080340401</v>
      </c>
    </row>
    <row r="1371" spans="2:7" x14ac:dyDescent="0.2">
      <c r="B1371" s="120" t="s">
        <v>3030</v>
      </c>
      <c r="C1371" s="121" t="s">
        <v>3031</v>
      </c>
      <c r="D1371" s="122" t="s">
        <v>3556</v>
      </c>
      <c r="E1371" s="122" t="s">
        <v>3783</v>
      </c>
      <c r="F1371" s="124">
        <v>-5.63</v>
      </c>
      <c r="G1371" s="123">
        <v>-1.5460234841193457E-2</v>
      </c>
    </row>
    <row r="1372" spans="2:7" x14ac:dyDescent="0.2">
      <c r="B1372" s="120" t="s">
        <v>3032</v>
      </c>
      <c r="C1372" s="121" t="s">
        <v>3033</v>
      </c>
      <c r="D1372" s="122" t="s">
        <v>24</v>
      </c>
      <c r="E1372" s="122" t="s">
        <v>3573</v>
      </c>
      <c r="F1372" s="124">
        <v>8.0399999999999991</v>
      </c>
      <c r="G1372" s="123">
        <v>-0.11031180509437988</v>
      </c>
    </row>
    <row r="1373" spans="2:7" x14ac:dyDescent="0.2">
      <c r="B1373" s="120" t="s">
        <v>3034</v>
      </c>
      <c r="C1373" s="121" t="s">
        <v>3035</v>
      </c>
      <c r="D1373" s="122" t="s">
        <v>3612</v>
      </c>
      <c r="E1373" s="122" t="s">
        <v>3724</v>
      </c>
      <c r="F1373" s="124">
        <v>-0.86</v>
      </c>
      <c r="G1373" s="123">
        <v>6.4906312039885949E-2</v>
      </c>
    </row>
    <row r="1374" spans="2:7" x14ac:dyDescent="0.2">
      <c r="B1374" s="120" t="s">
        <v>3036</v>
      </c>
      <c r="C1374" s="121" t="s">
        <v>3037</v>
      </c>
      <c r="D1374" s="122" t="s">
        <v>3612</v>
      </c>
      <c r="E1374" s="122" t="s">
        <v>3661</v>
      </c>
      <c r="F1374" s="124">
        <v>-10.31</v>
      </c>
      <c r="G1374" s="123">
        <v>-3.6176287495704278E-2</v>
      </c>
    </row>
    <row r="1375" spans="2:7" x14ac:dyDescent="0.2">
      <c r="B1375" s="120" t="s">
        <v>3038</v>
      </c>
      <c r="C1375" s="121" t="s">
        <v>3039</v>
      </c>
      <c r="D1375" s="122" t="s">
        <v>3576</v>
      </c>
      <c r="E1375" s="122" t="s">
        <v>3689</v>
      </c>
      <c r="F1375" s="124"/>
      <c r="G1375" s="123">
        <v>-1</v>
      </c>
    </row>
    <row r="1376" spans="2:7" x14ac:dyDescent="0.2">
      <c r="B1376" s="120" t="s">
        <v>3040</v>
      </c>
      <c r="C1376" s="121" t="s">
        <v>3041</v>
      </c>
      <c r="D1376" s="122" t="s">
        <v>3576</v>
      </c>
      <c r="E1376" s="122" t="s">
        <v>3577</v>
      </c>
      <c r="F1376" s="124">
        <v>22.59</v>
      </c>
      <c r="G1376" s="123">
        <v>8.3742727321133914E-2</v>
      </c>
    </row>
    <row r="1377" spans="2:7" x14ac:dyDescent="0.2">
      <c r="B1377" s="120" t="s">
        <v>3042</v>
      </c>
      <c r="C1377" s="121" t="s">
        <v>3043</v>
      </c>
      <c r="D1377" s="122" t="s">
        <v>3612</v>
      </c>
      <c r="E1377" s="122" t="s">
        <v>3785</v>
      </c>
      <c r="F1377" s="124">
        <v>23.01</v>
      </c>
      <c r="G1377" s="123">
        <v>-5.0654367423796677E-2</v>
      </c>
    </row>
    <row r="1378" spans="2:7" x14ac:dyDescent="0.2">
      <c r="B1378" s="120" t="s">
        <v>3044</v>
      </c>
      <c r="C1378" s="121" t="s">
        <v>3045</v>
      </c>
      <c r="D1378" s="122" t="s">
        <v>3556</v>
      </c>
      <c r="E1378" s="122" t="s">
        <v>3764</v>
      </c>
      <c r="F1378" s="124"/>
      <c r="G1378" s="123">
        <v>1.494127991749962E-2</v>
      </c>
    </row>
    <row r="1379" spans="2:7" x14ac:dyDescent="0.2">
      <c r="B1379" s="120" t="s">
        <v>3046</v>
      </c>
      <c r="C1379" s="121" t="s">
        <v>3047</v>
      </c>
      <c r="D1379" s="122" t="s">
        <v>3594</v>
      </c>
      <c r="E1379" s="122" t="s">
        <v>3732</v>
      </c>
      <c r="F1379" s="124">
        <v>-35.75</v>
      </c>
      <c r="G1379" s="123">
        <v>-1.1916273116682205E-2</v>
      </c>
    </row>
    <row r="1380" spans="2:7" x14ac:dyDescent="0.2">
      <c r="B1380" s="120" t="s">
        <v>3048</v>
      </c>
      <c r="C1380" s="121" t="s">
        <v>3049</v>
      </c>
      <c r="D1380" s="122" t="s">
        <v>3582</v>
      </c>
      <c r="E1380" s="122" t="s">
        <v>3631</v>
      </c>
      <c r="F1380" s="124"/>
      <c r="G1380" s="123">
        <v>9.8817326171586242E-2</v>
      </c>
    </row>
    <row r="1381" spans="2:7" x14ac:dyDescent="0.2">
      <c r="B1381" s="120" t="s">
        <v>3050</v>
      </c>
      <c r="C1381" s="121" t="s">
        <v>3051</v>
      </c>
      <c r="D1381" s="122" t="s">
        <v>3556</v>
      </c>
      <c r="E1381" s="122" t="s">
        <v>3630</v>
      </c>
      <c r="F1381" s="124"/>
      <c r="G1381" s="123">
        <v>0.13440323374425325</v>
      </c>
    </row>
    <row r="1382" spans="2:7" x14ac:dyDescent="0.2">
      <c r="B1382" s="120" t="s">
        <v>3052</v>
      </c>
      <c r="C1382" s="121" t="s">
        <v>3053</v>
      </c>
      <c r="D1382" s="122" t="s">
        <v>3558</v>
      </c>
      <c r="E1382" s="122" t="s">
        <v>3774</v>
      </c>
      <c r="F1382" s="124">
        <v>5.68</v>
      </c>
      <c r="G1382" s="123">
        <v>4.3771432658198856E-2</v>
      </c>
    </row>
    <row r="1383" spans="2:7" x14ac:dyDescent="0.2">
      <c r="B1383" s="120" t="s">
        <v>3054</v>
      </c>
      <c r="C1383" s="121" t="s">
        <v>3055</v>
      </c>
      <c r="D1383" s="122" t="s">
        <v>3556</v>
      </c>
      <c r="E1383" s="122" t="s">
        <v>3786</v>
      </c>
      <c r="F1383" s="124">
        <v>8.07</v>
      </c>
      <c r="G1383" s="123">
        <v>-0.12712461737331948</v>
      </c>
    </row>
    <row r="1384" spans="2:7" x14ac:dyDescent="0.2">
      <c r="B1384" s="120" t="s">
        <v>3056</v>
      </c>
      <c r="C1384" s="121" t="s">
        <v>3057</v>
      </c>
      <c r="D1384" s="122" t="s">
        <v>3561</v>
      </c>
      <c r="E1384" s="122" t="s">
        <v>3562</v>
      </c>
      <c r="F1384" s="124"/>
      <c r="G1384" s="123">
        <v>-1</v>
      </c>
    </row>
    <row r="1385" spans="2:7" x14ac:dyDescent="0.2">
      <c r="B1385" s="120" t="s">
        <v>3058</v>
      </c>
      <c r="C1385" s="121" t="s">
        <v>3059</v>
      </c>
      <c r="D1385" s="122" t="s">
        <v>3591</v>
      </c>
      <c r="E1385" s="122" t="s">
        <v>3643</v>
      </c>
      <c r="F1385" s="124">
        <v>6.68</v>
      </c>
      <c r="G1385" s="123">
        <v>0.10067502196172921</v>
      </c>
    </row>
    <row r="1386" spans="2:7" x14ac:dyDescent="0.2">
      <c r="B1386" s="120" t="s">
        <v>3060</v>
      </c>
      <c r="C1386" s="121" t="s">
        <v>3061</v>
      </c>
      <c r="D1386" s="122" t="s">
        <v>3576</v>
      </c>
      <c r="E1386" s="122" t="s">
        <v>3651</v>
      </c>
      <c r="F1386" s="124">
        <v>9.4700000000000006</v>
      </c>
      <c r="G1386" s="123">
        <v>-7.4858949213827783E-2</v>
      </c>
    </row>
    <row r="1387" spans="2:7" x14ac:dyDescent="0.2">
      <c r="B1387" s="120" t="s">
        <v>3062</v>
      </c>
      <c r="C1387" s="121" t="s">
        <v>3063</v>
      </c>
      <c r="D1387" s="122" t="s">
        <v>3569</v>
      </c>
      <c r="E1387" s="122" t="s">
        <v>3572</v>
      </c>
      <c r="F1387" s="124">
        <v>9.6</v>
      </c>
      <c r="G1387" s="123">
        <v>9.3147088449378773E-2</v>
      </c>
    </row>
    <row r="1388" spans="2:7" x14ac:dyDescent="0.2">
      <c r="B1388" s="120" t="s">
        <v>3064</v>
      </c>
      <c r="C1388" s="121" t="s">
        <v>3065</v>
      </c>
      <c r="D1388" s="122" t="s">
        <v>3556</v>
      </c>
      <c r="E1388" s="122" t="s">
        <v>3579</v>
      </c>
      <c r="F1388" s="124">
        <v>-6.65</v>
      </c>
      <c r="G1388" s="123">
        <v>2.0294686112872485E-2</v>
      </c>
    </row>
    <row r="1389" spans="2:7" x14ac:dyDescent="0.2">
      <c r="B1389" s="120" t="s">
        <v>3066</v>
      </c>
      <c r="C1389" s="121" t="s">
        <v>3067</v>
      </c>
      <c r="D1389" s="122" t="s">
        <v>3569</v>
      </c>
      <c r="E1389" s="122" t="s">
        <v>3697</v>
      </c>
      <c r="F1389" s="124">
        <v>39.130000000000003</v>
      </c>
      <c r="G1389" s="123">
        <v>6.896558636210405E-2</v>
      </c>
    </row>
    <row r="1390" spans="2:7" x14ac:dyDescent="0.2">
      <c r="B1390" s="120" t="s">
        <v>3068</v>
      </c>
      <c r="C1390" s="121" t="s">
        <v>3069</v>
      </c>
      <c r="D1390" s="122" t="s">
        <v>24</v>
      </c>
      <c r="E1390" s="122" t="s">
        <v>3633</v>
      </c>
      <c r="F1390" s="124">
        <v>5.99</v>
      </c>
      <c r="G1390" s="123">
        <v>3.1150132282173656E-2</v>
      </c>
    </row>
    <row r="1391" spans="2:7" x14ac:dyDescent="0.2">
      <c r="B1391" s="120" t="s">
        <v>3070</v>
      </c>
      <c r="C1391" s="121" t="s">
        <v>3071</v>
      </c>
      <c r="D1391" s="122" t="s">
        <v>3610</v>
      </c>
      <c r="E1391" s="122" t="s">
        <v>3656</v>
      </c>
      <c r="F1391" s="124"/>
      <c r="G1391" s="123">
        <v>4.2468142236051073E-3</v>
      </c>
    </row>
    <row r="1392" spans="2:7" x14ac:dyDescent="0.2">
      <c r="B1392" s="120" t="s">
        <v>3072</v>
      </c>
      <c r="C1392" s="121" t="s">
        <v>3073</v>
      </c>
      <c r="D1392" s="122" t="s">
        <v>3556</v>
      </c>
      <c r="E1392" s="122" t="s">
        <v>3721</v>
      </c>
      <c r="F1392" s="124">
        <v>6.28</v>
      </c>
      <c r="G1392" s="123">
        <v>6.9248207207945792E-2</v>
      </c>
    </row>
    <row r="1393" spans="2:7" x14ac:dyDescent="0.2">
      <c r="B1393" s="120" t="s">
        <v>3074</v>
      </c>
      <c r="C1393" s="121" t="s">
        <v>3075</v>
      </c>
      <c r="D1393" s="122" t="s">
        <v>3569</v>
      </c>
      <c r="E1393" s="122" t="s">
        <v>3722</v>
      </c>
      <c r="F1393" s="124">
        <v>1.51</v>
      </c>
      <c r="G1393" s="123">
        <v>0.69188955614351655</v>
      </c>
    </row>
    <row r="1394" spans="2:7" x14ac:dyDescent="0.2">
      <c r="B1394" s="120" t="s">
        <v>3076</v>
      </c>
      <c r="C1394" s="121" t="s">
        <v>3077</v>
      </c>
      <c r="D1394" s="122" t="s">
        <v>25</v>
      </c>
      <c r="E1394" s="122" t="s">
        <v>3659</v>
      </c>
      <c r="F1394" s="124">
        <v>57.01</v>
      </c>
      <c r="G1394" s="123">
        <v>0.39562034038502059</v>
      </c>
    </row>
    <row r="1395" spans="2:7" x14ac:dyDescent="0.2">
      <c r="B1395" s="120" t="s">
        <v>3078</v>
      </c>
      <c r="C1395" s="121" t="s">
        <v>3079</v>
      </c>
      <c r="D1395" s="122" t="s">
        <v>24</v>
      </c>
      <c r="E1395" s="122" t="s">
        <v>3573</v>
      </c>
      <c r="F1395" s="124">
        <v>29.51</v>
      </c>
      <c r="G1395" s="123">
        <v>-0.20516591168091172</v>
      </c>
    </row>
    <row r="1396" spans="2:7" x14ac:dyDescent="0.2">
      <c r="B1396" s="120" t="s">
        <v>3080</v>
      </c>
      <c r="C1396" s="121" t="s">
        <v>3081</v>
      </c>
      <c r="D1396" s="122" t="s">
        <v>3569</v>
      </c>
      <c r="E1396" s="122" t="s">
        <v>3722</v>
      </c>
      <c r="F1396" s="124">
        <v>-7.46</v>
      </c>
      <c r="G1396" s="123">
        <v>3.3751809998656519E-2</v>
      </c>
    </row>
    <row r="1397" spans="2:7" x14ac:dyDescent="0.2">
      <c r="B1397" s="120" t="s">
        <v>3082</v>
      </c>
      <c r="C1397" s="121" t="s">
        <v>3083</v>
      </c>
      <c r="D1397" s="122" t="s">
        <v>24</v>
      </c>
      <c r="E1397" s="122" t="s">
        <v>3633</v>
      </c>
      <c r="F1397" s="124"/>
      <c r="G1397" s="123">
        <v>4.1971101206604768E-3</v>
      </c>
    </row>
    <row r="1398" spans="2:7" x14ac:dyDescent="0.2">
      <c r="B1398" s="120" t="s">
        <v>3084</v>
      </c>
      <c r="C1398" s="121" t="s">
        <v>3085</v>
      </c>
      <c r="D1398" s="122" t="s">
        <v>3556</v>
      </c>
      <c r="E1398" s="122" t="s">
        <v>3607</v>
      </c>
      <c r="F1398" s="124">
        <v>39.549999999999997</v>
      </c>
      <c r="G1398" s="123">
        <v>0.19705785625909866</v>
      </c>
    </row>
    <row r="1399" spans="2:7" x14ac:dyDescent="0.2">
      <c r="B1399" s="120" t="s">
        <v>3086</v>
      </c>
      <c r="C1399" s="121" t="s">
        <v>3087</v>
      </c>
      <c r="D1399" s="122" t="s">
        <v>3576</v>
      </c>
      <c r="E1399" s="122" t="s">
        <v>3626</v>
      </c>
      <c r="F1399" s="124">
        <v>8.42</v>
      </c>
      <c r="G1399" s="123">
        <v>-0.27910460255411923</v>
      </c>
    </row>
    <row r="1400" spans="2:7" x14ac:dyDescent="0.2">
      <c r="B1400" s="120" t="s">
        <v>3088</v>
      </c>
      <c r="C1400" s="121" t="s">
        <v>3089</v>
      </c>
      <c r="D1400" s="122" t="s">
        <v>3556</v>
      </c>
      <c r="E1400" s="122" t="s">
        <v>3783</v>
      </c>
      <c r="F1400" s="124">
        <v>-5.94</v>
      </c>
      <c r="G1400" s="123">
        <v>-8.6681150646950075E-2</v>
      </c>
    </row>
    <row r="1401" spans="2:7" x14ac:dyDescent="0.2">
      <c r="B1401" s="120" t="s">
        <v>3090</v>
      </c>
      <c r="C1401" s="121" t="s">
        <v>3091</v>
      </c>
      <c r="D1401" s="122" t="s">
        <v>3605</v>
      </c>
      <c r="E1401" s="122" t="s">
        <v>3606</v>
      </c>
      <c r="F1401" s="124">
        <v>13.9</v>
      </c>
      <c r="G1401" s="123">
        <v>0.45595607864334192</v>
      </c>
    </row>
    <row r="1402" spans="2:7" x14ac:dyDescent="0.2">
      <c r="B1402" s="120" t="s">
        <v>3092</v>
      </c>
      <c r="C1402" s="121" t="s">
        <v>3093</v>
      </c>
      <c r="D1402" s="122" t="s">
        <v>3569</v>
      </c>
      <c r="E1402" s="122" t="s">
        <v>3718</v>
      </c>
      <c r="F1402" s="124">
        <v>74.55</v>
      </c>
      <c r="G1402" s="123">
        <v>0.29939218970591752</v>
      </c>
    </row>
    <row r="1403" spans="2:7" x14ac:dyDescent="0.2">
      <c r="B1403" s="120" t="s">
        <v>3094</v>
      </c>
      <c r="C1403" s="121" t="s">
        <v>3095</v>
      </c>
      <c r="D1403" s="122" t="s">
        <v>3605</v>
      </c>
      <c r="E1403" s="122" t="s">
        <v>3606</v>
      </c>
      <c r="F1403" s="124">
        <v>5.79</v>
      </c>
      <c r="G1403" s="123">
        <v>6.7923323454407505E-2</v>
      </c>
    </row>
    <row r="1404" spans="2:7" x14ac:dyDescent="0.2">
      <c r="B1404" s="120" t="s">
        <v>3096</v>
      </c>
      <c r="C1404" s="121" t="s">
        <v>3097</v>
      </c>
      <c r="D1404" s="122" t="s">
        <v>3556</v>
      </c>
      <c r="E1404" s="122" t="s">
        <v>3630</v>
      </c>
      <c r="F1404" s="124">
        <v>38.97</v>
      </c>
      <c r="G1404" s="123">
        <v>0.28089870509779929</v>
      </c>
    </row>
    <row r="1405" spans="2:7" x14ac:dyDescent="0.2">
      <c r="B1405" s="120" t="s">
        <v>3098</v>
      </c>
      <c r="C1405" s="121" t="s">
        <v>3099</v>
      </c>
      <c r="D1405" s="122" t="s">
        <v>3563</v>
      </c>
      <c r="E1405" s="122" t="s">
        <v>3795</v>
      </c>
      <c r="F1405" s="124">
        <v>9.74</v>
      </c>
      <c r="G1405" s="123">
        <v>3.27590869237737E-3</v>
      </c>
    </row>
    <row r="1406" spans="2:7" x14ac:dyDescent="0.2">
      <c r="B1406" s="120" t="s">
        <v>3100</v>
      </c>
      <c r="C1406" s="121" t="s">
        <v>3101</v>
      </c>
      <c r="D1406" s="122" t="s">
        <v>3569</v>
      </c>
      <c r="E1406" s="122" t="s">
        <v>3575</v>
      </c>
      <c r="F1406" s="124">
        <v>13.47</v>
      </c>
      <c r="G1406" s="123">
        <v>0.10859370316942349</v>
      </c>
    </row>
    <row r="1407" spans="2:7" x14ac:dyDescent="0.2">
      <c r="B1407" s="120" t="s">
        <v>3102</v>
      </c>
      <c r="C1407" s="121" t="s">
        <v>3103</v>
      </c>
      <c r="D1407" s="122" t="s">
        <v>3594</v>
      </c>
      <c r="E1407" s="122" t="s">
        <v>3647</v>
      </c>
      <c r="F1407" s="124">
        <v>9.56</v>
      </c>
      <c r="G1407" s="123">
        <v>-2.3576214923722569E-2</v>
      </c>
    </row>
    <row r="1408" spans="2:7" x14ac:dyDescent="0.2">
      <c r="B1408" s="120" t="s">
        <v>3104</v>
      </c>
      <c r="C1408" s="121" t="s">
        <v>3105</v>
      </c>
      <c r="D1408" s="122" t="s">
        <v>3591</v>
      </c>
      <c r="E1408" s="122" t="s">
        <v>3658</v>
      </c>
      <c r="F1408" s="124">
        <v>-0.78</v>
      </c>
      <c r="G1408" s="123">
        <v>-5.5593962262313591E-2</v>
      </c>
    </row>
    <row r="1409" spans="2:7" x14ac:dyDescent="0.2">
      <c r="B1409" s="120" t="s">
        <v>3106</v>
      </c>
      <c r="C1409" s="121" t="s">
        <v>3107</v>
      </c>
      <c r="D1409" s="122" t="s">
        <v>3556</v>
      </c>
      <c r="E1409" s="122" t="s">
        <v>3560</v>
      </c>
      <c r="F1409" s="124">
        <v>1.81</v>
      </c>
      <c r="G1409" s="123">
        <v>-4.0748725336002267E-2</v>
      </c>
    </row>
    <row r="1410" spans="2:7" x14ac:dyDescent="0.2">
      <c r="B1410" s="120" t="s">
        <v>3108</v>
      </c>
      <c r="C1410" s="121" t="s">
        <v>3109</v>
      </c>
      <c r="D1410" s="122" t="s">
        <v>3591</v>
      </c>
      <c r="E1410" s="122" t="s">
        <v>3658</v>
      </c>
      <c r="F1410" s="124">
        <v>-4.46</v>
      </c>
      <c r="G1410" s="123">
        <v>-7.7574581422335226E-2</v>
      </c>
    </row>
    <row r="1411" spans="2:7" x14ac:dyDescent="0.2">
      <c r="B1411" s="120" t="s">
        <v>3110</v>
      </c>
      <c r="C1411" s="121" t="s">
        <v>3111</v>
      </c>
      <c r="D1411" s="122" t="s">
        <v>3591</v>
      </c>
      <c r="E1411" s="122" t="s">
        <v>3700</v>
      </c>
      <c r="F1411" s="124">
        <v>6.25</v>
      </c>
      <c r="G1411" s="123">
        <v>-0.16121190194659649</v>
      </c>
    </row>
    <row r="1412" spans="2:7" x14ac:dyDescent="0.2">
      <c r="B1412" s="120" t="s">
        <v>3112</v>
      </c>
      <c r="C1412" s="121" t="s">
        <v>3113</v>
      </c>
      <c r="D1412" s="122" t="s">
        <v>3556</v>
      </c>
      <c r="E1412" s="122" t="s">
        <v>3557</v>
      </c>
      <c r="F1412" s="124">
        <v>7.24</v>
      </c>
      <c r="G1412" s="123">
        <v>2.4063699543031145E-2</v>
      </c>
    </row>
    <row r="1413" spans="2:7" x14ac:dyDescent="0.2">
      <c r="B1413" s="120" t="s">
        <v>3114</v>
      </c>
      <c r="C1413" s="121" t="s">
        <v>3115</v>
      </c>
      <c r="D1413" s="122" t="s">
        <v>3591</v>
      </c>
      <c r="E1413" s="122" t="s">
        <v>3592</v>
      </c>
      <c r="F1413" s="124">
        <v>32.69</v>
      </c>
      <c r="G1413" s="123">
        <v>0.31016085941270849</v>
      </c>
    </row>
    <row r="1414" spans="2:7" x14ac:dyDescent="0.2">
      <c r="B1414" s="120" t="s">
        <v>3116</v>
      </c>
      <c r="C1414" s="121" t="s">
        <v>3117</v>
      </c>
      <c r="D1414" s="122" t="s">
        <v>3569</v>
      </c>
      <c r="E1414" s="122" t="s">
        <v>3599</v>
      </c>
      <c r="F1414" s="124">
        <v>-0.7</v>
      </c>
      <c r="G1414" s="123">
        <v>-8.8892256815529924E-2</v>
      </c>
    </row>
    <row r="1415" spans="2:7" x14ac:dyDescent="0.2">
      <c r="B1415" s="120" t="s">
        <v>3118</v>
      </c>
      <c r="C1415" s="121" t="s">
        <v>3119</v>
      </c>
      <c r="D1415" s="122" t="s">
        <v>3569</v>
      </c>
      <c r="E1415" s="122" t="s">
        <v>3574</v>
      </c>
      <c r="F1415" s="124">
        <v>8.17</v>
      </c>
      <c r="G1415" s="123">
        <v>6.1455705405206645E-2</v>
      </c>
    </row>
    <row r="1416" spans="2:7" x14ac:dyDescent="0.2">
      <c r="B1416" s="120" t="s">
        <v>3120</v>
      </c>
      <c r="C1416" s="121" t="s">
        <v>3121</v>
      </c>
      <c r="D1416" s="122" t="s">
        <v>3612</v>
      </c>
      <c r="E1416" s="122" t="s">
        <v>3674</v>
      </c>
      <c r="F1416" s="124">
        <v>17</v>
      </c>
      <c r="G1416" s="123">
        <v>0.135283526208305</v>
      </c>
    </row>
    <row r="1417" spans="2:7" x14ac:dyDescent="0.2">
      <c r="B1417" s="120" t="s">
        <v>3122</v>
      </c>
      <c r="C1417" s="121" t="s">
        <v>3123</v>
      </c>
      <c r="D1417" s="122" t="s">
        <v>25</v>
      </c>
      <c r="E1417" s="122" t="s">
        <v>3691</v>
      </c>
      <c r="F1417" s="124">
        <v>-23.31</v>
      </c>
      <c r="G1417" s="123">
        <v>-2.9524980972056251E-2</v>
      </c>
    </row>
    <row r="1418" spans="2:7" x14ac:dyDescent="0.2">
      <c r="B1418" s="120" t="s">
        <v>3124</v>
      </c>
      <c r="C1418" s="121" t="s">
        <v>3125</v>
      </c>
      <c r="D1418" s="122" t="s">
        <v>3563</v>
      </c>
      <c r="E1418" s="122" t="s">
        <v>3677</v>
      </c>
      <c r="F1418" s="124">
        <v>0.42</v>
      </c>
      <c r="G1418" s="123">
        <v>3.9603162720951234E-2</v>
      </c>
    </row>
    <row r="1419" spans="2:7" x14ac:dyDescent="0.2">
      <c r="B1419" s="120" t="s">
        <v>3126</v>
      </c>
      <c r="C1419" s="121" t="s">
        <v>3127</v>
      </c>
      <c r="D1419" s="122" t="s">
        <v>3576</v>
      </c>
      <c r="E1419" s="122" t="s">
        <v>3578</v>
      </c>
      <c r="F1419" s="124">
        <v>-0.26</v>
      </c>
      <c r="G1419" s="123">
        <v>6.0276392319159683E-2</v>
      </c>
    </row>
    <row r="1420" spans="2:7" x14ac:dyDescent="0.2">
      <c r="B1420" s="120" t="s">
        <v>3128</v>
      </c>
      <c r="C1420" s="121" t="s">
        <v>3129</v>
      </c>
      <c r="D1420" s="122" t="s">
        <v>24</v>
      </c>
      <c r="E1420" s="122" t="s">
        <v>3633</v>
      </c>
      <c r="F1420" s="124">
        <v>20.13</v>
      </c>
      <c r="G1420" s="123">
        <v>-0.22222033344230149</v>
      </c>
    </row>
    <row r="1421" spans="2:7" x14ac:dyDescent="0.2">
      <c r="B1421" s="120" t="s">
        <v>3130</v>
      </c>
      <c r="C1421" s="121" t="s">
        <v>3131</v>
      </c>
      <c r="D1421" s="122" t="s">
        <v>3563</v>
      </c>
      <c r="E1421" s="122" t="s">
        <v>3796</v>
      </c>
      <c r="F1421" s="124">
        <v>1.28</v>
      </c>
      <c r="G1421" s="123">
        <v>5.5324688773326159E-3</v>
      </c>
    </row>
    <row r="1422" spans="2:7" x14ac:dyDescent="0.2">
      <c r="B1422" s="120" t="s">
        <v>3132</v>
      </c>
      <c r="C1422" s="121" t="s">
        <v>3133</v>
      </c>
      <c r="D1422" s="122" t="s">
        <v>3556</v>
      </c>
      <c r="E1422" s="122" t="s">
        <v>3621</v>
      </c>
      <c r="F1422" s="124">
        <v>-6.4</v>
      </c>
      <c r="G1422" s="123">
        <v>-1</v>
      </c>
    </row>
    <row r="1423" spans="2:7" x14ac:dyDescent="0.2">
      <c r="B1423" s="120" t="s">
        <v>3134</v>
      </c>
      <c r="C1423" s="121" t="s">
        <v>3135</v>
      </c>
      <c r="D1423" s="122" t="s">
        <v>3591</v>
      </c>
      <c r="E1423" s="122" t="s">
        <v>3658</v>
      </c>
      <c r="F1423" s="124"/>
      <c r="G1423" s="123">
        <v>-9.8672859083934542E-2</v>
      </c>
    </row>
    <row r="1424" spans="2:7" x14ac:dyDescent="0.2">
      <c r="B1424" s="120" t="s">
        <v>3136</v>
      </c>
      <c r="C1424" s="121" t="s">
        <v>3137</v>
      </c>
      <c r="D1424" s="122" t="s">
        <v>3563</v>
      </c>
      <c r="E1424" s="122" t="s">
        <v>3677</v>
      </c>
      <c r="F1424" s="124">
        <v>7.65</v>
      </c>
      <c r="G1424" s="123">
        <v>5.6554170035457908E-2</v>
      </c>
    </row>
    <row r="1425" spans="2:7" x14ac:dyDescent="0.2">
      <c r="B1425" s="120" t="s">
        <v>3138</v>
      </c>
      <c r="C1425" s="121" t="s">
        <v>3139</v>
      </c>
      <c r="D1425" s="122" t="s">
        <v>3591</v>
      </c>
      <c r="E1425" s="122" t="s">
        <v>3658</v>
      </c>
      <c r="F1425" s="124">
        <v>1.86</v>
      </c>
      <c r="G1425" s="123">
        <v>-2.9696847808241791E-2</v>
      </c>
    </row>
    <row r="1426" spans="2:7" x14ac:dyDescent="0.2">
      <c r="B1426" s="120" t="s">
        <v>3140</v>
      </c>
      <c r="C1426" s="121" t="s">
        <v>3141</v>
      </c>
      <c r="D1426" s="122" t="s">
        <v>3594</v>
      </c>
      <c r="E1426" s="122" t="s">
        <v>3754</v>
      </c>
      <c r="F1426" s="124"/>
      <c r="G1426" s="123">
        <v>3.7594920038838339E-2</v>
      </c>
    </row>
    <row r="1427" spans="2:7" x14ac:dyDescent="0.2">
      <c r="B1427" s="120" t="s">
        <v>3142</v>
      </c>
      <c r="C1427" s="121" t="s">
        <v>3143</v>
      </c>
      <c r="D1427" s="122" t="s">
        <v>3556</v>
      </c>
      <c r="E1427" s="122" t="s">
        <v>3621</v>
      </c>
      <c r="F1427" s="124">
        <v>-3.72</v>
      </c>
      <c r="G1427" s="123">
        <v>-1</v>
      </c>
    </row>
    <row r="1428" spans="2:7" x14ac:dyDescent="0.2">
      <c r="B1428" s="120" t="s">
        <v>3144</v>
      </c>
      <c r="C1428" s="121" t="s">
        <v>3145</v>
      </c>
      <c r="D1428" s="122" t="s">
        <v>3576</v>
      </c>
      <c r="E1428" s="122" t="s">
        <v>3578</v>
      </c>
      <c r="F1428" s="124">
        <v>6.32</v>
      </c>
      <c r="G1428" s="123">
        <v>-1</v>
      </c>
    </row>
    <row r="1429" spans="2:7" x14ac:dyDescent="0.2">
      <c r="B1429" s="120" t="s">
        <v>3146</v>
      </c>
      <c r="C1429" s="121" t="s">
        <v>3147</v>
      </c>
      <c r="D1429" s="122" t="s">
        <v>3558</v>
      </c>
      <c r="E1429" s="122" t="s">
        <v>3737</v>
      </c>
      <c r="F1429" s="124">
        <v>2.57</v>
      </c>
      <c r="G1429" s="123">
        <v>7.744525245755135E-2</v>
      </c>
    </row>
    <row r="1430" spans="2:7" x14ac:dyDescent="0.2">
      <c r="B1430" s="120" t="s">
        <v>3148</v>
      </c>
      <c r="C1430" s="121" t="s">
        <v>3149</v>
      </c>
      <c r="D1430" s="122" t="s">
        <v>3556</v>
      </c>
      <c r="E1430" s="122" t="s">
        <v>3621</v>
      </c>
      <c r="F1430" s="124">
        <v>-9.26</v>
      </c>
      <c r="G1430" s="123">
        <v>-3.9514932977320831E-2</v>
      </c>
    </row>
    <row r="1431" spans="2:7" x14ac:dyDescent="0.2">
      <c r="B1431" s="120" t="s">
        <v>3150</v>
      </c>
      <c r="C1431" s="121" t="s">
        <v>3151</v>
      </c>
      <c r="D1431" s="122" t="s">
        <v>3591</v>
      </c>
      <c r="E1431" s="122" t="s">
        <v>3658</v>
      </c>
      <c r="F1431" s="124"/>
      <c r="G1431" s="123">
        <v>-1</v>
      </c>
    </row>
    <row r="1432" spans="2:7" x14ac:dyDescent="0.2">
      <c r="B1432" s="120" t="s">
        <v>3152</v>
      </c>
      <c r="C1432" s="121" t="s">
        <v>3153</v>
      </c>
      <c r="D1432" s="122" t="s">
        <v>3591</v>
      </c>
      <c r="E1432" s="122" t="s">
        <v>3700</v>
      </c>
      <c r="F1432" s="124">
        <v>-2.65</v>
      </c>
      <c r="G1432" s="123">
        <v>0.10638049741331493</v>
      </c>
    </row>
    <row r="1433" spans="2:7" x14ac:dyDescent="0.2">
      <c r="B1433" s="120" t="s">
        <v>3154</v>
      </c>
      <c r="C1433" s="121" t="s">
        <v>3155</v>
      </c>
      <c r="D1433" s="122" t="s">
        <v>3610</v>
      </c>
      <c r="E1433" s="122" t="s">
        <v>3656</v>
      </c>
      <c r="F1433" s="124">
        <v>3.47</v>
      </c>
      <c r="G1433" s="123">
        <v>1.9230937030941687E-2</v>
      </c>
    </row>
    <row r="1434" spans="2:7" x14ac:dyDescent="0.2">
      <c r="B1434" s="120" t="s">
        <v>3156</v>
      </c>
      <c r="C1434" s="121" t="s">
        <v>3157</v>
      </c>
      <c r="D1434" s="122" t="s">
        <v>3556</v>
      </c>
      <c r="E1434" s="122" t="s">
        <v>3791</v>
      </c>
      <c r="F1434" s="124"/>
      <c r="G1434" s="123">
        <v>0.31805430641072069</v>
      </c>
    </row>
    <row r="1435" spans="2:7" x14ac:dyDescent="0.2">
      <c r="B1435" s="120" t="s">
        <v>3158</v>
      </c>
      <c r="C1435" s="121" t="s">
        <v>3159</v>
      </c>
      <c r="D1435" s="122" t="s">
        <v>3556</v>
      </c>
      <c r="E1435" s="122" t="s">
        <v>3579</v>
      </c>
      <c r="F1435" s="124">
        <v>9.44</v>
      </c>
      <c r="G1435" s="123">
        <v>4.9788390737363596E-2</v>
      </c>
    </row>
    <row r="1436" spans="2:7" x14ac:dyDescent="0.2">
      <c r="B1436" s="120" t="s">
        <v>3160</v>
      </c>
      <c r="C1436" s="121" t="s">
        <v>3161</v>
      </c>
      <c r="D1436" s="122" t="s">
        <v>3569</v>
      </c>
      <c r="E1436" s="122" t="s">
        <v>3574</v>
      </c>
      <c r="F1436" s="124">
        <v>10.41</v>
      </c>
      <c r="G1436" s="123">
        <v>4.3894395270547712E-2</v>
      </c>
    </row>
    <row r="1437" spans="2:7" x14ac:dyDescent="0.2">
      <c r="B1437" s="120" t="s">
        <v>3162</v>
      </c>
      <c r="C1437" s="121" t="s">
        <v>3163</v>
      </c>
      <c r="D1437" s="122" t="s">
        <v>3556</v>
      </c>
      <c r="E1437" s="122" t="s">
        <v>3721</v>
      </c>
      <c r="F1437" s="124">
        <v>10.24</v>
      </c>
      <c r="G1437" s="123">
        <v>4.6528028169014163E-2</v>
      </c>
    </row>
    <row r="1438" spans="2:7" x14ac:dyDescent="0.2">
      <c r="B1438" s="120" t="s">
        <v>3164</v>
      </c>
      <c r="C1438" s="121" t="s">
        <v>3165</v>
      </c>
      <c r="D1438" s="122" t="s">
        <v>3569</v>
      </c>
      <c r="E1438" s="122" t="s">
        <v>3574</v>
      </c>
      <c r="F1438" s="124">
        <v>37.75</v>
      </c>
      <c r="G1438" s="123">
        <v>0.95402191765921562</v>
      </c>
    </row>
    <row r="1439" spans="2:7" x14ac:dyDescent="0.2">
      <c r="B1439" s="120" t="s">
        <v>3166</v>
      </c>
      <c r="C1439" s="121" t="s">
        <v>3167</v>
      </c>
      <c r="D1439" s="122" t="s">
        <v>3582</v>
      </c>
      <c r="E1439" s="122" t="s">
        <v>3588</v>
      </c>
      <c r="F1439" s="124">
        <v>11.8</v>
      </c>
      <c r="G1439" s="123">
        <v>-0.72971937767627748</v>
      </c>
    </row>
    <row r="1440" spans="2:7" x14ac:dyDescent="0.2">
      <c r="B1440" s="120" t="s">
        <v>3168</v>
      </c>
      <c r="C1440" s="121" t="s">
        <v>3169</v>
      </c>
      <c r="D1440" s="122" t="s">
        <v>3556</v>
      </c>
      <c r="E1440" s="122" t="s">
        <v>3717</v>
      </c>
      <c r="F1440" s="124"/>
      <c r="G1440" s="123">
        <v>-1.8036430252476126E-2</v>
      </c>
    </row>
    <row r="1441" spans="2:7" x14ac:dyDescent="0.2">
      <c r="B1441" s="120" t="s">
        <v>3170</v>
      </c>
      <c r="C1441" s="121" t="s">
        <v>3171</v>
      </c>
      <c r="D1441" s="122" t="s">
        <v>3580</v>
      </c>
      <c r="E1441" s="122" t="s">
        <v>3730</v>
      </c>
      <c r="F1441" s="124">
        <v>16.239999999999998</v>
      </c>
      <c r="G1441" s="123">
        <v>-1.4537748870963671E-2</v>
      </c>
    </row>
    <row r="1442" spans="2:7" x14ac:dyDescent="0.2">
      <c r="B1442" s="120" t="s">
        <v>3172</v>
      </c>
      <c r="C1442" s="121" t="s">
        <v>3173</v>
      </c>
      <c r="D1442" s="122" t="s">
        <v>3612</v>
      </c>
      <c r="E1442" s="122" t="s">
        <v>3669</v>
      </c>
      <c r="F1442" s="124">
        <v>-0.71</v>
      </c>
      <c r="G1442" s="123">
        <v>-0.18936391282127218</v>
      </c>
    </row>
    <row r="1443" spans="2:7" x14ac:dyDescent="0.2">
      <c r="B1443" s="120" t="s">
        <v>3174</v>
      </c>
      <c r="C1443" s="121" t="s">
        <v>3175</v>
      </c>
      <c r="D1443" s="122" t="s">
        <v>3563</v>
      </c>
      <c r="E1443" s="122" t="s">
        <v>3787</v>
      </c>
      <c r="F1443" s="124">
        <v>-2.95</v>
      </c>
      <c r="G1443" s="123">
        <v>9.2107340264160648E-2</v>
      </c>
    </row>
    <row r="1444" spans="2:7" x14ac:dyDescent="0.2">
      <c r="B1444" s="120" t="s">
        <v>3176</v>
      </c>
      <c r="C1444" s="121" t="s">
        <v>3177</v>
      </c>
      <c r="D1444" s="122" t="s">
        <v>3576</v>
      </c>
      <c r="E1444" s="122" t="s">
        <v>3743</v>
      </c>
      <c r="F1444" s="124">
        <v>47.98</v>
      </c>
      <c r="G1444" s="123">
        <v>0.42753973276155122</v>
      </c>
    </row>
    <row r="1445" spans="2:7" x14ac:dyDescent="0.2">
      <c r="B1445" s="120" t="s">
        <v>3178</v>
      </c>
      <c r="C1445" s="121" t="s">
        <v>3179</v>
      </c>
      <c r="D1445" s="122" t="s">
        <v>3580</v>
      </c>
      <c r="E1445" s="122" t="s">
        <v>3750</v>
      </c>
      <c r="F1445" s="124">
        <v>14.19</v>
      </c>
      <c r="G1445" s="123">
        <v>9.6276229448301123E-2</v>
      </c>
    </row>
    <row r="1446" spans="2:7" x14ac:dyDescent="0.2">
      <c r="B1446" s="120" t="s">
        <v>3180</v>
      </c>
      <c r="C1446" s="121" t="s">
        <v>3181</v>
      </c>
      <c r="D1446" s="122" t="s">
        <v>3612</v>
      </c>
      <c r="E1446" s="122" t="s">
        <v>3785</v>
      </c>
      <c r="F1446" s="124">
        <v>7.34</v>
      </c>
      <c r="G1446" s="123">
        <v>-0.14047233117130864</v>
      </c>
    </row>
    <row r="1447" spans="2:7" x14ac:dyDescent="0.2">
      <c r="B1447" s="120" t="s">
        <v>3182</v>
      </c>
      <c r="C1447" s="121" t="s">
        <v>3183</v>
      </c>
      <c r="D1447" s="122" t="s">
        <v>3582</v>
      </c>
      <c r="E1447" s="122" t="s">
        <v>3631</v>
      </c>
      <c r="F1447" s="124">
        <v>-15.36</v>
      </c>
      <c r="G1447" s="123">
        <v>7.4996749681876099E-2</v>
      </c>
    </row>
    <row r="1448" spans="2:7" x14ac:dyDescent="0.2">
      <c r="B1448" s="120" t="s">
        <v>3184</v>
      </c>
      <c r="C1448" s="121" t="s">
        <v>3185</v>
      </c>
      <c r="D1448" s="122" t="s">
        <v>3563</v>
      </c>
      <c r="E1448" s="122" t="s">
        <v>3622</v>
      </c>
      <c r="F1448" s="124">
        <v>5.16</v>
      </c>
      <c r="G1448" s="123">
        <v>1.3162198142414837E-2</v>
      </c>
    </row>
    <row r="1449" spans="2:7" x14ac:dyDescent="0.2">
      <c r="B1449" s="120" t="s">
        <v>3186</v>
      </c>
      <c r="C1449" s="121" t="s">
        <v>3187</v>
      </c>
      <c r="D1449" s="122" t="s">
        <v>3556</v>
      </c>
      <c r="E1449" s="122" t="s">
        <v>3733</v>
      </c>
      <c r="F1449" s="124">
        <v>7.39</v>
      </c>
      <c r="G1449" s="123">
        <v>5.6563794878394066E-2</v>
      </c>
    </row>
    <row r="1450" spans="2:7" x14ac:dyDescent="0.2">
      <c r="B1450" s="120" t="s">
        <v>3188</v>
      </c>
      <c r="C1450" s="121" t="s">
        <v>3189</v>
      </c>
      <c r="D1450" s="122" t="s">
        <v>3576</v>
      </c>
      <c r="E1450" s="122" t="s">
        <v>3619</v>
      </c>
      <c r="F1450" s="124">
        <v>20.21</v>
      </c>
      <c r="G1450" s="123">
        <v>0.11238955558486098</v>
      </c>
    </row>
    <row r="1451" spans="2:7" x14ac:dyDescent="0.2">
      <c r="B1451" s="120" t="s">
        <v>3190</v>
      </c>
      <c r="C1451" s="121" t="s">
        <v>3191</v>
      </c>
      <c r="D1451" s="122" t="s">
        <v>3576</v>
      </c>
      <c r="E1451" s="122" t="s">
        <v>3604</v>
      </c>
      <c r="F1451" s="124">
        <v>7.7</v>
      </c>
      <c r="G1451" s="123">
        <v>4.8309924431374003E-2</v>
      </c>
    </row>
    <row r="1452" spans="2:7" x14ac:dyDescent="0.2">
      <c r="B1452" s="120" t="s">
        <v>3192</v>
      </c>
      <c r="C1452" s="121" t="s">
        <v>3193</v>
      </c>
      <c r="D1452" s="122" t="s">
        <v>3612</v>
      </c>
      <c r="E1452" s="122" t="s">
        <v>3726</v>
      </c>
      <c r="F1452" s="124">
        <v>5.43</v>
      </c>
      <c r="G1452" s="123">
        <v>-1.5246054071466663E-2</v>
      </c>
    </row>
    <row r="1453" spans="2:7" x14ac:dyDescent="0.2">
      <c r="B1453" s="120" t="s">
        <v>3194</v>
      </c>
      <c r="C1453" s="121" t="s">
        <v>3195</v>
      </c>
      <c r="D1453" s="122" t="s">
        <v>3582</v>
      </c>
      <c r="E1453" s="122" t="s">
        <v>3664</v>
      </c>
      <c r="F1453" s="124">
        <v>15</v>
      </c>
      <c r="G1453" s="123">
        <v>0.13695452269981015</v>
      </c>
    </row>
    <row r="1454" spans="2:7" x14ac:dyDescent="0.2">
      <c r="B1454" s="120" t="s">
        <v>3196</v>
      </c>
      <c r="C1454" s="121" t="s">
        <v>3197</v>
      </c>
      <c r="D1454" s="122" t="s">
        <v>3576</v>
      </c>
      <c r="E1454" s="122" t="s">
        <v>3578</v>
      </c>
      <c r="F1454" s="124">
        <v>3.16</v>
      </c>
      <c r="G1454" s="123">
        <v>2.5091483719701446E-2</v>
      </c>
    </row>
    <row r="1455" spans="2:7" x14ac:dyDescent="0.2">
      <c r="B1455" s="120" t="s">
        <v>3198</v>
      </c>
      <c r="C1455" s="121" t="s">
        <v>3199</v>
      </c>
      <c r="D1455" s="122" t="s">
        <v>3558</v>
      </c>
      <c r="E1455" s="122" t="s">
        <v>3797</v>
      </c>
      <c r="F1455" s="124">
        <v>4.1900000000000004</v>
      </c>
      <c r="G1455" s="123">
        <v>7.459609905072404E-3</v>
      </c>
    </row>
    <row r="1456" spans="2:7" x14ac:dyDescent="0.2">
      <c r="B1456" s="120" t="s">
        <v>3200</v>
      </c>
      <c r="C1456" s="121" t="s">
        <v>3201</v>
      </c>
      <c r="D1456" s="122" t="s">
        <v>3558</v>
      </c>
      <c r="E1456" s="122" t="s">
        <v>3798</v>
      </c>
      <c r="F1456" s="124">
        <v>-6.92</v>
      </c>
      <c r="G1456" s="123">
        <v>-5.6554992498619129E-3</v>
      </c>
    </row>
    <row r="1457" spans="2:7" x14ac:dyDescent="0.2">
      <c r="B1457" s="120" t="s">
        <v>3202</v>
      </c>
      <c r="C1457" s="121" t="s">
        <v>3203</v>
      </c>
      <c r="D1457" s="122" t="s">
        <v>3563</v>
      </c>
      <c r="E1457" s="122" t="s">
        <v>3687</v>
      </c>
      <c r="F1457" s="124"/>
      <c r="G1457" s="123">
        <v>5.4463758745907399E-2</v>
      </c>
    </row>
    <row r="1458" spans="2:7" x14ac:dyDescent="0.2">
      <c r="B1458" s="120" t="s">
        <v>3204</v>
      </c>
      <c r="C1458" s="121" t="s">
        <v>3205</v>
      </c>
      <c r="D1458" s="122" t="s">
        <v>3563</v>
      </c>
      <c r="E1458" s="122" t="s">
        <v>3734</v>
      </c>
      <c r="F1458" s="124">
        <v>8.2899999999999991</v>
      </c>
      <c r="G1458" s="123">
        <v>6.6290386231915979E-2</v>
      </c>
    </row>
    <row r="1459" spans="2:7" x14ac:dyDescent="0.2">
      <c r="B1459" s="120" t="s">
        <v>3206</v>
      </c>
      <c r="C1459" s="121" t="s">
        <v>3207</v>
      </c>
      <c r="D1459" s="122" t="s">
        <v>25</v>
      </c>
      <c r="E1459" s="122" t="s">
        <v>3702</v>
      </c>
      <c r="F1459" s="124">
        <v>30.23</v>
      </c>
      <c r="G1459" s="123">
        <v>0.26348680294100263</v>
      </c>
    </row>
    <row r="1460" spans="2:7" x14ac:dyDescent="0.2">
      <c r="B1460" s="120" t="s">
        <v>3208</v>
      </c>
      <c r="C1460" s="121" t="s">
        <v>3209</v>
      </c>
      <c r="D1460" s="122" t="s">
        <v>3610</v>
      </c>
      <c r="E1460" s="122" t="s">
        <v>3745</v>
      </c>
      <c r="F1460" s="124">
        <v>61.4</v>
      </c>
      <c r="G1460" s="123">
        <v>0.15675200861831573</v>
      </c>
    </row>
    <row r="1461" spans="2:7" x14ac:dyDescent="0.2">
      <c r="B1461" s="120" t="s">
        <v>3210</v>
      </c>
      <c r="C1461" s="121" t="s">
        <v>3211</v>
      </c>
      <c r="D1461" s="122" t="s">
        <v>3556</v>
      </c>
      <c r="E1461" s="122" t="s">
        <v>3799</v>
      </c>
      <c r="F1461" s="124">
        <v>7.6</v>
      </c>
      <c r="G1461" s="123">
        <v>-1</v>
      </c>
    </row>
    <row r="1462" spans="2:7" x14ac:dyDescent="0.2">
      <c r="B1462" s="120" t="s">
        <v>3212</v>
      </c>
      <c r="C1462" s="121" t="s">
        <v>3213</v>
      </c>
      <c r="D1462" s="122" t="s">
        <v>24</v>
      </c>
      <c r="E1462" s="122" t="s">
        <v>3761</v>
      </c>
      <c r="F1462" s="124">
        <v>0.51</v>
      </c>
      <c r="G1462" s="123">
        <v>6.4239632977129674E-2</v>
      </c>
    </row>
    <row r="1463" spans="2:7" x14ac:dyDescent="0.2">
      <c r="B1463" s="120" t="s">
        <v>3214</v>
      </c>
      <c r="C1463" s="121" t="s">
        <v>3215</v>
      </c>
      <c r="D1463" s="122" t="s">
        <v>3556</v>
      </c>
      <c r="E1463" s="122" t="s">
        <v>3621</v>
      </c>
      <c r="F1463" s="124">
        <v>-9.26</v>
      </c>
      <c r="G1463" s="123">
        <v>-6.2219707391117304E-3</v>
      </c>
    </row>
    <row r="1464" spans="2:7" x14ac:dyDescent="0.2">
      <c r="B1464" s="120" t="s">
        <v>3216</v>
      </c>
      <c r="C1464" s="121" t="s">
        <v>3217</v>
      </c>
      <c r="D1464" s="122" t="s">
        <v>25</v>
      </c>
      <c r="E1464" s="122" t="s">
        <v>3792</v>
      </c>
      <c r="F1464" s="124">
        <v>4.7699999999999996</v>
      </c>
      <c r="G1464" s="123">
        <v>0.2026551849235293</v>
      </c>
    </row>
    <row r="1465" spans="2:7" x14ac:dyDescent="0.2">
      <c r="B1465" s="120" t="s">
        <v>3218</v>
      </c>
      <c r="C1465" s="121" t="s">
        <v>3219</v>
      </c>
      <c r="D1465" s="122" t="s">
        <v>3556</v>
      </c>
      <c r="E1465" s="122" t="s">
        <v>3607</v>
      </c>
      <c r="F1465" s="124">
        <v>54.11</v>
      </c>
      <c r="G1465" s="123">
        <v>0.37075786209641926</v>
      </c>
    </row>
    <row r="1466" spans="2:7" x14ac:dyDescent="0.2">
      <c r="B1466" s="120" t="s">
        <v>3220</v>
      </c>
      <c r="C1466" s="121" t="s">
        <v>3221</v>
      </c>
      <c r="D1466" s="122" t="s">
        <v>3556</v>
      </c>
      <c r="E1466" s="122" t="s">
        <v>3560</v>
      </c>
      <c r="F1466" s="124">
        <v>7.03</v>
      </c>
      <c r="G1466" s="123">
        <v>-1</v>
      </c>
    </row>
    <row r="1467" spans="2:7" x14ac:dyDescent="0.2">
      <c r="B1467" s="120" t="s">
        <v>3222</v>
      </c>
      <c r="C1467" s="121" t="s">
        <v>3223</v>
      </c>
      <c r="D1467" s="122" t="s">
        <v>3558</v>
      </c>
      <c r="E1467" s="122" t="s">
        <v>3729</v>
      </c>
      <c r="F1467" s="124">
        <v>9.84</v>
      </c>
      <c r="G1467" s="123">
        <v>-0.19798526053000012</v>
      </c>
    </row>
    <row r="1468" spans="2:7" x14ac:dyDescent="0.2">
      <c r="B1468" s="120" t="s">
        <v>3224</v>
      </c>
      <c r="C1468" s="121" t="s">
        <v>3225</v>
      </c>
      <c r="D1468" s="122" t="s">
        <v>3610</v>
      </c>
      <c r="E1468" s="122" t="s">
        <v>3656</v>
      </c>
      <c r="F1468" s="124">
        <v>1.1100000000000001</v>
      </c>
      <c r="G1468" s="123">
        <v>1.6574675373049559E-3</v>
      </c>
    </row>
    <row r="1469" spans="2:7" x14ac:dyDescent="0.2">
      <c r="B1469" s="120" t="s">
        <v>3226</v>
      </c>
      <c r="C1469" s="121" t="s">
        <v>3227</v>
      </c>
      <c r="D1469" s="122" t="s">
        <v>25</v>
      </c>
      <c r="E1469" s="122" t="s">
        <v>3645</v>
      </c>
      <c r="F1469" s="124">
        <v>15.49</v>
      </c>
      <c r="G1469" s="123">
        <v>2.8840574278872405E-2</v>
      </c>
    </row>
    <row r="1470" spans="2:7" x14ac:dyDescent="0.2">
      <c r="B1470" s="120" t="s">
        <v>3228</v>
      </c>
      <c r="C1470" s="121" t="s">
        <v>3229</v>
      </c>
      <c r="D1470" s="122" t="s">
        <v>3591</v>
      </c>
      <c r="E1470" s="122" t="s">
        <v>3658</v>
      </c>
      <c r="F1470" s="124">
        <v>1.91</v>
      </c>
      <c r="G1470" s="123">
        <v>3.5774039769535394E-2</v>
      </c>
    </row>
    <row r="1471" spans="2:7" x14ac:dyDescent="0.2">
      <c r="B1471" s="120" t="s">
        <v>3230</v>
      </c>
      <c r="C1471" s="121" t="s">
        <v>3231</v>
      </c>
      <c r="D1471" s="122" t="s">
        <v>25</v>
      </c>
      <c r="E1471" s="122" t="s">
        <v>3691</v>
      </c>
      <c r="F1471" s="124">
        <v>-3.38</v>
      </c>
      <c r="G1471" s="123">
        <v>5.0960207202406967E-3</v>
      </c>
    </row>
    <row r="1472" spans="2:7" x14ac:dyDescent="0.2">
      <c r="B1472" s="120" t="s">
        <v>3232</v>
      </c>
      <c r="C1472" s="121" t="s">
        <v>3233</v>
      </c>
      <c r="D1472" s="122" t="s">
        <v>3563</v>
      </c>
      <c r="E1472" s="122" t="s">
        <v>3747</v>
      </c>
      <c r="F1472" s="124"/>
      <c r="G1472" s="123">
        <v>-0.10879325812873263</v>
      </c>
    </row>
    <row r="1473" spans="2:7" x14ac:dyDescent="0.2">
      <c r="B1473" s="120" t="s">
        <v>3234</v>
      </c>
      <c r="C1473" s="121" t="s">
        <v>3235</v>
      </c>
      <c r="D1473" s="122" t="s">
        <v>3556</v>
      </c>
      <c r="E1473" s="122" t="s">
        <v>3630</v>
      </c>
      <c r="F1473" s="124">
        <v>55.57</v>
      </c>
      <c r="G1473" s="123">
        <v>0.71663979263771593</v>
      </c>
    </row>
    <row r="1474" spans="2:7" x14ac:dyDescent="0.2">
      <c r="B1474" s="120" t="s">
        <v>3236</v>
      </c>
      <c r="C1474" s="121" t="s">
        <v>3237</v>
      </c>
      <c r="D1474" s="122" t="s">
        <v>3576</v>
      </c>
      <c r="E1474" s="122" t="s">
        <v>3600</v>
      </c>
      <c r="F1474" s="124">
        <v>14.91</v>
      </c>
      <c r="G1474" s="123">
        <v>-0.69081525924393405</v>
      </c>
    </row>
    <row r="1475" spans="2:7" x14ac:dyDescent="0.2">
      <c r="B1475" s="120" t="s">
        <v>3238</v>
      </c>
      <c r="C1475" s="121" t="s">
        <v>3239</v>
      </c>
      <c r="D1475" s="122" t="s">
        <v>3556</v>
      </c>
      <c r="E1475" s="122" t="s">
        <v>3630</v>
      </c>
      <c r="F1475" s="124">
        <v>17.690000000000001</v>
      </c>
      <c r="G1475" s="123">
        <v>0.17061688294613392</v>
      </c>
    </row>
    <row r="1476" spans="2:7" x14ac:dyDescent="0.2">
      <c r="B1476" s="120" t="s">
        <v>3240</v>
      </c>
      <c r="C1476" s="121" t="s">
        <v>3241</v>
      </c>
      <c r="D1476" s="122" t="s">
        <v>3594</v>
      </c>
      <c r="E1476" s="122" t="s">
        <v>3754</v>
      </c>
      <c r="F1476" s="124">
        <v>8.43</v>
      </c>
      <c r="G1476" s="123">
        <v>-7.1377965569019111E-2</v>
      </c>
    </row>
    <row r="1477" spans="2:7" x14ac:dyDescent="0.2">
      <c r="B1477" s="120" t="s">
        <v>3242</v>
      </c>
      <c r="C1477" s="121" t="s">
        <v>3243</v>
      </c>
      <c r="D1477" s="122" t="s">
        <v>3556</v>
      </c>
      <c r="E1477" s="122" t="s">
        <v>3764</v>
      </c>
      <c r="F1477" s="124">
        <v>5.19</v>
      </c>
      <c r="G1477" s="123">
        <v>-6.9334267612772379E-2</v>
      </c>
    </row>
    <row r="1478" spans="2:7" x14ac:dyDescent="0.2">
      <c r="B1478" s="120" t="s">
        <v>3244</v>
      </c>
      <c r="C1478" s="121" t="s">
        <v>3245</v>
      </c>
      <c r="D1478" s="122" t="s">
        <v>3563</v>
      </c>
      <c r="E1478" s="122" t="s">
        <v>3690</v>
      </c>
      <c r="F1478" s="124">
        <v>11.2</v>
      </c>
      <c r="G1478" s="123">
        <v>0.11598766200736553</v>
      </c>
    </row>
    <row r="1479" spans="2:7" x14ac:dyDescent="0.2">
      <c r="B1479" s="120" t="s">
        <v>3246</v>
      </c>
      <c r="C1479" s="121" t="s">
        <v>3247</v>
      </c>
      <c r="D1479" s="122" t="s">
        <v>3605</v>
      </c>
      <c r="E1479" s="122" t="s">
        <v>3653</v>
      </c>
      <c r="F1479" s="124">
        <v>0.55000000000000004</v>
      </c>
      <c r="G1479" s="123">
        <v>-1.7721128685943267E-2</v>
      </c>
    </row>
    <row r="1480" spans="2:7" x14ac:dyDescent="0.2">
      <c r="B1480" s="120" t="s">
        <v>3248</v>
      </c>
      <c r="C1480" s="121" t="s">
        <v>3249</v>
      </c>
      <c r="D1480" s="122" t="s">
        <v>3556</v>
      </c>
      <c r="E1480" s="122" t="s">
        <v>3723</v>
      </c>
      <c r="F1480" s="124">
        <v>17.3</v>
      </c>
      <c r="G1480" s="123">
        <v>0.17334918954751521</v>
      </c>
    </row>
    <row r="1481" spans="2:7" x14ac:dyDescent="0.2">
      <c r="B1481" s="120" t="s">
        <v>3250</v>
      </c>
      <c r="C1481" s="121" t="s">
        <v>3251</v>
      </c>
      <c r="D1481" s="122" t="s">
        <v>25</v>
      </c>
      <c r="E1481" s="122" t="s">
        <v>3712</v>
      </c>
      <c r="F1481" s="124">
        <v>12.93</v>
      </c>
      <c r="G1481" s="123">
        <v>3.2535836354918704E-2</v>
      </c>
    </row>
    <row r="1482" spans="2:7" x14ac:dyDescent="0.2">
      <c r="B1482" s="120" t="s">
        <v>3252</v>
      </c>
      <c r="C1482" s="121" t="s">
        <v>3253</v>
      </c>
      <c r="D1482" s="122" t="s">
        <v>3561</v>
      </c>
      <c r="E1482" s="122" t="s">
        <v>3562</v>
      </c>
      <c r="F1482" s="124">
        <v>1.53</v>
      </c>
      <c r="G1482" s="123">
        <v>4.6863272643633637E-2</v>
      </c>
    </row>
    <row r="1483" spans="2:7" x14ac:dyDescent="0.2">
      <c r="B1483" s="120" t="s">
        <v>3254</v>
      </c>
      <c r="C1483" s="121" t="s">
        <v>3255</v>
      </c>
      <c r="D1483" s="122" t="s">
        <v>3576</v>
      </c>
      <c r="E1483" s="122" t="s">
        <v>3626</v>
      </c>
      <c r="F1483" s="124">
        <v>-2.84</v>
      </c>
      <c r="G1483" s="123">
        <v>-0.30403721592010863</v>
      </c>
    </row>
    <row r="1484" spans="2:7" x14ac:dyDescent="0.2">
      <c r="B1484" s="120" t="s">
        <v>3256</v>
      </c>
      <c r="C1484" s="121" t="s">
        <v>3257</v>
      </c>
      <c r="D1484" s="122" t="s">
        <v>3576</v>
      </c>
      <c r="E1484" s="122" t="s">
        <v>3671</v>
      </c>
      <c r="F1484" s="124">
        <v>16.63</v>
      </c>
      <c r="G1484" s="123">
        <v>-0.14099805063620141</v>
      </c>
    </row>
    <row r="1485" spans="2:7" x14ac:dyDescent="0.2">
      <c r="B1485" s="120" t="s">
        <v>3258</v>
      </c>
      <c r="C1485" s="121" t="s">
        <v>3259</v>
      </c>
      <c r="D1485" s="122" t="s">
        <v>3556</v>
      </c>
      <c r="E1485" s="122" t="s">
        <v>3607</v>
      </c>
      <c r="F1485" s="124"/>
      <c r="G1485" s="123">
        <v>0.35128092273406419</v>
      </c>
    </row>
    <row r="1486" spans="2:7" x14ac:dyDescent="0.2">
      <c r="B1486" s="120" t="s">
        <v>3260</v>
      </c>
      <c r="C1486" s="121" t="s">
        <v>3261</v>
      </c>
      <c r="D1486" s="122" t="s">
        <v>3576</v>
      </c>
      <c r="E1486" s="122" t="s">
        <v>3577</v>
      </c>
      <c r="F1486" s="124">
        <v>6.15</v>
      </c>
      <c r="G1486" s="123">
        <v>6.8965286666794148E-2</v>
      </c>
    </row>
    <row r="1487" spans="2:7" x14ac:dyDescent="0.2">
      <c r="B1487" s="120" t="s">
        <v>3262</v>
      </c>
      <c r="C1487" s="121" t="s">
        <v>3263</v>
      </c>
      <c r="D1487" s="122" t="s">
        <v>3591</v>
      </c>
      <c r="E1487" s="122" t="s">
        <v>3643</v>
      </c>
      <c r="F1487" s="124">
        <v>0.91</v>
      </c>
      <c r="G1487" s="123">
        <v>-2.3185931618569643E-2</v>
      </c>
    </row>
    <row r="1488" spans="2:7" x14ac:dyDescent="0.2">
      <c r="B1488" s="120" t="s">
        <v>3264</v>
      </c>
      <c r="C1488" s="121" t="s">
        <v>3265</v>
      </c>
      <c r="D1488" s="122" t="s">
        <v>3612</v>
      </c>
      <c r="E1488" s="122" t="s">
        <v>3716</v>
      </c>
      <c r="F1488" s="124">
        <v>-0.68</v>
      </c>
      <c r="G1488" s="123">
        <v>-1</v>
      </c>
    </row>
    <row r="1489" spans="2:7" x14ac:dyDescent="0.2">
      <c r="B1489" s="120" t="s">
        <v>3266</v>
      </c>
      <c r="C1489" s="121" t="s">
        <v>3267</v>
      </c>
      <c r="D1489" s="122" t="s">
        <v>3561</v>
      </c>
      <c r="E1489" s="122" t="s">
        <v>3608</v>
      </c>
      <c r="F1489" s="124">
        <v>5.29</v>
      </c>
      <c r="G1489" s="123">
        <v>1.3158359226366594E-2</v>
      </c>
    </row>
    <row r="1490" spans="2:7" x14ac:dyDescent="0.2">
      <c r="B1490" s="120" t="s">
        <v>3268</v>
      </c>
      <c r="C1490" s="121" t="s">
        <v>3269</v>
      </c>
      <c r="D1490" s="122" t="s">
        <v>3569</v>
      </c>
      <c r="E1490" s="122" t="s">
        <v>3758</v>
      </c>
      <c r="F1490" s="124">
        <v>7.18</v>
      </c>
      <c r="G1490" s="123">
        <v>4.8054318120212131E-2</v>
      </c>
    </row>
    <row r="1491" spans="2:7" x14ac:dyDescent="0.2">
      <c r="B1491" s="120" t="s">
        <v>3270</v>
      </c>
      <c r="C1491" s="121" t="s">
        <v>3271</v>
      </c>
      <c r="D1491" s="122" t="s">
        <v>3556</v>
      </c>
      <c r="E1491" s="122" t="s">
        <v>3742</v>
      </c>
      <c r="F1491" s="124">
        <v>18.059999999999999</v>
      </c>
      <c r="G1491" s="123">
        <v>-1</v>
      </c>
    </row>
    <row r="1492" spans="2:7" x14ac:dyDescent="0.2">
      <c r="B1492" s="120" t="s">
        <v>3272</v>
      </c>
      <c r="C1492" s="121" t="s">
        <v>3273</v>
      </c>
      <c r="D1492" s="122" t="s">
        <v>24</v>
      </c>
      <c r="E1492" s="122" t="s">
        <v>3701</v>
      </c>
      <c r="F1492" s="124"/>
      <c r="G1492" s="123">
        <v>-2.4920160701888034E-2</v>
      </c>
    </row>
    <row r="1493" spans="2:7" x14ac:dyDescent="0.2">
      <c r="B1493" s="120" t="s">
        <v>3274</v>
      </c>
      <c r="C1493" s="121" t="s">
        <v>3275</v>
      </c>
      <c r="D1493" s="122" t="s">
        <v>3563</v>
      </c>
      <c r="E1493" s="122" t="s">
        <v>3734</v>
      </c>
      <c r="F1493" s="124">
        <v>20.18</v>
      </c>
      <c r="G1493" s="123">
        <v>0.10356250018610555</v>
      </c>
    </row>
    <row r="1494" spans="2:7" x14ac:dyDescent="0.2">
      <c r="B1494" s="120" t="s">
        <v>3276</v>
      </c>
      <c r="C1494" s="121" t="s">
        <v>3277</v>
      </c>
      <c r="D1494" s="122" t="s">
        <v>3576</v>
      </c>
      <c r="E1494" s="122" t="s">
        <v>3636</v>
      </c>
      <c r="F1494" s="124">
        <v>7.6</v>
      </c>
      <c r="G1494" s="123">
        <v>-2.7442054937106362E-2</v>
      </c>
    </row>
    <row r="1495" spans="2:7" x14ac:dyDescent="0.2">
      <c r="B1495" s="120" t="s">
        <v>3278</v>
      </c>
      <c r="C1495" s="121" t="s">
        <v>3279</v>
      </c>
      <c r="D1495" s="122" t="s">
        <v>3576</v>
      </c>
      <c r="E1495" s="122" t="s">
        <v>3667</v>
      </c>
      <c r="F1495" s="124">
        <v>6.14</v>
      </c>
      <c r="G1495" s="123">
        <v>-8.6206391052823114E-2</v>
      </c>
    </row>
    <row r="1496" spans="2:7" x14ac:dyDescent="0.2">
      <c r="B1496" s="120" t="s">
        <v>3280</v>
      </c>
      <c r="C1496" s="121" t="s">
        <v>3281</v>
      </c>
      <c r="D1496" s="122" t="s">
        <v>24</v>
      </c>
      <c r="E1496" s="122" t="s">
        <v>3701</v>
      </c>
      <c r="F1496" s="124"/>
      <c r="G1496" s="123">
        <v>-2.1026411779641298E-2</v>
      </c>
    </row>
    <row r="1497" spans="2:7" x14ac:dyDescent="0.2">
      <c r="B1497" s="120" t="s">
        <v>3282</v>
      </c>
      <c r="C1497" s="121" t="s">
        <v>3283</v>
      </c>
      <c r="D1497" s="122" t="s">
        <v>3576</v>
      </c>
      <c r="E1497" s="122" t="s">
        <v>3626</v>
      </c>
      <c r="F1497" s="124"/>
      <c r="G1497" s="123">
        <v>-0.1710807551235847</v>
      </c>
    </row>
    <row r="1498" spans="2:7" x14ac:dyDescent="0.2">
      <c r="B1498" s="120" t="s">
        <v>3284</v>
      </c>
      <c r="C1498" s="121" t="s">
        <v>3285</v>
      </c>
      <c r="D1498" s="122" t="s">
        <v>3558</v>
      </c>
      <c r="E1498" s="122" t="s">
        <v>3720</v>
      </c>
      <c r="F1498" s="124">
        <v>5.0999999999999996</v>
      </c>
      <c r="G1498" s="123">
        <v>8.3815407105258505E-2</v>
      </c>
    </row>
    <row r="1499" spans="2:7" x14ac:dyDescent="0.2">
      <c r="B1499" s="120" t="s">
        <v>3286</v>
      </c>
      <c r="C1499" s="121" t="s">
        <v>3287</v>
      </c>
      <c r="D1499" s="122" t="s">
        <v>3569</v>
      </c>
      <c r="E1499" s="122" t="s">
        <v>3625</v>
      </c>
      <c r="F1499" s="124">
        <v>14.11</v>
      </c>
      <c r="G1499" s="123">
        <v>7.0657083276242302E-2</v>
      </c>
    </row>
    <row r="1500" spans="2:7" x14ac:dyDescent="0.2">
      <c r="B1500" s="120" t="s">
        <v>3288</v>
      </c>
      <c r="C1500" s="121" t="s">
        <v>3289</v>
      </c>
      <c r="D1500" s="122" t="s">
        <v>3576</v>
      </c>
      <c r="E1500" s="122" t="s">
        <v>3597</v>
      </c>
      <c r="F1500" s="124">
        <v>2.6</v>
      </c>
      <c r="G1500" s="123">
        <v>4.0213224123809135E-2</v>
      </c>
    </row>
    <row r="1501" spans="2:7" x14ac:dyDescent="0.2">
      <c r="B1501" s="120" t="s">
        <v>3290</v>
      </c>
      <c r="C1501" s="121" t="s">
        <v>3291</v>
      </c>
      <c r="D1501" s="122" t="s">
        <v>3561</v>
      </c>
      <c r="E1501" s="122" t="s">
        <v>3706</v>
      </c>
      <c r="F1501" s="124">
        <v>-0.87</v>
      </c>
      <c r="G1501" s="123">
        <v>-1.4227906885073532E-2</v>
      </c>
    </row>
    <row r="1502" spans="2:7" x14ac:dyDescent="0.2">
      <c r="B1502" s="120" t="s">
        <v>3292</v>
      </c>
      <c r="C1502" s="121" t="s">
        <v>3293</v>
      </c>
      <c r="D1502" s="122" t="s">
        <v>3594</v>
      </c>
      <c r="E1502" s="122" t="s">
        <v>3602</v>
      </c>
      <c r="F1502" s="124">
        <v>-3.19</v>
      </c>
      <c r="G1502" s="123">
        <v>0.15890959745149141</v>
      </c>
    </row>
    <row r="1503" spans="2:7" x14ac:dyDescent="0.2">
      <c r="B1503" s="120" t="s">
        <v>3294</v>
      </c>
      <c r="C1503" s="121" t="s">
        <v>3295</v>
      </c>
      <c r="D1503" s="122" t="s">
        <v>3576</v>
      </c>
      <c r="E1503" s="122" t="s">
        <v>3626</v>
      </c>
      <c r="F1503" s="124"/>
      <c r="G1503" s="123">
        <v>-0.17869823393908377</v>
      </c>
    </row>
    <row r="1504" spans="2:7" x14ac:dyDescent="0.2">
      <c r="B1504" s="120" t="s">
        <v>3296</v>
      </c>
      <c r="C1504" s="121" t="s">
        <v>3297</v>
      </c>
      <c r="D1504" s="122" t="s">
        <v>3561</v>
      </c>
      <c r="E1504" s="122" t="s">
        <v>3748</v>
      </c>
      <c r="F1504" s="124">
        <v>5.65</v>
      </c>
      <c r="G1504" s="123">
        <v>3.395454850336059E-2</v>
      </c>
    </row>
    <row r="1505" spans="2:7" x14ac:dyDescent="0.2">
      <c r="B1505" s="120" t="s">
        <v>3298</v>
      </c>
      <c r="C1505" s="121" t="s">
        <v>3299</v>
      </c>
      <c r="D1505" s="122" t="s">
        <v>3580</v>
      </c>
      <c r="E1505" s="122" t="s">
        <v>3649</v>
      </c>
      <c r="F1505" s="124">
        <v>9.36</v>
      </c>
      <c r="G1505" s="123">
        <v>0.16265487510873619</v>
      </c>
    </row>
    <row r="1506" spans="2:7" x14ac:dyDescent="0.2">
      <c r="B1506" s="120" t="s">
        <v>3300</v>
      </c>
      <c r="C1506" s="121" t="s">
        <v>3301</v>
      </c>
      <c r="D1506" s="122" t="s">
        <v>3576</v>
      </c>
      <c r="E1506" s="122" t="s">
        <v>3654</v>
      </c>
      <c r="F1506" s="124">
        <v>5.21</v>
      </c>
      <c r="G1506" s="123">
        <v>-0.10983117129000973</v>
      </c>
    </row>
    <row r="1507" spans="2:7" x14ac:dyDescent="0.2">
      <c r="B1507" s="120" t="s">
        <v>3302</v>
      </c>
      <c r="C1507" s="121" t="s">
        <v>3303</v>
      </c>
      <c r="D1507" s="122" t="s">
        <v>24</v>
      </c>
      <c r="E1507" s="122" t="s">
        <v>3633</v>
      </c>
      <c r="F1507" s="124">
        <v>2.0499999999999998</v>
      </c>
      <c r="G1507" s="123">
        <v>5.0826896794208869E-2</v>
      </c>
    </row>
    <row r="1508" spans="2:7" x14ac:dyDescent="0.2">
      <c r="B1508" s="120" t="s">
        <v>3304</v>
      </c>
      <c r="C1508" s="121" t="s">
        <v>3305</v>
      </c>
      <c r="D1508" s="122" t="s">
        <v>3556</v>
      </c>
      <c r="E1508" s="122" t="s">
        <v>3721</v>
      </c>
      <c r="F1508" s="124">
        <v>0.19</v>
      </c>
      <c r="G1508" s="123">
        <v>8.5329190824300245E-3</v>
      </c>
    </row>
    <row r="1509" spans="2:7" x14ac:dyDescent="0.2">
      <c r="B1509" s="120" t="s">
        <v>3306</v>
      </c>
      <c r="C1509" s="121" t="s">
        <v>3307</v>
      </c>
      <c r="D1509" s="122" t="s">
        <v>3576</v>
      </c>
      <c r="E1509" s="122" t="s">
        <v>3689</v>
      </c>
      <c r="F1509" s="124"/>
      <c r="G1509" s="123">
        <v>-3.6962365591397921E-2</v>
      </c>
    </row>
    <row r="1510" spans="2:7" x14ac:dyDescent="0.2">
      <c r="B1510" s="120" t="s">
        <v>3308</v>
      </c>
      <c r="C1510" s="121" t="s">
        <v>3309</v>
      </c>
      <c r="D1510" s="122" t="s">
        <v>3569</v>
      </c>
      <c r="E1510" s="122" t="s">
        <v>3722</v>
      </c>
      <c r="F1510" s="124">
        <v>5.95</v>
      </c>
      <c r="G1510" s="123">
        <v>-0.15507186386533972</v>
      </c>
    </row>
    <row r="1511" spans="2:7" x14ac:dyDescent="0.2">
      <c r="B1511" s="120" t="s">
        <v>3310</v>
      </c>
      <c r="C1511" s="121" t="s">
        <v>3311</v>
      </c>
      <c r="D1511" s="122" t="s">
        <v>3679</v>
      </c>
      <c r="E1511" s="122" t="s">
        <v>3680</v>
      </c>
      <c r="F1511" s="124">
        <v>1.43</v>
      </c>
      <c r="G1511" s="123">
        <v>0.15981832032601023</v>
      </c>
    </row>
    <row r="1512" spans="2:7" x14ac:dyDescent="0.2">
      <c r="B1512" s="120" t="s">
        <v>3312</v>
      </c>
      <c r="C1512" s="121" t="s">
        <v>3313</v>
      </c>
      <c r="D1512" s="122" t="s">
        <v>3582</v>
      </c>
      <c r="E1512" s="122" t="s">
        <v>3590</v>
      </c>
      <c r="F1512" s="124">
        <v>13.69</v>
      </c>
      <c r="G1512" s="123">
        <v>0.1120153054490757</v>
      </c>
    </row>
    <row r="1513" spans="2:7" x14ac:dyDescent="0.2">
      <c r="B1513" s="120" t="s">
        <v>3314</v>
      </c>
      <c r="C1513" s="121" t="s">
        <v>3315</v>
      </c>
      <c r="D1513" s="122" t="s">
        <v>25</v>
      </c>
      <c r="E1513" s="122" t="s">
        <v>3703</v>
      </c>
      <c r="F1513" s="124">
        <v>13.69</v>
      </c>
      <c r="G1513" s="123">
        <v>0.5004275741239893</v>
      </c>
    </row>
    <row r="1514" spans="2:7" x14ac:dyDescent="0.2">
      <c r="B1514" s="120" t="s">
        <v>3316</v>
      </c>
      <c r="C1514" s="121" t="s">
        <v>3317</v>
      </c>
      <c r="D1514" s="122" t="s">
        <v>3594</v>
      </c>
      <c r="E1514" s="122" t="s">
        <v>3751</v>
      </c>
      <c r="F1514" s="124">
        <v>2.7</v>
      </c>
      <c r="G1514" s="123">
        <v>8.0568822419685604E-2</v>
      </c>
    </row>
    <row r="1515" spans="2:7" x14ac:dyDescent="0.2">
      <c r="B1515" s="120" t="s">
        <v>3318</v>
      </c>
      <c r="C1515" s="121" t="s">
        <v>3319</v>
      </c>
      <c r="D1515" s="122" t="s">
        <v>3569</v>
      </c>
      <c r="E1515" s="122" t="s">
        <v>3574</v>
      </c>
      <c r="F1515" s="124">
        <v>-1.28</v>
      </c>
      <c r="G1515" s="123">
        <v>9.587609879757461E-2</v>
      </c>
    </row>
    <row r="1516" spans="2:7" x14ac:dyDescent="0.2">
      <c r="B1516" s="120" t="s">
        <v>3320</v>
      </c>
      <c r="C1516" s="121" t="s">
        <v>3321</v>
      </c>
      <c r="D1516" s="122" t="s">
        <v>3556</v>
      </c>
      <c r="E1516" s="122" t="s">
        <v>3630</v>
      </c>
      <c r="F1516" s="124">
        <v>28.77</v>
      </c>
      <c r="G1516" s="123">
        <v>0.23134613377251476</v>
      </c>
    </row>
    <row r="1517" spans="2:7" x14ac:dyDescent="0.2">
      <c r="B1517" s="120" t="s">
        <v>3322</v>
      </c>
      <c r="C1517" s="121" t="s">
        <v>3323</v>
      </c>
      <c r="D1517" s="122" t="s">
        <v>3591</v>
      </c>
      <c r="E1517" s="122" t="s">
        <v>3650</v>
      </c>
      <c r="F1517" s="124"/>
      <c r="G1517" s="123">
        <v>-1</v>
      </c>
    </row>
    <row r="1518" spans="2:7" x14ac:dyDescent="0.2">
      <c r="B1518" s="120" t="s">
        <v>3324</v>
      </c>
      <c r="C1518" s="121" t="s">
        <v>3325</v>
      </c>
      <c r="D1518" s="122" t="s">
        <v>3591</v>
      </c>
      <c r="E1518" s="122" t="s">
        <v>3658</v>
      </c>
      <c r="F1518" s="124">
        <v>-15.12</v>
      </c>
      <c r="G1518" s="123">
        <v>-1.7935281752146145E-2</v>
      </c>
    </row>
    <row r="1519" spans="2:7" x14ac:dyDescent="0.2">
      <c r="B1519" s="120" t="s">
        <v>3326</v>
      </c>
      <c r="C1519" s="121" t="s">
        <v>3327</v>
      </c>
      <c r="D1519" s="122" t="s">
        <v>3576</v>
      </c>
      <c r="E1519" s="122" t="s">
        <v>3619</v>
      </c>
      <c r="F1519" s="124">
        <v>-5.0199999999999996</v>
      </c>
      <c r="G1519" s="123">
        <v>-7.3044114256639201E-3</v>
      </c>
    </row>
    <row r="1520" spans="2:7" x14ac:dyDescent="0.2">
      <c r="B1520" s="120" t="s">
        <v>3328</v>
      </c>
      <c r="C1520" s="121" t="s">
        <v>3329</v>
      </c>
      <c r="D1520" s="122" t="s">
        <v>25</v>
      </c>
      <c r="E1520" s="122" t="s">
        <v>3712</v>
      </c>
      <c r="F1520" s="124">
        <v>2.0699999999999998</v>
      </c>
      <c r="G1520" s="123">
        <v>-0.14422056502217548</v>
      </c>
    </row>
    <row r="1521" spans="2:7" x14ac:dyDescent="0.2">
      <c r="B1521" s="120" t="s">
        <v>3330</v>
      </c>
      <c r="C1521" s="121" t="s">
        <v>3331</v>
      </c>
      <c r="D1521" s="122" t="s">
        <v>3556</v>
      </c>
      <c r="E1521" s="122" t="s">
        <v>3756</v>
      </c>
      <c r="F1521" s="124">
        <v>5.4</v>
      </c>
      <c r="G1521" s="123">
        <v>0.13310517935124627</v>
      </c>
    </row>
    <row r="1522" spans="2:7" x14ac:dyDescent="0.2">
      <c r="B1522" s="120" t="s">
        <v>3332</v>
      </c>
      <c r="C1522" s="121" t="s">
        <v>3333</v>
      </c>
      <c r="D1522" s="122" t="s">
        <v>25</v>
      </c>
      <c r="E1522" s="122" t="s">
        <v>3731</v>
      </c>
      <c r="F1522" s="124">
        <v>-1.35</v>
      </c>
      <c r="G1522" s="123">
        <v>-7.3825048288650458E-3</v>
      </c>
    </row>
    <row r="1523" spans="2:7" x14ac:dyDescent="0.2">
      <c r="B1523" s="120" t="s">
        <v>3334</v>
      </c>
      <c r="C1523" s="121" t="s">
        <v>3335</v>
      </c>
      <c r="D1523" s="122" t="s">
        <v>3556</v>
      </c>
      <c r="E1523" s="122" t="s">
        <v>3624</v>
      </c>
      <c r="F1523" s="124">
        <v>-12.49</v>
      </c>
      <c r="G1523" s="123">
        <v>3.4380279571795146E-2</v>
      </c>
    </row>
    <row r="1524" spans="2:7" x14ac:dyDescent="0.2">
      <c r="B1524" s="120" t="s">
        <v>3336</v>
      </c>
      <c r="C1524" s="121" t="s">
        <v>3337</v>
      </c>
      <c r="D1524" s="122" t="s">
        <v>3576</v>
      </c>
      <c r="E1524" s="122" t="s">
        <v>3619</v>
      </c>
      <c r="F1524" s="124"/>
      <c r="G1524" s="123">
        <v>-1.1239648989955246E-2</v>
      </c>
    </row>
    <row r="1525" spans="2:7" x14ac:dyDescent="0.2">
      <c r="B1525" s="120" t="s">
        <v>3338</v>
      </c>
      <c r="C1525" s="121" t="s">
        <v>3339</v>
      </c>
      <c r="D1525" s="122" t="s">
        <v>3556</v>
      </c>
      <c r="E1525" s="122" t="s">
        <v>3753</v>
      </c>
      <c r="F1525" s="124">
        <v>33.06</v>
      </c>
      <c r="G1525" s="123">
        <v>5.3270973278561895E-2</v>
      </c>
    </row>
    <row r="1526" spans="2:7" x14ac:dyDescent="0.2">
      <c r="B1526" s="120" t="s">
        <v>3340</v>
      </c>
      <c r="C1526" s="121" t="s">
        <v>3341</v>
      </c>
      <c r="D1526" s="122" t="s">
        <v>3576</v>
      </c>
      <c r="E1526" s="122" t="s">
        <v>3651</v>
      </c>
      <c r="F1526" s="124">
        <v>24.02</v>
      </c>
      <c r="G1526" s="123">
        <v>-0.45750297543008006</v>
      </c>
    </row>
    <row r="1527" spans="2:7" x14ac:dyDescent="0.2">
      <c r="B1527" s="120" t="s">
        <v>3342</v>
      </c>
      <c r="C1527" s="121" t="s">
        <v>3343</v>
      </c>
      <c r="D1527" s="122" t="s">
        <v>3591</v>
      </c>
      <c r="E1527" s="122" t="s">
        <v>3658</v>
      </c>
      <c r="F1527" s="124">
        <v>-1.83</v>
      </c>
      <c r="G1527" s="123">
        <v>-1.9710769910062341E-2</v>
      </c>
    </row>
    <row r="1528" spans="2:7" x14ac:dyDescent="0.2">
      <c r="B1528" s="120" t="s">
        <v>3344</v>
      </c>
      <c r="C1528" s="121" t="s">
        <v>3345</v>
      </c>
      <c r="D1528" s="122" t="s">
        <v>3591</v>
      </c>
      <c r="E1528" s="122" t="s">
        <v>3658</v>
      </c>
      <c r="F1528" s="124"/>
      <c r="G1528" s="123">
        <v>5.1083788900470196E-2</v>
      </c>
    </row>
    <row r="1529" spans="2:7" x14ac:dyDescent="0.2">
      <c r="B1529" s="120" t="s">
        <v>3346</v>
      </c>
      <c r="C1529" s="121" t="s">
        <v>3347</v>
      </c>
      <c r="D1529" s="122" t="s">
        <v>3610</v>
      </c>
      <c r="E1529" s="122" t="s">
        <v>3611</v>
      </c>
      <c r="F1529" s="124"/>
      <c r="G1529" s="123">
        <v>-1</v>
      </c>
    </row>
    <row r="1530" spans="2:7" x14ac:dyDescent="0.2">
      <c r="B1530" s="120" t="s">
        <v>3348</v>
      </c>
      <c r="C1530" s="121" t="s">
        <v>3349</v>
      </c>
      <c r="D1530" s="122" t="s">
        <v>3612</v>
      </c>
      <c r="E1530" s="122" t="s">
        <v>3739</v>
      </c>
      <c r="F1530" s="124">
        <v>-0.35</v>
      </c>
      <c r="G1530" s="123">
        <v>-8.7090219767074276E-2</v>
      </c>
    </row>
    <row r="1531" spans="2:7" x14ac:dyDescent="0.2">
      <c r="B1531" s="120" t="s">
        <v>3350</v>
      </c>
      <c r="C1531" s="121" t="s">
        <v>3351</v>
      </c>
      <c r="D1531" s="122" t="s">
        <v>3594</v>
      </c>
      <c r="E1531" s="122" t="s">
        <v>3800</v>
      </c>
      <c r="F1531" s="124"/>
      <c r="G1531" s="123">
        <v>-3.199268941028173E-2</v>
      </c>
    </row>
    <row r="1532" spans="2:7" x14ac:dyDescent="0.2">
      <c r="B1532" s="120" t="s">
        <v>3352</v>
      </c>
      <c r="C1532" s="121" t="s">
        <v>3353</v>
      </c>
      <c r="D1532" s="122" t="s">
        <v>3610</v>
      </c>
      <c r="E1532" s="122" t="s">
        <v>3611</v>
      </c>
      <c r="F1532" s="124">
        <v>10.08</v>
      </c>
      <c r="G1532" s="123">
        <v>3.315215790183471E-3</v>
      </c>
    </row>
    <row r="1533" spans="2:7" x14ac:dyDescent="0.2">
      <c r="B1533" s="120" t="s">
        <v>3354</v>
      </c>
      <c r="C1533" s="121" t="s">
        <v>3355</v>
      </c>
      <c r="D1533" s="122" t="s">
        <v>3576</v>
      </c>
      <c r="E1533" s="122" t="s">
        <v>3646</v>
      </c>
      <c r="F1533" s="124">
        <v>15.54</v>
      </c>
      <c r="G1533" s="123">
        <v>-0.18850463929482719</v>
      </c>
    </row>
    <row r="1534" spans="2:7" x14ac:dyDescent="0.2">
      <c r="B1534" s="120" t="s">
        <v>3356</v>
      </c>
      <c r="C1534" s="121" t="s">
        <v>3357</v>
      </c>
      <c r="D1534" s="122" t="s">
        <v>3580</v>
      </c>
      <c r="E1534" s="122" t="s">
        <v>3601</v>
      </c>
      <c r="F1534" s="124">
        <v>9.6199999999999992</v>
      </c>
      <c r="G1534" s="123">
        <v>0.11592765014704987</v>
      </c>
    </row>
    <row r="1535" spans="2:7" x14ac:dyDescent="0.2">
      <c r="B1535" s="120" t="s">
        <v>3358</v>
      </c>
      <c r="C1535" s="121" t="s">
        <v>3359</v>
      </c>
      <c r="D1535" s="122" t="s">
        <v>3558</v>
      </c>
      <c r="E1535" s="122" t="s">
        <v>3798</v>
      </c>
      <c r="F1535" s="124">
        <v>-1.48</v>
      </c>
      <c r="G1535" s="123">
        <v>5.9416627374743493E-2</v>
      </c>
    </row>
    <row r="1536" spans="2:7" x14ac:dyDescent="0.2">
      <c r="B1536" s="120" t="s">
        <v>3360</v>
      </c>
      <c r="C1536" s="121" t="s">
        <v>3361</v>
      </c>
      <c r="D1536" s="122" t="s">
        <v>3556</v>
      </c>
      <c r="E1536" s="122" t="s">
        <v>3579</v>
      </c>
      <c r="F1536" s="124">
        <v>10.6</v>
      </c>
      <c r="G1536" s="123">
        <v>0.11732211165589486</v>
      </c>
    </row>
    <row r="1537" spans="2:7" x14ac:dyDescent="0.2">
      <c r="B1537" s="120" t="s">
        <v>3362</v>
      </c>
      <c r="C1537" s="121" t="s">
        <v>3363</v>
      </c>
      <c r="D1537" s="122" t="s">
        <v>3576</v>
      </c>
      <c r="E1537" s="122" t="s">
        <v>3619</v>
      </c>
      <c r="F1537" s="124">
        <v>-5.04</v>
      </c>
      <c r="G1537" s="123">
        <v>-6.9368508864363118E-2</v>
      </c>
    </row>
    <row r="1538" spans="2:7" x14ac:dyDescent="0.2">
      <c r="B1538" s="120" t="s">
        <v>3364</v>
      </c>
      <c r="C1538" s="121" t="s">
        <v>3365</v>
      </c>
      <c r="D1538" s="122" t="s">
        <v>3612</v>
      </c>
      <c r="E1538" s="122" t="s">
        <v>3627</v>
      </c>
      <c r="F1538" s="124">
        <v>45.19</v>
      </c>
      <c r="G1538" s="123">
        <v>0.1076691018627519</v>
      </c>
    </row>
    <row r="1539" spans="2:7" x14ac:dyDescent="0.2">
      <c r="B1539" s="120" t="s">
        <v>3366</v>
      </c>
      <c r="C1539" s="121" t="s">
        <v>3367</v>
      </c>
      <c r="D1539" s="122" t="s">
        <v>3556</v>
      </c>
      <c r="E1539" s="122" t="s">
        <v>3621</v>
      </c>
      <c r="F1539" s="124"/>
      <c r="G1539" s="123">
        <v>3.1743373073415512E-3</v>
      </c>
    </row>
    <row r="1540" spans="2:7" x14ac:dyDescent="0.2">
      <c r="B1540" s="120" t="s">
        <v>3368</v>
      </c>
      <c r="C1540" s="121" t="s">
        <v>3369</v>
      </c>
      <c r="D1540" s="122" t="s">
        <v>3612</v>
      </c>
      <c r="E1540" s="122" t="s">
        <v>3759</v>
      </c>
      <c r="F1540" s="124"/>
      <c r="G1540" s="123">
        <v>-3.850617583930669E-2</v>
      </c>
    </row>
    <row r="1541" spans="2:7" x14ac:dyDescent="0.2">
      <c r="B1541" s="120" t="s">
        <v>3370</v>
      </c>
      <c r="C1541" s="121" t="s">
        <v>3371</v>
      </c>
      <c r="D1541" s="122" t="s">
        <v>3576</v>
      </c>
      <c r="E1541" s="122" t="s">
        <v>3641</v>
      </c>
      <c r="F1541" s="124">
        <v>-4.66</v>
      </c>
      <c r="G1541" s="123">
        <v>-0.86168498825463935</v>
      </c>
    </row>
    <row r="1542" spans="2:7" x14ac:dyDescent="0.2">
      <c r="B1542" s="120" t="s">
        <v>3372</v>
      </c>
      <c r="C1542" s="121" t="s">
        <v>3373</v>
      </c>
      <c r="D1542" s="122" t="s">
        <v>3556</v>
      </c>
      <c r="E1542" s="122" t="s">
        <v>3579</v>
      </c>
      <c r="F1542" s="124">
        <v>2.41</v>
      </c>
      <c r="G1542" s="123">
        <v>0.11449236836755443</v>
      </c>
    </row>
    <row r="1543" spans="2:7" x14ac:dyDescent="0.2">
      <c r="B1543" s="120" t="s">
        <v>3374</v>
      </c>
      <c r="C1543" s="121" t="s">
        <v>3375</v>
      </c>
      <c r="D1543" s="122" t="s">
        <v>3582</v>
      </c>
      <c r="E1543" s="122" t="s">
        <v>3664</v>
      </c>
      <c r="F1543" s="124">
        <v>7.05</v>
      </c>
      <c r="G1543" s="123">
        <v>7.9473516763391996E-2</v>
      </c>
    </row>
    <row r="1544" spans="2:7" x14ac:dyDescent="0.2">
      <c r="B1544" s="120" t="s">
        <v>3376</v>
      </c>
      <c r="C1544" s="121" t="s">
        <v>3377</v>
      </c>
      <c r="D1544" s="122" t="s">
        <v>3556</v>
      </c>
      <c r="E1544" s="122" t="s">
        <v>3756</v>
      </c>
      <c r="F1544" s="124">
        <v>4.59</v>
      </c>
      <c r="G1544" s="123">
        <v>1.4368256006321044E-2</v>
      </c>
    </row>
    <row r="1545" spans="2:7" x14ac:dyDescent="0.2">
      <c r="B1545" s="120" t="s">
        <v>3378</v>
      </c>
      <c r="C1545" s="121" t="s">
        <v>3379</v>
      </c>
      <c r="D1545" s="122" t="s">
        <v>3569</v>
      </c>
      <c r="E1545" s="122" t="s">
        <v>3575</v>
      </c>
      <c r="F1545" s="124">
        <v>47.9</v>
      </c>
      <c r="G1545" s="123">
        <v>0.21691524150150937</v>
      </c>
    </row>
    <row r="1546" spans="2:7" x14ac:dyDescent="0.2">
      <c r="B1546" s="120" t="s">
        <v>3380</v>
      </c>
      <c r="C1546" s="121" t="s">
        <v>3381</v>
      </c>
      <c r="D1546" s="122" t="s">
        <v>3556</v>
      </c>
      <c r="E1546" s="122" t="s">
        <v>3742</v>
      </c>
      <c r="F1546" s="124">
        <v>8.9600000000000009</v>
      </c>
      <c r="G1546" s="123">
        <v>0.12374071925193153</v>
      </c>
    </row>
    <row r="1547" spans="2:7" x14ac:dyDescent="0.2">
      <c r="B1547" s="120" t="s">
        <v>3382</v>
      </c>
      <c r="C1547" s="121" t="s">
        <v>3383</v>
      </c>
      <c r="D1547" s="122" t="s">
        <v>3594</v>
      </c>
      <c r="E1547" s="122" t="s">
        <v>3637</v>
      </c>
      <c r="F1547" s="124">
        <v>15.27</v>
      </c>
      <c r="G1547" s="123">
        <v>-3.6653792902426555E-2</v>
      </c>
    </row>
    <row r="1548" spans="2:7" x14ac:dyDescent="0.2">
      <c r="B1548" s="120" t="s">
        <v>3384</v>
      </c>
      <c r="C1548" s="121" t="s">
        <v>3385</v>
      </c>
      <c r="D1548" s="122" t="s">
        <v>3591</v>
      </c>
      <c r="E1548" s="122" t="s">
        <v>3592</v>
      </c>
      <c r="F1548" s="124">
        <v>39.33</v>
      </c>
      <c r="G1548" s="123">
        <v>0.38271926509186355</v>
      </c>
    </row>
    <row r="1549" spans="2:7" x14ac:dyDescent="0.2">
      <c r="B1549" s="120" t="s">
        <v>3386</v>
      </c>
      <c r="C1549" s="121" t="s">
        <v>3387</v>
      </c>
      <c r="D1549" s="122" t="s">
        <v>3576</v>
      </c>
      <c r="E1549" s="122" t="s">
        <v>3619</v>
      </c>
      <c r="F1549" s="124">
        <v>4.05</v>
      </c>
      <c r="G1549" s="123">
        <v>6.6500890328127045E-3</v>
      </c>
    </row>
    <row r="1550" spans="2:7" x14ac:dyDescent="0.2">
      <c r="B1550" s="120" t="s">
        <v>3388</v>
      </c>
      <c r="C1550" s="121" t="s">
        <v>3389</v>
      </c>
      <c r="D1550" s="122" t="s">
        <v>3594</v>
      </c>
      <c r="E1550" s="122" t="s">
        <v>3637</v>
      </c>
      <c r="F1550" s="124">
        <v>7.83</v>
      </c>
      <c r="G1550" s="123">
        <v>4.5418809628008844E-2</v>
      </c>
    </row>
    <row r="1551" spans="2:7" x14ac:dyDescent="0.2">
      <c r="B1551" s="120" t="s">
        <v>3390</v>
      </c>
      <c r="C1551" s="121" t="s">
        <v>3391</v>
      </c>
      <c r="D1551" s="122" t="s">
        <v>3610</v>
      </c>
      <c r="E1551" s="122" t="s">
        <v>3656</v>
      </c>
      <c r="F1551" s="124">
        <v>1.99</v>
      </c>
      <c r="G1551" s="123">
        <v>-2.8067741792920379E-2</v>
      </c>
    </row>
    <row r="1552" spans="2:7" x14ac:dyDescent="0.2">
      <c r="B1552" s="120" t="s">
        <v>3392</v>
      </c>
      <c r="C1552" s="121" t="s">
        <v>3393</v>
      </c>
      <c r="D1552" s="122" t="s">
        <v>3556</v>
      </c>
      <c r="E1552" s="122" t="s">
        <v>3721</v>
      </c>
      <c r="F1552" s="124">
        <v>0.28000000000000003</v>
      </c>
      <c r="G1552" s="123">
        <v>3.7978649427263629E-3</v>
      </c>
    </row>
    <row r="1553" spans="2:7" x14ac:dyDescent="0.2">
      <c r="B1553" s="120" t="s">
        <v>3394</v>
      </c>
      <c r="C1553" s="121" t="s">
        <v>3395</v>
      </c>
      <c r="D1553" s="122" t="s">
        <v>3563</v>
      </c>
      <c r="E1553" s="122" t="s">
        <v>3622</v>
      </c>
      <c r="F1553" s="124">
        <v>48.58</v>
      </c>
      <c r="G1553" s="123">
        <v>0.35920261919969554</v>
      </c>
    </row>
    <row r="1554" spans="2:7" x14ac:dyDescent="0.2">
      <c r="B1554" s="120" t="s">
        <v>3396</v>
      </c>
      <c r="C1554" s="121" t="s">
        <v>3397</v>
      </c>
      <c r="D1554" s="122" t="s">
        <v>3561</v>
      </c>
      <c r="E1554" s="122" t="s">
        <v>3608</v>
      </c>
      <c r="F1554" s="124">
        <v>11.75</v>
      </c>
      <c r="G1554" s="123">
        <v>0.90231904068934699</v>
      </c>
    </row>
    <row r="1555" spans="2:7" x14ac:dyDescent="0.2">
      <c r="B1555" s="120" t="s">
        <v>3398</v>
      </c>
      <c r="C1555" s="121" t="s">
        <v>3399</v>
      </c>
      <c r="D1555" s="122" t="s">
        <v>3576</v>
      </c>
      <c r="E1555" s="122" t="s">
        <v>3667</v>
      </c>
      <c r="F1555" s="124">
        <v>25.44</v>
      </c>
      <c r="G1555" s="123">
        <v>1.1012493033624463E-2</v>
      </c>
    </row>
    <row r="1556" spans="2:7" x14ac:dyDescent="0.2">
      <c r="B1556" s="120" t="s">
        <v>3400</v>
      </c>
      <c r="C1556" s="121" t="s">
        <v>3401</v>
      </c>
      <c r="D1556" s="122" t="s">
        <v>3556</v>
      </c>
      <c r="E1556" s="122" t="s">
        <v>3673</v>
      </c>
      <c r="F1556" s="124">
        <v>4.95</v>
      </c>
      <c r="G1556" s="123">
        <v>8.4213510308150073E-3</v>
      </c>
    </row>
    <row r="1557" spans="2:7" x14ac:dyDescent="0.2">
      <c r="B1557" s="120" t="s">
        <v>3402</v>
      </c>
      <c r="C1557" s="121" t="s">
        <v>3403</v>
      </c>
      <c r="D1557" s="122" t="s">
        <v>3556</v>
      </c>
      <c r="E1557" s="122" t="s">
        <v>3791</v>
      </c>
      <c r="F1557" s="124">
        <v>50.62</v>
      </c>
      <c r="G1557" s="123">
        <v>6.6084206177408428E-2</v>
      </c>
    </row>
    <row r="1558" spans="2:7" x14ac:dyDescent="0.2">
      <c r="B1558" s="120" t="s">
        <v>3404</v>
      </c>
      <c r="C1558" s="121" t="s">
        <v>3405</v>
      </c>
      <c r="D1558" s="122" t="s">
        <v>3610</v>
      </c>
      <c r="E1558" s="122" t="s">
        <v>3611</v>
      </c>
      <c r="F1558" s="124">
        <v>8.68</v>
      </c>
      <c r="G1558" s="123">
        <v>-3.0655995823544741E-2</v>
      </c>
    </row>
    <row r="1559" spans="2:7" x14ac:dyDescent="0.2">
      <c r="B1559" s="120" t="s">
        <v>3406</v>
      </c>
      <c r="C1559" s="121" t="s">
        <v>3407</v>
      </c>
      <c r="D1559" s="122" t="s">
        <v>3576</v>
      </c>
      <c r="E1559" s="122" t="s">
        <v>3626</v>
      </c>
      <c r="F1559" s="124"/>
      <c r="G1559" s="123">
        <v>-0.46312082201783816</v>
      </c>
    </row>
    <row r="1560" spans="2:7" x14ac:dyDescent="0.2">
      <c r="B1560" s="120" t="s">
        <v>3408</v>
      </c>
      <c r="C1560" s="121" t="s">
        <v>3409</v>
      </c>
      <c r="D1560" s="122" t="s">
        <v>3576</v>
      </c>
      <c r="E1560" s="122" t="s">
        <v>3646</v>
      </c>
      <c r="F1560" s="124">
        <v>9.6300000000000008</v>
      </c>
      <c r="G1560" s="123">
        <v>-5.8387686603425255E-2</v>
      </c>
    </row>
    <row r="1561" spans="2:7" x14ac:dyDescent="0.2">
      <c r="B1561" s="120" t="s">
        <v>3410</v>
      </c>
      <c r="C1561" s="121" t="s">
        <v>3411</v>
      </c>
      <c r="D1561" s="122" t="s">
        <v>3569</v>
      </c>
      <c r="E1561" s="122" t="s">
        <v>3625</v>
      </c>
      <c r="F1561" s="124">
        <v>13.21</v>
      </c>
      <c r="G1561" s="123">
        <v>0.33693659872343146</v>
      </c>
    </row>
    <row r="1562" spans="2:7" x14ac:dyDescent="0.2">
      <c r="B1562" s="120" t="s">
        <v>3412</v>
      </c>
      <c r="C1562" s="121" t="s">
        <v>3413</v>
      </c>
      <c r="D1562" s="122" t="s">
        <v>3582</v>
      </c>
      <c r="E1562" s="122" t="s">
        <v>3707</v>
      </c>
      <c r="F1562" s="124">
        <v>30.2</v>
      </c>
      <c r="G1562" s="123">
        <v>9.1830117775150655E-2</v>
      </c>
    </row>
    <row r="1563" spans="2:7" x14ac:dyDescent="0.2">
      <c r="B1563" s="120" t="s">
        <v>3414</v>
      </c>
      <c r="C1563" s="121" t="s">
        <v>3415</v>
      </c>
      <c r="D1563" s="122" t="s">
        <v>3556</v>
      </c>
      <c r="E1563" s="122" t="s">
        <v>3630</v>
      </c>
      <c r="F1563" s="124">
        <v>36.68</v>
      </c>
      <c r="G1563" s="123">
        <v>0.2683627869235839</v>
      </c>
    </row>
    <row r="1564" spans="2:7" x14ac:dyDescent="0.2">
      <c r="B1564" s="120" t="s">
        <v>3416</v>
      </c>
      <c r="C1564" s="121" t="s">
        <v>3417</v>
      </c>
      <c r="D1564" s="122" t="s">
        <v>3556</v>
      </c>
      <c r="E1564" s="122" t="s">
        <v>3783</v>
      </c>
      <c r="F1564" s="124">
        <v>8.4499999999999993</v>
      </c>
      <c r="G1564" s="123">
        <v>-5.5308527973920579E-4</v>
      </c>
    </row>
    <row r="1565" spans="2:7" x14ac:dyDescent="0.2">
      <c r="B1565" s="120" t="s">
        <v>3418</v>
      </c>
      <c r="C1565" s="121" t="s">
        <v>3419</v>
      </c>
      <c r="D1565" s="122" t="s">
        <v>3591</v>
      </c>
      <c r="E1565" s="122" t="s">
        <v>3592</v>
      </c>
      <c r="F1565" s="124">
        <v>11.86</v>
      </c>
      <c r="G1565" s="123">
        <v>8.2948356012760675E-3</v>
      </c>
    </row>
    <row r="1566" spans="2:7" x14ac:dyDescent="0.2">
      <c r="B1566" s="120" t="s">
        <v>3420</v>
      </c>
      <c r="C1566" s="121" t="s">
        <v>3421</v>
      </c>
      <c r="D1566" s="122" t="s">
        <v>3580</v>
      </c>
      <c r="E1566" s="122" t="s">
        <v>3581</v>
      </c>
      <c r="F1566" s="124"/>
      <c r="G1566" s="123">
        <v>5.9421802802946656E-2</v>
      </c>
    </row>
    <row r="1567" spans="2:7" x14ac:dyDescent="0.2">
      <c r="B1567" s="120" t="s">
        <v>3422</v>
      </c>
      <c r="C1567" s="121" t="s">
        <v>3423</v>
      </c>
      <c r="D1567" s="122" t="s">
        <v>3576</v>
      </c>
      <c r="E1567" s="122" t="s">
        <v>3619</v>
      </c>
      <c r="F1567" s="124">
        <v>8.2799999999999994</v>
      </c>
      <c r="G1567" s="123">
        <v>0.10148406977981074</v>
      </c>
    </row>
    <row r="1568" spans="2:7" x14ac:dyDescent="0.2">
      <c r="B1568" s="120" t="s">
        <v>3424</v>
      </c>
      <c r="C1568" s="121" t="s">
        <v>3425</v>
      </c>
      <c r="D1568" s="122" t="s">
        <v>3563</v>
      </c>
      <c r="E1568" s="122" t="s">
        <v>3690</v>
      </c>
      <c r="F1568" s="124">
        <v>-8.0500000000000007</v>
      </c>
      <c r="G1568" s="123">
        <v>6.7730197365938355E-2</v>
      </c>
    </row>
    <row r="1569" spans="2:7" x14ac:dyDescent="0.2">
      <c r="B1569" s="120" t="s">
        <v>3426</v>
      </c>
      <c r="C1569" s="121" t="s">
        <v>3427</v>
      </c>
      <c r="D1569" s="122" t="s">
        <v>3612</v>
      </c>
      <c r="E1569" s="122" t="s">
        <v>3785</v>
      </c>
      <c r="F1569" s="124">
        <v>13.85</v>
      </c>
      <c r="G1569" s="123">
        <v>0.43959641356995005</v>
      </c>
    </row>
    <row r="1570" spans="2:7" x14ac:dyDescent="0.2">
      <c r="B1570" s="120" t="s">
        <v>3428</v>
      </c>
      <c r="C1570" s="121" t="s">
        <v>3429</v>
      </c>
      <c r="D1570" s="122" t="s">
        <v>3582</v>
      </c>
      <c r="E1570" s="122" t="s">
        <v>3590</v>
      </c>
      <c r="F1570" s="124">
        <v>17.43</v>
      </c>
      <c r="G1570" s="123">
        <v>0.16269829965698354</v>
      </c>
    </row>
    <row r="1571" spans="2:7" x14ac:dyDescent="0.2">
      <c r="B1571" s="120" t="s">
        <v>3430</v>
      </c>
      <c r="C1571" s="121" t="s">
        <v>3431</v>
      </c>
      <c r="D1571" s="122" t="s">
        <v>3576</v>
      </c>
      <c r="E1571" s="122" t="s">
        <v>3604</v>
      </c>
      <c r="F1571" s="124">
        <v>-0.51</v>
      </c>
      <c r="G1571" s="123">
        <v>-1</v>
      </c>
    </row>
    <row r="1572" spans="2:7" x14ac:dyDescent="0.2">
      <c r="B1572" s="120" t="s">
        <v>3432</v>
      </c>
      <c r="C1572" s="121" t="s">
        <v>3433</v>
      </c>
      <c r="D1572" s="122" t="s">
        <v>3576</v>
      </c>
      <c r="E1572" s="122" t="s">
        <v>3654</v>
      </c>
      <c r="F1572" s="124">
        <v>3.61</v>
      </c>
      <c r="G1572" s="123">
        <v>-0.17488411903819512</v>
      </c>
    </row>
    <row r="1573" spans="2:7" x14ac:dyDescent="0.2">
      <c r="B1573" s="120" t="s">
        <v>3434</v>
      </c>
      <c r="C1573" s="121" t="s">
        <v>3435</v>
      </c>
      <c r="D1573" s="122" t="s">
        <v>25</v>
      </c>
      <c r="E1573" s="122" t="s">
        <v>3703</v>
      </c>
      <c r="F1573" s="124"/>
      <c r="G1573" s="123">
        <v>0.10844587794432549</v>
      </c>
    </row>
    <row r="1574" spans="2:7" x14ac:dyDescent="0.2">
      <c r="B1574" s="120" t="s">
        <v>3436</v>
      </c>
      <c r="C1574" s="121" t="s">
        <v>3437</v>
      </c>
      <c r="D1574" s="122" t="s">
        <v>25</v>
      </c>
      <c r="E1574" s="122" t="s">
        <v>3738</v>
      </c>
      <c r="F1574" s="124">
        <v>1.17</v>
      </c>
      <c r="G1574" s="123">
        <v>-2.992690355088656E-2</v>
      </c>
    </row>
    <row r="1575" spans="2:7" x14ac:dyDescent="0.2">
      <c r="B1575" s="120" t="s">
        <v>3438</v>
      </c>
      <c r="C1575" s="121" t="s">
        <v>3439</v>
      </c>
      <c r="D1575" s="122" t="s">
        <v>3569</v>
      </c>
      <c r="E1575" s="122" t="s">
        <v>3572</v>
      </c>
      <c r="F1575" s="124"/>
      <c r="G1575" s="123">
        <v>4.4471962172371184E-2</v>
      </c>
    </row>
    <row r="1576" spans="2:7" x14ac:dyDescent="0.2">
      <c r="B1576" s="120" t="s">
        <v>3440</v>
      </c>
      <c r="C1576" s="121" t="s">
        <v>3441</v>
      </c>
      <c r="D1576" s="122" t="s">
        <v>3556</v>
      </c>
      <c r="E1576" s="122" t="s">
        <v>3723</v>
      </c>
      <c r="F1576" s="124">
        <v>2.76</v>
      </c>
      <c r="G1576" s="123">
        <v>2.8391787274229755E-2</v>
      </c>
    </row>
    <row r="1577" spans="2:7" x14ac:dyDescent="0.2">
      <c r="B1577" s="120" t="s">
        <v>3442</v>
      </c>
      <c r="C1577" s="121" t="s">
        <v>3443</v>
      </c>
      <c r="D1577" s="122" t="s">
        <v>3556</v>
      </c>
      <c r="E1577" s="122" t="s">
        <v>3614</v>
      </c>
      <c r="F1577" s="124">
        <v>43.39</v>
      </c>
      <c r="G1577" s="123">
        <v>0.26640881232400182</v>
      </c>
    </row>
    <row r="1578" spans="2:7" x14ac:dyDescent="0.2">
      <c r="B1578" s="120" t="s">
        <v>3444</v>
      </c>
      <c r="C1578" s="121" t="s">
        <v>3445</v>
      </c>
      <c r="D1578" s="122" t="s">
        <v>3561</v>
      </c>
      <c r="E1578" s="122" t="s">
        <v>3706</v>
      </c>
      <c r="F1578" s="124"/>
      <c r="G1578" s="123">
        <v>4.3216731629854163E-2</v>
      </c>
    </row>
    <row r="1579" spans="2:7" x14ac:dyDescent="0.2">
      <c r="B1579" s="120" t="s">
        <v>3446</v>
      </c>
      <c r="C1579" s="121" t="s">
        <v>3447</v>
      </c>
      <c r="D1579" s="122" t="s">
        <v>3594</v>
      </c>
      <c r="E1579" s="122" t="s">
        <v>3714</v>
      </c>
      <c r="F1579" s="124">
        <v>20.94</v>
      </c>
      <c r="G1579" s="123">
        <v>-2.645856745801977E-2</v>
      </c>
    </row>
    <row r="1580" spans="2:7" x14ac:dyDescent="0.2">
      <c r="B1580" s="120" t="s">
        <v>3448</v>
      </c>
      <c r="C1580" s="121" t="s">
        <v>3449</v>
      </c>
      <c r="D1580" s="122" t="s">
        <v>3576</v>
      </c>
      <c r="E1580" s="122" t="s">
        <v>3603</v>
      </c>
      <c r="F1580" s="124">
        <v>24.3</v>
      </c>
      <c r="G1580" s="123">
        <v>5.8127091507106696E-2</v>
      </c>
    </row>
    <row r="1581" spans="2:7" x14ac:dyDescent="0.2">
      <c r="B1581" s="120" t="s">
        <v>3450</v>
      </c>
      <c r="C1581" s="121" t="s">
        <v>3451</v>
      </c>
      <c r="D1581" s="122" t="s">
        <v>3582</v>
      </c>
      <c r="E1581" s="122" t="s">
        <v>3707</v>
      </c>
      <c r="F1581" s="124">
        <v>2.73</v>
      </c>
      <c r="G1581" s="123">
        <v>4.810418264717712E-2</v>
      </c>
    </row>
    <row r="1582" spans="2:7" x14ac:dyDescent="0.2">
      <c r="B1582" s="120" t="s">
        <v>3452</v>
      </c>
      <c r="C1582" s="121" t="s">
        <v>3453</v>
      </c>
      <c r="D1582" s="122" t="s">
        <v>3612</v>
      </c>
      <c r="E1582" s="122" t="s">
        <v>3716</v>
      </c>
      <c r="F1582" s="124">
        <v>3.87</v>
      </c>
      <c r="G1582" s="123">
        <v>-3.348892125259044E-2</v>
      </c>
    </row>
    <row r="1583" spans="2:7" x14ac:dyDescent="0.2">
      <c r="B1583" s="120" t="s">
        <v>3454</v>
      </c>
      <c r="C1583" s="121" t="s">
        <v>3455</v>
      </c>
      <c r="D1583" s="122" t="s">
        <v>3563</v>
      </c>
      <c r="E1583" s="122" t="s">
        <v>3687</v>
      </c>
      <c r="F1583" s="124">
        <v>0.18</v>
      </c>
      <c r="G1583" s="123">
        <v>8.3248312648454947E-2</v>
      </c>
    </row>
    <row r="1584" spans="2:7" x14ac:dyDescent="0.2">
      <c r="B1584" s="120" t="s">
        <v>3456</v>
      </c>
      <c r="C1584" s="121" t="s">
        <v>21</v>
      </c>
      <c r="D1584" s="122" t="s">
        <v>3563</v>
      </c>
      <c r="E1584" s="122" t="s">
        <v>3687</v>
      </c>
      <c r="F1584" s="124">
        <v>1.6</v>
      </c>
      <c r="G1584" s="123">
        <v>2.3776377562426492E-2</v>
      </c>
    </row>
    <row r="1585" spans="2:7" x14ac:dyDescent="0.2">
      <c r="B1585" s="120" t="s">
        <v>3457</v>
      </c>
      <c r="C1585" s="121" t="s">
        <v>3458</v>
      </c>
      <c r="D1585" s="122" t="s">
        <v>3582</v>
      </c>
      <c r="E1585" s="122" t="s">
        <v>3728</v>
      </c>
      <c r="F1585" s="124">
        <v>11.57</v>
      </c>
      <c r="G1585" s="123">
        <v>9.1287838338895089E-2</v>
      </c>
    </row>
    <row r="1586" spans="2:7" x14ac:dyDescent="0.2">
      <c r="B1586" s="120" t="s">
        <v>3459</v>
      </c>
      <c r="C1586" s="121" t="s">
        <v>3460</v>
      </c>
      <c r="D1586" s="122" t="s">
        <v>3576</v>
      </c>
      <c r="E1586" s="122" t="s">
        <v>3619</v>
      </c>
      <c r="F1586" s="124">
        <v>-0.87</v>
      </c>
      <c r="G1586" s="123">
        <v>0.38605448613008475</v>
      </c>
    </row>
    <row r="1587" spans="2:7" x14ac:dyDescent="0.2">
      <c r="B1587" s="120" t="s">
        <v>3461</v>
      </c>
      <c r="C1587" s="121" t="s">
        <v>3462</v>
      </c>
      <c r="D1587" s="122" t="s">
        <v>3594</v>
      </c>
      <c r="E1587" s="122" t="s">
        <v>3647</v>
      </c>
      <c r="F1587" s="124">
        <v>8.2100000000000009</v>
      </c>
      <c r="G1587" s="123">
        <v>8.2245840732484518E-2</v>
      </c>
    </row>
    <row r="1588" spans="2:7" x14ac:dyDescent="0.2">
      <c r="B1588" s="120" t="s">
        <v>3463</v>
      </c>
      <c r="C1588" s="121" t="s">
        <v>3464</v>
      </c>
      <c r="D1588" s="122" t="s">
        <v>3582</v>
      </c>
      <c r="E1588" s="122" t="s">
        <v>3765</v>
      </c>
      <c r="F1588" s="124"/>
      <c r="G1588" s="123">
        <v>-0.23812902798292107</v>
      </c>
    </row>
    <row r="1589" spans="2:7" x14ac:dyDescent="0.2">
      <c r="B1589" s="120" t="s">
        <v>3465</v>
      </c>
      <c r="C1589" s="121" t="s">
        <v>3466</v>
      </c>
      <c r="D1589" s="122" t="s">
        <v>3612</v>
      </c>
      <c r="E1589" s="122" t="s">
        <v>3627</v>
      </c>
      <c r="F1589" s="124">
        <v>-10.89</v>
      </c>
      <c r="G1589" s="123">
        <v>1.1455796536796445E-2</v>
      </c>
    </row>
    <row r="1590" spans="2:7" x14ac:dyDescent="0.2">
      <c r="B1590" s="120" t="s">
        <v>3467</v>
      </c>
      <c r="C1590" s="121" t="s">
        <v>3468</v>
      </c>
      <c r="D1590" s="122" t="s">
        <v>3576</v>
      </c>
      <c r="E1590" s="122" t="s">
        <v>3578</v>
      </c>
      <c r="F1590" s="124">
        <v>2.3199999999999998</v>
      </c>
      <c r="G1590" s="123">
        <v>-1.152066201660243E-2</v>
      </c>
    </row>
    <row r="1591" spans="2:7" x14ac:dyDescent="0.2">
      <c r="B1591" s="120" t="s">
        <v>3469</v>
      </c>
      <c r="C1591" s="121" t="s">
        <v>3470</v>
      </c>
      <c r="D1591" s="122" t="s">
        <v>3576</v>
      </c>
      <c r="E1591" s="122" t="s">
        <v>3584</v>
      </c>
      <c r="F1591" s="124">
        <v>1.49</v>
      </c>
      <c r="G1591" s="123">
        <v>-9.8682142520945065E-2</v>
      </c>
    </row>
    <row r="1592" spans="2:7" x14ac:dyDescent="0.2">
      <c r="B1592" s="120" t="s">
        <v>3471</v>
      </c>
      <c r="C1592" s="121" t="s">
        <v>3472</v>
      </c>
      <c r="D1592" s="122" t="s">
        <v>3594</v>
      </c>
      <c r="E1592" s="122" t="s">
        <v>3732</v>
      </c>
      <c r="F1592" s="124">
        <v>26.89</v>
      </c>
      <c r="G1592" s="123">
        <v>0.15082755340771614</v>
      </c>
    </row>
    <row r="1593" spans="2:7" x14ac:dyDescent="0.2">
      <c r="B1593" s="120" t="s">
        <v>3473</v>
      </c>
      <c r="C1593" s="121" t="s">
        <v>3474</v>
      </c>
      <c r="D1593" s="122" t="s">
        <v>3563</v>
      </c>
      <c r="E1593" s="122" t="s">
        <v>3787</v>
      </c>
      <c r="F1593" s="124">
        <v>4.3899999999999997</v>
      </c>
      <c r="G1593" s="123">
        <v>3.1298463041228346E-2</v>
      </c>
    </row>
    <row r="1594" spans="2:7" x14ac:dyDescent="0.2">
      <c r="B1594" s="120" t="s">
        <v>3475</v>
      </c>
      <c r="C1594" s="121" t="s">
        <v>3476</v>
      </c>
      <c r="D1594" s="122" t="s">
        <v>3580</v>
      </c>
      <c r="E1594" s="122" t="s">
        <v>3776</v>
      </c>
      <c r="F1594" s="124">
        <v>3.38</v>
      </c>
      <c r="G1594" s="123">
        <v>4.419675145436764E-2</v>
      </c>
    </row>
    <row r="1595" spans="2:7" x14ac:dyDescent="0.2">
      <c r="B1595" s="120" t="s">
        <v>3477</v>
      </c>
      <c r="C1595" s="121" t="s">
        <v>3478</v>
      </c>
      <c r="D1595" s="122" t="s">
        <v>3569</v>
      </c>
      <c r="E1595" s="122" t="s">
        <v>3571</v>
      </c>
      <c r="F1595" s="124">
        <v>5.56</v>
      </c>
      <c r="G1595" s="123">
        <v>5.7431553511121426E-2</v>
      </c>
    </row>
    <row r="1596" spans="2:7" x14ac:dyDescent="0.2">
      <c r="B1596" s="120" t="s">
        <v>3479</v>
      </c>
      <c r="C1596" s="121" t="s">
        <v>3480</v>
      </c>
      <c r="D1596" s="122" t="s">
        <v>3576</v>
      </c>
      <c r="E1596" s="122" t="s">
        <v>3636</v>
      </c>
      <c r="F1596" s="124">
        <v>14.52</v>
      </c>
      <c r="G1596" s="123">
        <v>-4.8829032849583481E-2</v>
      </c>
    </row>
    <row r="1597" spans="2:7" x14ac:dyDescent="0.2">
      <c r="B1597" s="120" t="s">
        <v>3481</v>
      </c>
      <c r="C1597" s="121" t="s">
        <v>3482</v>
      </c>
      <c r="D1597" s="122" t="s">
        <v>3591</v>
      </c>
      <c r="E1597" s="122" t="s">
        <v>3650</v>
      </c>
      <c r="F1597" s="124">
        <v>1.43</v>
      </c>
      <c r="G1597" s="123">
        <v>4.8893328878759974E-2</v>
      </c>
    </row>
    <row r="1598" spans="2:7" x14ac:dyDescent="0.2">
      <c r="B1598" s="120" t="s">
        <v>3483</v>
      </c>
      <c r="C1598" s="121" t="s">
        <v>3484</v>
      </c>
      <c r="D1598" s="122" t="s">
        <v>3556</v>
      </c>
      <c r="E1598" s="122" t="s">
        <v>3794</v>
      </c>
      <c r="F1598" s="124">
        <v>0.87</v>
      </c>
      <c r="G1598" s="123">
        <v>2.5025247619656212E-2</v>
      </c>
    </row>
    <row r="1599" spans="2:7" x14ac:dyDescent="0.2">
      <c r="B1599" s="120" t="s">
        <v>3485</v>
      </c>
      <c r="C1599" s="121" t="s">
        <v>3486</v>
      </c>
      <c r="D1599" s="122" t="s">
        <v>3582</v>
      </c>
      <c r="E1599" s="122" t="s">
        <v>3590</v>
      </c>
      <c r="F1599" s="124">
        <v>0</v>
      </c>
      <c r="G1599" s="123">
        <v>-4.6319782107014297E-2</v>
      </c>
    </row>
    <row r="1600" spans="2:7" x14ac:dyDescent="0.2">
      <c r="B1600" s="120" t="s">
        <v>3487</v>
      </c>
      <c r="C1600" s="121" t="s">
        <v>3488</v>
      </c>
      <c r="D1600" s="122" t="s">
        <v>3556</v>
      </c>
      <c r="E1600" s="122" t="s">
        <v>3756</v>
      </c>
      <c r="F1600" s="124">
        <v>57.46</v>
      </c>
      <c r="G1600" s="123">
        <v>0.13558907451521235</v>
      </c>
    </row>
    <row r="1601" spans="2:7" x14ac:dyDescent="0.2">
      <c r="B1601" s="120" t="s">
        <v>3489</v>
      </c>
      <c r="C1601" s="121" t="s">
        <v>3490</v>
      </c>
      <c r="D1601" s="122" t="s">
        <v>3556</v>
      </c>
      <c r="E1601" s="122" t="s">
        <v>3794</v>
      </c>
      <c r="F1601" s="124">
        <v>5.8</v>
      </c>
      <c r="G1601" s="123">
        <v>0.24874475357608136</v>
      </c>
    </row>
    <row r="1602" spans="2:7" x14ac:dyDescent="0.2">
      <c r="B1602" s="120" t="s">
        <v>3491</v>
      </c>
      <c r="C1602" s="121" t="s">
        <v>3492</v>
      </c>
      <c r="D1602" s="122" t="s">
        <v>25</v>
      </c>
      <c r="E1602" s="122" t="s">
        <v>3767</v>
      </c>
      <c r="F1602" s="124">
        <v>12.46</v>
      </c>
      <c r="G1602" s="123">
        <v>6.1067512362932647E-2</v>
      </c>
    </row>
    <row r="1603" spans="2:7" x14ac:dyDescent="0.2">
      <c r="B1603" s="120" t="s">
        <v>3493</v>
      </c>
      <c r="C1603" s="121" t="s">
        <v>3494</v>
      </c>
      <c r="D1603" s="122" t="s">
        <v>3580</v>
      </c>
      <c r="E1603" s="122" t="s">
        <v>3750</v>
      </c>
      <c r="F1603" s="124">
        <v>-0.65</v>
      </c>
      <c r="G1603" s="123">
        <v>-0.10252808988764045</v>
      </c>
    </row>
    <row r="1604" spans="2:7" x14ac:dyDescent="0.2">
      <c r="B1604" s="120" t="s">
        <v>3495</v>
      </c>
      <c r="C1604" s="121" t="s">
        <v>3496</v>
      </c>
      <c r="D1604" s="122" t="s">
        <v>25</v>
      </c>
      <c r="E1604" s="122" t="s">
        <v>3703</v>
      </c>
      <c r="F1604" s="124">
        <v>-4.88</v>
      </c>
      <c r="G1604" s="123">
        <v>5.1185438819638801E-2</v>
      </c>
    </row>
    <row r="1605" spans="2:7" x14ac:dyDescent="0.2">
      <c r="B1605" s="120" t="s">
        <v>3497</v>
      </c>
      <c r="C1605" s="121" t="s">
        <v>3498</v>
      </c>
      <c r="D1605" s="122" t="s">
        <v>25</v>
      </c>
      <c r="E1605" s="122" t="s">
        <v>3702</v>
      </c>
      <c r="F1605" s="124">
        <v>9.6300000000000008</v>
      </c>
      <c r="G1605" s="123">
        <v>1.2737045340192895E-2</v>
      </c>
    </row>
    <row r="1606" spans="2:7" x14ac:dyDescent="0.2">
      <c r="B1606" s="120" t="s">
        <v>3499</v>
      </c>
      <c r="C1606" s="121" t="s">
        <v>3500</v>
      </c>
      <c r="D1606" s="122" t="s">
        <v>3612</v>
      </c>
      <c r="E1606" s="122" t="s">
        <v>3627</v>
      </c>
      <c r="F1606" s="124">
        <v>3.98</v>
      </c>
      <c r="G1606" s="123">
        <v>4.4997135552495657E-3</v>
      </c>
    </row>
    <row r="1607" spans="2:7" x14ac:dyDescent="0.2">
      <c r="B1607" s="120" t="s">
        <v>3501</v>
      </c>
      <c r="C1607" s="121" t="s">
        <v>3502</v>
      </c>
      <c r="D1607" s="122" t="s">
        <v>3591</v>
      </c>
      <c r="E1607" s="122" t="s">
        <v>3592</v>
      </c>
      <c r="F1607" s="124">
        <v>0.55000000000000004</v>
      </c>
      <c r="G1607" s="123">
        <v>2.9013394296610914E-2</v>
      </c>
    </row>
    <row r="1608" spans="2:7" x14ac:dyDescent="0.2">
      <c r="B1608" s="120" t="s">
        <v>3503</v>
      </c>
      <c r="C1608" s="121" t="s">
        <v>3504</v>
      </c>
      <c r="D1608" s="122" t="s">
        <v>3556</v>
      </c>
      <c r="E1608" s="122" t="s">
        <v>3801</v>
      </c>
      <c r="F1608" s="124">
        <v>5.82</v>
      </c>
      <c r="G1608" s="123">
        <v>0.12218277629583144</v>
      </c>
    </row>
    <row r="1609" spans="2:7" x14ac:dyDescent="0.2">
      <c r="B1609" s="120" t="s">
        <v>3505</v>
      </c>
      <c r="C1609" s="121" t="s">
        <v>3506</v>
      </c>
      <c r="D1609" s="122" t="s">
        <v>3591</v>
      </c>
      <c r="E1609" s="122" t="s">
        <v>3643</v>
      </c>
      <c r="F1609" s="124"/>
      <c r="G1609" s="123">
        <v>0.16205365443053296</v>
      </c>
    </row>
    <row r="1610" spans="2:7" x14ac:dyDescent="0.2">
      <c r="B1610" s="120" t="s">
        <v>3507</v>
      </c>
      <c r="C1610" s="121" t="s">
        <v>22</v>
      </c>
      <c r="D1610" s="122" t="s">
        <v>3612</v>
      </c>
      <c r="E1610" s="122" t="s">
        <v>3669</v>
      </c>
      <c r="F1610" s="124">
        <v>-6.02</v>
      </c>
      <c r="G1610" s="123">
        <v>-6.2885278692817667E-2</v>
      </c>
    </row>
    <row r="1611" spans="2:7" x14ac:dyDescent="0.2">
      <c r="B1611" s="120" t="s">
        <v>3508</v>
      </c>
      <c r="C1611" s="121" t="s">
        <v>3509</v>
      </c>
      <c r="D1611" s="122" t="s">
        <v>3561</v>
      </c>
      <c r="E1611" s="122" t="s">
        <v>3639</v>
      </c>
      <c r="F1611" s="124">
        <v>56.18</v>
      </c>
      <c r="G1611" s="123">
        <v>-1.0170741362347311E-2</v>
      </c>
    </row>
    <row r="1612" spans="2:7" x14ac:dyDescent="0.2">
      <c r="B1612" s="120" t="s">
        <v>3510</v>
      </c>
      <c r="C1612" s="121" t="s">
        <v>3511</v>
      </c>
      <c r="D1612" s="122" t="s">
        <v>3569</v>
      </c>
      <c r="E1612" s="122" t="s">
        <v>3571</v>
      </c>
      <c r="F1612" s="124">
        <v>10.36</v>
      </c>
      <c r="G1612" s="123">
        <v>1.0009357047888851E-3</v>
      </c>
    </row>
    <row r="1613" spans="2:7" x14ac:dyDescent="0.2">
      <c r="B1613" s="120" t="s">
        <v>3512</v>
      </c>
      <c r="C1613" s="121" t="s">
        <v>3513</v>
      </c>
      <c r="D1613" s="122" t="s">
        <v>3558</v>
      </c>
      <c r="E1613" s="122" t="s">
        <v>3648</v>
      </c>
      <c r="F1613" s="124">
        <v>-18.21</v>
      </c>
      <c r="G1613" s="123">
        <v>-7.1483183112919721E-2</v>
      </c>
    </row>
    <row r="1614" spans="2:7" x14ac:dyDescent="0.2">
      <c r="B1614" s="120" t="s">
        <v>3514</v>
      </c>
      <c r="C1614" s="121" t="s">
        <v>3515</v>
      </c>
      <c r="D1614" s="122" t="s">
        <v>3558</v>
      </c>
      <c r="E1614" s="122" t="s">
        <v>3642</v>
      </c>
      <c r="F1614" s="124">
        <v>8.85</v>
      </c>
      <c r="G1614" s="123">
        <v>3.0161282888419391E-2</v>
      </c>
    </row>
    <row r="1615" spans="2:7" x14ac:dyDescent="0.2">
      <c r="B1615" s="120" t="s">
        <v>3516</v>
      </c>
      <c r="C1615" s="121" t="s">
        <v>3517</v>
      </c>
      <c r="D1615" s="122" t="s">
        <v>3576</v>
      </c>
      <c r="E1615" s="122" t="s">
        <v>3578</v>
      </c>
      <c r="F1615" s="124">
        <v>9.99</v>
      </c>
      <c r="G1615" s="123">
        <v>-1</v>
      </c>
    </row>
    <row r="1616" spans="2:7" x14ac:dyDescent="0.2">
      <c r="B1616" s="120" t="s">
        <v>3518</v>
      </c>
      <c r="C1616" s="121" t="s">
        <v>3519</v>
      </c>
      <c r="D1616" s="122" t="s">
        <v>3556</v>
      </c>
      <c r="E1616" s="122" t="s">
        <v>3607</v>
      </c>
      <c r="F1616" s="124">
        <v>9.3800000000000008</v>
      </c>
      <c r="G1616" s="123">
        <v>6.5726282988871176E-2</v>
      </c>
    </row>
    <row r="1617" spans="2:7" x14ac:dyDescent="0.2">
      <c r="B1617" s="120" t="s">
        <v>3520</v>
      </c>
      <c r="C1617" s="121" t="s">
        <v>3521</v>
      </c>
      <c r="D1617" s="122" t="s">
        <v>3610</v>
      </c>
      <c r="E1617" s="122" t="s">
        <v>3656</v>
      </c>
      <c r="F1617" s="124">
        <v>4.68</v>
      </c>
      <c r="G1617" s="123">
        <v>5.167662095606302E-2</v>
      </c>
    </row>
    <row r="1618" spans="2:7" x14ac:dyDescent="0.2">
      <c r="B1618" s="120" t="s">
        <v>3522</v>
      </c>
      <c r="C1618" s="121" t="s">
        <v>3523</v>
      </c>
      <c r="D1618" s="122" t="s">
        <v>3556</v>
      </c>
      <c r="E1618" s="122" t="s">
        <v>3791</v>
      </c>
      <c r="F1618" s="124">
        <v>17.37</v>
      </c>
      <c r="G1618" s="123">
        <v>0.46763550282977812</v>
      </c>
    </row>
    <row r="1619" spans="2:7" x14ac:dyDescent="0.2">
      <c r="B1619" s="120" t="s">
        <v>3524</v>
      </c>
      <c r="C1619" s="121" t="s">
        <v>3525</v>
      </c>
      <c r="D1619" s="122" t="s">
        <v>3612</v>
      </c>
      <c r="E1619" s="122" t="s">
        <v>3669</v>
      </c>
      <c r="F1619" s="124">
        <v>-0.77</v>
      </c>
      <c r="G1619" s="123">
        <v>-8.6778555702390472E-2</v>
      </c>
    </row>
    <row r="1620" spans="2:7" x14ac:dyDescent="0.2">
      <c r="B1620" s="120" t="s">
        <v>3526</v>
      </c>
      <c r="C1620" s="121" t="s">
        <v>3527</v>
      </c>
      <c r="D1620" s="122" t="s">
        <v>3563</v>
      </c>
      <c r="E1620" s="122" t="s">
        <v>3690</v>
      </c>
      <c r="F1620" s="124">
        <v>-21.9</v>
      </c>
      <c r="G1620" s="123">
        <v>-1.8497172995780544E-2</v>
      </c>
    </row>
    <row r="1621" spans="2:7" x14ac:dyDescent="0.2">
      <c r="B1621" s="120" t="s">
        <v>3528</v>
      </c>
      <c r="C1621" s="121" t="s">
        <v>3529</v>
      </c>
      <c r="D1621" s="122" t="s">
        <v>3563</v>
      </c>
      <c r="E1621" s="122" t="s">
        <v>3690</v>
      </c>
      <c r="F1621" s="124"/>
      <c r="G1621" s="123">
        <v>5.0944299465240657E-2</v>
      </c>
    </row>
    <row r="1622" spans="2:7" x14ac:dyDescent="0.2">
      <c r="B1622" s="120" t="s">
        <v>3530</v>
      </c>
      <c r="C1622" s="121" t="s">
        <v>3531</v>
      </c>
      <c r="D1622" s="122" t="s">
        <v>3556</v>
      </c>
      <c r="E1622" s="122" t="s">
        <v>3791</v>
      </c>
      <c r="F1622" s="124">
        <v>40.82</v>
      </c>
      <c r="G1622" s="123">
        <v>0.54867081750417623</v>
      </c>
    </row>
    <row r="1623" spans="2:7" x14ac:dyDescent="0.2">
      <c r="B1623" s="120" t="s">
        <v>3532</v>
      </c>
      <c r="C1623" s="121" t="s">
        <v>3533</v>
      </c>
      <c r="D1623" s="122" t="s">
        <v>3556</v>
      </c>
      <c r="E1623" s="122" t="s">
        <v>3802</v>
      </c>
      <c r="F1623" s="124">
        <v>21.28</v>
      </c>
      <c r="G1623" s="123">
        <v>1.2278906128782059E-2</v>
      </c>
    </row>
    <row r="1624" spans="2:7" x14ac:dyDescent="0.2">
      <c r="B1624" s="120" t="s">
        <v>3534</v>
      </c>
      <c r="C1624" s="121" t="s">
        <v>3535</v>
      </c>
      <c r="D1624" s="122" t="s">
        <v>3569</v>
      </c>
      <c r="E1624" s="122" t="s">
        <v>3572</v>
      </c>
      <c r="F1624" s="124">
        <v>13.43</v>
      </c>
      <c r="G1624" s="123">
        <v>2.6594398013337762E-3</v>
      </c>
    </row>
    <row r="1625" spans="2:7" x14ac:dyDescent="0.2">
      <c r="B1625" s="120" t="s">
        <v>3536</v>
      </c>
      <c r="C1625" s="121" t="s">
        <v>3537</v>
      </c>
      <c r="D1625" s="122" t="s">
        <v>3558</v>
      </c>
      <c r="E1625" s="122" t="s">
        <v>3770</v>
      </c>
      <c r="F1625" s="124">
        <v>18.809999999999999</v>
      </c>
      <c r="G1625" s="123">
        <v>6.8339231863442484E-2</v>
      </c>
    </row>
    <row r="1626" spans="2:7" x14ac:dyDescent="0.2">
      <c r="B1626" s="120" t="s">
        <v>3538</v>
      </c>
      <c r="C1626" s="121" t="s">
        <v>3539</v>
      </c>
      <c r="D1626" s="122" t="s">
        <v>3556</v>
      </c>
      <c r="E1626" s="122" t="s">
        <v>3630</v>
      </c>
      <c r="F1626" s="124">
        <v>45.86</v>
      </c>
      <c r="G1626" s="123">
        <v>0.35330440083507314</v>
      </c>
    </row>
    <row r="1627" spans="2:7" x14ac:dyDescent="0.2">
      <c r="B1627" s="120" t="s">
        <v>3540</v>
      </c>
      <c r="C1627" s="121" t="s">
        <v>3541</v>
      </c>
      <c r="D1627" s="122" t="s">
        <v>3576</v>
      </c>
      <c r="E1627" s="122" t="s">
        <v>3667</v>
      </c>
      <c r="F1627" s="124">
        <v>7.95</v>
      </c>
      <c r="G1627" s="123">
        <v>-5.9839406528189955E-2</v>
      </c>
    </row>
    <row r="1628" spans="2:7" x14ac:dyDescent="0.2">
      <c r="B1628" s="120" t="s">
        <v>3542</v>
      </c>
      <c r="C1628" s="121" t="s">
        <v>3543</v>
      </c>
      <c r="D1628" s="122" t="s">
        <v>25</v>
      </c>
      <c r="E1628" s="122" t="s">
        <v>3702</v>
      </c>
      <c r="F1628" s="124">
        <v>7.57</v>
      </c>
      <c r="G1628" s="123">
        <v>0.66566173212376412</v>
      </c>
    </row>
    <row r="1629" spans="2:7" x14ac:dyDescent="0.2">
      <c r="B1629" s="120" t="s">
        <v>3544</v>
      </c>
      <c r="C1629" s="121" t="s">
        <v>3545</v>
      </c>
      <c r="D1629" s="122" t="s">
        <v>3561</v>
      </c>
      <c r="E1629" s="122" t="s">
        <v>3562</v>
      </c>
      <c r="F1629" s="124"/>
      <c r="G1629" s="123">
        <v>0.12383448989343902</v>
      </c>
    </row>
    <row r="1630" spans="2:7" x14ac:dyDescent="0.2">
      <c r="B1630" s="120" t="s">
        <v>3546</v>
      </c>
      <c r="C1630" s="121" t="s">
        <v>3547</v>
      </c>
      <c r="D1630" s="122" t="s">
        <v>3556</v>
      </c>
      <c r="E1630" s="122" t="s">
        <v>3607</v>
      </c>
      <c r="F1630" s="124"/>
      <c r="G1630" s="123">
        <v>0.32594109100515134</v>
      </c>
    </row>
    <row r="1631" spans="2:7" x14ac:dyDescent="0.2">
      <c r="B1631" s="120" t="s">
        <v>3548</v>
      </c>
      <c r="C1631" s="121" t="s">
        <v>3549</v>
      </c>
      <c r="D1631" s="122" t="s">
        <v>3556</v>
      </c>
      <c r="E1631" s="122" t="s">
        <v>3742</v>
      </c>
      <c r="F1631" s="124">
        <v>1.18</v>
      </c>
      <c r="G1631" s="123">
        <v>1.2837213567947999E-2</v>
      </c>
    </row>
    <row r="1632" spans="2:7" x14ac:dyDescent="0.2">
      <c r="B1632" s="120" t="s">
        <v>3550</v>
      </c>
      <c r="C1632" s="121" t="s">
        <v>3551</v>
      </c>
      <c r="D1632" s="122" t="s">
        <v>3561</v>
      </c>
      <c r="E1632" s="122" t="s">
        <v>3639</v>
      </c>
      <c r="F1632" s="124"/>
      <c r="G1632" s="123">
        <v>0.25784625809424871</v>
      </c>
    </row>
    <row r="1633" spans="2:7" x14ac:dyDescent="0.2">
      <c r="B1633" s="120" t="s">
        <v>3552</v>
      </c>
      <c r="C1633" s="121" t="s">
        <v>3553</v>
      </c>
      <c r="D1633" s="122" t="s">
        <v>3569</v>
      </c>
      <c r="E1633" s="122" t="s">
        <v>3722</v>
      </c>
      <c r="F1633" s="124">
        <v>5.37</v>
      </c>
      <c r="G1633" s="123">
        <v>7.121856480686696E-2</v>
      </c>
    </row>
    <row r="1634" spans="2:7" x14ac:dyDescent="0.2">
      <c r="B1634" s="120" t="s">
        <v>3554</v>
      </c>
      <c r="C1634" s="121" t="s">
        <v>3555</v>
      </c>
      <c r="D1634" s="122" t="s">
        <v>3576</v>
      </c>
      <c r="E1634" s="122" t="s">
        <v>3593</v>
      </c>
      <c r="F1634" s="124"/>
      <c r="G1634" s="123">
        <v>-0.91236773569309026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36C9-50F5-419E-BEC1-A719AE0CE96B}">
  <dimension ref="B2:J1634"/>
  <sheetViews>
    <sheetView tabSelected="1" zoomScale="140" zoomScaleNormal="140" workbookViewId="0">
      <selection activeCell="I35" sqref="I35"/>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7" width="20.33203125" style="7" customWidth="1"/>
    <col min="8" max="16384" width="9.1640625" style="6"/>
  </cols>
  <sheetData>
    <row r="2" spans="2:10" ht="16" thickBot="1" x14ac:dyDescent="0.25"/>
    <row r="3" spans="2:10" x14ac:dyDescent="0.2">
      <c r="B3" s="116" t="s">
        <v>307</v>
      </c>
      <c r="C3" s="117" t="s">
        <v>308</v>
      </c>
      <c r="D3" s="117" t="s">
        <v>23</v>
      </c>
      <c r="E3" s="117" t="s">
        <v>5</v>
      </c>
      <c r="F3" s="118" t="s">
        <v>3803</v>
      </c>
      <c r="G3" s="119" t="s">
        <v>3804</v>
      </c>
      <c r="J3" s="6" t="s">
        <v>4725</v>
      </c>
    </row>
    <row r="4" spans="2:10" x14ac:dyDescent="0.2">
      <c r="B4" s="120" t="s">
        <v>309</v>
      </c>
      <c r="C4" s="121" t="s">
        <v>310</v>
      </c>
      <c r="D4" s="122" t="s">
        <v>3556</v>
      </c>
      <c r="E4" s="122" t="s">
        <v>3557</v>
      </c>
      <c r="F4" s="123">
        <v>0.13653136531365317</v>
      </c>
      <c r="G4" s="123">
        <v>0.10714285714285716</v>
      </c>
      <c r="J4" s="6" t="s">
        <v>4722</v>
      </c>
    </row>
    <row r="5" spans="2:10" x14ac:dyDescent="0.2">
      <c r="B5" s="120" t="s">
        <v>311</v>
      </c>
      <c r="C5" s="121" t="s">
        <v>312</v>
      </c>
      <c r="D5" s="122" t="s">
        <v>3558</v>
      </c>
      <c r="E5" s="122" t="s">
        <v>3559</v>
      </c>
      <c r="F5" s="123">
        <v>-1.0794117647058823</v>
      </c>
      <c r="G5" s="123">
        <v>4.6296296296296298</v>
      </c>
      <c r="J5" s="6" t="s">
        <v>4723</v>
      </c>
    </row>
    <row r="6" spans="2:10" x14ac:dyDescent="0.2">
      <c r="B6" s="120" t="s">
        <v>313</v>
      </c>
      <c r="C6" s="121" t="s">
        <v>314</v>
      </c>
      <c r="D6" s="122" t="s">
        <v>3556</v>
      </c>
      <c r="E6" s="122" t="s">
        <v>3560</v>
      </c>
      <c r="F6" s="123">
        <v>-0.43999999999999995</v>
      </c>
      <c r="G6" s="123">
        <v>0.35714285714285704</v>
      </c>
      <c r="J6" s="6" t="s">
        <v>4724</v>
      </c>
    </row>
    <row r="7" spans="2:10" x14ac:dyDescent="0.2">
      <c r="B7" s="120" t="s">
        <v>315</v>
      </c>
      <c r="C7" s="121" t="s">
        <v>316</v>
      </c>
      <c r="D7" s="122" t="s">
        <v>3561</v>
      </c>
      <c r="E7" s="122" t="s">
        <v>3562</v>
      </c>
      <c r="F7" s="123">
        <v>8.4070796460177177E-2</v>
      </c>
      <c r="G7" s="123">
        <v>0.13673469387755099</v>
      </c>
    </row>
    <row r="8" spans="2:10" x14ac:dyDescent="0.2">
      <c r="B8" s="120" t="s">
        <v>317</v>
      </c>
      <c r="C8" s="121" t="s">
        <v>318</v>
      </c>
      <c r="D8" s="122" t="s">
        <v>3563</v>
      </c>
      <c r="E8" s="122" t="s">
        <v>3564</v>
      </c>
      <c r="F8" s="123">
        <v>0.16913946587537088</v>
      </c>
      <c r="G8" s="123">
        <v>0.13705583756345191</v>
      </c>
    </row>
    <row r="9" spans="2:10" x14ac:dyDescent="0.2">
      <c r="B9" s="120" t="s">
        <v>319</v>
      </c>
      <c r="C9" s="121" t="s">
        <v>320</v>
      </c>
      <c r="D9" s="122" t="s">
        <v>3563</v>
      </c>
      <c r="E9" s="122" t="s">
        <v>3565</v>
      </c>
      <c r="F9" s="123">
        <v>0.12112676056338033</v>
      </c>
      <c r="G9" s="123">
        <v>0.13693467336683426</v>
      </c>
    </row>
    <row r="10" spans="2:10" x14ac:dyDescent="0.2">
      <c r="B10" s="120" t="s">
        <v>321</v>
      </c>
      <c r="C10" s="121" t="s">
        <v>322</v>
      </c>
      <c r="D10" s="122" t="s">
        <v>3556</v>
      </c>
      <c r="E10" s="122" t="s">
        <v>3566</v>
      </c>
      <c r="F10" s="123">
        <v>-6.7969413763806349E-3</v>
      </c>
      <c r="G10" s="123">
        <v>0.11377245508982037</v>
      </c>
    </row>
    <row r="11" spans="2:10" x14ac:dyDescent="0.2">
      <c r="B11" s="120" t="s">
        <v>323</v>
      </c>
      <c r="C11" s="121" t="s">
        <v>324</v>
      </c>
      <c r="D11" s="122" t="s">
        <v>3558</v>
      </c>
      <c r="E11" s="122" t="s">
        <v>3567</v>
      </c>
      <c r="F11" s="123">
        <v>0.23076923076923067</v>
      </c>
      <c r="G11" s="123">
        <v>0.34375000000000011</v>
      </c>
    </row>
    <row r="12" spans="2:10" x14ac:dyDescent="0.2">
      <c r="B12" s="120" t="s">
        <v>325</v>
      </c>
      <c r="C12" s="121" t="s">
        <v>326</v>
      </c>
      <c r="D12" s="122" t="s">
        <v>3558</v>
      </c>
      <c r="E12" s="122" t="s">
        <v>3568</v>
      </c>
      <c r="F12" s="123">
        <v>-0.38571428571428568</v>
      </c>
      <c r="G12" s="123">
        <v>0.22093023255813959</v>
      </c>
    </row>
    <row r="13" spans="2:10" x14ac:dyDescent="0.2">
      <c r="B13" s="120" t="s">
        <v>327</v>
      </c>
      <c r="C13" s="121" t="s">
        <v>328</v>
      </c>
      <c r="D13" s="122" t="s">
        <v>3569</v>
      </c>
      <c r="E13" s="122" t="s">
        <v>3570</v>
      </c>
      <c r="F13" s="123">
        <v>0.12232030264817159</v>
      </c>
      <c r="G13" s="123">
        <v>3.7078651685393267E-2</v>
      </c>
    </row>
    <row r="14" spans="2:10" x14ac:dyDescent="0.2">
      <c r="B14" s="120" t="s">
        <v>329</v>
      </c>
      <c r="C14" s="121" t="s">
        <v>330</v>
      </c>
      <c r="D14" s="122" t="s">
        <v>3569</v>
      </c>
      <c r="E14" s="122" t="s">
        <v>3571</v>
      </c>
      <c r="F14" s="123">
        <v>8.7962962962962868E-2</v>
      </c>
      <c r="G14" s="123">
        <v>7.3758865248227015E-2</v>
      </c>
    </row>
    <row r="15" spans="2:10" x14ac:dyDescent="0.2">
      <c r="B15" s="120" t="s">
        <v>331</v>
      </c>
      <c r="C15" s="121" t="s">
        <v>332</v>
      </c>
      <c r="D15" s="122" t="s">
        <v>3569</v>
      </c>
      <c r="E15" s="122" t="s">
        <v>3572</v>
      </c>
      <c r="F15" s="123">
        <v>-4.878048780487796E-2</v>
      </c>
      <c r="G15" s="123">
        <v>0.10256410256410251</v>
      </c>
    </row>
    <row r="16" spans="2:10" x14ac:dyDescent="0.2">
      <c r="B16" s="120" t="s">
        <v>333</v>
      </c>
      <c r="C16" s="121" t="s">
        <v>334</v>
      </c>
      <c r="D16" s="122" t="s">
        <v>24</v>
      </c>
      <c r="E16" s="122" t="s">
        <v>3573</v>
      </c>
      <c r="F16" s="123">
        <v>-9.5238095238095191E-2</v>
      </c>
      <c r="G16" s="123">
        <v>0.15789473684210525</v>
      </c>
    </row>
    <row r="17" spans="2:7" x14ac:dyDescent="0.2">
      <c r="B17" s="120" t="s">
        <v>335</v>
      </c>
      <c r="C17" s="121" t="s">
        <v>336</v>
      </c>
      <c r="D17" s="122" t="s">
        <v>3569</v>
      </c>
      <c r="E17" s="122" t="s">
        <v>3574</v>
      </c>
      <c r="F17" s="123">
        <v>1.3806706114398302E-2</v>
      </c>
      <c r="G17" s="123">
        <v>7.7821011673151821E-3</v>
      </c>
    </row>
    <row r="18" spans="2:7" x14ac:dyDescent="0.2">
      <c r="B18" s="120" t="s">
        <v>337</v>
      </c>
      <c r="C18" s="121" t="s">
        <v>338</v>
      </c>
      <c r="D18" s="122" t="s">
        <v>3569</v>
      </c>
      <c r="E18" s="122" t="s">
        <v>3572</v>
      </c>
      <c r="F18" s="123">
        <v>0.12110726643598618</v>
      </c>
      <c r="G18" s="123">
        <v>0.12037037037037027</v>
      </c>
    </row>
    <row r="19" spans="2:7" x14ac:dyDescent="0.2">
      <c r="B19" s="120" t="s">
        <v>339</v>
      </c>
      <c r="C19" s="121" t="s">
        <v>340</v>
      </c>
      <c r="D19" s="122" t="s">
        <v>3569</v>
      </c>
      <c r="E19" s="122" t="s">
        <v>3575</v>
      </c>
      <c r="F19" s="123">
        <v>0.10552763819095476</v>
      </c>
      <c r="G19" s="123">
        <v>0.28651685393258425</v>
      </c>
    </row>
    <row r="20" spans="2:7" x14ac:dyDescent="0.2">
      <c r="B20" s="120" t="s">
        <v>341</v>
      </c>
      <c r="C20" s="121" t="s">
        <v>342</v>
      </c>
      <c r="D20" s="122" t="s">
        <v>3569</v>
      </c>
      <c r="E20" s="122" t="s">
        <v>3572</v>
      </c>
      <c r="F20" s="123">
        <v>0.65217391304347838</v>
      </c>
      <c r="G20" s="123">
        <v>1.25</v>
      </c>
    </row>
    <row r="21" spans="2:7" x14ac:dyDescent="0.2">
      <c r="B21" s="120" t="s">
        <v>343</v>
      </c>
      <c r="C21" s="121" t="s">
        <v>344</v>
      </c>
      <c r="D21" s="122" t="s">
        <v>3576</v>
      </c>
      <c r="E21" s="122" t="s">
        <v>3577</v>
      </c>
      <c r="F21" s="123">
        <v>4.7619047619047561E-2</v>
      </c>
      <c r="G21" s="123">
        <v>3.305785123966945E-2</v>
      </c>
    </row>
    <row r="22" spans="2:7" x14ac:dyDescent="0.2">
      <c r="B22" s="120" t="s">
        <v>345</v>
      </c>
      <c r="C22" s="121" t="s">
        <v>346</v>
      </c>
      <c r="D22" s="122" t="s">
        <v>3576</v>
      </c>
      <c r="E22" s="122" t="s">
        <v>3578</v>
      </c>
      <c r="F22" s="123">
        <v>0.33649289099526064</v>
      </c>
      <c r="G22" s="123">
        <v>6.3829787234042618E-2</v>
      </c>
    </row>
    <row r="23" spans="2:7" x14ac:dyDescent="0.2">
      <c r="B23" s="120" t="s">
        <v>347</v>
      </c>
      <c r="C23" s="121" t="s">
        <v>348</v>
      </c>
      <c r="D23" s="122" t="s">
        <v>3556</v>
      </c>
      <c r="E23" s="122" t="s">
        <v>3579</v>
      </c>
      <c r="F23" s="123">
        <v>-1</v>
      </c>
      <c r="G23" s="123" t="e">
        <v>#DIV/0!</v>
      </c>
    </row>
    <row r="24" spans="2:7" x14ac:dyDescent="0.2">
      <c r="B24" s="120" t="s">
        <v>349</v>
      </c>
      <c r="C24" s="121" t="s">
        <v>350</v>
      </c>
      <c r="D24" s="122" t="s">
        <v>3580</v>
      </c>
      <c r="E24" s="122" t="s">
        <v>3581</v>
      </c>
      <c r="F24" s="123">
        <v>3.7453183520599287E-2</v>
      </c>
      <c r="G24" s="123">
        <v>0.16967509025270766</v>
      </c>
    </row>
    <row r="25" spans="2:7" x14ac:dyDescent="0.2">
      <c r="B25" s="120" t="s">
        <v>351</v>
      </c>
      <c r="C25" s="121" t="s">
        <v>352</v>
      </c>
      <c r="D25" s="122" t="s">
        <v>3582</v>
      </c>
      <c r="E25" s="122" t="s">
        <v>3583</v>
      </c>
      <c r="F25" s="123">
        <v>8.4583901773533435E-2</v>
      </c>
      <c r="G25" s="123">
        <v>8.6792452830188729E-2</v>
      </c>
    </row>
    <row r="26" spans="2:7" x14ac:dyDescent="0.2">
      <c r="B26" s="120" t="s">
        <v>353</v>
      </c>
      <c r="C26" s="121" t="s">
        <v>354</v>
      </c>
      <c r="D26" s="122" t="s">
        <v>3556</v>
      </c>
      <c r="E26" s="122" t="s">
        <v>3579</v>
      </c>
      <c r="F26" s="123">
        <v>0.15000000000000008</v>
      </c>
      <c r="G26" s="123">
        <v>0.23913043478260859</v>
      </c>
    </row>
    <row r="27" spans="2:7" x14ac:dyDescent="0.2">
      <c r="B27" s="120" t="s">
        <v>355</v>
      </c>
      <c r="C27" s="121" t="s">
        <v>356</v>
      </c>
      <c r="D27" s="122" t="s">
        <v>3576</v>
      </c>
      <c r="E27" s="122" t="s">
        <v>3584</v>
      </c>
      <c r="F27" s="123">
        <v>5.5749128919860523E-2</v>
      </c>
      <c r="G27" s="123">
        <v>7.9207920792079278E-2</v>
      </c>
    </row>
    <row r="28" spans="2:7" x14ac:dyDescent="0.2">
      <c r="B28" s="120" t="s">
        <v>357</v>
      </c>
      <c r="C28" s="121" t="s">
        <v>358</v>
      </c>
      <c r="D28" s="122" t="s">
        <v>25</v>
      </c>
      <c r="E28" s="122" t="s">
        <v>3585</v>
      </c>
      <c r="F28" s="123">
        <v>0.14316239316239315</v>
      </c>
      <c r="G28" s="123">
        <v>0.1364485981308412</v>
      </c>
    </row>
    <row r="29" spans="2:7" x14ac:dyDescent="0.2">
      <c r="B29" s="120" t="s">
        <v>359</v>
      </c>
      <c r="C29" s="121" t="s">
        <v>360</v>
      </c>
      <c r="D29" s="122" t="s">
        <v>3556</v>
      </c>
      <c r="E29" s="122" t="s">
        <v>3586</v>
      </c>
      <c r="F29" s="123">
        <v>-0.1231028667790893</v>
      </c>
      <c r="G29" s="123">
        <v>1.7307692307692281E-2</v>
      </c>
    </row>
    <row r="30" spans="2:7" x14ac:dyDescent="0.2">
      <c r="B30" s="120" t="s">
        <v>361</v>
      </c>
      <c r="C30" s="121" t="s">
        <v>362</v>
      </c>
      <c r="D30" s="122" t="s">
        <v>24</v>
      </c>
      <c r="E30" s="122" t="s">
        <v>3587</v>
      </c>
      <c r="F30" s="123">
        <v>-0.21348314606741578</v>
      </c>
      <c r="G30" s="123">
        <v>0.25000000000000006</v>
      </c>
    </row>
    <row r="31" spans="2:7" x14ac:dyDescent="0.2">
      <c r="B31" s="120" t="s">
        <v>363</v>
      </c>
      <c r="C31" s="121" t="s">
        <v>364</v>
      </c>
      <c r="D31" s="122" t="s">
        <v>3582</v>
      </c>
      <c r="E31" s="122" t="s">
        <v>3588</v>
      </c>
      <c r="F31" s="123">
        <v>0.13235294117647053</v>
      </c>
      <c r="G31" s="123">
        <v>0.12987012987012983</v>
      </c>
    </row>
    <row r="32" spans="2:7" x14ac:dyDescent="0.2">
      <c r="B32" s="120" t="s">
        <v>365</v>
      </c>
      <c r="C32" s="121" t="s">
        <v>366</v>
      </c>
      <c r="D32" s="122" t="s">
        <v>24</v>
      </c>
      <c r="E32" s="122" t="s">
        <v>3589</v>
      </c>
      <c r="F32" s="123">
        <v>1.1299435028248598E-2</v>
      </c>
      <c r="G32" s="123">
        <v>5.0279329608938467E-2</v>
      </c>
    </row>
    <row r="33" spans="2:7" x14ac:dyDescent="0.2">
      <c r="B33" s="120" t="s">
        <v>367</v>
      </c>
      <c r="C33" s="121" t="s">
        <v>368</v>
      </c>
      <c r="D33" s="122" t="s">
        <v>3582</v>
      </c>
      <c r="E33" s="122" t="s">
        <v>3590</v>
      </c>
      <c r="F33" s="123">
        <v>-0.1401498457470251</v>
      </c>
      <c r="G33" s="123">
        <v>0.19784725781650431</v>
      </c>
    </row>
    <row r="34" spans="2:7" x14ac:dyDescent="0.2">
      <c r="B34" s="120" t="s">
        <v>369</v>
      </c>
      <c r="C34" s="121" t="s">
        <v>370</v>
      </c>
      <c r="D34" s="122" t="s">
        <v>3556</v>
      </c>
      <c r="E34" s="122" t="s">
        <v>3579</v>
      </c>
      <c r="F34" s="123">
        <v>1.8265306122448981</v>
      </c>
      <c r="G34" s="123">
        <v>0.63537906137184119</v>
      </c>
    </row>
    <row r="35" spans="2:7" x14ac:dyDescent="0.2">
      <c r="B35" s="120" t="s">
        <v>371</v>
      </c>
      <c r="C35" s="121" t="s">
        <v>372</v>
      </c>
      <c r="D35" s="122" t="s">
        <v>3558</v>
      </c>
      <c r="E35" s="122" t="s">
        <v>3567</v>
      </c>
      <c r="F35" s="123">
        <v>9.4117647058823611E-2</v>
      </c>
      <c r="G35" s="123">
        <v>8.6021505376344037E-2</v>
      </c>
    </row>
    <row r="36" spans="2:7" x14ac:dyDescent="0.2">
      <c r="B36" s="120" t="s">
        <v>373</v>
      </c>
      <c r="C36" s="121" t="s">
        <v>374</v>
      </c>
      <c r="D36" s="122" t="s">
        <v>3591</v>
      </c>
      <c r="E36" s="122" t="s">
        <v>3592</v>
      </c>
      <c r="F36" s="123">
        <v>-4.7058823529411674E-2</v>
      </c>
      <c r="G36" s="123">
        <v>7.716049382716049E-2</v>
      </c>
    </row>
    <row r="37" spans="2:7" x14ac:dyDescent="0.2">
      <c r="B37" s="120" t="s">
        <v>375</v>
      </c>
      <c r="C37" s="121" t="s">
        <v>376</v>
      </c>
      <c r="D37" s="122" t="s">
        <v>3576</v>
      </c>
      <c r="E37" s="122" t="s">
        <v>3593</v>
      </c>
      <c r="F37" s="123">
        <v>0.89189189189189177</v>
      </c>
      <c r="G37" s="123">
        <v>0.24285714285714294</v>
      </c>
    </row>
    <row r="38" spans="2:7" x14ac:dyDescent="0.2">
      <c r="B38" s="120" t="s">
        <v>377</v>
      </c>
      <c r="C38" s="121" t="s">
        <v>378</v>
      </c>
      <c r="D38" s="122" t="s">
        <v>3594</v>
      </c>
      <c r="E38" s="122" t="s">
        <v>3595</v>
      </c>
      <c r="F38" s="123">
        <v>3.2105263157894743</v>
      </c>
      <c r="G38" s="123">
        <v>0.83749999999999991</v>
      </c>
    </row>
    <row r="39" spans="2:7" x14ac:dyDescent="0.2">
      <c r="B39" s="120" t="s">
        <v>379</v>
      </c>
      <c r="C39" s="121" t="s">
        <v>380</v>
      </c>
      <c r="D39" s="122" t="s">
        <v>3591</v>
      </c>
      <c r="E39" s="122" t="s">
        <v>3592</v>
      </c>
      <c r="F39" s="123">
        <v>4.8101265822784685E-2</v>
      </c>
      <c r="G39" s="123">
        <v>6.5217391304347949E-2</v>
      </c>
    </row>
    <row r="40" spans="2:7" x14ac:dyDescent="0.2">
      <c r="B40" s="120" t="s">
        <v>381</v>
      </c>
      <c r="C40" s="121" t="s">
        <v>382</v>
      </c>
      <c r="D40" s="122" t="s">
        <v>3576</v>
      </c>
      <c r="E40" s="122" t="s">
        <v>3596</v>
      </c>
      <c r="F40" s="123">
        <v>0.13043478260869557</v>
      </c>
      <c r="G40" s="123">
        <v>-4.487179487179483E-2</v>
      </c>
    </row>
    <row r="41" spans="2:7" x14ac:dyDescent="0.2">
      <c r="B41" s="120" t="s">
        <v>383</v>
      </c>
      <c r="C41" s="121" t="s">
        <v>384</v>
      </c>
      <c r="D41" s="122" t="s">
        <v>3591</v>
      </c>
      <c r="E41" s="122" t="s">
        <v>3592</v>
      </c>
      <c r="F41" s="123">
        <v>0.10743801652892572</v>
      </c>
      <c r="G41" s="123">
        <v>7.4626865671641687E-2</v>
      </c>
    </row>
    <row r="42" spans="2:7" x14ac:dyDescent="0.2">
      <c r="B42" s="120" t="s">
        <v>385</v>
      </c>
      <c r="C42" s="121" t="s">
        <v>386</v>
      </c>
      <c r="D42" s="122" t="s">
        <v>3576</v>
      </c>
      <c r="E42" s="122" t="s">
        <v>3578</v>
      </c>
      <c r="F42" s="123">
        <v>1.8845700824499427E-2</v>
      </c>
      <c r="G42" s="123">
        <v>4.9710982658959506E-2</v>
      </c>
    </row>
    <row r="43" spans="2:7" x14ac:dyDescent="0.2">
      <c r="B43" s="120" t="s">
        <v>387</v>
      </c>
      <c r="C43" s="121" t="s">
        <v>388</v>
      </c>
      <c r="D43" s="122" t="s">
        <v>3576</v>
      </c>
      <c r="E43" s="122" t="s">
        <v>3597</v>
      </c>
      <c r="F43" s="123">
        <v>6.3725490196078372E-2</v>
      </c>
      <c r="G43" s="123">
        <v>3.4562211981566907E-2</v>
      </c>
    </row>
    <row r="44" spans="2:7" x14ac:dyDescent="0.2">
      <c r="B44" s="120" t="s">
        <v>389</v>
      </c>
      <c r="C44" s="121" t="s">
        <v>390</v>
      </c>
      <c r="D44" s="122" t="s">
        <v>3561</v>
      </c>
      <c r="E44" s="122" t="s">
        <v>3562</v>
      </c>
      <c r="F44" s="123">
        <v>-0.16770186335403728</v>
      </c>
      <c r="G44" s="123">
        <v>0.462686567164179</v>
      </c>
    </row>
    <row r="45" spans="2:7" x14ac:dyDescent="0.2">
      <c r="B45" s="120" t="s">
        <v>391</v>
      </c>
      <c r="C45" s="121" t="s">
        <v>392</v>
      </c>
      <c r="D45" s="122" t="s">
        <v>3558</v>
      </c>
      <c r="E45" s="122" t="s">
        <v>3598</v>
      </c>
      <c r="F45" s="123">
        <v>0.336842105263158</v>
      </c>
      <c r="G45" s="123">
        <v>9.2519685039370025E-2</v>
      </c>
    </row>
    <row r="46" spans="2:7" x14ac:dyDescent="0.2">
      <c r="B46" s="120" t="s">
        <v>393</v>
      </c>
      <c r="C46" s="121" t="s">
        <v>394</v>
      </c>
      <c r="D46" s="122" t="s">
        <v>3576</v>
      </c>
      <c r="E46" s="122" t="s">
        <v>3593</v>
      </c>
      <c r="F46" s="123">
        <v>0.23580786026200876</v>
      </c>
      <c r="G46" s="123">
        <v>-0.10954063604240284</v>
      </c>
    </row>
    <row r="47" spans="2:7" x14ac:dyDescent="0.2">
      <c r="B47" s="120" t="s">
        <v>395</v>
      </c>
      <c r="C47" s="121" t="s">
        <v>396</v>
      </c>
      <c r="D47" s="122" t="s">
        <v>3569</v>
      </c>
      <c r="E47" s="122" t="s">
        <v>3599</v>
      </c>
      <c r="F47" s="123">
        <v>7.2463768115942637E-3</v>
      </c>
      <c r="G47" s="123">
        <v>1.3189448441246934E-2</v>
      </c>
    </row>
    <row r="48" spans="2:7" x14ac:dyDescent="0.2">
      <c r="B48" s="120" t="s">
        <v>397</v>
      </c>
      <c r="C48" s="121" t="s">
        <v>398</v>
      </c>
      <c r="D48" s="122" t="s">
        <v>3576</v>
      </c>
      <c r="E48" s="122" t="s">
        <v>3600</v>
      </c>
      <c r="F48" s="123">
        <v>-0.19262295081967212</v>
      </c>
      <c r="G48" s="123">
        <v>-5.0761421319797002E-3</v>
      </c>
    </row>
    <row r="49" spans="2:7" x14ac:dyDescent="0.2">
      <c r="B49" s="120" t="s">
        <v>399</v>
      </c>
      <c r="C49" s="121" t="s">
        <v>400</v>
      </c>
      <c r="D49" s="122" t="s">
        <v>3591</v>
      </c>
      <c r="E49" s="122" t="s">
        <v>3592</v>
      </c>
      <c r="F49" s="123">
        <v>-4.4052863436124367E-3</v>
      </c>
      <c r="G49" s="123">
        <v>8.4070796460177177E-2</v>
      </c>
    </row>
    <row r="50" spans="2:7" x14ac:dyDescent="0.2">
      <c r="B50" s="120" t="s">
        <v>401</v>
      </c>
      <c r="C50" s="121" t="s">
        <v>402</v>
      </c>
      <c r="D50" s="122" t="s">
        <v>3580</v>
      </c>
      <c r="E50" s="122" t="s">
        <v>3601</v>
      </c>
      <c r="F50" s="123">
        <v>0.11263736263736256</v>
      </c>
      <c r="G50" s="123">
        <v>-5.1851851851851843E-2</v>
      </c>
    </row>
    <row r="51" spans="2:7" x14ac:dyDescent="0.2">
      <c r="B51" s="120" t="s">
        <v>403</v>
      </c>
      <c r="C51" s="121" t="s">
        <v>404</v>
      </c>
      <c r="D51" s="122" t="s">
        <v>3594</v>
      </c>
      <c r="E51" s="122" t="s">
        <v>3602</v>
      </c>
      <c r="F51" s="123">
        <v>-0.18807339449541288</v>
      </c>
      <c r="G51" s="123">
        <v>1.6949152542372895E-2</v>
      </c>
    </row>
    <row r="52" spans="2:7" x14ac:dyDescent="0.2">
      <c r="B52" s="120" t="s">
        <v>405</v>
      </c>
      <c r="C52" s="121" t="s">
        <v>406</v>
      </c>
      <c r="D52" s="122" t="s">
        <v>3576</v>
      </c>
      <c r="E52" s="122" t="s">
        <v>3593</v>
      </c>
      <c r="F52" s="123">
        <v>1.28</v>
      </c>
      <c r="G52" s="123">
        <v>1.9493177387913815E-3</v>
      </c>
    </row>
    <row r="53" spans="2:7" x14ac:dyDescent="0.2">
      <c r="B53" s="120" t="s">
        <v>407</v>
      </c>
      <c r="C53" s="121" t="s">
        <v>408</v>
      </c>
      <c r="D53" s="122" t="s">
        <v>3594</v>
      </c>
      <c r="E53" s="122" t="s">
        <v>3602</v>
      </c>
      <c r="F53" s="123">
        <v>-2.4793388429752088E-2</v>
      </c>
      <c r="G53" s="123">
        <v>9.3220338983050932E-2</v>
      </c>
    </row>
    <row r="54" spans="2:7" x14ac:dyDescent="0.2">
      <c r="B54" s="120" t="s">
        <v>409</v>
      </c>
      <c r="C54" s="121" t="s">
        <v>410</v>
      </c>
      <c r="D54" s="122" t="s">
        <v>3561</v>
      </c>
      <c r="E54" s="122" t="s">
        <v>3562</v>
      </c>
      <c r="F54" s="123">
        <v>1.0357142857142854</v>
      </c>
      <c r="G54" s="123">
        <v>0.13596491228070179</v>
      </c>
    </row>
    <row r="55" spans="2:7" x14ac:dyDescent="0.2">
      <c r="B55" s="120" t="s">
        <v>411</v>
      </c>
      <c r="C55" s="121" t="s">
        <v>412</v>
      </c>
      <c r="D55" s="122" t="s">
        <v>3576</v>
      </c>
      <c r="E55" s="122" t="s">
        <v>3577</v>
      </c>
      <c r="F55" s="123">
        <v>-3.1250000000000028E-2</v>
      </c>
      <c r="G55" s="123">
        <v>5.2419354838709638E-2</v>
      </c>
    </row>
    <row r="56" spans="2:7" x14ac:dyDescent="0.2">
      <c r="B56" s="120" t="s">
        <v>413</v>
      </c>
      <c r="C56" s="121" t="s">
        <v>414</v>
      </c>
      <c r="D56" s="122" t="s">
        <v>3576</v>
      </c>
      <c r="E56" s="122" t="s">
        <v>3593</v>
      </c>
      <c r="F56" s="123">
        <v>0.55319148936170215</v>
      </c>
      <c r="G56" s="123">
        <v>0.10958904109589052</v>
      </c>
    </row>
    <row r="57" spans="2:7" x14ac:dyDescent="0.2">
      <c r="B57" s="120" t="s">
        <v>415</v>
      </c>
      <c r="C57" s="121" t="s">
        <v>416</v>
      </c>
      <c r="D57" s="122" t="s">
        <v>3576</v>
      </c>
      <c r="E57" s="122" t="s">
        <v>3603</v>
      </c>
      <c r="F57" s="123">
        <v>6.1224489795918352E-2</v>
      </c>
      <c r="G57" s="123">
        <v>0.14835164835164824</v>
      </c>
    </row>
    <row r="58" spans="2:7" x14ac:dyDescent="0.2">
      <c r="B58" s="120" t="s">
        <v>417</v>
      </c>
      <c r="C58" s="121" t="s">
        <v>418</v>
      </c>
      <c r="D58" s="122" t="s">
        <v>3576</v>
      </c>
      <c r="E58" s="122" t="s">
        <v>3604</v>
      </c>
      <c r="F58" s="123">
        <v>0.20689655172413793</v>
      </c>
      <c r="G58" s="123">
        <v>8.5714285714285798E-2</v>
      </c>
    </row>
    <row r="59" spans="2:7" x14ac:dyDescent="0.2">
      <c r="B59" s="120" t="s">
        <v>419</v>
      </c>
      <c r="C59" s="121" t="s">
        <v>420</v>
      </c>
      <c r="D59" s="122" t="s">
        <v>3605</v>
      </c>
      <c r="E59" s="122" t="s">
        <v>3606</v>
      </c>
      <c r="F59" s="123">
        <v>1.6483516483516498E-2</v>
      </c>
      <c r="G59" s="123">
        <v>9.7297297297297136E-2</v>
      </c>
    </row>
    <row r="60" spans="2:7" x14ac:dyDescent="0.2">
      <c r="B60" s="120" t="s">
        <v>421</v>
      </c>
      <c r="C60" s="121" t="s">
        <v>422</v>
      </c>
      <c r="D60" s="122" t="s">
        <v>3556</v>
      </c>
      <c r="E60" s="122" t="s">
        <v>3607</v>
      </c>
      <c r="F60" s="123">
        <v>0.19943820224719086</v>
      </c>
      <c r="G60" s="123">
        <v>0.10304449648711954</v>
      </c>
    </row>
    <row r="61" spans="2:7" x14ac:dyDescent="0.2">
      <c r="B61" s="120" t="s">
        <v>423</v>
      </c>
      <c r="C61" s="121" t="s">
        <v>424</v>
      </c>
      <c r="D61" s="122" t="s">
        <v>3594</v>
      </c>
      <c r="E61" s="122" t="s">
        <v>3602</v>
      </c>
      <c r="F61" s="123">
        <v>0.29761904761904778</v>
      </c>
      <c r="G61" s="123">
        <v>0.3761467889908256</v>
      </c>
    </row>
    <row r="62" spans="2:7" x14ac:dyDescent="0.2">
      <c r="B62" s="120" t="s">
        <v>425</v>
      </c>
      <c r="C62" s="121" t="s">
        <v>426</v>
      </c>
      <c r="D62" s="122" t="s">
        <v>3561</v>
      </c>
      <c r="E62" s="122" t="s">
        <v>3608</v>
      </c>
      <c r="F62" s="123">
        <v>-2.4253731343283562E-2</v>
      </c>
      <c r="G62" s="123">
        <v>0.23709369024856583</v>
      </c>
    </row>
    <row r="63" spans="2:7" x14ac:dyDescent="0.2">
      <c r="B63" s="120" t="s">
        <v>427</v>
      </c>
      <c r="C63" s="121" t="s">
        <v>428</v>
      </c>
      <c r="D63" s="122" t="s">
        <v>3594</v>
      </c>
      <c r="E63" s="122" t="s">
        <v>3602</v>
      </c>
      <c r="F63" s="123">
        <v>0.1731123388581953</v>
      </c>
      <c r="G63" s="123">
        <v>3.7676609105180565E-2</v>
      </c>
    </row>
    <row r="64" spans="2:7" x14ac:dyDescent="0.2">
      <c r="B64" s="120" t="s">
        <v>429</v>
      </c>
      <c r="C64" s="121" t="s">
        <v>430</v>
      </c>
      <c r="D64" s="122" t="s">
        <v>3591</v>
      </c>
      <c r="E64" s="122" t="s">
        <v>3592</v>
      </c>
      <c r="F64" s="123">
        <v>7.9881656804733733E-2</v>
      </c>
      <c r="G64" s="123">
        <v>4.9315068493150732E-2</v>
      </c>
    </row>
    <row r="65" spans="2:7" x14ac:dyDescent="0.2">
      <c r="B65" s="120" t="s">
        <v>431</v>
      </c>
      <c r="C65" s="121" t="s">
        <v>432</v>
      </c>
      <c r="D65" s="122" t="s">
        <v>3569</v>
      </c>
      <c r="E65" s="122" t="s">
        <v>3571</v>
      </c>
      <c r="F65" s="123">
        <v>7.3921971252566804E-2</v>
      </c>
      <c r="G65" s="123">
        <v>0.26003824091778188</v>
      </c>
    </row>
    <row r="66" spans="2:7" x14ac:dyDescent="0.2">
      <c r="B66" s="120" t="s">
        <v>433</v>
      </c>
      <c r="C66" s="121" t="s">
        <v>434</v>
      </c>
      <c r="D66" s="122" t="s">
        <v>3561</v>
      </c>
      <c r="E66" s="122" t="s">
        <v>3562</v>
      </c>
      <c r="F66" s="123">
        <v>0.33033707865168532</v>
      </c>
      <c r="G66" s="123">
        <v>0.18750000000000006</v>
      </c>
    </row>
    <row r="67" spans="2:7" x14ac:dyDescent="0.2">
      <c r="B67" s="120" t="s">
        <v>435</v>
      </c>
      <c r="C67" s="121" t="s">
        <v>436</v>
      </c>
      <c r="D67" s="122" t="s">
        <v>3569</v>
      </c>
      <c r="E67" s="122" t="s">
        <v>3575</v>
      </c>
      <c r="F67" s="123">
        <v>0.7142857142857143</v>
      </c>
      <c r="G67" s="123">
        <v>-1.3611111111111112</v>
      </c>
    </row>
    <row r="68" spans="2:7" x14ac:dyDescent="0.2">
      <c r="B68" s="120" t="s">
        <v>437</v>
      </c>
      <c r="C68" s="121" t="s">
        <v>438</v>
      </c>
      <c r="D68" s="122" t="s">
        <v>3576</v>
      </c>
      <c r="E68" s="122" t="s">
        <v>3578</v>
      </c>
      <c r="F68" s="123">
        <v>0.20939086294416237</v>
      </c>
      <c r="G68" s="123">
        <v>6.925498426023087E-2</v>
      </c>
    </row>
    <row r="69" spans="2:7" x14ac:dyDescent="0.2">
      <c r="B69" s="120" t="s">
        <v>439</v>
      </c>
      <c r="C69" s="121" t="s">
        <v>440</v>
      </c>
      <c r="D69" s="122" t="s">
        <v>3558</v>
      </c>
      <c r="E69" s="122" t="s">
        <v>3567</v>
      </c>
      <c r="F69" s="123">
        <v>7.5723830734966552E-2</v>
      </c>
      <c r="G69" s="123">
        <v>9.5238095238095233E-2</v>
      </c>
    </row>
    <row r="70" spans="2:7" x14ac:dyDescent="0.2">
      <c r="B70" s="120" t="s">
        <v>441</v>
      </c>
      <c r="C70" s="121" t="s">
        <v>442</v>
      </c>
      <c r="D70" s="122" t="s">
        <v>3569</v>
      </c>
      <c r="E70" s="122" t="s">
        <v>3575</v>
      </c>
      <c r="F70" s="123">
        <v>-0.50000000000000011</v>
      </c>
      <c r="G70" s="123">
        <v>-0.33333333333333326</v>
      </c>
    </row>
    <row r="71" spans="2:7" x14ac:dyDescent="0.2">
      <c r="B71" s="120" t="s">
        <v>443</v>
      </c>
      <c r="C71" s="121" t="s">
        <v>444</v>
      </c>
      <c r="D71" s="122" t="s">
        <v>3569</v>
      </c>
      <c r="E71" s="122" t="s">
        <v>3575</v>
      </c>
      <c r="F71" s="123">
        <v>0.16738197424892709</v>
      </c>
      <c r="G71" s="123">
        <v>-0.28865979381443302</v>
      </c>
    </row>
    <row r="72" spans="2:7" x14ac:dyDescent="0.2">
      <c r="B72" s="120" t="s">
        <v>445</v>
      </c>
      <c r="C72" s="121" t="s">
        <v>446</v>
      </c>
      <c r="D72" s="122" t="s">
        <v>3576</v>
      </c>
      <c r="E72" s="122" t="s">
        <v>3609</v>
      </c>
      <c r="F72" s="123">
        <v>0.15432098765432098</v>
      </c>
      <c r="G72" s="123">
        <v>0.12834224598930469</v>
      </c>
    </row>
    <row r="73" spans="2:7" x14ac:dyDescent="0.2">
      <c r="B73" s="120" t="s">
        <v>447</v>
      </c>
      <c r="C73" s="121" t="s">
        <v>448</v>
      </c>
      <c r="D73" s="122" t="s">
        <v>3569</v>
      </c>
      <c r="E73" s="122" t="s">
        <v>3575</v>
      </c>
      <c r="F73" s="123">
        <v>-0.28683385579937321</v>
      </c>
      <c r="G73" s="123">
        <v>7.917174177831926E-2</v>
      </c>
    </row>
    <row r="74" spans="2:7" x14ac:dyDescent="0.2">
      <c r="B74" s="120" t="s">
        <v>449</v>
      </c>
      <c r="C74" s="121" t="s">
        <v>450</v>
      </c>
      <c r="D74" s="122" t="s">
        <v>3610</v>
      </c>
      <c r="E74" s="122" t="s">
        <v>3611</v>
      </c>
      <c r="F74" s="123">
        <v>5.206073752711482E-2</v>
      </c>
      <c r="G74" s="123">
        <v>-6.8041237113402084E-2</v>
      </c>
    </row>
    <row r="75" spans="2:7" x14ac:dyDescent="0.2">
      <c r="B75" s="120" t="s">
        <v>451</v>
      </c>
      <c r="C75" s="121" t="s">
        <v>452</v>
      </c>
      <c r="D75" s="122" t="s">
        <v>3610</v>
      </c>
      <c r="E75" s="122" t="s">
        <v>3611</v>
      </c>
      <c r="F75" s="123">
        <v>-0.15744680851063822</v>
      </c>
      <c r="G75" s="123">
        <v>0.15824915824915817</v>
      </c>
    </row>
    <row r="76" spans="2:7" x14ac:dyDescent="0.2">
      <c r="B76" s="120" t="s">
        <v>453</v>
      </c>
      <c r="C76" s="121" t="s">
        <v>454</v>
      </c>
      <c r="D76" s="122" t="s">
        <v>3569</v>
      </c>
      <c r="E76" s="122" t="s">
        <v>3575</v>
      </c>
      <c r="F76" s="123">
        <v>0.30830039525691699</v>
      </c>
      <c r="G76" s="123">
        <v>9.1641490433031242E-2</v>
      </c>
    </row>
    <row r="77" spans="2:7" x14ac:dyDescent="0.2">
      <c r="B77" s="120" t="s">
        <v>455</v>
      </c>
      <c r="C77" s="121" t="s">
        <v>456</v>
      </c>
      <c r="D77" s="122" t="s">
        <v>3612</v>
      </c>
      <c r="E77" s="122" t="s">
        <v>3613</v>
      </c>
      <c r="F77" s="123">
        <v>0.31481481481481466</v>
      </c>
      <c r="G77" s="123">
        <v>0.323943661971831</v>
      </c>
    </row>
    <row r="78" spans="2:7" x14ac:dyDescent="0.2">
      <c r="B78" s="120" t="s">
        <v>457</v>
      </c>
      <c r="C78" s="121" t="s">
        <v>458</v>
      </c>
      <c r="D78" s="122" t="s">
        <v>3556</v>
      </c>
      <c r="E78" s="122" t="s">
        <v>3614</v>
      </c>
      <c r="F78" s="123">
        <v>8.2474226804123626E-2</v>
      </c>
      <c r="G78" s="123">
        <v>8.2539682539682621E-2</v>
      </c>
    </row>
    <row r="79" spans="2:7" x14ac:dyDescent="0.2">
      <c r="B79" s="120" t="s">
        <v>459</v>
      </c>
      <c r="C79" s="121" t="s">
        <v>460</v>
      </c>
      <c r="D79" s="122" t="s">
        <v>3556</v>
      </c>
      <c r="E79" s="122" t="s">
        <v>3615</v>
      </c>
      <c r="F79" s="123">
        <v>-0.3258426966292135</v>
      </c>
      <c r="G79" s="123">
        <v>0.10333333333333335</v>
      </c>
    </row>
    <row r="80" spans="2:7" x14ac:dyDescent="0.2">
      <c r="B80" s="120" t="s">
        <v>461</v>
      </c>
      <c r="C80" s="121" t="s">
        <v>462</v>
      </c>
      <c r="D80" s="122" t="s">
        <v>3556</v>
      </c>
      <c r="E80" s="122" t="s">
        <v>3616</v>
      </c>
      <c r="F80" s="123">
        <v>0.36956521739130432</v>
      </c>
      <c r="G80" s="123">
        <v>0.69841269841269848</v>
      </c>
    </row>
    <row r="81" spans="2:7" x14ac:dyDescent="0.2">
      <c r="B81" s="120" t="s">
        <v>463</v>
      </c>
      <c r="C81" s="121" t="s">
        <v>464</v>
      </c>
      <c r="D81" s="122" t="s">
        <v>3556</v>
      </c>
      <c r="E81" s="122" t="s">
        <v>3557</v>
      </c>
      <c r="F81" s="123">
        <v>0.25382262996941884</v>
      </c>
      <c r="G81" s="123">
        <v>6.0975609756097567E-2</v>
      </c>
    </row>
    <row r="82" spans="2:7" x14ac:dyDescent="0.2">
      <c r="B82" s="120" t="s">
        <v>465</v>
      </c>
      <c r="C82" s="121" t="s">
        <v>466</v>
      </c>
      <c r="D82" s="122" t="s">
        <v>3569</v>
      </c>
      <c r="E82" s="122" t="s">
        <v>3617</v>
      </c>
      <c r="F82" s="123">
        <v>0.15363128491620107</v>
      </c>
      <c r="G82" s="123">
        <v>0.13559322033898316</v>
      </c>
    </row>
    <row r="83" spans="2:7" x14ac:dyDescent="0.2">
      <c r="B83" s="120" t="s">
        <v>467</v>
      </c>
      <c r="C83" s="121" t="s">
        <v>468</v>
      </c>
      <c r="D83" s="122" t="s">
        <v>3576</v>
      </c>
      <c r="E83" s="122" t="s">
        <v>3604</v>
      </c>
      <c r="F83" s="123">
        <v>-6.6850447966919413E-2</v>
      </c>
      <c r="G83" s="123">
        <v>7.1639586410635211E-2</v>
      </c>
    </row>
    <row r="84" spans="2:7" x14ac:dyDescent="0.2">
      <c r="B84" s="120" t="s">
        <v>469</v>
      </c>
      <c r="C84" s="121" t="s">
        <v>470</v>
      </c>
      <c r="D84" s="122" t="s">
        <v>3569</v>
      </c>
      <c r="E84" s="122" t="s">
        <v>3575</v>
      </c>
      <c r="F84" s="123">
        <v>3.5087719298246113E-3</v>
      </c>
      <c r="G84" s="123">
        <v>7.8321678321678259E-2</v>
      </c>
    </row>
    <row r="85" spans="2:7" x14ac:dyDescent="0.2">
      <c r="B85" s="120" t="s">
        <v>471</v>
      </c>
      <c r="C85" s="121" t="s">
        <v>472</v>
      </c>
      <c r="D85" s="122" t="s">
        <v>3576</v>
      </c>
      <c r="E85" s="122" t="s">
        <v>3577</v>
      </c>
      <c r="F85" s="123">
        <v>3.738317757009349E-2</v>
      </c>
      <c r="G85" s="123">
        <v>8.1081081081080947E-2</v>
      </c>
    </row>
    <row r="86" spans="2:7" x14ac:dyDescent="0.2">
      <c r="B86" s="120" t="s">
        <v>473</v>
      </c>
      <c r="C86" s="121" t="s">
        <v>474</v>
      </c>
      <c r="D86" s="122" t="s">
        <v>3561</v>
      </c>
      <c r="E86" s="122" t="s">
        <v>3618</v>
      </c>
      <c r="F86" s="123">
        <v>0.11111111111111122</v>
      </c>
      <c r="G86" s="123">
        <v>1.4999999999999998</v>
      </c>
    </row>
    <row r="87" spans="2:7" x14ac:dyDescent="0.2">
      <c r="B87" s="120" t="s">
        <v>475</v>
      </c>
      <c r="C87" s="121" t="s">
        <v>476</v>
      </c>
      <c r="D87" s="122" t="s">
        <v>3576</v>
      </c>
      <c r="E87" s="122" t="s">
        <v>3604</v>
      </c>
      <c r="F87" s="123">
        <v>9.2579986385296201E-2</v>
      </c>
      <c r="G87" s="123">
        <v>0.11401869158878493</v>
      </c>
    </row>
    <row r="88" spans="2:7" x14ac:dyDescent="0.2">
      <c r="B88" s="120" t="s">
        <v>477</v>
      </c>
      <c r="C88" s="121" t="s">
        <v>478</v>
      </c>
      <c r="D88" s="122" t="s">
        <v>3569</v>
      </c>
      <c r="E88" s="122" t="s">
        <v>3575</v>
      </c>
      <c r="F88" s="123">
        <v>0.68965517241379304</v>
      </c>
      <c r="G88" s="123">
        <v>2.7777777777777777</v>
      </c>
    </row>
    <row r="89" spans="2:7" x14ac:dyDescent="0.2">
      <c r="B89" s="120" t="s">
        <v>479</v>
      </c>
      <c r="C89" s="121" t="s">
        <v>480</v>
      </c>
      <c r="D89" s="122" t="s">
        <v>3576</v>
      </c>
      <c r="E89" s="122" t="s">
        <v>3619</v>
      </c>
      <c r="F89" s="123">
        <v>1.2690355329948969E-3</v>
      </c>
      <c r="G89" s="123">
        <v>0.12040557667934096</v>
      </c>
    </row>
    <row r="90" spans="2:7" x14ac:dyDescent="0.2">
      <c r="B90" s="120" t="s">
        <v>481</v>
      </c>
      <c r="C90" s="121" t="s">
        <v>482</v>
      </c>
      <c r="D90" s="122" t="s">
        <v>3576</v>
      </c>
      <c r="E90" s="122" t="s">
        <v>3620</v>
      </c>
      <c r="F90" s="123">
        <v>0.21818181818181812</v>
      </c>
      <c r="G90" s="123">
        <v>-1.4925373134328263E-2</v>
      </c>
    </row>
    <row r="91" spans="2:7" x14ac:dyDescent="0.2">
      <c r="B91" s="120" t="s">
        <v>483</v>
      </c>
      <c r="C91" s="121" t="s">
        <v>484</v>
      </c>
      <c r="D91" s="122" t="s">
        <v>3556</v>
      </c>
      <c r="E91" s="122" t="s">
        <v>3621</v>
      </c>
      <c r="F91" s="123">
        <v>0.11392405063291135</v>
      </c>
      <c r="G91" s="123">
        <v>0.32954545454545447</v>
      </c>
    </row>
    <row r="92" spans="2:7" x14ac:dyDescent="0.2">
      <c r="B92" s="120" t="s">
        <v>485</v>
      </c>
      <c r="C92" s="121" t="s">
        <v>10</v>
      </c>
      <c r="D92" s="122" t="s">
        <v>3563</v>
      </c>
      <c r="E92" s="122" t="s">
        <v>3622</v>
      </c>
      <c r="F92" s="123">
        <v>0.21878172588832501</v>
      </c>
      <c r="G92" s="123">
        <v>0.34735526863806743</v>
      </c>
    </row>
    <row r="93" spans="2:7" x14ac:dyDescent="0.2">
      <c r="B93" s="120" t="s">
        <v>486</v>
      </c>
      <c r="C93" s="121" t="s">
        <v>487</v>
      </c>
      <c r="D93" s="122" t="s">
        <v>3563</v>
      </c>
      <c r="E93" s="122" t="s">
        <v>3623</v>
      </c>
      <c r="F93" s="123">
        <v>-3.3039647577092587E-2</v>
      </c>
      <c r="G93" s="123">
        <v>4.7835990888382682E-2</v>
      </c>
    </row>
    <row r="94" spans="2:7" x14ac:dyDescent="0.2">
      <c r="B94" s="120" t="s">
        <v>488</v>
      </c>
      <c r="C94" s="121" t="s">
        <v>489</v>
      </c>
      <c r="D94" s="122" t="s">
        <v>3556</v>
      </c>
      <c r="E94" s="122" t="s">
        <v>3624</v>
      </c>
      <c r="F94" s="123">
        <v>0.25355756791720557</v>
      </c>
      <c r="G94" s="123">
        <v>8.9783281733746237E-2</v>
      </c>
    </row>
    <row r="95" spans="2:7" x14ac:dyDescent="0.2">
      <c r="B95" s="120" t="s">
        <v>490</v>
      </c>
      <c r="C95" s="121" t="s">
        <v>491</v>
      </c>
      <c r="D95" s="122" t="s">
        <v>3556</v>
      </c>
      <c r="E95" s="122" t="s">
        <v>3607</v>
      </c>
      <c r="F95" s="123">
        <v>-0.78947368421052633</v>
      </c>
      <c r="G95" s="123">
        <v>0.49999999999999989</v>
      </c>
    </row>
    <row r="96" spans="2:7" x14ac:dyDescent="0.2">
      <c r="B96" s="120" t="s">
        <v>492</v>
      </c>
      <c r="C96" s="121" t="s">
        <v>493</v>
      </c>
      <c r="D96" s="122" t="s">
        <v>25</v>
      </c>
      <c r="E96" s="122" t="s">
        <v>3585</v>
      </c>
      <c r="F96" s="123">
        <v>0.40909090909090906</v>
      </c>
      <c r="G96" s="123">
        <v>0.25806451612903231</v>
      </c>
    </row>
    <row r="97" spans="2:7" x14ac:dyDescent="0.2">
      <c r="B97" s="120" t="s">
        <v>494</v>
      </c>
      <c r="C97" s="121" t="s">
        <v>495</v>
      </c>
      <c r="D97" s="122" t="s">
        <v>3556</v>
      </c>
      <c r="E97" s="122" t="s">
        <v>3579</v>
      </c>
      <c r="F97" s="123">
        <v>0.16479400749063669</v>
      </c>
      <c r="G97" s="123">
        <v>7.8778135048231543E-2</v>
      </c>
    </row>
    <row r="98" spans="2:7" x14ac:dyDescent="0.2">
      <c r="B98" s="120" t="s">
        <v>496</v>
      </c>
      <c r="C98" s="121" t="s">
        <v>497</v>
      </c>
      <c r="D98" s="122" t="s">
        <v>3569</v>
      </c>
      <c r="E98" s="122" t="s">
        <v>3625</v>
      </c>
      <c r="F98" s="123">
        <v>0.23627075351213278</v>
      </c>
      <c r="G98" s="123">
        <v>0.18388429752066127</v>
      </c>
    </row>
    <row r="99" spans="2:7" x14ac:dyDescent="0.2">
      <c r="B99" s="120" t="s">
        <v>498</v>
      </c>
      <c r="C99" s="121" t="s">
        <v>499</v>
      </c>
      <c r="D99" s="122" t="s">
        <v>3576</v>
      </c>
      <c r="E99" s="122" t="s">
        <v>3626</v>
      </c>
      <c r="F99" s="123">
        <v>1.2422360248447077E-2</v>
      </c>
      <c r="G99" s="123">
        <v>-1.2269938650306624E-2</v>
      </c>
    </row>
    <row r="100" spans="2:7" x14ac:dyDescent="0.2">
      <c r="B100" s="120" t="s">
        <v>500</v>
      </c>
      <c r="C100" s="121" t="s">
        <v>501</v>
      </c>
      <c r="D100" s="122" t="s">
        <v>3576</v>
      </c>
      <c r="E100" s="122" t="s">
        <v>3603</v>
      </c>
      <c r="F100" s="123">
        <v>0.12177121771217692</v>
      </c>
      <c r="G100" s="123">
        <v>0.13486842105263164</v>
      </c>
    </row>
    <row r="101" spans="2:7" x14ac:dyDescent="0.2">
      <c r="B101" s="120" t="s">
        <v>502</v>
      </c>
      <c r="C101" s="121" t="s">
        <v>503</v>
      </c>
      <c r="D101" s="122" t="s">
        <v>3558</v>
      </c>
      <c r="E101" s="122" t="s">
        <v>3568</v>
      </c>
      <c r="F101" s="123">
        <v>-7.7519379844961309E-2</v>
      </c>
      <c r="G101" s="123">
        <v>0.13025210084033617</v>
      </c>
    </row>
    <row r="102" spans="2:7" x14ac:dyDescent="0.2">
      <c r="B102" s="120" t="s">
        <v>504</v>
      </c>
      <c r="C102" s="121" t="s">
        <v>505</v>
      </c>
      <c r="D102" s="122" t="s">
        <v>3612</v>
      </c>
      <c r="E102" s="122" t="s">
        <v>3627</v>
      </c>
      <c r="F102" s="123">
        <v>-0.86127167630057799</v>
      </c>
      <c r="G102" s="123">
        <v>3.3750000000000004</v>
      </c>
    </row>
    <row r="103" spans="2:7" x14ac:dyDescent="0.2">
      <c r="B103" s="120" t="s">
        <v>506</v>
      </c>
      <c r="C103" s="121" t="s">
        <v>507</v>
      </c>
      <c r="D103" s="122" t="s">
        <v>3594</v>
      </c>
      <c r="E103" s="122" t="s">
        <v>3602</v>
      </c>
      <c r="F103" s="123">
        <v>0.10604026845637585</v>
      </c>
      <c r="G103" s="123">
        <v>0.13713592233009697</v>
      </c>
    </row>
    <row r="104" spans="2:7" x14ac:dyDescent="0.2">
      <c r="B104" s="120" t="s">
        <v>508</v>
      </c>
      <c r="C104" s="121" t="s">
        <v>509</v>
      </c>
      <c r="D104" s="122" t="s">
        <v>3556</v>
      </c>
      <c r="E104" s="122" t="s">
        <v>3628</v>
      </c>
      <c r="F104" s="123">
        <v>-1.689189189189183E-2</v>
      </c>
      <c r="G104" s="123">
        <v>0.25085910652920962</v>
      </c>
    </row>
    <row r="105" spans="2:7" x14ac:dyDescent="0.2">
      <c r="B105" s="120" t="s">
        <v>510</v>
      </c>
      <c r="C105" s="121" t="s">
        <v>511</v>
      </c>
      <c r="D105" s="122" t="s">
        <v>3556</v>
      </c>
      <c r="E105" s="122" t="s">
        <v>3629</v>
      </c>
      <c r="F105" s="123">
        <v>-3.2432432432432462E-2</v>
      </c>
      <c r="G105" s="123">
        <v>0.11731843575418992</v>
      </c>
    </row>
    <row r="106" spans="2:7" x14ac:dyDescent="0.2">
      <c r="B106" s="120" t="s">
        <v>512</v>
      </c>
      <c r="C106" s="121" t="s">
        <v>513</v>
      </c>
      <c r="D106" s="122" t="s">
        <v>3576</v>
      </c>
      <c r="E106" s="122" t="s">
        <v>3604</v>
      </c>
      <c r="F106" s="123">
        <v>6.9666666666666677</v>
      </c>
      <c r="G106" s="123">
        <v>0.20083682008368198</v>
      </c>
    </row>
    <row r="107" spans="2:7" x14ac:dyDescent="0.2">
      <c r="B107" s="120" t="s">
        <v>514</v>
      </c>
      <c r="C107" s="121" t="s">
        <v>515</v>
      </c>
      <c r="D107" s="122" t="s">
        <v>3556</v>
      </c>
      <c r="E107" s="122" t="s">
        <v>3630</v>
      </c>
      <c r="F107" s="123">
        <v>6.0240963855421742E-2</v>
      </c>
      <c r="G107" s="123">
        <v>-0.43181818181818182</v>
      </c>
    </row>
    <row r="108" spans="2:7" x14ac:dyDescent="0.2">
      <c r="B108" s="120" t="s">
        <v>516</v>
      </c>
      <c r="C108" s="121" t="s">
        <v>517</v>
      </c>
      <c r="D108" s="122" t="s">
        <v>3556</v>
      </c>
      <c r="E108" s="122" t="s">
        <v>3630</v>
      </c>
      <c r="F108" s="123">
        <v>5.4545454545454591E-2</v>
      </c>
      <c r="G108" s="123">
        <v>0.28846153846153849</v>
      </c>
    </row>
    <row r="109" spans="2:7" x14ac:dyDescent="0.2">
      <c r="B109" s="120" t="s">
        <v>518</v>
      </c>
      <c r="C109" s="121" t="s">
        <v>519</v>
      </c>
      <c r="D109" s="122" t="s">
        <v>3582</v>
      </c>
      <c r="E109" s="122" t="s">
        <v>3631</v>
      </c>
      <c r="F109" s="123">
        <v>-5.8365758754862574E-3</v>
      </c>
      <c r="G109" s="123">
        <v>0.12915851272015641</v>
      </c>
    </row>
    <row r="110" spans="2:7" x14ac:dyDescent="0.2">
      <c r="B110" s="120" t="s">
        <v>520</v>
      </c>
      <c r="C110" s="121" t="s">
        <v>521</v>
      </c>
      <c r="D110" s="122" t="s">
        <v>3591</v>
      </c>
      <c r="E110" s="122" t="s">
        <v>3592</v>
      </c>
      <c r="F110" s="123">
        <v>-4.5454545454545491E-2</v>
      </c>
      <c r="G110" s="123">
        <v>4.7619047619047658E-2</v>
      </c>
    </row>
    <row r="111" spans="2:7" x14ac:dyDescent="0.2">
      <c r="B111" s="120" t="s">
        <v>522</v>
      </c>
      <c r="C111" s="121" t="s">
        <v>523</v>
      </c>
      <c r="D111" s="122" t="s">
        <v>3576</v>
      </c>
      <c r="E111" s="122" t="s">
        <v>3632</v>
      </c>
      <c r="F111" s="123">
        <v>0.14110429447852774</v>
      </c>
      <c r="G111" s="123">
        <v>-2.1505376344086041E-2</v>
      </c>
    </row>
    <row r="112" spans="2:7" x14ac:dyDescent="0.2">
      <c r="B112" s="120" t="s">
        <v>524</v>
      </c>
      <c r="C112" s="121" t="s">
        <v>525</v>
      </c>
      <c r="D112" s="122" t="s">
        <v>3576</v>
      </c>
      <c r="E112" s="122" t="s">
        <v>3619</v>
      </c>
      <c r="F112" s="123">
        <v>5.5975794251134657E-2</v>
      </c>
      <c r="G112" s="123">
        <v>6.1604584527220584E-2</v>
      </c>
    </row>
    <row r="113" spans="2:7" x14ac:dyDescent="0.2">
      <c r="B113" s="120" t="s">
        <v>526</v>
      </c>
      <c r="C113" s="121" t="s">
        <v>527</v>
      </c>
      <c r="D113" s="122" t="s">
        <v>3576</v>
      </c>
      <c r="E113" s="122" t="s">
        <v>3604</v>
      </c>
      <c r="F113" s="123">
        <v>0.13533834586466159</v>
      </c>
      <c r="G113" s="123">
        <v>0.22516556291390732</v>
      </c>
    </row>
    <row r="114" spans="2:7" x14ac:dyDescent="0.2">
      <c r="B114" s="120" t="s">
        <v>528</v>
      </c>
      <c r="C114" s="121" t="s">
        <v>529</v>
      </c>
      <c r="D114" s="122" t="s">
        <v>3569</v>
      </c>
      <c r="E114" s="122" t="s">
        <v>3575</v>
      </c>
      <c r="F114" s="123">
        <v>-1.1382978723404253</v>
      </c>
      <c r="G114" s="123">
        <v>-0.5970149253731345</v>
      </c>
    </row>
    <row r="115" spans="2:7" x14ac:dyDescent="0.2">
      <c r="B115" s="120" t="s">
        <v>530</v>
      </c>
      <c r="C115" s="121" t="s">
        <v>531</v>
      </c>
      <c r="D115" s="122" t="s">
        <v>3594</v>
      </c>
      <c r="E115" s="122" t="s">
        <v>3602</v>
      </c>
      <c r="F115" s="123">
        <v>-0.26475849731663675</v>
      </c>
      <c r="G115" s="123">
        <v>6.0827250608271209E-3</v>
      </c>
    </row>
    <row r="116" spans="2:7" x14ac:dyDescent="0.2">
      <c r="B116" s="120" t="s">
        <v>532</v>
      </c>
      <c r="C116" s="121" t="s">
        <v>533</v>
      </c>
      <c r="D116" s="122" t="s">
        <v>24</v>
      </c>
      <c r="E116" s="122" t="s">
        <v>3633</v>
      </c>
      <c r="F116" s="123">
        <v>-4.4247787610618532E-3</v>
      </c>
      <c r="G116" s="123">
        <v>0.10666666666666676</v>
      </c>
    </row>
    <row r="117" spans="2:7" x14ac:dyDescent="0.2">
      <c r="B117" s="120" t="s">
        <v>534</v>
      </c>
      <c r="C117" s="121" t="s">
        <v>535</v>
      </c>
      <c r="D117" s="122" t="s">
        <v>3594</v>
      </c>
      <c r="E117" s="122" t="s">
        <v>3634</v>
      </c>
      <c r="F117" s="123">
        <v>0.54545454545454541</v>
      </c>
      <c r="G117" s="123">
        <v>0.17156862745098042</v>
      </c>
    </row>
    <row r="118" spans="2:7" x14ac:dyDescent="0.2">
      <c r="B118" s="120" t="s">
        <v>536</v>
      </c>
      <c r="C118" s="121" t="s">
        <v>537</v>
      </c>
      <c r="D118" s="122" t="s">
        <v>3556</v>
      </c>
      <c r="E118" s="122" t="s">
        <v>3635</v>
      </c>
      <c r="F118" s="123">
        <v>-0.17800453514739231</v>
      </c>
      <c r="G118" s="123">
        <v>9.5172413793103497E-2</v>
      </c>
    </row>
    <row r="119" spans="2:7" x14ac:dyDescent="0.2">
      <c r="B119" s="120" t="s">
        <v>538</v>
      </c>
      <c r="C119" s="121" t="s">
        <v>539</v>
      </c>
      <c r="D119" s="122" t="s">
        <v>3558</v>
      </c>
      <c r="E119" s="122" t="s">
        <v>3567</v>
      </c>
      <c r="F119" s="123">
        <v>4.1666666666666706E-2</v>
      </c>
      <c r="G119" s="123">
        <v>0.12000000000000011</v>
      </c>
    </row>
    <row r="120" spans="2:7" x14ac:dyDescent="0.2">
      <c r="B120" s="120" t="s">
        <v>540</v>
      </c>
      <c r="C120" s="121" t="s">
        <v>541</v>
      </c>
      <c r="D120" s="122" t="s">
        <v>3576</v>
      </c>
      <c r="E120" s="122" t="s">
        <v>3636</v>
      </c>
      <c r="F120" s="123">
        <v>-3.9800995024875552E-2</v>
      </c>
      <c r="G120" s="123">
        <v>2.0725388601036288E-2</v>
      </c>
    </row>
    <row r="121" spans="2:7" x14ac:dyDescent="0.2">
      <c r="B121" s="120" t="s">
        <v>542</v>
      </c>
      <c r="C121" s="121" t="s">
        <v>543</v>
      </c>
      <c r="D121" s="122" t="s">
        <v>24</v>
      </c>
      <c r="E121" s="122" t="s">
        <v>3633</v>
      </c>
      <c r="F121" s="123">
        <v>-2.2857142857142878E-2</v>
      </c>
      <c r="G121" s="123">
        <v>9.941520467836254E-2</v>
      </c>
    </row>
    <row r="122" spans="2:7" x14ac:dyDescent="0.2">
      <c r="B122" s="120" t="s">
        <v>544</v>
      </c>
      <c r="C122" s="121" t="s">
        <v>545</v>
      </c>
      <c r="D122" s="122" t="s">
        <v>3610</v>
      </c>
      <c r="E122" s="122" t="s">
        <v>3611</v>
      </c>
      <c r="F122" s="123">
        <v>-0.21590909090909097</v>
      </c>
      <c r="G122" s="123">
        <v>0.2137681159420291</v>
      </c>
    </row>
    <row r="123" spans="2:7" x14ac:dyDescent="0.2">
      <c r="B123" s="120" t="s">
        <v>546</v>
      </c>
      <c r="C123" s="121" t="s">
        <v>547</v>
      </c>
      <c r="D123" s="122" t="s">
        <v>3556</v>
      </c>
      <c r="E123" s="122" t="s">
        <v>3614</v>
      </c>
      <c r="F123" s="123">
        <v>4.5558086560364509E-2</v>
      </c>
      <c r="G123" s="123">
        <v>8.9324618736383476E-2</v>
      </c>
    </row>
    <row r="124" spans="2:7" x14ac:dyDescent="0.2">
      <c r="B124" s="120" t="s">
        <v>548</v>
      </c>
      <c r="C124" s="121" t="s">
        <v>549</v>
      </c>
      <c r="D124" s="122" t="s">
        <v>3594</v>
      </c>
      <c r="E124" s="122" t="s">
        <v>3637</v>
      </c>
      <c r="F124" s="123">
        <v>-0.24022346368715081</v>
      </c>
      <c r="G124" s="123">
        <v>0.28308823529411764</v>
      </c>
    </row>
    <row r="125" spans="2:7" x14ac:dyDescent="0.2">
      <c r="B125" s="120" t="s">
        <v>550</v>
      </c>
      <c r="C125" s="121" t="s">
        <v>551</v>
      </c>
      <c r="D125" s="122" t="s">
        <v>3558</v>
      </c>
      <c r="E125" s="122" t="s">
        <v>3638</v>
      </c>
      <c r="F125" s="123">
        <v>0.10065645514223194</v>
      </c>
      <c r="G125" s="123">
        <v>0.11829025844930412</v>
      </c>
    </row>
    <row r="126" spans="2:7" x14ac:dyDescent="0.2">
      <c r="B126" s="120" t="s">
        <v>552</v>
      </c>
      <c r="C126" s="121" t="s">
        <v>553</v>
      </c>
      <c r="D126" s="122" t="s">
        <v>3556</v>
      </c>
      <c r="E126" s="122" t="s">
        <v>3615</v>
      </c>
      <c r="F126" s="123">
        <v>-1.4492753623188482E-2</v>
      </c>
      <c r="G126" s="123">
        <v>0.40441176470588247</v>
      </c>
    </row>
    <row r="127" spans="2:7" x14ac:dyDescent="0.2">
      <c r="B127" s="120" t="s">
        <v>554</v>
      </c>
      <c r="C127" s="121" t="s">
        <v>555</v>
      </c>
      <c r="D127" s="122" t="s">
        <v>3569</v>
      </c>
      <c r="E127" s="122" t="s">
        <v>3575</v>
      </c>
      <c r="F127" s="123">
        <v>-0.37564766839378233</v>
      </c>
      <c r="G127" s="123">
        <v>7.5329566854990496E-2</v>
      </c>
    </row>
    <row r="128" spans="2:7" x14ac:dyDescent="0.2">
      <c r="B128" s="120" t="s">
        <v>556</v>
      </c>
      <c r="C128" s="121" t="s">
        <v>557</v>
      </c>
      <c r="D128" s="122" t="s">
        <v>3561</v>
      </c>
      <c r="E128" s="122" t="s">
        <v>3639</v>
      </c>
      <c r="F128" s="123">
        <v>7.9952267303102606E-2</v>
      </c>
      <c r="G128" s="123">
        <v>4.1988950276242984E-2</v>
      </c>
    </row>
    <row r="129" spans="2:7" x14ac:dyDescent="0.2">
      <c r="B129" s="120" t="s">
        <v>558</v>
      </c>
      <c r="C129" s="121" t="s">
        <v>559</v>
      </c>
      <c r="D129" s="122" t="s">
        <v>3556</v>
      </c>
      <c r="E129" s="122" t="s">
        <v>3616</v>
      </c>
      <c r="F129" s="123">
        <v>-0.34210526315789475</v>
      </c>
      <c r="G129" s="123">
        <v>0.32000000000000006</v>
      </c>
    </row>
    <row r="130" spans="2:7" x14ac:dyDescent="0.2">
      <c r="B130" s="120" t="s">
        <v>560</v>
      </c>
      <c r="C130" s="121" t="s">
        <v>561</v>
      </c>
      <c r="D130" s="122" t="s">
        <v>3556</v>
      </c>
      <c r="E130" s="122" t="s">
        <v>3640</v>
      </c>
      <c r="F130" s="123">
        <v>-0.36653386454183257</v>
      </c>
      <c r="G130" s="123">
        <v>0.27044025157232698</v>
      </c>
    </row>
    <row r="131" spans="2:7" x14ac:dyDescent="0.2">
      <c r="B131" s="120" t="s">
        <v>562</v>
      </c>
      <c r="C131" s="121" t="s">
        <v>563</v>
      </c>
      <c r="D131" s="122" t="s">
        <v>3576</v>
      </c>
      <c r="E131" s="122" t="s">
        <v>3641</v>
      </c>
      <c r="F131" s="123">
        <v>0.20648464163822525</v>
      </c>
      <c r="G131" s="123">
        <v>0.13437057991513426</v>
      </c>
    </row>
    <row r="132" spans="2:7" x14ac:dyDescent="0.2">
      <c r="B132" s="120" t="s">
        <v>564</v>
      </c>
      <c r="C132" s="121" t="s">
        <v>565</v>
      </c>
      <c r="D132" s="122" t="s">
        <v>3556</v>
      </c>
      <c r="E132" s="122" t="s">
        <v>3607</v>
      </c>
      <c r="F132" s="123">
        <v>0.16193181818181815</v>
      </c>
      <c r="G132" s="123">
        <v>0.18337408312958436</v>
      </c>
    </row>
    <row r="133" spans="2:7" x14ac:dyDescent="0.2">
      <c r="B133" s="120" t="s">
        <v>566</v>
      </c>
      <c r="C133" s="121" t="s">
        <v>567</v>
      </c>
      <c r="D133" s="122" t="s">
        <v>3558</v>
      </c>
      <c r="E133" s="122" t="s">
        <v>3642</v>
      </c>
      <c r="F133" s="123">
        <v>5.0724637681159472E-2</v>
      </c>
      <c r="G133" s="123">
        <v>5.5172413793103496E-2</v>
      </c>
    </row>
    <row r="134" spans="2:7" x14ac:dyDescent="0.2">
      <c r="B134" s="120" t="s">
        <v>568</v>
      </c>
      <c r="C134" s="121" t="s">
        <v>569</v>
      </c>
      <c r="D134" s="122" t="s">
        <v>3591</v>
      </c>
      <c r="E134" s="122" t="s">
        <v>3643</v>
      </c>
      <c r="F134" s="123">
        <v>9.5959595959595939E-2</v>
      </c>
      <c r="G134" s="123">
        <v>6.6820276497695869E-2</v>
      </c>
    </row>
    <row r="135" spans="2:7" x14ac:dyDescent="0.2">
      <c r="B135" s="120" t="s">
        <v>570</v>
      </c>
      <c r="C135" s="121" t="s">
        <v>571</v>
      </c>
      <c r="D135" s="122" t="s">
        <v>3558</v>
      </c>
      <c r="E135" s="122" t="s">
        <v>3644</v>
      </c>
      <c r="F135" s="123">
        <v>6.8877551020408281E-2</v>
      </c>
      <c r="G135" s="123">
        <v>0.12410501193317411</v>
      </c>
    </row>
    <row r="136" spans="2:7" x14ac:dyDescent="0.2">
      <c r="B136" s="120" t="s">
        <v>572</v>
      </c>
      <c r="C136" s="121" t="s">
        <v>573</v>
      </c>
      <c r="D136" s="122" t="s">
        <v>3556</v>
      </c>
      <c r="E136" s="122" t="s">
        <v>3624</v>
      </c>
      <c r="F136" s="123">
        <v>4.4545454545454541</v>
      </c>
      <c r="G136" s="123">
        <v>1.368421052631579</v>
      </c>
    </row>
    <row r="137" spans="2:7" x14ac:dyDescent="0.2">
      <c r="B137" s="120" t="s">
        <v>574</v>
      </c>
      <c r="C137" s="121" t="s">
        <v>575</v>
      </c>
      <c r="D137" s="122" t="s">
        <v>25</v>
      </c>
      <c r="E137" s="122" t="s">
        <v>3645</v>
      </c>
      <c r="F137" s="123">
        <v>-0.15000000000000005</v>
      </c>
      <c r="G137" s="123">
        <v>0.15384615384615377</v>
      </c>
    </row>
    <row r="138" spans="2:7" x14ac:dyDescent="0.2">
      <c r="B138" s="120" t="s">
        <v>576</v>
      </c>
      <c r="C138" s="121" t="s">
        <v>577</v>
      </c>
      <c r="D138" s="122" t="s">
        <v>3594</v>
      </c>
      <c r="E138" s="122" t="s">
        <v>3595</v>
      </c>
      <c r="F138" s="123">
        <v>1.7551020408163267</v>
      </c>
      <c r="G138" s="123">
        <v>0.6</v>
      </c>
    </row>
    <row r="139" spans="2:7" x14ac:dyDescent="0.2">
      <c r="B139" s="120" t="s">
        <v>578</v>
      </c>
      <c r="C139" s="121" t="s">
        <v>579</v>
      </c>
      <c r="D139" s="122" t="s">
        <v>3576</v>
      </c>
      <c r="E139" s="122" t="s">
        <v>3646</v>
      </c>
      <c r="F139" s="123">
        <v>7.2727272727272788E-3</v>
      </c>
      <c r="G139" s="123">
        <v>7.9422382671480218E-2</v>
      </c>
    </row>
    <row r="140" spans="2:7" x14ac:dyDescent="0.2">
      <c r="B140" s="120" t="s">
        <v>580</v>
      </c>
      <c r="C140" s="121" t="s">
        <v>581</v>
      </c>
      <c r="D140" s="122" t="s">
        <v>3594</v>
      </c>
      <c r="E140" s="122" t="s">
        <v>3647</v>
      </c>
      <c r="F140" s="123">
        <v>0.37037037037037041</v>
      </c>
      <c r="G140" s="123">
        <v>0.26126126126126109</v>
      </c>
    </row>
    <row r="141" spans="2:7" x14ac:dyDescent="0.2">
      <c r="B141" s="120" t="s">
        <v>582</v>
      </c>
      <c r="C141" s="121" t="s">
        <v>583</v>
      </c>
      <c r="D141" s="122" t="s">
        <v>3594</v>
      </c>
      <c r="E141" s="122" t="s">
        <v>3595</v>
      </c>
      <c r="F141" s="123">
        <v>-0.45454545454545459</v>
      </c>
      <c r="G141" s="123">
        <v>0.66666666666666685</v>
      </c>
    </row>
    <row r="142" spans="2:7" x14ac:dyDescent="0.2">
      <c r="B142" s="120" t="s">
        <v>584</v>
      </c>
      <c r="C142" s="121" t="s">
        <v>585</v>
      </c>
      <c r="D142" s="122" t="s">
        <v>3591</v>
      </c>
      <c r="E142" s="122" t="s">
        <v>3592</v>
      </c>
      <c r="F142" s="123">
        <v>-4.3478260869565154E-2</v>
      </c>
      <c r="G142" s="123">
        <v>-1.5151515151515166E-2</v>
      </c>
    </row>
    <row r="143" spans="2:7" x14ac:dyDescent="0.2">
      <c r="B143" s="120" t="s">
        <v>586</v>
      </c>
      <c r="C143" s="121" t="s">
        <v>587</v>
      </c>
      <c r="D143" s="122" t="s">
        <v>3576</v>
      </c>
      <c r="E143" s="122" t="s">
        <v>3604</v>
      </c>
      <c r="F143" s="123">
        <v>6.1728395061728308E-2</v>
      </c>
      <c r="G143" s="123">
        <v>0.11627906976744183</v>
      </c>
    </row>
    <row r="144" spans="2:7" x14ac:dyDescent="0.2">
      <c r="B144" s="120" t="s">
        <v>588</v>
      </c>
      <c r="C144" s="121" t="s">
        <v>589</v>
      </c>
      <c r="D144" s="122" t="s">
        <v>3576</v>
      </c>
      <c r="E144" s="122" t="s">
        <v>3577</v>
      </c>
      <c r="F144" s="123">
        <v>3.4406215316315263E-2</v>
      </c>
      <c r="G144" s="123">
        <v>5.2575107296137361E-2</v>
      </c>
    </row>
    <row r="145" spans="2:7" x14ac:dyDescent="0.2">
      <c r="B145" s="120" t="s">
        <v>590</v>
      </c>
      <c r="C145" s="121" t="s">
        <v>591</v>
      </c>
      <c r="D145" s="122" t="s">
        <v>3556</v>
      </c>
      <c r="E145" s="122" t="s">
        <v>3616</v>
      </c>
      <c r="F145" s="123">
        <v>3.6027263875365242E-2</v>
      </c>
      <c r="G145" s="123">
        <v>8.3646616541353261E-2</v>
      </c>
    </row>
    <row r="146" spans="2:7" x14ac:dyDescent="0.2">
      <c r="B146" s="120" t="s">
        <v>592</v>
      </c>
      <c r="C146" s="121" t="s">
        <v>593</v>
      </c>
      <c r="D146" s="122" t="s">
        <v>3556</v>
      </c>
      <c r="E146" s="122" t="s">
        <v>3630</v>
      </c>
      <c r="F146" s="123">
        <v>0.676056338028169</v>
      </c>
      <c r="G146" s="123">
        <v>1.0869565217391304</v>
      </c>
    </row>
    <row r="147" spans="2:7" x14ac:dyDescent="0.2">
      <c r="B147" s="120" t="s">
        <v>594</v>
      </c>
      <c r="C147" s="121" t="s">
        <v>595</v>
      </c>
      <c r="D147" s="122" t="s">
        <v>3556</v>
      </c>
      <c r="E147" s="122" t="s">
        <v>3635</v>
      </c>
      <c r="F147" s="123">
        <v>-0.23076923076923075</v>
      </c>
      <c r="G147" s="123">
        <v>0.3125</v>
      </c>
    </row>
    <row r="148" spans="2:7" x14ac:dyDescent="0.2">
      <c r="B148" s="120" t="s">
        <v>596</v>
      </c>
      <c r="C148" s="121" t="s">
        <v>597</v>
      </c>
      <c r="D148" s="122" t="s">
        <v>3576</v>
      </c>
      <c r="E148" s="122" t="s">
        <v>3641</v>
      </c>
      <c r="F148" s="123">
        <v>7.3825503355704758E-2</v>
      </c>
      <c r="G148" s="123">
        <v>-6.2500000000000056E-2</v>
      </c>
    </row>
    <row r="149" spans="2:7" x14ac:dyDescent="0.2">
      <c r="B149" s="120" t="s">
        <v>598</v>
      </c>
      <c r="C149" s="121" t="s">
        <v>599</v>
      </c>
      <c r="D149" s="122" t="s">
        <v>3558</v>
      </c>
      <c r="E149" s="122" t="s">
        <v>3648</v>
      </c>
      <c r="F149" s="123">
        <v>8.2781456953642391E-2</v>
      </c>
      <c r="G149" s="123">
        <v>8.4097859327217098E-2</v>
      </c>
    </row>
    <row r="150" spans="2:7" x14ac:dyDescent="0.2">
      <c r="B150" s="120" t="s">
        <v>600</v>
      </c>
      <c r="C150" s="121" t="s">
        <v>601</v>
      </c>
      <c r="D150" s="122" t="s">
        <v>3580</v>
      </c>
      <c r="E150" s="122" t="s">
        <v>3649</v>
      </c>
      <c r="F150" s="123">
        <v>0.21808510638297882</v>
      </c>
      <c r="G150" s="123">
        <v>0.12008733624454145</v>
      </c>
    </row>
    <row r="151" spans="2:7" x14ac:dyDescent="0.2">
      <c r="B151" s="120" t="s">
        <v>602</v>
      </c>
      <c r="C151" s="121" t="s">
        <v>603</v>
      </c>
      <c r="D151" s="122" t="s">
        <v>3591</v>
      </c>
      <c r="E151" s="122" t="s">
        <v>3650</v>
      </c>
      <c r="F151" s="123">
        <v>9.0909090909090995E-2</v>
      </c>
      <c r="G151" s="123">
        <v>8.3333333333333287E-2</v>
      </c>
    </row>
    <row r="152" spans="2:7" x14ac:dyDescent="0.2">
      <c r="B152" s="120" t="s">
        <v>604</v>
      </c>
      <c r="C152" s="121" t="s">
        <v>605</v>
      </c>
      <c r="D152" s="122" t="s">
        <v>3591</v>
      </c>
      <c r="E152" s="122" t="s">
        <v>3650</v>
      </c>
      <c r="F152" s="123">
        <v>0.21965317919075139</v>
      </c>
      <c r="G152" s="123">
        <v>2.8436018957345998E-2</v>
      </c>
    </row>
    <row r="153" spans="2:7" x14ac:dyDescent="0.2">
      <c r="B153" s="120" t="s">
        <v>606</v>
      </c>
      <c r="C153" s="121" t="s">
        <v>607</v>
      </c>
      <c r="D153" s="122" t="s">
        <v>3576</v>
      </c>
      <c r="E153" s="122" t="s">
        <v>3593</v>
      </c>
      <c r="F153" s="123">
        <v>8.5034013605442174E-2</v>
      </c>
      <c r="G153" s="123">
        <v>2.8213166144200583E-2</v>
      </c>
    </row>
    <row r="154" spans="2:7" x14ac:dyDescent="0.2">
      <c r="B154" s="120" t="s">
        <v>608</v>
      </c>
      <c r="C154" s="121" t="s">
        <v>609</v>
      </c>
      <c r="D154" s="122" t="s">
        <v>3576</v>
      </c>
      <c r="E154" s="122" t="s">
        <v>3651</v>
      </c>
      <c r="F154" s="123">
        <v>9.8782138024357174E-2</v>
      </c>
      <c r="G154" s="123">
        <v>0.10467980295566522</v>
      </c>
    </row>
    <row r="155" spans="2:7" x14ac:dyDescent="0.2">
      <c r="B155" s="120" t="s">
        <v>610</v>
      </c>
      <c r="C155" s="121" t="s">
        <v>611</v>
      </c>
      <c r="D155" s="122" t="s">
        <v>3576</v>
      </c>
      <c r="E155" s="122" t="s">
        <v>3578</v>
      </c>
      <c r="F155" s="123">
        <v>1.1531914893617019</v>
      </c>
      <c r="G155" s="123">
        <v>4.1501976284584977E-2</v>
      </c>
    </row>
    <row r="156" spans="2:7" x14ac:dyDescent="0.2">
      <c r="B156" s="120" t="s">
        <v>612</v>
      </c>
      <c r="C156" s="121" t="s">
        <v>613</v>
      </c>
      <c r="D156" s="122" t="s">
        <v>3594</v>
      </c>
      <c r="E156" s="122" t="s">
        <v>3637</v>
      </c>
      <c r="F156" s="123">
        <v>0.42063492063492064</v>
      </c>
      <c r="G156" s="123">
        <v>9.4972067039106101E-2</v>
      </c>
    </row>
    <row r="157" spans="2:7" x14ac:dyDescent="0.2">
      <c r="B157" s="120" t="s">
        <v>614</v>
      </c>
      <c r="C157" s="121" t="s">
        <v>615</v>
      </c>
      <c r="D157" s="122" t="s">
        <v>3580</v>
      </c>
      <c r="E157" s="122" t="s">
        <v>3652</v>
      </c>
      <c r="F157" s="123">
        <v>6.61157024793389E-2</v>
      </c>
      <c r="G157" s="123">
        <v>-1</v>
      </c>
    </row>
    <row r="158" spans="2:7" x14ac:dyDescent="0.2">
      <c r="B158" s="120" t="s">
        <v>616</v>
      </c>
      <c r="C158" s="121" t="s">
        <v>617</v>
      </c>
      <c r="D158" s="122" t="s">
        <v>3556</v>
      </c>
      <c r="E158" s="122" t="s">
        <v>3630</v>
      </c>
      <c r="F158" s="123">
        <v>17</v>
      </c>
      <c r="G158" s="123">
        <v>0.52083333333333337</v>
      </c>
    </row>
    <row r="159" spans="2:7" x14ac:dyDescent="0.2">
      <c r="B159" s="120" t="s">
        <v>618</v>
      </c>
      <c r="C159" s="121" t="s">
        <v>619</v>
      </c>
      <c r="D159" s="122" t="s">
        <v>3569</v>
      </c>
      <c r="E159" s="122" t="s">
        <v>3570</v>
      </c>
      <c r="F159" s="123">
        <v>9.7560975609756184E-2</v>
      </c>
      <c r="G159" s="123">
        <v>0.16111111111111101</v>
      </c>
    </row>
    <row r="160" spans="2:7" x14ac:dyDescent="0.2">
      <c r="B160" s="120" t="s">
        <v>620</v>
      </c>
      <c r="C160" s="121" t="s">
        <v>621</v>
      </c>
      <c r="D160" s="122" t="s">
        <v>3563</v>
      </c>
      <c r="E160" s="122" t="s">
        <v>3565</v>
      </c>
      <c r="F160" s="123">
        <v>4.8792193249080219E-2</v>
      </c>
      <c r="G160" s="123">
        <v>0.10951799877974364</v>
      </c>
    </row>
    <row r="161" spans="2:7" x14ac:dyDescent="0.2">
      <c r="B161" s="120" t="s">
        <v>622</v>
      </c>
      <c r="C161" s="121" t="s">
        <v>623</v>
      </c>
      <c r="D161" s="122" t="s">
        <v>3556</v>
      </c>
      <c r="E161" s="122" t="s">
        <v>3579</v>
      </c>
      <c r="F161" s="123">
        <v>4.1782729805014025E-2</v>
      </c>
      <c r="G161" s="123">
        <v>0.1203208556149733</v>
      </c>
    </row>
    <row r="162" spans="2:7" x14ac:dyDescent="0.2">
      <c r="B162" s="120" t="s">
        <v>624</v>
      </c>
      <c r="C162" s="121" t="s">
        <v>625</v>
      </c>
      <c r="D162" s="122" t="s">
        <v>3576</v>
      </c>
      <c r="E162" s="122" t="s">
        <v>3593</v>
      </c>
      <c r="F162" s="123">
        <v>0.10714285714285712</v>
      </c>
      <c r="G162" s="123">
        <v>4.6082949308755804E-2</v>
      </c>
    </row>
    <row r="163" spans="2:7" x14ac:dyDescent="0.2">
      <c r="B163" s="120" t="s">
        <v>626</v>
      </c>
      <c r="C163" s="121" t="s">
        <v>627</v>
      </c>
      <c r="D163" s="122" t="s">
        <v>3561</v>
      </c>
      <c r="E163" s="122" t="s">
        <v>3562</v>
      </c>
      <c r="F163" s="123">
        <v>0.55319148936170215</v>
      </c>
      <c r="G163" s="123">
        <v>0.44292237442922383</v>
      </c>
    </row>
    <row r="164" spans="2:7" x14ac:dyDescent="0.2">
      <c r="B164" s="120" t="s">
        <v>628</v>
      </c>
      <c r="C164" s="121" t="s">
        <v>629</v>
      </c>
      <c r="D164" s="122" t="s">
        <v>3605</v>
      </c>
      <c r="E164" s="122" t="s">
        <v>3653</v>
      </c>
      <c r="F164" s="123">
        <v>-0.72841965471447545</v>
      </c>
      <c r="G164" s="123">
        <v>4.2322738386308068</v>
      </c>
    </row>
    <row r="165" spans="2:7" x14ac:dyDescent="0.2">
      <c r="B165" s="120" t="s">
        <v>630</v>
      </c>
      <c r="C165" s="121" t="s">
        <v>631</v>
      </c>
      <c r="D165" s="122" t="s">
        <v>3563</v>
      </c>
      <c r="E165" s="122" t="s">
        <v>3622</v>
      </c>
      <c r="F165" s="123">
        <v>0.31743119266055037</v>
      </c>
      <c r="G165" s="123">
        <v>0.23955431754874662</v>
      </c>
    </row>
    <row r="166" spans="2:7" x14ac:dyDescent="0.2">
      <c r="B166" s="120" t="s">
        <v>632</v>
      </c>
      <c r="C166" s="121" t="s">
        <v>633</v>
      </c>
      <c r="D166" s="122" t="s">
        <v>3576</v>
      </c>
      <c r="E166" s="122" t="s">
        <v>3654</v>
      </c>
      <c r="F166" s="123">
        <v>0.11023622047244086</v>
      </c>
      <c r="G166" s="123">
        <v>8.1560283687943255E-2</v>
      </c>
    </row>
    <row r="167" spans="2:7" x14ac:dyDescent="0.2">
      <c r="B167" s="120" t="s">
        <v>634</v>
      </c>
      <c r="C167" s="121" t="s">
        <v>635</v>
      </c>
      <c r="D167" s="122" t="s">
        <v>3605</v>
      </c>
      <c r="E167" s="122" t="s">
        <v>3606</v>
      </c>
      <c r="F167" s="123">
        <v>0.14746543778801857</v>
      </c>
      <c r="G167" s="123">
        <v>-3.2128514056224924E-2</v>
      </c>
    </row>
    <row r="168" spans="2:7" x14ac:dyDescent="0.2">
      <c r="B168" s="120" t="s">
        <v>636</v>
      </c>
      <c r="C168" s="121" t="s">
        <v>637</v>
      </c>
      <c r="D168" s="122" t="s">
        <v>3582</v>
      </c>
      <c r="E168" s="122" t="s">
        <v>3655</v>
      </c>
      <c r="F168" s="123">
        <v>0.12499999999999994</v>
      </c>
      <c r="G168" s="123">
        <v>0.12091503267973859</v>
      </c>
    </row>
    <row r="169" spans="2:7" x14ac:dyDescent="0.2">
      <c r="B169" s="120" t="s">
        <v>638</v>
      </c>
      <c r="C169" s="121" t="s">
        <v>639</v>
      </c>
      <c r="D169" s="122" t="s">
        <v>3610</v>
      </c>
      <c r="E169" s="122" t="s">
        <v>3656</v>
      </c>
      <c r="F169" s="123">
        <v>-0.2286919831223628</v>
      </c>
      <c r="G169" s="123">
        <v>0.13894967177242884</v>
      </c>
    </row>
    <row r="170" spans="2:7" x14ac:dyDescent="0.2">
      <c r="B170" s="120" t="s">
        <v>640</v>
      </c>
      <c r="C170" s="121" t="s">
        <v>641</v>
      </c>
      <c r="D170" s="122" t="s">
        <v>3576</v>
      </c>
      <c r="E170" s="122" t="s">
        <v>3626</v>
      </c>
      <c r="F170" s="123">
        <v>7.0687418936446283E-2</v>
      </c>
      <c r="G170" s="123">
        <v>0.10054512416717142</v>
      </c>
    </row>
    <row r="171" spans="2:7" x14ac:dyDescent="0.2">
      <c r="B171" s="120" t="s">
        <v>642</v>
      </c>
      <c r="C171" s="121" t="s">
        <v>643</v>
      </c>
      <c r="D171" s="122" t="s">
        <v>3594</v>
      </c>
      <c r="E171" s="122" t="s">
        <v>3602</v>
      </c>
      <c r="F171" s="123">
        <v>-0.35087719298245607</v>
      </c>
      <c r="G171" s="123">
        <v>9.0090090090089961E-2</v>
      </c>
    </row>
    <row r="172" spans="2:7" x14ac:dyDescent="0.2">
      <c r="B172" s="120" t="s">
        <v>644</v>
      </c>
      <c r="C172" s="121" t="s">
        <v>645</v>
      </c>
      <c r="D172" s="122" t="s">
        <v>3569</v>
      </c>
      <c r="E172" s="122" t="s">
        <v>3572</v>
      </c>
      <c r="F172" s="123">
        <v>0.12333333333333336</v>
      </c>
      <c r="G172" s="123">
        <v>0.12166172106824917</v>
      </c>
    </row>
    <row r="173" spans="2:7" x14ac:dyDescent="0.2">
      <c r="B173" s="120" t="s">
        <v>646</v>
      </c>
      <c r="C173" s="121" t="s">
        <v>647</v>
      </c>
      <c r="D173" s="122" t="s">
        <v>3569</v>
      </c>
      <c r="E173" s="122" t="s">
        <v>3570</v>
      </c>
      <c r="F173" s="123">
        <v>0.14110429447852774</v>
      </c>
      <c r="G173" s="123">
        <v>0.12365591397849449</v>
      </c>
    </row>
    <row r="174" spans="2:7" x14ac:dyDescent="0.2">
      <c r="B174" s="120" t="s">
        <v>648</v>
      </c>
      <c r="C174" s="121" t="s">
        <v>649</v>
      </c>
      <c r="D174" s="122" t="s">
        <v>3556</v>
      </c>
      <c r="E174" s="122" t="s">
        <v>3621</v>
      </c>
      <c r="F174" s="123">
        <v>-0.6470588235294118</v>
      </c>
      <c r="G174" s="123">
        <v>1.1666666666666667</v>
      </c>
    </row>
    <row r="175" spans="2:7" x14ac:dyDescent="0.2">
      <c r="B175" s="120" t="s">
        <v>650</v>
      </c>
      <c r="C175" s="121" t="s">
        <v>651</v>
      </c>
      <c r="D175" s="122" t="s">
        <v>3561</v>
      </c>
      <c r="E175" s="122" t="s">
        <v>3562</v>
      </c>
      <c r="F175" s="123">
        <v>1.0000000000000009E-2</v>
      </c>
      <c r="G175" s="123">
        <v>-9.9009900990099098E-3</v>
      </c>
    </row>
    <row r="176" spans="2:7" x14ac:dyDescent="0.2">
      <c r="B176" s="120" t="s">
        <v>652</v>
      </c>
      <c r="C176" s="121" t="s">
        <v>653</v>
      </c>
      <c r="D176" s="122" t="s">
        <v>3576</v>
      </c>
      <c r="E176" s="122" t="s">
        <v>3626</v>
      </c>
      <c r="F176" s="123">
        <v>0.1285714285714287</v>
      </c>
      <c r="G176" s="123">
        <v>8.8607594936708792E-2</v>
      </c>
    </row>
    <row r="177" spans="2:7" x14ac:dyDescent="0.2">
      <c r="B177" s="120" t="s">
        <v>654</v>
      </c>
      <c r="C177" s="121" t="s">
        <v>655</v>
      </c>
      <c r="D177" s="122" t="s">
        <v>3594</v>
      </c>
      <c r="E177" s="122" t="s">
        <v>3647</v>
      </c>
      <c r="F177" s="123">
        <v>0.10928961748633864</v>
      </c>
      <c r="G177" s="123">
        <v>-0.12807881773399005</v>
      </c>
    </row>
    <row r="178" spans="2:7" x14ac:dyDescent="0.2">
      <c r="B178" s="120" t="s">
        <v>656</v>
      </c>
      <c r="C178" s="121" t="s">
        <v>657</v>
      </c>
      <c r="D178" s="122" t="s">
        <v>3576</v>
      </c>
      <c r="E178" s="122" t="s">
        <v>3654</v>
      </c>
      <c r="F178" s="123">
        <v>3.2581453634085183E-2</v>
      </c>
      <c r="G178" s="123">
        <v>9.9514563106796142E-2</v>
      </c>
    </row>
    <row r="179" spans="2:7" x14ac:dyDescent="0.2">
      <c r="B179" s="120" t="s">
        <v>658</v>
      </c>
      <c r="C179" s="121" t="s">
        <v>659</v>
      </c>
      <c r="D179" s="122" t="s">
        <v>3576</v>
      </c>
      <c r="E179" s="122" t="s">
        <v>3626</v>
      </c>
      <c r="F179" s="123">
        <v>-0.15476190476190477</v>
      </c>
      <c r="G179" s="123">
        <v>-7.0422535211267512E-2</v>
      </c>
    </row>
    <row r="180" spans="2:7" x14ac:dyDescent="0.2">
      <c r="B180" s="120" t="s">
        <v>660</v>
      </c>
      <c r="C180" s="121" t="s">
        <v>661</v>
      </c>
      <c r="D180" s="122" t="s">
        <v>3563</v>
      </c>
      <c r="E180" s="122" t="s">
        <v>3564</v>
      </c>
      <c r="F180" s="123">
        <v>0.1100386100386101</v>
      </c>
      <c r="G180" s="123">
        <v>4.8695652173913084E-2</v>
      </c>
    </row>
    <row r="181" spans="2:7" x14ac:dyDescent="0.2">
      <c r="B181" s="120" t="s">
        <v>662</v>
      </c>
      <c r="C181" s="121" t="s">
        <v>663</v>
      </c>
      <c r="D181" s="122" t="s">
        <v>25</v>
      </c>
      <c r="E181" s="122" t="s">
        <v>3657</v>
      </c>
      <c r="F181" s="123">
        <v>-9.808102345415777E-2</v>
      </c>
      <c r="G181" s="123">
        <v>0.22222222222222207</v>
      </c>
    </row>
    <row r="182" spans="2:7" x14ac:dyDescent="0.2">
      <c r="B182" s="120" t="s">
        <v>664</v>
      </c>
      <c r="C182" s="121" t="s">
        <v>665</v>
      </c>
      <c r="D182" s="122" t="s">
        <v>3610</v>
      </c>
      <c r="E182" s="122" t="s">
        <v>3611</v>
      </c>
      <c r="F182" s="123">
        <v>-9.5505617977528046E-2</v>
      </c>
      <c r="G182" s="123">
        <v>0.19254658385093157</v>
      </c>
    </row>
    <row r="183" spans="2:7" x14ac:dyDescent="0.2">
      <c r="B183" s="120" t="s">
        <v>666</v>
      </c>
      <c r="C183" s="121" t="s">
        <v>667</v>
      </c>
      <c r="D183" s="122" t="s">
        <v>3591</v>
      </c>
      <c r="E183" s="122" t="s">
        <v>3658</v>
      </c>
      <c r="F183" s="123">
        <v>2.2813688212927778E-2</v>
      </c>
      <c r="G183" s="123">
        <v>5.2044609665427559E-2</v>
      </c>
    </row>
    <row r="184" spans="2:7" x14ac:dyDescent="0.2">
      <c r="B184" s="120" t="s">
        <v>668</v>
      </c>
      <c r="C184" s="121" t="s">
        <v>669</v>
      </c>
      <c r="D184" s="122" t="s">
        <v>3576</v>
      </c>
      <c r="E184" s="122" t="s">
        <v>3626</v>
      </c>
      <c r="F184" s="123">
        <v>1.1363636363636374E-2</v>
      </c>
      <c r="G184" s="123">
        <v>8.4269662921348257E-2</v>
      </c>
    </row>
    <row r="185" spans="2:7" x14ac:dyDescent="0.2">
      <c r="B185" s="120" t="s">
        <v>670</v>
      </c>
      <c r="C185" s="121" t="s">
        <v>671</v>
      </c>
      <c r="D185" s="122" t="s">
        <v>3580</v>
      </c>
      <c r="E185" s="122" t="s">
        <v>3581</v>
      </c>
      <c r="F185" s="123">
        <v>-0.13636363636363646</v>
      </c>
      <c r="G185" s="123">
        <v>2.1052631578947389E-2</v>
      </c>
    </row>
    <row r="186" spans="2:7" x14ac:dyDescent="0.2">
      <c r="B186" s="120" t="s">
        <v>672</v>
      </c>
      <c r="C186" s="121" t="s">
        <v>673</v>
      </c>
      <c r="D186" s="122" t="s">
        <v>3582</v>
      </c>
      <c r="E186" s="122" t="s">
        <v>3588</v>
      </c>
      <c r="F186" s="123">
        <v>0.24698795180722888</v>
      </c>
      <c r="G186" s="123">
        <v>0.20289855072463789</v>
      </c>
    </row>
    <row r="187" spans="2:7" x14ac:dyDescent="0.2">
      <c r="B187" s="120" t="s">
        <v>674</v>
      </c>
      <c r="C187" s="121" t="s">
        <v>675</v>
      </c>
      <c r="D187" s="122" t="s">
        <v>3594</v>
      </c>
      <c r="E187" s="122" t="s">
        <v>3637</v>
      </c>
      <c r="F187" s="123">
        <v>6.5789473684210583E-3</v>
      </c>
      <c r="G187" s="123">
        <v>8.8235294117647065E-2</v>
      </c>
    </row>
    <row r="188" spans="2:7" x14ac:dyDescent="0.2">
      <c r="B188" s="120" t="s">
        <v>676</v>
      </c>
      <c r="C188" s="121" t="s">
        <v>677</v>
      </c>
      <c r="D188" s="122" t="s">
        <v>3576</v>
      </c>
      <c r="E188" s="122" t="s">
        <v>3626</v>
      </c>
      <c r="F188" s="123">
        <v>2.7777777777777801E-2</v>
      </c>
      <c r="G188" s="123">
        <v>6.3063063063062919E-2</v>
      </c>
    </row>
    <row r="189" spans="2:7" x14ac:dyDescent="0.2">
      <c r="B189" s="120" t="s">
        <v>678</v>
      </c>
      <c r="C189" s="121" t="s">
        <v>679</v>
      </c>
      <c r="D189" s="122" t="s">
        <v>3569</v>
      </c>
      <c r="E189" s="122" t="s">
        <v>3571</v>
      </c>
      <c r="F189" s="123">
        <v>6.0853769300635782E-2</v>
      </c>
      <c r="G189" s="123">
        <v>0.10958904109589052</v>
      </c>
    </row>
    <row r="190" spans="2:7" x14ac:dyDescent="0.2">
      <c r="B190" s="120" t="s">
        <v>680</v>
      </c>
      <c r="C190" s="121" t="s">
        <v>681</v>
      </c>
      <c r="D190" s="122" t="s">
        <v>3576</v>
      </c>
      <c r="E190" s="122" t="s">
        <v>3604</v>
      </c>
      <c r="F190" s="123">
        <v>-0.232484076433121</v>
      </c>
      <c r="G190" s="123">
        <v>0.15352697095435669</v>
      </c>
    </row>
    <row r="191" spans="2:7" x14ac:dyDescent="0.2">
      <c r="B191" s="120" t="s">
        <v>682</v>
      </c>
      <c r="C191" s="121" t="s">
        <v>683</v>
      </c>
      <c r="D191" s="122" t="s">
        <v>3558</v>
      </c>
      <c r="E191" s="122" t="s">
        <v>3644</v>
      </c>
      <c r="F191" s="123">
        <v>1.7910447761194045E-2</v>
      </c>
      <c r="G191" s="123">
        <v>0.25513196480938416</v>
      </c>
    </row>
    <row r="192" spans="2:7" x14ac:dyDescent="0.2">
      <c r="B192" s="120" t="s">
        <v>684</v>
      </c>
      <c r="C192" s="121" t="s">
        <v>685</v>
      </c>
      <c r="D192" s="122" t="s">
        <v>24</v>
      </c>
      <c r="E192" s="122" t="s">
        <v>3573</v>
      </c>
      <c r="F192" s="123">
        <v>5.8823529411764761E-2</v>
      </c>
      <c r="G192" s="123">
        <v>-1</v>
      </c>
    </row>
    <row r="193" spans="2:7" x14ac:dyDescent="0.2">
      <c r="B193" s="120" t="s">
        <v>686</v>
      </c>
      <c r="C193" s="121" t="s">
        <v>687</v>
      </c>
      <c r="D193" s="122" t="s">
        <v>24</v>
      </c>
      <c r="E193" s="122" t="s">
        <v>3573</v>
      </c>
      <c r="F193" s="123">
        <v>5.2941176470588283E-2</v>
      </c>
      <c r="G193" s="123">
        <v>7.8212290502793241E-2</v>
      </c>
    </row>
    <row r="194" spans="2:7" x14ac:dyDescent="0.2">
      <c r="B194" s="120" t="s">
        <v>688</v>
      </c>
      <c r="C194" s="121" t="s">
        <v>689</v>
      </c>
      <c r="D194" s="122" t="s">
        <v>25</v>
      </c>
      <c r="E194" s="122" t="s">
        <v>3659</v>
      </c>
      <c r="F194" s="123">
        <v>0.15238095238095237</v>
      </c>
      <c r="G194" s="123">
        <v>0.1432506887052343</v>
      </c>
    </row>
    <row r="195" spans="2:7" x14ac:dyDescent="0.2">
      <c r="B195" s="120" t="s">
        <v>690</v>
      </c>
      <c r="C195" s="121" t="s">
        <v>691</v>
      </c>
      <c r="D195" s="122" t="s">
        <v>3594</v>
      </c>
      <c r="E195" s="122" t="s">
        <v>3660</v>
      </c>
      <c r="F195" s="123">
        <v>0.28368794326241148</v>
      </c>
      <c r="G195" s="123">
        <v>-3.8674033149171304E-2</v>
      </c>
    </row>
    <row r="196" spans="2:7" x14ac:dyDescent="0.2">
      <c r="B196" s="120" t="s">
        <v>692</v>
      </c>
      <c r="C196" s="121" t="s">
        <v>693</v>
      </c>
      <c r="D196" s="122" t="s">
        <v>3569</v>
      </c>
      <c r="E196" s="122" t="s">
        <v>3575</v>
      </c>
      <c r="F196" s="123">
        <v>-0.16161616161616157</v>
      </c>
      <c r="G196" s="123">
        <v>-0.14521739130434783</v>
      </c>
    </row>
    <row r="197" spans="2:7" x14ac:dyDescent="0.2">
      <c r="B197" s="120" t="s">
        <v>694</v>
      </c>
      <c r="C197" s="121" t="s">
        <v>695</v>
      </c>
      <c r="D197" s="122" t="s">
        <v>3569</v>
      </c>
      <c r="E197" s="122" t="s">
        <v>3599</v>
      </c>
      <c r="F197" s="123">
        <v>0.11286089238845148</v>
      </c>
      <c r="G197" s="123">
        <v>3.7735849056603807E-2</v>
      </c>
    </row>
    <row r="198" spans="2:7" x14ac:dyDescent="0.2">
      <c r="B198" s="120" t="s">
        <v>696</v>
      </c>
      <c r="C198" s="121" t="s">
        <v>697</v>
      </c>
      <c r="D198" s="122" t="s">
        <v>3576</v>
      </c>
      <c r="E198" s="122" t="s">
        <v>3641</v>
      </c>
      <c r="F198" s="123">
        <v>0.13929040735873843</v>
      </c>
      <c r="G198" s="123">
        <v>0.13725490196078427</v>
      </c>
    </row>
    <row r="199" spans="2:7" x14ac:dyDescent="0.2">
      <c r="B199" s="120" t="s">
        <v>698</v>
      </c>
      <c r="C199" s="121" t="s">
        <v>699</v>
      </c>
      <c r="D199" s="122" t="s">
        <v>3612</v>
      </c>
      <c r="E199" s="122" t="s">
        <v>3661</v>
      </c>
      <c r="F199" s="123">
        <v>0.51562499999999989</v>
      </c>
      <c r="G199" s="123">
        <v>0.47422680412371132</v>
      </c>
    </row>
    <row r="200" spans="2:7" x14ac:dyDescent="0.2">
      <c r="B200" s="120" t="s">
        <v>700</v>
      </c>
      <c r="C200" s="121" t="s">
        <v>701</v>
      </c>
      <c r="D200" s="122" t="s">
        <v>3563</v>
      </c>
      <c r="E200" s="122" t="s">
        <v>3622</v>
      </c>
      <c r="F200" s="123">
        <v>0.2135922330097087</v>
      </c>
      <c r="G200" s="123">
        <v>0.43200000000000005</v>
      </c>
    </row>
    <row r="201" spans="2:7" x14ac:dyDescent="0.2">
      <c r="B201" s="120" t="s">
        <v>702</v>
      </c>
      <c r="C201" s="121" t="s">
        <v>703</v>
      </c>
      <c r="D201" s="122" t="s">
        <v>3594</v>
      </c>
      <c r="E201" s="122" t="s">
        <v>3647</v>
      </c>
      <c r="F201" s="123">
        <v>0.10655737704918024</v>
      </c>
      <c r="G201" s="123">
        <v>-0.1234567901234568</v>
      </c>
    </row>
    <row r="202" spans="2:7" x14ac:dyDescent="0.2">
      <c r="B202" s="120" t="s">
        <v>704</v>
      </c>
      <c r="C202" s="121" t="s">
        <v>705</v>
      </c>
      <c r="D202" s="122" t="s">
        <v>3556</v>
      </c>
      <c r="E202" s="122" t="s">
        <v>3607</v>
      </c>
      <c r="F202" s="123">
        <v>-0.48078920041536866</v>
      </c>
      <c r="G202" s="123">
        <v>0.41</v>
      </c>
    </row>
    <row r="203" spans="2:7" x14ac:dyDescent="0.2">
      <c r="B203" s="120" t="s">
        <v>706</v>
      </c>
      <c r="C203" s="121" t="s">
        <v>707</v>
      </c>
      <c r="D203" s="122" t="s">
        <v>3569</v>
      </c>
      <c r="E203" s="122" t="s">
        <v>3575</v>
      </c>
      <c r="F203" s="123">
        <v>0.25309597523219823</v>
      </c>
      <c r="G203" s="123">
        <v>-6.1766522544781603E-3</v>
      </c>
    </row>
    <row r="204" spans="2:7" x14ac:dyDescent="0.2">
      <c r="B204" s="120" t="s">
        <v>708</v>
      </c>
      <c r="C204" s="121" t="s">
        <v>709</v>
      </c>
      <c r="D204" s="122" t="s">
        <v>3556</v>
      </c>
      <c r="E204" s="122" t="s">
        <v>3607</v>
      </c>
      <c r="F204" s="123">
        <v>-0.48387096774193555</v>
      </c>
      <c r="G204" s="123">
        <v>0.36956521739130443</v>
      </c>
    </row>
    <row r="205" spans="2:7" x14ac:dyDescent="0.2">
      <c r="B205" s="120" t="s">
        <v>710</v>
      </c>
      <c r="C205" s="121" t="s">
        <v>711</v>
      </c>
      <c r="D205" s="122" t="s">
        <v>3569</v>
      </c>
      <c r="E205" s="122" t="s">
        <v>3572</v>
      </c>
      <c r="F205" s="123">
        <v>0.34146341463414637</v>
      </c>
      <c r="G205" s="123">
        <v>0.2587412587412587</v>
      </c>
    </row>
    <row r="206" spans="2:7" x14ac:dyDescent="0.2">
      <c r="B206" s="120" t="s">
        <v>712</v>
      </c>
      <c r="C206" s="121" t="s">
        <v>713</v>
      </c>
      <c r="D206" s="122" t="s">
        <v>3591</v>
      </c>
      <c r="E206" s="122" t="s">
        <v>3592</v>
      </c>
      <c r="F206" s="123">
        <v>0.10610932475884247</v>
      </c>
      <c r="G206" s="123">
        <v>0.15697674418604651</v>
      </c>
    </row>
    <row r="207" spans="2:7" x14ac:dyDescent="0.2">
      <c r="B207" s="120" t="s">
        <v>714</v>
      </c>
      <c r="C207" s="121" t="s">
        <v>715</v>
      </c>
      <c r="D207" s="122" t="s">
        <v>25</v>
      </c>
      <c r="E207" s="122" t="s">
        <v>3662</v>
      </c>
      <c r="F207" s="123">
        <v>0.16535433070866137</v>
      </c>
      <c r="G207" s="123">
        <v>0.12162162162162159</v>
      </c>
    </row>
    <row r="208" spans="2:7" x14ac:dyDescent="0.2">
      <c r="B208" s="120" t="s">
        <v>716</v>
      </c>
      <c r="C208" s="121" t="s">
        <v>717</v>
      </c>
      <c r="D208" s="122" t="s">
        <v>3576</v>
      </c>
      <c r="E208" s="122" t="s">
        <v>3654</v>
      </c>
      <c r="F208" s="123">
        <v>-4.6004842615012094E-2</v>
      </c>
      <c r="G208" s="123">
        <v>6.59898477157361E-2</v>
      </c>
    </row>
    <row r="209" spans="2:7" x14ac:dyDescent="0.2">
      <c r="B209" s="120" t="s">
        <v>718</v>
      </c>
      <c r="C209" s="121" t="s">
        <v>719</v>
      </c>
      <c r="D209" s="122" t="s">
        <v>3576</v>
      </c>
      <c r="E209" s="122" t="s">
        <v>3626</v>
      </c>
      <c r="F209" s="123">
        <v>-0.44444444444444448</v>
      </c>
      <c r="G209" s="123">
        <v>0.66666666666666674</v>
      </c>
    </row>
    <row r="210" spans="2:7" x14ac:dyDescent="0.2">
      <c r="B210" s="120" t="s">
        <v>720</v>
      </c>
      <c r="C210" s="121" t="s">
        <v>721</v>
      </c>
      <c r="D210" s="122" t="s">
        <v>3576</v>
      </c>
      <c r="E210" s="122" t="s">
        <v>3663</v>
      </c>
      <c r="F210" s="123">
        <v>-0.26825127334465199</v>
      </c>
      <c r="G210" s="123">
        <v>0.12529002320185617</v>
      </c>
    </row>
    <row r="211" spans="2:7" x14ac:dyDescent="0.2">
      <c r="B211" s="120" t="s">
        <v>722</v>
      </c>
      <c r="C211" s="121" t="s">
        <v>723</v>
      </c>
      <c r="D211" s="122" t="s">
        <v>3591</v>
      </c>
      <c r="E211" s="122" t="s">
        <v>3592</v>
      </c>
      <c r="F211" s="123">
        <v>8.7976539589442234E-3</v>
      </c>
      <c r="G211" s="123">
        <v>7.2674418604651167E-2</v>
      </c>
    </row>
    <row r="212" spans="2:7" x14ac:dyDescent="0.2">
      <c r="B212" s="120" t="s">
        <v>724</v>
      </c>
      <c r="C212" s="121" t="s">
        <v>725</v>
      </c>
      <c r="D212" s="122" t="s">
        <v>3582</v>
      </c>
      <c r="E212" s="122" t="s">
        <v>3664</v>
      </c>
      <c r="F212" s="123">
        <v>3.8043478260869477E-2</v>
      </c>
      <c r="G212" s="123">
        <v>0.15183246073298443</v>
      </c>
    </row>
    <row r="213" spans="2:7" x14ac:dyDescent="0.2">
      <c r="B213" s="120" t="s">
        <v>726</v>
      </c>
      <c r="C213" s="121" t="s">
        <v>727</v>
      </c>
      <c r="D213" s="122" t="s">
        <v>3563</v>
      </c>
      <c r="E213" s="122" t="s">
        <v>3622</v>
      </c>
      <c r="F213" s="123">
        <v>0.1401942181046992</v>
      </c>
      <c r="G213" s="123">
        <v>0.14419970631424364</v>
      </c>
    </row>
    <row r="214" spans="2:7" x14ac:dyDescent="0.2">
      <c r="B214" s="120" t="s">
        <v>728</v>
      </c>
      <c r="C214" s="121" t="s">
        <v>729</v>
      </c>
      <c r="D214" s="122" t="s">
        <v>3576</v>
      </c>
      <c r="E214" s="122" t="s">
        <v>3626</v>
      </c>
      <c r="F214" s="123">
        <v>9.2307692307692216E-2</v>
      </c>
      <c r="G214" s="123">
        <v>-0.12676056338028166</v>
      </c>
    </row>
    <row r="215" spans="2:7" x14ac:dyDescent="0.2">
      <c r="B215" s="120" t="s">
        <v>730</v>
      </c>
      <c r="C215" s="121" t="s">
        <v>731</v>
      </c>
      <c r="D215" s="122" t="s">
        <v>3576</v>
      </c>
      <c r="E215" s="122" t="s">
        <v>3654</v>
      </c>
      <c r="F215" s="123">
        <v>-5.8631921824104143E-2</v>
      </c>
      <c r="G215" s="123">
        <v>8.304498269896185E-2</v>
      </c>
    </row>
    <row r="216" spans="2:7" x14ac:dyDescent="0.2">
      <c r="B216" s="120" t="s">
        <v>732</v>
      </c>
      <c r="C216" s="121" t="s">
        <v>733</v>
      </c>
      <c r="D216" s="122" t="s">
        <v>3580</v>
      </c>
      <c r="E216" s="122" t="s">
        <v>3649</v>
      </c>
      <c r="F216" s="123">
        <v>0.25059665871121711</v>
      </c>
      <c r="G216" s="123">
        <v>9.9236641221373961E-2</v>
      </c>
    </row>
    <row r="217" spans="2:7" x14ac:dyDescent="0.2">
      <c r="B217" s="120" t="s">
        <v>734</v>
      </c>
      <c r="C217" s="121" t="s">
        <v>735</v>
      </c>
      <c r="D217" s="122" t="s">
        <v>3576</v>
      </c>
      <c r="E217" s="122" t="s">
        <v>3604</v>
      </c>
      <c r="F217" s="123">
        <v>9.9046221570065866E-3</v>
      </c>
      <c r="G217" s="123">
        <v>0.11369415183436248</v>
      </c>
    </row>
    <row r="218" spans="2:7" x14ac:dyDescent="0.2">
      <c r="B218" s="120" t="s">
        <v>736</v>
      </c>
      <c r="C218" s="121" t="s">
        <v>737</v>
      </c>
      <c r="D218" s="122" t="s">
        <v>3556</v>
      </c>
      <c r="E218" s="122" t="s">
        <v>3579</v>
      </c>
      <c r="F218" s="123">
        <v>-0.11244979919678724</v>
      </c>
      <c r="G218" s="123">
        <v>9.0497737556561167E-2</v>
      </c>
    </row>
    <row r="219" spans="2:7" x14ac:dyDescent="0.2">
      <c r="B219" s="120" t="s">
        <v>738</v>
      </c>
      <c r="C219" s="121" t="s">
        <v>739</v>
      </c>
      <c r="D219" s="122" t="s">
        <v>3558</v>
      </c>
      <c r="E219" s="122" t="s">
        <v>3665</v>
      </c>
      <c r="F219" s="123">
        <v>0.17727272727272711</v>
      </c>
      <c r="G219" s="123">
        <v>0.18146718146718155</v>
      </c>
    </row>
    <row r="220" spans="2:7" x14ac:dyDescent="0.2">
      <c r="B220" s="120" t="s">
        <v>740</v>
      </c>
      <c r="C220" s="121" t="s">
        <v>741</v>
      </c>
      <c r="D220" s="122" t="s">
        <v>3569</v>
      </c>
      <c r="E220" s="122" t="s">
        <v>3575</v>
      </c>
      <c r="F220" s="123">
        <v>-0.22955390334572498</v>
      </c>
      <c r="G220" s="123">
        <v>1.2093726379440676E-2</v>
      </c>
    </row>
    <row r="221" spans="2:7" x14ac:dyDescent="0.2">
      <c r="B221" s="120" t="s">
        <v>742</v>
      </c>
      <c r="C221" s="121" t="s">
        <v>743</v>
      </c>
      <c r="D221" s="122" t="s">
        <v>3576</v>
      </c>
      <c r="E221" s="122" t="s">
        <v>3626</v>
      </c>
      <c r="F221" s="123">
        <v>4.2709867452135501E-2</v>
      </c>
      <c r="G221" s="123">
        <v>4.8022598870056478E-2</v>
      </c>
    </row>
    <row r="222" spans="2:7" x14ac:dyDescent="0.2">
      <c r="B222" s="120" t="s">
        <v>744</v>
      </c>
      <c r="C222" s="121" t="s">
        <v>745</v>
      </c>
      <c r="D222" s="122" t="s">
        <v>3569</v>
      </c>
      <c r="E222" s="122" t="s">
        <v>3575</v>
      </c>
      <c r="F222" s="123">
        <v>0.2461538461538462</v>
      </c>
      <c r="G222" s="123">
        <v>1.0493827160493825</v>
      </c>
    </row>
    <row r="223" spans="2:7" x14ac:dyDescent="0.2">
      <c r="B223" s="120" t="s">
        <v>746</v>
      </c>
      <c r="C223" s="121" t="s">
        <v>747</v>
      </c>
      <c r="D223" s="122" t="s">
        <v>25</v>
      </c>
      <c r="E223" s="122" t="s">
        <v>3666</v>
      </c>
      <c r="F223" s="123">
        <v>4.854368932038839E-2</v>
      </c>
      <c r="G223" s="123">
        <v>0.15740740740740733</v>
      </c>
    </row>
    <row r="224" spans="2:7" x14ac:dyDescent="0.2">
      <c r="B224" s="120" t="s">
        <v>748</v>
      </c>
      <c r="C224" s="121" t="s">
        <v>749</v>
      </c>
      <c r="D224" s="122" t="s">
        <v>3569</v>
      </c>
      <c r="E224" s="122" t="s">
        <v>3570</v>
      </c>
      <c r="F224" s="123">
        <v>0.10282776349614393</v>
      </c>
      <c r="G224" s="123">
        <v>0.24941724941724949</v>
      </c>
    </row>
    <row r="225" spans="2:7" x14ac:dyDescent="0.2">
      <c r="B225" s="120" t="s">
        <v>750</v>
      </c>
      <c r="C225" s="121" t="s">
        <v>751</v>
      </c>
      <c r="D225" s="122" t="s">
        <v>3576</v>
      </c>
      <c r="E225" s="122" t="s">
        <v>3626</v>
      </c>
      <c r="F225" s="123">
        <v>-6.1281337047353696E-2</v>
      </c>
      <c r="G225" s="123">
        <v>-5.9347181008902131E-3</v>
      </c>
    </row>
    <row r="226" spans="2:7" x14ac:dyDescent="0.2">
      <c r="B226" s="120" t="s">
        <v>752</v>
      </c>
      <c r="C226" s="121" t="s">
        <v>753</v>
      </c>
      <c r="D226" s="122" t="s">
        <v>3576</v>
      </c>
      <c r="E226" s="122" t="s">
        <v>3626</v>
      </c>
      <c r="F226" s="123">
        <v>7.5187969924812095E-3</v>
      </c>
      <c r="G226" s="123">
        <v>5.5970149253731304E-2</v>
      </c>
    </row>
    <row r="227" spans="2:7" x14ac:dyDescent="0.2">
      <c r="B227" s="120" t="s">
        <v>754</v>
      </c>
      <c r="C227" s="121" t="s">
        <v>755</v>
      </c>
      <c r="D227" s="122" t="s">
        <v>3594</v>
      </c>
      <c r="E227" s="122" t="s">
        <v>3602</v>
      </c>
      <c r="F227" s="123">
        <v>1.5384615384615398E-2</v>
      </c>
      <c r="G227" s="123">
        <v>6.060606060606049E-2</v>
      </c>
    </row>
    <row r="228" spans="2:7" x14ac:dyDescent="0.2">
      <c r="B228" s="120" t="s">
        <v>756</v>
      </c>
      <c r="C228" s="121" t="s">
        <v>757</v>
      </c>
      <c r="D228" s="122" t="s">
        <v>3576</v>
      </c>
      <c r="E228" s="122" t="s">
        <v>3667</v>
      </c>
      <c r="F228" s="123">
        <v>5.471698113207548E-2</v>
      </c>
      <c r="G228" s="123">
        <v>1.9677996422182525E-2</v>
      </c>
    </row>
    <row r="229" spans="2:7" x14ac:dyDescent="0.2">
      <c r="B229" s="120" t="s">
        <v>758</v>
      </c>
      <c r="C229" s="121" t="s">
        <v>759</v>
      </c>
      <c r="D229" s="122" t="s">
        <v>3576</v>
      </c>
      <c r="E229" s="122" t="s">
        <v>3668</v>
      </c>
      <c r="F229" s="123">
        <v>5.0724637681159368E-2</v>
      </c>
      <c r="G229" s="123">
        <v>3.0344827586206862E-2</v>
      </c>
    </row>
    <row r="230" spans="2:7" x14ac:dyDescent="0.2">
      <c r="B230" s="120" t="s">
        <v>760</v>
      </c>
      <c r="C230" s="121" t="s">
        <v>761</v>
      </c>
      <c r="D230" s="122" t="s">
        <v>3558</v>
      </c>
      <c r="E230" s="122" t="s">
        <v>3638</v>
      </c>
      <c r="F230" s="123">
        <v>0.34800000000000003</v>
      </c>
      <c r="G230" s="123">
        <v>8.6053412462908013E-2</v>
      </c>
    </row>
    <row r="231" spans="2:7" x14ac:dyDescent="0.2">
      <c r="B231" s="120" t="s">
        <v>762</v>
      </c>
      <c r="C231" s="121" t="s">
        <v>763</v>
      </c>
      <c r="D231" s="122" t="s">
        <v>3612</v>
      </c>
      <c r="E231" s="122" t="s">
        <v>3669</v>
      </c>
      <c r="F231" s="123">
        <v>-0.13802816901408446</v>
      </c>
      <c r="G231" s="123">
        <v>0.15686274509803921</v>
      </c>
    </row>
    <row r="232" spans="2:7" x14ac:dyDescent="0.2">
      <c r="B232" s="120" t="s">
        <v>764</v>
      </c>
      <c r="C232" s="121" t="s">
        <v>765</v>
      </c>
      <c r="D232" s="122" t="s">
        <v>3612</v>
      </c>
      <c r="E232" s="122" t="s">
        <v>3670</v>
      </c>
      <c r="F232" s="123">
        <v>1.8657243816254416</v>
      </c>
      <c r="G232" s="123">
        <v>0.12653061224489778</v>
      </c>
    </row>
    <row r="233" spans="2:7" x14ac:dyDescent="0.2">
      <c r="B233" s="120" t="s">
        <v>766</v>
      </c>
      <c r="C233" s="121" t="s">
        <v>767</v>
      </c>
      <c r="D233" s="122" t="s">
        <v>3569</v>
      </c>
      <c r="E233" s="122" t="s">
        <v>3575</v>
      </c>
      <c r="F233" s="123">
        <v>-0.60934579439252334</v>
      </c>
      <c r="G233" s="123">
        <v>-1.9744483159117299E-2</v>
      </c>
    </row>
    <row r="234" spans="2:7" x14ac:dyDescent="0.2">
      <c r="B234" s="120" t="s">
        <v>768</v>
      </c>
      <c r="C234" s="121" t="s">
        <v>769</v>
      </c>
      <c r="D234" s="122" t="s">
        <v>3576</v>
      </c>
      <c r="E234" s="122" t="s">
        <v>3671</v>
      </c>
      <c r="F234" s="123">
        <v>0.35140562248995982</v>
      </c>
      <c r="G234" s="123">
        <v>5.4977711738484279E-2</v>
      </c>
    </row>
    <row r="235" spans="2:7" x14ac:dyDescent="0.2">
      <c r="B235" s="120" t="s">
        <v>770</v>
      </c>
      <c r="C235" s="121" t="s">
        <v>771</v>
      </c>
      <c r="D235" s="122" t="s">
        <v>3582</v>
      </c>
      <c r="E235" s="122" t="s">
        <v>3588</v>
      </c>
      <c r="F235" s="123">
        <v>0.10107526881720424</v>
      </c>
      <c r="G235" s="123">
        <v>9.5703125000000042E-2</v>
      </c>
    </row>
    <row r="236" spans="2:7" x14ac:dyDescent="0.2">
      <c r="B236" s="120" t="s">
        <v>772</v>
      </c>
      <c r="C236" s="121" t="s">
        <v>773</v>
      </c>
      <c r="D236" s="122" t="s">
        <v>3610</v>
      </c>
      <c r="E236" s="122" t="s">
        <v>3672</v>
      </c>
      <c r="F236" s="123">
        <v>2.3529411764705903E-2</v>
      </c>
      <c r="G236" s="123">
        <v>1.7241379310344845E-2</v>
      </c>
    </row>
    <row r="237" spans="2:7" x14ac:dyDescent="0.2">
      <c r="B237" s="120" t="s">
        <v>774</v>
      </c>
      <c r="C237" s="121" t="s">
        <v>775</v>
      </c>
      <c r="D237" s="122" t="s">
        <v>24</v>
      </c>
      <c r="E237" s="122" t="s">
        <v>3633</v>
      </c>
      <c r="F237" s="123">
        <v>1.058139534883721</v>
      </c>
      <c r="G237" s="123">
        <v>6.3999999999999995</v>
      </c>
    </row>
    <row r="238" spans="2:7" x14ac:dyDescent="0.2">
      <c r="B238" s="120" t="s">
        <v>776</v>
      </c>
      <c r="C238" s="121" t="s">
        <v>777</v>
      </c>
      <c r="D238" s="122" t="s">
        <v>3576</v>
      </c>
      <c r="E238" s="122" t="s">
        <v>3578</v>
      </c>
      <c r="F238" s="123">
        <v>5.4822335025380808E-2</v>
      </c>
      <c r="G238" s="123">
        <v>7.3147256977863312E-2</v>
      </c>
    </row>
    <row r="239" spans="2:7" x14ac:dyDescent="0.2">
      <c r="B239" s="120" t="s">
        <v>778</v>
      </c>
      <c r="C239" s="121" t="s">
        <v>779</v>
      </c>
      <c r="D239" s="122" t="s">
        <v>3612</v>
      </c>
      <c r="E239" s="122" t="s">
        <v>3669</v>
      </c>
      <c r="F239" s="123">
        <v>-0.62553191489361704</v>
      </c>
      <c r="G239" s="123">
        <v>-0.60227272727272729</v>
      </c>
    </row>
    <row r="240" spans="2:7" x14ac:dyDescent="0.2">
      <c r="B240" s="120" t="s">
        <v>780</v>
      </c>
      <c r="C240" s="121" t="s">
        <v>781</v>
      </c>
      <c r="D240" s="122" t="s">
        <v>3556</v>
      </c>
      <c r="E240" s="122" t="s">
        <v>3673</v>
      </c>
      <c r="F240" s="123">
        <v>0.15000000000000013</v>
      </c>
      <c r="G240" s="123">
        <v>0.14285714285714285</v>
      </c>
    </row>
    <row r="241" spans="2:7" x14ac:dyDescent="0.2">
      <c r="B241" s="120" t="s">
        <v>782</v>
      </c>
      <c r="C241" s="121" t="s">
        <v>783</v>
      </c>
      <c r="D241" s="122" t="s">
        <v>3576</v>
      </c>
      <c r="E241" s="122" t="s">
        <v>3603</v>
      </c>
      <c r="F241" s="123">
        <v>0.13008130081300806</v>
      </c>
      <c r="G241" s="123">
        <v>7.9136690647482091E-2</v>
      </c>
    </row>
    <row r="242" spans="2:7" x14ac:dyDescent="0.2">
      <c r="B242" s="120" t="s">
        <v>784</v>
      </c>
      <c r="C242" s="121" t="s">
        <v>785</v>
      </c>
      <c r="D242" s="122" t="s">
        <v>3576</v>
      </c>
      <c r="E242" s="122" t="s">
        <v>3584</v>
      </c>
      <c r="F242" s="123">
        <v>1.5957446808510654E-2</v>
      </c>
      <c r="G242" s="123">
        <v>3.1413612565445052E-2</v>
      </c>
    </row>
    <row r="243" spans="2:7" x14ac:dyDescent="0.2">
      <c r="B243" s="120" t="s">
        <v>786</v>
      </c>
      <c r="C243" s="121" t="s">
        <v>787</v>
      </c>
      <c r="D243" s="122" t="s">
        <v>3576</v>
      </c>
      <c r="E243" s="122" t="s">
        <v>3626</v>
      </c>
      <c r="F243" s="123">
        <v>-3.5714285714285747E-2</v>
      </c>
      <c r="G243" s="123">
        <v>0.12698412698412698</v>
      </c>
    </row>
    <row r="244" spans="2:7" x14ac:dyDescent="0.2">
      <c r="B244" s="120" t="s">
        <v>788</v>
      </c>
      <c r="C244" s="121" t="s">
        <v>789</v>
      </c>
      <c r="D244" s="122" t="s">
        <v>3576</v>
      </c>
      <c r="E244" s="122" t="s">
        <v>3626</v>
      </c>
      <c r="F244" s="123">
        <v>6.8965517241379379E-2</v>
      </c>
      <c r="G244" s="123">
        <v>0.1182795698924731</v>
      </c>
    </row>
    <row r="245" spans="2:7" x14ac:dyDescent="0.2">
      <c r="B245" s="120" t="s">
        <v>790</v>
      </c>
      <c r="C245" s="121" t="s">
        <v>791</v>
      </c>
      <c r="D245" s="122" t="s">
        <v>3612</v>
      </c>
      <c r="E245" s="122" t="s">
        <v>3674</v>
      </c>
      <c r="F245" s="123">
        <v>8.7912087912087863E-2</v>
      </c>
      <c r="G245" s="123">
        <v>8.0808080808080884E-2</v>
      </c>
    </row>
    <row r="246" spans="2:7" x14ac:dyDescent="0.2">
      <c r="B246" s="120" t="s">
        <v>792</v>
      </c>
      <c r="C246" s="121" t="s">
        <v>793</v>
      </c>
      <c r="D246" s="122" t="s">
        <v>3576</v>
      </c>
      <c r="E246" s="122" t="s">
        <v>3626</v>
      </c>
      <c r="F246" s="123">
        <v>8.1081081081081155E-2</v>
      </c>
      <c r="G246" s="123">
        <v>2.4999999999999883E-2</v>
      </c>
    </row>
    <row r="247" spans="2:7" x14ac:dyDescent="0.2">
      <c r="B247" s="120" t="s">
        <v>794</v>
      </c>
      <c r="C247" s="121" t="s">
        <v>795</v>
      </c>
      <c r="D247" s="122" t="s">
        <v>3569</v>
      </c>
      <c r="E247" s="122" t="s">
        <v>3572</v>
      </c>
      <c r="F247" s="123">
        <v>0.12230215827338141</v>
      </c>
      <c r="G247" s="123">
        <v>0.14743589743589741</v>
      </c>
    </row>
    <row r="248" spans="2:7" x14ac:dyDescent="0.2">
      <c r="B248" s="120" t="s">
        <v>796</v>
      </c>
      <c r="C248" s="121" t="s">
        <v>797</v>
      </c>
      <c r="D248" s="122" t="s">
        <v>3576</v>
      </c>
      <c r="E248" s="122" t="s">
        <v>3663</v>
      </c>
      <c r="F248" s="123">
        <v>0.1243243243243243</v>
      </c>
      <c r="G248" s="123">
        <v>5.2884615384615322E-2</v>
      </c>
    </row>
    <row r="249" spans="2:7" x14ac:dyDescent="0.2">
      <c r="B249" s="120" t="s">
        <v>798</v>
      </c>
      <c r="C249" s="121" t="s">
        <v>799</v>
      </c>
      <c r="D249" s="122" t="s">
        <v>3594</v>
      </c>
      <c r="E249" s="122" t="s">
        <v>3595</v>
      </c>
      <c r="F249" s="123">
        <v>0.1764705882352941</v>
      </c>
      <c r="G249" s="123">
        <v>0.74999999999999978</v>
      </c>
    </row>
    <row r="250" spans="2:7" x14ac:dyDescent="0.2">
      <c r="B250" s="120" t="s">
        <v>800</v>
      </c>
      <c r="C250" s="121" t="s">
        <v>801</v>
      </c>
      <c r="D250" s="122" t="s">
        <v>24</v>
      </c>
      <c r="E250" s="122" t="s">
        <v>3675</v>
      </c>
      <c r="F250" s="123">
        <v>4.7872340425531963E-2</v>
      </c>
      <c r="G250" s="123">
        <v>9.1370558375634486E-2</v>
      </c>
    </row>
    <row r="251" spans="2:7" x14ac:dyDescent="0.2">
      <c r="B251" s="120" t="s">
        <v>802</v>
      </c>
      <c r="C251" s="121" t="s">
        <v>803</v>
      </c>
      <c r="D251" s="122" t="s">
        <v>3591</v>
      </c>
      <c r="E251" s="122" t="s">
        <v>3658</v>
      </c>
      <c r="F251" s="123">
        <v>-0.13372093023255813</v>
      </c>
      <c r="G251" s="123">
        <v>2.6845637583892641E-2</v>
      </c>
    </row>
    <row r="252" spans="2:7" x14ac:dyDescent="0.2">
      <c r="B252" s="120" t="s">
        <v>804</v>
      </c>
      <c r="C252" s="121" t="s">
        <v>805</v>
      </c>
      <c r="D252" s="122" t="s">
        <v>24</v>
      </c>
      <c r="E252" s="122" t="s">
        <v>3573</v>
      </c>
      <c r="F252" s="123">
        <v>0.24324324324324306</v>
      </c>
      <c r="G252" s="123">
        <v>-5.1383399209486126E-2</v>
      </c>
    </row>
    <row r="253" spans="2:7" x14ac:dyDescent="0.2">
      <c r="B253" s="120" t="s">
        <v>806</v>
      </c>
      <c r="C253" s="121" t="s">
        <v>807</v>
      </c>
      <c r="D253" s="122" t="s">
        <v>3563</v>
      </c>
      <c r="E253" s="122" t="s">
        <v>3676</v>
      </c>
      <c r="F253" s="123">
        <v>4.7619047619047658E-2</v>
      </c>
      <c r="G253" s="123">
        <v>9.9999999999999881E-2</v>
      </c>
    </row>
    <row r="254" spans="2:7" x14ac:dyDescent="0.2">
      <c r="B254" s="120" t="s">
        <v>808</v>
      </c>
      <c r="C254" s="121" t="s">
        <v>809</v>
      </c>
      <c r="D254" s="122" t="s">
        <v>3563</v>
      </c>
      <c r="E254" s="122" t="s">
        <v>3677</v>
      </c>
      <c r="F254" s="123">
        <v>0.13166144200626959</v>
      </c>
      <c r="G254" s="123">
        <v>0.13434903047091409</v>
      </c>
    </row>
    <row r="255" spans="2:7" x14ac:dyDescent="0.2">
      <c r="B255" s="120" t="s">
        <v>810</v>
      </c>
      <c r="C255" s="121" t="s">
        <v>811</v>
      </c>
      <c r="D255" s="122" t="s">
        <v>3594</v>
      </c>
      <c r="E255" s="122" t="s">
        <v>3678</v>
      </c>
      <c r="F255" s="123">
        <v>0.63636363636363635</v>
      </c>
      <c r="G255" s="123">
        <v>0.27777777777777757</v>
      </c>
    </row>
    <row r="256" spans="2:7" x14ac:dyDescent="0.2">
      <c r="B256" s="120" t="s">
        <v>812</v>
      </c>
      <c r="C256" s="121" t="s">
        <v>813</v>
      </c>
      <c r="D256" s="122" t="s">
        <v>3582</v>
      </c>
      <c r="E256" s="122" t="s">
        <v>3583</v>
      </c>
      <c r="F256" s="123">
        <v>2.6548672566371709E-2</v>
      </c>
      <c r="G256" s="123">
        <v>8.6206896551724227E-2</v>
      </c>
    </row>
    <row r="257" spans="2:7" x14ac:dyDescent="0.2">
      <c r="B257" s="120" t="s">
        <v>814</v>
      </c>
      <c r="C257" s="121" t="s">
        <v>815</v>
      </c>
      <c r="D257" s="122" t="s">
        <v>3610</v>
      </c>
      <c r="E257" s="122" t="s">
        <v>3611</v>
      </c>
      <c r="F257" s="123">
        <v>-0.10804597701149421</v>
      </c>
      <c r="G257" s="123">
        <v>7.216494845360831E-2</v>
      </c>
    </row>
    <row r="258" spans="2:7" x14ac:dyDescent="0.2">
      <c r="B258" s="120" t="s">
        <v>816</v>
      </c>
      <c r="C258" s="121" t="s">
        <v>817</v>
      </c>
      <c r="D258" s="122" t="s">
        <v>3556</v>
      </c>
      <c r="E258" s="122" t="s">
        <v>3560</v>
      </c>
      <c r="F258" s="123">
        <v>0.11160714285714285</v>
      </c>
      <c r="G258" s="123">
        <v>0.11646586345381509</v>
      </c>
    </row>
    <row r="259" spans="2:7" x14ac:dyDescent="0.2">
      <c r="B259" s="120" t="s">
        <v>818</v>
      </c>
      <c r="C259" s="121" t="s">
        <v>819</v>
      </c>
      <c r="D259" s="122" t="s">
        <v>3576</v>
      </c>
      <c r="E259" s="122" t="s">
        <v>3604</v>
      </c>
      <c r="F259" s="123">
        <v>-1.2820512820512739E-2</v>
      </c>
      <c r="G259" s="123">
        <v>0.31168831168831157</v>
      </c>
    </row>
    <row r="260" spans="2:7" x14ac:dyDescent="0.2">
      <c r="B260" s="120" t="s">
        <v>820</v>
      </c>
      <c r="C260" s="121" t="s">
        <v>821</v>
      </c>
      <c r="D260" s="122" t="s">
        <v>3576</v>
      </c>
      <c r="E260" s="122" t="s">
        <v>3600</v>
      </c>
      <c r="F260" s="123">
        <v>-6.6202090592334478E-2</v>
      </c>
      <c r="G260" s="123">
        <v>-7.462686567164185E-3</v>
      </c>
    </row>
    <row r="261" spans="2:7" x14ac:dyDescent="0.2">
      <c r="B261" s="120" t="s">
        <v>822</v>
      </c>
      <c r="C261" s="121" t="s">
        <v>823</v>
      </c>
      <c r="D261" s="122" t="s">
        <v>3576</v>
      </c>
      <c r="E261" s="122" t="s">
        <v>3619</v>
      </c>
      <c r="F261" s="123">
        <v>9.8437499999999983E-2</v>
      </c>
      <c r="G261" s="123">
        <v>5.4054054054054036E-2</v>
      </c>
    </row>
    <row r="262" spans="2:7" x14ac:dyDescent="0.2">
      <c r="B262" s="120" t="s">
        <v>824</v>
      </c>
      <c r="C262" s="121" t="s">
        <v>825</v>
      </c>
      <c r="D262" s="122" t="s">
        <v>3679</v>
      </c>
      <c r="E262" s="122" t="s">
        <v>3680</v>
      </c>
      <c r="F262" s="123">
        <v>-1.8633540372670822E-2</v>
      </c>
      <c r="G262" s="123">
        <v>1.8987341772151913E-2</v>
      </c>
    </row>
    <row r="263" spans="2:7" x14ac:dyDescent="0.2">
      <c r="B263" s="120" t="s">
        <v>826</v>
      </c>
      <c r="C263" s="121" t="s">
        <v>827</v>
      </c>
      <c r="D263" s="122" t="s">
        <v>3576</v>
      </c>
      <c r="E263" s="122" t="s">
        <v>3654</v>
      </c>
      <c r="F263" s="123">
        <v>0.1527987897125567</v>
      </c>
      <c r="G263" s="123">
        <v>0.12992125984251959</v>
      </c>
    </row>
    <row r="264" spans="2:7" x14ac:dyDescent="0.2">
      <c r="B264" s="120" t="s">
        <v>828</v>
      </c>
      <c r="C264" s="121" t="s">
        <v>829</v>
      </c>
      <c r="D264" s="122" t="s">
        <v>24</v>
      </c>
      <c r="E264" s="122" t="s">
        <v>3573</v>
      </c>
      <c r="F264" s="123">
        <v>0.17307692307692302</v>
      </c>
      <c r="G264" s="123">
        <v>9.8360655737705013E-2</v>
      </c>
    </row>
    <row r="265" spans="2:7" x14ac:dyDescent="0.2">
      <c r="B265" s="120" t="s">
        <v>830</v>
      </c>
      <c r="C265" s="121" t="s">
        <v>831</v>
      </c>
      <c r="D265" s="122" t="s">
        <v>25</v>
      </c>
      <c r="E265" s="122" t="s">
        <v>3681</v>
      </c>
      <c r="F265" s="123">
        <v>-1.4930437733288013E-2</v>
      </c>
      <c r="G265" s="123">
        <v>0.27075439200826729</v>
      </c>
    </row>
    <row r="266" spans="2:7" x14ac:dyDescent="0.2">
      <c r="B266" s="120" t="s">
        <v>832</v>
      </c>
      <c r="C266" s="121" t="s">
        <v>833</v>
      </c>
      <c r="D266" s="122" t="s">
        <v>3576</v>
      </c>
      <c r="E266" s="122" t="s">
        <v>3609</v>
      </c>
      <c r="F266" s="123">
        <v>0.240850470547229</v>
      </c>
      <c r="G266" s="123">
        <v>5.56179775280898E-2</v>
      </c>
    </row>
    <row r="267" spans="2:7" x14ac:dyDescent="0.2">
      <c r="B267" s="120" t="s">
        <v>834</v>
      </c>
      <c r="C267" s="121" t="s">
        <v>835</v>
      </c>
      <c r="D267" s="122" t="s">
        <v>3556</v>
      </c>
      <c r="E267" s="122" t="s">
        <v>3682</v>
      </c>
      <c r="F267" s="123">
        <v>0.13572101790763444</v>
      </c>
      <c r="G267" s="123">
        <v>0.121161825726141</v>
      </c>
    </row>
    <row r="268" spans="2:7" x14ac:dyDescent="0.2">
      <c r="B268" s="120" t="s">
        <v>836</v>
      </c>
      <c r="C268" s="121" t="s">
        <v>837</v>
      </c>
      <c r="D268" s="122" t="s">
        <v>3605</v>
      </c>
      <c r="E268" s="122" t="s">
        <v>3606</v>
      </c>
      <c r="F268" s="123">
        <v>0.13333333333333333</v>
      </c>
      <c r="G268" s="123">
        <v>0.1176470588235293</v>
      </c>
    </row>
    <row r="269" spans="2:7" x14ac:dyDescent="0.2">
      <c r="B269" s="120" t="s">
        <v>838</v>
      </c>
      <c r="C269" s="121" t="s">
        <v>839</v>
      </c>
      <c r="D269" s="122" t="s">
        <v>24</v>
      </c>
      <c r="E269" s="122" t="s">
        <v>3633</v>
      </c>
      <c r="F269" s="123">
        <v>1.9323671497584561E-2</v>
      </c>
      <c r="G269" s="123">
        <v>0.10900473933649289</v>
      </c>
    </row>
    <row r="270" spans="2:7" x14ac:dyDescent="0.2">
      <c r="B270" s="120" t="s">
        <v>840</v>
      </c>
      <c r="C270" s="121" t="s">
        <v>841</v>
      </c>
      <c r="D270" s="122" t="s">
        <v>3569</v>
      </c>
      <c r="E270" s="122" t="s">
        <v>3571</v>
      </c>
      <c r="F270" s="123">
        <v>-2.1568627450980281E-2</v>
      </c>
      <c r="G270" s="123">
        <v>5.4108216432865647E-2</v>
      </c>
    </row>
    <row r="271" spans="2:7" x14ac:dyDescent="0.2">
      <c r="B271" s="120" t="s">
        <v>842</v>
      </c>
      <c r="C271" s="121" t="s">
        <v>843</v>
      </c>
      <c r="D271" s="122" t="s">
        <v>3556</v>
      </c>
      <c r="E271" s="122" t="s">
        <v>3683</v>
      </c>
      <c r="F271" s="123">
        <v>-0.25603864734299508</v>
      </c>
      <c r="G271" s="123">
        <v>0.12337662337662333</v>
      </c>
    </row>
    <row r="272" spans="2:7" x14ac:dyDescent="0.2">
      <c r="B272" s="120" t="s">
        <v>844</v>
      </c>
      <c r="C272" s="121" t="s">
        <v>845</v>
      </c>
      <c r="D272" s="122" t="s">
        <v>3610</v>
      </c>
      <c r="E272" s="122" t="s">
        <v>3684</v>
      </c>
      <c r="F272" s="123">
        <v>0.57142857142857129</v>
      </c>
      <c r="G272" s="123">
        <v>0.47727272727272729</v>
      </c>
    </row>
    <row r="273" spans="2:7" x14ac:dyDescent="0.2">
      <c r="B273" s="120" t="s">
        <v>846</v>
      </c>
      <c r="C273" s="121" t="s">
        <v>847</v>
      </c>
      <c r="D273" s="122" t="s">
        <v>3563</v>
      </c>
      <c r="E273" s="122" t="s">
        <v>3685</v>
      </c>
      <c r="F273" s="123">
        <v>0.19615384615384607</v>
      </c>
      <c r="G273" s="123">
        <v>7.0739549839228366E-2</v>
      </c>
    </row>
    <row r="274" spans="2:7" x14ac:dyDescent="0.2">
      <c r="B274" s="120" t="s">
        <v>848</v>
      </c>
      <c r="C274" s="121" t="s">
        <v>849</v>
      </c>
      <c r="D274" s="122" t="s">
        <v>3558</v>
      </c>
      <c r="E274" s="122" t="s">
        <v>3686</v>
      </c>
      <c r="F274" s="123">
        <v>3.4334763948497119E-3</v>
      </c>
      <c r="G274" s="123">
        <v>3.4217279726261797E-2</v>
      </c>
    </row>
    <row r="275" spans="2:7" x14ac:dyDescent="0.2">
      <c r="B275" s="120" t="s">
        <v>850</v>
      </c>
      <c r="C275" s="121" t="s">
        <v>851</v>
      </c>
      <c r="D275" s="122" t="s">
        <v>3576</v>
      </c>
      <c r="E275" s="122" t="s">
        <v>3578</v>
      </c>
      <c r="F275" s="123">
        <v>0.11229946524064179</v>
      </c>
      <c r="G275" s="123">
        <v>6.6346153846153791E-2</v>
      </c>
    </row>
    <row r="276" spans="2:7" x14ac:dyDescent="0.2">
      <c r="B276" s="120" t="s">
        <v>852</v>
      </c>
      <c r="C276" s="121" t="s">
        <v>853</v>
      </c>
      <c r="D276" s="122" t="s">
        <v>3563</v>
      </c>
      <c r="E276" s="122" t="s">
        <v>3687</v>
      </c>
      <c r="F276" s="123">
        <v>7.0000000000000062E-2</v>
      </c>
      <c r="G276" s="123">
        <v>0.22429906542056072</v>
      </c>
    </row>
    <row r="277" spans="2:7" x14ac:dyDescent="0.2">
      <c r="B277" s="120" t="s">
        <v>854</v>
      </c>
      <c r="C277" s="121" t="s">
        <v>855</v>
      </c>
      <c r="D277" s="122" t="s">
        <v>3576</v>
      </c>
      <c r="E277" s="122" t="s">
        <v>3688</v>
      </c>
      <c r="F277" s="123">
        <v>-6.1983471074380132E-2</v>
      </c>
      <c r="G277" s="123">
        <v>0.13436123348017628</v>
      </c>
    </row>
    <row r="278" spans="2:7" x14ac:dyDescent="0.2">
      <c r="B278" s="120" t="s">
        <v>856</v>
      </c>
      <c r="C278" s="121" t="s">
        <v>857</v>
      </c>
      <c r="D278" s="122" t="s">
        <v>3569</v>
      </c>
      <c r="E278" s="122" t="s">
        <v>3575</v>
      </c>
      <c r="F278" s="123">
        <v>-2.3923444976076047E-3</v>
      </c>
      <c r="G278" s="123">
        <v>5.035971223021582E-2</v>
      </c>
    </row>
    <row r="279" spans="2:7" x14ac:dyDescent="0.2">
      <c r="B279" s="120" t="s">
        <v>858</v>
      </c>
      <c r="C279" s="121" t="s">
        <v>859</v>
      </c>
      <c r="D279" s="122" t="s">
        <v>3576</v>
      </c>
      <c r="E279" s="122" t="s">
        <v>3689</v>
      </c>
      <c r="F279" s="123">
        <v>0.17554858934169282</v>
      </c>
      <c r="G279" s="123">
        <v>7.9999999999999946E-2</v>
      </c>
    </row>
    <row r="280" spans="2:7" x14ac:dyDescent="0.2">
      <c r="B280" s="120" t="s">
        <v>860</v>
      </c>
      <c r="C280" s="121" t="s">
        <v>861</v>
      </c>
      <c r="D280" s="122" t="s">
        <v>3563</v>
      </c>
      <c r="E280" s="122" t="s">
        <v>3690</v>
      </c>
      <c r="F280" s="123">
        <v>1.3333333333333246E-2</v>
      </c>
      <c r="G280" s="123">
        <v>4.0570175438596603E-2</v>
      </c>
    </row>
    <row r="281" spans="2:7" x14ac:dyDescent="0.2">
      <c r="B281" s="120" t="s">
        <v>862</v>
      </c>
      <c r="C281" s="121" t="s">
        <v>863</v>
      </c>
      <c r="D281" s="122" t="s">
        <v>25</v>
      </c>
      <c r="E281" s="122" t="s">
        <v>3691</v>
      </c>
      <c r="F281" s="123">
        <v>4.9808429118774075E-2</v>
      </c>
      <c r="G281" s="123">
        <v>0.15328467153284667</v>
      </c>
    </row>
    <row r="282" spans="2:7" x14ac:dyDescent="0.2">
      <c r="B282" s="120" t="s">
        <v>864</v>
      </c>
      <c r="C282" s="121" t="s">
        <v>865</v>
      </c>
      <c r="D282" s="122" t="s">
        <v>3576</v>
      </c>
      <c r="E282" s="122" t="s">
        <v>3646</v>
      </c>
      <c r="F282" s="123">
        <v>-6.1349693251532443E-3</v>
      </c>
      <c r="G282" s="123">
        <v>6.1728395061727073E-3</v>
      </c>
    </row>
    <row r="283" spans="2:7" x14ac:dyDescent="0.2">
      <c r="B283" s="120" t="s">
        <v>866</v>
      </c>
      <c r="C283" s="121" t="s">
        <v>867</v>
      </c>
      <c r="D283" s="122" t="s">
        <v>3580</v>
      </c>
      <c r="E283" s="122" t="s">
        <v>3692</v>
      </c>
      <c r="F283" s="123">
        <v>-2.5839793281654342E-3</v>
      </c>
      <c r="G283" s="123">
        <v>7.2538860103626895E-2</v>
      </c>
    </row>
    <row r="284" spans="2:7" x14ac:dyDescent="0.2">
      <c r="B284" s="120" t="s">
        <v>868</v>
      </c>
      <c r="C284" s="121" t="s">
        <v>869</v>
      </c>
      <c r="D284" s="122" t="s">
        <v>24</v>
      </c>
      <c r="E284" s="122" t="s">
        <v>3693</v>
      </c>
      <c r="F284" s="123">
        <v>9.8425196850393692E-2</v>
      </c>
      <c r="G284" s="123">
        <v>9.3189964157706015E-2</v>
      </c>
    </row>
    <row r="285" spans="2:7" x14ac:dyDescent="0.2">
      <c r="B285" s="120" t="s">
        <v>870</v>
      </c>
      <c r="C285" s="121" t="s">
        <v>871</v>
      </c>
      <c r="D285" s="122" t="s">
        <v>24</v>
      </c>
      <c r="E285" s="122" t="s">
        <v>3693</v>
      </c>
      <c r="F285" s="123">
        <v>6.5789473684210583E-3</v>
      </c>
      <c r="G285" s="123">
        <v>0.11764705882352937</v>
      </c>
    </row>
    <row r="286" spans="2:7" x14ac:dyDescent="0.2">
      <c r="B286" s="120" t="s">
        <v>872</v>
      </c>
      <c r="C286" s="121" t="s">
        <v>873</v>
      </c>
      <c r="D286" s="122" t="s">
        <v>3576</v>
      </c>
      <c r="E286" s="122" t="s">
        <v>3619</v>
      </c>
      <c r="F286" s="123">
        <v>7.4410163339382968E-2</v>
      </c>
      <c r="G286" s="123">
        <v>7.2635135135135087E-2</v>
      </c>
    </row>
    <row r="287" spans="2:7" x14ac:dyDescent="0.2">
      <c r="B287" s="120" t="s">
        <v>874</v>
      </c>
      <c r="C287" s="121" t="s">
        <v>875</v>
      </c>
      <c r="D287" s="122" t="s">
        <v>3594</v>
      </c>
      <c r="E287" s="122" t="s">
        <v>3647</v>
      </c>
      <c r="F287" s="123">
        <v>-1.05</v>
      </c>
      <c r="G287" s="123">
        <v>14.000000000000002</v>
      </c>
    </row>
    <row r="288" spans="2:7" x14ac:dyDescent="0.2">
      <c r="B288" s="120" t="s">
        <v>876</v>
      </c>
      <c r="C288" s="121" t="s">
        <v>877</v>
      </c>
      <c r="D288" s="122" t="s">
        <v>3558</v>
      </c>
      <c r="E288" s="122" t="s">
        <v>3665</v>
      </c>
      <c r="F288" s="123">
        <v>-2.1153846153846214E-2</v>
      </c>
      <c r="G288" s="123">
        <v>7.8585461689587494E-2</v>
      </c>
    </row>
    <row r="289" spans="2:7" x14ac:dyDescent="0.2">
      <c r="B289" s="120" t="s">
        <v>878</v>
      </c>
      <c r="C289" s="121" t="s">
        <v>879</v>
      </c>
      <c r="D289" s="122" t="s">
        <v>25</v>
      </c>
      <c r="E289" s="122" t="s">
        <v>3694</v>
      </c>
      <c r="F289" s="123">
        <v>1.8823529411764722E-2</v>
      </c>
      <c r="G289" s="123">
        <v>9.4688221709006953E-2</v>
      </c>
    </row>
    <row r="290" spans="2:7" x14ac:dyDescent="0.2">
      <c r="B290" s="120" t="s">
        <v>880</v>
      </c>
      <c r="C290" s="121" t="s">
        <v>881</v>
      </c>
      <c r="D290" s="122" t="s">
        <v>24</v>
      </c>
      <c r="E290" s="122" t="s">
        <v>3693</v>
      </c>
      <c r="F290" s="123">
        <v>-0.12820512820512817</v>
      </c>
      <c r="G290" s="123">
        <v>2.9411764705882214E-2</v>
      </c>
    </row>
    <row r="291" spans="2:7" x14ac:dyDescent="0.2">
      <c r="B291" s="120" t="s">
        <v>882</v>
      </c>
      <c r="C291" s="121" t="s">
        <v>883</v>
      </c>
      <c r="D291" s="122" t="s">
        <v>3556</v>
      </c>
      <c r="E291" s="122" t="s">
        <v>3616</v>
      </c>
      <c r="F291" s="123">
        <v>0.32023575638506874</v>
      </c>
      <c r="G291" s="123">
        <v>0.10267857142857149</v>
      </c>
    </row>
    <row r="292" spans="2:7" x14ac:dyDescent="0.2">
      <c r="B292" s="120" t="s">
        <v>884</v>
      </c>
      <c r="C292" s="121" t="s">
        <v>885</v>
      </c>
      <c r="D292" s="122" t="s">
        <v>3612</v>
      </c>
      <c r="E292" s="122" t="s">
        <v>3695</v>
      </c>
      <c r="F292" s="123">
        <v>-0.16521739130434779</v>
      </c>
      <c r="G292" s="123">
        <v>-0.17708333333333326</v>
      </c>
    </row>
    <row r="293" spans="2:7" x14ac:dyDescent="0.2">
      <c r="B293" s="120" t="s">
        <v>886</v>
      </c>
      <c r="C293" s="121" t="s">
        <v>887</v>
      </c>
      <c r="D293" s="122" t="s">
        <v>24</v>
      </c>
      <c r="E293" s="122" t="s">
        <v>3573</v>
      </c>
      <c r="F293" s="123">
        <v>0.24242424242424243</v>
      </c>
      <c r="G293" s="123">
        <v>-3.2520325203252064E-2</v>
      </c>
    </row>
    <row r="294" spans="2:7" x14ac:dyDescent="0.2">
      <c r="B294" s="120" t="s">
        <v>888</v>
      </c>
      <c r="C294" s="121" t="s">
        <v>889</v>
      </c>
      <c r="D294" s="122" t="s">
        <v>3556</v>
      </c>
      <c r="E294" s="122" t="s">
        <v>3630</v>
      </c>
      <c r="F294" s="123">
        <v>6.5555555555555554</v>
      </c>
      <c r="G294" s="123">
        <v>0.3600000000000001</v>
      </c>
    </row>
    <row r="295" spans="2:7" x14ac:dyDescent="0.2">
      <c r="B295" s="120" t="s">
        <v>890</v>
      </c>
      <c r="C295" s="121" t="s">
        <v>891</v>
      </c>
      <c r="D295" s="122" t="s">
        <v>3576</v>
      </c>
      <c r="E295" s="122" t="s">
        <v>3689</v>
      </c>
      <c r="F295" s="123">
        <v>2.222222222222224E-2</v>
      </c>
      <c r="G295" s="123">
        <v>-4.3478260869565251E-2</v>
      </c>
    </row>
    <row r="296" spans="2:7" x14ac:dyDescent="0.2">
      <c r="B296" s="120" t="s">
        <v>892</v>
      </c>
      <c r="C296" s="121" t="s">
        <v>893</v>
      </c>
      <c r="D296" s="122" t="s">
        <v>3556</v>
      </c>
      <c r="E296" s="122" t="s">
        <v>3614</v>
      </c>
      <c r="F296" s="123">
        <v>-9.5744680851063801E-2</v>
      </c>
      <c r="G296" s="123">
        <v>4.4117647058823505E-2</v>
      </c>
    </row>
    <row r="297" spans="2:7" x14ac:dyDescent="0.2">
      <c r="B297" s="120" t="s">
        <v>894</v>
      </c>
      <c r="C297" s="121" t="s">
        <v>895</v>
      </c>
      <c r="D297" s="122" t="s">
        <v>3556</v>
      </c>
      <c r="E297" s="122" t="s">
        <v>3579</v>
      </c>
      <c r="F297" s="123">
        <v>0.18131868131868123</v>
      </c>
      <c r="G297" s="123">
        <v>6.9767441860465074E-2</v>
      </c>
    </row>
    <row r="298" spans="2:7" x14ac:dyDescent="0.2">
      <c r="B298" s="120" t="s">
        <v>896</v>
      </c>
      <c r="C298" s="121" t="s">
        <v>897</v>
      </c>
      <c r="D298" s="122" t="s">
        <v>3556</v>
      </c>
      <c r="E298" s="122" t="s">
        <v>3614</v>
      </c>
      <c r="F298" s="123">
        <v>0.16039603960396051</v>
      </c>
      <c r="G298" s="123">
        <v>8.3617747440272921E-2</v>
      </c>
    </row>
    <row r="299" spans="2:7" x14ac:dyDescent="0.2">
      <c r="B299" s="120" t="s">
        <v>898</v>
      </c>
      <c r="C299" s="121" t="s">
        <v>899</v>
      </c>
      <c r="D299" s="122" t="s">
        <v>3594</v>
      </c>
      <c r="E299" s="122" t="s">
        <v>3637</v>
      </c>
      <c r="F299" s="123">
        <v>-8.3935018050541488E-2</v>
      </c>
      <c r="G299" s="123">
        <v>0.11724137931034477</v>
      </c>
    </row>
    <row r="300" spans="2:7" x14ac:dyDescent="0.2">
      <c r="B300" s="120" t="s">
        <v>900</v>
      </c>
      <c r="C300" s="121" t="s">
        <v>901</v>
      </c>
      <c r="D300" s="122" t="s">
        <v>3561</v>
      </c>
      <c r="E300" s="122" t="s">
        <v>3562</v>
      </c>
      <c r="F300" s="123">
        <v>0.89583333333333348</v>
      </c>
      <c r="G300" s="123">
        <v>0.15384615384615385</v>
      </c>
    </row>
    <row r="301" spans="2:7" x14ac:dyDescent="0.2">
      <c r="B301" s="120" t="s">
        <v>902</v>
      </c>
      <c r="C301" s="121" t="s">
        <v>903</v>
      </c>
      <c r="D301" s="122" t="s">
        <v>3569</v>
      </c>
      <c r="E301" s="122" t="s">
        <v>3575</v>
      </c>
      <c r="F301" s="123">
        <v>0.23977272727272719</v>
      </c>
      <c r="G301" s="123">
        <v>8.4326306141154897E-2</v>
      </c>
    </row>
    <row r="302" spans="2:7" x14ac:dyDescent="0.2">
      <c r="B302" s="120" t="s">
        <v>904</v>
      </c>
      <c r="C302" s="121" t="s">
        <v>905</v>
      </c>
      <c r="D302" s="122" t="s">
        <v>3612</v>
      </c>
      <c r="E302" s="122" t="s">
        <v>3696</v>
      </c>
      <c r="F302" s="123">
        <v>-0.1043388429752066</v>
      </c>
      <c r="G302" s="123">
        <v>1.1534025374855578E-3</v>
      </c>
    </row>
    <row r="303" spans="2:7" x14ac:dyDescent="0.2">
      <c r="B303" s="120" t="s">
        <v>906</v>
      </c>
      <c r="C303" s="121" t="s">
        <v>907</v>
      </c>
      <c r="D303" s="122" t="s">
        <v>3569</v>
      </c>
      <c r="E303" s="122" t="s">
        <v>3697</v>
      </c>
      <c r="F303" s="123">
        <v>8.9430894308943173E-2</v>
      </c>
      <c r="G303" s="123">
        <v>0.18656716417910446</v>
      </c>
    </row>
    <row r="304" spans="2:7" x14ac:dyDescent="0.2">
      <c r="B304" s="120" t="s">
        <v>908</v>
      </c>
      <c r="C304" s="121" t="s">
        <v>909</v>
      </c>
      <c r="D304" s="122" t="s">
        <v>3594</v>
      </c>
      <c r="E304" s="122" t="s">
        <v>3698</v>
      </c>
      <c r="F304" s="123">
        <v>0.54729729729729737</v>
      </c>
      <c r="G304" s="123">
        <v>0.20960698689956331</v>
      </c>
    </row>
    <row r="305" spans="2:7" x14ac:dyDescent="0.2">
      <c r="B305" s="120" t="s">
        <v>910</v>
      </c>
      <c r="C305" s="121" t="s">
        <v>911</v>
      </c>
      <c r="D305" s="122" t="s">
        <v>3576</v>
      </c>
      <c r="E305" s="122" t="s">
        <v>3699</v>
      </c>
      <c r="F305" s="123">
        <v>8.5227272727272679E-2</v>
      </c>
      <c r="G305" s="123">
        <v>4.9738219895287948E-2</v>
      </c>
    </row>
    <row r="306" spans="2:7" x14ac:dyDescent="0.2">
      <c r="B306" s="120" t="s">
        <v>912</v>
      </c>
      <c r="C306" s="121" t="s">
        <v>913</v>
      </c>
      <c r="D306" s="122" t="s">
        <v>3558</v>
      </c>
      <c r="E306" s="122" t="s">
        <v>3642</v>
      </c>
      <c r="F306" s="123">
        <v>-0.12444444444444445</v>
      </c>
      <c r="G306" s="123">
        <v>0.15228426395939088</v>
      </c>
    </row>
    <row r="307" spans="2:7" x14ac:dyDescent="0.2">
      <c r="B307" s="120" t="s">
        <v>914</v>
      </c>
      <c r="C307" s="121" t="s">
        <v>915</v>
      </c>
      <c r="D307" s="122" t="s">
        <v>3569</v>
      </c>
      <c r="E307" s="122" t="s">
        <v>3572</v>
      </c>
      <c r="F307" s="123">
        <v>-1.0092592592592591</v>
      </c>
      <c r="G307" s="123">
        <v>0.81566820276497698</v>
      </c>
    </row>
    <row r="308" spans="2:7" x14ac:dyDescent="0.2">
      <c r="B308" s="120" t="s">
        <v>916</v>
      </c>
      <c r="C308" s="121" t="s">
        <v>917</v>
      </c>
      <c r="D308" s="122" t="s">
        <v>3556</v>
      </c>
      <c r="E308" s="122" t="s">
        <v>3557</v>
      </c>
      <c r="F308" s="123">
        <v>-0.30081300813008133</v>
      </c>
      <c r="G308" s="123">
        <v>0.26744186046511637</v>
      </c>
    </row>
    <row r="309" spans="2:7" x14ac:dyDescent="0.2">
      <c r="B309" s="120" t="s">
        <v>918</v>
      </c>
      <c r="C309" s="121" t="s">
        <v>919</v>
      </c>
      <c r="D309" s="122" t="s">
        <v>3591</v>
      </c>
      <c r="E309" s="122" t="s">
        <v>3700</v>
      </c>
      <c r="F309" s="123">
        <v>6.5217391304347755E-2</v>
      </c>
      <c r="G309" s="123">
        <v>7.6530612244898599E-3</v>
      </c>
    </row>
    <row r="310" spans="2:7" x14ac:dyDescent="0.2">
      <c r="B310" s="120" t="s">
        <v>920</v>
      </c>
      <c r="C310" s="121" t="s">
        <v>921</v>
      </c>
      <c r="D310" s="122" t="s">
        <v>24</v>
      </c>
      <c r="E310" s="122" t="s">
        <v>3701</v>
      </c>
      <c r="F310" s="123">
        <v>8.2969432314410452E-2</v>
      </c>
      <c r="G310" s="123">
        <v>8.8709677419354913E-2</v>
      </c>
    </row>
    <row r="311" spans="2:7" x14ac:dyDescent="0.2">
      <c r="B311" s="120" t="s">
        <v>922</v>
      </c>
      <c r="C311" s="121" t="s">
        <v>923</v>
      </c>
      <c r="D311" s="122" t="s">
        <v>25</v>
      </c>
      <c r="E311" s="122" t="s">
        <v>3702</v>
      </c>
      <c r="F311" s="123">
        <v>0.18508287292817677</v>
      </c>
      <c r="G311" s="123">
        <v>-6.75990675990676E-2</v>
      </c>
    </row>
    <row r="312" spans="2:7" x14ac:dyDescent="0.2">
      <c r="B312" s="120" t="s">
        <v>924</v>
      </c>
      <c r="C312" s="121" t="s">
        <v>925</v>
      </c>
      <c r="D312" s="122" t="s">
        <v>3569</v>
      </c>
      <c r="E312" s="122" t="s">
        <v>3617</v>
      </c>
      <c r="F312" s="123">
        <v>0.16118143459915613</v>
      </c>
      <c r="G312" s="123">
        <v>0.13081395348837216</v>
      </c>
    </row>
    <row r="313" spans="2:7" x14ac:dyDescent="0.2">
      <c r="B313" s="120" t="s">
        <v>926</v>
      </c>
      <c r="C313" s="121" t="s">
        <v>927</v>
      </c>
      <c r="D313" s="122" t="s">
        <v>3556</v>
      </c>
      <c r="E313" s="122" t="s">
        <v>3630</v>
      </c>
      <c r="F313" s="123">
        <v>0.52</v>
      </c>
      <c r="G313" s="123">
        <v>0.22368421052631585</v>
      </c>
    </row>
    <row r="314" spans="2:7" x14ac:dyDescent="0.2">
      <c r="B314" s="120" t="s">
        <v>928</v>
      </c>
      <c r="C314" s="121" t="s">
        <v>929</v>
      </c>
      <c r="D314" s="122" t="s">
        <v>25</v>
      </c>
      <c r="E314" s="122" t="s">
        <v>3703</v>
      </c>
      <c r="F314" s="123">
        <v>0.10129870129870133</v>
      </c>
      <c r="G314" s="123">
        <v>4.0094339622641494E-2</v>
      </c>
    </row>
    <row r="315" spans="2:7" x14ac:dyDescent="0.2">
      <c r="B315" s="120" t="s">
        <v>930</v>
      </c>
      <c r="C315" s="121" t="s">
        <v>931</v>
      </c>
      <c r="D315" s="122" t="s">
        <v>3556</v>
      </c>
      <c r="E315" s="122" t="s">
        <v>3704</v>
      </c>
      <c r="F315" s="123">
        <v>6.5140845070422559E-2</v>
      </c>
      <c r="G315" s="123">
        <v>6.2809917355371891E-2</v>
      </c>
    </row>
    <row r="316" spans="2:7" x14ac:dyDescent="0.2">
      <c r="B316" s="120" t="s">
        <v>932</v>
      </c>
      <c r="C316" s="121" t="s">
        <v>933</v>
      </c>
      <c r="D316" s="122" t="s">
        <v>3556</v>
      </c>
      <c r="E316" s="122" t="s">
        <v>3621</v>
      </c>
      <c r="F316" s="123">
        <v>-7.2769953051643105E-2</v>
      </c>
      <c r="G316" s="123">
        <v>-2.5316455696203113E-3</v>
      </c>
    </row>
    <row r="317" spans="2:7" x14ac:dyDescent="0.2">
      <c r="B317" s="120" t="s">
        <v>934</v>
      </c>
      <c r="C317" s="121" t="s">
        <v>935</v>
      </c>
      <c r="D317" s="122" t="s">
        <v>3561</v>
      </c>
      <c r="E317" s="122" t="s">
        <v>3639</v>
      </c>
      <c r="F317" s="123">
        <v>3.9301310043668061E-2</v>
      </c>
      <c r="G317" s="123">
        <v>3.5714285714285698E-2</v>
      </c>
    </row>
    <row r="318" spans="2:7" x14ac:dyDescent="0.2">
      <c r="B318" s="120" t="s">
        <v>936</v>
      </c>
      <c r="C318" s="121" t="s">
        <v>937</v>
      </c>
      <c r="D318" s="122" t="s">
        <v>25</v>
      </c>
      <c r="E318" s="122" t="s">
        <v>3681</v>
      </c>
      <c r="F318" s="123">
        <v>0.19202898550724648</v>
      </c>
      <c r="G318" s="123">
        <v>0.87841945288753787</v>
      </c>
    </row>
    <row r="319" spans="2:7" x14ac:dyDescent="0.2">
      <c r="B319" s="120" t="s">
        <v>938</v>
      </c>
      <c r="C319" s="121" t="s">
        <v>939</v>
      </c>
      <c r="D319" s="122" t="s">
        <v>3556</v>
      </c>
      <c r="E319" s="122" t="s">
        <v>3621</v>
      </c>
      <c r="F319" s="123">
        <v>0.44186046511627908</v>
      </c>
      <c r="G319" s="123">
        <v>0.24193548387096778</v>
      </c>
    </row>
    <row r="320" spans="2:7" x14ac:dyDescent="0.2">
      <c r="B320" s="120" t="s">
        <v>940</v>
      </c>
      <c r="C320" s="121" t="s">
        <v>941</v>
      </c>
      <c r="D320" s="122" t="s">
        <v>3576</v>
      </c>
      <c r="E320" s="122" t="s">
        <v>3593</v>
      </c>
      <c r="F320" s="123">
        <v>0.16864111498257839</v>
      </c>
      <c r="G320" s="123">
        <v>0.11508646392367321</v>
      </c>
    </row>
    <row r="321" spans="2:7" x14ac:dyDescent="0.2">
      <c r="B321" s="120" t="s">
        <v>942</v>
      </c>
      <c r="C321" s="121" t="s">
        <v>943</v>
      </c>
      <c r="D321" s="122" t="s">
        <v>3576</v>
      </c>
      <c r="E321" s="122" t="s">
        <v>3626</v>
      </c>
      <c r="F321" s="123">
        <v>-4.9140049140050275E-3</v>
      </c>
      <c r="G321" s="123">
        <v>0.17530864197530865</v>
      </c>
    </row>
    <row r="322" spans="2:7" x14ac:dyDescent="0.2">
      <c r="B322" s="120" t="s">
        <v>944</v>
      </c>
      <c r="C322" s="121" t="s">
        <v>945</v>
      </c>
      <c r="D322" s="122" t="s">
        <v>3561</v>
      </c>
      <c r="E322" s="122" t="s">
        <v>3618</v>
      </c>
      <c r="F322" s="123">
        <v>2.666666666666667</v>
      </c>
      <c r="G322" s="123">
        <v>-0.96969696969696972</v>
      </c>
    </row>
    <row r="323" spans="2:7" x14ac:dyDescent="0.2">
      <c r="B323" s="120" t="s">
        <v>946</v>
      </c>
      <c r="C323" s="121" t="s">
        <v>947</v>
      </c>
      <c r="D323" s="122" t="s">
        <v>3556</v>
      </c>
      <c r="E323" s="122" t="s">
        <v>3705</v>
      </c>
      <c r="F323" s="123">
        <v>0.58823529411764708</v>
      </c>
      <c r="G323" s="123">
        <v>0.18981481481481466</v>
      </c>
    </row>
    <row r="324" spans="2:7" x14ac:dyDescent="0.2">
      <c r="B324" s="120" t="s">
        <v>948</v>
      </c>
      <c r="C324" s="121" t="s">
        <v>949</v>
      </c>
      <c r="D324" s="122" t="s">
        <v>3576</v>
      </c>
      <c r="E324" s="122" t="s">
        <v>3600</v>
      </c>
      <c r="F324" s="123">
        <v>-8.1896551724137914E-2</v>
      </c>
      <c r="G324" s="123">
        <v>-9.3896713615023563E-3</v>
      </c>
    </row>
    <row r="325" spans="2:7" x14ac:dyDescent="0.2">
      <c r="B325" s="120" t="s">
        <v>950</v>
      </c>
      <c r="C325" s="121" t="s">
        <v>951</v>
      </c>
      <c r="D325" s="122" t="s">
        <v>3576</v>
      </c>
      <c r="E325" s="122" t="s">
        <v>3578</v>
      </c>
      <c r="F325" s="123">
        <v>0.18296529968454261</v>
      </c>
      <c r="G325" s="123">
        <v>-7.9999999999999481E-3</v>
      </c>
    </row>
    <row r="326" spans="2:7" x14ac:dyDescent="0.2">
      <c r="B326" s="120" t="s">
        <v>952</v>
      </c>
      <c r="C326" s="121" t="s">
        <v>953</v>
      </c>
      <c r="D326" s="122" t="s">
        <v>3576</v>
      </c>
      <c r="E326" s="122" t="s">
        <v>3651</v>
      </c>
      <c r="F326" s="123">
        <v>0.25692695214105793</v>
      </c>
      <c r="G326" s="123">
        <v>6.4128256513025922E-2</v>
      </c>
    </row>
    <row r="327" spans="2:7" x14ac:dyDescent="0.2">
      <c r="B327" s="120" t="s">
        <v>954</v>
      </c>
      <c r="C327" s="121" t="s">
        <v>955</v>
      </c>
      <c r="D327" s="122" t="s">
        <v>3561</v>
      </c>
      <c r="E327" s="122" t="s">
        <v>3706</v>
      </c>
      <c r="F327" s="123">
        <v>5.0000000000000044E-2</v>
      </c>
      <c r="G327" s="123">
        <v>4.7619047619047658E-2</v>
      </c>
    </row>
    <row r="328" spans="2:7" x14ac:dyDescent="0.2">
      <c r="B328" s="120" t="s">
        <v>956</v>
      </c>
      <c r="C328" s="121" t="s">
        <v>957</v>
      </c>
      <c r="D328" s="122" t="s">
        <v>24</v>
      </c>
      <c r="E328" s="122" t="s">
        <v>3701</v>
      </c>
      <c r="F328" s="123">
        <v>-4.0540540540540577E-2</v>
      </c>
      <c r="G328" s="123">
        <v>7.7464788732394443E-2</v>
      </c>
    </row>
    <row r="329" spans="2:7" x14ac:dyDescent="0.2">
      <c r="B329" s="120" t="s">
        <v>958</v>
      </c>
      <c r="C329" s="121" t="s">
        <v>959</v>
      </c>
      <c r="D329" s="122" t="s">
        <v>3582</v>
      </c>
      <c r="E329" s="122" t="s">
        <v>3583</v>
      </c>
      <c r="F329" s="123">
        <v>-3.3088235294117758E-2</v>
      </c>
      <c r="G329" s="123">
        <v>8.7452471482889732E-2</v>
      </c>
    </row>
    <row r="330" spans="2:7" x14ac:dyDescent="0.2">
      <c r="B330" s="120" t="s">
        <v>960</v>
      </c>
      <c r="C330" s="121" t="s">
        <v>961</v>
      </c>
      <c r="D330" s="122" t="s">
        <v>3582</v>
      </c>
      <c r="E330" s="122" t="s">
        <v>3707</v>
      </c>
      <c r="F330" s="123">
        <v>0.63025210084033612</v>
      </c>
      <c r="G330" s="123">
        <v>0.21649484536082472</v>
      </c>
    </row>
    <row r="331" spans="2:7" x14ac:dyDescent="0.2">
      <c r="B331" s="120" t="s">
        <v>962</v>
      </c>
      <c r="C331" s="121" t="s">
        <v>963</v>
      </c>
      <c r="D331" s="122" t="s">
        <v>3591</v>
      </c>
      <c r="E331" s="122" t="s">
        <v>3592</v>
      </c>
      <c r="F331" s="123">
        <v>-0.64383561643835618</v>
      </c>
      <c r="G331" s="123">
        <v>1.5</v>
      </c>
    </row>
    <row r="332" spans="2:7" x14ac:dyDescent="0.2">
      <c r="B332" s="120" t="s">
        <v>964</v>
      </c>
      <c r="C332" s="121" t="s">
        <v>965</v>
      </c>
      <c r="D332" s="122" t="s">
        <v>3612</v>
      </c>
      <c r="E332" s="122" t="s">
        <v>3627</v>
      </c>
      <c r="F332" s="123">
        <v>-0.19310344827586209</v>
      </c>
      <c r="G332" s="123">
        <v>0.23504273504273518</v>
      </c>
    </row>
    <row r="333" spans="2:7" x14ac:dyDescent="0.2">
      <c r="B333" s="120" t="s">
        <v>966</v>
      </c>
      <c r="C333" s="121" t="s">
        <v>967</v>
      </c>
      <c r="D333" s="122" t="s">
        <v>24</v>
      </c>
      <c r="E333" s="122" t="s">
        <v>3701</v>
      </c>
      <c r="F333" s="123">
        <v>1.7488076311605774E-2</v>
      </c>
      <c r="G333" s="123">
        <v>4.6874999999999972E-2</v>
      </c>
    </row>
    <row r="334" spans="2:7" x14ac:dyDescent="0.2">
      <c r="B334" s="120" t="s">
        <v>968</v>
      </c>
      <c r="C334" s="121" t="s">
        <v>969</v>
      </c>
      <c r="D334" s="122" t="s">
        <v>3576</v>
      </c>
      <c r="E334" s="122" t="s">
        <v>3626</v>
      </c>
      <c r="F334" s="123">
        <v>-1.8338727076591146E-2</v>
      </c>
      <c r="G334" s="123">
        <v>1.4285714285714372E-2</v>
      </c>
    </row>
    <row r="335" spans="2:7" x14ac:dyDescent="0.2">
      <c r="B335" s="120" t="s">
        <v>970</v>
      </c>
      <c r="C335" s="121" t="s">
        <v>971</v>
      </c>
      <c r="D335" s="122" t="s">
        <v>3576</v>
      </c>
      <c r="E335" s="122" t="s">
        <v>3654</v>
      </c>
      <c r="F335" s="123">
        <v>9.7493036211699191E-2</v>
      </c>
      <c r="G335" s="123">
        <v>-3.1725888324873094E-2</v>
      </c>
    </row>
    <row r="336" spans="2:7" x14ac:dyDescent="0.2">
      <c r="B336" s="120" t="s">
        <v>972</v>
      </c>
      <c r="C336" s="121" t="s">
        <v>973</v>
      </c>
      <c r="D336" s="122" t="s">
        <v>25</v>
      </c>
      <c r="E336" s="122" t="s">
        <v>3681</v>
      </c>
      <c r="F336" s="123">
        <v>0.21653543307086606</v>
      </c>
      <c r="G336" s="123">
        <v>0.10032362459546927</v>
      </c>
    </row>
    <row r="337" spans="2:7" x14ac:dyDescent="0.2">
      <c r="B337" s="120" t="s">
        <v>974</v>
      </c>
      <c r="C337" s="121" t="s">
        <v>975</v>
      </c>
      <c r="D337" s="122" t="s">
        <v>3569</v>
      </c>
      <c r="E337" s="122" t="s">
        <v>3574</v>
      </c>
      <c r="F337" s="123">
        <v>0.1148936170212766</v>
      </c>
      <c r="G337" s="123">
        <v>0.1679389312977099</v>
      </c>
    </row>
    <row r="338" spans="2:7" x14ac:dyDescent="0.2">
      <c r="B338" s="120" t="s">
        <v>976</v>
      </c>
      <c r="C338" s="121" t="s">
        <v>977</v>
      </c>
      <c r="D338" s="122" t="s">
        <v>3576</v>
      </c>
      <c r="E338" s="122" t="s">
        <v>3688</v>
      </c>
      <c r="F338" s="123">
        <v>-1.0294117647058735E-2</v>
      </c>
      <c r="G338" s="123">
        <v>9.6582466567607647E-2</v>
      </c>
    </row>
    <row r="339" spans="2:7" x14ac:dyDescent="0.2">
      <c r="B339" s="120" t="s">
        <v>978</v>
      </c>
      <c r="C339" s="121" t="s">
        <v>979</v>
      </c>
      <c r="D339" s="122" t="s">
        <v>3563</v>
      </c>
      <c r="E339" s="122" t="s">
        <v>3690</v>
      </c>
      <c r="F339" s="123">
        <v>0.56440281030444972</v>
      </c>
      <c r="G339" s="123">
        <v>0.2836826347305389</v>
      </c>
    </row>
    <row r="340" spans="2:7" x14ac:dyDescent="0.2">
      <c r="B340" s="120" t="s">
        <v>980</v>
      </c>
      <c r="C340" s="121" t="s">
        <v>981</v>
      </c>
      <c r="D340" s="122" t="s">
        <v>3610</v>
      </c>
      <c r="E340" s="122" t="s">
        <v>3708</v>
      </c>
      <c r="F340" s="123">
        <v>0.16385011021307866</v>
      </c>
      <c r="G340" s="123">
        <v>-9.1540404040403991E-2</v>
      </c>
    </row>
    <row r="341" spans="2:7" x14ac:dyDescent="0.2">
      <c r="B341" s="120" t="s">
        <v>982</v>
      </c>
      <c r="C341" s="121" t="s">
        <v>983</v>
      </c>
      <c r="D341" s="122" t="s">
        <v>3563</v>
      </c>
      <c r="E341" s="122" t="s">
        <v>3690</v>
      </c>
      <c r="F341" s="123">
        <v>7.0707070707070774E-2</v>
      </c>
      <c r="G341" s="123">
        <v>9.4339622641509302E-2</v>
      </c>
    </row>
    <row r="342" spans="2:7" x14ac:dyDescent="0.2">
      <c r="B342" s="120" t="s">
        <v>984</v>
      </c>
      <c r="C342" s="121" t="s">
        <v>985</v>
      </c>
      <c r="D342" s="122" t="s">
        <v>3558</v>
      </c>
      <c r="E342" s="122" t="s">
        <v>3709</v>
      </c>
      <c r="F342" s="123">
        <v>0.35627530364372462</v>
      </c>
      <c r="G342" s="123">
        <v>0.29552238805970144</v>
      </c>
    </row>
    <row r="343" spans="2:7" x14ac:dyDescent="0.2">
      <c r="B343" s="120" t="s">
        <v>986</v>
      </c>
      <c r="C343" s="121" t="s">
        <v>987</v>
      </c>
      <c r="D343" s="122" t="s">
        <v>3591</v>
      </c>
      <c r="E343" s="122" t="s">
        <v>3592</v>
      </c>
      <c r="F343" s="123">
        <v>6.4102564102564263E-2</v>
      </c>
      <c r="G343" s="123">
        <v>6.4257028112449668E-2</v>
      </c>
    </row>
    <row r="344" spans="2:7" x14ac:dyDescent="0.2">
      <c r="B344" s="120" t="s">
        <v>988</v>
      </c>
      <c r="C344" s="121" t="s">
        <v>989</v>
      </c>
      <c r="D344" s="122" t="s">
        <v>3576</v>
      </c>
      <c r="E344" s="122" t="s">
        <v>3578</v>
      </c>
      <c r="F344" s="123">
        <v>4.7619047619047492E-2</v>
      </c>
      <c r="G344" s="123">
        <v>-2.6315789473684077E-2</v>
      </c>
    </row>
    <row r="345" spans="2:7" x14ac:dyDescent="0.2">
      <c r="B345" s="120" t="s">
        <v>990</v>
      </c>
      <c r="C345" s="121" t="s">
        <v>991</v>
      </c>
      <c r="D345" s="122" t="s">
        <v>3569</v>
      </c>
      <c r="E345" s="122" t="s">
        <v>3625</v>
      </c>
      <c r="F345" s="123">
        <v>0.25212464589235134</v>
      </c>
      <c r="G345" s="123">
        <v>0.1199095022624435</v>
      </c>
    </row>
    <row r="346" spans="2:7" x14ac:dyDescent="0.2">
      <c r="B346" s="120" t="s">
        <v>992</v>
      </c>
      <c r="C346" s="121" t="s">
        <v>993</v>
      </c>
      <c r="D346" s="122" t="s">
        <v>3610</v>
      </c>
      <c r="E346" s="122" t="s">
        <v>3656</v>
      </c>
      <c r="F346" s="123">
        <v>0.16438356164383561</v>
      </c>
      <c r="G346" s="123">
        <v>5.8823529411764761E-2</v>
      </c>
    </row>
    <row r="347" spans="2:7" x14ac:dyDescent="0.2">
      <c r="B347" s="120" t="s">
        <v>994</v>
      </c>
      <c r="C347" s="121" t="s">
        <v>995</v>
      </c>
      <c r="D347" s="122" t="s">
        <v>3561</v>
      </c>
      <c r="E347" s="122" t="s">
        <v>3706</v>
      </c>
      <c r="F347" s="123">
        <v>0.1274038461538462</v>
      </c>
      <c r="G347" s="123">
        <v>0.1236673773987205</v>
      </c>
    </row>
    <row r="348" spans="2:7" x14ac:dyDescent="0.2">
      <c r="B348" s="120" t="s">
        <v>996</v>
      </c>
      <c r="C348" s="121" t="s">
        <v>997</v>
      </c>
      <c r="D348" s="122" t="s">
        <v>25</v>
      </c>
      <c r="E348" s="122" t="s">
        <v>3694</v>
      </c>
      <c r="F348" s="123">
        <v>0.11428571428571417</v>
      </c>
      <c r="G348" s="123">
        <v>4.2735042735042778E-2</v>
      </c>
    </row>
    <row r="349" spans="2:7" x14ac:dyDescent="0.2">
      <c r="B349" s="120" t="s">
        <v>998</v>
      </c>
      <c r="C349" s="121" t="s">
        <v>999</v>
      </c>
      <c r="D349" s="122" t="s">
        <v>3591</v>
      </c>
      <c r="E349" s="122" t="s">
        <v>3592</v>
      </c>
      <c r="F349" s="123">
        <v>3.7735849056603668E-2</v>
      </c>
      <c r="G349" s="123">
        <v>9.0909090909090995E-2</v>
      </c>
    </row>
    <row r="350" spans="2:7" x14ac:dyDescent="0.2">
      <c r="B350" s="120" t="s">
        <v>1000</v>
      </c>
      <c r="C350" s="121" t="s">
        <v>1001</v>
      </c>
      <c r="D350" s="122" t="s">
        <v>3612</v>
      </c>
      <c r="E350" s="122" t="s">
        <v>3710</v>
      </c>
      <c r="F350" s="123">
        <v>-5.5335968379446515E-2</v>
      </c>
      <c r="G350" s="123">
        <v>-0.22594142259414227</v>
      </c>
    </row>
    <row r="351" spans="2:7" x14ac:dyDescent="0.2">
      <c r="B351" s="120" t="s">
        <v>1002</v>
      </c>
      <c r="C351" s="121" t="s">
        <v>1003</v>
      </c>
      <c r="D351" s="122" t="s">
        <v>3576</v>
      </c>
      <c r="E351" s="122" t="s">
        <v>3609</v>
      </c>
      <c r="F351" s="123">
        <v>-2.4786324786324716E-2</v>
      </c>
      <c r="G351" s="123">
        <v>2.6292725679228808E-2</v>
      </c>
    </row>
    <row r="352" spans="2:7" x14ac:dyDescent="0.2">
      <c r="B352" s="120" t="s">
        <v>1004</v>
      </c>
      <c r="C352" s="121" t="s">
        <v>1005</v>
      </c>
      <c r="D352" s="122" t="s">
        <v>3612</v>
      </c>
      <c r="E352" s="122" t="s">
        <v>3627</v>
      </c>
      <c r="F352" s="123">
        <v>0.4508196721311476</v>
      </c>
      <c r="G352" s="123">
        <v>-0.15254237288135594</v>
      </c>
    </row>
    <row r="353" spans="2:7" x14ac:dyDescent="0.2">
      <c r="B353" s="120" t="s">
        <v>1006</v>
      </c>
      <c r="C353" s="121" t="s">
        <v>1007</v>
      </c>
      <c r="D353" s="122" t="s">
        <v>3556</v>
      </c>
      <c r="E353" s="122" t="s">
        <v>3711</v>
      </c>
      <c r="F353" s="123">
        <v>-0.56184798807749625</v>
      </c>
      <c r="G353" s="123">
        <v>8.5034013605441872E-3</v>
      </c>
    </row>
    <row r="354" spans="2:7" x14ac:dyDescent="0.2">
      <c r="B354" s="120" t="s">
        <v>1008</v>
      </c>
      <c r="C354" s="121" t="s">
        <v>1009</v>
      </c>
      <c r="D354" s="122" t="s">
        <v>3594</v>
      </c>
      <c r="E354" s="122" t="s">
        <v>3637</v>
      </c>
      <c r="F354" s="123">
        <v>-2.4000000000000021E-2</v>
      </c>
      <c r="G354" s="123">
        <v>4.9180327868852507E-2</v>
      </c>
    </row>
    <row r="355" spans="2:7" x14ac:dyDescent="0.2">
      <c r="B355" s="120" t="s">
        <v>1010</v>
      </c>
      <c r="C355" s="121" t="s">
        <v>1011</v>
      </c>
      <c r="D355" s="122" t="s">
        <v>3576</v>
      </c>
      <c r="E355" s="122" t="s">
        <v>3619</v>
      </c>
      <c r="F355" s="123">
        <v>0.12173913043478272</v>
      </c>
      <c r="G355" s="123">
        <v>0.13178294573643404</v>
      </c>
    </row>
    <row r="356" spans="2:7" x14ac:dyDescent="0.2">
      <c r="B356" s="120" t="s">
        <v>1012</v>
      </c>
      <c r="C356" s="121" t="s">
        <v>1013</v>
      </c>
      <c r="D356" s="122" t="s">
        <v>25</v>
      </c>
      <c r="E356" s="122" t="s">
        <v>3712</v>
      </c>
      <c r="F356" s="123">
        <v>0.30747922437673125</v>
      </c>
      <c r="G356" s="123">
        <v>0.10169491525423738</v>
      </c>
    </row>
    <row r="357" spans="2:7" x14ac:dyDescent="0.2">
      <c r="B357" s="120" t="s">
        <v>1014</v>
      </c>
      <c r="C357" s="121" t="s">
        <v>1015</v>
      </c>
      <c r="D357" s="122" t="s">
        <v>3576</v>
      </c>
      <c r="E357" s="122" t="s">
        <v>3619</v>
      </c>
      <c r="F357" s="123">
        <v>8.5889570552147326E-2</v>
      </c>
      <c r="G357" s="123">
        <v>0.11016949152542377</v>
      </c>
    </row>
    <row r="358" spans="2:7" x14ac:dyDescent="0.2">
      <c r="B358" s="120" t="s">
        <v>1016</v>
      </c>
      <c r="C358" s="121" t="s">
        <v>1017</v>
      </c>
      <c r="D358" s="122" t="s">
        <v>3569</v>
      </c>
      <c r="E358" s="122" t="s">
        <v>3571</v>
      </c>
      <c r="F358" s="123">
        <v>6.1154177433247275E-2</v>
      </c>
      <c r="G358" s="123">
        <v>7.1428571428571341E-2</v>
      </c>
    </row>
    <row r="359" spans="2:7" x14ac:dyDescent="0.2">
      <c r="B359" s="120" t="s">
        <v>1018</v>
      </c>
      <c r="C359" s="121" t="s">
        <v>1019</v>
      </c>
      <c r="D359" s="122" t="s">
        <v>3612</v>
      </c>
      <c r="E359" s="122" t="s">
        <v>3613</v>
      </c>
      <c r="F359" s="123">
        <v>-0.12895927601809951</v>
      </c>
      <c r="G359" s="123">
        <v>8.0519480519480532E-2</v>
      </c>
    </row>
    <row r="360" spans="2:7" x14ac:dyDescent="0.2">
      <c r="B360" s="120" t="s">
        <v>1020</v>
      </c>
      <c r="C360" s="121" t="s">
        <v>1021</v>
      </c>
      <c r="D360" s="122" t="s">
        <v>3576</v>
      </c>
      <c r="E360" s="122" t="s">
        <v>3619</v>
      </c>
      <c r="F360" s="123">
        <v>7.9207920792079278E-3</v>
      </c>
      <c r="G360" s="123">
        <v>9.2337917485265181E-2</v>
      </c>
    </row>
    <row r="361" spans="2:7" x14ac:dyDescent="0.2">
      <c r="B361" s="120" t="s">
        <v>1022</v>
      </c>
      <c r="C361" s="121" t="s">
        <v>1023</v>
      </c>
      <c r="D361" s="122" t="s">
        <v>3563</v>
      </c>
      <c r="E361" s="122" t="s">
        <v>3677</v>
      </c>
      <c r="F361" s="123">
        <v>5.7142857142857023E-2</v>
      </c>
      <c r="G361" s="123">
        <v>5.7579318448883691E-2</v>
      </c>
    </row>
    <row r="362" spans="2:7" x14ac:dyDescent="0.2">
      <c r="B362" s="120" t="s">
        <v>1024</v>
      </c>
      <c r="C362" s="121" t="s">
        <v>1025</v>
      </c>
      <c r="D362" s="122" t="s">
        <v>24</v>
      </c>
      <c r="E362" s="122" t="s">
        <v>3713</v>
      </c>
      <c r="F362" s="123">
        <v>6.2500000000000056E-2</v>
      </c>
      <c r="G362" s="123">
        <v>0.10294117647058816</v>
      </c>
    </row>
    <row r="363" spans="2:7" x14ac:dyDescent="0.2">
      <c r="B363" s="120" t="s">
        <v>1026</v>
      </c>
      <c r="C363" s="121" t="s">
        <v>1027</v>
      </c>
      <c r="D363" s="122" t="s">
        <v>3556</v>
      </c>
      <c r="E363" s="122" t="s">
        <v>3630</v>
      </c>
      <c r="F363" s="123">
        <v>0.33333333333333343</v>
      </c>
      <c r="G363" s="123">
        <v>1.5</v>
      </c>
    </row>
    <row r="364" spans="2:7" x14ac:dyDescent="0.2">
      <c r="B364" s="120" t="s">
        <v>1028</v>
      </c>
      <c r="C364" s="121" t="s">
        <v>1029</v>
      </c>
      <c r="D364" s="122" t="s">
        <v>3594</v>
      </c>
      <c r="E364" s="122" t="s">
        <v>3714</v>
      </c>
      <c r="F364" s="123">
        <v>-0.65530303030303028</v>
      </c>
      <c r="G364" s="123">
        <v>8.2417582417582361E-2</v>
      </c>
    </row>
    <row r="365" spans="2:7" x14ac:dyDescent="0.2">
      <c r="B365" s="120" t="s">
        <v>1030</v>
      </c>
      <c r="C365" s="121" t="s">
        <v>1031</v>
      </c>
      <c r="D365" s="122" t="s">
        <v>3561</v>
      </c>
      <c r="E365" s="122" t="s">
        <v>3706</v>
      </c>
      <c r="F365" s="123">
        <v>0.17827298050139276</v>
      </c>
      <c r="G365" s="123">
        <v>0.1189913317572892</v>
      </c>
    </row>
    <row r="366" spans="2:7" x14ac:dyDescent="0.2">
      <c r="B366" s="120" t="s">
        <v>1032</v>
      </c>
      <c r="C366" s="121" t="s">
        <v>1033</v>
      </c>
      <c r="D366" s="122" t="s">
        <v>3561</v>
      </c>
      <c r="E366" s="122" t="s">
        <v>3562</v>
      </c>
      <c r="F366" s="123">
        <v>0.17276720351390917</v>
      </c>
      <c r="G366" s="123">
        <v>0.21972534332084892</v>
      </c>
    </row>
    <row r="367" spans="2:7" x14ac:dyDescent="0.2">
      <c r="B367" s="120" t="s">
        <v>1034</v>
      </c>
      <c r="C367" s="121" t="s">
        <v>1035</v>
      </c>
      <c r="D367" s="122" t="s">
        <v>24</v>
      </c>
      <c r="E367" s="122" t="s">
        <v>3633</v>
      </c>
      <c r="F367" s="123">
        <v>-7.8431372549019676E-3</v>
      </c>
      <c r="G367" s="123">
        <v>6.7193675889328217E-2</v>
      </c>
    </row>
    <row r="368" spans="2:7" x14ac:dyDescent="0.2">
      <c r="B368" s="120" t="s">
        <v>1036</v>
      </c>
      <c r="C368" s="121" t="s">
        <v>1037</v>
      </c>
      <c r="D368" s="122" t="s">
        <v>3561</v>
      </c>
      <c r="E368" s="122" t="s">
        <v>3562</v>
      </c>
      <c r="F368" s="123">
        <v>-1.4166666666666665</v>
      </c>
      <c r="G368" s="123">
        <v>4.4000000000000004</v>
      </c>
    </row>
    <row r="369" spans="2:7" x14ac:dyDescent="0.2">
      <c r="B369" s="120" t="s">
        <v>1038</v>
      </c>
      <c r="C369" s="121" t="s">
        <v>1039</v>
      </c>
      <c r="D369" s="122" t="s">
        <v>3563</v>
      </c>
      <c r="E369" s="122" t="s">
        <v>3676</v>
      </c>
      <c r="F369" s="123">
        <v>-1.0101010101010065E-2</v>
      </c>
      <c r="G369" s="123">
        <v>8.5714285714285687E-2</v>
      </c>
    </row>
    <row r="370" spans="2:7" x14ac:dyDescent="0.2">
      <c r="B370" s="120" t="s">
        <v>1040</v>
      </c>
      <c r="C370" s="121" t="s">
        <v>1041</v>
      </c>
      <c r="D370" s="122" t="s">
        <v>3582</v>
      </c>
      <c r="E370" s="122" t="s">
        <v>3715</v>
      </c>
      <c r="F370" s="123">
        <v>0.18099547511312214</v>
      </c>
      <c r="G370" s="123">
        <v>0.10727969348659014</v>
      </c>
    </row>
    <row r="371" spans="2:7" x14ac:dyDescent="0.2">
      <c r="B371" s="120" t="s">
        <v>1042</v>
      </c>
      <c r="C371" s="121" t="s">
        <v>1043</v>
      </c>
      <c r="D371" s="122" t="s">
        <v>3576</v>
      </c>
      <c r="E371" s="122" t="s">
        <v>3577</v>
      </c>
      <c r="F371" s="123">
        <v>6.7085953878406768E-2</v>
      </c>
      <c r="G371" s="123">
        <v>5.1080550098231786E-2</v>
      </c>
    </row>
    <row r="372" spans="2:7" x14ac:dyDescent="0.2">
      <c r="B372" s="120" t="s">
        <v>1044</v>
      </c>
      <c r="C372" s="121" t="s">
        <v>1045</v>
      </c>
      <c r="D372" s="122" t="s">
        <v>3591</v>
      </c>
      <c r="E372" s="122" t="s">
        <v>3643</v>
      </c>
      <c r="F372" s="123">
        <v>-0.32142857142857151</v>
      </c>
      <c r="G372" s="123">
        <v>0.2368421052631578</v>
      </c>
    </row>
    <row r="373" spans="2:7" x14ac:dyDescent="0.2">
      <c r="B373" s="120" t="s">
        <v>1046</v>
      </c>
      <c r="C373" s="121" t="s">
        <v>1047</v>
      </c>
      <c r="D373" s="122" t="s">
        <v>3612</v>
      </c>
      <c r="E373" s="122" t="s">
        <v>3716</v>
      </c>
      <c r="F373" s="123">
        <v>5.0420168067226941E-2</v>
      </c>
      <c r="G373" s="123">
        <v>3.2000000000000028E-2</v>
      </c>
    </row>
    <row r="374" spans="2:7" x14ac:dyDescent="0.2">
      <c r="B374" s="120" t="s">
        <v>1048</v>
      </c>
      <c r="C374" s="121" t="s">
        <v>1049</v>
      </c>
      <c r="D374" s="122" t="s">
        <v>3679</v>
      </c>
      <c r="E374" s="122" t="s">
        <v>3680</v>
      </c>
      <c r="F374" s="123">
        <v>8.4889643463497463E-2</v>
      </c>
      <c r="G374" s="123">
        <v>0.10328638497652586</v>
      </c>
    </row>
    <row r="375" spans="2:7" x14ac:dyDescent="0.2">
      <c r="B375" s="120" t="s">
        <v>1050</v>
      </c>
      <c r="C375" s="121" t="s">
        <v>1051</v>
      </c>
      <c r="D375" s="122" t="s">
        <v>3576</v>
      </c>
      <c r="E375" s="122" t="s">
        <v>3626</v>
      </c>
      <c r="F375" s="123">
        <v>-6.5789473684210578E-2</v>
      </c>
      <c r="G375" s="123">
        <v>4.2253521126760604E-2</v>
      </c>
    </row>
    <row r="376" spans="2:7" x14ac:dyDescent="0.2">
      <c r="B376" s="120" t="s">
        <v>1052</v>
      </c>
      <c r="C376" s="121" t="s">
        <v>1053</v>
      </c>
      <c r="D376" s="122" t="s">
        <v>3556</v>
      </c>
      <c r="E376" s="122" t="s">
        <v>3717</v>
      </c>
      <c r="F376" s="123">
        <v>-0.61643835616438347</v>
      </c>
      <c r="G376" s="123">
        <v>3.0714285714285707</v>
      </c>
    </row>
    <row r="377" spans="2:7" x14ac:dyDescent="0.2">
      <c r="B377" s="120" t="s">
        <v>1054</v>
      </c>
      <c r="C377" s="121" t="s">
        <v>1055</v>
      </c>
      <c r="D377" s="122" t="s">
        <v>25</v>
      </c>
      <c r="E377" s="122" t="s">
        <v>3585</v>
      </c>
      <c r="F377" s="123">
        <v>9.9337748344370799E-2</v>
      </c>
      <c r="G377" s="123">
        <v>7.5301204819277115E-2</v>
      </c>
    </row>
    <row r="378" spans="2:7" x14ac:dyDescent="0.2">
      <c r="B378" s="120" t="s">
        <v>1056</v>
      </c>
      <c r="C378" s="121" t="s">
        <v>1057</v>
      </c>
      <c r="D378" s="122" t="s">
        <v>3569</v>
      </c>
      <c r="E378" s="122" t="s">
        <v>3718</v>
      </c>
      <c r="F378" s="123">
        <v>0.10135135135135129</v>
      </c>
      <c r="G378" s="123">
        <v>0.13803680981595098</v>
      </c>
    </row>
    <row r="379" spans="2:7" x14ac:dyDescent="0.2">
      <c r="B379" s="120" t="s">
        <v>1058</v>
      </c>
      <c r="C379" s="121" t="s">
        <v>1059</v>
      </c>
      <c r="D379" s="122" t="s">
        <v>3556</v>
      </c>
      <c r="E379" s="122" t="s">
        <v>3579</v>
      </c>
      <c r="F379" s="123">
        <v>8.8122605363984668E-2</v>
      </c>
      <c r="G379" s="123">
        <v>8.8028169014084515E-2</v>
      </c>
    </row>
    <row r="380" spans="2:7" x14ac:dyDescent="0.2">
      <c r="B380" s="120" t="s">
        <v>1060</v>
      </c>
      <c r="C380" s="121" t="s">
        <v>1061</v>
      </c>
      <c r="D380" s="122" t="s">
        <v>3576</v>
      </c>
      <c r="E380" s="122" t="s">
        <v>3604</v>
      </c>
      <c r="F380" s="123">
        <v>-0.16666666666666682</v>
      </c>
      <c r="G380" s="123">
        <v>-0.28571428571428553</v>
      </c>
    </row>
    <row r="381" spans="2:7" x14ac:dyDescent="0.2">
      <c r="B381" s="120" t="s">
        <v>1062</v>
      </c>
      <c r="C381" s="121" t="s">
        <v>1063</v>
      </c>
      <c r="D381" s="122" t="s">
        <v>3591</v>
      </c>
      <c r="E381" s="122" t="s">
        <v>3592</v>
      </c>
      <c r="F381" s="123">
        <v>8.6792452830188674E-2</v>
      </c>
      <c r="G381" s="123">
        <v>0.20833333333333337</v>
      </c>
    </row>
    <row r="382" spans="2:7" x14ac:dyDescent="0.2">
      <c r="B382" s="120" t="s">
        <v>1064</v>
      </c>
      <c r="C382" s="121" t="s">
        <v>1065</v>
      </c>
      <c r="D382" s="122" t="s">
        <v>3563</v>
      </c>
      <c r="E382" s="122" t="s">
        <v>3687</v>
      </c>
      <c r="F382" s="123">
        <v>0.22727272727272735</v>
      </c>
      <c r="G382" s="123">
        <v>0.11111111111111099</v>
      </c>
    </row>
    <row r="383" spans="2:7" x14ac:dyDescent="0.2">
      <c r="B383" s="120" t="s">
        <v>1066</v>
      </c>
      <c r="C383" s="121" t="s">
        <v>1067</v>
      </c>
      <c r="D383" s="122" t="s">
        <v>3556</v>
      </c>
      <c r="E383" s="122" t="s">
        <v>3616</v>
      </c>
      <c r="F383" s="123">
        <v>0.16736401673640164</v>
      </c>
      <c r="G383" s="123">
        <v>3.9426523297490995E-2</v>
      </c>
    </row>
    <row r="384" spans="2:7" x14ac:dyDescent="0.2">
      <c r="B384" s="120" t="s">
        <v>1068</v>
      </c>
      <c r="C384" s="121" t="s">
        <v>1069</v>
      </c>
      <c r="D384" s="122" t="s">
        <v>3576</v>
      </c>
      <c r="E384" s="122" t="s">
        <v>3626</v>
      </c>
      <c r="F384" s="123">
        <v>0.24074074074074073</v>
      </c>
      <c r="G384" s="123">
        <v>0.12686567164179099</v>
      </c>
    </row>
    <row r="385" spans="2:7" x14ac:dyDescent="0.2">
      <c r="B385" s="120" t="s">
        <v>1070</v>
      </c>
      <c r="C385" s="121" t="s">
        <v>1071</v>
      </c>
      <c r="D385" s="122" t="s">
        <v>3556</v>
      </c>
      <c r="E385" s="122" t="s">
        <v>3719</v>
      </c>
      <c r="F385" s="123">
        <v>9.4155844155844159E-2</v>
      </c>
      <c r="G385" s="123">
        <v>8.3086053412462849E-2</v>
      </c>
    </row>
    <row r="386" spans="2:7" x14ac:dyDescent="0.2">
      <c r="B386" s="120" t="s">
        <v>1072</v>
      </c>
      <c r="C386" s="121" t="s">
        <v>1073</v>
      </c>
      <c r="D386" s="122" t="s">
        <v>3576</v>
      </c>
      <c r="E386" s="122" t="s">
        <v>3671</v>
      </c>
      <c r="F386" s="123">
        <v>-1.4423076923077042E-2</v>
      </c>
      <c r="G386" s="123">
        <v>4.8780487804878099E-2</v>
      </c>
    </row>
    <row r="387" spans="2:7" x14ac:dyDescent="0.2">
      <c r="B387" s="120" t="s">
        <v>1074</v>
      </c>
      <c r="C387" s="121" t="s">
        <v>1075</v>
      </c>
      <c r="D387" s="122" t="s">
        <v>3556</v>
      </c>
      <c r="E387" s="122" t="s">
        <v>3614</v>
      </c>
      <c r="F387" s="123">
        <v>0.26658322903629522</v>
      </c>
      <c r="G387" s="123">
        <v>0.18379446640316219</v>
      </c>
    </row>
    <row r="388" spans="2:7" x14ac:dyDescent="0.2">
      <c r="B388" s="120" t="s">
        <v>1076</v>
      </c>
      <c r="C388" s="121" t="s">
        <v>1077</v>
      </c>
      <c r="D388" s="122" t="s">
        <v>3679</v>
      </c>
      <c r="E388" s="122" t="s">
        <v>3680</v>
      </c>
      <c r="F388" s="123">
        <v>0.45178571428571451</v>
      </c>
      <c r="G388" s="123">
        <v>0.10578105781057802</v>
      </c>
    </row>
    <row r="389" spans="2:7" x14ac:dyDescent="0.2">
      <c r="B389" s="120" t="s">
        <v>1078</v>
      </c>
      <c r="C389" s="121" t="s">
        <v>1079</v>
      </c>
      <c r="D389" s="122" t="s">
        <v>3569</v>
      </c>
      <c r="E389" s="122" t="s">
        <v>3575</v>
      </c>
      <c r="F389" s="123">
        <v>0.16037735849056597</v>
      </c>
      <c r="G389" s="123">
        <v>0.11788617886178863</v>
      </c>
    </row>
    <row r="390" spans="2:7" x14ac:dyDescent="0.2">
      <c r="B390" s="120" t="s">
        <v>1080</v>
      </c>
      <c r="C390" s="121" t="s">
        <v>1081</v>
      </c>
      <c r="D390" s="122" t="s">
        <v>3556</v>
      </c>
      <c r="E390" s="122" t="s">
        <v>3579</v>
      </c>
      <c r="F390" s="123">
        <v>0.41666666666666674</v>
      </c>
      <c r="G390" s="123">
        <v>0.42156862745098034</v>
      </c>
    </row>
    <row r="391" spans="2:7" x14ac:dyDescent="0.2">
      <c r="B391" s="120" t="s">
        <v>1082</v>
      </c>
      <c r="C391" s="121" t="s">
        <v>1083</v>
      </c>
      <c r="D391" s="122" t="s">
        <v>3561</v>
      </c>
      <c r="E391" s="122" t="s">
        <v>3706</v>
      </c>
      <c r="F391" s="123">
        <v>8.3769633507853367E-2</v>
      </c>
      <c r="G391" s="123">
        <v>8.9371980676328538E-2</v>
      </c>
    </row>
    <row r="392" spans="2:7" x14ac:dyDescent="0.2">
      <c r="B392" s="120" t="s">
        <v>1084</v>
      </c>
      <c r="C392" s="121" t="s">
        <v>1085</v>
      </c>
      <c r="D392" s="122" t="s">
        <v>3558</v>
      </c>
      <c r="E392" s="122" t="s">
        <v>3720</v>
      </c>
      <c r="F392" s="123">
        <v>0.13270777479892754</v>
      </c>
      <c r="G392" s="123">
        <v>0.11242603550295871</v>
      </c>
    </row>
    <row r="393" spans="2:7" x14ac:dyDescent="0.2">
      <c r="B393" s="120" t="s">
        <v>1086</v>
      </c>
      <c r="C393" s="121" t="s">
        <v>1087</v>
      </c>
      <c r="D393" s="122" t="s">
        <v>3556</v>
      </c>
      <c r="E393" s="122" t="s">
        <v>3721</v>
      </c>
      <c r="F393" s="123">
        <v>0.15789473684210542</v>
      </c>
      <c r="G393" s="123">
        <v>3.7878787878787908E-2</v>
      </c>
    </row>
    <row r="394" spans="2:7" x14ac:dyDescent="0.2">
      <c r="B394" s="120" t="s">
        <v>1088</v>
      </c>
      <c r="C394" s="121" t="s">
        <v>1089</v>
      </c>
      <c r="D394" s="122" t="s">
        <v>3569</v>
      </c>
      <c r="E394" s="122" t="s">
        <v>3722</v>
      </c>
      <c r="F394" s="123">
        <v>6.9892473118279508E-2</v>
      </c>
      <c r="G394" s="123">
        <v>0.12060301507537688</v>
      </c>
    </row>
    <row r="395" spans="2:7" x14ac:dyDescent="0.2">
      <c r="B395" s="120" t="s">
        <v>1090</v>
      </c>
      <c r="C395" s="121" t="s">
        <v>1091</v>
      </c>
      <c r="D395" s="122" t="s">
        <v>3563</v>
      </c>
      <c r="E395" s="122" t="s">
        <v>3622</v>
      </c>
      <c r="F395" s="123">
        <v>1.8018018018017834E-2</v>
      </c>
      <c r="G395" s="123">
        <v>0.35398230088495591</v>
      </c>
    </row>
    <row r="396" spans="2:7" x14ac:dyDescent="0.2">
      <c r="B396" s="120" t="s">
        <v>1092</v>
      </c>
      <c r="C396" s="121" t="s">
        <v>1093</v>
      </c>
      <c r="D396" s="122" t="s">
        <v>3556</v>
      </c>
      <c r="E396" s="122" t="s">
        <v>3723</v>
      </c>
      <c r="F396" s="123">
        <v>-0.12416851441241678</v>
      </c>
      <c r="G396" s="123">
        <v>8.6075949367088567E-2</v>
      </c>
    </row>
    <row r="397" spans="2:7" x14ac:dyDescent="0.2">
      <c r="B397" s="120" t="s">
        <v>1094</v>
      </c>
      <c r="C397" s="121" t="s">
        <v>1095</v>
      </c>
      <c r="D397" s="122" t="s">
        <v>3610</v>
      </c>
      <c r="E397" s="122" t="s">
        <v>3611</v>
      </c>
      <c r="F397" s="123">
        <v>-0.28658536585365851</v>
      </c>
      <c r="G397" s="123">
        <v>0.23931623931623935</v>
      </c>
    </row>
    <row r="398" spans="2:7" x14ac:dyDescent="0.2">
      <c r="B398" s="120" t="s">
        <v>1096</v>
      </c>
      <c r="C398" s="121" t="s">
        <v>1097</v>
      </c>
      <c r="D398" s="122" t="s">
        <v>3556</v>
      </c>
      <c r="E398" s="122" t="s">
        <v>3579</v>
      </c>
      <c r="F398" s="123">
        <v>-1.6157989228007156E-2</v>
      </c>
      <c r="G398" s="123">
        <v>0.10948905109489043</v>
      </c>
    </row>
    <row r="399" spans="2:7" x14ac:dyDescent="0.2">
      <c r="B399" s="120" t="s">
        <v>1098</v>
      </c>
      <c r="C399" s="121" t="s">
        <v>1099</v>
      </c>
      <c r="D399" s="122" t="s">
        <v>3576</v>
      </c>
      <c r="E399" s="122" t="s">
        <v>3619</v>
      </c>
      <c r="F399" s="123">
        <v>1.8292682926829285E-2</v>
      </c>
      <c r="G399" s="123">
        <v>3.5928143712574884E-2</v>
      </c>
    </row>
    <row r="400" spans="2:7" x14ac:dyDescent="0.2">
      <c r="B400" s="120" t="s">
        <v>1100</v>
      </c>
      <c r="C400" s="121" t="s">
        <v>1101</v>
      </c>
      <c r="D400" s="122" t="s">
        <v>25</v>
      </c>
      <c r="E400" s="122" t="s">
        <v>3666</v>
      </c>
      <c r="F400" s="123">
        <v>2.6666666666666689E-2</v>
      </c>
      <c r="G400" s="123">
        <v>2.5974025974025997E-2</v>
      </c>
    </row>
    <row r="401" spans="2:7" x14ac:dyDescent="0.2">
      <c r="B401" s="120" t="s">
        <v>1102</v>
      </c>
      <c r="C401" s="121" t="s">
        <v>1103</v>
      </c>
      <c r="D401" s="122" t="s">
        <v>3576</v>
      </c>
      <c r="E401" s="122" t="s">
        <v>3619</v>
      </c>
      <c r="F401" s="123">
        <v>0.17004048582995948</v>
      </c>
      <c r="G401" s="123">
        <v>-3.1141868512110829E-2</v>
      </c>
    </row>
    <row r="402" spans="2:7" x14ac:dyDescent="0.2">
      <c r="B402" s="120" t="s">
        <v>1104</v>
      </c>
      <c r="C402" s="121" t="s">
        <v>1105</v>
      </c>
      <c r="D402" s="122" t="s">
        <v>3576</v>
      </c>
      <c r="E402" s="122" t="s">
        <v>3667</v>
      </c>
      <c r="F402" s="123">
        <v>0.17187499999999997</v>
      </c>
      <c r="G402" s="123">
        <v>-6.6666666666666723E-3</v>
      </c>
    </row>
    <row r="403" spans="2:7" x14ac:dyDescent="0.2">
      <c r="B403" s="120" t="s">
        <v>1106</v>
      </c>
      <c r="C403" s="121" t="s">
        <v>1107</v>
      </c>
      <c r="D403" s="122" t="s">
        <v>3612</v>
      </c>
      <c r="E403" s="122" t="s">
        <v>3724</v>
      </c>
      <c r="F403" s="123">
        <v>1.5681818181818181</v>
      </c>
      <c r="G403" s="123">
        <v>-0.18000000000000005</v>
      </c>
    </row>
    <row r="404" spans="2:7" x14ac:dyDescent="0.2">
      <c r="B404" s="120" t="s">
        <v>1108</v>
      </c>
      <c r="C404" s="121" t="s">
        <v>1109</v>
      </c>
      <c r="D404" s="122" t="s">
        <v>3563</v>
      </c>
      <c r="E404" s="122" t="s">
        <v>3622</v>
      </c>
      <c r="F404" s="123">
        <v>-9.6969696969697067E-2</v>
      </c>
      <c r="G404" s="123">
        <v>0.38674033149171266</v>
      </c>
    </row>
    <row r="405" spans="2:7" x14ac:dyDescent="0.2">
      <c r="B405" s="120" t="s">
        <v>1110</v>
      </c>
      <c r="C405" s="121" t="s">
        <v>1111</v>
      </c>
      <c r="D405" s="122" t="s">
        <v>3563</v>
      </c>
      <c r="E405" s="122" t="s">
        <v>3725</v>
      </c>
      <c r="F405" s="123">
        <v>-2.8653295128940486E-3</v>
      </c>
      <c r="G405" s="123">
        <v>3.3045977011494317E-2</v>
      </c>
    </row>
    <row r="406" spans="2:7" x14ac:dyDescent="0.2">
      <c r="B406" s="120" t="s">
        <v>1112</v>
      </c>
      <c r="C406" s="121" t="s">
        <v>1113</v>
      </c>
      <c r="D406" s="122" t="s">
        <v>3612</v>
      </c>
      <c r="E406" s="122" t="s">
        <v>3669</v>
      </c>
      <c r="F406" s="123">
        <v>-0.11717709720372835</v>
      </c>
      <c r="G406" s="123">
        <v>0.22473604826545993</v>
      </c>
    </row>
    <row r="407" spans="2:7" x14ac:dyDescent="0.2">
      <c r="B407" s="120" t="s">
        <v>1114</v>
      </c>
      <c r="C407" s="121" t="s">
        <v>1115</v>
      </c>
      <c r="D407" s="122" t="s">
        <v>3605</v>
      </c>
      <c r="E407" s="122" t="s">
        <v>3606</v>
      </c>
      <c r="F407" s="123">
        <v>0.14285714285714279</v>
      </c>
      <c r="G407" s="123">
        <v>7.3033707865168482E-2</v>
      </c>
    </row>
    <row r="408" spans="2:7" x14ac:dyDescent="0.2">
      <c r="B408" s="120" t="s">
        <v>1116</v>
      </c>
      <c r="C408" s="121" t="s">
        <v>1117</v>
      </c>
      <c r="D408" s="122" t="s">
        <v>3612</v>
      </c>
      <c r="E408" s="122" t="s">
        <v>3726</v>
      </c>
      <c r="F408" s="123">
        <v>-0.78431372549019607</v>
      </c>
      <c r="G408" s="123">
        <v>2.7272727272727271</v>
      </c>
    </row>
    <row r="409" spans="2:7" x14ac:dyDescent="0.2">
      <c r="B409" s="120" t="s">
        <v>1118</v>
      </c>
      <c r="C409" s="121" t="s">
        <v>1119</v>
      </c>
      <c r="D409" s="122" t="s">
        <v>3576</v>
      </c>
      <c r="E409" s="122" t="s">
        <v>3689</v>
      </c>
      <c r="F409" s="123">
        <v>7.1428571428571341E-2</v>
      </c>
      <c r="G409" s="123">
        <v>0.1090909090909092</v>
      </c>
    </row>
    <row r="410" spans="2:7" x14ac:dyDescent="0.2">
      <c r="B410" s="120" t="s">
        <v>1120</v>
      </c>
      <c r="C410" s="121" t="s">
        <v>1121</v>
      </c>
      <c r="D410" s="122" t="s">
        <v>3580</v>
      </c>
      <c r="E410" s="122" t="s">
        <v>3601</v>
      </c>
      <c r="F410" s="123">
        <v>-0.40384615384615385</v>
      </c>
      <c r="G410" s="123">
        <v>0.19354838709677419</v>
      </c>
    </row>
    <row r="411" spans="2:7" x14ac:dyDescent="0.2">
      <c r="B411" s="120" t="s">
        <v>1122</v>
      </c>
      <c r="C411" s="121" t="s">
        <v>1123</v>
      </c>
      <c r="D411" s="122" t="s">
        <v>3612</v>
      </c>
      <c r="E411" s="122" t="s">
        <v>3627</v>
      </c>
      <c r="F411" s="123">
        <v>-0.35073068893528186</v>
      </c>
      <c r="G411" s="123">
        <v>0.70096463022508049</v>
      </c>
    </row>
    <row r="412" spans="2:7" x14ac:dyDescent="0.2">
      <c r="B412" s="120" t="s">
        <v>1124</v>
      </c>
      <c r="C412" s="121" t="s">
        <v>1125</v>
      </c>
      <c r="D412" s="122" t="s">
        <v>3556</v>
      </c>
      <c r="E412" s="122" t="s">
        <v>3727</v>
      </c>
      <c r="F412" s="123">
        <v>-0.16541353383458643</v>
      </c>
      <c r="G412" s="123">
        <v>0.11711711711711702</v>
      </c>
    </row>
    <row r="413" spans="2:7" x14ac:dyDescent="0.2">
      <c r="B413" s="120" t="s">
        <v>1126</v>
      </c>
      <c r="C413" s="121" t="s">
        <v>1127</v>
      </c>
      <c r="D413" s="122" t="s">
        <v>3556</v>
      </c>
      <c r="E413" s="122" t="s">
        <v>3704</v>
      </c>
      <c r="F413" s="123">
        <v>0.30113636363636365</v>
      </c>
      <c r="G413" s="123">
        <v>0.12227074235807851</v>
      </c>
    </row>
    <row r="414" spans="2:7" x14ac:dyDescent="0.2">
      <c r="B414" s="120" t="s">
        <v>1128</v>
      </c>
      <c r="C414" s="121" t="s">
        <v>1129</v>
      </c>
      <c r="D414" s="122" t="s">
        <v>3556</v>
      </c>
      <c r="E414" s="122" t="s">
        <v>3607</v>
      </c>
      <c r="F414" s="123">
        <v>-0.34782608695652178</v>
      </c>
      <c r="G414" s="123">
        <v>1.2666666666666668</v>
      </c>
    </row>
    <row r="415" spans="2:7" x14ac:dyDescent="0.2">
      <c r="B415" s="120" t="s">
        <v>1130</v>
      </c>
      <c r="C415" s="121" t="s">
        <v>1131</v>
      </c>
      <c r="D415" s="122" t="s">
        <v>25</v>
      </c>
      <c r="E415" s="122" t="s">
        <v>3702</v>
      </c>
      <c r="F415" s="123">
        <v>-10.888888888888889</v>
      </c>
      <c r="G415" s="123">
        <v>0.9887640449438202</v>
      </c>
    </row>
    <row r="416" spans="2:7" x14ac:dyDescent="0.2">
      <c r="B416" s="120" t="s">
        <v>1132</v>
      </c>
      <c r="C416" s="121" t="s">
        <v>1133</v>
      </c>
      <c r="D416" s="122" t="s">
        <v>3594</v>
      </c>
      <c r="E416" s="122" t="s">
        <v>3660</v>
      </c>
      <c r="F416" s="123">
        <v>0.73684210526315796</v>
      </c>
      <c r="G416" s="123">
        <v>0.46969696969696961</v>
      </c>
    </row>
    <row r="417" spans="2:7" x14ac:dyDescent="0.2">
      <c r="B417" s="120" t="s">
        <v>1134</v>
      </c>
      <c r="C417" s="121" t="s">
        <v>1135</v>
      </c>
      <c r="D417" s="122" t="s">
        <v>3591</v>
      </c>
      <c r="E417" s="122" t="s">
        <v>3592</v>
      </c>
      <c r="F417" s="123">
        <v>1.719901719901705E-2</v>
      </c>
      <c r="G417" s="123">
        <v>5.5555555555555663E-2</v>
      </c>
    </row>
    <row r="418" spans="2:7" x14ac:dyDescent="0.2">
      <c r="B418" s="120" t="s">
        <v>1136</v>
      </c>
      <c r="C418" s="121" t="s">
        <v>1137</v>
      </c>
      <c r="D418" s="122" t="s">
        <v>3561</v>
      </c>
      <c r="E418" s="122" t="s">
        <v>3562</v>
      </c>
      <c r="F418" s="123">
        <v>0.26702508960573479</v>
      </c>
      <c r="G418" s="123">
        <v>4.6676096181046685E-2</v>
      </c>
    </row>
    <row r="419" spans="2:7" x14ac:dyDescent="0.2">
      <c r="B419" s="120" t="s">
        <v>1138</v>
      </c>
      <c r="C419" s="121" t="s">
        <v>1139</v>
      </c>
      <c r="D419" s="122" t="s">
        <v>24</v>
      </c>
      <c r="E419" s="122" t="s">
        <v>3633</v>
      </c>
      <c r="F419" s="123">
        <v>4.8780487804878092E-2</v>
      </c>
      <c r="G419" s="123">
        <v>9.3023255813953445E-2</v>
      </c>
    </row>
    <row r="420" spans="2:7" x14ac:dyDescent="0.2">
      <c r="B420" s="120" t="s">
        <v>1140</v>
      </c>
      <c r="C420" s="121" t="s">
        <v>1141</v>
      </c>
      <c r="D420" s="122" t="s">
        <v>24</v>
      </c>
      <c r="E420" s="122" t="s">
        <v>3633</v>
      </c>
      <c r="F420" s="123">
        <v>-0.18072289156626495</v>
      </c>
      <c r="G420" s="123">
        <v>0.45588235294117635</v>
      </c>
    </row>
    <row r="421" spans="2:7" x14ac:dyDescent="0.2">
      <c r="B421" s="120" t="s">
        <v>1142</v>
      </c>
      <c r="C421" s="121" t="s">
        <v>1143</v>
      </c>
      <c r="D421" s="122" t="s">
        <v>3556</v>
      </c>
      <c r="E421" s="122" t="s">
        <v>3579</v>
      </c>
      <c r="F421" s="123">
        <v>0.1399416909620991</v>
      </c>
      <c r="G421" s="123">
        <v>0.1253196930946292</v>
      </c>
    </row>
    <row r="422" spans="2:7" x14ac:dyDescent="0.2">
      <c r="B422" s="120" t="s">
        <v>1144</v>
      </c>
      <c r="C422" s="121" t="s">
        <v>1145</v>
      </c>
      <c r="D422" s="122" t="s">
        <v>3576</v>
      </c>
      <c r="E422" s="122" t="s">
        <v>3626</v>
      </c>
      <c r="F422" s="123">
        <v>0.7777777777777779</v>
      </c>
      <c r="G422" s="123">
        <v>1.625</v>
      </c>
    </row>
    <row r="423" spans="2:7" x14ac:dyDescent="0.2">
      <c r="B423" s="120" t="s">
        <v>1146</v>
      </c>
      <c r="C423" s="121" t="s">
        <v>1147</v>
      </c>
      <c r="D423" s="122" t="s">
        <v>3576</v>
      </c>
      <c r="E423" s="122" t="s">
        <v>3626</v>
      </c>
      <c r="F423" s="123">
        <v>9.7560975609756184E-2</v>
      </c>
      <c r="G423" s="123">
        <v>8.3333333333332794E-3</v>
      </c>
    </row>
    <row r="424" spans="2:7" x14ac:dyDescent="0.2">
      <c r="B424" s="120" t="s">
        <v>1148</v>
      </c>
      <c r="C424" s="121" t="s">
        <v>1149</v>
      </c>
      <c r="D424" s="122" t="s">
        <v>3556</v>
      </c>
      <c r="E424" s="122" t="s">
        <v>3607</v>
      </c>
      <c r="F424" s="123">
        <v>0.15789473684210525</v>
      </c>
      <c r="G424" s="123">
        <v>0.25000000000000011</v>
      </c>
    </row>
    <row r="425" spans="2:7" x14ac:dyDescent="0.2">
      <c r="B425" s="120" t="s">
        <v>1150</v>
      </c>
      <c r="C425" s="121" t="s">
        <v>1151</v>
      </c>
      <c r="D425" s="122" t="s">
        <v>3582</v>
      </c>
      <c r="E425" s="122" t="s">
        <v>3728</v>
      </c>
      <c r="F425" s="123">
        <v>-1.9313304721030013E-2</v>
      </c>
      <c r="G425" s="123">
        <v>2.8446389496717701E-2</v>
      </c>
    </row>
    <row r="426" spans="2:7" x14ac:dyDescent="0.2">
      <c r="B426" s="120" t="s">
        <v>1152</v>
      </c>
      <c r="C426" s="121" t="s">
        <v>1153</v>
      </c>
      <c r="D426" s="122" t="s">
        <v>3558</v>
      </c>
      <c r="E426" s="122" t="s">
        <v>3729</v>
      </c>
      <c r="F426" s="123">
        <v>3.6363636363636188E-2</v>
      </c>
      <c r="G426" s="123">
        <v>0.10964912280701755</v>
      </c>
    </row>
    <row r="427" spans="2:7" x14ac:dyDescent="0.2">
      <c r="B427" s="120" t="s">
        <v>1154</v>
      </c>
      <c r="C427" s="121" t="s">
        <v>1155</v>
      </c>
      <c r="D427" s="122" t="s">
        <v>3612</v>
      </c>
      <c r="E427" s="122" t="s">
        <v>3716</v>
      </c>
      <c r="F427" s="123">
        <v>1.0793650793650795</v>
      </c>
      <c r="G427" s="123">
        <v>0.4274809160305344</v>
      </c>
    </row>
    <row r="428" spans="2:7" x14ac:dyDescent="0.2">
      <c r="B428" s="120" t="s">
        <v>1156</v>
      </c>
      <c r="C428" s="121" t="s">
        <v>1157</v>
      </c>
      <c r="D428" s="122" t="s">
        <v>3594</v>
      </c>
      <c r="E428" s="122" t="s">
        <v>3602</v>
      </c>
      <c r="F428" s="123">
        <v>-0.6919354838709677</v>
      </c>
      <c r="G428" s="123">
        <v>0.13874345549738215</v>
      </c>
    </row>
    <row r="429" spans="2:7" x14ac:dyDescent="0.2">
      <c r="B429" s="120" t="s">
        <v>1158</v>
      </c>
      <c r="C429" s="121" t="s">
        <v>1159</v>
      </c>
      <c r="D429" s="122" t="s">
        <v>3610</v>
      </c>
      <c r="E429" s="122" t="s">
        <v>3656</v>
      </c>
      <c r="F429" s="123">
        <v>-0.44444444444444442</v>
      </c>
      <c r="G429" s="123">
        <v>0.7142857142857143</v>
      </c>
    </row>
    <row r="430" spans="2:7" x14ac:dyDescent="0.2">
      <c r="B430" s="120" t="s">
        <v>1160</v>
      </c>
      <c r="C430" s="121" t="s">
        <v>1161</v>
      </c>
      <c r="D430" s="122" t="s">
        <v>3558</v>
      </c>
      <c r="E430" s="122" t="s">
        <v>3598</v>
      </c>
      <c r="F430" s="123">
        <v>4.8319327731092529E-2</v>
      </c>
      <c r="G430" s="123">
        <v>0.12024048096192377</v>
      </c>
    </row>
    <row r="431" spans="2:7" x14ac:dyDescent="0.2">
      <c r="B431" s="120" t="s">
        <v>1162</v>
      </c>
      <c r="C431" s="121" t="s">
        <v>1163</v>
      </c>
      <c r="D431" s="122" t="s">
        <v>25</v>
      </c>
      <c r="E431" s="122" t="s">
        <v>3585</v>
      </c>
      <c r="F431" s="123">
        <v>8.6357947434292801E-2</v>
      </c>
      <c r="G431" s="123">
        <v>0.1002304147465439</v>
      </c>
    </row>
    <row r="432" spans="2:7" x14ac:dyDescent="0.2">
      <c r="B432" s="120" t="s">
        <v>1164</v>
      </c>
      <c r="C432" s="121" t="s">
        <v>1165</v>
      </c>
      <c r="D432" s="122" t="s">
        <v>3576</v>
      </c>
      <c r="E432" s="122" t="s">
        <v>3619</v>
      </c>
      <c r="F432" s="123">
        <v>4.4554455445544483E-2</v>
      </c>
      <c r="G432" s="123">
        <v>3.7914691943128E-2</v>
      </c>
    </row>
    <row r="433" spans="2:7" x14ac:dyDescent="0.2">
      <c r="B433" s="120" t="s">
        <v>1166</v>
      </c>
      <c r="C433" s="121" t="s">
        <v>1167</v>
      </c>
      <c r="D433" s="122" t="s">
        <v>3556</v>
      </c>
      <c r="E433" s="122" t="s">
        <v>3614</v>
      </c>
      <c r="F433" s="123">
        <v>0.10681114551083598</v>
      </c>
      <c r="G433" s="123">
        <v>5.5944055944055987E-3</v>
      </c>
    </row>
    <row r="434" spans="2:7" x14ac:dyDescent="0.2">
      <c r="B434" s="120" t="s">
        <v>1168</v>
      </c>
      <c r="C434" s="121" t="s">
        <v>1169</v>
      </c>
      <c r="D434" s="122" t="s">
        <v>24</v>
      </c>
      <c r="E434" s="122" t="s">
        <v>3573</v>
      </c>
      <c r="F434" s="123">
        <v>7.5301204819277115E-2</v>
      </c>
      <c r="G434" s="123">
        <v>8.6834733893557448E-2</v>
      </c>
    </row>
    <row r="435" spans="2:7" x14ac:dyDescent="0.2">
      <c r="B435" s="120" t="s">
        <v>1170</v>
      </c>
      <c r="C435" s="121" t="s">
        <v>1171</v>
      </c>
      <c r="D435" s="122" t="s">
        <v>3576</v>
      </c>
      <c r="E435" s="122" t="s">
        <v>3609</v>
      </c>
      <c r="F435" s="123">
        <v>0.15070242656449548</v>
      </c>
      <c r="G435" s="123">
        <v>6.1043285238623832E-2</v>
      </c>
    </row>
    <row r="436" spans="2:7" x14ac:dyDescent="0.2">
      <c r="B436" s="120" t="s">
        <v>1172</v>
      </c>
      <c r="C436" s="121" t="s">
        <v>1173</v>
      </c>
      <c r="D436" s="122" t="s">
        <v>3563</v>
      </c>
      <c r="E436" s="122" t="s">
        <v>3677</v>
      </c>
      <c r="F436" s="123">
        <v>9.6345514950166133E-2</v>
      </c>
      <c r="G436" s="123">
        <v>0.11363636363636365</v>
      </c>
    </row>
    <row r="437" spans="2:7" x14ac:dyDescent="0.2">
      <c r="B437" s="120" t="s">
        <v>1174</v>
      </c>
      <c r="C437" s="121" t="s">
        <v>1175</v>
      </c>
      <c r="D437" s="122" t="s">
        <v>3569</v>
      </c>
      <c r="E437" s="122" t="s">
        <v>3617</v>
      </c>
      <c r="F437" s="123">
        <v>2.6856240126382293E-2</v>
      </c>
      <c r="G437" s="123">
        <v>4.7692307692307631E-2</v>
      </c>
    </row>
    <row r="438" spans="2:7" x14ac:dyDescent="0.2">
      <c r="B438" s="120" t="s">
        <v>1176</v>
      </c>
      <c r="C438" s="121" t="s">
        <v>1177</v>
      </c>
      <c r="D438" s="122" t="s">
        <v>3580</v>
      </c>
      <c r="E438" s="122" t="s">
        <v>3730</v>
      </c>
      <c r="F438" s="123">
        <v>9.1383812010443766E-2</v>
      </c>
      <c r="G438" s="123">
        <v>9.5693779904306317E-2</v>
      </c>
    </row>
    <row r="439" spans="2:7" x14ac:dyDescent="0.2">
      <c r="B439" s="120" t="s">
        <v>1178</v>
      </c>
      <c r="C439" s="121" t="s">
        <v>1179</v>
      </c>
      <c r="D439" s="122" t="s">
        <v>3679</v>
      </c>
      <c r="E439" s="122" t="s">
        <v>3680</v>
      </c>
      <c r="F439" s="123">
        <v>6.2084257206208485E-2</v>
      </c>
      <c r="G439" s="123">
        <v>0.16701461377870561</v>
      </c>
    </row>
    <row r="440" spans="2:7" x14ac:dyDescent="0.2">
      <c r="B440" s="120" t="s">
        <v>1180</v>
      </c>
      <c r="C440" s="121" t="s">
        <v>1181</v>
      </c>
      <c r="D440" s="122" t="s">
        <v>25</v>
      </c>
      <c r="E440" s="122" t="s">
        <v>3731</v>
      </c>
      <c r="F440" s="123">
        <v>-0.13294797687861271</v>
      </c>
      <c r="G440" s="123">
        <v>3.4999999999999996E-2</v>
      </c>
    </row>
    <row r="441" spans="2:7" x14ac:dyDescent="0.2">
      <c r="B441" s="120" t="s">
        <v>1182</v>
      </c>
      <c r="C441" s="121" t="s">
        <v>1183</v>
      </c>
      <c r="D441" s="122" t="s">
        <v>25</v>
      </c>
      <c r="E441" s="122" t="s">
        <v>3691</v>
      </c>
      <c r="F441" s="123">
        <v>0.76036866359447008</v>
      </c>
      <c r="G441" s="123">
        <v>6.0209424083769635E-2</v>
      </c>
    </row>
    <row r="442" spans="2:7" x14ac:dyDescent="0.2">
      <c r="B442" s="120" t="s">
        <v>1184</v>
      </c>
      <c r="C442" s="121" t="s">
        <v>1185</v>
      </c>
      <c r="D442" s="122" t="s">
        <v>25</v>
      </c>
      <c r="E442" s="122" t="s">
        <v>3681</v>
      </c>
      <c r="F442" s="123">
        <v>-0.19999999999999998</v>
      </c>
      <c r="G442" s="123">
        <v>-0.30327868852459017</v>
      </c>
    </row>
    <row r="443" spans="2:7" x14ac:dyDescent="0.2">
      <c r="B443" s="120" t="s">
        <v>1186</v>
      </c>
      <c r="C443" s="121" t="s">
        <v>1187</v>
      </c>
      <c r="D443" s="122" t="s">
        <v>3594</v>
      </c>
      <c r="E443" s="122" t="s">
        <v>3732</v>
      </c>
      <c r="F443" s="123">
        <v>4.5454545454545497E-2</v>
      </c>
      <c r="G443" s="123">
        <v>8.6956521739130391E-2</v>
      </c>
    </row>
    <row r="444" spans="2:7" x14ac:dyDescent="0.2">
      <c r="B444" s="120" t="s">
        <v>1188</v>
      </c>
      <c r="C444" s="121" t="s">
        <v>1189</v>
      </c>
      <c r="D444" s="122" t="s">
        <v>3556</v>
      </c>
      <c r="E444" s="122" t="s">
        <v>3733</v>
      </c>
      <c r="F444" s="123">
        <v>6.8965517241379379E-2</v>
      </c>
      <c r="G444" s="123">
        <v>4.8387096774193589E-2</v>
      </c>
    </row>
    <row r="445" spans="2:7" x14ac:dyDescent="0.2">
      <c r="B445" s="120" t="s">
        <v>1190</v>
      </c>
      <c r="C445" s="121" t="s">
        <v>1191</v>
      </c>
      <c r="D445" s="122" t="s">
        <v>3563</v>
      </c>
      <c r="E445" s="122" t="s">
        <v>3734</v>
      </c>
      <c r="F445" s="123">
        <v>4.6296296296296266E-2</v>
      </c>
      <c r="G445" s="123">
        <v>2.9498525073746337E-2</v>
      </c>
    </row>
    <row r="446" spans="2:7" x14ac:dyDescent="0.2">
      <c r="B446" s="120" t="s">
        <v>1192</v>
      </c>
      <c r="C446" s="121" t="s">
        <v>1193</v>
      </c>
      <c r="D446" s="122" t="s">
        <v>25</v>
      </c>
      <c r="E446" s="122" t="s">
        <v>3735</v>
      </c>
      <c r="F446" s="123">
        <v>-0.14675767918088742</v>
      </c>
      <c r="G446" s="123">
        <v>0.14800000000000005</v>
      </c>
    </row>
    <row r="447" spans="2:7" x14ac:dyDescent="0.2">
      <c r="B447" s="120" t="s">
        <v>1194</v>
      </c>
      <c r="C447" s="121" t="s">
        <v>1195</v>
      </c>
      <c r="D447" s="122" t="s">
        <v>3576</v>
      </c>
      <c r="E447" s="122" t="s">
        <v>3619</v>
      </c>
      <c r="F447" s="123">
        <v>7.5872534142640098E-3</v>
      </c>
      <c r="G447" s="123">
        <v>6.7771084337349422E-2</v>
      </c>
    </row>
    <row r="448" spans="2:7" x14ac:dyDescent="0.2">
      <c r="B448" s="120" t="s">
        <v>1196</v>
      </c>
      <c r="C448" s="121" t="s">
        <v>1197</v>
      </c>
      <c r="D448" s="122" t="s">
        <v>3563</v>
      </c>
      <c r="E448" s="122" t="s">
        <v>3677</v>
      </c>
      <c r="F448" s="123">
        <v>-7.3394495412844096E-2</v>
      </c>
      <c r="G448" s="123">
        <v>0.17029702970297037</v>
      </c>
    </row>
    <row r="449" spans="2:7" x14ac:dyDescent="0.2">
      <c r="B449" s="120" t="s">
        <v>1198</v>
      </c>
      <c r="C449" s="121" t="s">
        <v>1199</v>
      </c>
      <c r="D449" s="122" t="s">
        <v>3610</v>
      </c>
      <c r="E449" s="122" t="s">
        <v>3656</v>
      </c>
      <c r="F449" s="123">
        <v>-5.9148264984227129E-2</v>
      </c>
      <c r="G449" s="123">
        <v>2.9337803855825621E-2</v>
      </c>
    </row>
    <row r="450" spans="2:7" x14ac:dyDescent="0.2">
      <c r="B450" s="120" t="s">
        <v>1200</v>
      </c>
      <c r="C450" s="121" t="s">
        <v>1201</v>
      </c>
      <c r="D450" s="122" t="s">
        <v>3563</v>
      </c>
      <c r="E450" s="122" t="s">
        <v>3690</v>
      </c>
      <c r="F450" s="123">
        <v>7.7738515901059985E-2</v>
      </c>
      <c r="G450" s="123">
        <v>6.8852459016393433E-2</v>
      </c>
    </row>
    <row r="451" spans="2:7" x14ac:dyDescent="0.2">
      <c r="B451" s="120" t="s">
        <v>1202</v>
      </c>
      <c r="C451" s="121" t="s">
        <v>1203</v>
      </c>
      <c r="D451" s="122" t="s">
        <v>3610</v>
      </c>
      <c r="E451" s="122" t="s">
        <v>3611</v>
      </c>
      <c r="F451" s="123">
        <v>3.9772727272727307E-2</v>
      </c>
      <c r="G451" s="123">
        <v>8.7431693989070997E-2</v>
      </c>
    </row>
    <row r="452" spans="2:7" x14ac:dyDescent="0.2">
      <c r="B452" s="120" t="s">
        <v>1204</v>
      </c>
      <c r="C452" s="121" t="s">
        <v>1205</v>
      </c>
      <c r="D452" s="122" t="s">
        <v>3576</v>
      </c>
      <c r="E452" s="122" t="s">
        <v>3619</v>
      </c>
      <c r="F452" s="123">
        <v>-8.2568807339449615E-2</v>
      </c>
      <c r="G452" s="123">
        <v>8.0000000000000071E-2</v>
      </c>
    </row>
    <row r="453" spans="2:7" x14ac:dyDescent="0.2">
      <c r="B453" s="120" t="s">
        <v>1206</v>
      </c>
      <c r="C453" s="121" t="s">
        <v>1207</v>
      </c>
      <c r="D453" s="122" t="s">
        <v>3582</v>
      </c>
      <c r="E453" s="122" t="s">
        <v>3631</v>
      </c>
      <c r="F453" s="123">
        <v>1.9999999999999998</v>
      </c>
      <c r="G453" s="123">
        <v>1.4666666666666668</v>
      </c>
    </row>
    <row r="454" spans="2:7" x14ac:dyDescent="0.2">
      <c r="B454" s="120" t="s">
        <v>1208</v>
      </c>
      <c r="C454" s="121" t="s">
        <v>1209</v>
      </c>
      <c r="D454" s="122" t="s">
        <v>3610</v>
      </c>
      <c r="E454" s="122" t="s">
        <v>3611</v>
      </c>
      <c r="F454" s="123">
        <v>0.2183406113537118</v>
      </c>
      <c r="G454" s="123">
        <v>9.3189964157706015E-2</v>
      </c>
    </row>
    <row r="455" spans="2:7" x14ac:dyDescent="0.2">
      <c r="B455" s="120" t="s">
        <v>1210</v>
      </c>
      <c r="C455" s="121" t="s">
        <v>1211</v>
      </c>
      <c r="D455" s="122" t="s">
        <v>3558</v>
      </c>
      <c r="E455" s="122" t="s">
        <v>3642</v>
      </c>
      <c r="F455" s="123">
        <v>0.20454545454545459</v>
      </c>
      <c r="G455" s="123">
        <v>7.7186963979416837E-2</v>
      </c>
    </row>
    <row r="456" spans="2:7" x14ac:dyDescent="0.2">
      <c r="B456" s="120" t="s">
        <v>1212</v>
      </c>
      <c r="C456" s="121" t="s">
        <v>1213</v>
      </c>
      <c r="D456" s="122" t="s">
        <v>3556</v>
      </c>
      <c r="E456" s="122" t="s">
        <v>3614</v>
      </c>
      <c r="F456" s="123">
        <v>6.9478908188585445E-2</v>
      </c>
      <c r="G456" s="123">
        <v>5.8004640371229703E-2</v>
      </c>
    </row>
    <row r="457" spans="2:7" x14ac:dyDescent="0.2">
      <c r="B457" s="120" t="s">
        <v>1214</v>
      </c>
      <c r="C457" s="121" t="s">
        <v>1215</v>
      </c>
      <c r="D457" s="122" t="s">
        <v>3561</v>
      </c>
      <c r="E457" s="122" t="s">
        <v>3639</v>
      </c>
      <c r="F457" s="123">
        <v>0.27173913043478248</v>
      </c>
      <c r="G457" s="123">
        <v>0.16666666666666674</v>
      </c>
    </row>
    <row r="458" spans="2:7" x14ac:dyDescent="0.2">
      <c r="B458" s="120" t="s">
        <v>1216</v>
      </c>
      <c r="C458" s="121" t="s">
        <v>1217</v>
      </c>
      <c r="D458" s="122" t="s">
        <v>3563</v>
      </c>
      <c r="E458" s="122" t="s">
        <v>3690</v>
      </c>
      <c r="F458" s="123">
        <v>0.1159763313609468</v>
      </c>
      <c r="G458" s="123">
        <v>0.13255567338282079</v>
      </c>
    </row>
    <row r="459" spans="2:7" x14ac:dyDescent="0.2">
      <c r="B459" s="120" t="s">
        <v>1218</v>
      </c>
      <c r="C459" s="121" t="s">
        <v>1219</v>
      </c>
      <c r="D459" s="122" t="s">
        <v>3576</v>
      </c>
      <c r="E459" s="122" t="s">
        <v>3619</v>
      </c>
      <c r="F459" s="123">
        <v>5.9701492537313314E-2</v>
      </c>
      <c r="G459" s="123">
        <v>5.6338028169014134E-2</v>
      </c>
    </row>
    <row r="460" spans="2:7" x14ac:dyDescent="0.2">
      <c r="B460" s="120" t="s">
        <v>1220</v>
      </c>
      <c r="C460" s="121" t="s">
        <v>1221</v>
      </c>
      <c r="D460" s="122" t="s">
        <v>3563</v>
      </c>
      <c r="E460" s="122" t="s">
        <v>3690</v>
      </c>
      <c r="F460" s="123">
        <v>0.10362694300518129</v>
      </c>
      <c r="G460" s="123">
        <v>7.0422535211267637E-2</v>
      </c>
    </row>
    <row r="461" spans="2:7" x14ac:dyDescent="0.2">
      <c r="B461" s="120" t="s">
        <v>1222</v>
      </c>
      <c r="C461" s="121" t="s">
        <v>1223</v>
      </c>
      <c r="D461" s="122" t="s">
        <v>3558</v>
      </c>
      <c r="E461" s="122" t="s">
        <v>3736</v>
      </c>
      <c r="F461" s="123">
        <v>-2.3076923076923096E-2</v>
      </c>
      <c r="G461" s="123">
        <v>0.18110236220472439</v>
      </c>
    </row>
    <row r="462" spans="2:7" x14ac:dyDescent="0.2">
      <c r="B462" s="120" t="s">
        <v>1224</v>
      </c>
      <c r="C462" s="121" t="s">
        <v>1225</v>
      </c>
      <c r="D462" s="122" t="s">
        <v>3561</v>
      </c>
      <c r="E462" s="122" t="s">
        <v>3639</v>
      </c>
      <c r="F462" s="123">
        <v>4.1666666666666706E-2</v>
      </c>
      <c r="G462" s="123">
        <v>0.10285714285714283</v>
      </c>
    </row>
    <row r="463" spans="2:7" x14ac:dyDescent="0.2">
      <c r="B463" s="120" t="s">
        <v>1226</v>
      </c>
      <c r="C463" s="121" t="s">
        <v>1227</v>
      </c>
      <c r="D463" s="122" t="s">
        <v>3556</v>
      </c>
      <c r="E463" s="122" t="s">
        <v>3579</v>
      </c>
      <c r="F463" s="123">
        <v>-7.3170731707317013E-2</v>
      </c>
      <c r="G463" s="123">
        <v>0.63157894736842102</v>
      </c>
    </row>
    <row r="464" spans="2:7" x14ac:dyDescent="0.2">
      <c r="B464" s="120" t="s">
        <v>1228</v>
      </c>
      <c r="C464" s="121" t="s">
        <v>1229</v>
      </c>
      <c r="D464" s="122" t="s">
        <v>3591</v>
      </c>
      <c r="E464" s="122" t="s">
        <v>3592</v>
      </c>
      <c r="F464" s="123">
        <v>-1.426307448494451E-2</v>
      </c>
      <c r="G464" s="123">
        <v>5.3054662379421233E-2</v>
      </c>
    </row>
    <row r="465" spans="2:7" x14ac:dyDescent="0.2">
      <c r="B465" s="120" t="s">
        <v>1230</v>
      </c>
      <c r="C465" s="121" t="s">
        <v>1231</v>
      </c>
      <c r="D465" s="122" t="s">
        <v>3591</v>
      </c>
      <c r="E465" s="122" t="s">
        <v>3658</v>
      </c>
      <c r="F465" s="123">
        <v>2.8301886792452855E-2</v>
      </c>
      <c r="G465" s="123">
        <v>6.4220183486238383E-2</v>
      </c>
    </row>
    <row r="466" spans="2:7" x14ac:dyDescent="0.2">
      <c r="B466" s="120" t="s">
        <v>1232</v>
      </c>
      <c r="C466" s="121" t="s">
        <v>1233</v>
      </c>
      <c r="D466" s="122" t="s">
        <v>3591</v>
      </c>
      <c r="E466" s="122" t="s">
        <v>3592</v>
      </c>
      <c r="F466" s="123">
        <v>5.0526315789473732E-2</v>
      </c>
      <c r="G466" s="123">
        <v>3.2064128256513051E-2</v>
      </c>
    </row>
    <row r="467" spans="2:7" x14ac:dyDescent="0.2">
      <c r="B467" s="120" t="s">
        <v>1234</v>
      </c>
      <c r="C467" s="121" t="s">
        <v>1235</v>
      </c>
      <c r="D467" s="122" t="s">
        <v>3569</v>
      </c>
      <c r="E467" s="122" t="s">
        <v>3617</v>
      </c>
      <c r="F467" s="123">
        <v>0.34269662921348321</v>
      </c>
      <c r="G467" s="123">
        <v>0.11715481171548109</v>
      </c>
    </row>
    <row r="468" spans="2:7" x14ac:dyDescent="0.2">
      <c r="B468" s="120" t="s">
        <v>1236</v>
      </c>
      <c r="C468" s="121" t="s">
        <v>1237</v>
      </c>
      <c r="D468" s="122" t="s">
        <v>24</v>
      </c>
      <c r="E468" s="122" t="s">
        <v>3573</v>
      </c>
      <c r="F468" s="123">
        <v>8.0000000000000071E-2</v>
      </c>
      <c r="G468" s="123">
        <v>7.4074074074073931E-2</v>
      </c>
    </row>
    <row r="469" spans="2:7" x14ac:dyDescent="0.2">
      <c r="B469" s="120" t="s">
        <v>1238</v>
      </c>
      <c r="C469" s="121" t="s">
        <v>1239</v>
      </c>
      <c r="D469" s="122" t="s">
        <v>3612</v>
      </c>
      <c r="E469" s="122" t="s">
        <v>3627</v>
      </c>
      <c r="F469" s="123">
        <v>-0.12418300653594767</v>
      </c>
      <c r="G469" s="123">
        <v>0.85820895522388063</v>
      </c>
    </row>
    <row r="470" spans="2:7" x14ac:dyDescent="0.2">
      <c r="B470" s="120" t="s">
        <v>1240</v>
      </c>
      <c r="C470" s="121" t="s">
        <v>1241</v>
      </c>
      <c r="D470" s="122" t="s">
        <v>3576</v>
      </c>
      <c r="E470" s="122" t="s">
        <v>3619</v>
      </c>
      <c r="F470" s="123">
        <v>-7.7519379844961309E-3</v>
      </c>
      <c r="G470" s="123">
        <v>0.11718749999999993</v>
      </c>
    </row>
    <row r="471" spans="2:7" x14ac:dyDescent="0.2">
      <c r="B471" s="120" t="s">
        <v>1242</v>
      </c>
      <c r="C471" s="121" t="s">
        <v>1243</v>
      </c>
      <c r="D471" s="122" t="s">
        <v>3556</v>
      </c>
      <c r="E471" s="122" t="s">
        <v>3614</v>
      </c>
      <c r="F471" s="123">
        <v>-0.10558252427184467</v>
      </c>
      <c r="G471" s="123">
        <v>0.16417910447761194</v>
      </c>
    </row>
    <row r="472" spans="2:7" x14ac:dyDescent="0.2">
      <c r="B472" s="120" t="s">
        <v>1244</v>
      </c>
      <c r="C472" s="121" t="s">
        <v>1245</v>
      </c>
      <c r="D472" s="122" t="s">
        <v>3569</v>
      </c>
      <c r="E472" s="122" t="s">
        <v>3574</v>
      </c>
      <c r="F472" s="123">
        <v>8.8333333333333339</v>
      </c>
      <c r="G472" s="123">
        <v>0.43617021276595763</v>
      </c>
    </row>
    <row r="473" spans="2:7" x14ac:dyDescent="0.2">
      <c r="B473" s="120" t="s">
        <v>1246</v>
      </c>
      <c r="C473" s="121" t="s">
        <v>1247</v>
      </c>
      <c r="D473" s="122" t="s">
        <v>3612</v>
      </c>
      <c r="E473" s="122" t="s">
        <v>3669</v>
      </c>
      <c r="F473" s="123">
        <v>-0.17499999999999993</v>
      </c>
      <c r="G473" s="123">
        <v>0.25108225108225113</v>
      </c>
    </row>
    <row r="474" spans="2:7" x14ac:dyDescent="0.2">
      <c r="B474" s="120" t="s">
        <v>1248</v>
      </c>
      <c r="C474" s="121" t="s">
        <v>1249</v>
      </c>
      <c r="D474" s="122" t="s">
        <v>25</v>
      </c>
      <c r="E474" s="122" t="s">
        <v>3645</v>
      </c>
      <c r="F474" s="123">
        <v>0.17258883248730969</v>
      </c>
      <c r="G474" s="123">
        <v>9.0909090909090898E-2</v>
      </c>
    </row>
    <row r="475" spans="2:7" x14ac:dyDescent="0.2">
      <c r="B475" s="120" t="s">
        <v>1250</v>
      </c>
      <c r="C475" s="121" t="s">
        <v>1251</v>
      </c>
      <c r="D475" s="122" t="s">
        <v>3558</v>
      </c>
      <c r="E475" s="122" t="s">
        <v>3737</v>
      </c>
      <c r="F475" s="123">
        <v>-6.3157894736842163E-2</v>
      </c>
      <c r="G475" s="123">
        <v>-2.9962546816479429E-2</v>
      </c>
    </row>
    <row r="476" spans="2:7" x14ac:dyDescent="0.2">
      <c r="B476" s="120" t="s">
        <v>1252</v>
      </c>
      <c r="C476" s="121" t="s">
        <v>1253</v>
      </c>
      <c r="D476" s="122" t="s">
        <v>3563</v>
      </c>
      <c r="E476" s="122" t="s">
        <v>3622</v>
      </c>
      <c r="F476" s="123">
        <v>0.19565217391304357</v>
      </c>
      <c r="G476" s="123">
        <v>0.12727272727272732</v>
      </c>
    </row>
    <row r="477" spans="2:7" x14ac:dyDescent="0.2">
      <c r="B477" s="120" t="s">
        <v>1254</v>
      </c>
      <c r="C477" s="121" t="s">
        <v>1255</v>
      </c>
      <c r="D477" s="122" t="s">
        <v>3576</v>
      </c>
      <c r="E477" s="122" t="s">
        <v>3626</v>
      </c>
      <c r="F477" s="123">
        <v>-0.16740088105726877</v>
      </c>
      <c r="G477" s="123">
        <v>6.3492063492063433E-2</v>
      </c>
    </row>
    <row r="478" spans="2:7" x14ac:dyDescent="0.2">
      <c r="B478" s="120" t="s">
        <v>1256</v>
      </c>
      <c r="C478" s="121" t="s">
        <v>1257</v>
      </c>
      <c r="D478" s="122" t="s">
        <v>3612</v>
      </c>
      <c r="E478" s="122" t="s">
        <v>3696</v>
      </c>
      <c r="F478" s="123">
        <v>-2.9556650246305338E-2</v>
      </c>
      <c r="G478" s="123">
        <v>0.1624365482233503</v>
      </c>
    </row>
    <row r="479" spans="2:7" x14ac:dyDescent="0.2">
      <c r="B479" s="120" t="s">
        <v>1258</v>
      </c>
      <c r="C479" s="121" t="s">
        <v>1259</v>
      </c>
      <c r="D479" s="122" t="s">
        <v>3612</v>
      </c>
      <c r="E479" s="122" t="s">
        <v>3710</v>
      </c>
      <c r="F479" s="123">
        <v>-6.2500000000000056E-2</v>
      </c>
      <c r="G479" s="123">
        <v>1.6666666666666684E-2</v>
      </c>
    </row>
    <row r="480" spans="2:7" x14ac:dyDescent="0.2">
      <c r="B480" s="120" t="s">
        <v>1260</v>
      </c>
      <c r="C480" s="121" t="s">
        <v>1261</v>
      </c>
      <c r="D480" s="122" t="s">
        <v>3591</v>
      </c>
      <c r="E480" s="122" t="s">
        <v>3592</v>
      </c>
      <c r="F480" s="123">
        <v>-0.1764705882352941</v>
      </c>
      <c r="G480" s="123">
        <v>0.14285714285714277</v>
      </c>
    </row>
    <row r="481" spans="2:7" x14ac:dyDescent="0.2">
      <c r="B481" s="120" t="s">
        <v>1262</v>
      </c>
      <c r="C481" s="121" t="s">
        <v>1263</v>
      </c>
      <c r="D481" s="122" t="s">
        <v>3594</v>
      </c>
      <c r="E481" s="122" t="s">
        <v>3637</v>
      </c>
      <c r="F481" s="123">
        <v>0.12571428571428575</v>
      </c>
      <c r="G481" s="123">
        <v>0.11505922165820638</v>
      </c>
    </row>
    <row r="482" spans="2:7" x14ac:dyDescent="0.2">
      <c r="B482" s="120" t="s">
        <v>1264</v>
      </c>
      <c r="C482" s="121" t="s">
        <v>1265</v>
      </c>
      <c r="D482" s="122" t="s">
        <v>3591</v>
      </c>
      <c r="E482" s="122" t="s">
        <v>3592</v>
      </c>
      <c r="F482" s="123">
        <v>6.9605568445476225E-3</v>
      </c>
      <c r="G482" s="123">
        <v>5.9907834101382444E-2</v>
      </c>
    </row>
    <row r="483" spans="2:7" x14ac:dyDescent="0.2">
      <c r="B483" s="120" t="s">
        <v>1266</v>
      </c>
      <c r="C483" s="121" t="s">
        <v>1267</v>
      </c>
      <c r="D483" s="122" t="s">
        <v>25</v>
      </c>
      <c r="E483" s="122" t="s">
        <v>3659</v>
      </c>
      <c r="F483" s="123">
        <v>0.30888030888030898</v>
      </c>
      <c r="G483" s="123">
        <v>0.34808259587020651</v>
      </c>
    </row>
    <row r="484" spans="2:7" x14ac:dyDescent="0.2">
      <c r="B484" s="120" t="s">
        <v>1268</v>
      </c>
      <c r="C484" s="121" t="s">
        <v>1269</v>
      </c>
      <c r="D484" s="122" t="s">
        <v>3576</v>
      </c>
      <c r="E484" s="122" t="s">
        <v>3651</v>
      </c>
      <c r="F484" s="123">
        <v>0.26277372262773713</v>
      </c>
      <c r="G484" s="123">
        <v>0.16473988439306367</v>
      </c>
    </row>
    <row r="485" spans="2:7" x14ac:dyDescent="0.2">
      <c r="B485" s="120" t="s">
        <v>1270</v>
      </c>
      <c r="C485" s="121" t="s">
        <v>1271</v>
      </c>
      <c r="D485" s="122" t="s">
        <v>3582</v>
      </c>
      <c r="E485" s="122" t="s">
        <v>3590</v>
      </c>
      <c r="F485" s="123">
        <v>-2.2727272727272711E-2</v>
      </c>
      <c r="G485" s="123">
        <v>7.6923076923076872E-2</v>
      </c>
    </row>
    <row r="486" spans="2:7" x14ac:dyDescent="0.2">
      <c r="B486" s="120" t="s">
        <v>1272</v>
      </c>
      <c r="C486" s="121" t="s">
        <v>1273</v>
      </c>
      <c r="D486" s="122" t="s">
        <v>3576</v>
      </c>
      <c r="E486" s="122" t="s">
        <v>3619</v>
      </c>
      <c r="F486" s="123">
        <v>5.1391862955032168E-2</v>
      </c>
      <c r="G486" s="123">
        <v>5.2953156822810543E-2</v>
      </c>
    </row>
    <row r="487" spans="2:7" x14ac:dyDescent="0.2">
      <c r="B487" s="120" t="s">
        <v>1274</v>
      </c>
      <c r="C487" s="121" t="s">
        <v>1275</v>
      </c>
      <c r="D487" s="122" t="s">
        <v>3569</v>
      </c>
      <c r="E487" s="122" t="s">
        <v>3617</v>
      </c>
      <c r="F487" s="123">
        <v>5.8011049723756897E-2</v>
      </c>
      <c r="G487" s="123">
        <v>-3.3942558746736261E-2</v>
      </c>
    </row>
    <row r="488" spans="2:7" x14ac:dyDescent="0.2">
      <c r="B488" s="120" t="s">
        <v>1276</v>
      </c>
      <c r="C488" s="121" t="s">
        <v>1277</v>
      </c>
      <c r="D488" s="122" t="s">
        <v>3591</v>
      </c>
      <c r="E488" s="122" t="s">
        <v>3592</v>
      </c>
      <c r="F488" s="123">
        <v>0.12259615384615379</v>
      </c>
      <c r="G488" s="123">
        <v>-2.1413276231263309E-2</v>
      </c>
    </row>
    <row r="489" spans="2:7" x14ac:dyDescent="0.2">
      <c r="B489" s="120" t="s">
        <v>1278</v>
      </c>
      <c r="C489" s="121" t="s">
        <v>1279</v>
      </c>
      <c r="D489" s="122" t="s">
        <v>3561</v>
      </c>
      <c r="E489" s="122" t="s">
        <v>3562</v>
      </c>
      <c r="F489" s="123">
        <v>-0.19548872180451127</v>
      </c>
      <c r="G489" s="123">
        <v>0.14018691588785037</v>
      </c>
    </row>
    <row r="490" spans="2:7" x14ac:dyDescent="0.2">
      <c r="B490" s="120" t="s">
        <v>1280</v>
      </c>
      <c r="C490" s="121" t="s">
        <v>1281</v>
      </c>
      <c r="D490" s="122" t="s">
        <v>3569</v>
      </c>
      <c r="E490" s="122" t="s">
        <v>3574</v>
      </c>
      <c r="F490" s="123">
        <v>0.22857142857142862</v>
      </c>
      <c r="G490" s="123">
        <v>0.186046511627907</v>
      </c>
    </row>
    <row r="491" spans="2:7" x14ac:dyDescent="0.2">
      <c r="B491" s="120" t="s">
        <v>1282</v>
      </c>
      <c r="C491" s="121" t="s">
        <v>1283</v>
      </c>
      <c r="D491" s="122" t="s">
        <v>24</v>
      </c>
      <c r="E491" s="122" t="s">
        <v>3713</v>
      </c>
      <c r="F491" s="123">
        <v>0.14531548757170168</v>
      </c>
      <c r="G491" s="123">
        <v>0.11018363939899835</v>
      </c>
    </row>
    <row r="492" spans="2:7" x14ac:dyDescent="0.2">
      <c r="B492" s="120" t="s">
        <v>1284</v>
      </c>
      <c r="C492" s="121" t="s">
        <v>1285</v>
      </c>
      <c r="D492" s="122" t="s">
        <v>3569</v>
      </c>
      <c r="E492" s="122" t="s">
        <v>3617</v>
      </c>
      <c r="F492" s="123">
        <v>-6.0869565217391168E-2</v>
      </c>
      <c r="G492" s="123">
        <v>0.15740740740740733</v>
      </c>
    </row>
    <row r="493" spans="2:7" x14ac:dyDescent="0.2">
      <c r="B493" s="120" t="s">
        <v>1286</v>
      </c>
      <c r="C493" s="121" t="s">
        <v>1287</v>
      </c>
      <c r="D493" s="122" t="s">
        <v>3576</v>
      </c>
      <c r="E493" s="122" t="s">
        <v>3577</v>
      </c>
      <c r="F493" s="123">
        <v>8.2474226804123793E-2</v>
      </c>
      <c r="G493" s="123">
        <v>6.6666666666666721E-2</v>
      </c>
    </row>
    <row r="494" spans="2:7" x14ac:dyDescent="0.2">
      <c r="B494" s="120" t="s">
        <v>1288</v>
      </c>
      <c r="C494" s="121" t="s">
        <v>1289</v>
      </c>
      <c r="D494" s="122" t="s">
        <v>25</v>
      </c>
      <c r="E494" s="122" t="s">
        <v>3738</v>
      </c>
      <c r="F494" s="123">
        <v>-8.579088471849862E-2</v>
      </c>
      <c r="G494" s="123">
        <v>0.14662756598240467</v>
      </c>
    </row>
    <row r="495" spans="2:7" x14ac:dyDescent="0.2">
      <c r="B495" s="120" t="s">
        <v>1290</v>
      </c>
      <c r="C495" s="121" t="s">
        <v>1291</v>
      </c>
      <c r="D495" s="122" t="s">
        <v>3580</v>
      </c>
      <c r="E495" s="122" t="s">
        <v>3692</v>
      </c>
      <c r="F495" s="123">
        <v>0.16598360655737715</v>
      </c>
      <c r="G495" s="123">
        <v>4.5694200351493811E-2</v>
      </c>
    </row>
    <row r="496" spans="2:7" x14ac:dyDescent="0.2">
      <c r="B496" s="120" t="s">
        <v>1292</v>
      </c>
      <c r="C496" s="121" t="s">
        <v>1293</v>
      </c>
      <c r="D496" s="122" t="s">
        <v>3594</v>
      </c>
      <c r="E496" s="122" t="s">
        <v>3602</v>
      </c>
      <c r="F496" s="123">
        <v>-8.7008343265792654E-2</v>
      </c>
      <c r="G496" s="123">
        <v>0.13838120104438648</v>
      </c>
    </row>
    <row r="497" spans="2:7" x14ac:dyDescent="0.2">
      <c r="B497" s="120" t="s">
        <v>1294</v>
      </c>
      <c r="C497" s="121" t="s">
        <v>1295</v>
      </c>
      <c r="D497" s="122" t="s">
        <v>3558</v>
      </c>
      <c r="E497" s="122" t="s">
        <v>3568</v>
      </c>
      <c r="F497" s="123">
        <v>0.1410658307210032</v>
      </c>
      <c r="G497" s="123">
        <v>6.8681318681318673E-2</v>
      </c>
    </row>
    <row r="498" spans="2:7" x14ac:dyDescent="0.2">
      <c r="B498" s="120" t="s">
        <v>1296</v>
      </c>
      <c r="C498" s="121" t="s">
        <v>1297</v>
      </c>
      <c r="D498" s="122" t="s">
        <v>3612</v>
      </c>
      <c r="E498" s="122" t="s">
        <v>3716</v>
      </c>
      <c r="F498" s="123">
        <v>-1.9512195121951237E-2</v>
      </c>
      <c r="G498" s="123">
        <v>-4.477611940298501E-2</v>
      </c>
    </row>
    <row r="499" spans="2:7" x14ac:dyDescent="0.2">
      <c r="B499" s="120" t="s">
        <v>1298</v>
      </c>
      <c r="C499" s="121" t="s">
        <v>1299</v>
      </c>
      <c r="D499" s="122" t="s">
        <v>3612</v>
      </c>
      <c r="E499" s="122" t="s">
        <v>3670</v>
      </c>
      <c r="F499" s="123">
        <v>3.9603960396039639E-2</v>
      </c>
      <c r="G499" s="123">
        <v>-1.9047619047619063E-2</v>
      </c>
    </row>
    <row r="500" spans="2:7" x14ac:dyDescent="0.2">
      <c r="B500" s="120" t="s">
        <v>1300</v>
      </c>
      <c r="C500" s="121" t="s">
        <v>1301</v>
      </c>
      <c r="D500" s="122" t="s">
        <v>3612</v>
      </c>
      <c r="E500" s="122" t="s">
        <v>3726</v>
      </c>
      <c r="F500" s="123">
        <v>0.10389610389610385</v>
      </c>
      <c r="G500" s="123">
        <v>0.15294117647058825</v>
      </c>
    </row>
    <row r="501" spans="2:7" x14ac:dyDescent="0.2">
      <c r="B501" s="120" t="s">
        <v>1302</v>
      </c>
      <c r="C501" s="121" t="s">
        <v>1303</v>
      </c>
      <c r="D501" s="122" t="s">
        <v>3612</v>
      </c>
      <c r="E501" s="122" t="s">
        <v>3739</v>
      </c>
      <c r="F501" s="123">
        <v>-1.2619047619047621</v>
      </c>
      <c r="G501" s="123">
        <v>4.1818181818181817</v>
      </c>
    </row>
    <row r="502" spans="2:7" x14ac:dyDescent="0.2">
      <c r="B502" s="120" t="s">
        <v>1304</v>
      </c>
      <c r="C502" s="121" t="s">
        <v>1305</v>
      </c>
      <c r="D502" s="122" t="s">
        <v>3612</v>
      </c>
      <c r="E502" s="122" t="s">
        <v>3740</v>
      </c>
      <c r="F502" s="123">
        <v>6.1818181818181825</v>
      </c>
      <c r="G502" s="123">
        <v>0.25316455696202522</v>
      </c>
    </row>
    <row r="503" spans="2:7" x14ac:dyDescent="0.2">
      <c r="B503" s="120" t="s">
        <v>1306</v>
      </c>
      <c r="C503" s="121" t="s">
        <v>1307</v>
      </c>
      <c r="D503" s="122" t="s">
        <v>3556</v>
      </c>
      <c r="E503" s="122" t="s">
        <v>3741</v>
      </c>
      <c r="F503" s="123">
        <v>1.5957446808510654E-2</v>
      </c>
      <c r="G503" s="123">
        <v>0.18848167539267022</v>
      </c>
    </row>
    <row r="504" spans="2:7" x14ac:dyDescent="0.2">
      <c r="B504" s="120" t="s">
        <v>1308</v>
      </c>
      <c r="C504" s="121" t="s">
        <v>1309</v>
      </c>
      <c r="D504" s="122" t="s">
        <v>3582</v>
      </c>
      <c r="E504" s="122" t="s">
        <v>3590</v>
      </c>
      <c r="F504" s="123">
        <v>0.10994764397905769</v>
      </c>
      <c r="G504" s="123">
        <v>0.18867924528301883</v>
      </c>
    </row>
    <row r="505" spans="2:7" x14ac:dyDescent="0.2">
      <c r="B505" s="120" t="s">
        <v>1310</v>
      </c>
      <c r="C505" s="121" t="s">
        <v>1311</v>
      </c>
      <c r="D505" s="122" t="s">
        <v>3612</v>
      </c>
      <c r="E505" s="122" t="s">
        <v>3627</v>
      </c>
      <c r="F505" s="123">
        <v>-0.11816578483245149</v>
      </c>
      <c r="G505" s="123">
        <v>4.1999999999999996E-2</v>
      </c>
    </row>
    <row r="506" spans="2:7" x14ac:dyDescent="0.2">
      <c r="B506" s="120" t="s">
        <v>1312</v>
      </c>
      <c r="C506" s="121" t="s">
        <v>1313</v>
      </c>
      <c r="D506" s="122" t="s">
        <v>3591</v>
      </c>
      <c r="E506" s="122" t="s">
        <v>3592</v>
      </c>
      <c r="F506" s="123">
        <v>4.0000000000000036E-2</v>
      </c>
      <c r="G506" s="123">
        <v>2.5641025641025664E-2</v>
      </c>
    </row>
    <row r="507" spans="2:7" x14ac:dyDescent="0.2">
      <c r="B507" s="120" t="s">
        <v>1314</v>
      </c>
      <c r="C507" s="121" t="s">
        <v>1315</v>
      </c>
      <c r="D507" s="122" t="s">
        <v>3556</v>
      </c>
      <c r="E507" s="122" t="s">
        <v>3614</v>
      </c>
      <c r="F507" s="123">
        <v>0.23023255813953494</v>
      </c>
      <c r="G507" s="123">
        <v>0.20982986767485828</v>
      </c>
    </row>
    <row r="508" spans="2:7" x14ac:dyDescent="0.2">
      <c r="B508" s="120" t="s">
        <v>1316</v>
      </c>
      <c r="C508" s="121" t="s">
        <v>1317</v>
      </c>
      <c r="D508" s="122" t="s">
        <v>3612</v>
      </c>
      <c r="E508" s="122" t="s">
        <v>3670</v>
      </c>
      <c r="F508" s="123">
        <v>0.19125683060109294</v>
      </c>
      <c r="G508" s="123">
        <v>3.2110091743119192E-2</v>
      </c>
    </row>
    <row r="509" spans="2:7" x14ac:dyDescent="0.2">
      <c r="B509" s="120" t="s">
        <v>1318</v>
      </c>
      <c r="C509" s="121" t="s">
        <v>1319</v>
      </c>
      <c r="D509" s="122" t="s">
        <v>3576</v>
      </c>
      <c r="E509" s="122" t="s">
        <v>3584</v>
      </c>
      <c r="F509" s="123">
        <v>-0.11037891268533771</v>
      </c>
      <c r="G509" s="123">
        <v>4.0740740740740695E-2</v>
      </c>
    </row>
    <row r="510" spans="2:7" x14ac:dyDescent="0.2">
      <c r="B510" s="120" t="s">
        <v>1320</v>
      </c>
      <c r="C510" s="121" t="s">
        <v>1321</v>
      </c>
      <c r="D510" s="122" t="s">
        <v>3576</v>
      </c>
      <c r="E510" s="122" t="s">
        <v>3619</v>
      </c>
      <c r="F510" s="123">
        <v>0.15624999999999997</v>
      </c>
      <c r="G510" s="123">
        <v>-0.21621621621621626</v>
      </c>
    </row>
    <row r="511" spans="2:7" x14ac:dyDescent="0.2">
      <c r="B511" s="120" t="s">
        <v>1322</v>
      </c>
      <c r="C511" s="121" t="s">
        <v>1323</v>
      </c>
      <c r="D511" s="122" t="s">
        <v>3576</v>
      </c>
      <c r="E511" s="122" t="s">
        <v>3651</v>
      </c>
      <c r="F511" s="123">
        <v>9.8191214470284213E-2</v>
      </c>
      <c r="G511" s="123">
        <v>8.9411764705882329E-2</v>
      </c>
    </row>
    <row r="512" spans="2:7" x14ac:dyDescent="0.2">
      <c r="B512" s="120" t="s">
        <v>1324</v>
      </c>
      <c r="C512" s="121" t="s">
        <v>1325</v>
      </c>
      <c r="D512" s="122" t="s">
        <v>3576</v>
      </c>
      <c r="E512" s="122" t="s">
        <v>3584</v>
      </c>
      <c r="F512" s="123">
        <v>0.11339198435972631</v>
      </c>
      <c r="G512" s="123">
        <v>8.8235294117646967E-2</v>
      </c>
    </row>
    <row r="513" spans="2:7" x14ac:dyDescent="0.2">
      <c r="B513" s="120" t="s">
        <v>1326</v>
      </c>
      <c r="C513" s="121" t="s">
        <v>1327</v>
      </c>
      <c r="D513" s="122" t="s">
        <v>3612</v>
      </c>
      <c r="E513" s="122" t="s">
        <v>3716</v>
      </c>
      <c r="F513" s="123">
        <v>-0.21880341880341872</v>
      </c>
      <c r="G513" s="123">
        <v>-4.8140043763676282E-2</v>
      </c>
    </row>
    <row r="514" spans="2:7" x14ac:dyDescent="0.2">
      <c r="B514" s="120" t="s">
        <v>1328</v>
      </c>
      <c r="C514" s="121" t="s">
        <v>1329</v>
      </c>
      <c r="D514" s="122" t="s">
        <v>3612</v>
      </c>
      <c r="E514" s="122" t="s">
        <v>3726</v>
      </c>
      <c r="F514" s="123">
        <v>-0.24154589371980667</v>
      </c>
      <c r="G514" s="123">
        <v>0.11464968152866238</v>
      </c>
    </row>
    <row r="515" spans="2:7" x14ac:dyDescent="0.2">
      <c r="B515" s="120" t="s">
        <v>1330</v>
      </c>
      <c r="C515" s="121" t="s">
        <v>1331</v>
      </c>
      <c r="D515" s="122" t="s">
        <v>3576</v>
      </c>
      <c r="E515" s="122" t="s">
        <v>3577</v>
      </c>
      <c r="F515" s="123">
        <v>5.5045871559633079E-2</v>
      </c>
      <c r="G515" s="123">
        <v>4.0579710144927443E-2</v>
      </c>
    </row>
    <row r="516" spans="2:7" x14ac:dyDescent="0.2">
      <c r="B516" s="120" t="s">
        <v>1332</v>
      </c>
      <c r="C516" s="121" t="s">
        <v>1333</v>
      </c>
      <c r="D516" s="122" t="s">
        <v>3612</v>
      </c>
      <c r="E516" s="122" t="s">
        <v>3627</v>
      </c>
      <c r="F516" s="123">
        <v>-0.70229007633587781</v>
      </c>
      <c r="G516" s="123">
        <v>-0.88461538461538469</v>
      </c>
    </row>
    <row r="517" spans="2:7" x14ac:dyDescent="0.2">
      <c r="B517" s="120" t="s">
        <v>1334</v>
      </c>
      <c r="C517" s="121" t="s">
        <v>1335</v>
      </c>
      <c r="D517" s="122" t="s">
        <v>25</v>
      </c>
      <c r="E517" s="122" t="s">
        <v>3702</v>
      </c>
      <c r="F517" s="123">
        <v>7.4074074074074001E-2</v>
      </c>
      <c r="G517" s="123">
        <v>0.3735632183908047</v>
      </c>
    </row>
    <row r="518" spans="2:7" x14ac:dyDescent="0.2">
      <c r="B518" s="120" t="s">
        <v>1336</v>
      </c>
      <c r="C518" s="121" t="s">
        <v>1337</v>
      </c>
      <c r="D518" s="122" t="s">
        <v>3556</v>
      </c>
      <c r="E518" s="122" t="s">
        <v>3742</v>
      </c>
      <c r="F518" s="123">
        <v>0.43999999999999995</v>
      </c>
      <c r="G518" s="123">
        <v>0.47222222222222238</v>
      </c>
    </row>
    <row r="519" spans="2:7" x14ac:dyDescent="0.2">
      <c r="B519" s="120" t="s">
        <v>1338</v>
      </c>
      <c r="C519" s="121" t="s">
        <v>1339</v>
      </c>
      <c r="D519" s="122" t="s">
        <v>3605</v>
      </c>
      <c r="E519" s="122" t="s">
        <v>3653</v>
      </c>
      <c r="F519" s="123">
        <v>-1.1627906976744187</v>
      </c>
      <c r="G519" s="123">
        <v>1.8817204301075268</v>
      </c>
    </row>
    <row r="520" spans="2:7" x14ac:dyDescent="0.2">
      <c r="B520" s="120" t="s">
        <v>1340</v>
      </c>
      <c r="C520" s="121" t="s">
        <v>1341</v>
      </c>
      <c r="D520" s="122" t="s">
        <v>3591</v>
      </c>
      <c r="E520" s="122" t="s">
        <v>3592</v>
      </c>
      <c r="F520" s="123">
        <v>4.8929663608562733E-2</v>
      </c>
      <c r="G520" s="123">
        <v>6.1224489795918352E-2</v>
      </c>
    </row>
    <row r="521" spans="2:7" x14ac:dyDescent="0.2">
      <c r="B521" s="120" t="s">
        <v>1342</v>
      </c>
      <c r="C521" s="121" t="s">
        <v>1343</v>
      </c>
      <c r="D521" s="122" t="s">
        <v>3569</v>
      </c>
      <c r="E521" s="122" t="s">
        <v>3722</v>
      </c>
      <c r="F521" s="123">
        <v>0.12244897959183684</v>
      </c>
      <c r="G521" s="123">
        <v>9.0909090909090974E-3</v>
      </c>
    </row>
    <row r="522" spans="2:7" x14ac:dyDescent="0.2">
      <c r="B522" s="120" t="s">
        <v>1344</v>
      </c>
      <c r="C522" s="121" t="s">
        <v>1345</v>
      </c>
      <c r="D522" s="122" t="s">
        <v>3576</v>
      </c>
      <c r="E522" s="122" t="s">
        <v>3743</v>
      </c>
      <c r="F522" s="123">
        <v>0.18655097613882848</v>
      </c>
      <c r="G522" s="123">
        <v>7.3126142595978133E-2</v>
      </c>
    </row>
    <row r="523" spans="2:7" x14ac:dyDescent="0.2">
      <c r="B523" s="120" t="s">
        <v>1346</v>
      </c>
      <c r="C523" s="121" t="s">
        <v>1347</v>
      </c>
      <c r="D523" s="122" t="s">
        <v>3576</v>
      </c>
      <c r="E523" s="122" t="s">
        <v>3577</v>
      </c>
      <c r="F523" s="123">
        <v>5.9665871121718374E-2</v>
      </c>
      <c r="G523" s="123">
        <v>6.0810810810810849E-2</v>
      </c>
    </row>
    <row r="524" spans="2:7" x14ac:dyDescent="0.2">
      <c r="B524" s="120" t="s">
        <v>1348</v>
      </c>
      <c r="C524" s="121" t="s">
        <v>1349</v>
      </c>
      <c r="D524" s="122" t="s">
        <v>3582</v>
      </c>
      <c r="E524" s="122" t="s">
        <v>3631</v>
      </c>
      <c r="F524" s="123">
        <v>-0.16216216216216209</v>
      </c>
      <c r="G524" s="123">
        <v>-2.3255813953488393E-2</v>
      </c>
    </row>
    <row r="525" spans="2:7" x14ac:dyDescent="0.2">
      <c r="B525" s="120" t="s">
        <v>1350</v>
      </c>
      <c r="C525" s="121" t="s">
        <v>1351</v>
      </c>
      <c r="D525" s="122" t="s">
        <v>3612</v>
      </c>
      <c r="E525" s="122" t="s">
        <v>3670</v>
      </c>
      <c r="F525" s="123">
        <v>-0.25139664804469269</v>
      </c>
      <c r="G525" s="123">
        <v>7.4626865671641687E-2</v>
      </c>
    </row>
    <row r="526" spans="2:7" x14ac:dyDescent="0.2">
      <c r="B526" s="120" t="s">
        <v>1352</v>
      </c>
      <c r="C526" s="121" t="s">
        <v>1353</v>
      </c>
      <c r="D526" s="122" t="s">
        <v>3576</v>
      </c>
      <c r="E526" s="122" t="s">
        <v>3620</v>
      </c>
      <c r="F526" s="123">
        <v>5.1679586563307539E-2</v>
      </c>
      <c r="G526" s="123">
        <v>7.3710073710073667E-2</v>
      </c>
    </row>
    <row r="527" spans="2:7" x14ac:dyDescent="0.2">
      <c r="B527" s="120" t="s">
        <v>1354</v>
      </c>
      <c r="C527" s="121" t="s">
        <v>1355</v>
      </c>
      <c r="D527" s="122" t="s">
        <v>3558</v>
      </c>
      <c r="E527" s="122" t="s">
        <v>3568</v>
      </c>
      <c r="F527" s="123">
        <v>9.5327102803738448E-2</v>
      </c>
      <c r="G527" s="123">
        <v>5.8020477815699634E-2</v>
      </c>
    </row>
    <row r="528" spans="2:7" x14ac:dyDescent="0.2">
      <c r="B528" s="120" t="s">
        <v>1356</v>
      </c>
      <c r="C528" s="121" t="s">
        <v>1357</v>
      </c>
      <c r="D528" s="122" t="s">
        <v>3591</v>
      </c>
      <c r="E528" s="122" t="s">
        <v>3592</v>
      </c>
      <c r="F528" s="123">
        <v>-0.26433566433566441</v>
      </c>
      <c r="G528" s="123">
        <v>5.8935361216730132E-2</v>
      </c>
    </row>
    <row r="529" spans="2:7" x14ac:dyDescent="0.2">
      <c r="B529" s="120" t="s">
        <v>1358</v>
      </c>
      <c r="C529" s="121" t="s">
        <v>1359</v>
      </c>
      <c r="D529" s="122" t="s">
        <v>3612</v>
      </c>
      <c r="E529" s="122" t="s">
        <v>3613</v>
      </c>
      <c r="F529" s="123">
        <v>0.19008264462809915</v>
      </c>
      <c r="G529" s="123">
        <v>0.22222222222222227</v>
      </c>
    </row>
    <row r="530" spans="2:7" x14ac:dyDescent="0.2">
      <c r="B530" s="120" t="s">
        <v>1360</v>
      </c>
      <c r="C530" s="121" t="s">
        <v>1361</v>
      </c>
      <c r="D530" s="122" t="s">
        <v>3556</v>
      </c>
      <c r="E530" s="122" t="s">
        <v>3607</v>
      </c>
      <c r="F530" s="123">
        <v>-6.1728395061728447E-2</v>
      </c>
      <c r="G530" s="123">
        <v>0.36842105263157898</v>
      </c>
    </row>
    <row r="531" spans="2:7" x14ac:dyDescent="0.2">
      <c r="B531" s="120" t="s">
        <v>1362</v>
      </c>
      <c r="C531" s="121" t="s">
        <v>1363</v>
      </c>
      <c r="D531" s="122" t="s">
        <v>3556</v>
      </c>
      <c r="E531" s="122" t="s">
        <v>3744</v>
      </c>
      <c r="F531" s="123">
        <v>5.9523809523809576E-2</v>
      </c>
      <c r="G531" s="123">
        <v>6.1797752808988693E-2</v>
      </c>
    </row>
    <row r="532" spans="2:7" x14ac:dyDescent="0.2">
      <c r="B532" s="120" t="s">
        <v>1364</v>
      </c>
      <c r="C532" s="121" t="s">
        <v>11</v>
      </c>
      <c r="D532" s="122" t="s">
        <v>3576</v>
      </c>
      <c r="E532" s="122" t="s">
        <v>3604</v>
      </c>
      <c r="F532" s="123">
        <v>6.2499999999999917E-2</v>
      </c>
      <c r="G532" s="123">
        <v>4.1176470588235335E-2</v>
      </c>
    </row>
    <row r="533" spans="2:7" x14ac:dyDescent="0.2">
      <c r="B533" s="120" t="s">
        <v>1365</v>
      </c>
      <c r="C533" s="121" t="s">
        <v>1366</v>
      </c>
      <c r="D533" s="122" t="s">
        <v>3576</v>
      </c>
      <c r="E533" s="122" t="s">
        <v>3620</v>
      </c>
      <c r="F533" s="123">
        <v>0.17527173913043478</v>
      </c>
      <c r="G533" s="123">
        <v>5.2023121387283155E-2</v>
      </c>
    </row>
    <row r="534" spans="2:7" x14ac:dyDescent="0.2">
      <c r="B534" s="120" t="s">
        <v>1367</v>
      </c>
      <c r="C534" s="121" t="s">
        <v>1368</v>
      </c>
      <c r="D534" s="122" t="s">
        <v>3612</v>
      </c>
      <c r="E534" s="122" t="s">
        <v>3726</v>
      </c>
      <c r="F534" s="123">
        <v>0.15662650602409625</v>
      </c>
      <c r="G534" s="123">
        <v>0.10069444444444446</v>
      </c>
    </row>
    <row r="535" spans="2:7" x14ac:dyDescent="0.2">
      <c r="B535" s="120" t="s">
        <v>1369</v>
      </c>
      <c r="C535" s="121" t="s">
        <v>1370</v>
      </c>
      <c r="D535" s="122" t="s">
        <v>3569</v>
      </c>
      <c r="E535" s="122" t="s">
        <v>3722</v>
      </c>
      <c r="F535" s="123">
        <v>-0.48</v>
      </c>
      <c r="G535" s="123">
        <v>0.55769230769230771</v>
      </c>
    </row>
    <row r="536" spans="2:7" x14ac:dyDescent="0.2">
      <c r="B536" s="120" t="s">
        <v>1371</v>
      </c>
      <c r="C536" s="121" t="s">
        <v>1372</v>
      </c>
      <c r="D536" s="122" t="s">
        <v>3569</v>
      </c>
      <c r="E536" s="122" t="s">
        <v>3574</v>
      </c>
      <c r="F536" s="123">
        <v>0.13617021276595737</v>
      </c>
      <c r="G536" s="123">
        <v>0.10674157303370792</v>
      </c>
    </row>
    <row r="537" spans="2:7" x14ac:dyDescent="0.2">
      <c r="B537" s="120" t="s">
        <v>1373</v>
      </c>
      <c r="C537" s="121" t="s">
        <v>1374</v>
      </c>
      <c r="D537" s="122" t="s">
        <v>3576</v>
      </c>
      <c r="E537" s="122" t="s">
        <v>3667</v>
      </c>
      <c r="F537" s="123">
        <v>-3.1249999999999889E-2</v>
      </c>
      <c r="G537" s="123">
        <v>6.881720430107513E-2</v>
      </c>
    </row>
    <row r="538" spans="2:7" x14ac:dyDescent="0.2">
      <c r="B538" s="120" t="s">
        <v>1375</v>
      </c>
      <c r="C538" s="121" t="s">
        <v>1376</v>
      </c>
      <c r="D538" s="122" t="s">
        <v>3569</v>
      </c>
      <c r="E538" s="122" t="s">
        <v>3575</v>
      </c>
      <c r="F538" s="123">
        <v>-0.16778523489932887</v>
      </c>
      <c r="G538" s="123">
        <v>0.60919540229885061</v>
      </c>
    </row>
    <row r="539" spans="2:7" x14ac:dyDescent="0.2">
      <c r="B539" s="120" t="s">
        <v>1377</v>
      </c>
      <c r="C539" s="121" t="s">
        <v>1378</v>
      </c>
      <c r="D539" s="122" t="s">
        <v>3591</v>
      </c>
      <c r="E539" s="122" t="s">
        <v>3592</v>
      </c>
      <c r="F539" s="123">
        <v>6.4102564102564161E-3</v>
      </c>
      <c r="G539" s="123">
        <v>-6.3694267515923622E-3</v>
      </c>
    </row>
    <row r="540" spans="2:7" x14ac:dyDescent="0.2">
      <c r="B540" s="120" t="s">
        <v>1379</v>
      </c>
      <c r="C540" s="121" t="s">
        <v>1380</v>
      </c>
      <c r="D540" s="122" t="s">
        <v>3569</v>
      </c>
      <c r="E540" s="122" t="s">
        <v>3575</v>
      </c>
      <c r="F540" s="123">
        <v>-0.29230769230769232</v>
      </c>
      <c r="G540" s="123">
        <v>0.18478260869565222</v>
      </c>
    </row>
    <row r="541" spans="2:7" x14ac:dyDescent="0.2">
      <c r="B541" s="120" t="s">
        <v>1381</v>
      </c>
      <c r="C541" s="121" t="s">
        <v>1382</v>
      </c>
      <c r="D541" s="122" t="s">
        <v>3580</v>
      </c>
      <c r="E541" s="122" t="s">
        <v>3601</v>
      </c>
      <c r="F541" s="123">
        <v>3.7773359840954174E-2</v>
      </c>
      <c r="G541" s="123">
        <v>0.14367816091954025</v>
      </c>
    </row>
    <row r="542" spans="2:7" x14ac:dyDescent="0.2">
      <c r="B542" s="120" t="s">
        <v>1383</v>
      </c>
      <c r="C542" s="121" t="s">
        <v>1384</v>
      </c>
      <c r="D542" s="122" t="s">
        <v>3561</v>
      </c>
      <c r="E542" s="122" t="s">
        <v>3639</v>
      </c>
      <c r="F542" s="123">
        <v>6.9696969696969702E-2</v>
      </c>
      <c r="G542" s="123">
        <v>6.5155807365439092E-2</v>
      </c>
    </row>
    <row r="543" spans="2:7" x14ac:dyDescent="0.2">
      <c r="B543" s="120" t="s">
        <v>1385</v>
      </c>
      <c r="C543" s="121" t="s">
        <v>1386</v>
      </c>
      <c r="D543" s="122" t="s">
        <v>3563</v>
      </c>
      <c r="E543" s="122" t="s">
        <v>3622</v>
      </c>
      <c r="F543" s="123">
        <v>0.23321554770318026</v>
      </c>
      <c r="G543" s="123">
        <v>0.18051575931232086</v>
      </c>
    </row>
    <row r="544" spans="2:7" x14ac:dyDescent="0.2">
      <c r="B544" s="120" t="s">
        <v>1387</v>
      </c>
      <c r="C544" s="121" t="s">
        <v>1388</v>
      </c>
      <c r="D544" s="122" t="s">
        <v>3582</v>
      </c>
      <c r="E544" s="122" t="s">
        <v>3664</v>
      </c>
      <c r="F544" s="123">
        <v>5.0000000000000044E-2</v>
      </c>
      <c r="G544" s="123">
        <v>0.1238095238095237</v>
      </c>
    </row>
    <row r="545" spans="2:7" x14ac:dyDescent="0.2">
      <c r="B545" s="120" t="s">
        <v>1389</v>
      </c>
      <c r="C545" s="121" t="s">
        <v>1390</v>
      </c>
      <c r="D545" s="122" t="s">
        <v>3582</v>
      </c>
      <c r="E545" s="122" t="s">
        <v>3583</v>
      </c>
      <c r="F545" s="123">
        <v>0.10526315789473677</v>
      </c>
      <c r="G545" s="123">
        <v>6.8027210884353803E-2</v>
      </c>
    </row>
    <row r="546" spans="2:7" x14ac:dyDescent="0.2">
      <c r="B546" s="120" t="s">
        <v>1391</v>
      </c>
      <c r="C546" s="121" t="s">
        <v>1392</v>
      </c>
      <c r="D546" s="122" t="s">
        <v>3576</v>
      </c>
      <c r="E546" s="122" t="s">
        <v>3619</v>
      </c>
      <c r="F546" s="123">
        <v>4.7413793103448419E-2</v>
      </c>
      <c r="G546" s="123">
        <v>3.9094650205761215E-2</v>
      </c>
    </row>
    <row r="547" spans="2:7" x14ac:dyDescent="0.2">
      <c r="B547" s="120" t="s">
        <v>1393</v>
      </c>
      <c r="C547" s="121" t="s">
        <v>1394</v>
      </c>
      <c r="D547" s="122" t="s">
        <v>3610</v>
      </c>
      <c r="E547" s="122" t="s">
        <v>3745</v>
      </c>
      <c r="F547" s="123">
        <v>-7.6923076923076988E-3</v>
      </c>
      <c r="G547" s="123">
        <v>3.1007751937984523E-2</v>
      </c>
    </row>
    <row r="548" spans="2:7" x14ac:dyDescent="0.2">
      <c r="B548" s="120" t="s">
        <v>1395</v>
      </c>
      <c r="C548" s="121" t="s">
        <v>1396</v>
      </c>
      <c r="D548" s="122" t="s">
        <v>3576</v>
      </c>
      <c r="E548" s="122" t="s">
        <v>3578</v>
      </c>
      <c r="F548" s="123">
        <v>0.12300683371298407</v>
      </c>
      <c r="G548" s="123">
        <v>1.825557809330626E-2</v>
      </c>
    </row>
    <row r="549" spans="2:7" x14ac:dyDescent="0.2">
      <c r="B549" s="120" t="s">
        <v>1397</v>
      </c>
      <c r="C549" s="121" t="s">
        <v>1398</v>
      </c>
      <c r="D549" s="122" t="s">
        <v>3612</v>
      </c>
      <c r="E549" s="122" t="s">
        <v>3627</v>
      </c>
      <c r="F549" s="123">
        <v>8.8549618320610701E-2</v>
      </c>
      <c r="G549" s="123">
        <v>0.51051893408134641</v>
      </c>
    </row>
    <row r="550" spans="2:7" x14ac:dyDescent="0.2">
      <c r="B550" s="120" t="s">
        <v>1399</v>
      </c>
      <c r="C550" s="121" t="s">
        <v>1400</v>
      </c>
      <c r="D550" s="122" t="s">
        <v>3558</v>
      </c>
      <c r="E550" s="122" t="s">
        <v>3746</v>
      </c>
      <c r="F550" s="123">
        <v>-0.36764705882352949</v>
      </c>
      <c r="G550" s="123">
        <v>0.2325581395348838</v>
      </c>
    </row>
    <row r="551" spans="2:7" x14ac:dyDescent="0.2">
      <c r="B551" s="120" t="s">
        <v>1401</v>
      </c>
      <c r="C551" s="121" t="s">
        <v>1402</v>
      </c>
      <c r="D551" s="122" t="s">
        <v>3563</v>
      </c>
      <c r="E551" s="122" t="s">
        <v>3747</v>
      </c>
      <c r="F551" s="123">
        <v>5.3846153846153891E-2</v>
      </c>
      <c r="G551" s="123">
        <v>6.5693430656934199E-2</v>
      </c>
    </row>
    <row r="552" spans="2:7" x14ac:dyDescent="0.2">
      <c r="B552" s="120" t="s">
        <v>1403</v>
      </c>
      <c r="C552" s="121" t="s">
        <v>1404</v>
      </c>
      <c r="D552" s="122" t="s">
        <v>3556</v>
      </c>
      <c r="E552" s="122" t="s">
        <v>3607</v>
      </c>
      <c r="F552" s="123">
        <v>-0.13297150610583452</v>
      </c>
      <c r="G552" s="123">
        <v>0.49295774647887319</v>
      </c>
    </row>
    <row r="553" spans="2:7" x14ac:dyDescent="0.2">
      <c r="B553" s="120" t="s">
        <v>1405</v>
      </c>
      <c r="C553" s="121" t="s">
        <v>1406</v>
      </c>
      <c r="D553" s="122" t="s">
        <v>3558</v>
      </c>
      <c r="E553" s="122" t="s">
        <v>3567</v>
      </c>
      <c r="F553" s="123">
        <v>5.2631578947368467E-2</v>
      </c>
      <c r="G553" s="123">
        <v>9.9999999999999964E-2</v>
      </c>
    </row>
    <row r="554" spans="2:7" x14ac:dyDescent="0.2">
      <c r="B554" s="120" t="s">
        <v>1407</v>
      </c>
      <c r="C554" s="121" t="s">
        <v>1408</v>
      </c>
      <c r="D554" s="122" t="s">
        <v>3610</v>
      </c>
      <c r="E554" s="122" t="s">
        <v>3656</v>
      </c>
      <c r="F554" s="123">
        <v>-0.24806201550387597</v>
      </c>
      <c r="G554" s="123">
        <v>-7.56013745704468E-2</v>
      </c>
    </row>
    <row r="555" spans="2:7" x14ac:dyDescent="0.2">
      <c r="B555" s="120" t="s">
        <v>1409</v>
      </c>
      <c r="C555" s="121" t="s">
        <v>1410</v>
      </c>
      <c r="D555" s="122" t="s">
        <v>3576</v>
      </c>
      <c r="E555" s="122" t="s">
        <v>3609</v>
      </c>
      <c r="F555" s="123">
        <v>0.11111111111111115</v>
      </c>
      <c r="G555" s="123">
        <v>0.16666666666666666</v>
      </c>
    </row>
    <row r="556" spans="2:7" x14ac:dyDescent="0.2">
      <c r="B556" s="120" t="s">
        <v>1411</v>
      </c>
      <c r="C556" s="121" t="s">
        <v>1412</v>
      </c>
      <c r="D556" s="122" t="s">
        <v>3582</v>
      </c>
      <c r="E556" s="122" t="s">
        <v>3583</v>
      </c>
      <c r="F556" s="123">
        <v>0.44266666666666671</v>
      </c>
      <c r="G556" s="123">
        <v>2.587800369685761E-2</v>
      </c>
    </row>
    <row r="557" spans="2:7" x14ac:dyDescent="0.2">
      <c r="B557" s="120" t="s">
        <v>1413</v>
      </c>
      <c r="C557" s="121" t="s">
        <v>1414</v>
      </c>
      <c r="D557" s="122" t="s">
        <v>3594</v>
      </c>
      <c r="E557" s="122" t="s">
        <v>3634</v>
      </c>
      <c r="F557" s="123">
        <v>-0.90853658536585369</v>
      </c>
      <c r="G557" s="123">
        <v>2.0666666666666673</v>
      </c>
    </row>
    <row r="558" spans="2:7" x14ac:dyDescent="0.2">
      <c r="B558" s="120" t="s">
        <v>1415</v>
      </c>
      <c r="C558" s="121" t="s">
        <v>1416</v>
      </c>
      <c r="D558" s="122" t="s">
        <v>3582</v>
      </c>
      <c r="E558" s="122" t="s">
        <v>3664</v>
      </c>
      <c r="F558" s="123">
        <v>6.9979716024340902E-2</v>
      </c>
      <c r="G558" s="123">
        <v>6.5402843601895688E-2</v>
      </c>
    </row>
    <row r="559" spans="2:7" x14ac:dyDescent="0.2">
      <c r="B559" s="120" t="s">
        <v>1417</v>
      </c>
      <c r="C559" s="121" t="s">
        <v>1418</v>
      </c>
      <c r="D559" s="122" t="s">
        <v>3561</v>
      </c>
      <c r="E559" s="122" t="s">
        <v>3748</v>
      </c>
      <c r="F559" s="123">
        <v>-4.3676662320730114E-2</v>
      </c>
      <c r="G559" s="123">
        <v>8.7252897068847951E-2</v>
      </c>
    </row>
    <row r="560" spans="2:7" x14ac:dyDescent="0.2">
      <c r="B560" s="120" t="s">
        <v>1419</v>
      </c>
      <c r="C560" s="121" t="s">
        <v>1420</v>
      </c>
      <c r="D560" s="122" t="s">
        <v>3591</v>
      </c>
      <c r="E560" s="122" t="s">
        <v>3592</v>
      </c>
      <c r="F560" s="123">
        <v>-2.3437500000000021E-2</v>
      </c>
      <c r="G560" s="123">
        <v>-1.6000000000000014E-2</v>
      </c>
    </row>
    <row r="561" spans="2:7" x14ac:dyDescent="0.2">
      <c r="B561" s="120" t="s">
        <v>1421</v>
      </c>
      <c r="C561" s="121" t="s">
        <v>1422</v>
      </c>
      <c r="D561" s="122" t="s">
        <v>3558</v>
      </c>
      <c r="E561" s="122" t="s">
        <v>3642</v>
      </c>
      <c r="F561" s="123">
        <v>2.0000000000000018E-2</v>
      </c>
      <c r="G561" s="123">
        <v>7.8431372549019676E-2</v>
      </c>
    </row>
    <row r="562" spans="2:7" x14ac:dyDescent="0.2">
      <c r="B562" s="120" t="s">
        <v>1423</v>
      </c>
      <c r="C562" s="121" t="s">
        <v>1424</v>
      </c>
      <c r="D562" s="122" t="s">
        <v>3556</v>
      </c>
      <c r="E562" s="122" t="s">
        <v>3704</v>
      </c>
      <c r="F562" s="123">
        <v>-0.75</v>
      </c>
      <c r="G562" s="123">
        <v>7.5000000000000009</v>
      </c>
    </row>
    <row r="563" spans="2:7" x14ac:dyDescent="0.2">
      <c r="B563" s="120" t="s">
        <v>1425</v>
      </c>
      <c r="C563" s="121" t="s">
        <v>1426</v>
      </c>
      <c r="D563" s="122" t="s">
        <v>3576</v>
      </c>
      <c r="E563" s="122" t="s">
        <v>3668</v>
      </c>
      <c r="F563" s="123">
        <v>8.1081081081080947E-2</v>
      </c>
      <c r="G563" s="123">
        <v>5.0000000000000044E-2</v>
      </c>
    </row>
    <row r="564" spans="2:7" x14ac:dyDescent="0.2">
      <c r="B564" s="120" t="s">
        <v>1427</v>
      </c>
      <c r="C564" s="121" t="s">
        <v>1428</v>
      </c>
      <c r="D564" s="122" t="s">
        <v>3556</v>
      </c>
      <c r="E564" s="122" t="s">
        <v>3630</v>
      </c>
      <c r="F564" s="123">
        <v>7.3727933541017546E-2</v>
      </c>
      <c r="G564" s="123">
        <v>-1.9342359767891271E-3</v>
      </c>
    </row>
    <row r="565" spans="2:7" x14ac:dyDescent="0.2">
      <c r="B565" s="120" t="s">
        <v>1429</v>
      </c>
      <c r="C565" s="121" t="s">
        <v>1430</v>
      </c>
      <c r="D565" s="122" t="s">
        <v>3569</v>
      </c>
      <c r="E565" s="122" t="s">
        <v>3722</v>
      </c>
      <c r="F565" s="123">
        <v>0.7448275862068966</v>
      </c>
      <c r="G565" s="123">
        <v>0.48648648648648646</v>
      </c>
    </row>
    <row r="566" spans="2:7" x14ac:dyDescent="0.2">
      <c r="B566" s="120" t="s">
        <v>1431</v>
      </c>
      <c r="C566" s="121" t="s">
        <v>1432</v>
      </c>
      <c r="D566" s="122" t="s">
        <v>3576</v>
      </c>
      <c r="E566" s="122" t="s">
        <v>3667</v>
      </c>
      <c r="F566" s="123">
        <v>5.9113300492610897E-2</v>
      </c>
      <c r="G566" s="123">
        <v>1.3953488372093139E-2</v>
      </c>
    </row>
    <row r="567" spans="2:7" x14ac:dyDescent="0.2">
      <c r="B567" s="120" t="s">
        <v>1433</v>
      </c>
      <c r="C567" s="121" t="s">
        <v>1434</v>
      </c>
      <c r="D567" s="122" t="s">
        <v>3576</v>
      </c>
      <c r="E567" s="122" t="s">
        <v>3671</v>
      </c>
      <c r="F567" s="123">
        <v>0.11971830985915505</v>
      </c>
      <c r="G567" s="123">
        <v>2.5157232704402396E-2</v>
      </c>
    </row>
    <row r="568" spans="2:7" x14ac:dyDescent="0.2">
      <c r="B568" s="120" t="s">
        <v>1435</v>
      </c>
      <c r="C568" s="121" t="s">
        <v>1436</v>
      </c>
      <c r="D568" s="122" t="s">
        <v>3556</v>
      </c>
      <c r="E568" s="122" t="s">
        <v>3614</v>
      </c>
      <c r="F568" s="123">
        <v>0.12893081761006278</v>
      </c>
      <c r="G568" s="123">
        <v>0.21587743732590539</v>
      </c>
    </row>
    <row r="569" spans="2:7" x14ac:dyDescent="0.2">
      <c r="B569" s="120" t="s">
        <v>1437</v>
      </c>
      <c r="C569" s="121" t="s">
        <v>1438</v>
      </c>
      <c r="D569" s="122" t="s">
        <v>3576</v>
      </c>
      <c r="E569" s="122" t="s">
        <v>3604</v>
      </c>
      <c r="F569" s="123">
        <v>0.14883720930232572</v>
      </c>
      <c r="G569" s="123">
        <v>0.11336032388663959</v>
      </c>
    </row>
    <row r="570" spans="2:7" x14ac:dyDescent="0.2">
      <c r="B570" s="120" t="s">
        <v>1439</v>
      </c>
      <c r="C570" s="121" t="s">
        <v>1440</v>
      </c>
      <c r="D570" s="122" t="s">
        <v>3582</v>
      </c>
      <c r="E570" s="122" t="s">
        <v>3590</v>
      </c>
      <c r="F570" s="123">
        <v>0.14942528735632191</v>
      </c>
      <c r="G570" s="123">
        <v>0.11999999999999995</v>
      </c>
    </row>
    <row r="571" spans="2:7" x14ac:dyDescent="0.2">
      <c r="B571" s="120" t="s">
        <v>1441</v>
      </c>
      <c r="C571" s="121" t="s">
        <v>1442</v>
      </c>
      <c r="D571" s="122" t="s">
        <v>3582</v>
      </c>
      <c r="E571" s="122" t="s">
        <v>3590</v>
      </c>
      <c r="F571" s="123">
        <v>0.23151125401929268</v>
      </c>
      <c r="G571" s="123">
        <v>0.26892950391644915</v>
      </c>
    </row>
    <row r="572" spans="2:7" x14ac:dyDescent="0.2">
      <c r="B572" s="120" t="s">
        <v>1443</v>
      </c>
      <c r="C572" s="121" t="s">
        <v>1444</v>
      </c>
      <c r="D572" s="122" t="s">
        <v>3576</v>
      </c>
      <c r="E572" s="122" t="s">
        <v>3654</v>
      </c>
      <c r="F572" s="123">
        <v>0.14056224899598377</v>
      </c>
      <c r="G572" s="123">
        <v>7.3943661971830971E-2</v>
      </c>
    </row>
    <row r="573" spans="2:7" x14ac:dyDescent="0.2">
      <c r="B573" s="120" t="s">
        <v>1445</v>
      </c>
      <c r="C573" s="121" t="s">
        <v>1446</v>
      </c>
      <c r="D573" s="122" t="s">
        <v>3563</v>
      </c>
      <c r="E573" s="122" t="s">
        <v>3734</v>
      </c>
      <c r="F573" s="123">
        <v>0.19245283018867934</v>
      </c>
      <c r="G573" s="123">
        <v>0.18670886075949361</v>
      </c>
    </row>
    <row r="574" spans="2:7" x14ac:dyDescent="0.2">
      <c r="B574" s="120" t="s">
        <v>1447</v>
      </c>
      <c r="C574" s="121" t="s">
        <v>1448</v>
      </c>
      <c r="D574" s="122" t="s">
        <v>3556</v>
      </c>
      <c r="E574" s="122" t="s">
        <v>3630</v>
      </c>
      <c r="F574" s="123">
        <v>0.41999999999999993</v>
      </c>
      <c r="G574" s="123">
        <v>0.18309859154929578</v>
      </c>
    </row>
    <row r="575" spans="2:7" x14ac:dyDescent="0.2">
      <c r="B575" s="120" t="s">
        <v>1449</v>
      </c>
      <c r="C575" s="121" t="s">
        <v>1450</v>
      </c>
      <c r="D575" s="122" t="s">
        <v>3556</v>
      </c>
      <c r="E575" s="122" t="s">
        <v>3614</v>
      </c>
      <c r="F575" s="123">
        <v>-3.2323232323232351E-2</v>
      </c>
      <c r="G575" s="123">
        <v>-1</v>
      </c>
    </row>
    <row r="576" spans="2:7" x14ac:dyDescent="0.2">
      <c r="B576" s="120" t="s">
        <v>1451</v>
      </c>
      <c r="C576" s="121" t="s">
        <v>1452</v>
      </c>
      <c r="D576" s="122" t="s">
        <v>3563</v>
      </c>
      <c r="E576" s="122" t="s">
        <v>3676</v>
      </c>
      <c r="F576" s="123">
        <v>8.810572687224677E-2</v>
      </c>
      <c r="G576" s="123">
        <v>5.4655870445344042E-2</v>
      </c>
    </row>
    <row r="577" spans="2:7" x14ac:dyDescent="0.2">
      <c r="B577" s="120" t="s">
        <v>1453</v>
      </c>
      <c r="C577" s="121" t="s">
        <v>1454</v>
      </c>
      <c r="D577" s="122" t="s">
        <v>3556</v>
      </c>
      <c r="E577" s="122" t="s">
        <v>3733</v>
      </c>
      <c r="F577" s="123">
        <v>8.849557522123902E-2</v>
      </c>
      <c r="G577" s="123">
        <v>0.16260162601626013</v>
      </c>
    </row>
    <row r="578" spans="2:7" x14ac:dyDescent="0.2">
      <c r="B578" s="120" t="s">
        <v>1455</v>
      </c>
      <c r="C578" s="121" t="s">
        <v>1456</v>
      </c>
      <c r="D578" s="122" t="s">
        <v>3605</v>
      </c>
      <c r="E578" s="122" t="s">
        <v>3749</v>
      </c>
      <c r="F578" s="123">
        <v>5.8823529411764656E-2</v>
      </c>
      <c r="G578" s="123">
        <v>0.11111111111111122</v>
      </c>
    </row>
    <row r="579" spans="2:7" x14ac:dyDescent="0.2">
      <c r="B579" s="120" t="s">
        <v>1457</v>
      </c>
      <c r="C579" s="121" t="s">
        <v>1458</v>
      </c>
      <c r="D579" s="122" t="s">
        <v>24</v>
      </c>
      <c r="E579" s="122" t="s">
        <v>3633</v>
      </c>
      <c r="F579" s="123">
        <v>3.2258064516128941E-2</v>
      </c>
      <c r="G579" s="123">
        <v>7.2916666666666741E-2</v>
      </c>
    </row>
    <row r="580" spans="2:7" x14ac:dyDescent="0.2">
      <c r="B580" s="120" t="s">
        <v>1459</v>
      </c>
      <c r="C580" s="121" t="s">
        <v>1460</v>
      </c>
      <c r="D580" s="122" t="s">
        <v>3558</v>
      </c>
      <c r="E580" s="122" t="s">
        <v>3642</v>
      </c>
      <c r="F580" s="123">
        <v>0.25714285714285723</v>
      </c>
      <c r="G580" s="123">
        <v>0.14090909090909071</v>
      </c>
    </row>
    <row r="581" spans="2:7" x14ac:dyDescent="0.2">
      <c r="B581" s="120" t="s">
        <v>1461</v>
      </c>
      <c r="C581" s="121" t="s">
        <v>1462</v>
      </c>
      <c r="D581" s="122" t="s">
        <v>3582</v>
      </c>
      <c r="E581" s="122" t="s">
        <v>3590</v>
      </c>
      <c r="F581" s="123">
        <v>0.12045889101338429</v>
      </c>
      <c r="G581" s="123">
        <v>0.15102389078498288</v>
      </c>
    </row>
    <row r="582" spans="2:7" x14ac:dyDescent="0.2">
      <c r="B582" s="120" t="s">
        <v>1463</v>
      </c>
      <c r="C582" s="121" t="s">
        <v>1464</v>
      </c>
      <c r="D582" s="122" t="s">
        <v>3594</v>
      </c>
      <c r="E582" s="122" t="s">
        <v>3602</v>
      </c>
      <c r="F582" s="123">
        <v>-7.0512820512820568E-2</v>
      </c>
      <c r="G582" s="123">
        <v>0.15344827586206908</v>
      </c>
    </row>
    <row r="583" spans="2:7" x14ac:dyDescent="0.2">
      <c r="B583" s="120" t="s">
        <v>1465</v>
      </c>
      <c r="C583" s="121" t="s">
        <v>1466</v>
      </c>
      <c r="D583" s="122" t="s">
        <v>3569</v>
      </c>
      <c r="E583" s="122" t="s">
        <v>3574</v>
      </c>
      <c r="F583" s="123">
        <v>-2.521008403361347E-2</v>
      </c>
      <c r="G583" s="123">
        <v>0.12068965517241391</v>
      </c>
    </row>
    <row r="584" spans="2:7" x14ac:dyDescent="0.2">
      <c r="B584" s="120" t="s">
        <v>1467</v>
      </c>
      <c r="C584" s="121" t="s">
        <v>1468</v>
      </c>
      <c r="D584" s="122" t="s">
        <v>24</v>
      </c>
      <c r="E584" s="122" t="s">
        <v>3693</v>
      </c>
      <c r="F584" s="123">
        <v>-1.8421052631578907E-2</v>
      </c>
      <c r="G584" s="123">
        <v>0.14209115281501336</v>
      </c>
    </row>
    <row r="585" spans="2:7" x14ac:dyDescent="0.2">
      <c r="B585" s="120" t="s">
        <v>1469</v>
      </c>
      <c r="C585" s="121" t="s">
        <v>1470</v>
      </c>
      <c r="D585" s="122" t="s">
        <v>3576</v>
      </c>
      <c r="E585" s="122" t="s">
        <v>3671</v>
      </c>
      <c r="F585" s="123">
        <v>4.5045045045044883E-2</v>
      </c>
      <c r="G585" s="123">
        <v>8.6206896551724223E-3</v>
      </c>
    </row>
    <row r="586" spans="2:7" x14ac:dyDescent="0.2">
      <c r="B586" s="120" t="s">
        <v>1471</v>
      </c>
      <c r="C586" s="121" t="s">
        <v>1472</v>
      </c>
      <c r="D586" s="122" t="s">
        <v>3580</v>
      </c>
      <c r="E586" s="122" t="s">
        <v>3750</v>
      </c>
      <c r="F586" s="123">
        <v>0.16842105263157911</v>
      </c>
      <c r="G586" s="123">
        <v>0.23423423423423423</v>
      </c>
    </row>
    <row r="587" spans="2:7" x14ac:dyDescent="0.2">
      <c r="B587" s="120" t="s">
        <v>1473</v>
      </c>
      <c r="C587" s="121" t="s">
        <v>1474</v>
      </c>
      <c r="D587" s="122" t="s">
        <v>3576</v>
      </c>
      <c r="E587" s="122" t="s">
        <v>3578</v>
      </c>
      <c r="F587" s="123">
        <v>7.2992700729926904E-2</v>
      </c>
      <c r="G587" s="123">
        <v>7.1428571428571425E-2</v>
      </c>
    </row>
    <row r="588" spans="2:7" x14ac:dyDescent="0.2">
      <c r="B588" s="120" t="s">
        <v>1475</v>
      </c>
      <c r="C588" s="121" t="s">
        <v>1476</v>
      </c>
      <c r="D588" s="122" t="s">
        <v>3594</v>
      </c>
      <c r="E588" s="122" t="s">
        <v>3678</v>
      </c>
      <c r="F588" s="123">
        <v>-0.55555555555555558</v>
      </c>
      <c r="G588" s="123">
        <v>0.29166666666666669</v>
      </c>
    </row>
    <row r="589" spans="2:7" x14ac:dyDescent="0.2">
      <c r="B589" s="120" t="s">
        <v>1477</v>
      </c>
      <c r="C589" s="121" t="s">
        <v>1478</v>
      </c>
      <c r="D589" s="122" t="s">
        <v>3594</v>
      </c>
      <c r="E589" s="122" t="s">
        <v>3595</v>
      </c>
      <c r="F589" s="123">
        <v>0.341880341880342</v>
      </c>
      <c r="G589" s="123">
        <v>0.18471337579617836</v>
      </c>
    </row>
    <row r="590" spans="2:7" x14ac:dyDescent="0.2">
      <c r="B590" s="120" t="s">
        <v>1479</v>
      </c>
      <c r="C590" s="121" t="s">
        <v>1480</v>
      </c>
      <c r="D590" s="122" t="s">
        <v>25</v>
      </c>
      <c r="E590" s="122" t="s">
        <v>3691</v>
      </c>
      <c r="F590" s="123">
        <v>-6.7460317460317429E-2</v>
      </c>
      <c r="G590" s="123">
        <v>0.23829787234042554</v>
      </c>
    </row>
    <row r="591" spans="2:7" x14ac:dyDescent="0.2">
      <c r="B591" s="120" t="s">
        <v>1481</v>
      </c>
      <c r="C591" s="121" t="s">
        <v>1482</v>
      </c>
      <c r="D591" s="122" t="s">
        <v>3576</v>
      </c>
      <c r="E591" s="122" t="s">
        <v>3619</v>
      </c>
      <c r="F591" s="123">
        <v>7.5471698113207475E-2</v>
      </c>
      <c r="G591" s="123">
        <v>6.4327485380117011E-2</v>
      </c>
    </row>
    <row r="592" spans="2:7" x14ac:dyDescent="0.2">
      <c r="B592" s="120" t="s">
        <v>1483</v>
      </c>
      <c r="C592" s="121" t="s">
        <v>1484</v>
      </c>
      <c r="D592" s="122" t="s">
        <v>3576</v>
      </c>
      <c r="E592" s="122" t="s">
        <v>3667</v>
      </c>
      <c r="F592" s="123">
        <v>4.6315789473684157E-2</v>
      </c>
      <c r="G592" s="123">
        <v>8.4507042253521111E-2</v>
      </c>
    </row>
    <row r="593" spans="2:7" x14ac:dyDescent="0.2">
      <c r="B593" s="120" t="s">
        <v>1485</v>
      </c>
      <c r="C593" s="121" t="s">
        <v>1486</v>
      </c>
      <c r="D593" s="122" t="s">
        <v>3576</v>
      </c>
      <c r="E593" s="122" t="s">
        <v>3584</v>
      </c>
      <c r="F593" s="123">
        <v>2.7331189710610923E-2</v>
      </c>
      <c r="G593" s="123">
        <v>5.4773082942097109E-2</v>
      </c>
    </row>
    <row r="594" spans="2:7" x14ac:dyDescent="0.2">
      <c r="B594" s="120" t="s">
        <v>1487</v>
      </c>
      <c r="C594" s="121" t="s">
        <v>1488</v>
      </c>
      <c r="D594" s="122" t="s">
        <v>3612</v>
      </c>
      <c r="E594" s="122" t="s">
        <v>3740</v>
      </c>
      <c r="F594" s="123">
        <v>0.56953642384105962</v>
      </c>
      <c r="G594" s="123">
        <v>0.569620253164557</v>
      </c>
    </row>
    <row r="595" spans="2:7" x14ac:dyDescent="0.2">
      <c r="B595" s="120" t="s">
        <v>1489</v>
      </c>
      <c r="C595" s="121" t="s">
        <v>1490</v>
      </c>
      <c r="D595" s="122" t="s">
        <v>3594</v>
      </c>
      <c r="E595" s="122" t="s">
        <v>3751</v>
      </c>
      <c r="F595" s="123">
        <v>0.21052631578947364</v>
      </c>
      <c r="G595" s="123">
        <v>-0.23913043478260865</v>
      </c>
    </row>
    <row r="596" spans="2:7" x14ac:dyDescent="0.2">
      <c r="B596" s="120" t="s">
        <v>1491</v>
      </c>
      <c r="C596" s="121" t="s">
        <v>1492</v>
      </c>
      <c r="D596" s="122" t="s">
        <v>3576</v>
      </c>
      <c r="E596" s="122" t="s">
        <v>3689</v>
      </c>
      <c r="F596" s="123">
        <v>0.21455938697318011</v>
      </c>
      <c r="G596" s="123">
        <v>9.4637223974763499E-2</v>
      </c>
    </row>
    <row r="597" spans="2:7" x14ac:dyDescent="0.2">
      <c r="B597" s="120" t="s">
        <v>1493</v>
      </c>
      <c r="C597" s="121" t="s">
        <v>1494</v>
      </c>
      <c r="D597" s="122" t="s">
        <v>3580</v>
      </c>
      <c r="E597" s="122" t="s">
        <v>3649</v>
      </c>
      <c r="F597" s="123">
        <v>0.37313432835820892</v>
      </c>
      <c r="G597" s="123">
        <v>0.12499999999999986</v>
      </c>
    </row>
    <row r="598" spans="2:7" x14ac:dyDescent="0.2">
      <c r="B598" s="120" t="s">
        <v>1495</v>
      </c>
      <c r="C598" s="121" t="s">
        <v>1496</v>
      </c>
      <c r="D598" s="122" t="s">
        <v>3612</v>
      </c>
      <c r="E598" s="122" t="s">
        <v>3661</v>
      </c>
      <c r="F598" s="123">
        <v>1.6000000000000014E-2</v>
      </c>
      <c r="G598" s="123">
        <v>0.22834645669291342</v>
      </c>
    </row>
    <row r="599" spans="2:7" x14ac:dyDescent="0.2">
      <c r="B599" s="120" t="s">
        <v>1497</v>
      </c>
      <c r="C599" s="121" t="s">
        <v>1498</v>
      </c>
      <c r="D599" s="122" t="s">
        <v>3556</v>
      </c>
      <c r="E599" s="122" t="s">
        <v>3704</v>
      </c>
      <c r="F599" s="123">
        <v>0.2857142857142857</v>
      </c>
      <c r="G599" s="123">
        <v>8.8888888888888962E-2</v>
      </c>
    </row>
    <row r="600" spans="2:7" x14ac:dyDescent="0.2">
      <c r="B600" s="120" t="s">
        <v>1499</v>
      </c>
      <c r="C600" s="121" t="s">
        <v>1500</v>
      </c>
      <c r="D600" s="122" t="s">
        <v>3591</v>
      </c>
      <c r="E600" s="122" t="s">
        <v>3592</v>
      </c>
      <c r="F600" s="123">
        <v>1.5544041450777216E-2</v>
      </c>
      <c r="G600" s="123">
        <v>5.6122448979591774E-2</v>
      </c>
    </row>
    <row r="601" spans="2:7" x14ac:dyDescent="0.2">
      <c r="B601" s="120" t="s">
        <v>1501</v>
      </c>
      <c r="C601" s="121" t="s">
        <v>1502</v>
      </c>
      <c r="D601" s="122" t="s">
        <v>3556</v>
      </c>
      <c r="E601" s="122" t="s">
        <v>3557</v>
      </c>
      <c r="F601" s="123">
        <v>0.16666666666666666</v>
      </c>
      <c r="G601" s="123">
        <v>0.10000000000000002</v>
      </c>
    </row>
    <row r="602" spans="2:7" x14ac:dyDescent="0.2">
      <c r="B602" s="120" t="s">
        <v>1503</v>
      </c>
      <c r="C602" s="121" t="s">
        <v>1504</v>
      </c>
      <c r="D602" s="122" t="s">
        <v>3610</v>
      </c>
      <c r="E602" s="122" t="s">
        <v>3656</v>
      </c>
      <c r="F602" s="123">
        <v>0.60465116279069753</v>
      </c>
      <c r="G602" s="123">
        <v>6.5217391304347894E-2</v>
      </c>
    </row>
    <row r="603" spans="2:7" x14ac:dyDescent="0.2">
      <c r="B603" s="120" t="s">
        <v>1505</v>
      </c>
      <c r="C603" s="121" t="s">
        <v>1506</v>
      </c>
      <c r="D603" s="122" t="s">
        <v>3556</v>
      </c>
      <c r="E603" s="122" t="s">
        <v>3752</v>
      </c>
      <c r="F603" s="123">
        <v>0.1945392491467576</v>
      </c>
      <c r="G603" s="123">
        <v>0.10000000000000002</v>
      </c>
    </row>
    <row r="604" spans="2:7" x14ac:dyDescent="0.2">
      <c r="B604" s="120" t="s">
        <v>1507</v>
      </c>
      <c r="C604" s="121" t="s">
        <v>1508</v>
      </c>
      <c r="D604" s="122" t="s">
        <v>25</v>
      </c>
      <c r="E604" s="122" t="s">
        <v>3694</v>
      </c>
      <c r="F604" s="123">
        <v>0.19148936170212769</v>
      </c>
      <c r="G604" s="123">
        <v>6.5476190476190535E-2</v>
      </c>
    </row>
    <row r="605" spans="2:7" x14ac:dyDescent="0.2">
      <c r="B605" s="120" t="s">
        <v>1509</v>
      </c>
      <c r="C605" s="121" t="s">
        <v>1510</v>
      </c>
      <c r="D605" s="122" t="s">
        <v>25</v>
      </c>
      <c r="E605" s="122" t="s">
        <v>3731</v>
      </c>
      <c r="F605" s="123">
        <v>-3.3846153846153841</v>
      </c>
      <c r="G605" s="123">
        <v>0.64035087719298245</v>
      </c>
    </row>
    <row r="606" spans="2:7" x14ac:dyDescent="0.2">
      <c r="B606" s="120" t="s">
        <v>1511</v>
      </c>
      <c r="C606" s="121" t="s">
        <v>1512</v>
      </c>
      <c r="D606" s="122" t="s">
        <v>3582</v>
      </c>
      <c r="E606" s="122" t="s">
        <v>3588</v>
      </c>
      <c r="F606" s="123">
        <v>0.14772727272727273</v>
      </c>
      <c r="G606" s="123">
        <v>0.12376237623762376</v>
      </c>
    </row>
    <row r="607" spans="2:7" x14ac:dyDescent="0.2">
      <c r="B607" s="120" t="s">
        <v>1513</v>
      </c>
      <c r="C607" s="121" t="s">
        <v>1514</v>
      </c>
      <c r="D607" s="122" t="s">
        <v>3576</v>
      </c>
      <c r="E607" s="122" t="s">
        <v>3667</v>
      </c>
      <c r="F607" s="123">
        <v>9.589041095890409E-2</v>
      </c>
      <c r="G607" s="123">
        <v>2.9166666666666785E-2</v>
      </c>
    </row>
    <row r="608" spans="2:7" x14ac:dyDescent="0.2">
      <c r="B608" s="120" t="s">
        <v>1515</v>
      </c>
      <c r="C608" s="121" t="s">
        <v>1516</v>
      </c>
      <c r="D608" s="122" t="s">
        <v>3569</v>
      </c>
      <c r="E608" s="122" t="s">
        <v>3575</v>
      </c>
      <c r="F608" s="123">
        <v>-0.18452380952380956</v>
      </c>
      <c r="G608" s="123">
        <v>0.1959798994974874</v>
      </c>
    </row>
    <row r="609" spans="2:7" x14ac:dyDescent="0.2">
      <c r="B609" s="120" t="s">
        <v>1517</v>
      </c>
      <c r="C609" s="121" t="s">
        <v>1518</v>
      </c>
      <c r="D609" s="122" t="s">
        <v>3605</v>
      </c>
      <c r="E609" s="122" t="s">
        <v>3653</v>
      </c>
      <c r="F609" s="123">
        <v>6.5470852017937259E-2</v>
      </c>
      <c r="G609" s="123">
        <v>0.10101010101010094</v>
      </c>
    </row>
    <row r="610" spans="2:7" x14ac:dyDescent="0.2">
      <c r="B610" s="120" t="s">
        <v>1519</v>
      </c>
      <c r="C610" s="121" t="s">
        <v>1520</v>
      </c>
      <c r="D610" s="122" t="s">
        <v>3556</v>
      </c>
      <c r="E610" s="122" t="s">
        <v>3753</v>
      </c>
      <c r="F610" s="123">
        <v>0.41176470588235281</v>
      </c>
      <c r="G610" s="123">
        <v>1.0833333333333335</v>
      </c>
    </row>
    <row r="611" spans="2:7" x14ac:dyDescent="0.2">
      <c r="B611" s="120" t="s">
        <v>1521</v>
      </c>
      <c r="C611" s="121" t="s">
        <v>1522</v>
      </c>
      <c r="D611" s="122" t="s">
        <v>3556</v>
      </c>
      <c r="E611" s="122" t="s">
        <v>3560</v>
      </c>
      <c r="F611" s="123">
        <v>-8.6956521739130502E-2</v>
      </c>
      <c r="G611" s="123">
        <v>6.5476190476190535E-2</v>
      </c>
    </row>
    <row r="612" spans="2:7" x14ac:dyDescent="0.2">
      <c r="B612" s="120" t="s">
        <v>1523</v>
      </c>
      <c r="C612" s="121" t="s">
        <v>1524</v>
      </c>
      <c r="D612" s="122" t="s">
        <v>3582</v>
      </c>
      <c r="E612" s="122" t="s">
        <v>3631</v>
      </c>
      <c r="F612" s="123">
        <v>0.17021276595744672</v>
      </c>
      <c r="G612" s="123">
        <v>1.1025641025641024</v>
      </c>
    </row>
    <row r="613" spans="2:7" x14ac:dyDescent="0.2">
      <c r="B613" s="120" t="s">
        <v>1525</v>
      </c>
      <c r="C613" s="121" t="s">
        <v>12</v>
      </c>
      <c r="D613" s="122" t="s">
        <v>3679</v>
      </c>
      <c r="E613" s="122" t="s">
        <v>3680</v>
      </c>
      <c r="F613" s="123">
        <v>-5.970149253731348E-2</v>
      </c>
      <c r="G613" s="123">
        <v>0.17460317460317459</v>
      </c>
    </row>
    <row r="614" spans="2:7" x14ac:dyDescent="0.2">
      <c r="B614" s="120" t="s">
        <v>1526</v>
      </c>
      <c r="C614" s="121" t="s">
        <v>1527</v>
      </c>
      <c r="D614" s="122" t="s">
        <v>3558</v>
      </c>
      <c r="E614" s="122" t="s">
        <v>3642</v>
      </c>
      <c r="F614" s="123">
        <v>-0.35576923076923073</v>
      </c>
      <c r="G614" s="123">
        <v>0.14179104477611937</v>
      </c>
    </row>
    <row r="615" spans="2:7" x14ac:dyDescent="0.2">
      <c r="B615" s="120" t="s">
        <v>1528</v>
      </c>
      <c r="C615" s="121" t="s">
        <v>1529</v>
      </c>
      <c r="D615" s="122" t="s">
        <v>3576</v>
      </c>
      <c r="E615" s="122" t="s">
        <v>3619</v>
      </c>
      <c r="F615" s="123">
        <v>-4.4182621502209106E-2</v>
      </c>
      <c r="G615" s="123">
        <v>3.2357473035439129E-2</v>
      </c>
    </row>
    <row r="616" spans="2:7" x14ac:dyDescent="0.2">
      <c r="B616" s="120" t="s">
        <v>1530</v>
      </c>
      <c r="C616" s="121" t="s">
        <v>1531</v>
      </c>
      <c r="D616" s="122" t="s">
        <v>3610</v>
      </c>
      <c r="E616" s="122" t="s">
        <v>3656</v>
      </c>
      <c r="F616" s="123">
        <v>-0.26941747572815539</v>
      </c>
      <c r="G616" s="123">
        <v>0.1295681063122924</v>
      </c>
    </row>
    <row r="617" spans="2:7" x14ac:dyDescent="0.2">
      <c r="B617" s="120" t="s">
        <v>1532</v>
      </c>
      <c r="C617" s="121" t="s">
        <v>1533</v>
      </c>
      <c r="D617" s="122" t="s">
        <v>3594</v>
      </c>
      <c r="E617" s="122" t="s">
        <v>3595</v>
      </c>
      <c r="F617" s="123">
        <v>2.2666666666666666</v>
      </c>
      <c r="G617" s="123">
        <v>0.89473684210526305</v>
      </c>
    </row>
    <row r="618" spans="2:7" x14ac:dyDescent="0.2">
      <c r="B618" s="120" t="s">
        <v>1534</v>
      </c>
      <c r="C618" s="121" t="s">
        <v>1535</v>
      </c>
      <c r="D618" s="122" t="s">
        <v>3558</v>
      </c>
      <c r="E618" s="122" t="s">
        <v>3567</v>
      </c>
      <c r="F618" s="123">
        <v>4.6296296296296127E-2</v>
      </c>
      <c r="G618" s="123">
        <v>0.10619469026548684</v>
      </c>
    </row>
    <row r="619" spans="2:7" x14ac:dyDescent="0.2">
      <c r="B619" s="120" t="s">
        <v>1536</v>
      </c>
      <c r="C619" s="121" t="s">
        <v>1537</v>
      </c>
      <c r="D619" s="122" t="s">
        <v>3594</v>
      </c>
      <c r="E619" s="122" t="s">
        <v>3754</v>
      </c>
      <c r="F619" s="123">
        <v>-0.21052631578947373</v>
      </c>
      <c r="G619" s="123">
        <v>0.16666666666666663</v>
      </c>
    </row>
    <row r="620" spans="2:7" x14ac:dyDescent="0.2">
      <c r="B620" s="120" t="s">
        <v>1538</v>
      </c>
      <c r="C620" s="121" t="s">
        <v>1539</v>
      </c>
      <c r="D620" s="122" t="s">
        <v>3558</v>
      </c>
      <c r="E620" s="122" t="s">
        <v>3642</v>
      </c>
      <c r="F620" s="123">
        <v>1.5957446808510654E-2</v>
      </c>
      <c r="G620" s="123">
        <v>7.329842931937168E-2</v>
      </c>
    </row>
    <row r="621" spans="2:7" x14ac:dyDescent="0.2">
      <c r="B621" s="120" t="s">
        <v>1540</v>
      </c>
      <c r="C621" s="121" t="s">
        <v>1541</v>
      </c>
      <c r="D621" s="122" t="s">
        <v>3569</v>
      </c>
      <c r="E621" s="122" t="s">
        <v>3575</v>
      </c>
      <c r="F621" s="123">
        <v>-0.13392857142857134</v>
      </c>
      <c r="G621" s="123">
        <v>-1.5748031496063006E-2</v>
      </c>
    </row>
    <row r="622" spans="2:7" x14ac:dyDescent="0.2">
      <c r="B622" s="120" t="s">
        <v>1542</v>
      </c>
      <c r="C622" s="121" t="s">
        <v>1543</v>
      </c>
      <c r="D622" s="122" t="s">
        <v>3556</v>
      </c>
      <c r="E622" s="122" t="s">
        <v>3682</v>
      </c>
      <c r="F622" s="123">
        <v>0.11180124223602481</v>
      </c>
      <c r="G622" s="123">
        <v>9.2178770949720684E-2</v>
      </c>
    </row>
    <row r="623" spans="2:7" x14ac:dyDescent="0.2">
      <c r="B623" s="120" t="s">
        <v>1544</v>
      </c>
      <c r="C623" s="121" t="s">
        <v>1545</v>
      </c>
      <c r="D623" s="122" t="s">
        <v>25</v>
      </c>
      <c r="E623" s="122" t="s">
        <v>3712</v>
      </c>
      <c r="F623" s="123">
        <v>5.8823529411764636E-2</v>
      </c>
      <c r="G623" s="123">
        <v>0.19696969696969704</v>
      </c>
    </row>
    <row r="624" spans="2:7" x14ac:dyDescent="0.2">
      <c r="B624" s="120" t="s">
        <v>1546</v>
      </c>
      <c r="C624" s="121" t="s">
        <v>1547</v>
      </c>
      <c r="D624" s="122" t="s">
        <v>3569</v>
      </c>
      <c r="E624" s="122" t="s">
        <v>3575</v>
      </c>
      <c r="F624" s="123">
        <v>1.8813314037626611E-2</v>
      </c>
      <c r="G624" s="123">
        <v>5.6818181818181872E-3</v>
      </c>
    </row>
    <row r="625" spans="2:7" x14ac:dyDescent="0.2">
      <c r="B625" s="120" t="s">
        <v>1548</v>
      </c>
      <c r="C625" s="121" t="s">
        <v>1549</v>
      </c>
      <c r="D625" s="122" t="s">
        <v>24</v>
      </c>
      <c r="E625" s="122" t="s">
        <v>3633</v>
      </c>
      <c r="F625" s="123">
        <v>6.9841269841269898E-2</v>
      </c>
      <c r="G625" s="123">
        <v>3.5608308605341275E-2</v>
      </c>
    </row>
    <row r="626" spans="2:7" x14ac:dyDescent="0.2">
      <c r="B626" s="120" t="s">
        <v>1550</v>
      </c>
      <c r="C626" s="121" t="s">
        <v>1551</v>
      </c>
      <c r="D626" s="122" t="s">
        <v>3563</v>
      </c>
      <c r="E626" s="122" t="s">
        <v>3690</v>
      </c>
      <c r="F626" s="123">
        <v>-3.0864197530864224E-2</v>
      </c>
      <c r="G626" s="123">
        <v>-6.3694267515923622E-3</v>
      </c>
    </row>
    <row r="627" spans="2:7" x14ac:dyDescent="0.2">
      <c r="B627" s="120" t="s">
        <v>1552</v>
      </c>
      <c r="C627" s="121" t="s">
        <v>1553</v>
      </c>
      <c r="D627" s="122" t="s">
        <v>3576</v>
      </c>
      <c r="E627" s="122" t="s">
        <v>3651</v>
      </c>
      <c r="F627" s="123">
        <v>9.609120521172651E-2</v>
      </c>
      <c r="G627" s="123">
        <v>6.3893016344725065E-2</v>
      </c>
    </row>
    <row r="628" spans="2:7" x14ac:dyDescent="0.2">
      <c r="B628" s="120" t="s">
        <v>1554</v>
      </c>
      <c r="C628" s="121" t="s">
        <v>1555</v>
      </c>
      <c r="D628" s="122" t="s">
        <v>24</v>
      </c>
      <c r="E628" s="122" t="s">
        <v>3755</v>
      </c>
      <c r="F628" s="123">
        <v>-1.4028056112224505E-2</v>
      </c>
      <c r="G628" s="123">
        <v>4.8780487804878092E-2</v>
      </c>
    </row>
    <row r="629" spans="2:7" x14ac:dyDescent="0.2">
      <c r="B629" s="120" t="s">
        <v>1556</v>
      </c>
      <c r="C629" s="121" t="s">
        <v>1557</v>
      </c>
      <c r="D629" s="122" t="s">
        <v>3556</v>
      </c>
      <c r="E629" s="122" t="s">
        <v>3721</v>
      </c>
      <c r="F629" s="123">
        <v>7.0357142857142865</v>
      </c>
      <c r="G629" s="123">
        <v>-1.1045364891518739</v>
      </c>
    </row>
    <row r="630" spans="2:7" x14ac:dyDescent="0.2">
      <c r="B630" s="120" t="s">
        <v>1558</v>
      </c>
      <c r="C630" s="121" t="s">
        <v>1559</v>
      </c>
      <c r="D630" s="122" t="s">
        <v>3594</v>
      </c>
      <c r="E630" s="122" t="s">
        <v>3647</v>
      </c>
      <c r="F630" s="123">
        <v>-0.76086956521739135</v>
      </c>
      <c r="G630" s="123">
        <v>0.72727272727272729</v>
      </c>
    </row>
    <row r="631" spans="2:7" x14ac:dyDescent="0.2">
      <c r="B631" s="120" t="s">
        <v>1560</v>
      </c>
      <c r="C631" s="121" t="s">
        <v>1561</v>
      </c>
      <c r="D631" s="122" t="s">
        <v>3556</v>
      </c>
      <c r="E631" s="122" t="s">
        <v>3756</v>
      </c>
      <c r="F631" s="123">
        <v>0.30994152046783641</v>
      </c>
      <c r="G631" s="123">
        <v>0.22767857142857131</v>
      </c>
    </row>
    <row r="632" spans="2:7" x14ac:dyDescent="0.2">
      <c r="B632" s="120" t="s">
        <v>1562</v>
      </c>
      <c r="C632" s="121" t="s">
        <v>1563</v>
      </c>
      <c r="D632" s="122" t="s">
        <v>3612</v>
      </c>
      <c r="E632" s="122" t="s">
        <v>3739</v>
      </c>
      <c r="F632" s="123">
        <v>-0.20370370370370378</v>
      </c>
      <c r="G632" s="123">
        <v>0.34883720930232553</v>
      </c>
    </row>
    <row r="633" spans="2:7" x14ac:dyDescent="0.2">
      <c r="B633" s="120" t="s">
        <v>1564</v>
      </c>
      <c r="C633" s="121" t="s">
        <v>1565</v>
      </c>
      <c r="D633" s="122" t="s">
        <v>3569</v>
      </c>
      <c r="E633" s="122" t="s">
        <v>3575</v>
      </c>
      <c r="F633" s="123">
        <v>4.5655172413793101</v>
      </c>
      <c r="G633" s="123">
        <v>-0.70793036750483562</v>
      </c>
    </row>
    <row r="634" spans="2:7" x14ac:dyDescent="0.2">
      <c r="B634" s="120" t="s">
        <v>1566</v>
      </c>
      <c r="C634" s="121" t="s">
        <v>1567</v>
      </c>
      <c r="D634" s="122" t="s">
        <v>3576</v>
      </c>
      <c r="E634" s="122" t="s">
        <v>3619</v>
      </c>
      <c r="F634" s="123">
        <v>8.2539682539682621E-2</v>
      </c>
      <c r="G634" s="123">
        <v>2.0527859237536607E-2</v>
      </c>
    </row>
    <row r="635" spans="2:7" x14ac:dyDescent="0.2">
      <c r="B635" s="120" t="s">
        <v>1568</v>
      </c>
      <c r="C635" s="121" t="s">
        <v>1569</v>
      </c>
      <c r="D635" s="122" t="s">
        <v>3556</v>
      </c>
      <c r="E635" s="122" t="s">
        <v>3624</v>
      </c>
      <c r="F635" s="123">
        <v>-5.6818181818181872E-3</v>
      </c>
      <c r="G635" s="123">
        <v>0.13142857142857142</v>
      </c>
    </row>
    <row r="636" spans="2:7" x14ac:dyDescent="0.2">
      <c r="B636" s="120" t="s">
        <v>1570</v>
      </c>
      <c r="C636" s="121" t="s">
        <v>1571</v>
      </c>
      <c r="D636" s="122" t="s">
        <v>3610</v>
      </c>
      <c r="E636" s="122" t="s">
        <v>3745</v>
      </c>
      <c r="F636" s="123">
        <v>6.9841269841269898E-2</v>
      </c>
      <c r="G636" s="123">
        <v>-5.6379821958456956E-2</v>
      </c>
    </row>
    <row r="637" spans="2:7" x14ac:dyDescent="0.2">
      <c r="B637" s="120" t="s">
        <v>1572</v>
      </c>
      <c r="C637" s="121" t="s">
        <v>1573</v>
      </c>
      <c r="D637" s="122" t="s">
        <v>3569</v>
      </c>
      <c r="E637" s="122" t="s">
        <v>3574</v>
      </c>
      <c r="F637" s="123">
        <v>4.9079754601227044E-2</v>
      </c>
      <c r="G637" s="123">
        <v>0.11111111111111108</v>
      </c>
    </row>
    <row r="638" spans="2:7" x14ac:dyDescent="0.2">
      <c r="B638" s="120" t="s">
        <v>1574</v>
      </c>
      <c r="C638" s="121" t="s">
        <v>1575</v>
      </c>
      <c r="D638" s="122" t="s">
        <v>3569</v>
      </c>
      <c r="E638" s="122" t="s">
        <v>3572</v>
      </c>
      <c r="F638" s="123">
        <v>0.23437499999999994</v>
      </c>
      <c r="G638" s="123">
        <v>0.14285714285714285</v>
      </c>
    </row>
    <row r="639" spans="2:7" x14ac:dyDescent="0.2">
      <c r="B639" s="120" t="s">
        <v>1576</v>
      </c>
      <c r="C639" s="121" t="s">
        <v>1577</v>
      </c>
      <c r="D639" s="122" t="s">
        <v>3556</v>
      </c>
      <c r="E639" s="122" t="s">
        <v>3757</v>
      </c>
      <c r="F639" s="123">
        <v>3.0042918454935553E-2</v>
      </c>
      <c r="G639" s="123">
        <v>5.833333333333339E-2</v>
      </c>
    </row>
    <row r="640" spans="2:7" x14ac:dyDescent="0.2">
      <c r="B640" s="120" t="s">
        <v>1578</v>
      </c>
      <c r="C640" s="121" t="s">
        <v>1579</v>
      </c>
      <c r="D640" s="122" t="s">
        <v>3610</v>
      </c>
      <c r="E640" s="122" t="s">
        <v>3611</v>
      </c>
      <c r="F640" s="123">
        <v>1.8181818181818198E-2</v>
      </c>
      <c r="G640" s="123">
        <v>5.9523809523809576E-2</v>
      </c>
    </row>
    <row r="641" spans="2:7" x14ac:dyDescent="0.2">
      <c r="B641" s="120" t="s">
        <v>1580</v>
      </c>
      <c r="C641" s="121" t="s">
        <v>1581</v>
      </c>
      <c r="D641" s="122" t="s">
        <v>3594</v>
      </c>
      <c r="E641" s="122" t="s">
        <v>3595</v>
      </c>
      <c r="F641" s="123">
        <v>0.42105263157894746</v>
      </c>
      <c r="G641" s="123">
        <v>0.31481481481481466</v>
      </c>
    </row>
    <row r="642" spans="2:7" x14ac:dyDescent="0.2">
      <c r="B642" s="120" t="s">
        <v>1582</v>
      </c>
      <c r="C642" s="121" t="s">
        <v>1583</v>
      </c>
      <c r="D642" s="122" t="s">
        <v>3556</v>
      </c>
      <c r="E642" s="122" t="s">
        <v>3607</v>
      </c>
      <c r="F642" s="123">
        <v>0.18062827225130879</v>
      </c>
      <c r="G642" s="123">
        <v>0.12678895383995162</v>
      </c>
    </row>
    <row r="643" spans="2:7" x14ac:dyDescent="0.2">
      <c r="B643" s="120" t="s">
        <v>1584</v>
      </c>
      <c r="C643" s="121" t="s">
        <v>13</v>
      </c>
      <c r="D643" s="122" t="s">
        <v>3563</v>
      </c>
      <c r="E643" s="122" t="s">
        <v>3676</v>
      </c>
      <c r="F643" s="123">
        <v>0.28571428571428575</v>
      </c>
      <c r="G643" s="123">
        <v>0.23809523809523814</v>
      </c>
    </row>
    <row r="644" spans="2:7" x14ac:dyDescent="0.2">
      <c r="B644" s="120" t="s">
        <v>1585</v>
      </c>
      <c r="C644" s="121" t="s">
        <v>1586</v>
      </c>
      <c r="D644" s="122" t="s">
        <v>3610</v>
      </c>
      <c r="E644" s="122" t="s">
        <v>3684</v>
      </c>
      <c r="F644" s="123">
        <v>7.0671378091872851E-3</v>
      </c>
      <c r="G644" s="123">
        <v>6.1403508771929759E-2</v>
      </c>
    </row>
    <row r="645" spans="2:7" x14ac:dyDescent="0.2">
      <c r="B645" s="120" t="s">
        <v>1587</v>
      </c>
      <c r="C645" s="121" t="s">
        <v>1588</v>
      </c>
      <c r="D645" s="122" t="s">
        <v>3558</v>
      </c>
      <c r="E645" s="122" t="s">
        <v>3644</v>
      </c>
      <c r="F645" s="123">
        <v>0.11688311688311684</v>
      </c>
      <c r="G645" s="123">
        <v>0.13953488372093023</v>
      </c>
    </row>
    <row r="646" spans="2:7" x14ac:dyDescent="0.2">
      <c r="B646" s="120" t="s">
        <v>1589</v>
      </c>
      <c r="C646" s="121" t="s">
        <v>1590</v>
      </c>
      <c r="D646" s="122" t="s">
        <v>3582</v>
      </c>
      <c r="E646" s="122" t="s">
        <v>3590</v>
      </c>
      <c r="F646" s="123">
        <v>0.17567567567567571</v>
      </c>
      <c r="G646" s="123">
        <v>0.16912972085385883</v>
      </c>
    </row>
    <row r="647" spans="2:7" x14ac:dyDescent="0.2">
      <c r="B647" s="120" t="s">
        <v>1591</v>
      </c>
      <c r="C647" s="121" t="s">
        <v>1592</v>
      </c>
      <c r="D647" s="122" t="s">
        <v>3563</v>
      </c>
      <c r="E647" s="122" t="s">
        <v>3676</v>
      </c>
      <c r="F647" s="123">
        <v>-0.19215686274509797</v>
      </c>
      <c r="G647" s="123">
        <v>1.456310679611641E-2</v>
      </c>
    </row>
    <row r="648" spans="2:7" x14ac:dyDescent="0.2">
      <c r="B648" s="120" t="s">
        <v>1593</v>
      </c>
      <c r="C648" s="121" t="s">
        <v>1594</v>
      </c>
      <c r="D648" s="122" t="s">
        <v>3594</v>
      </c>
      <c r="E648" s="122" t="s">
        <v>3637</v>
      </c>
      <c r="F648" s="123">
        <v>9.1811414392059573E-2</v>
      </c>
      <c r="G648" s="123">
        <v>0.16136363636363635</v>
      </c>
    </row>
    <row r="649" spans="2:7" x14ac:dyDescent="0.2">
      <c r="B649" s="120" t="s">
        <v>1595</v>
      </c>
      <c r="C649" s="121" t="s">
        <v>1596</v>
      </c>
      <c r="D649" s="122" t="s">
        <v>3569</v>
      </c>
      <c r="E649" s="122" t="s">
        <v>3722</v>
      </c>
      <c r="F649" s="123">
        <v>5.1282051282051329E-2</v>
      </c>
      <c r="G649" s="123">
        <v>0.13008130081300806</v>
      </c>
    </row>
    <row r="650" spans="2:7" x14ac:dyDescent="0.2">
      <c r="B650" s="120" t="s">
        <v>1597</v>
      </c>
      <c r="C650" s="121" t="s">
        <v>1598</v>
      </c>
      <c r="D650" s="122" t="s">
        <v>3556</v>
      </c>
      <c r="E650" s="122" t="s">
        <v>3733</v>
      </c>
      <c r="F650" s="123">
        <v>0.12103746397694522</v>
      </c>
      <c r="G650" s="123">
        <v>3.5989717223650415E-2</v>
      </c>
    </row>
    <row r="651" spans="2:7" x14ac:dyDescent="0.2">
      <c r="B651" s="120" t="s">
        <v>1599</v>
      </c>
      <c r="C651" s="121" t="s">
        <v>1600</v>
      </c>
      <c r="D651" s="122" t="s">
        <v>3556</v>
      </c>
      <c r="E651" s="122" t="s">
        <v>3753</v>
      </c>
      <c r="F651" s="123">
        <v>-0.26285714285714284</v>
      </c>
      <c r="G651" s="123">
        <v>0.57364341085271298</v>
      </c>
    </row>
    <row r="652" spans="2:7" x14ac:dyDescent="0.2">
      <c r="B652" s="120" t="s">
        <v>1601</v>
      </c>
      <c r="C652" s="121" t="s">
        <v>1602</v>
      </c>
      <c r="D652" s="122" t="s">
        <v>3576</v>
      </c>
      <c r="E652" s="122" t="s">
        <v>3620</v>
      </c>
      <c r="F652" s="123">
        <v>-6.1703002879473473E-2</v>
      </c>
      <c r="G652" s="123">
        <v>0.10609381850065769</v>
      </c>
    </row>
    <row r="653" spans="2:7" x14ac:dyDescent="0.2">
      <c r="B653" s="120" t="s">
        <v>1603</v>
      </c>
      <c r="C653" s="121" t="s">
        <v>1604</v>
      </c>
      <c r="D653" s="122" t="s">
        <v>3569</v>
      </c>
      <c r="E653" s="122" t="s">
        <v>3570</v>
      </c>
      <c r="F653" s="123">
        <v>-1.6722408026755942E-2</v>
      </c>
      <c r="G653" s="123">
        <v>1.0204081632653145E-2</v>
      </c>
    </row>
    <row r="654" spans="2:7" x14ac:dyDescent="0.2">
      <c r="B654" s="120" t="s">
        <v>1605</v>
      </c>
      <c r="C654" s="121" t="s">
        <v>1606</v>
      </c>
      <c r="D654" s="122" t="s">
        <v>3610</v>
      </c>
      <c r="E654" s="122" t="s">
        <v>3672</v>
      </c>
      <c r="F654" s="123">
        <v>-0.36776859504132231</v>
      </c>
      <c r="G654" s="123">
        <v>0.39215686274509792</v>
      </c>
    </row>
    <row r="655" spans="2:7" x14ac:dyDescent="0.2">
      <c r="B655" s="120" t="s">
        <v>1607</v>
      </c>
      <c r="C655" s="121" t="s">
        <v>1608</v>
      </c>
      <c r="D655" s="122" t="s">
        <v>3569</v>
      </c>
      <c r="E655" s="122" t="s">
        <v>3572</v>
      </c>
      <c r="F655" s="123">
        <v>0.94918918918918915</v>
      </c>
      <c r="G655" s="123">
        <v>7.7872340425531918</v>
      </c>
    </row>
    <row r="656" spans="2:7" x14ac:dyDescent="0.2">
      <c r="B656" s="120" t="s">
        <v>1609</v>
      </c>
      <c r="C656" s="121" t="s">
        <v>1610</v>
      </c>
      <c r="D656" s="122" t="s">
        <v>3561</v>
      </c>
      <c r="E656" s="122" t="s">
        <v>3706</v>
      </c>
      <c r="F656" s="123">
        <v>0.15999999999999989</v>
      </c>
      <c r="G656" s="123">
        <v>0.13793103448275876</v>
      </c>
    </row>
    <row r="657" spans="2:7" x14ac:dyDescent="0.2">
      <c r="B657" s="120" t="s">
        <v>1611</v>
      </c>
      <c r="C657" s="121" t="s">
        <v>1612</v>
      </c>
      <c r="D657" s="122" t="s">
        <v>3556</v>
      </c>
      <c r="E657" s="122" t="s">
        <v>3723</v>
      </c>
      <c r="F657" s="123">
        <v>-0.15827338129496402</v>
      </c>
      <c r="G657" s="123">
        <v>0.32478632478632491</v>
      </c>
    </row>
    <row r="658" spans="2:7" x14ac:dyDescent="0.2">
      <c r="B658" s="120" t="s">
        <v>1613</v>
      </c>
      <c r="C658" s="121" t="s">
        <v>1614</v>
      </c>
      <c r="D658" s="122" t="s">
        <v>3558</v>
      </c>
      <c r="E658" s="122" t="s">
        <v>3638</v>
      </c>
      <c r="F658" s="123">
        <v>8.2107843137254888E-2</v>
      </c>
      <c r="G658" s="123">
        <v>8.5503963759909485E-2</v>
      </c>
    </row>
    <row r="659" spans="2:7" x14ac:dyDescent="0.2">
      <c r="B659" s="120" t="s">
        <v>1615</v>
      </c>
      <c r="C659" s="121" t="s">
        <v>1616</v>
      </c>
      <c r="D659" s="122" t="s">
        <v>25</v>
      </c>
      <c r="E659" s="122" t="s">
        <v>3703</v>
      </c>
      <c r="F659" s="123">
        <v>0.16770186335403714</v>
      </c>
      <c r="G659" s="123">
        <v>1.0638297872340436E-2</v>
      </c>
    </row>
    <row r="660" spans="2:7" x14ac:dyDescent="0.2">
      <c r="B660" s="120" t="s">
        <v>1617</v>
      </c>
      <c r="C660" s="121" t="s">
        <v>1618</v>
      </c>
      <c r="D660" s="122" t="s">
        <v>3569</v>
      </c>
      <c r="E660" s="122" t="s">
        <v>3572</v>
      </c>
      <c r="F660" s="123">
        <v>0.32618025751072949</v>
      </c>
      <c r="G660" s="123">
        <v>0.2038834951456312</v>
      </c>
    </row>
    <row r="661" spans="2:7" x14ac:dyDescent="0.2">
      <c r="B661" s="120" t="s">
        <v>1619</v>
      </c>
      <c r="C661" s="121" t="s">
        <v>1620</v>
      </c>
      <c r="D661" s="122" t="s">
        <v>3612</v>
      </c>
      <c r="E661" s="122" t="s">
        <v>3661</v>
      </c>
      <c r="F661" s="123">
        <v>-0.29569892473118281</v>
      </c>
      <c r="G661" s="123">
        <v>0.30534351145038158</v>
      </c>
    </row>
    <row r="662" spans="2:7" x14ac:dyDescent="0.2">
      <c r="B662" s="120" t="s">
        <v>1621</v>
      </c>
      <c r="C662" s="121" t="s">
        <v>1622</v>
      </c>
      <c r="D662" s="122" t="s">
        <v>25</v>
      </c>
      <c r="E662" s="122" t="s">
        <v>3645</v>
      </c>
      <c r="F662" s="123">
        <v>0.14148681055155873</v>
      </c>
      <c r="G662" s="123">
        <v>0.12815126050420175</v>
      </c>
    </row>
    <row r="663" spans="2:7" x14ac:dyDescent="0.2">
      <c r="B663" s="120" t="s">
        <v>1623</v>
      </c>
      <c r="C663" s="121" t="s">
        <v>1624</v>
      </c>
      <c r="D663" s="122" t="s">
        <v>3576</v>
      </c>
      <c r="E663" s="122" t="s">
        <v>3636</v>
      </c>
      <c r="F663" s="123">
        <v>6.5573770491803338E-2</v>
      </c>
      <c r="G663" s="123">
        <v>3.0769230769230795E-2</v>
      </c>
    </row>
    <row r="664" spans="2:7" x14ac:dyDescent="0.2">
      <c r="B664" s="120" t="s">
        <v>1625</v>
      </c>
      <c r="C664" s="121" t="s">
        <v>1626</v>
      </c>
      <c r="D664" s="122" t="s">
        <v>25</v>
      </c>
      <c r="E664" s="122" t="s">
        <v>3712</v>
      </c>
      <c r="F664" s="123">
        <v>1.7341040462427761E-2</v>
      </c>
      <c r="G664" s="123">
        <v>2.2727272727272749E-2</v>
      </c>
    </row>
    <row r="665" spans="2:7" x14ac:dyDescent="0.2">
      <c r="B665" s="120" t="s">
        <v>1627</v>
      </c>
      <c r="C665" s="121" t="s">
        <v>1628</v>
      </c>
      <c r="D665" s="122" t="s">
        <v>3569</v>
      </c>
      <c r="E665" s="122" t="s">
        <v>3758</v>
      </c>
      <c r="F665" s="123">
        <v>0.11229946524064179</v>
      </c>
      <c r="G665" s="123">
        <v>8.4615384615384523E-2</v>
      </c>
    </row>
    <row r="666" spans="2:7" x14ac:dyDescent="0.2">
      <c r="B666" s="120" t="s">
        <v>1629</v>
      </c>
      <c r="C666" s="121" t="s">
        <v>1630</v>
      </c>
      <c r="D666" s="122" t="s">
        <v>3594</v>
      </c>
      <c r="E666" s="122" t="s">
        <v>3602</v>
      </c>
      <c r="F666" s="123">
        <v>-0.10384615384615385</v>
      </c>
      <c r="G666" s="123">
        <v>0.17167381974248921</v>
      </c>
    </row>
    <row r="667" spans="2:7" x14ac:dyDescent="0.2">
      <c r="B667" s="120" t="s">
        <v>1631</v>
      </c>
      <c r="C667" s="121" t="s">
        <v>1632</v>
      </c>
      <c r="D667" s="122" t="s">
        <v>3576</v>
      </c>
      <c r="E667" s="122" t="s">
        <v>3619</v>
      </c>
      <c r="F667" s="123">
        <v>-3.8461538461538491E-2</v>
      </c>
      <c r="G667" s="123">
        <v>4.0000000000000036E-2</v>
      </c>
    </row>
    <row r="668" spans="2:7" x14ac:dyDescent="0.2">
      <c r="B668" s="120" t="s">
        <v>1633</v>
      </c>
      <c r="C668" s="121" t="s">
        <v>1634</v>
      </c>
      <c r="D668" s="122" t="s">
        <v>3563</v>
      </c>
      <c r="E668" s="122" t="s">
        <v>3747</v>
      </c>
      <c r="F668" s="123">
        <v>3.1632653061224356E-2</v>
      </c>
      <c r="G668" s="123">
        <v>7.912957467853618E-2</v>
      </c>
    </row>
    <row r="669" spans="2:7" x14ac:dyDescent="0.2">
      <c r="B669" s="120" t="s">
        <v>1635</v>
      </c>
      <c r="C669" s="121" t="s">
        <v>1636</v>
      </c>
      <c r="D669" s="122" t="s">
        <v>3576</v>
      </c>
      <c r="E669" s="122" t="s">
        <v>3626</v>
      </c>
      <c r="F669" s="123">
        <v>0.16422287390029328</v>
      </c>
      <c r="G669" s="123">
        <v>0.21410579345088163</v>
      </c>
    </row>
    <row r="670" spans="2:7" x14ac:dyDescent="0.2">
      <c r="B670" s="120" t="s">
        <v>1637</v>
      </c>
      <c r="C670" s="121" t="s">
        <v>1638</v>
      </c>
      <c r="D670" s="122" t="s">
        <v>3558</v>
      </c>
      <c r="E670" s="122" t="s">
        <v>3638</v>
      </c>
      <c r="F670" s="123">
        <v>4.7619047619047665E-2</v>
      </c>
      <c r="G670" s="123">
        <v>-9.6590909090909047E-2</v>
      </c>
    </row>
    <row r="671" spans="2:7" x14ac:dyDescent="0.2">
      <c r="B671" s="120" t="s">
        <v>1639</v>
      </c>
      <c r="C671" s="121" t="s">
        <v>1640</v>
      </c>
      <c r="D671" s="122" t="s">
        <v>3591</v>
      </c>
      <c r="E671" s="122" t="s">
        <v>3592</v>
      </c>
      <c r="F671" s="123">
        <v>5.3475935828875866E-3</v>
      </c>
      <c r="G671" s="123">
        <v>5.3191489361702177E-2</v>
      </c>
    </row>
    <row r="672" spans="2:7" x14ac:dyDescent="0.2">
      <c r="B672" s="120" t="s">
        <v>1641</v>
      </c>
      <c r="C672" s="121" t="s">
        <v>1642</v>
      </c>
      <c r="D672" s="122" t="s">
        <v>25</v>
      </c>
      <c r="E672" s="122" t="s">
        <v>3666</v>
      </c>
      <c r="F672" s="123">
        <v>2.6315789473684237E-2</v>
      </c>
      <c r="G672" s="123">
        <v>4.2735042735042778E-2</v>
      </c>
    </row>
    <row r="673" spans="2:7" x14ac:dyDescent="0.2">
      <c r="B673" s="120" t="s">
        <v>1643</v>
      </c>
      <c r="C673" s="121" t="s">
        <v>1644</v>
      </c>
      <c r="D673" s="122" t="s">
        <v>3605</v>
      </c>
      <c r="E673" s="122" t="s">
        <v>3606</v>
      </c>
      <c r="F673" s="123">
        <v>0.21693121693121689</v>
      </c>
      <c r="G673" s="123">
        <v>0.1</v>
      </c>
    </row>
    <row r="674" spans="2:7" x14ac:dyDescent="0.2">
      <c r="B674" s="120" t="s">
        <v>1645</v>
      </c>
      <c r="C674" s="121" t="s">
        <v>1646</v>
      </c>
      <c r="D674" s="122" t="s">
        <v>24</v>
      </c>
      <c r="E674" s="122" t="s">
        <v>3573</v>
      </c>
      <c r="F674" s="123">
        <v>5.9574468085106434E-2</v>
      </c>
      <c r="G674" s="123">
        <v>8.8353413654618365E-2</v>
      </c>
    </row>
    <row r="675" spans="2:7" x14ac:dyDescent="0.2">
      <c r="B675" s="120" t="s">
        <v>1647</v>
      </c>
      <c r="C675" s="121" t="s">
        <v>1648</v>
      </c>
      <c r="D675" s="122" t="s">
        <v>24</v>
      </c>
      <c r="E675" s="122" t="s">
        <v>3713</v>
      </c>
      <c r="F675" s="123">
        <v>9.079283887468019E-2</v>
      </c>
      <c r="G675" s="123">
        <v>6.0961313012895826E-2</v>
      </c>
    </row>
    <row r="676" spans="2:7" x14ac:dyDescent="0.2">
      <c r="B676" s="120" t="s">
        <v>1649</v>
      </c>
      <c r="C676" s="121" t="s">
        <v>1650</v>
      </c>
      <c r="D676" s="122" t="s">
        <v>24</v>
      </c>
      <c r="E676" s="122" t="s">
        <v>3701</v>
      </c>
      <c r="F676" s="123">
        <v>-9.3567251461988257E-2</v>
      </c>
      <c r="G676" s="123">
        <v>4.5161290322580684E-2</v>
      </c>
    </row>
    <row r="677" spans="2:7" x14ac:dyDescent="0.2">
      <c r="B677" s="120" t="s">
        <v>1651</v>
      </c>
      <c r="C677" s="121" t="s">
        <v>1652</v>
      </c>
      <c r="D677" s="122" t="s">
        <v>3612</v>
      </c>
      <c r="E677" s="122" t="s">
        <v>3613</v>
      </c>
      <c r="F677" s="123">
        <v>0.21739130434782614</v>
      </c>
      <c r="G677" s="123">
        <v>3.3333333333333335</v>
      </c>
    </row>
    <row r="678" spans="2:7" x14ac:dyDescent="0.2">
      <c r="B678" s="120" t="s">
        <v>1653</v>
      </c>
      <c r="C678" s="121" t="s">
        <v>1654</v>
      </c>
      <c r="D678" s="122" t="s">
        <v>3612</v>
      </c>
      <c r="E678" s="122" t="s">
        <v>3739</v>
      </c>
      <c r="F678" s="123">
        <v>-0.24398073836276088</v>
      </c>
      <c r="G678" s="123">
        <v>0.10828025477707003</v>
      </c>
    </row>
    <row r="679" spans="2:7" x14ac:dyDescent="0.2">
      <c r="B679" s="120" t="s">
        <v>1655</v>
      </c>
      <c r="C679" s="121" t="s">
        <v>1656</v>
      </c>
      <c r="D679" s="122" t="s">
        <v>3576</v>
      </c>
      <c r="E679" s="122" t="s">
        <v>3663</v>
      </c>
      <c r="F679" s="123">
        <v>-0.51086956521739135</v>
      </c>
      <c r="G679" s="123">
        <v>-2.0222222222222221</v>
      </c>
    </row>
    <row r="680" spans="2:7" x14ac:dyDescent="0.2">
      <c r="B680" s="120" t="s">
        <v>1657</v>
      </c>
      <c r="C680" s="121" t="s">
        <v>1658</v>
      </c>
      <c r="D680" s="122" t="s">
        <v>3576</v>
      </c>
      <c r="E680" s="122" t="s">
        <v>3593</v>
      </c>
      <c r="F680" s="123">
        <v>0.26190476190476181</v>
      </c>
      <c r="G680" s="123">
        <v>3.3962264150943514E-2</v>
      </c>
    </row>
    <row r="681" spans="2:7" x14ac:dyDescent="0.2">
      <c r="B681" s="120" t="s">
        <v>1659</v>
      </c>
      <c r="C681" s="121" t="s">
        <v>1660</v>
      </c>
      <c r="D681" s="122" t="s">
        <v>3605</v>
      </c>
      <c r="E681" s="122" t="s">
        <v>3653</v>
      </c>
      <c r="F681" s="123">
        <v>-0.2586298459904407</v>
      </c>
      <c r="G681" s="123">
        <v>0.18338108882521478</v>
      </c>
    </row>
    <row r="682" spans="2:7" x14ac:dyDescent="0.2">
      <c r="B682" s="120" t="s">
        <v>1661</v>
      </c>
      <c r="C682" s="121" t="s">
        <v>1662</v>
      </c>
      <c r="D682" s="122" t="s">
        <v>3610</v>
      </c>
      <c r="E682" s="122" t="s">
        <v>3656</v>
      </c>
      <c r="F682" s="123">
        <v>-0.89336492890995256</v>
      </c>
      <c r="G682" s="123">
        <v>-1</v>
      </c>
    </row>
    <row r="683" spans="2:7" x14ac:dyDescent="0.2">
      <c r="B683" s="120" t="s">
        <v>1663</v>
      </c>
      <c r="C683" s="121" t="s">
        <v>1664</v>
      </c>
      <c r="D683" s="122" t="s">
        <v>3576</v>
      </c>
      <c r="E683" s="122" t="s">
        <v>3619</v>
      </c>
      <c r="F683" s="123">
        <v>-3.1976744186046478E-2</v>
      </c>
      <c r="G683" s="123">
        <v>6.9069069069069067E-2</v>
      </c>
    </row>
    <row r="684" spans="2:7" x14ac:dyDescent="0.2">
      <c r="B684" s="120" t="s">
        <v>1665</v>
      </c>
      <c r="C684" s="121" t="s">
        <v>1666</v>
      </c>
      <c r="D684" s="122" t="s">
        <v>3569</v>
      </c>
      <c r="E684" s="122" t="s">
        <v>3722</v>
      </c>
      <c r="F684" s="123">
        <v>9.4890510948905021E-2</v>
      </c>
      <c r="G684" s="123">
        <v>8.66666666666666E-2</v>
      </c>
    </row>
    <row r="685" spans="2:7" x14ac:dyDescent="0.2">
      <c r="B685" s="120" t="s">
        <v>1667</v>
      </c>
      <c r="C685" s="121" t="s">
        <v>1668</v>
      </c>
      <c r="D685" s="122" t="s">
        <v>3576</v>
      </c>
      <c r="E685" s="122" t="s">
        <v>3689</v>
      </c>
      <c r="F685" s="123">
        <v>5.5555555555555608E-2</v>
      </c>
      <c r="G685" s="123">
        <v>0.2368421052631578</v>
      </c>
    </row>
    <row r="686" spans="2:7" x14ac:dyDescent="0.2">
      <c r="B686" s="120" t="s">
        <v>1669</v>
      </c>
      <c r="C686" s="121" t="s">
        <v>1670</v>
      </c>
      <c r="D686" s="122" t="s">
        <v>3563</v>
      </c>
      <c r="E686" s="122" t="s">
        <v>3725</v>
      </c>
      <c r="F686" s="123">
        <v>-8.4210526315789541E-2</v>
      </c>
      <c r="G686" s="123">
        <v>0.23754789272030657</v>
      </c>
    </row>
    <row r="687" spans="2:7" x14ac:dyDescent="0.2">
      <c r="B687" s="120" t="s">
        <v>1671</v>
      </c>
      <c r="C687" s="121" t="s">
        <v>1672</v>
      </c>
      <c r="D687" s="122" t="s">
        <v>3576</v>
      </c>
      <c r="E687" s="122" t="s">
        <v>3651</v>
      </c>
      <c r="F687" s="123">
        <v>0.10074626865671642</v>
      </c>
      <c r="G687" s="123">
        <v>0.1220338983050847</v>
      </c>
    </row>
    <row r="688" spans="2:7" x14ac:dyDescent="0.2">
      <c r="B688" s="120" t="s">
        <v>1673</v>
      </c>
      <c r="C688" s="121" t="s">
        <v>1674</v>
      </c>
      <c r="D688" s="122" t="s">
        <v>3558</v>
      </c>
      <c r="E688" s="122" t="s">
        <v>3567</v>
      </c>
      <c r="F688" s="123">
        <v>9.523809523809515E-2</v>
      </c>
      <c r="G688" s="123">
        <v>5.7971014492753679E-2</v>
      </c>
    </row>
    <row r="689" spans="2:7" x14ac:dyDescent="0.2">
      <c r="B689" s="120" t="s">
        <v>1675</v>
      </c>
      <c r="C689" s="121" t="s">
        <v>1676</v>
      </c>
      <c r="D689" s="122" t="s">
        <v>3576</v>
      </c>
      <c r="E689" s="122" t="s">
        <v>3604</v>
      </c>
      <c r="F689" s="123">
        <v>6.2176165803108752E-2</v>
      </c>
      <c r="G689" s="123">
        <v>0.14146341463414638</v>
      </c>
    </row>
    <row r="690" spans="2:7" x14ac:dyDescent="0.2">
      <c r="B690" s="120" t="s">
        <v>1677</v>
      </c>
      <c r="C690" s="121" t="s">
        <v>1678</v>
      </c>
      <c r="D690" s="122" t="s">
        <v>25</v>
      </c>
      <c r="E690" s="122" t="s">
        <v>3703</v>
      </c>
      <c r="F690" s="123">
        <v>0.42962962962962947</v>
      </c>
      <c r="G690" s="123">
        <v>0.1062176165803108</v>
      </c>
    </row>
    <row r="691" spans="2:7" x14ac:dyDescent="0.2">
      <c r="B691" s="120" t="s">
        <v>1679</v>
      </c>
      <c r="C691" s="121" t="s">
        <v>1680</v>
      </c>
      <c r="D691" s="122" t="s">
        <v>3569</v>
      </c>
      <c r="E691" s="122" t="s">
        <v>3570</v>
      </c>
      <c r="F691" s="123">
        <v>-0.18904109589041096</v>
      </c>
      <c r="G691" s="123">
        <v>3.7162162162162123E-2</v>
      </c>
    </row>
    <row r="692" spans="2:7" x14ac:dyDescent="0.2">
      <c r="B692" s="120" t="s">
        <v>1681</v>
      </c>
      <c r="C692" s="121" t="s">
        <v>1682</v>
      </c>
      <c r="D692" s="122" t="s">
        <v>3610</v>
      </c>
      <c r="E692" s="122" t="s">
        <v>3656</v>
      </c>
      <c r="F692" s="123">
        <v>-0.10554089709762531</v>
      </c>
      <c r="G692" s="123">
        <v>0.10029498525073742</v>
      </c>
    </row>
    <row r="693" spans="2:7" x14ac:dyDescent="0.2">
      <c r="B693" s="120" t="s">
        <v>1683</v>
      </c>
      <c r="C693" s="121" t="s">
        <v>1684</v>
      </c>
      <c r="D693" s="122" t="s">
        <v>3569</v>
      </c>
      <c r="E693" s="122" t="s">
        <v>3697</v>
      </c>
      <c r="F693" s="123">
        <v>0.27450980392156865</v>
      </c>
      <c r="G693" s="123">
        <v>3.0769230769230795E-2</v>
      </c>
    </row>
    <row r="694" spans="2:7" x14ac:dyDescent="0.2">
      <c r="B694" s="120" t="s">
        <v>1685</v>
      </c>
      <c r="C694" s="121" t="s">
        <v>1686</v>
      </c>
      <c r="D694" s="122" t="s">
        <v>3591</v>
      </c>
      <c r="E694" s="122" t="s">
        <v>3592</v>
      </c>
      <c r="F694" s="123">
        <v>1.1234567901234567</v>
      </c>
      <c r="G694" s="123">
        <v>8.7209302325581481E-2</v>
      </c>
    </row>
    <row r="695" spans="2:7" x14ac:dyDescent="0.2">
      <c r="B695" s="120" t="s">
        <v>1687</v>
      </c>
      <c r="C695" s="121" t="s">
        <v>1688</v>
      </c>
      <c r="D695" s="122" t="s">
        <v>3556</v>
      </c>
      <c r="E695" s="122" t="s">
        <v>3733</v>
      </c>
      <c r="F695" s="123">
        <v>3.0821917808219131E-2</v>
      </c>
      <c r="G695" s="123">
        <v>6.6445182724252554E-3</v>
      </c>
    </row>
    <row r="696" spans="2:7" x14ac:dyDescent="0.2">
      <c r="B696" s="120" t="s">
        <v>1689</v>
      </c>
      <c r="C696" s="121" t="s">
        <v>1690</v>
      </c>
      <c r="D696" s="122" t="s">
        <v>3610</v>
      </c>
      <c r="E696" s="122" t="s">
        <v>3745</v>
      </c>
      <c r="F696" s="123">
        <v>-0.17365269461077848</v>
      </c>
      <c r="G696" s="123">
        <v>0.27898550724637683</v>
      </c>
    </row>
    <row r="697" spans="2:7" x14ac:dyDescent="0.2">
      <c r="B697" s="120" t="s">
        <v>1691</v>
      </c>
      <c r="C697" s="121" t="s">
        <v>1692</v>
      </c>
      <c r="D697" s="122" t="s">
        <v>3569</v>
      </c>
      <c r="E697" s="122" t="s">
        <v>3574</v>
      </c>
      <c r="F697" s="123">
        <v>8.9285714285714163E-2</v>
      </c>
      <c r="G697" s="123">
        <v>7.7868852459016369E-2</v>
      </c>
    </row>
    <row r="698" spans="2:7" x14ac:dyDescent="0.2">
      <c r="B698" s="120" t="s">
        <v>1693</v>
      </c>
      <c r="C698" s="121" t="s">
        <v>1694</v>
      </c>
      <c r="D698" s="122" t="s">
        <v>3576</v>
      </c>
      <c r="E698" s="122" t="s">
        <v>3671</v>
      </c>
      <c r="F698" s="123">
        <v>-2.2727272727272749E-2</v>
      </c>
      <c r="G698" s="123">
        <v>2.3255813953488393E-2</v>
      </c>
    </row>
    <row r="699" spans="2:7" x14ac:dyDescent="0.2">
      <c r="B699" s="120" t="s">
        <v>1695</v>
      </c>
      <c r="C699" s="121" t="s">
        <v>1696</v>
      </c>
      <c r="D699" s="122" t="s">
        <v>3679</v>
      </c>
      <c r="E699" s="122" t="s">
        <v>3680</v>
      </c>
      <c r="F699" s="123">
        <v>1.5037593984962308E-2</v>
      </c>
      <c r="G699" s="123">
        <v>9.5061728395061676E-2</v>
      </c>
    </row>
    <row r="700" spans="2:7" x14ac:dyDescent="0.2">
      <c r="B700" s="120" t="s">
        <v>1697</v>
      </c>
      <c r="C700" s="121" t="s">
        <v>1698</v>
      </c>
      <c r="D700" s="122" t="s">
        <v>3612</v>
      </c>
      <c r="E700" s="122" t="s">
        <v>3759</v>
      </c>
      <c r="F700" s="123">
        <v>9.7857142857142847</v>
      </c>
      <c r="G700" s="123">
        <v>-0.36423841059602652</v>
      </c>
    </row>
    <row r="701" spans="2:7" x14ac:dyDescent="0.2">
      <c r="B701" s="120" t="s">
        <v>1699</v>
      </c>
      <c r="C701" s="121" t="s">
        <v>1700</v>
      </c>
      <c r="D701" s="122" t="s">
        <v>3556</v>
      </c>
      <c r="E701" s="122" t="s">
        <v>3760</v>
      </c>
      <c r="F701" s="123">
        <v>0.1372549019607843</v>
      </c>
      <c r="G701" s="123">
        <v>1.1494252873563229E-2</v>
      </c>
    </row>
    <row r="702" spans="2:7" x14ac:dyDescent="0.2">
      <c r="B702" s="120" t="s">
        <v>1701</v>
      </c>
      <c r="C702" s="121" t="s">
        <v>1702</v>
      </c>
      <c r="D702" s="122" t="s">
        <v>3576</v>
      </c>
      <c r="E702" s="122" t="s">
        <v>3619</v>
      </c>
      <c r="F702" s="123">
        <v>7.5268817204301022E-2</v>
      </c>
      <c r="G702" s="123">
        <v>9.000000000000008E-2</v>
      </c>
    </row>
    <row r="703" spans="2:7" x14ac:dyDescent="0.2">
      <c r="B703" s="120" t="s">
        <v>1703</v>
      </c>
      <c r="C703" s="121" t="s">
        <v>1704</v>
      </c>
      <c r="D703" s="122" t="s">
        <v>3556</v>
      </c>
      <c r="E703" s="122" t="s">
        <v>3566</v>
      </c>
      <c r="F703" s="123">
        <v>9.4059405940594032E-2</v>
      </c>
      <c r="G703" s="123">
        <v>4.5248868778281588E-3</v>
      </c>
    </row>
    <row r="704" spans="2:7" x14ac:dyDescent="0.2">
      <c r="B704" s="120" t="s">
        <v>1705</v>
      </c>
      <c r="C704" s="121" t="s">
        <v>1706</v>
      </c>
      <c r="D704" s="122" t="s">
        <v>3576</v>
      </c>
      <c r="E704" s="122" t="s">
        <v>3619</v>
      </c>
      <c r="F704" s="123">
        <v>-1.0666666666666677E-2</v>
      </c>
      <c r="G704" s="123">
        <v>2.1563342318059318E-2</v>
      </c>
    </row>
    <row r="705" spans="2:7" x14ac:dyDescent="0.2">
      <c r="B705" s="120" t="s">
        <v>1707</v>
      </c>
      <c r="C705" s="121" t="s">
        <v>1708</v>
      </c>
      <c r="D705" s="122" t="s">
        <v>3569</v>
      </c>
      <c r="E705" s="122" t="s">
        <v>3718</v>
      </c>
      <c r="F705" s="123">
        <v>5.2173913043478314E-2</v>
      </c>
      <c r="G705" s="123">
        <v>0.19834710743801653</v>
      </c>
    </row>
    <row r="706" spans="2:7" x14ac:dyDescent="0.2">
      <c r="B706" s="120" t="s">
        <v>1709</v>
      </c>
      <c r="C706" s="121" t="s">
        <v>1710</v>
      </c>
      <c r="D706" s="122" t="s">
        <v>25</v>
      </c>
      <c r="E706" s="122" t="s">
        <v>3662</v>
      </c>
      <c r="F706" s="123">
        <v>5.0505050505050553E-3</v>
      </c>
      <c r="G706" s="123">
        <v>2.512562814070354E-2</v>
      </c>
    </row>
    <row r="707" spans="2:7" x14ac:dyDescent="0.2">
      <c r="B707" s="120" t="s">
        <v>1711</v>
      </c>
      <c r="C707" s="121" t="s">
        <v>1712</v>
      </c>
      <c r="D707" s="122" t="s">
        <v>3569</v>
      </c>
      <c r="E707" s="122" t="s">
        <v>3572</v>
      </c>
      <c r="F707" s="123">
        <v>8.8362068965517279E-2</v>
      </c>
      <c r="G707" s="123">
        <v>8.9108910891089146E-2</v>
      </c>
    </row>
    <row r="708" spans="2:7" x14ac:dyDescent="0.2">
      <c r="B708" s="120" t="s">
        <v>1713</v>
      </c>
      <c r="C708" s="121" t="s">
        <v>1714</v>
      </c>
      <c r="D708" s="122" t="s">
        <v>3576</v>
      </c>
      <c r="E708" s="122" t="s">
        <v>3604</v>
      </c>
      <c r="F708" s="123">
        <v>0.14728682170542631</v>
      </c>
      <c r="G708" s="123">
        <v>0.11486486486486482</v>
      </c>
    </row>
    <row r="709" spans="2:7" x14ac:dyDescent="0.2">
      <c r="B709" s="120" t="s">
        <v>1715</v>
      </c>
      <c r="C709" s="121" t="s">
        <v>1716</v>
      </c>
      <c r="D709" s="122" t="s">
        <v>24</v>
      </c>
      <c r="E709" s="122" t="s">
        <v>3761</v>
      </c>
      <c r="F709" s="123">
        <v>5.7803468208092535E-3</v>
      </c>
      <c r="G709" s="123">
        <v>2.2988505747126457E-2</v>
      </c>
    </row>
    <row r="710" spans="2:7" x14ac:dyDescent="0.2">
      <c r="B710" s="120" t="s">
        <v>1717</v>
      </c>
      <c r="C710" s="121" t="s">
        <v>1718</v>
      </c>
      <c r="D710" s="122" t="s">
        <v>3576</v>
      </c>
      <c r="E710" s="122" t="s">
        <v>3626</v>
      </c>
      <c r="F710" s="123">
        <v>-2.4258760107816673E-2</v>
      </c>
      <c r="G710" s="123">
        <v>-1.9337016574585714E-2</v>
      </c>
    </row>
    <row r="711" spans="2:7" x14ac:dyDescent="0.2">
      <c r="B711" s="120" t="s">
        <v>1719</v>
      </c>
      <c r="C711" s="121" t="s">
        <v>1720</v>
      </c>
      <c r="D711" s="122" t="s">
        <v>3569</v>
      </c>
      <c r="E711" s="122" t="s">
        <v>3571</v>
      </c>
      <c r="F711" s="123">
        <v>-0.16019417475728159</v>
      </c>
      <c r="G711" s="123">
        <v>8.3815028901734118E-2</v>
      </c>
    </row>
    <row r="712" spans="2:7" x14ac:dyDescent="0.2">
      <c r="B712" s="120" t="s">
        <v>1721</v>
      </c>
      <c r="C712" s="121" t="s">
        <v>1722</v>
      </c>
      <c r="D712" s="122" t="s">
        <v>3576</v>
      </c>
      <c r="E712" s="122" t="s">
        <v>3626</v>
      </c>
      <c r="F712" s="123">
        <v>3.2258064516129059E-2</v>
      </c>
      <c r="G712" s="123">
        <v>-6.2500000000000056E-3</v>
      </c>
    </row>
    <row r="713" spans="2:7" x14ac:dyDescent="0.2">
      <c r="B713" s="120" t="s">
        <v>1723</v>
      </c>
      <c r="C713" s="121" t="s">
        <v>1724</v>
      </c>
      <c r="D713" s="122" t="s">
        <v>3576</v>
      </c>
      <c r="E713" s="122" t="s">
        <v>3619</v>
      </c>
      <c r="F713" s="123">
        <v>1.1428571428571439E-2</v>
      </c>
      <c r="G713" s="123">
        <v>-3.389830508474579E-2</v>
      </c>
    </row>
    <row r="714" spans="2:7" x14ac:dyDescent="0.2">
      <c r="B714" s="120" t="s">
        <v>1725</v>
      </c>
      <c r="C714" s="121" t="s">
        <v>1726</v>
      </c>
      <c r="D714" s="122" t="s">
        <v>24</v>
      </c>
      <c r="E714" s="122" t="s">
        <v>3762</v>
      </c>
      <c r="F714" s="123">
        <v>6.8901303538175071E-2</v>
      </c>
      <c r="G714" s="123">
        <v>6.2717770034843107E-2</v>
      </c>
    </row>
    <row r="715" spans="2:7" x14ac:dyDescent="0.2">
      <c r="B715" s="120" t="s">
        <v>1727</v>
      </c>
      <c r="C715" s="121" t="s">
        <v>1728</v>
      </c>
      <c r="D715" s="122" t="s">
        <v>3576</v>
      </c>
      <c r="E715" s="122" t="s">
        <v>3619</v>
      </c>
      <c r="F715" s="123">
        <v>6.1349693251533804E-3</v>
      </c>
      <c r="G715" s="123">
        <v>3.6585365853658569E-2</v>
      </c>
    </row>
    <row r="716" spans="2:7" x14ac:dyDescent="0.2">
      <c r="B716" s="120" t="s">
        <v>1729</v>
      </c>
      <c r="C716" s="121" t="s">
        <v>1730</v>
      </c>
      <c r="D716" s="122" t="s">
        <v>3679</v>
      </c>
      <c r="E716" s="122" t="s">
        <v>3680</v>
      </c>
      <c r="F716" s="123">
        <v>1.062953995157385</v>
      </c>
      <c r="G716" s="123">
        <v>0.20305164319248833</v>
      </c>
    </row>
    <row r="717" spans="2:7" x14ac:dyDescent="0.2">
      <c r="B717" s="120" t="s">
        <v>1731</v>
      </c>
      <c r="C717" s="121" t="s">
        <v>1732</v>
      </c>
      <c r="D717" s="122" t="s">
        <v>25</v>
      </c>
      <c r="E717" s="122" t="s">
        <v>3703</v>
      </c>
      <c r="F717" s="123">
        <v>-6.0975609756097483E-2</v>
      </c>
      <c r="G717" s="123">
        <v>0.29870129870129869</v>
      </c>
    </row>
    <row r="718" spans="2:7" x14ac:dyDescent="0.2">
      <c r="B718" s="120" t="s">
        <v>1733</v>
      </c>
      <c r="C718" s="121" t="s">
        <v>1734</v>
      </c>
      <c r="D718" s="122" t="s">
        <v>3558</v>
      </c>
      <c r="E718" s="122" t="s">
        <v>3763</v>
      </c>
      <c r="F718" s="123">
        <v>0.1129476584022039</v>
      </c>
      <c r="G718" s="123">
        <v>8.7871287128712755E-2</v>
      </c>
    </row>
    <row r="719" spans="2:7" x14ac:dyDescent="0.2">
      <c r="B719" s="120" t="s">
        <v>1735</v>
      </c>
      <c r="C719" s="121" t="s">
        <v>1736</v>
      </c>
      <c r="D719" s="122" t="s">
        <v>3556</v>
      </c>
      <c r="E719" s="122" t="s">
        <v>3630</v>
      </c>
      <c r="F719" s="123">
        <v>0.74074074074074048</v>
      </c>
      <c r="G719" s="123">
        <v>0.23404255319148942</v>
      </c>
    </row>
    <row r="720" spans="2:7" x14ac:dyDescent="0.2">
      <c r="B720" s="120" t="s">
        <v>1737</v>
      </c>
      <c r="C720" s="121" t="s">
        <v>1738</v>
      </c>
      <c r="D720" s="122" t="s">
        <v>3569</v>
      </c>
      <c r="E720" s="122" t="s">
        <v>3625</v>
      </c>
      <c r="F720" s="123">
        <v>0.22453222453222468</v>
      </c>
      <c r="G720" s="123">
        <v>6.5082059988681287E-2</v>
      </c>
    </row>
    <row r="721" spans="2:7" x14ac:dyDescent="0.2">
      <c r="B721" s="120" t="s">
        <v>1739</v>
      </c>
      <c r="C721" s="121" t="s">
        <v>1740</v>
      </c>
      <c r="D721" s="122" t="s">
        <v>3594</v>
      </c>
      <c r="E721" s="122" t="s">
        <v>3602</v>
      </c>
      <c r="F721" s="123">
        <v>-0.31547619047619052</v>
      </c>
      <c r="G721" s="123">
        <v>0.19130434782608713</v>
      </c>
    </row>
    <row r="722" spans="2:7" x14ac:dyDescent="0.2">
      <c r="B722" s="120" t="s">
        <v>1741</v>
      </c>
      <c r="C722" s="121" t="s">
        <v>1742</v>
      </c>
      <c r="D722" s="122" t="s">
        <v>3576</v>
      </c>
      <c r="E722" s="122" t="s">
        <v>3603</v>
      </c>
      <c r="F722" s="123">
        <v>0.15789473684210512</v>
      </c>
      <c r="G722" s="123">
        <v>1.2237762237762288E-2</v>
      </c>
    </row>
    <row r="723" spans="2:7" x14ac:dyDescent="0.2">
      <c r="B723" s="120" t="s">
        <v>1743</v>
      </c>
      <c r="C723" s="121" t="s">
        <v>1744</v>
      </c>
      <c r="D723" s="122" t="s">
        <v>25</v>
      </c>
      <c r="E723" s="122" t="s">
        <v>3738</v>
      </c>
      <c r="F723" s="123">
        <v>1.8072289156626523E-2</v>
      </c>
      <c r="G723" s="123">
        <v>6.5088757396449759E-2</v>
      </c>
    </row>
    <row r="724" spans="2:7" x14ac:dyDescent="0.2">
      <c r="B724" s="120" t="s">
        <v>1745</v>
      </c>
      <c r="C724" s="121" t="s">
        <v>1746</v>
      </c>
      <c r="D724" s="122" t="s">
        <v>3605</v>
      </c>
      <c r="E724" s="122" t="s">
        <v>3606</v>
      </c>
      <c r="F724" s="123">
        <v>0.16171617161716179</v>
      </c>
      <c r="G724" s="123">
        <v>0.11079545454545459</v>
      </c>
    </row>
    <row r="725" spans="2:7" x14ac:dyDescent="0.2">
      <c r="B725" s="120" t="s">
        <v>1747</v>
      </c>
      <c r="C725" s="121" t="s">
        <v>1748</v>
      </c>
      <c r="D725" s="122" t="s">
        <v>3569</v>
      </c>
      <c r="E725" s="122" t="s">
        <v>3575</v>
      </c>
      <c r="F725" s="123">
        <v>7.1428571428571494E-2</v>
      </c>
      <c r="G725" s="123">
        <v>0.11666666666666652</v>
      </c>
    </row>
    <row r="726" spans="2:7" x14ac:dyDescent="0.2">
      <c r="B726" s="120" t="s">
        <v>1749</v>
      </c>
      <c r="C726" s="121" t="s">
        <v>1750</v>
      </c>
      <c r="D726" s="122" t="s">
        <v>3556</v>
      </c>
      <c r="E726" s="122" t="s">
        <v>3744</v>
      </c>
      <c r="F726" s="123">
        <v>0.39353099730458219</v>
      </c>
      <c r="G726" s="123">
        <v>-0.32000000000000006</v>
      </c>
    </row>
    <row r="727" spans="2:7" x14ac:dyDescent="0.2">
      <c r="B727" s="120" t="s">
        <v>1751</v>
      </c>
      <c r="C727" s="121" t="s">
        <v>1752</v>
      </c>
      <c r="D727" s="122" t="s">
        <v>3563</v>
      </c>
      <c r="E727" s="122" t="s">
        <v>3622</v>
      </c>
      <c r="F727" s="123">
        <v>-0.21288014311270118</v>
      </c>
      <c r="G727" s="123">
        <v>0.31136363636363618</v>
      </c>
    </row>
    <row r="728" spans="2:7" x14ac:dyDescent="0.2">
      <c r="B728" s="120" t="s">
        <v>1753</v>
      </c>
      <c r="C728" s="121" t="s">
        <v>1754</v>
      </c>
      <c r="D728" s="122" t="s">
        <v>3569</v>
      </c>
      <c r="E728" s="122" t="s">
        <v>3574</v>
      </c>
      <c r="F728" s="123">
        <v>0.14225941422594135</v>
      </c>
      <c r="G728" s="123">
        <v>0.10989010989010982</v>
      </c>
    </row>
    <row r="729" spans="2:7" x14ac:dyDescent="0.2">
      <c r="B729" s="120" t="s">
        <v>1755</v>
      </c>
      <c r="C729" s="121" t="s">
        <v>1756</v>
      </c>
      <c r="D729" s="122" t="s">
        <v>3576</v>
      </c>
      <c r="E729" s="122" t="s">
        <v>3671</v>
      </c>
      <c r="F729" s="123">
        <v>7.7155824508320689E-2</v>
      </c>
      <c r="G729" s="123">
        <v>2.1067415730337005E-2</v>
      </c>
    </row>
    <row r="730" spans="2:7" x14ac:dyDescent="0.2">
      <c r="B730" s="120" t="s">
        <v>1757</v>
      </c>
      <c r="C730" s="121" t="s">
        <v>1758</v>
      </c>
      <c r="D730" s="122" t="s">
        <v>3576</v>
      </c>
      <c r="E730" s="122" t="s">
        <v>3620</v>
      </c>
      <c r="F730" s="123">
        <v>0.104265402843602</v>
      </c>
      <c r="G730" s="123">
        <v>0.1459227467811158</v>
      </c>
    </row>
    <row r="731" spans="2:7" x14ac:dyDescent="0.2">
      <c r="B731" s="120" t="s">
        <v>1759</v>
      </c>
      <c r="C731" s="121" t="s">
        <v>1760</v>
      </c>
      <c r="D731" s="122" t="s">
        <v>3556</v>
      </c>
      <c r="E731" s="122" t="s">
        <v>3760</v>
      </c>
      <c r="F731" s="123">
        <v>-7.1117561683599326E-2</v>
      </c>
      <c r="G731" s="123">
        <v>3.90625E-2</v>
      </c>
    </row>
    <row r="732" spans="2:7" x14ac:dyDescent="0.2">
      <c r="B732" s="120" t="s">
        <v>1761</v>
      </c>
      <c r="C732" s="121" t="s">
        <v>1762</v>
      </c>
      <c r="D732" s="122" t="s">
        <v>3576</v>
      </c>
      <c r="E732" s="122" t="s">
        <v>3626</v>
      </c>
      <c r="F732" s="123">
        <v>2.25</v>
      </c>
      <c r="G732" s="123">
        <v>0.3076923076923076</v>
      </c>
    </row>
    <row r="733" spans="2:7" x14ac:dyDescent="0.2">
      <c r="B733" s="120" t="s">
        <v>1763</v>
      </c>
      <c r="C733" s="121" t="s">
        <v>1764</v>
      </c>
      <c r="D733" s="122" t="s">
        <v>3576</v>
      </c>
      <c r="E733" s="122" t="s">
        <v>3688</v>
      </c>
      <c r="F733" s="123">
        <v>5.3221288515406147E-2</v>
      </c>
      <c r="G733" s="123">
        <v>0.10638297872340435</v>
      </c>
    </row>
    <row r="734" spans="2:7" x14ac:dyDescent="0.2">
      <c r="B734" s="120" t="s">
        <v>1765</v>
      </c>
      <c r="C734" s="121" t="s">
        <v>1766</v>
      </c>
      <c r="D734" s="122" t="s">
        <v>3594</v>
      </c>
      <c r="E734" s="122" t="s">
        <v>3637</v>
      </c>
      <c r="F734" s="123">
        <v>0.16666666666666666</v>
      </c>
      <c r="G734" s="123">
        <v>0.11904761904761903</v>
      </c>
    </row>
    <row r="735" spans="2:7" x14ac:dyDescent="0.2">
      <c r="B735" s="120" t="s">
        <v>1767</v>
      </c>
      <c r="C735" s="121" t="s">
        <v>1768</v>
      </c>
      <c r="D735" s="122" t="s">
        <v>3569</v>
      </c>
      <c r="E735" s="122" t="s">
        <v>3718</v>
      </c>
      <c r="F735" s="123">
        <v>0.13344316309719928</v>
      </c>
      <c r="G735" s="123">
        <v>0.11918604651162795</v>
      </c>
    </row>
    <row r="736" spans="2:7" x14ac:dyDescent="0.2">
      <c r="B736" s="120" t="s">
        <v>1769</v>
      </c>
      <c r="C736" s="121" t="s">
        <v>1770</v>
      </c>
      <c r="D736" s="122" t="s">
        <v>3569</v>
      </c>
      <c r="E736" s="122" t="s">
        <v>3572</v>
      </c>
      <c r="F736" s="123">
        <v>-7.2684642438452435E-2</v>
      </c>
      <c r="G736" s="123">
        <v>-2.5284450063211708E-3</v>
      </c>
    </row>
    <row r="737" spans="2:7" x14ac:dyDescent="0.2">
      <c r="B737" s="120" t="s">
        <v>1771</v>
      </c>
      <c r="C737" s="121" t="s">
        <v>1772</v>
      </c>
      <c r="D737" s="122" t="s">
        <v>3591</v>
      </c>
      <c r="E737" s="122" t="s">
        <v>3592</v>
      </c>
      <c r="F737" s="123">
        <v>2.2471910112359071E-3</v>
      </c>
      <c r="G737" s="123">
        <v>2.2421524663677049E-2</v>
      </c>
    </row>
    <row r="738" spans="2:7" x14ac:dyDescent="0.2">
      <c r="B738" s="120" t="s">
        <v>1773</v>
      </c>
      <c r="C738" s="121" t="s">
        <v>1774</v>
      </c>
      <c r="D738" s="122" t="s">
        <v>3563</v>
      </c>
      <c r="E738" s="122" t="s">
        <v>3676</v>
      </c>
      <c r="F738" s="123">
        <v>4.4776119402984947E-2</v>
      </c>
      <c r="G738" s="123">
        <v>0.10000000000000009</v>
      </c>
    </row>
    <row r="739" spans="2:7" x14ac:dyDescent="0.2">
      <c r="B739" s="120" t="s">
        <v>1775</v>
      </c>
      <c r="C739" s="121" t="s">
        <v>1776</v>
      </c>
      <c r="D739" s="122" t="s">
        <v>3569</v>
      </c>
      <c r="E739" s="122" t="s">
        <v>3574</v>
      </c>
      <c r="F739" s="123">
        <v>0.15990453460620521</v>
      </c>
      <c r="G739" s="123">
        <v>0.14609053497942384</v>
      </c>
    </row>
    <row r="740" spans="2:7" x14ac:dyDescent="0.2">
      <c r="B740" s="120" t="s">
        <v>1777</v>
      </c>
      <c r="C740" s="121" t="s">
        <v>1778</v>
      </c>
      <c r="D740" s="122" t="s">
        <v>3558</v>
      </c>
      <c r="E740" s="122" t="s">
        <v>3642</v>
      </c>
      <c r="F740" s="123">
        <v>8.7686567164179052E-2</v>
      </c>
      <c r="G740" s="123">
        <v>5.317324185248707E-2</v>
      </c>
    </row>
    <row r="741" spans="2:7" x14ac:dyDescent="0.2">
      <c r="B741" s="120" t="s">
        <v>1779</v>
      </c>
      <c r="C741" s="121" t="s">
        <v>1780</v>
      </c>
      <c r="D741" s="122" t="s">
        <v>24</v>
      </c>
      <c r="E741" s="122" t="s">
        <v>3589</v>
      </c>
      <c r="F741" s="123">
        <v>1.1437908496732072E-2</v>
      </c>
      <c r="G741" s="123">
        <v>8.723747980613894E-2</v>
      </c>
    </row>
    <row r="742" spans="2:7" x14ac:dyDescent="0.2">
      <c r="B742" s="120" t="s">
        <v>1781</v>
      </c>
      <c r="C742" s="121" t="s">
        <v>1782</v>
      </c>
      <c r="D742" s="122" t="s">
        <v>3556</v>
      </c>
      <c r="E742" s="122" t="s">
        <v>3616</v>
      </c>
      <c r="F742" s="123">
        <v>-9.0090090090090169E-2</v>
      </c>
      <c r="G742" s="123">
        <v>1.980198019801982E-2</v>
      </c>
    </row>
    <row r="743" spans="2:7" x14ac:dyDescent="0.2">
      <c r="B743" s="120" t="s">
        <v>1783</v>
      </c>
      <c r="C743" s="121" t="s">
        <v>1784</v>
      </c>
      <c r="D743" s="122" t="s">
        <v>25</v>
      </c>
      <c r="E743" s="122" t="s">
        <v>3703</v>
      </c>
      <c r="F743" s="123">
        <v>5.1194539249146721E-2</v>
      </c>
      <c r="G743" s="123">
        <v>0.10389610389610385</v>
      </c>
    </row>
    <row r="744" spans="2:7" x14ac:dyDescent="0.2">
      <c r="B744" s="120" t="s">
        <v>1785</v>
      </c>
      <c r="C744" s="121" t="s">
        <v>1786</v>
      </c>
      <c r="D744" s="122" t="s">
        <v>3558</v>
      </c>
      <c r="E744" s="122" t="s">
        <v>3642</v>
      </c>
      <c r="F744" s="123">
        <v>-0.96081632653061222</v>
      </c>
      <c r="G744" s="123">
        <v>0.35416666666666674</v>
      </c>
    </row>
    <row r="745" spans="2:7" x14ac:dyDescent="0.2">
      <c r="B745" s="120" t="s">
        <v>1787</v>
      </c>
      <c r="C745" s="121" t="s">
        <v>1788</v>
      </c>
      <c r="D745" s="122" t="s">
        <v>3582</v>
      </c>
      <c r="E745" s="122" t="s">
        <v>3664</v>
      </c>
      <c r="F745" s="123">
        <v>4.7244094488189017E-2</v>
      </c>
      <c r="G745" s="123">
        <v>9.3984962406015032E-2</v>
      </c>
    </row>
    <row r="746" spans="2:7" x14ac:dyDescent="0.2">
      <c r="B746" s="120" t="s">
        <v>1789</v>
      </c>
      <c r="C746" s="121" t="s">
        <v>1790</v>
      </c>
      <c r="D746" s="122" t="s">
        <v>3569</v>
      </c>
      <c r="E746" s="122" t="s">
        <v>3575</v>
      </c>
      <c r="F746" s="123">
        <v>4.8611111111111154E-2</v>
      </c>
      <c r="G746" s="123">
        <v>0.16721854304635758</v>
      </c>
    </row>
    <row r="747" spans="2:7" x14ac:dyDescent="0.2">
      <c r="B747" s="120" t="s">
        <v>1791</v>
      </c>
      <c r="C747" s="121" t="s">
        <v>1792</v>
      </c>
      <c r="D747" s="122" t="s">
        <v>24</v>
      </c>
      <c r="E747" s="122" t="s">
        <v>3675</v>
      </c>
      <c r="F747" s="123">
        <v>3.8011695906432719E-2</v>
      </c>
      <c r="G747" s="123">
        <v>7.6056338028169024E-2</v>
      </c>
    </row>
    <row r="748" spans="2:7" x14ac:dyDescent="0.2">
      <c r="B748" s="120" t="s">
        <v>1793</v>
      </c>
      <c r="C748" s="121" t="s">
        <v>1794</v>
      </c>
      <c r="D748" s="122" t="s">
        <v>3580</v>
      </c>
      <c r="E748" s="122" t="s">
        <v>3581</v>
      </c>
      <c r="F748" s="123">
        <v>-4.3010752688172081E-2</v>
      </c>
      <c r="G748" s="123">
        <v>7.3033707865168482E-2</v>
      </c>
    </row>
    <row r="749" spans="2:7" x14ac:dyDescent="0.2">
      <c r="B749" s="120" t="s">
        <v>1795</v>
      </c>
      <c r="C749" s="121" t="s">
        <v>1796</v>
      </c>
      <c r="D749" s="122" t="s">
        <v>3569</v>
      </c>
      <c r="E749" s="122" t="s">
        <v>3575</v>
      </c>
      <c r="F749" s="123">
        <v>-0.27777777777777785</v>
      </c>
      <c r="G749" s="123">
        <v>0.10559006211180133</v>
      </c>
    </row>
    <row r="750" spans="2:7" x14ac:dyDescent="0.2">
      <c r="B750" s="120" t="s">
        <v>1797</v>
      </c>
      <c r="C750" s="121" t="s">
        <v>1798</v>
      </c>
      <c r="D750" s="122" t="s">
        <v>3612</v>
      </c>
      <c r="E750" s="122" t="s">
        <v>3724</v>
      </c>
      <c r="F750" s="123">
        <v>-0.22815533980582522</v>
      </c>
      <c r="G750" s="123">
        <v>-6.2893081761006345E-3</v>
      </c>
    </row>
    <row r="751" spans="2:7" x14ac:dyDescent="0.2">
      <c r="B751" s="120" t="s">
        <v>1799</v>
      </c>
      <c r="C751" s="121" t="s">
        <v>1800</v>
      </c>
      <c r="D751" s="122" t="s">
        <v>3594</v>
      </c>
      <c r="E751" s="122" t="s">
        <v>3647</v>
      </c>
      <c r="F751" s="123">
        <v>2.2592592592592591</v>
      </c>
      <c r="G751" s="123">
        <v>-1</v>
      </c>
    </row>
    <row r="752" spans="2:7" x14ac:dyDescent="0.2">
      <c r="B752" s="120" t="s">
        <v>1801</v>
      </c>
      <c r="C752" s="121" t="s">
        <v>1802</v>
      </c>
      <c r="D752" s="122" t="s">
        <v>3569</v>
      </c>
      <c r="E752" s="122" t="s">
        <v>3575</v>
      </c>
      <c r="F752" s="123">
        <v>1.3703703703703702</v>
      </c>
      <c r="G752" s="123">
        <v>0.22656250000000003</v>
      </c>
    </row>
    <row r="753" spans="2:7" x14ac:dyDescent="0.2">
      <c r="B753" s="120" t="s">
        <v>1803</v>
      </c>
      <c r="C753" s="121" t="s">
        <v>1804</v>
      </c>
      <c r="D753" s="122" t="s">
        <v>3582</v>
      </c>
      <c r="E753" s="122" t="s">
        <v>3664</v>
      </c>
      <c r="F753" s="123">
        <v>0.13215859030836996</v>
      </c>
      <c r="G753" s="123">
        <v>0.12062256809338524</v>
      </c>
    </row>
    <row r="754" spans="2:7" x14ac:dyDescent="0.2">
      <c r="B754" s="120" t="s">
        <v>1805</v>
      </c>
      <c r="C754" s="121" t="s">
        <v>1806</v>
      </c>
      <c r="D754" s="122" t="s">
        <v>3556</v>
      </c>
      <c r="E754" s="122" t="s">
        <v>3614</v>
      </c>
      <c r="F754" s="123">
        <v>5.7692307692307744E-2</v>
      </c>
      <c r="G754" s="123">
        <v>9.0909090909090787E-2</v>
      </c>
    </row>
    <row r="755" spans="2:7" x14ac:dyDescent="0.2">
      <c r="B755" s="120" t="s">
        <v>1807</v>
      </c>
      <c r="C755" s="121" t="s">
        <v>1808</v>
      </c>
      <c r="D755" s="122" t="s">
        <v>3576</v>
      </c>
      <c r="E755" s="122" t="s">
        <v>3626</v>
      </c>
      <c r="F755" s="123">
        <v>-3.3333333333333361E-2</v>
      </c>
      <c r="G755" s="123">
        <v>2.0689655172413814E-2</v>
      </c>
    </row>
    <row r="756" spans="2:7" x14ac:dyDescent="0.2">
      <c r="B756" s="120" t="s">
        <v>1809</v>
      </c>
      <c r="C756" s="121" t="s">
        <v>1810</v>
      </c>
      <c r="D756" s="122" t="s">
        <v>24</v>
      </c>
      <c r="E756" s="122" t="s">
        <v>3633</v>
      </c>
      <c r="F756" s="123">
        <v>-3.4682080924855523E-2</v>
      </c>
      <c r="G756" s="123">
        <v>9.7305389221556945E-2</v>
      </c>
    </row>
    <row r="757" spans="2:7" x14ac:dyDescent="0.2">
      <c r="B757" s="120" t="s">
        <v>1811</v>
      </c>
      <c r="C757" s="121" t="s">
        <v>1812</v>
      </c>
      <c r="D757" s="122" t="s">
        <v>3556</v>
      </c>
      <c r="E757" s="122" t="s">
        <v>3764</v>
      </c>
      <c r="F757" s="123">
        <v>-3.3112582781457033E-2</v>
      </c>
      <c r="G757" s="123">
        <v>1.3698630136986415E-2</v>
      </c>
    </row>
    <row r="758" spans="2:7" x14ac:dyDescent="0.2">
      <c r="B758" s="120" t="s">
        <v>1813</v>
      </c>
      <c r="C758" s="121" t="s">
        <v>1814</v>
      </c>
      <c r="D758" s="122" t="s">
        <v>3556</v>
      </c>
      <c r="E758" s="122" t="s">
        <v>3579</v>
      </c>
      <c r="F758" s="123">
        <v>0.13283582089552234</v>
      </c>
      <c r="G758" s="123">
        <v>0.12516469038208158</v>
      </c>
    </row>
    <row r="759" spans="2:7" x14ac:dyDescent="0.2">
      <c r="B759" s="120" t="s">
        <v>1815</v>
      </c>
      <c r="C759" s="121" t="s">
        <v>1816</v>
      </c>
      <c r="D759" s="122" t="s">
        <v>3576</v>
      </c>
      <c r="E759" s="122" t="s">
        <v>3689</v>
      </c>
      <c r="F759" s="123">
        <v>8.5470085470085555E-2</v>
      </c>
      <c r="G759" s="123">
        <v>5.511811023622052E-2</v>
      </c>
    </row>
    <row r="760" spans="2:7" x14ac:dyDescent="0.2">
      <c r="B760" s="120" t="s">
        <v>1817</v>
      </c>
      <c r="C760" s="121" t="s">
        <v>1818</v>
      </c>
      <c r="D760" s="122" t="s">
        <v>3569</v>
      </c>
      <c r="E760" s="122" t="s">
        <v>3722</v>
      </c>
      <c r="F760" s="123">
        <v>0.9565217391304347</v>
      </c>
      <c r="G760" s="123">
        <v>22.5</v>
      </c>
    </row>
    <row r="761" spans="2:7" x14ac:dyDescent="0.2">
      <c r="B761" s="120" t="s">
        <v>1819</v>
      </c>
      <c r="C761" s="121" t="s">
        <v>1820</v>
      </c>
      <c r="D761" s="122" t="s">
        <v>3594</v>
      </c>
      <c r="E761" s="122" t="s">
        <v>3732</v>
      </c>
      <c r="F761" s="123">
        <v>-0.15283018867924522</v>
      </c>
      <c r="G761" s="123">
        <v>-0.133630289532294</v>
      </c>
    </row>
    <row r="762" spans="2:7" x14ac:dyDescent="0.2">
      <c r="B762" s="120" t="s">
        <v>1821</v>
      </c>
      <c r="C762" s="121" t="s">
        <v>1822</v>
      </c>
      <c r="D762" s="122" t="s">
        <v>3582</v>
      </c>
      <c r="E762" s="122" t="s">
        <v>3765</v>
      </c>
      <c r="F762" s="123">
        <v>8.6206896551724088E-2</v>
      </c>
      <c r="G762" s="123">
        <v>7.4074074074074028E-2</v>
      </c>
    </row>
    <row r="763" spans="2:7" x14ac:dyDescent="0.2">
      <c r="B763" s="120" t="s">
        <v>1823</v>
      </c>
      <c r="C763" s="121" t="s">
        <v>1824</v>
      </c>
      <c r="D763" s="122" t="s">
        <v>3556</v>
      </c>
      <c r="E763" s="122" t="s">
        <v>3766</v>
      </c>
      <c r="F763" s="123">
        <v>-0.36572199730094468</v>
      </c>
      <c r="G763" s="123">
        <v>0.22553191489361693</v>
      </c>
    </row>
    <row r="764" spans="2:7" x14ac:dyDescent="0.2">
      <c r="B764" s="120" t="s">
        <v>1825</v>
      </c>
      <c r="C764" s="121" t="s">
        <v>1826</v>
      </c>
      <c r="D764" s="122" t="s">
        <v>3569</v>
      </c>
      <c r="E764" s="122" t="s">
        <v>3722</v>
      </c>
      <c r="F764" s="123">
        <v>0.25000000000000011</v>
      </c>
      <c r="G764" s="123">
        <v>0.12857142857142859</v>
      </c>
    </row>
    <row r="765" spans="2:7" x14ac:dyDescent="0.2">
      <c r="B765" s="120" t="s">
        <v>1827</v>
      </c>
      <c r="C765" s="121" t="s">
        <v>1828</v>
      </c>
      <c r="D765" s="122" t="s">
        <v>25</v>
      </c>
      <c r="E765" s="122" t="s">
        <v>3767</v>
      </c>
      <c r="F765" s="123">
        <v>0.1814345991561182</v>
      </c>
      <c r="G765" s="123">
        <v>0.38659793814432991</v>
      </c>
    </row>
    <row r="766" spans="2:7" x14ac:dyDescent="0.2">
      <c r="B766" s="120" t="s">
        <v>1829</v>
      </c>
      <c r="C766" s="121" t="s">
        <v>1830</v>
      </c>
      <c r="D766" s="122" t="s">
        <v>3582</v>
      </c>
      <c r="E766" s="122" t="s">
        <v>3631</v>
      </c>
      <c r="F766" s="123">
        <v>0.15551537070524402</v>
      </c>
      <c r="G766" s="123">
        <v>0.13458528951486703</v>
      </c>
    </row>
    <row r="767" spans="2:7" x14ac:dyDescent="0.2">
      <c r="B767" s="120" t="s">
        <v>1831</v>
      </c>
      <c r="C767" s="121" t="s">
        <v>1832</v>
      </c>
      <c r="D767" s="122" t="s">
        <v>3558</v>
      </c>
      <c r="E767" s="122" t="s">
        <v>3642</v>
      </c>
      <c r="F767" s="123">
        <v>0.1469534050179212</v>
      </c>
      <c r="G767" s="123">
        <v>0.10624999999999996</v>
      </c>
    </row>
    <row r="768" spans="2:7" x14ac:dyDescent="0.2">
      <c r="B768" s="120" t="s">
        <v>1833</v>
      </c>
      <c r="C768" s="121" t="s">
        <v>1834</v>
      </c>
      <c r="D768" s="122" t="s">
        <v>3556</v>
      </c>
      <c r="E768" s="122" t="s">
        <v>3744</v>
      </c>
      <c r="F768" s="123">
        <v>-1.1481481481481479</v>
      </c>
      <c r="G768" s="123">
        <v>0.53448275862068961</v>
      </c>
    </row>
    <row r="769" spans="2:7" x14ac:dyDescent="0.2">
      <c r="B769" s="120" t="s">
        <v>1835</v>
      </c>
      <c r="C769" s="121" t="s">
        <v>1836</v>
      </c>
      <c r="D769" s="122" t="s">
        <v>3576</v>
      </c>
      <c r="E769" s="122" t="s">
        <v>3619</v>
      </c>
      <c r="F769" s="123">
        <v>7.5829383886255999E-2</v>
      </c>
      <c r="G769" s="123">
        <v>5.2863436123348061E-2</v>
      </c>
    </row>
    <row r="770" spans="2:7" x14ac:dyDescent="0.2">
      <c r="B770" s="120" t="s">
        <v>1837</v>
      </c>
      <c r="C770" s="121" t="s">
        <v>1838</v>
      </c>
      <c r="D770" s="122" t="s">
        <v>3576</v>
      </c>
      <c r="E770" s="122" t="s">
        <v>3699</v>
      </c>
      <c r="F770" s="123">
        <v>-3.8961038961038995E-2</v>
      </c>
      <c r="G770" s="123">
        <v>6.7567567567567627E-2</v>
      </c>
    </row>
    <row r="771" spans="2:7" x14ac:dyDescent="0.2">
      <c r="B771" s="120" t="s">
        <v>1839</v>
      </c>
      <c r="C771" s="121" t="s">
        <v>1840</v>
      </c>
      <c r="D771" s="122" t="s">
        <v>3576</v>
      </c>
      <c r="E771" s="122" t="s">
        <v>3626</v>
      </c>
      <c r="F771" s="123">
        <v>-3.8216560509554173E-2</v>
      </c>
      <c r="G771" s="123">
        <v>-3.3112582781456984E-2</v>
      </c>
    </row>
    <row r="772" spans="2:7" x14ac:dyDescent="0.2">
      <c r="B772" s="120" t="s">
        <v>1841</v>
      </c>
      <c r="C772" s="121" t="s">
        <v>1842</v>
      </c>
      <c r="D772" s="122" t="s">
        <v>3569</v>
      </c>
      <c r="E772" s="122" t="s">
        <v>3574</v>
      </c>
      <c r="F772" s="123">
        <v>9.7449908925318782E-2</v>
      </c>
      <c r="G772" s="123">
        <v>0.1344398340248962</v>
      </c>
    </row>
    <row r="773" spans="2:7" x14ac:dyDescent="0.2">
      <c r="B773" s="120" t="s">
        <v>1843</v>
      </c>
      <c r="C773" s="121" t="s">
        <v>1844</v>
      </c>
      <c r="D773" s="122" t="s">
        <v>3582</v>
      </c>
      <c r="E773" s="122" t="s">
        <v>3583</v>
      </c>
      <c r="F773" s="123">
        <v>-3.8356164383561681E-2</v>
      </c>
      <c r="G773" s="123">
        <v>0.14245014245014245</v>
      </c>
    </row>
    <row r="774" spans="2:7" x14ac:dyDescent="0.2">
      <c r="B774" s="120" t="s">
        <v>1845</v>
      </c>
      <c r="C774" s="121" t="s">
        <v>1846</v>
      </c>
      <c r="D774" s="122" t="s">
        <v>3556</v>
      </c>
      <c r="E774" s="122" t="s">
        <v>3557</v>
      </c>
      <c r="F774" s="123">
        <v>0.18367346938775497</v>
      </c>
      <c r="G774" s="123">
        <v>0.2137931034482759</v>
      </c>
    </row>
    <row r="775" spans="2:7" x14ac:dyDescent="0.2">
      <c r="B775" s="120" t="s">
        <v>1847</v>
      </c>
      <c r="C775" s="121" t="s">
        <v>1848</v>
      </c>
      <c r="D775" s="122" t="s">
        <v>3679</v>
      </c>
      <c r="E775" s="122" t="s">
        <v>3680</v>
      </c>
      <c r="F775" s="123">
        <v>0.15238095238095237</v>
      </c>
      <c r="G775" s="123">
        <v>9.3663911845730113E-2</v>
      </c>
    </row>
    <row r="776" spans="2:7" x14ac:dyDescent="0.2">
      <c r="B776" s="120" t="s">
        <v>1849</v>
      </c>
      <c r="C776" s="121" t="s">
        <v>1850</v>
      </c>
      <c r="D776" s="122" t="s">
        <v>3576</v>
      </c>
      <c r="E776" s="122" t="s">
        <v>3626</v>
      </c>
      <c r="F776" s="123">
        <v>2.7777777777777804E-2</v>
      </c>
      <c r="G776" s="123">
        <v>8.1081081081081155E-2</v>
      </c>
    </row>
    <row r="777" spans="2:7" x14ac:dyDescent="0.2">
      <c r="B777" s="120" t="s">
        <v>1851</v>
      </c>
      <c r="C777" s="121" t="s">
        <v>1852</v>
      </c>
      <c r="D777" s="122" t="s">
        <v>3558</v>
      </c>
      <c r="E777" s="122" t="s">
        <v>3642</v>
      </c>
      <c r="F777" s="123">
        <v>6.5876152832674336E-3</v>
      </c>
      <c r="G777" s="123">
        <v>6.1518324607329811E-2</v>
      </c>
    </row>
    <row r="778" spans="2:7" x14ac:dyDescent="0.2">
      <c r="B778" s="120" t="s">
        <v>1853</v>
      </c>
      <c r="C778" s="121" t="s">
        <v>1854</v>
      </c>
      <c r="D778" s="122" t="s">
        <v>3576</v>
      </c>
      <c r="E778" s="122" t="s">
        <v>3604</v>
      </c>
      <c r="F778" s="123">
        <v>-3.5433070866141676E-2</v>
      </c>
      <c r="G778" s="123">
        <v>0.10612244897959174</v>
      </c>
    </row>
    <row r="779" spans="2:7" x14ac:dyDescent="0.2">
      <c r="B779" s="120" t="s">
        <v>1855</v>
      </c>
      <c r="C779" s="121" t="s">
        <v>1856</v>
      </c>
      <c r="D779" s="122" t="s">
        <v>3576</v>
      </c>
      <c r="E779" s="122" t="s">
        <v>3651</v>
      </c>
      <c r="F779" s="123">
        <v>5.3402239448751165E-2</v>
      </c>
      <c r="G779" s="123">
        <v>5.2330335241210037E-2</v>
      </c>
    </row>
    <row r="780" spans="2:7" x14ac:dyDescent="0.2">
      <c r="B780" s="120" t="s">
        <v>1857</v>
      </c>
      <c r="C780" s="121" t="s">
        <v>1858</v>
      </c>
      <c r="D780" s="122" t="s">
        <v>24</v>
      </c>
      <c r="E780" s="122" t="s">
        <v>3675</v>
      </c>
      <c r="F780" s="123">
        <v>-3.0612244897959211E-2</v>
      </c>
      <c r="G780" s="123">
        <v>-4.210526315789466E-2</v>
      </c>
    </row>
    <row r="781" spans="2:7" x14ac:dyDescent="0.2">
      <c r="B781" s="120" t="s">
        <v>1859</v>
      </c>
      <c r="C781" s="121" t="s">
        <v>1860</v>
      </c>
      <c r="D781" s="122" t="s">
        <v>3569</v>
      </c>
      <c r="E781" s="122" t="s">
        <v>3722</v>
      </c>
      <c r="F781" s="123">
        <v>0.14877300613496944</v>
      </c>
      <c r="G781" s="123">
        <v>0.13684913217623501</v>
      </c>
    </row>
    <row r="782" spans="2:7" x14ac:dyDescent="0.2">
      <c r="B782" s="120" t="s">
        <v>1861</v>
      </c>
      <c r="C782" s="121" t="s">
        <v>1862</v>
      </c>
      <c r="D782" s="122" t="s">
        <v>3576</v>
      </c>
      <c r="E782" s="122" t="s">
        <v>3619</v>
      </c>
      <c r="F782" s="123">
        <v>-9.770114942528732E-2</v>
      </c>
      <c r="G782" s="123">
        <v>4.458598726114639E-2</v>
      </c>
    </row>
    <row r="783" spans="2:7" x14ac:dyDescent="0.2">
      <c r="B783" s="120" t="s">
        <v>1863</v>
      </c>
      <c r="C783" s="121" t="s">
        <v>1864</v>
      </c>
      <c r="D783" s="122" t="s">
        <v>3561</v>
      </c>
      <c r="E783" s="122" t="s">
        <v>3768</v>
      </c>
      <c r="F783" s="123">
        <v>2.0370370370370264E-2</v>
      </c>
      <c r="G783" s="123">
        <v>0.11070780399274054</v>
      </c>
    </row>
    <row r="784" spans="2:7" x14ac:dyDescent="0.2">
      <c r="B784" s="120" t="s">
        <v>1865</v>
      </c>
      <c r="C784" s="121" t="s">
        <v>1866</v>
      </c>
      <c r="D784" s="122" t="s">
        <v>3556</v>
      </c>
      <c r="E784" s="122" t="s">
        <v>3769</v>
      </c>
      <c r="F784" s="123">
        <v>0.13468013468013465</v>
      </c>
      <c r="G784" s="123">
        <v>8.9020771513353067E-2</v>
      </c>
    </row>
    <row r="785" spans="2:7" x14ac:dyDescent="0.2">
      <c r="B785" s="120" t="s">
        <v>1867</v>
      </c>
      <c r="C785" s="121" t="s">
        <v>1868</v>
      </c>
      <c r="D785" s="122" t="s">
        <v>3561</v>
      </c>
      <c r="E785" s="122" t="s">
        <v>3562</v>
      </c>
      <c r="F785" s="123">
        <v>0.29139072847682118</v>
      </c>
      <c r="G785" s="123">
        <v>0.25128205128205128</v>
      </c>
    </row>
    <row r="786" spans="2:7" x14ac:dyDescent="0.2">
      <c r="B786" s="120" t="s">
        <v>1869</v>
      </c>
      <c r="C786" s="121" t="s">
        <v>1870</v>
      </c>
      <c r="D786" s="122" t="s">
        <v>3558</v>
      </c>
      <c r="E786" s="122" t="s">
        <v>3770</v>
      </c>
      <c r="F786" s="123">
        <v>0.20398009950248766</v>
      </c>
      <c r="G786" s="123">
        <v>0.10743801652892572</v>
      </c>
    </row>
    <row r="787" spans="2:7" x14ac:dyDescent="0.2">
      <c r="B787" s="120" t="s">
        <v>1871</v>
      </c>
      <c r="C787" s="121" t="s">
        <v>1872</v>
      </c>
      <c r="D787" s="122" t="s">
        <v>3558</v>
      </c>
      <c r="E787" s="122" t="s">
        <v>3567</v>
      </c>
      <c r="F787" s="123">
        <v>-0.30604982206405695</v>
      </c>
      <c r="G787" s="123">
        <v>0.32307692307692315</v>
      </c>
    </row>
    <row r="788" spans="2:7" x14ac:dyDescent="0.2">
      <c r="B788" s="120" t="s">
        <v>1873</v>
      </c>
      <c r="C788" s="121" t="s">
        <v>1874</v>
      </c>
      <c r="D788" s="122" t="s">
        <v>3556</v>
      </c>
      <c r="E788" s="122" t="s">
        <v>3630</v>
      </c>
      <c r="F788" s="123">
        <v>0.11942675159235669</v>
      </c>
      <c r="G788" s="123">
        <v>5.6899004267425245E-2</v>
      </c>
    </row>
    <row r="789" spans="2:7" x14ac:dyDescent="0.2">
      <c r="B789" s="120" t="s">
        <v>1875</v>
      </c>
      <c r="C789" s="121" t="s">
        <v>1876</v>
      </c>
      <c r="D789" s="122" t="s">
        <v>3563</v>
      </c>
      <c r="E789" s="122" t="s">
        <v>3622</v>
      </c>
      <c r="F789" s="123">
        <v>3.1428571428571432</v>
      </c>
      <c r="G789" s="123">
        <v>0.35632183908045972</v>
      </c>
    </row>
    <row r="790" spans="2:7" x14ac:dyDescent="0.2">
      <c r="B790" s="120" t="s">
        <v>1877</v>
      </c>
      <c r="C790" s="121" t="s">
        <v>1878</v>
      </c>
      <c r="D790" s="122" t="s">
        <v>3580</v>
      </c>
      <c r="E790" s="122" t="s">
        <v>3581</v>
      </c>
      <c r="F790" s="123">
        <v>0.10730593607305931</v>
      </c>
      <c r="G790" s="123">
        <v>0.13814432989690723</v>
      </c>
    </row>
    <row r="791" spans="2:7" x14ac:dyDescent="0.2">
      <c r="B791" s="120" t="s">
        <v>1879</v>
      </c>
      <c r="C791" s="121" t="s">
        <v>1880</v>
      </c>
      <c r="D791" s="122" t="s">
        <v>3594</v>
      </c>
      <c r="E791" s="122" t="s">
        <v>3754</v>
      </c>
      <c r="F791" s="123">
        <v>-0.25877192982456138</v>
      </c>
      <c r="G791" s="123">
        <v>-9.4674556213017708E-2</v>
      </c>
    </row>
    <row r="792" spans="2:7" x14ac:dyDescent="0.2">
      <c r="B792" s="120" t="s">
        <v>1881</v>
      </c>
      <c r="C792" s="121" t="s">
        <v>1882</v>
      </c>
      <c r="D792" s="122" t="s">
        <v>3576</v>
      </c>
      <c r="E792" s="122" t="s">
        <v>3604</v>
      </c>
      <c r="F792" s="123">
        <v>-0.11913357400722024</v>
      </c>
      <c r="G792" s="123">
        <v>3.2786885245901669E-2</v>
      </c>
    </row>
    <row r="793" spans="2:7" x14ac:dyDescent="0.2">
      <c r="B793" s="120" t="s">
        <v>1883</v>
      </c>
      <c r="C793" s="121" t="s">
        <v>1884</v>
      </c>
      <c r="D793" s="122" t="s">
        <v>24</v>
      </c>
      <c r="E793" s="122" t="s">
        <v>3633</v>
      </c>
      <c r="F793" s="123">
        <v>9.7130242825606949E-2</v>
      </c>
      <c r="G793" s="123">
        <v>6.2374245472837125E-2</v>
      </c>
    </row>
    <row r="794" spans="2:7" x14ac:dyDescent="0.2">
      <c r="B794" s="120" t="s">
        <v>1885</v>
      </c>
      <c r="C794" s="121" t="s">
        <v>1886</v>
      </c>
      <c r="D794" s="122" t="s">
        <v>3556</v>
      </c>
      <c r="E794" s="122" t="s">
        <v>3771</v>
      </c>
      <c r="F794" s="123">
        <v>4.5714285714285756E-2</v>
      </c>
      <c r="G794" s="123">
        <v>0.14207650273224032</v>
      </c>
    </row>
    <row r="795" spans="2:7" x14ac:dyDescent="0.2">
      <c r="B795" s="120" t="s">
        <v>1887</v>
      </c>
      <c r="C795" s="121" t="s">
        <v>1888</v>
      </c>
      <c r="D795" s="122" t="s">
        <v>3576</v>
      </c>
      <c r="E795" s="122" t="s">
        <v>3689</v>
      </c>
      <c r="F795" s="123">
        <v>0.10373066424021843</v>
      </c>
      <c r="G795" s="123">
        <v>8.4089035449299215E-2</v>
      </c>
    </row>
    <row r="796" spans="2:7" x14ac:dyDescent="0.2">
      <c r="B796" s="120" t="s">
        <v>1889</v>
      </c>
      <c r="C796" s="121" t="s">
        <v>1890</v>
      </c>
      <c r="D796" s="122" t="s">
        <v>3594</v>
      </c>
      <c r="E796" s="122" t="s">
        <v>3602</v>
      </c>
      <c r="F796" s="123">
        <v>-5.0505050505050917E-3</v>
      </c>
      <c r="G796" s="123">
        <v>5.5837563451776658E-2</v>
      </c>
    </row>
    <row r="797" spans="2:7" x14ac:dyDescent="0.2">
      <c r="B797" s="120" t="s">
        <v>1891</v>
      </c>
      <c r="C797" s="121" t="s">
        <v>1892</v>
      </c>
      <c r="D797" s="122" t="s">
        <v>3569</v>
      </c>
      <c r="E797" s="122" t="s">
        <v>3570</v>
      </c>
      <c r="F797" s="123">
        <v>5.3921568627450921E-2</v>
      </c>
      <c r="G797" s="123">
        <v>5.6976744186046542E-2</v>
      </c>
    </row>
    <row r="798" spans="2:7" x14ac:dyDescent="0.2">
      <c r="B798" s="120" t="s">
        <v>1893</v>
      </c>
      <c r="C798" s="121" t="s">
        <v>1894</v>
      </c>
      <c r="D798" s="122" t="s">
        <v>3556</v>
      </c>
      <c r="E798" s="122" t="s">
        <v>3742</v>
      </c>
      <c r="F798" s="123">
        <v>-9.0909090909090981E-2</v>
      </c>
      <c r="G798" s="123">
        <v>0.12352941176470586</v>
      </c>
    </row>
    <row r="799" spans="2:7" x14ac:dyDescent="0.2">
      <c r="B799" s="120" t="s">
        <v>1895</v>
      </c>
      <c r="C799" s="121" t="s">
        <v>1896</v>
      </c>
      <c r="D799" s="122" t="s">
        <v>3576</v>
      </c>
      <c r="E799" s="122" t="s">
        <v>3654</v>
      </c>
      <c r="F799" s="123">
        <v>9.8060344827586229E-2</v>
      </c>
      <c r="G799" s="123">
        <v>2.8459273797841113E-2</v>
      </c>
    </row>
    <row r="800" spans="2:7" x14ac:dyDescent="0.2">
      <c r="B800" s="120" t="s">
        <v>1897</v>
      </c>
      <c r="C800" s="121" t="s">
        <v>1898</v>
      </c>
      <c r="D800" s="122" t="s">
        <v>3563</v>
      </c>
      <c r="E800" s="122" t="s">
        <v>3687</v>
      </c>
      <c r="F800" s="123">
        <v>2.0134228187919483E-2</v>
      </c>
      <c r="G800" s="123">
        <v>4.6052631578947407E-2</v>
      </c>
    </row>
    <row r="801" spans="2:7" x14ac:dyDescent="0.2">
      <c r="B801" s="120" t="s">
        <v>1899</v>
      </c>
      <c r="C801" s="121" t="s">
        <v>1900</v>
      </c>
      <c r="D801" s="122" t="s">
        <v>3563</v>
      </c>
      <c r="E801" s="122" t="s">
        <v>3687</v>
      </c>
      <c r="F801" s="123">
        <v>-4.7619047619047658E-2</v>
      </c>
      <c r="G801" s="123">
        <v>2.0000000000000018E-2</v>
      </c>
    </row>
    <row r="802" spans="2:7" x14ac:dyDescent="0.2">
      <c r="B802" s="120" t="s">
        <v>1901</v>
      </c>
      <c r="C802" s="121" t="s">
        <v>1902</v>
      </c>
      <c r="D802" s="122" t="s">
        <v>3594</v>
      </c>
      <c r="E802" s="122" t="s">
        <v>3714</v>
      </c>
      <c r="F802" s="123">
        <v>-0.18055555555555558</v>
      </c>
      <c r="G802" s="123">
        <v>0.66101694915254239</v>
      </c>
    </row>
    <row r="803" spans="2:7" x14ac:dyDescent="0.2">
      <c r="B803" s="120" t="s">
        <v>1903</v>
      </c>
      <c r="C803" s="121" t="s">
        <v>1904</v>
      </c>
      <c r="D803" s="122" t="s">
        <v>3563</v>
      </c>
      <c r="E803" s="122" t="s">
        <v>3676</v>
      </c>
      <c r="F803" s="123">
        <v>-5.9154929577464779E-2</v>
      </c>
      <c r="G803" s="123">
        <v>1.1976047904191628E-2</v>
      </c>
    </row>
    <row r="804" spans="2:7" x14ac:dyDescent="0.2">
      <c r="B804" s="120" t="s">
        <v>1905</v>
      </c>
      <c r="C804" s="121" t="s">
        <v>1906</v>
      </c>
      <c r="D804" s="122" t="s">
        <v>24</v>
      </c>
      <c r="E804" s="122" t="s">
        <v>3633</v>
      </c>
      <c r="F804" s="123">
        <v>-0.10208816705336417</v>
      </c>
      <c r="G804" s="123">
        <v>4.9095607235141989E-2</v>
      </c>
    </row>
    <row r="805" spans="2:7" x14ac:dyDescent="0.2">
      <c r="B805" s="120" t="s">
        <v>1907</v>
      </c>
      <c r="C805" s="121" t="s">
        <v>1908</v>
      </c>
      <c r="D805" s="122" t="s">
        <v>3563</v>
      </c>
      <c r="E805" s="122" t="s">
        <v>3734</v>
      </c>
      <c r="F805" s="123">
        <v>-0.57534246575342463</v>
      </c>
      <c r="G805" s="123">
        <v>0.22580645161290325</v>
      </c>
    </row>
    <row r="806" spans="2:7" x14ac:dyDescent="0.2">
      <c r="B806" s="120" t="s">
        <v>1909</v>
      </c>
      <c r="C806" s="121" t="s">
        <v>1910</v>
      </c>
      <c r="D806" s="122" t="s">
        <v>3576</v>
      </c>
      <c r="E806" s="122" t="s">
        <v>3626</v>
      </c>
      <c r="F806" s="123">
        <v>-0.12483399734395755</v>
      </c>
      <c r="G806" s="123">
        <v>4.5523520485584196E-2</v>
      </c>
    </row>
    <row r="807" spans="2:7" x14ac:dyDescent="0.2">
      <c r="B807" s="120" t="s">
        <v>1911</v>
      </c>
      <c r="C807" s="121" t="s">
        <v>1912</v>
      </c>
      <c r="D807" s="122" t="s">
        <v>3576</v>
      </c>
      <c r="E807" s="122" t="s">
        <v>3626</v>
      </c>
      <c r="F807" s="123">
        <v>-0.1049723756906077</v>
      </c>
      <c r="G807" s="123">
        <v>3.7037037037036931E-2</v>
      </c>
    </row>
    <row r="808" spans="2:7" x14ac:dyDescent="0.2">
      <c r="B808" s="120" t="s">
        <v>1913</v>
      </c>
      <c r="C808" s="121" t="s">
        <v>1914</v>
      </c>
      <c r="D808" s="122" t="s">
        <v>3580</v>
      </c>
      <c r="E808" s="122" t="s">
        <v>3581</v>
      </c>
      <c r="F808" s="123">
        <v>0.10526315789473679</v>
      </c>
      <c r="G808" s="123">
        <v>0.16666666666666669</v>
      </c>
    </row>
    <row r="809" spans="2:7" x14ac:dyDescent="0.2">
      <c r="B809" s="120" t="s">
        <v>1915</v>
      </c>
      <c r="C809" s="121" t="s">
        <v>1916</v>
      </c>
      <c r="D809" s="122" t="s">
        <v>24</v>
      </c>
      <c r="E809" s="122" t="s">
        <v>3693</v>
      </c>
      <c r="F809" s="123">
        <v>0.17307692307692302</v>
      </c>
      <c r="G809" s="123">
        <v>0.14754098360655732</v>
      </c>
    </row>
    <row r="810" spans="2:7" x14ac:dyDescent="0.2">
      <c r="B810" s="120" t="s">
        <v>1917</v>
      </c>
      <c r="C810" s="121" t="s">
        <v>1918</v>
      </c>
      <c r="D810" s="122" t="s">
        <v>3591</v>
      </c>
      <c r="E810" s="122" t="s">
        <v>3592</v>
      </c>
      <c r="F810" s="123">
        <v>0.7303370786516854</v>
      </c>
      <c r="G810" s="123">
        <v>4.3333333333333339</v>
      </c>
    </row>
    <row r="811" spans="2:7" x14ac:dyDescent="0.2">
      <c r="B811" s="120" t="s">
        <v>1919</v>
      </c>
      <c r="C811" s="121" t="s">
        <v>1920</v>
      </c>
      <c r="D811" s="122" t="s">
        <v>3561</v>
      </c>
      <c r="E811" s="122" t="s">
        <v>3618</v>
      </c>
      <c r="F811" s="123">
        <v>5.319148936170226E-2</v>
      </c>
      <c r="G811" s="123">
        <v>0.30303030303030298</v>
      </c>
    </row>
    <row r="812" spans="2:7" x14ac:dyDescent="0.2">
      <c r="B812" s="120" t="s">
        <v>1921</v>
      </c>
      <c r="C812" s="121" t="s">
        <v>1922</v>
      </c>
      <c r="D812" s="122" t="s">
        <v>3576</v>
      </c>
      <c r="E812" s="122" t="s">
        <v>3654</v>
      </c>
      <c r="F812" s="123">
        <v>3.4682080924855523E-2</v>
      </c>
      <c r="G812" s="123">
        <v>5.0279329608938467E-2</v>
      </c>
    </row>
    <row r="813" spans="2:7" x14ac:dyDescent="0.2">
      <c r="B813" s="120" t="s">
        <v>1923</v>
      </c>
      <c r="C813" s="121" t="s">
        <v>1924</v>
      </c>
      <c r="D813" s="122" t="s">
        <v>3556</v>
      </c>
      <c r="E813" s="122" t="s">
        <v>3640</v>
      </c>
      <c r="F813" s="123">
        <v>0.46178343949044576</v>
      </c>
      <c r="G813" s="123">
        <v>6.753812636165589E-2</v>
      </c>
    </row>
    <row r="814" spans="2:7" x14ac:dyDescent="0.2">
      <c r="B814" s="120" t="s">
        <v>1925</v>
      </c>
      <c r="C814" s="121" t="s">
        <v>1926</v>
      </c>
      <c r="D814" s="122" t="s">
        <v>3594</v>
      </c>
      <c r="E814" s="122" t="s">
        <v>3595</v>
      </c>
      <c r="F814" s="123">
        <v>2.25</v>
      </c>
      <c r="G814" s="123">
        <v>0.26923076923076927</v>
      </c>
    </row>
    <row r="815" spans="2:7" x14ac:dyDescent="0.2">
      <c r="B815" s="120" t="s">
        <v>1927</v>
      </c>
      <c r="C815" s="121" t="s">
        <v>1928</v>
      </c>
      <c r="D815" s="122" t="s">
        <v>3556</v>
      </c>
      <c r="E815" s="122" t="s">
        <v>3630</v>
      </c>
      <c r="F815" s="123">
        <v>0.13664596273291924</v>
      </c>
      <c r="G815" s="123">
        <v>0.26229508196721307</v>
      </c>
    </row>
    <row r="816" spans="2:7" x14ac:dyDescent="0.2">
      <c r="B816" s="120" t="s">
        <v>1929</v>
      </c>
      <c r="C816" s="121" t="s">
        <v>1930</v>
      </c>
      <c r="D816" s="122" t="s">
        <v>3563</v>
      </c>
      <c r="E816" s="122" t="s">
        <v>3734</v>
      </c>
      <c r="F816" s="123">
        <v>-0.1451612903225806</v>
      </c>
      <c r="G816" s="123">
        <v>0.15094339622641501</v>
      </c>
    </row>
    <row r="817" spans="2:7" x14ac:dyDescent="0.2">
      <c r="B817" s="120" t="s">
        <v>1931</v>
      </c>
      <c r="C817" s="121" t="s">
        <v>1932</v>
      </c>
      <c r="D817" s="122" t="s">
        <v>24</v>
      </c>
      <c r="E817" s="122" t="s">
        <v>3633</v>
      </c>
      <c r="F817" s="123">
        <v>-0.26388888888888895</v>
      </c>
      <c r="G817" s="123">
        <v>-7.5471698113207617E-3</v>
      </c>
    </row>
    <row r="818" spans="2:7" x14ac:dyDescent="0.2">
      <c r="B818" s="120" t="s">
        <v>1933</v>
      </c>
      <c r="C818" s="121" t="s">
        <v>1934</v>
      </c>
      <c r="D818" s="122" t="s">
        <v>3561</v>
      </c>
      <c r="E818" s="122" t="s">
        <v>3639</v>
      </c>
      <c r="F818" s="123">
        <v>-1.5384615384615398E-2</v>
      </c>
      <c r="G818" s="123">
        <v>0.10156249999999992</v>
      </c>
    </row>
    <row r="819" spans="2:7" x14ac:dyDescent="0.2">
      <c r="B819" s="120" t="s">
        <v>1935</v>
      </c>
      <c r="C819" s="121" t="s">
        <v>1936</v>
      </c>
      <c r="D819" s="122" t="s">
        <v>3558</v>
      </c>
      <c r="E819" s="122" t="s">
        <v>3638</v>
      </c>
      <c r="F819" s="123">
        <v>-1.6806722689075647E-2</v>
      </c>
      <c r="G819" s="123">
        <v>1.709401709401711E-2</v>
      </c>
    </row>
    <row r="820" spans="2:7" x14ac:dyDescent="0.2">
      <c r="B820" s="120" t="s">
        <v>1937</v>
      </c>
      <c r="C820" s="121" t="s">
        <v>1938</v>
      </c>
      <c r="D820" s="122" t="s">
        <v>3679</v>
      </c>
      <c r="E820" s="122" t="s">
        <v>3680</v>
      </c>
      <c r="F820" s="123">
        <v>-0.21428571428571436</v>
      </c>
      <c r="G820" s="123">
        <v>0.45454545454545459</v>
      </c>
    </row>
    <row r="821" spans="2:7" x14ac:dyDescent="0.2">
      <c r="B821" s="120" t="s">
        <v>1939</v>
      </c>
      <c r="C821" s="121" t="s">
        <v>1940</v>
      </c>
      <c r="D821" s="122" t="s">
        <v>3576</v>
      </c>
      <c r="E821" s="122" t="s">
        <v>3604</v>
      </c>
      <c r="F821" s="123">
        <v>-0.10215053763440869</v>
      </c>
      <c r="G821" s="123">
        <v>0.23952095808383228</v>
      </c>
    </row>
    <row r="822" spans="2:7" x14ac:dyDescent="0.2">
      <c r="B822" s="120" t="s">
        <v>1941</v>
      </c>
      <c r="C822" s="121" t="s">
        <v>1942</v>
      </c>
      <c r="D822" s="122" t="s">
        <v>3594</v>
      </c>
      <c r="E822" s="122" t="s">
        <v>3595</v>
      </c>
      <c r="F822" s="123">
        <v>0.95081967213114749</v>
      </c>
      <c r="G822" s="123">
        <v>0.15546218487394964</v>
      </c>
    </row>
    <row r="823" spans="2:7" x14ac:dyDescent="0.2">
      <c r="B823" s="120" t="s">
        <v>1943</v>
      </c>
      <c r="C823" s="121" t="s">
        <v>1944</v>
      </c>
      <c r="D823" s="122" t="s">
        <v>3556</v>
      </c>
      <c r="E823" s="122" t="s">
        <v>3733</v>
      </c>
      <c r="F823" s="123">
        <v>0.11904761904761904</v>
      </c>
      <c r="G823" s="123">
        <v>0.15106382978723404</v>
      </c>
    </row>
    <row r="824" spans="2:7" x14ac:dyDescent="0.2">
      <c r="B824" s="120" t="s">
        <v>1945</v>
      </c>
      <c r="C824" s="121" t="s">
        <v>1946</v>
      </c>
      <c r="D824" s="122" t="s">
        <v>3576</v>
      </c>
      <c r="E824" s="122" t="s">
        <v>3584</v>
      </c>
      <c r="F824" s="123">
        <v>1.360544217687076E-2</v>
      </c>
      <c r="G824" s="123">
        <v>3.35570469798658E-2</v>
      </c>
    </row>
    <row r="825" spans="2:7" x14ac:dyDescent="0.2">
      <c r="B825" s="120" t="s">
        <v>1947</v>
      </c>
      <c r="C825" s="121" t="s">
        <v>1948</v>
      </c>
      <c r="D825" s="122" t="s">
        <v>3612</v>
      </c>
      <c r="E825" s="122" t="s">
        <v>3772</v>
      </c>
      <c r="F825" s="123">
        <v>0.10101010101010111</v>
      </c>
      <c r="G825" s="123">
        <v>0.146788990825688</v>
      </c>
    </row>
    <row r="826" spans="2:7" x14ac:dyDescent="0.2">
      <c r="B826" s="120" t="s">
        <v>1949</v>
      </c>
      <c r="C826" s="121" t="s">
        <v>1950</v>
      </c>
      <c r="D826" s="122" t="s">
        <v>24</v>
      </c>
      <c r="E826" s="122" t="s">
        <v>3589</v>
      </c>
      <c r="F826" s="123">
        <v>1.4947683109118032E-2</v>
      </c>
      <c r="G826" s="123">
        <v>5.449189985272461E-2</v>
      </c>
    </row>
    <row r="827" spans="2:7" x14ac:dyDescent="0.2">
      <c r="B827" s="120" t="s">
        <v>1951</v>
      </c>
      <c r="C827" s="121" t="s">
        <v>1952</v>
      </c>
      <c r="D827" s="122" t="s">
        <v>3612</v>
      </c>
      <c r="E827" s="122" t="s">
        <v>3716</v>
      </c>
      <c r="F827" s="123">
        <v>6.741573033707858E-2</v>
      </c>
      <c r="G827" s="123">
        <v>6.3157894736842163E-2</v>
      </c>
    </row>
    <row r="828" spans="2:7" x14ac:dyDescent="0.2">
      <c r="B828" s="120" t="s">
        <v>1953</v>
      </c>
      <c r="C828" s="121" t="s">
        <v>1954</v>
      </c>
      <c r="D828" s="122" t="s">
        <v>3576</v>
      </c>
      <c r="E828" s="122" t="s">
        <v>3593</v>
      </c>
      <c r="F828" s="123">
        <v>0.32009345794392524</v>
      </c>
      <c r="G828" s="123">
        <v>3.539823008849545E-2</v>
      </c>
    </row>
    <row r="829" spans="2:7" x14ac:dyDescent="0.2">
      <c r="B829" s="120" t="s">
        <v>1955</v>
      </c>
      <c r="C829" s="121" t="s">
        <v>1956</v>
      </c>
      <c r="D829" s="122" t="s">
        <v>3558</v>
      </c>
      <c r="E829" s="122" t="s">
        <v>3686</v>
      </c>
      <c r="F829" s="123">
        <v>-4.9586776859504175E-2</v>
      </c>
      <c r="G829" s="123">
        <v>-5.2173913043478119E-2</v>
      </c>
    </row>
    <row r="830" spans="2:7" x14ac:dyDescent="0.2">
      <c r="B830" s="120" t="s">
        <v>1957</v>
      </c>
      <c r="C830" s="121" t="s">
        <v>1958</v>
      </c>
      <c r="D830" s="122" t="s">
        <v>3563</v>
      </c>
      <c r="E830" s="122" t="s">
        <v>3565</v>
      </c>
      <c r="F830" s="123">
        <v>0.1122881355932204</v>
      </c>
      <c r="G830" s="123">
        <v>7.9999999999999988E-2</v>
      </c>
    </row>
    <row r="831" spans="2:7" x14ac:dyDescent="0.2">
      <c r="B831" s="120" t="s">
        <v>1959</v>
      </c>
      <c r="C831" s="121" t="s">
        <v>1960</v>
      </c>
      <c r="D831" s="122" t="s">
        <v>3556</v>
      </c>
      <c r="E831" s="122" t="s">
        <v>3683</v>
      </c>
      <c r="F831" s="123">
        <v>-0.11564625850340131</v>
      </c>
      <c r="G831" s="123">
        <v>0.2</v>
      </c>
    </row>
    <row r="832" spans="2:7" x14ac:dyDescent="0.2">
      <c r="B832" s="120" t="s">
        <v>1961</v>
      </c>
      <c r="C832" s="121" t="s">
        <v>1962</v>
      </c>
      <c r="D832" s="122" t="s">
        <v>3556</v>
      </c>
      <c r="E832" s="122" t="s">
        <v>3579</v>
      </c>
      <c r="F832" s="123">
        <v>-4.0540540540540675E-2</v>
      </c>
      <c r="G832" s="123">
        <v>0.23004694835680761</v>
      </c>
    </row>
    <row r="833" spans="2:7" x14ac:dyDescent="0.2">
      <c r="B833" s="120" t="s">
        <v>1963</v>
      </c>
      <c r="C833" s="121" t="s">
        <v>1964</v>
      </c>
      <c r="D833" s="122" t="s">
        <v>3561</v>
      </c>
      <c r="E833" s="122" t="s">
        <v>3768</v>
      </c>
      <c r="F833" s="123">
        <v>-5.8593749999999965E-2</v>
      </c>
      <c r="G833" s="123">
        <v>3.3195020746887995E-2</v>
      </c>
    </row>
    <row r="834" spans="2:7" x14ac:dyDescent="0.2">
      <c r="B834" s="120" t="s">
        <v>1965</v>
      </c>
      <c r="C834" s="121" t="s">
        <v>1966</v>
      </c>
      <c r="D834" s="122" t="s">
        <v>24</v>
      </c>
      <c r="E834" s="122" t="s">
        <v>3693</v>
      </c>
      <c r="F834" s="123">
        <v>9.6153846153846229E-3</v>
      </c>
      <c r="G834" s="123">
        <v>8.0952380952380915E-2</v>
      </c>
    </row>
    <row r="835" spans="2:7" x14ac:dyDescent="0.2">
      <c r="B835" s="120" t="s">
        <v>1967</v>
      </c>
      <c r="C835" s="121" t="s">
        <v>1968</v>
      </c>
      <c r="D835" s="122" t="s">
        <v>24</v>
      </c>
      <c r="E835" s="122" t="s">
        <v>3693</v>
      </c>
      <c r="F835" s="123">
        <v>0.12374581939799319</v>
      </c>
      <c r="G835" s="123">
        <v>0.11309523809523819</v>
      </c>
    </row>
    <row r="836" spans="2:7" x14ac:dyDescent="0.2">
      <c r="B836" s="120" t="s">
        <v>1969</v>
      </c>
      <c r="C836" s="121" t="s">
        <v>14</v>
      </c>
      <c r="D836" s="122" t="s">
        <v>3563</v>
      </c>
      <c r="E836" s="122" t="s">
        <v>3687</v>
      </c>
      <c r="F836" s="123">
        <v>1.3888888888888798E-2</v>
      </c>
      <c r="G836" s="123">
        <v>5.9360730593607261E-2</v>
      </c>
    </row>
    <row r="837" spans="2:7" x14ac:dyDescent="0.2">
      <c r="B837" s="120" t="s">
        <v>1970</v>
      </c>
      <c r="C837" s="121" t="s">
        <v>1971</v>
      </c>
      <c r="D837" s="122" t="s">
        <v>3576</v>
      </c>
      <c r="E837" s="122" t="s">
        <v>3619</v>
      </c>
      <c r="F837" s="123">
        <v>2.1857923497267777E-2</v>
      </c>
      <c r="G837" s="123">
        <v>8.0213903743315454E-2</v>
      </c>
    </row>
    <row r="838" spans="2:7" x14ac:dyDescent="0.2">
      <c r="B838" s="120" t="s">
        <v>1972</v>
      </c>
      <c r="C838" s="121" t="s">
        <v>1973</v>
      </c>
      <c r="D838" s="122" t="s">
        <v>3563</v>
      </c>
      <c r="E838" s="122" t="s">
        <v>3773</v>
      </c>
      <c r="F838" s="123">
        <v>-5.5956678700360939E-2</v>
      </c>
      <c r="G838" s="123">
        <v>2.1032504780114612E-2</v>
      </c>
    </row>
    <row r="839" spans="2:7" x14ac:dyDescent="0.2">
      <c r="B839" s="120" t="s">
        <v>1974</v>
      </c>
      <c r="C839" s="121" t="s">
        <v>1975</v>
      </c>
      <c r="D839" s="122" t="s">
        <v>3561</v>
      </c>
      <c r="E839" s="122" t="s">
        <v>3706</v>
      </c>
      <c r="F839" s="123">
        <v>0.12897822445561147</v>
      </c>
      <c r="G839" s="123">
        <v>0.14094955489614244</v>
      </c>
    </row>
    <row r="840" spans="2:7" x14ac:dyDescent="0.2">
      <c r="B840" s="120" t="s">
        <v>1976</v>
      </c>
      <c r="C840" s="121" t="s">
        <v>1977</v>
      </c>
      <c r="D840" s="122" t="s">
        <v>3556</v>
      </c>
      <c r="E840" s="122" t="s">
        <v>3621</v>
      </c>
      <c r="F840" s="123">
        <v>-9.6000000000000085E-2</v>
      </c>
      <c r="G840" s="123">
        <v>5.3097345132743418E-2</v>
      </c>
    </row>
    <row r="841" spans="2:7" x14ac:dyDescent="0.2">
      <c r="B841" s="120" t="s">
        <v>1978</v>
      </c>
      <c r="C841" s="121" t="s">
        <v>1979</v>
      </c>
      <c r="D841" s="122" t="s">
        <v>3558</v>
      </c>
      <c r="E841" s="122" t="s">
        <v>3598</v>
      </c>
      <c r="F841" s="123">
        <v>0.10826771653543303</v>
      </c>
      <c r="G841" s="123">
        <v>-1</v>
      </c>
    </row>
    <row r="842" spans="2:7" x14ac:dyDescent="0.2">
      <c r="B842" s="120" t="s">
        <v>1980</v>
      </c>
      <c r="C842" s="121" t="s">
        <v>1981</v>
      </c>
      <c r="D842" s="122" t="s">
        <v>3594</v>
      </c>
      <c r="E842" s="122" t="s">
        <v>3714</v>
      </c>
      <c r="F842" s="123">
        <v>-0.18701298701298705</v>
      </c>
      <c r="G842" s="123">
        <v>-1</v>
      </c>
    </row>
    <row r="843" spans="2:7" x14ac:dyDescent="0.2">
      <c r="B843" s="120" t="s">
        <v>1982</v>
      </c>
      <c r="C843" s="121" t="s">
        <v>1983</v>
      </c>
      <c r="D843" s="122" t="s">
        <v>3558</v>
      </c>
      <c r="E843" s="122" t="s">
        <v>3642</v>
      </c>
      <c r="F843" s="123">
        <v>-0.35</v>
      </c>
      <c r="G843" s="123">
        <v>0.3692307692307692</v>
      </c>
    </row>
    <row r="844" spans="2:7" x14ac:dyDescent="0.2">
      <c r="B844" s="120" t="s">
        <v>1984</v>
      </c>
      <c r="C844" s="121" t="s">
        <v>1985</v>
      </c>
      <c r="D844" s="122" t="s">
        <v>3556</v>
      </c>
      <c r="E844" s="122" t="s">
        <v>3560</v>
      </c>
      <c r="F844" s="123">
        <v>0.35424354243542433</v>
      </c>
      <c r="G844" s="123">
        <v>-1</v>
      </c>
    </row>
    <row r="845" spans="2:7" x14ac:dyDescent="0.2">
      <c r="B845" s="120" t="s">
        <v>1986</v>
      </c>
      <c r="C845" s="121" t="s">
        <v>1987</v>
      </c>
      <c r="D845" s="122" t="s">
        <v>3576</v>
      </c>
      <c r="E845" s="122" t="s">
        <v>3593</v>
      </c>
      <c r="F845" s="123">
        <v>0.21818181818181823</v>
      </c>
      <c r="G845" s="123">
        <v>1.4925373134328304E-2</v>
      </c>
    </row>
    <row r="846" spans="2:7" x14ac:dyDescent="0.2">
      <c r="B846" s="120" t="s">
        <v>1988</v>
      </c>
      <c r="C846" s="121" t="s">
        <v>1989</v>
      </c>
      <c r="D846" s="122" t="s">
        <v>3563</v>
      </c>
      <c r="E846" s="122" t="s">
        <v>3623</v>
      </c>
      <c r="F846" s="123">
        <v>0.13508064516129031</v>
      </c>
      <c r="G846" s="123">
        <v>0.11456483126110133</v>
      </c>
    </row>
    <row r="847" spans="2:7" x14ac:dyDescent="0.2">
      <c r="B847" s="120" t="s">
        <v>1990</v>
      </c>
      <c r="C847" s="121" t="s">
        <v>1991</v>
      </c>
      <c r="D847" s="122" t="s">
        <v>3576</v>
      </c>
      <c r="E847" s="122" t="s">
        <v>3619</v>
      </c>
      <c r="F847" s="123">
        <v>5.535055350553502E-2</v>
      </c>
      <c r="G847" s="123">
        <v>0.10139860139860142</v>
      </c>
    </row>
    <row r="848" spans="2:7" x14ac:dyDescent="0.2">
      <c r="B848" s="120" t="s">
        <v>1992</v>
      </c>
      <c r="C848" s="121" t="s">
        <v>1993</v>
      </c>
      <c r="D848" s="122" t="s">
        <v>25</v>
      </c>
      <c r="E848" s="122" t="s">
        <v>3659</v>
      </c>
      <c r="F848" s="123">
        <v>2.4930555555555558</v>
      </c>
      <c r="G848" s="123">
        <v>-0.77534791252485091</v>
      </c>
    </row>
    <row r="849" spans="2:7" x14ac:dyDescent="0.2">
      <c r="B849" s="120" t="s">
        <v>1994</v>
      </c>
      <c r="C849" s="121" t="s">
        <v>1995</v>
      </c>
      <c r="D849" s="122" t="s">
        <v>3576</v>
      </c>
      <c r="E849" s="122" t="s">
        <v>3604</v>
      </c>
      <c r="F849" s="123">
        <v>-0.19856459330143533</v>
      </c>
      <c r="G849" s="123">
        <v>0.17910447761194032</v>
      </c>
    </row>
    <row r="850" spans="2:7" x14ac:dyDescent="0.2">
      <c r="B850" s="120" t="s">
        <v>1996</v>
      </c>
      <c r="C850" s="121" t="s">
        <v>1997</v>
      </c>
      <c r="D850" s="122" t="s">
        <v>3563</v>
      </c>
      <c r="E850" s="122" t="s">
        <v>3676</v>
      </c>
      <c r="F850" s="123">
        <v>-0.12000000000000002</v>
      </c>
      <c r="G850" s="123">
        <v>1.6528925619834725E-2</v>
      </c>
    </row>
    <row r="851" spans="2:7" x14ac:dyDescent="0.2">
      <c r="B851" s="120" t="s">
        <v>1998</v>
      </c>
      <c r="C851" s="121" t="s">
        <v>1999</v>
      </c>
      <c r="D851" s="122" t="s">
        <v>25</v>
      </c>
      <c r="E851" s="122" t="s">
        <v>3681</v>
      </c>
      <c r="F851" s="123">
        <v>0.63235294117647056</v>
      </c>
      <c r="G851" s="123">
        <v>1.8648648648648649</v>
      </c>
    </row>
    <row r="852" spans="2:7" x14ac:dyDescent="0.2">
      <c r="B852" s="120" t="s">
        <v>2000</v>
      </c>
      <c r="C852" s="121" t="s">
        <v>2001</v>
      </c>
      <c r="D852" s="122" t="s">
        <v>25</v>
      </c>
      <c r="E852" s="122" t="s">
        <v>3681</v>
      </c>
      <c r="F852" s="123">
        <v>-0.7246376811594204</v>
      </c>
      <c r="G852" s="123">
        <v>0.80672268907563027</v>
      </c>
    </row>
    <row r="853" spans="2:7" x14ac:dyDescent="0.2">
      <c r="B853" s="120" t="s">
        <v>2002</v>
      </c>
      <c r="C853" s="121" t="s">
        <v>2003</v>
      </c>
      <c r="D853" s="122" t="s">
        <v>3605</v>
      </c>
      <c r="E853" s="122" t="s">
        <v>3653</v>
      </c>
      <c r="F853" s="123">
        <v>8.2568807339449407E-2</v>
      </c>
      <c r="G853" s="123">
        <v>0.1122881355932204</v>
      </c>
    </row>
    <row r="854" spans="2:7" x14ac:dyDescent="0.2">
      <c r="B854" s="120" t="s">
        <v>2004</v>
      </c>
      <c r="C854" s="121" t="s">
        <v>2005</v>
      </c>
      <c r="D854" s="122" t="s">
        <v>3610</v>
      </c>
      <c r="E854" s="122" t="s">
        <v>3611</v>
      </c>
      <c r="F854" s="123">
        <v>-0.17283268912203198</v>
      </c>
      <c r="G854" s="123">
        <v>6.0080106809078791E-2</v>
      </c>
    </row>
    <row r="855" spans="2:7" x14ac:dyDescent="0.2">
      <c r="B855" s="120" t="s">
        <v>2006</v>
      </c>
      <c r="C855" s="121" t="s">
        <v>2007</v>
      </c>
      <c r="D855" s="122" t="s">
        <v>3558</v>
      </c>
      <c r="E855" s="122" t="s">
        <v>3774</v>
      </c>
      <c r="F855" s="123">
        <v>6.5400843881856449E-2</v>
      </c>
      <c r="G855" s="123">
        <v>0.10297029702970306</v>
      </c>
    </row>
    <row r="856" spans="2:7" x14ac:dyDescent="0.2">
      <c r="B856" s="120" t="s">
        <v>2008</v>
      </c>
      <c r="C856" s="121" t="s">
        <v>2009</v>
      </c>
      <c r="D856" s="122" t="s">
        <v>25</v>
      </c>
      <c r="E856" s="122" t="s">
        <v>3775</v>
      </c>
      <c r="F856" s="123">
        <v>4.0983606557377997E-3</v>
      </c>
      <c r="G856" s="123">
        <v>7.3469387755101923E-2</v>
      </c>
    </row>
    <row r="857" spans="2:7" x14ac:dyDescent="0.2">
      <c r="B857" s="120" t="s">
        <v>2010</v>
      </c>
      <c r="C857" s="121" t="s">
        <v>2011</v>
      </c>
      <c r="D857" s="122" t="s">
        <v>3580</v>
      </c>
      <c r="E857" s="122" t="s">
        <v>3730</v>
      </c>
      <c r="F857" s="123">
        <v>9.6907216494845502E-2</v>
      </c>
      <c r="G857" s="123">
        <v>9.2105263157894607E-2</v>
      </c>
    </row>
    <row r="858" spans="2:7" x14ac:dyDescent="0.2">
      <c r="B858" s="120" t="s">
        <v>2012</v>
      </c>
      <c r="C858" s="121" t="s">
        <v>2013</v>
      </c>
      <c r="D858" s="122" t="s">
        <v>3576</v>
      </c>
      <c r="E858" s="122" t="s">
        <v>3641</v>
      </c>
      <c r="F858" s="123">
        <v>1.3620689655172418</v>
      </c>
      <c r="G858" s="123">
        <v>4.3795620437956075E-2</v>
      </c>
    </row>
    <row r="859" spans="2:7" x14ac:dyDescent="0.2">
      <c r="B859" s="120" t="s">
        <v>2014</v>
      </c>
      <c r="C859" s="121" t="s">
        <v>2015</v>
      </c>
      <c r="D859" s="122" t="s">
        <v>3556</v>
      </c>
      <c r="E859" s="122" t="s">
        <v>3560</v>
      </c>
      <c r="F859" s="123">
        <v>-0.29184100418410053</v>
      </c>
      <c r="G859" s="123">
        <v>0.11373707533234867</v>
      </c>
    </row>
    <row r="860" spans="2:7" x14ac:dyDescent="0.2">
      <c r="B860" s="120" t="s">
        <v>2016</v>
      </c>
      <c r="C860" s="121" t="s">
        <v>2017</v>
      </c>
      <c r="D860" s="122" t="s">
        <v>3569</v>
      </c>
      <c r="E860" s="122" t="s">
        <v>3571</v>
      </c>
      <c r="F860" s="123">
        <v>2.7297543221110002E-2</v>
      </c>
      <c r="G860" s="123">
        <v>7.0859167404783069E-2</v>
      </c>
    </row>
    <row r="861" spans="2:7" x14ac:dyDescent="0.2">
      <c r="B861" s="120" t="s">
        <v>2018</v>
      </c>
      <c r="C861" s="121" t="s">
        <v>2019</v>
      </c>
      <c r="D861" s="122" t="s">
        <v>3569</v>
      </c>
      <c r="E861" s="122" t="s">
        <v>3718</v>
      </c>
      <c r="F861" s="123">
        <v>0.2294617563739377</v>
      </c>
      <c r="G861" s="123">
        <v>5.7603686635944701E-2</v>
      </c>
    </row>
    <row r="862" spans="2:7" x14ac:dyDescent="0.2">
      <c r="B862" s="120" t="s">
        <v>2020</v>
      </c>
      <c r="C862" s="121" t="s">
        <v>2021</v>
      </c>
      <c r="D862" s="122" t="s">
        <v>3605</v>
      </c>
      <c r="E862" s="122" t="s">
        <v>3653</v>
      </c>
      <c r="F862" s="123">
        <v>0.18773006134969317</v>
      </c>
      <c r="G862" s="123">
        <v>0.14256198347107446</v>
      </c>
    </row>
    <row r="863" spans="2:7" x14ac:dyDescent="0.2">
      <c r="B863" s="120" t="s">
        <v>2022</v>
      </c>
      <c r="C863" s="121" t="s">
        <v>2023</v>
      </c>
      <c r="D863" s="122" t="s">
        <v>3580</v>
      </c>
      <c r="E863" s="122" t="s">
        <v>3776</v>
      </c>
      <c r="F863" s="123">
        <v>0.23248407643312097</v>
      </c>
      <c r="G863" s="123">
        <v>5.9431524547803732E-2</v>
      </c>
    </row>
    <row r="864" spans="2:7" x14ac:dyDescent="0.2">
      <c r="B864" s="120" t="s">
        <v>2000</v>
      </c>
      <c r="C864" s="121" t="s">
        <v>2024</v>
      </c>
      <c r="D864" s="122" t="s">
        <v>3556</v>
      </c>
      <c r="E864" s="122" t="s">
        <v>3721</v>
      </c>
      <c r="F864" s="123">
        <v>0.13333333333333328</v>
      </c>
      <c r="G864" s="123">
        <v>1.0384615384615385</v>
      </c>
    </row>
    <row r="865" spans="2:7" x14ac:dyDescent="0.2">
      <c r="B865" s="120" t="s">
        <v>2025</v>
      </c>
      <c r="C865" s="121" t="s">
        <v>2026</v>
      </c>
      <c r="D865" s="122" t="s">
        <v>3612</v>
      </c>
      <c r="E865" s="122" t="s">
        <v>3661</v>
      </c>
      <c r="F865" s="123">
        <v>0.16123778501628669</v>
      </c>
      <c r="G865" s="123">
        <v>0.12061711079943904</v>
      </c>
    </row>
    <row r="866" spans="2:7" x14ac:dyDescent="0.2">
      <c r="B866" s="120" t="s">
        <v>2027</v>
      </c>
      <c r="C866" s="121" t="s">
        <v>2028</v>
      </c>
      <c r="D866" s="122" t="s">
        <v>24</v>
      </c>
      <c r="E866" s="122" t="s">
        <v>3589</v>
      </c>
      <c r="F866" s="123">
        <v>-0.18072289156626495</v>
      </c>
      <c r="G866" s="123">
        <v>0.10294117647058816</v>
      </c>
    </row>
    <row r="867" spans="2:7" x14ac:dyDescent="0.2">
      <c r="B867" s="120" t="s">
        <v>2029</v>
      </c>
      <c r="C867" s="121" t="s">
        <v>2030</v>
      </c>
      <c r="D867" s="122" t="s">
        <v>3556</v>
      </c>
      <c r="E867" s="122" t="s">
        <v>3766</v>
      </c>
      <c r="F867" s="123">
        <v>0.11547911547911541</v>
      </c>
      <c r="G867" s="123">
        <v>0.18942731277533045</v>
      </c>
    </row>
    <row r="868" spans="2:7" x14ac:dyDescent="0.2">
      <c r="B868" s="120" t="s">
        <v>2031</v>
      </c>
      <c r="C868" s="121" t="s">
        <v>2032</v>
      </c>
      <c r="D868" s="122" t="s">
        <v>3569</v>
      </c>
      <c r="E868" s="122" t="s">
        <v>3574</v>
      </c>
      <c r="F868" s="123">
        <v>-0.13920454545454553</v>
      </c>
      <c r="G868" s="123">
        <v>0.12211221122112216</v>
      </c>
    </row>
    <row r="869" spans="2:7" x14ac:dyDescent="0.2">
      <c r="B869" s="120" t="s">
        <v>2033</v>
      </c>
      <c r="C869" s="121" t="s">
        <v>2034</v>
      </c>
      <c r="D869" s="122" t="s">
        <v>3610</v>
      </c>
      <c r="E869" s="122" t="s">
        <v>3684</v>
      </c>
      <c r="F869" s="123">
        <v>5.9090909090909034E-2</v>
      </c>
      <c r="G869" s="123">
        <v>8.5836909871244524E-2</v>
      </c>
    </row>
    <row r="870" spans="2:7" x14ac:dyDescent="0.2">
      <c r="B870" s="120" t="s">
        <v>2035</v>
      </c>
      <c r="C870" s="121" t="s">
        <v>2036</v>
      </c>
      <c r="D870" s="122" t="s">
        <v>3569</v>
      </c>
      <c r="E870" s="122" t="s">
        <v>3570</v>
      </c>
      <c r="F870" s="123">
        <v>2.688172043010759E-2</v>
      </c>
      <c r="G870" s="123">
        <v>0.15357766143106455</v>
      </c>
    </row>
    <row r="871" spans="2:7" x14ac:dyDescent="0.2">
      <c r="B871" s="120" t="s">
        <v>2037</v>
      </c>
      <c r="C871" s="121" t="s">
        <v>2038</v>
      </c>
      <c r="D871" s="122" t="s">
        <v>3576</v>
      </c>
      <c r="E871" s="122" t="s">
        <v>3604</v>
      </c>
      <c r="F871" s="123">
        <v>9.1818181818181817</v>
      </c>
      <c r="G871" s="123">
        <v>9.7222222222222238E-2</v>
      </c>
    </row>
    <row r="872" spans="2:7" x14ac:dyDescent="0.2">
      <c r="B872" s="120" t="s">
        <v>2039</v>
      </c>
      <c r="C872" s="121" t="s">
        <v>2040</v>
      </c>
      <c r="D872" s="122" t="s">
        <v>3605</v>
      </c>
      <c r="E872" s="122" t="s">
        <v>3653</v>
      </c>
      <c r="F872" s="123">
        <v>0.20591581342434592</v>
      </c>
      <c r="G872" s="123">
        <v>0.18301886792452826</v>
      </c>
    </row>
    <row r="873" spans="2:7" x14ac:dyDescent="0.2">
      <c r="B873" s="120" t="s">
        <v>2041</v>
      </c>
      <c r="C873" s="121" t="s">
        <v>2042</v>
      </c>
      <c r="D873" s="122" t="s">
        <v>3556</v>
      </c>
      <c r="E873" s="122" t="s">
        <v>3630</v>
      </c>
      <c r="F873" s="123">
        <v>-40.5</v>
      </c>
      <c r="G873" s="123">
        <v>0.26582278481012667</v>
      </c>
    </row>
    <row r="874" spans="2:7" x14ac:dyDescent="0.2">
      <c r="B874" s="120" t="s">
        <v>2043</v>
      </c>
      <c r="C874" s="121" t="s">
        <v>2044</v>
      </c>
      <c r="D874" s="122" t="s">
        <v>3576</v>
      </c>
      <c r="E874" s="122" t="s">
        <v>3641</v>
      </c>
      <c r="F874" s="123">
        <v>9.9290780141843948E-2</v>
      </c>
      <c r="G874" s="123">
        <v>0.10322580645161279</v>
      </c>
    </row>
    <row r="875" spans="2:7" x14ac:dyDescent="0.2">
      <c r="B875" s="120" t="s">
        <v>2045</v>
      </c>
      <c r="C875" s="121" t="s">
        <v>2046</v>
      </c>
      <c r="D875" s="122" t="s">
        <v>3612</v>
      </c>
      <c r="E875" s="122" t="s">
        <v>3627</v>
      </c>
      <c r="F875" s="123">
        <v>-0.46739130434782611</v>
      </c>
      <c r="G875" s="123">
        <v>2.1224489795918369</v>
      </c>
    </row>
    <row r="876" spans="2:7" x14ac:dyDescent="0.2">
      <c r="B876" s="120" t="s">
        <v>2047</v>
      </c>
      <c r="C876" s="121" t="s">
        <v>2048</v>
      </c>
      <c r="D876" s="122" t="s">
        <v>3591</v>
      </c>
      <c r="E876" s="122" t="s">
        <v>3592</v>
      </c>
      <c r="F876" s="123">
        <v>4.1474654377880123E-2</v>
      </c>
      <c r="G876" s="123">
        <v>7.522123893805327E-2</v>
      </c>
    </row>
    <row r="877" spans="2:7" x14ac:dyDescent="0.2">
      <c r="B877" s="120" t="s">
        <v>2049</v>
      </c>
      <c r="C877" s="121" t="s">
        <v>2050</v>
      </c>
      <c r="D877" s="122" t="s">
        <v>3556</v>
      </c>
      <c r="E877" s="122" t="s">
        <v>3566</v>
      </c>
      <c r="F877" s="123">
        <v>0.55102040816326536</v>
      </c>
      <c r="G877" s="123">
        <v>0.18421052631578949</v>
      </c>
    </row>
    <row r="878" spans="2:7" x14ac:dyDescent="0.2">
      <c r="B878" s="120" t="s">
        <v>2051</v>
      </c>
      <c r="C878" s="121" t="s">
        <v>2052</v>
      </c>
      <c r="D878" s="122" t="s">
        <v>3556</v>
      </c>
      <c r="E878" s="122" t="s">
        <v>3628</v>
      </c>
      <c r="F878" s="123">
        <v>0.12371134020618568</v>
      </c>
      <c r="G878" s="123">
        <v>6.4220183486238383E-2</v>
      </c>
    </row>
    <row r="879" spans="2:7" x14ac:dyDescent="0.2">
      <c r="B879" s="120" t="s">
        <v>2053</v>
      </c>
      <c r="C879" s="121" t="s">
        <v>2054</v>
      </c>
      <c r="D879" s="122" t="s">
        <v>3556</v>
      </c>
      <c r="E879" s="122" t="s">
        <v>3682</v>
      </c>
      <c r="F879" s="123">
        <v>-4.8689138576778986E-2</v>
      </c>
      <c r="G879" s="123">
        <v>-2.5590551181102341E-2</v>
      </c>
    </row>
    <row r="880" spans="2:7" x14ac:dyDescent="0.2">
      <c r="B880" s="120" t="s">
        <v>2055</v>
      </c>
      <c r="C880" s="121" t="s">
        <v>2056</v>
      </c>
      <c r="D880" s="122" t="s">
        <v>25</v>
      </c>
      <c r="E880" s="122" t="s">
        <v>3659</v>
      </c>
      <c r="F880" s="123">
        <v>9.1093117408906729E-2</v>
      </c>
      <c r="G880" s="123">
        <v>8.719851576994446E-2</v>
      </c>
    </row>
    <row r="881" spans="2:7" x14ac:dyDescent="0.2">
      <c r="B881" s="120" t="s">
        <v>2057</v>
      </c>
      <c r="C881" s="121" t="s">
        <v>2058</v>
      </c>
      <c r="D881" s="122" t="s">
        <v>3563</v>
      </c>
      <c r="E881" s="122" t="s">
        <v>3747</v>
      </c>
      <c r="F881" s="123">
        <v>0.10763209393346375</v>
      </c>
      <c r="G881" s="123">
        <v>0.16961130742049468</v>
      </c>
    </row>
    <row r="882" spans="2:7" x14ac:dyDescent="0.2">
      <c r="B882" s="120" t="s">
        <v>2059</v>
      </c>
      <c r="C882" s="121" t="s">
        <v>2060</v>
      </c>
      <c r="D882" s="122" t="s">
        <v>3556</v>
      </c>
      <c r="E882" s="122" t="s">
        <v>3628</v>
      </c>
      <c r="F882" s="123">
        <v>-3.3225806451612905</v>
      </c>
      <c r="G882" s="123">
        <v>0.89552238805970152</v>
      </c>
    </row>
    <row r="883" spans="2:7" x14ac:dyDescent="0.2">
      <c r="B883" s="120" t="s">
        <v>2061</v>
      </c>
      <c r="C883" s="121" t="s">
        <v>2062</v>
      </c>
      <c r="D883" s="122" t="s">
        <v>3576</v>
      </c>
      <c r="E883" s="122" t="s">
        <v>3620</v>
      </c>
      <c r="F883" s="123">
        <v>0.36468330134357013</v>
      </c>
      <c r="G883" s="123">
        <v>4.219409282700419E-2</v>
      </c>
    </row>
    <row r="884" spans="2:7" x14ac:dyDescent="0.2">
      <c r="B884" s="120" t="s">
        <v>2063</v>
      </c>
      <c r="C884" s="121" t="s">
        <v>2064</v>
      </c>
      <c r="D884" s="122" t="s">
        <v>3576</v>
      </c>
      <c r="E884" s="122" t="s">
        <v>3619</v>
      </c>
      <c r="F884" s="123">
        <v>-2.6415094339622584E-2</v>
      </c>
      <c r="G884" s="123">
        <v>4.2635658914728633E-2</v>
      </c>
    </row>
    <row r="885" spans="2:7" x14ac:dyDescent="0.2">
      <c r="B885" s="120" t="s">
        <v>2065</v>
      </c>
      <c r="C885" s="121" t="s">
        <v>2066</v>
      </c>
      <c r="D885" s="122" t="s">
        <v>3580</v>
      </c>
      <c r="E885" s="122" t="s">
        <v>3750</v>
      </c>
      <c r="F885" s="123">
        <v>-0.72982456140350882</v>
      </c>
      <c r="G885" s="123">
        <v>1.5064935064935063</v>
      </c>
    </row>
    <row r="886" spans="2:7" x14ac:dyDescent="0.2">
      <c r="B886" s="120" t="s">
        <v>2067</v>
      </c>
      <c r="C886" s="121" t="s">
        <v>2068</v>
      </c>
      <c r="D886" s="122" t="s">
        <v>3556</v>
      </c>
      <c r="E886" s="122" t="s">
        <v>3615</v>
      </c>
      <c r="F886" s="123">
        <v>-5.0942079553384541E-2</v>
      </c>
      <c r="G886" s="123">
        <v>0.30735294117647072</v>
      </c>
    </row>
    <row r="887" spans="2:7" x14ac:dyDescent="0.2">
      <c r="B887" s="120" t="s">
        <v>2069</v>
      </c>
      <c r="C887" s="121" t="s">
        <v>2070</v>
      </c>
      <c r="D887" s="122" t="s">
        <v>24</v>
      </c>
      <c r="E887" s="122" t="s">
        <v>3713</v>
      </c>
      <c r="F887" s="123">
        <v>7.4074074074074001E-2</v>
      </c>
      <c r="G887" s="123">
        <v>8.6206896551724088E-2</v>
      </c>
    </row>
    <row r="888" spans="2:7" x14ac:dyDescent="0.2">
      <c r="B888" s="120" t="s">
        <v>2071</v>
      </c>
      <c r="C888" s="121" t="s">
        <v>2072</v>
      </c>
      <c r="D888" s="122" t="s">
        <v>3576</v>
      </c>
      <c r="E888" s="122" t="s">
        <v>3619</v>
      </c>
      <c r="F888" s="123">
        <v>1.8214936247723069E-2</v>
      </c>
      <c r="G888" s="123">
        <v>3.5778175313059067E-2</v>
      </c>
    </row>
    <row r="889" spans="2:7" x14ac:dyDescent="0.2">
      <c r="B889" s="120" t="s">
        <v>2073</v>
      </c>
      <c r="C889" s="121" t="s">
        <v>2074</v>
      </c>
      <c r="D889" s="122" t="s">
        <v>3561</v>
      </c>
      <c r="E889" s="122" t="s">
        <v>3768</v>
      </c>
      <c r="F889" s="123">
        <v>6.5789473684210583E-3</v>
      </c>
      <c r="G889" s="123">
        <v>4.2483660130718921E-2</v>
      </c>
    </row>
    <row r="890" spans="2:7" x14ac:dyDescent="0.2">
      <c r="B890" s="120" t="s">
        <v>1509</v>
      </c>
      <c r="C890" s="121" t="s">
        <v>2075</v>
      </c>
      <c r="D890" s="122" t="s">
        <v>3556</v>
      </c>
      <c r="E890" s="122" t="s">
        <v>3744</v>
      </c>
      <c r="F890" s="123">
        <v>-0.18571428571428578</v>
      </c>
      <c r="G890" s="123">
        <v>0.36257309941520477</v>
      </c>
    </row>
    <row r="891" spans="2:7" x14ac:dyDescent="0.2">
      <c r="B891" s="120" t="s">
        <v>2076</v>
      </c>
      <c r="C891" s="121" t="s">
        <v>2077</v>
      </c>
      <c r="D891" s="122" t="s">
        <v>3561</v>
      </c>
      <c r="E891" s="122" t="s">
        <v>3562</v>
      </c>
      <c r="F891" s="123">
        <v>-0.18518518518518523</v>
      </c>
      <c r="G891" s="123">
        <v>1.4545454545454548</v>
      </c>
    </row>
    <row r="892" spans="2:7" x14ac:dyDescent="0.2">
      <c r="B892" s="120" t="s">
        <v>15</v>
      </c>
      <c r="C892" s="121" t="s">
        <v>16</v>
      </c>
      <c r="D892" s="122" t="s">
        <v>25</v>
      </c>
      <c r="E892" s="122" t="s">
        <v>3712</v>
      </c>
      <c r="F892" s="123">
        <v>0.26737967914438499</v>
      </c>
      <c r="G892" s="123">
        <v>0.17932489451476785</v>
      </c>
    </row>
    <row r="893" spans="2:7" x14ac:dyDescent="0.2">
      <c r="B893" s="120" t="s">
        <v>2078</v>
      </c>
      <c r="C893" s="121" t="s">
        <v>2079</v>
      </c>
      <c r="D893" s="122" t="s">
        <v>3561</v>
      </c>
      <c r="E893" s="122" t="s">
        <v>3562</v>
      </c>
      <c r="F893" s="123">
        <v>2.898550724637684E-2</v>
      </c>
      <c r="G893" s="123">
        <v>0.20187793427230055</v>
      </c>
    </row>
    <row r="894" spans="2:7" x14ac:dyDescent="0.2">
      <c r="B894" s="120" t="s">
        <v>2080</v>
      </c>
      <c r="C894" s="121" t="s">
        <v>2081</v>
      </c>
      <c r="D894" s="122" t="s">
        <v>25</v>
      </c>
      <c r="E894" s="122" t="s">
        <v>3712</v>
      </c>
      <c r="F894" s="123">
        <v>9.8305084745762716E-2</v>
      </c>
      <c r="G894" s="123">
        <v>9.5679012345678882E-2</v>
      </c>
    </row>
    <row r="895" spans="2:7" x14ac:dyDescent="0.2">
      <c r="B895" s="120" t="s">
        <v>2082</v>
      </c>
      <c r="C895" s="121" t="s">
        <v>2083</v>
      </c>
      <c r="D895" s="122" t="s">
        <v>25</v>
      </c>
      <c r="E895" s="122" t="s">
        <v>3702</v>
      </c>
      <c r="F895" s="123">
        <v>-6.2130177514792891E-2</v>
      </c>
      <c r="G895" s="123">
        <v>4.1009463722397443E-2</v>
      </c>
    </row>
    <row r="896" spans="2:7" x14ac:dyDescent="0.2">
      <c r="B896" s="120" t="s">
        <v>2084</v>
      </c>
      <c r="C896" s="121" t="s">
        <v>2085</v>
      </c>
      <c r="D896" s="122" t="s">
        <v>24</v>
      </c>
      <c r="E896" s="122" t="s">
        <v>3633</v>
      </c>
      <c r="F896" s="123">
        <v>7.476635514018698E-2</v>
      </c>
      <c r="G896" s="123">
        <v>5.2173913043478175E-2</v>
      </c>
    </row>
    <row r="897" spans="2:7" x14ac:dyDescent="0.2">
      <c r="B897" s="120" t="s">
        <v>2086</v>
      </c>
      <c r="C897" s="121" t="s">
        <v>2087</v>
      </c>
      <c r="D897" s="122" t="s">
        <v>3594</v>
      </c>
      <c r="E897" s="122" t="s">
        <v>3602</v>
      </c>
      <c r="F897" s="123">
        <v>-0.11082251082251092</v>
      </c>
      <c r="G897" s="123">
        <v>0.18889970788704979</v>
      </c>
    </row>
    <row r="898" spans="2:7" x14ac:dyDescent="0.2">
      <c r="B898" s="120" t="s">
        <v>2088</v>
      </c>
      <c r="C898" s="121" t="s">
        <v>2089</v>
      </c>
      <c r="D898" s="122" t="s">
        <v>3576</v>
      </c>
      <c r="E898" s="122" t="s">
        <v>3626</v>
      </c>
      <c r="F898" s="123">
        <v>-0.12195121951219511</v>
      </c>
      <c r="G898" s="123">
        <v>-5.5555555555555455E-2</v>
      </c>
    </row>
    <row r="899" spans="2:7" x14ac:dyDescent="0.2">
      <c r="B899" s="120" t="s">
        <v>2090</v>
      </c>
      <c r="C899" s="121" t="s">
        <v>2091</v>
      </c>
      <c r="D899" s="122" t="s">
        <v>3569</v>
      </c>
      <c r="E899" s="122" t="s">
        <v>3572</v>
      </c>
      <c r="F899" s="123">
        <v>2.4000000000000021E-2</v>
      </c>
      <c r="G899" s="123">
        <v>0.10156249999999992</v>
      </c>
    </row>
    <row r="900" spans="2:7" x14ac:dyDescent="0.2">
      <c r="B900" s="120" t="s">
        <v>2092</v>
      </c>
      <c r="C900" s="121" t="s">
        <v>2093</v>
      </c>
      <c r="D900" s="122" t="s">
        <v>3563</v>
      </c>
      <c r="E900" s="122" t="s">
        <v>3773</v>
      </c>
      <c r="F900" s="123">
        <v>-0.27594936708860768</v>
      </c>
      <c r="G900" s="123">
        <v>-8.3916083916083836E-2</v>
      </c>
    </row>
    <row r="901" spans="2:7" x14ac:dyDescent="0.2">
      <c r="B901" s="120" t="s">
        <v>2094</v>
      </c>
      <c r="C901" s="121" t="s">
        <v>2095</v>
      </c>
      <c r="D901" s="122" t="s">
        <v>3582</v>
      </c>
      <c r="E901" s="122" t="s">
        <v>3590</v>
      </c>
      <c r="F901" s="123">
        <v>0.18167701863354035</v>
      </c>
      <c r="G901" s="123">
        <v>0.18134034165571614</v>
      </c>
    </row>
    <row r="902" spans="2:7" x14ac:dyDescent="0.2">
      <c r="B902" s="120" t="s">
        <v>2096</v>
      </c>
      <c r="C902" s="121" t="s">
        <v>2097</v>
      </c>
      <c r="D902" s="122" t="s">
        <v>3576</v>
      </c>
      <c r="E902" s="122" t="s">
        <v>3577</v>
      </c>
      <c r="F902" s="123">
        <v>4.3046357615894003E-2</v>
      </c>
      <c r="G902" s="123">
        <v>3.0158730158730222E-2</v>
      </c>
    </row>
    <row r="903" spans="2:7" x14ac:dyDescent="0.2">
      <c r="B903" s="120" t="s">
        <v>2098</v>
      </c>
      <c r="C903" s="121" t="s">
        <v>2099</v>
      </c>
      <c r="D903" s="122" t="s">
        <v>3576</v>
      </c>
      <c r="E903" s="122" t="s">
        <v>3584</v>
      </c>
      <c r="F903" s="123">
        <v>-8.0310880829015566E-2</v>
      </c>
      <c r="G903" s="123">
        <v>2.8169014084507067E-2</v>
      </c>
    </row>
    <row r="904" spans="2:7" x14ac:dyDescent="0.2">
      <c r="B904" s="120" t="s">
        <v>2100</v>
      </c>
      <c r="C904" s="121" t="s">
        <v>2101</v>
      </c>
      <c r="D904" s="122" t="s">
        <v>3582</v>
      </c>
      <c r="E904" s="122" t="s">
        <v>3777</v>
      </c>
      <c r="F904" s="123">
        <v>-0.12903225806451615</v>
      </c>
      <c r="G904" s="123">
        <v>7.0105820105820144E-2</v>
      </c>
    </row>
    <row r="905" spans="2:7" x14ac:dyDescent="0.2">
      <c r="B905" s="120" t="s">
        <v>2102</v>
      </c>
      <c r="C905" s="121" t="s">
        <v>2103</v>
      </c>
      <c r="D905" s="122" t="s">
        <v>3556</v>
      </c>
      <c r="E905" s="122" t="s">
        <v>3579</v>
      </c>
      <c r="F905" s="123">
        <v>-0.12941176470588234</v>
      </c>
      <c r="G905" s="123">
        <v>6.0810810810810863E-2</v>
      </c>
    </row>
    <row r="906" spans="2:7" x14ac:dyDescent="0.2">
      <c r="B906" s="120" t="s">
        <v>2104</v>
      </c>
      <c r="C906" s="121" t="s">
        <v>2105</v>
      </c>
      <c r="D906" s="122" t="s">
        <v>25</v>
      </c>
      <c r="E906" s="122" t="s">
        <v>3703</v>
      </c>
      <c r="F906" s="123">
        <v>-2.4271844660194091E-2</v>
      </c>
      <c r="G906" s="123">
        <v>0.11608623548922059</v>
      </c>
    </row>
    <row r="907" spans="2:7" x14ac:dyDescent="0.2">
      <c r="B907" s="120" t="s">
        <v>2106</v>
      </c>
      <c r="C907" s="121" t="s">
        <v>2107</v>
      </c>
      <c r="D907" s="122" t="s">
        <v>3580</v>
      </c>
      <c r="E907" s="122" t="s">
        <v>3649</v>
      </c>
      <c r="F907" s="123">
        <v>0.10833333333333343</v>
      </c>
      <c r="G907" s="123">
        <v>0.10150375939849623</v>
      </c>
    </row>
    <row r="908" spans="2:7" x14ac:dyDescent="0.2">
      <c r="B908" s="120" t="s">
        <v>2108</v>
      </c>
      <c r="C908" s="121" t="s">
        <v>2109</v>
      </c>
      <c r="D908" s="122" t="s">
        <v>3569</v>
      </c>
      <c r="E908" s="122" t="s">
        <v>3574</v>
      </c>
      <c r="F908" s="123">
        <v>7.8767123287671229E-2</v>
      </c>
      <c r="G908" s="123">
        <v>0.14920634920634926</v>
      </c>
    </row>
    <row r="909" spans="2:7" x14ac:dyDescent="0.2">
      <c r="B909" s="120" t="s">
        <v>2110</v>
      </c>
      <c r="C909" s="121" t="s">
        <v>2111</v>
      </c>
      <c r="D909" s="122" t="s">
        <v>25</v>
      </c>
      <c r="E909" s="122" t="s">
        <v>3645</v>
      </c>
      <c r="F909" s="123">
        <v>0.45794392523364491</v>
      </c>
      <c r="G909" s="123">
        <v>0.89655172413793116</v>
      </c>
    </row>
    <row r="910" spans="2:7" x14ac:dyDescent="0.2">
      <c r="B910" s="120" t="s">
        <v>2112</v>
      </c>
      <c r="C910" s="121" t="s">
        <v>2113</v>
      </c>
      <c r="D910" s="122" t="s">
        <v>3556</v>
      </c>
      <c r="E910" s="122" t="s">
        <v>3621</v>
      </c>
      <c r="F910" s="123">
        <v>1.2619047619047621</v>
      </c>
      <c r="G910" s="123">
        <v>5.2631578947368474E-2</v>
      </c>
    </row>
    <row r="911" spans="2:7" x14ac:dyDescent="0.2">
      <c r="B911" s="120" t="s">
        <v>2114</v>
      </c>
      <c r="C911" s="121" t="s">
        <v>2115</v>
      </c>
      <c r="D911" s="122" t="s">
        <v>3563</v>
      </c>
      <c r="E911" s="122" t="s">
        <v>3690</v>
      </c>
      <c r="F911" s="123">
        <v>3.2216494845360828E-2</v>
      </c>
      <c r="G911" s="123">
        <v>9.3632958801498134E-2</v>
      </c>
    </row>
    <row r="912" spans="2:7" x14ac:dyDescent="0.2">
      <c r="B912" s="120" t="s">
        <v>2116</v>
      </c>
      <c r="C912" s="121" t="s">
        <v>2117</v>
      </c>
      <c r="D912" s="122" t="s">
        <v>3556</v>
      </c>
      <c r="E912" s="122" t="s">
        <v>3586</v>
      </c>
      <c r="F912" s="123">
        <v>-9.8918083462132878E-2</v>
      </c>
      <c r="G912" s="123">
        <v>0.19554030874785586</v>
      </c>
    </row>
    <row r="913" spans="2:7" x14ac:dyDescent="0.2">
      <c r="B913" s="120" t="s">
        <v>2118</v>
      </c>
      <c r="C913" s="121" t="s">
        <v>2119</v>
      </c>
      <c r="D913" s="122" t="s">
        <v>3569</v>
      </c>
      <c r="E913" s="122" t="s">
        <v>3571</v>
      </c>
      <c r="F913" s="123">
        <v>6.1992619926199248E-2</v>
      </c>
      <c r="G913" s="123">
        <v>7.85267546907574E-2</v>
      </c>
    </row>
    <row r="914" spans="2:7" x14ac:dyDescent="0.2">
      <c r="B914" s="120" t="s">
        <v>2120</v>
      </c>
      <c r="C914" s="121" t="s">
        <v>2121</v>
      </c>
      <c r="D914" s="122" t="s">
        <v>3576</v>
      </c>
      <c r="E914" s="122" t="s">
        <v>3651</v>
      </c>
      <c r="F914" s="123">
        <v>7.4866310160427635E-2</v>
      </c>
      <c r="G914" s="123">
        <v>9.7014925373134483E-2</v>
      </c>
    </row>
    <row r="915" spans="2:7" x14ac:dyDescent="0.2">
      <c r="B915" s="120" t="s">
        <v>2122</v>
      </c>
      <c r="C915" s="121" t="s">
        <v>2123</v>
      </c>
      <c r="D915" s="122" t="s">
        <v>3576</v>
      </c>
      <c r="E915" s="122" t="s">
        <v>3578</v>
      </c>
      <c r="F915" s="123">
        <v>0.13928571428571435</v>
      </c>
      <c r="G915" s="123">
        <v>0.1598746081504703</v>
      </c>
    </row>
    <row r="916" spans="2:7" x14ac:dyDescent="0.2">
      <c r="B916" s="120" t="s">
        <v>2124</v>
      </c>
      <c r="C916" s="121" t="s">
        <v>2125</v>
      </c>
      <c r="D916" s="122" t="s">
        <v>3556</v>
      </c>
      <c r="E916" s="122" t="s">
        <v>3630</v>
      </c>
      <c r="F916" s="123">
        <v>0.29605263157894735</v>
      </c>
      <c r="G916" s="123">
        <v>0.30841121495327106</v>
      </c>
    </row>
    <row r="917" spans="2:7" x14ac:dyDescent="0.2">
      <c r="B917" s="120" t="s">
        <v>2126</v>
      </c>
      <c r="C917" s="121" t="s">
        <v>2127</v>
      </c>
      <c r="D917" s="122" t="s">
        <v>3569</v>
      </c>
      <c r="E917" s="122" t="s">
        <v>3575</v>
      </c>
      <c r="F917" s="123">
        <v>-0.22556390977443594</v>
      </c>
      <c r="G917" s="123">
        <v>-0.10736196319018408</v>
      </c>
    </row>
    <row r="918" spans="2:7" x14ac:dyDescent="0.2">
      <c r="B918" s="120" t="s">
        <v>2128</v>
      </c>
      <c r="C918" s="121" t="s">
        <v>2129</v>
      </c>
      <c r="D918" s="122" t="s">
        <v>24</v>
      </c>
      <c r="E918" s="122" t="s">
        <v>3633</v>
      </c>
      <c r="F918" s="123">
        <v>2.0576131687242726E-2</v>
      </c>
      <c r="G918" s="123">
        <v>8.0645161290322648E-2</v>
      </c>
    </row>
    <row r="919" spans="2:7" x14ac:dyDescent="0.2">
      <c r="B919" s="120" t="s">
        <v>2130</v>
      </c>
      <c r="C919" s="121" t="s">
        <v>2131</v>
      </c>
      <c r="D919" s="122" t="s">
        <v>3569</v>
      </c>
      <c r="E919" s="122" t="s">
        <v>3697</v>
      </c>
      <c r="F919" s="123">
        <v>0.14110429447852774</v>
      </c>
      <c r="G919" s="123">
        <v>0.13978494623655913</v>
      </c>
    </row>
    <row r="920" spans="2:7" x14ac:dyDescent="0.2">
      <c r="B920" s="120" t="s">
        <v>2132</v>
      </c>
      <c r="C920" s="121" t="s">
        <v>2133</v>
      </c>
      <c r="D920" s="122" t="s">
        <v>3569</v>
      </c>
      <c r="E920" s="122" t="s">
        <v>3572</v>
      </c>
      <c r="F920" s="123">
        <v>7.9611650485436739E-2</v>
      </c>
      <c r="G920" s="123">
        <v>7.9136690647482091E-2</v>
      </c>
    </row>
    <row r="921" spans="2:7" x14ac:dyDescent="0.2">
      <c r="B921" s="120" t="s">
        <v>2134</v>
      </c>
      <c r="C921" s="121" t="s">
        <v>2135</v>
      </c>
      <c r="D921" s="122" t="s">
        <v>3591</v>
      </c>
      <c r="E921" s="122" t="s">
        <v>3643</v>
      </c>
      <c r="F921" s="123">
        <v>6.3829787234042618E-2</v>
      </c>
      <c r="G921" s="123">
        <v>6.6666666666666721E-2</v>
      </c>
    </row>
    <row r="922" spans="2:7" x14ac:dyDescent="0.2">
      <c r="B922" s="120" t="s">
        <v>2136</v>
      </c>
      <c r="C922" s="121" t="s">
        <v>2137</v>
      </c>
      <c r="D922" s="122" t="s">
        <v>3569</v>
      </c>
      <c r="E922" s="122" t="s">
        <v>3718</v>
      </c>
      <c r="F922" s="123">
        <v>0.15476190476190482</v>
      </c>
      <c r="G922" s="123">
        <v>0.13745704467353947</v>
      </c>
    </row>
    <row r="923" spans="2:7" x14ac:dyDescent="0.2">
      <c r="B923" s="120" t="s">
        <v>2138</v>
      </c>
      <c r="C923" s="121" t="s">
        <v>2139</v>
      </c>
      <c r="D923" s="122" t="s">
        <v>3563</v>
      </c>
      <c r="E923" s="122" t="s">
        <v>3622</v>
      </c>
      <c r="F923" s="123">
        <v>1.5742574257425741</v>
      </c>
      <c r="G923" s="123">
        <v>2.3793103448275863</v>
      </c>
    </row>
    <row r="924" spans="2:7" x14ac:dyDescent="0.2">
      <c r="B924" s="120" t="s">
        <v>2140</v>
      </c>
      <c r="C924" s="121" t="s">
        <v>2141</v>
      </c>
      <c r="D924" s="122" t="s">
        <v>3576</v>
      </c>
      <c r="E924" s="122" t="s">
        <v>3593</v>
      </c>
      <c r="F924" s="123">
        <v>6.3789868667917415E-2</v>
      </c>
      <c r="G924" s="123">
        <v>7.2310405643739001E-2</v>
      </c>
    </row>
    <row r="925" spans="2:7" x14ac:dyDescent="0.2">
      <c r="B925" s="120" t="s">
        <v>2142</v>
      </c>
      <c r="C925" s="121" t="s">
        <v>2143</v>
      </c>
      <c r="D925" s="122" t="s">
        <v>3576</v>
      </c>
      <c r="E925" s="122" t="s">
        <v>3600</v>
      </c>
      <c r="F925" s="123">
        <v>4.1095890410958943E-2</v>
      </c>
      <c r="G925" s="123">
        <v>6.5789473684210578E-2</v>
      </c>
    </row>
    <row r="926" spans="2:7" x14ac:dyDescent="0.2">
      <c r="B926" s="120" t="s">
        <v>2144</v>
      </c>
      <c r="C926" s="121" t="s">
        <v>2145</v>
      </c>
      <c r="D926" s="122" t="s">
        <v>3576</v>
      </c>
      <c r="E926" s="122" t="s">
        <v>3641</v>
      </c>
      <c r="F926" s="123">
        <v>6.2499999999999944E-2</v>
      </c>
      <c r="G926" s="123">
        <v>6.3348416289592813E-2</v>
      </c>
    </row>
    <row r="927" spans="2:7" x14ac:dyDescent="0.2">
      <c r="B927" s="120" t="s">
        <v>2146</v>
      </c>
      <c r="C927" s="121" t="s">
        <v>2147</v>
      </c>
      <c r="D927" s="122" t="s">
        <v>3576</v>
      </c>
      <c r="E927" s="122" t="s">
        <v>3626</v>
      </c>
      <c r="F927" s="123">
        <v>4.3333333333333339</v>
      </c>
      <c r="G927" s="123">
        <v>9.3749999999999903E-2</v>
      </c>
    </row>
    <row r="928" spans="2:7" x14ac:dyDescent="0.2">
      <c r="B928" s="120" t="s">
        <v>2148</v>
      </c>
      <c r="C928" s="121" t="s">
        <v>2149</v>
      </c>
      <c r="D928" s="122" t="s">
        <v>3610</v>
      </c>
      <c r="E928" s="122" t="s">
        <v>3611</v>
      </c>
      <c r="F928" s="123">
        <v>-6.567164179104483E-2</v>
      </c>
      <c r="G928" s="123">
        <v>5.4313099041533523E-2</v>
      </c>
    </row>
    <row r="929" spans="2:7" x14ac:dyDescent="0.2">
      <c r="B929" s="120" t="s">
        <v>2150</v>
      </c>
      <c r="C929" s="121" t="s">
        <v>2151</v>
      </c>
      <c r="D929" s="122" t="s">
        <v>3610</v>
      </c>
      <c r="E929" s="122" t="s">
        <v>3672</v>
      </c>
      <c r="F929" s="123">
        <v>0.1628959276018099</v>
      </c>
      <c r="G929" s="123">
        <v>6.6147859922179142E-2</v>
      </c>
    </row>
    <row r="930" spans="2:7" x14ac:dyDescent="0.2">
      <c r="B930" s="120" t="s">
        <v>2152</v>
      </c>
      <c r="C930" s="121" t="s">
        <v>2153</v>
      </c>
      <c r="D930" s="122" t="s">
        <v>25</v>
      </c>
      <c r="E930" s="122" t="s">
        <v>3702</v>
      </c>
      <c r="F930" s="123">
        <v>-0.24107142857142866</v>
      </c>
      <c r="G930" s="123">
        <v>0.78823529411764715</v>
      </c>
    </row>
    <row r="931" spans="2:7" x14ac:dyDescent="0.2">
      <c r="B931" s="120" t="s">
        <v>2154</v>
      </c>
      <c r="C931" s="121" t="s">
        <v>2155</v>
      </c>
      <c r="D931" s="122" t="s">
        <v>3612</v>
      </c>
      <c r="E931" s="122" t="s">
        <v>3627</v>
      </c>
      <c r="F931" s="123">
        <v>-0.61016949152542377</v>
      </c>
      <c r="G931" s="123">
        <v>0.21739130434782614</v>
      </c>
    </row>
    <row r="932" spans="2:7" x14ac:dyDescent="0.2">
      <c r="B932" s="120" t="s">
        <v>2156</v>
      </c>
      <c r="C932" s="121" t="s">
        <v>2157</v>
      </c>
      <c r="D932" s="122" t="s">
        <v>25</v>
      </c>
      <c r="E932" s="122" t="s">
        <v>3778</v>
      </c>
      <c r="F932" s="123">
        <v>-0.18958502847843764</v>
      </c>
      <c r="G932" s="123">
        <v>9.9397590361445617E-2</v>
      </c>
    </row>
    <row r="933" spans="2:7" x14ac:dyDescent="0.2">
      <c r="B933" s="120" t="s">
        <v>2158</v>
      </c>
      <c r="C933" s="121" t="s">
        <v>2159</v>
      </c>
      <c r="D933" s="122" t="s">
        <v>3558</v>
      </c>
      <c r="E933" s="122" t="s">
        <v>3642</v>
      </c>
      <c r="F933" s="123">
        <v>0.15637860082304522</v>
      </c>
      <c r="G933" s="123">
        <v>8.8967971530249115E-2</v>
      </c>
    </row>
    <row r="934" spans="2:7" x14ac:dyDescent="0.2">
      <c r="B934" s="120" t="s">
        <v>2160</v>
      </c>
      <c r="C934" s="121" t="s">
        <v>2161</v>
      </c>
      <c r="D934" s="122" t="s">
        <v>3679</v>
      </c>
      <c r="E934" s="122" t="s">
        <v>3680</v>
      </c>
      <c r="F934" s="123">
        <v>1.2211981566820278</v>
      </c>
      <c r="G934" s="123">
        <v>-5.6016597510373536E-2</v>
      </c>
    </row>
    <row r="935" spans="2:7" x14ac:dyDescent="0.2">
      <c r="B935" s="120" t="s">
        <v>2162</v>
      </c>
      <c r="C935" s="121" t="s">
        <v>2163</v>
      </c>
      <c r="D935" s="122" t="s">
        <v>3558</v>
      </c>
      <c r="E935" s="122" t="s">
        <v>3642</v>
      </c>
      <c r="F935" s="123">
        <v>9.6989966555183799E-2</v>
      </c>
      <c r="G935" s="123">
        <v>0.13109756097560982</v>
      </c>
    </row>
    <row r="936" spans="2:7" x14ac:dyDescent="0.2">
      <c r="B936" s="120" t="s">
        <v>2164</v>
      </c>
      <c r="C936" s="121" t="s">
        <v>2165</v>
      </c>
      <c r="D936" s="122" t="s">
        <v>24</v>
      </c>
      <c r="E936" s="122" t="s">
        <v>3633</v>
      </c>
      <c r="F936" s="123">
        <v>5.600000000000005E-2</v>
      </c>
      <c r="G936" s="123">
        <v>6.4393939393939365E-2</v>
      </c>
    </row>
    <row r="937" spans="2:7" x14ac:dyDescent="0.2">
      <c r="B937" s="120" t="s">
        <v>2166</v>
      </c>
      <c r="C937" s="121" t="s">
        <v>2167</v>
      </c>
      <c r="D937" s="122" t="s">
        <v>3576</v>
      </c>
      <c r="E937" s="122" t="s">
        <v>3578</v>
      </c>
      <c r="F937" s="123">
        <v>0.31728045325779053</v>
      </c>
      <c r="G937" s="123">
        <v>2.7956989247311805E-2</v>
      </c>
    </row>
    <row r="938" spans="2:7" x14ac:dyDescent="0.2">
      <c r="B938" s="120" t="s">
        <v>2168</v>
      </c>
      <c r="C938" s="121" t="s">
        <v>2169</v>
      </c>
      <c r="D938" s="122" t="s">
        <v>3556</v>
      </c>
      <c r="E938" s="122" t="s">
        <v>3741</v>
      </c>
      <c r="F938" s="123">
        <v>-0.4820051413881748</v>
      </c>
      <c r="G938" s="123">
        <v>0.48138957816377154</v>
      </c>
    </row>
    <row r="939" spans="2:7" x14ac:dyDescent="0.2">
      <c r="B939" s="120" t="s">
        <v>2170</v>
      </c>
      <c r="C939" s="121" t="s">
        <v>2171</v>
      </c>
      <c r="D939" s="122" t="s">
        <v>3576</v>
      </c>
      <c r="E939" s="122" t="s">
        <v>3688</v>
      </c>
      <c r="F939" s="123">
        <v>0.15555555555555559</v>
      </c>
      <c r="G939" s="123">
        <v>0.14230769230769236</v>
      </c>
    </row>
    <row r="940" spans="2:7" x14ac:dyDescent="0.2">
      <c r="B940" s="120" t="s">
        <v>2172</v>
      </c>
      <c r="C940" s="121" t="s">
        <v>2173</v>
      </c>
      <c r="D940" s="122" t="s">
        <v>25</v>
      </c>
      <c r="E940" s="122" t="s">
        <v>3702</v>
      </c>
      <c r="F940" s="123">
        <v>0.49999999999999994</v>
      </c>
      <c r="G940" s="123">
        <v>0.22549019607843135</v>
      </c>
    </row>
    <row r="941" spans="2:7" x14ac:dyDescent="0.2">
      <c r="B941" s="120" t="s">
        <v>2174</v>
      </c>
      <c r="C941" s="121" t="s">
        <v>2175</v>
      </c>
      <c r="D941" s="122" t="s">
        <v>3580</v>
      </c>
      <c r="E941" s="122" t="s">
        <v>3601</v>
      </c>
      <c r="F941" s="123">
        <v>0.17839195979899508</v>
      </c>
      <c r="G941" s="123">
        <v>0.1599147121535181</v>
      </c>
    </row>
    <row r="942" spans="2:7" x14ac:dyDescent="0.2">
      <c r="B942" s="120" t="s">
        <v>2176</v>
      </c>
      <c r="C942" s="121" t="s">
        <v>2177</v>
      </c>
      <c r="D942" s="122" t="s">
        <v>3556</v>
      </c>
      <c r="E942" s="122" t="s">
        <v>3616</v>
      </c>
      <c r="F942" s="123">
        <v>0.30800821355236141</v>
      </c>
      <c r="G942" s="123">
        <v>0.11773940345368916</v>
      </c>
    </row>
    <row r="943" spans="2:7" x14ac:dyDescent="0.2">
      <c r="B943" s="120" t="s">
        <v>2178</v>
      </c>
      <c r="C943" s="121" t="s">
        <v>2179</v>
      </c>
      <c r="D943" s="122" t="s">
        <v>3576</v>
      </c>
      <c r="E943" s="122" t="s">
        <v>3603</v>
      </c>
      <c r="F943" s="123">
        <v>7.6923076923076941E-2</v>
      </c>
      <c r="G943" s="123">
        <v>0.10606060606060611</v>
      </c>
    </row>
    <row r="944" spans="2:7" x14ac:dyDescent="0.2">
      <c r="B944" s="120" t="s">
        <v>2180</v>
      </c>
      <c r="C944" s="121" t="s">
        <v>2181</v>
      </c>
      <c r="D944" s="122" t="s">
        <v>3679</v>
      </c>
      <c r="E944" s="122" t="s">
        <v>3680</v>
      </c>
      <c r="F944" s="123">
        <v>-6.0362173038229341E-2</v>
      </c>
      <c r="G944" s="123">
        <v>7.3875802997858619E-2</v>
      </c>
    </row>
    <row r="945" spans="2:7" x14ac:dyDescent="0.2">
      <c r="B945" s="120" t="s">
        <v>2182</v>
      </c>
      <c r="C945" s="121" t="s">
        <v>2183</v>
      </c>
      <c r="D945" s="122" t="s">
        <v>3612</v>
      </c>
      <c r="E945" s="122" t="s">
        <v>3670</v>
      </c>
      <c r="F945" s="123">
        <v>-0.24645390070921983</v>
      </c>
      <c r="G945" s="123">
        <v>8.7058823529411786E-2</v>
      </c>
    </row>
    <row r="946" spans="2:7" x14ac:dyDescent="0.2">
      <c r="B946" s="120" t="s">
        <v>2184</v>
      </c>
      <c r="C946" s="121" t="s">
        <v>2185</v>
      </c>
      <c r="D946" s="122" t="s">
        <v>3582</v>
      </c>
      <c r="E946" s="122" t="s">
        <v>3655</v>
      </c>
      <c r="F946" s="123">
        <v>0.11011904761904766</v>
      </c>
      <c r="G946" s="123">
        <v>9.6514745308310959E-2</v>
      </c>
    </row>
    <row r="947" spans="2:7" x14ac:dyDescent="0.2">
      <c r="B947" s="120" t="s">
        <v>2186</v>
      </c>
      <c r="C947" s="121" t="s">
        <v>2187</v>
      </c>
      <c r="D947" s="122" t="s">
        <v>24</v>
      </c>
      <c r="E947" s="122" t="s">
        <v>3693</v>
      </c>
      <c r="F947" s="123">
        <v>0.1581920903954801</v>
      </c>
      <c r="G947" s="123">
        <v>0.1024390243902439</v>
      </c>
    </row>
    <row r="948" spans="2:7" x14ac:dyDescent="0.2">
      <c r="B948" s="120" t="s">
        <v>2188</v>
      </c>
      <c r="C948" s="121" t="s">
        <v>2189</v>
      </c>
      <c r="D948" s="122" t="s">
        <v>24</v>
      </c>
      <c r="E948" s="122" t="s">
        <v>3675</v>
      </c>
      <c r="F948" s="123">
        <v>4.7619047619047492E-2</v>
      </c>
      <c r="G948" s="123">
        <v>6.9377990430622025E-2</v>
      </c>
    </row>
    <row r="949" spans="2:7" x14ac:dyDescent="0.2">
      <c r="B949" s="120" t="s">
        <v>2190</v>
      </c>
      <c r="C949" s="121" t="s">
        <v>2191</v>
      </c>
      <c r="D949" s="122" t="s">
        <v>3605</v>
      </c>
      <c r="E949" s="122" t="s">
        <v>3606</v>
      </c>
      <c r="F949" s="123">
        <v>0.14189189189189186</v>
      </c>
      <c r="G949" s="123">
        <v>0.10256410256410248</v>
      </c>
    </row>
    <row r="950" spans="2:7" x14ac:dyDescent="0.2">
      <c r="B950" s="120" t="s">
        <v>2192</v>
      </c>
      <c r="C950" s="121" t="s">
        <v>2193</v>
      </c>
      <c r="D950" s="122" t="s">
        <v>3569</v>
      </c>
      <c r="E950" s="122" t="s">
        <v>3625</v>
      </c>
      <c r="F950" s="123">
        <v>0.2443243243243243</v>
      </c>
      <c r="G950" s="123">
        <v>4.1702867072111245E-2</v>
      </c>
    </row>
    <row r="951" spans="2:7" x14ac:dyDescent="0.2">
      <c r="B951" s="120" t="s">
        <v>2194</v>
      </c>
      <c r="C951" s="121" t="s">
        <v>2195</v>
      </c>
      <c r="D951" s="122" t="s">
        <v>3556</v>
      </c>
      <c r="E951" s="122" t="s">
        <v>3756</v>
      </c>
      <c r="F951" s="123">
        <v>-4.3668122270743362E-3</v>
      </c>
      <c r="G951" s="123">
        <v>0.2061403508771931</v>
      </c>
    </row>
    <row r="952" spans="2:7" x14ac:dyDescent="0.2">
      <c r="B952" s="120" t="s">
        <v>2196</v>
      </c>
      <c r="C952" s="121" t="s">
        <v>2197</v>
      </c>
      <c r="D952" s="122" t="s">
        <v>3594</v>
      </c>
      <c r="E952" s="122" t="s">
        <v>3732</v>
      </c>
      <c r="F952" s="123">
        <v>-6.26506024096386E-2</v>
      </c>
      <c r="G952" s="123">
        <v>1.2853470437017948E-2</v>
      </c>
    </row>
    <row r="953" spans="2:7" x14ac:dyDescent="0.2">
      <c r="B953" s="120" t="s">
        <v>2198</v>
      </c>
      <c r="C953" s="121" t="s">
        <v>2199</v>
      </c>
      <c r="D953" s="122" t="s">
        <v>3563</v>
      </c>
      <c r="E953" s="122" t="s">
        <v>3622</v>
      </c>
      <c r="F953" s="123">
        <v>0.13513513513513511</v>
      </c>
      <c r="G953" s="123">
        <v>0.21428571428571436</v>
      </c>
    </row>
    <row r="954" spans="2:7" x14ac:dyDescent="0.2">
      <c r="B954" s="120" t="s">
        <v>2200</v>
      </c>
      <c r="C954" s="121" t="s">
        <v>2201</v>
      </c>
      <c r="D954" s="122" t="s">
        <v>3594</v>
      </c>
      <c r="E954" s="122" t="s">
        <v>3698</v>
      </c>
      <c r="F954" s="123">
        <v>-0.390625</v>
      </c>
      <c r="G954" s="123">
        <v>0.57264957264957284</v>
      </c>
    </row>
    <row r="955" spans="2:7" x14ac:dyDescent="0.2">
      <c r="B955" s="120" t="s">
        <v>2202</v>
      </c>
      <c r="C955" s="121" t="s">
        <v>2203</v>
      </c>
      <c r="D955" s="122" t="s">
        <v>3612</v>
      </c>
      <c r="E955" s="122" t="s">
        <v>3739</v>
      </c>
      <c r="F955" s="123">
        <v>-0.3383838383838384</v>
      </c>
      <c r="G955" s="123">
        <v>0.85496183206106868</v>
      </c>
    </row>
    <row r="956" spans="2:7" x14ac:dyDescent="0.2">
      <c r="B956" s="120" t="s">
        <v>2204</v>
      </c>
      <c r="C956" s="121" t="s">
        <v>2205</v>
      </c>
      <c r="D956" s="122" t="s">
        <v>3612</v>
      </c>
      <c r="E956" s="122" t="s">
        <v>3716</v>
      </c>
      <c r="F956" s="123">
        <v>3.2786885245901669E-2</v>
      </c>
      <c r="G956" s="123">
        <v>9.9206349206349201E-2</v>
      </c>
    </row>
    <row r="957" spans="2:7" x14ac:dyDescent="0.2">
      <c r="B957" s="120" t="s">
        <v>2206</v>
      </c>
      <c r="C957" s="121" t="s">
        <v>2207</v>
      </c>
      <c r="D957" s="122" t="s">
        <v>3576</v>
      </c>
      <c r="E957" s="122" t="s">
        <v>3619</v>
      </c>
      <c r="F957" s="123">
        <v>-5.1094890510948947E-2</v>
      </c>
      <c r="G957" s="123">
        <v>0.2076923076923077</v>
      </c>
    </row>
    <row r="958" spans="2:7" x14ac:dyDescent="0.2">
      <c r="B958" s="120" t="s">
        <v>2208</v>
      </c>
      <c r="C958" s="121" t="s">
        <v>2209</v>
      </c>
      <c r="D958" s="122" t="s">
        <v>3556</v>
      </c>
      <c r="E958" s="122" t="s">
        <v>3586</v>
      </c>
      <c r="F958" s="123">
        <v>2.9411764705882318E-2</v>
      </c>
      <c r="G958" s="123">
        <v>0.28051948051948039</v>
      </c>
    </row>
    <row r="959" spans="2:7" x14ac:dyDescent="0.2">
      <c r="B959" s="120" t="s">
        <v>2210</v>
      </c>
      <c r="C959" s="121" t="s">
        <v>2211</v>
      </c>
      <c r="D959" s="122" t="s">
        <v>3556</v>
      </c>
      <c r="E959" s="122" t="s">
        <v>3628</v>
      </c>
      <c r="F959" s="123">
        <v>0.13888888888888876</v>
      </c>
      <c r="G959" s="123">
        <v>0.14634146341463428</v>
      </c>
    </row>
    <row r="960" spans="2:7" x14ac:dyDescent="0.2">
      <c r="B960" s="120" t="s">
        <v>2212</v>
      </c>
      <c r="C960" s="121" t="s">
        <v>2213</v>
      </c>
      <c r="D960" s="122" t="s">
        <v>3569</v>
      </c>
      <c r="E960" s="122" t="s">
        <v>3570</v>
      </c>
      <c r="F960" s="123">
        <v>0.12933025404157034</v>
      </c>
      <c r="G960" s="123">
        <v>9.4069529652351741E-2</v>
      </c>
    </row>
    <row r="961" spans="2:7" x14ac:dyDescent="0.2">
      <c r="B961" s="120" t="s">
        <v>2214</v>
      </c>
      <c r="C961" s="121" t="s">
        <v>2215</v>
      </c>
      <c r="D961" s="122" t="s">
        <v>3569</v>
      </c>
      <c r="E961" s="122" t="s">
        <v>3575</v>
      </c>
      <c r="F961" s="123">
        <v>8.9887640449438158E-2</v>
      </c>
      <c r="G961" s="123">
        <v>-0.1419753086419753</v>
      </c>
    </row>
    <row r="962" spans="2:7" x14ac:dyDescent="0.2">
      <c r="B962" s="120" t="s">
        <v>2216</v>
      </c>
      <c r="C962" s="121" t="s">
        <v>2217</v>
      </c>
      <c r="D962" s="122" t="s">
        <v>3612</v>
      </c>
      <c r="E962" s="122" t="s">
        <v>3613</v>
      </c>
      <c r="F962" s="123">
        <v>1.4285714285714299E-2</v>
      </c>
      <c r="G962" s="123">
        <v>-0.22535211267605623</v>
      </c>
    </row>
    <row r="963" spans="2:7" x14ac:dyDescent="0.2">
      <c r="B963" s="120" t="s">
        <v>2218</v>
      </c>
      <c r="C963" s="121" t="s">
        <v>2219</v>
      </c>
      <c r="D963" s="122" t="s">
        <v>3569</v>
      </c>
      <c r="E963" s="122" t="s">
        <v>3575</v>
      </c>
      <c r="F963" s="123">
        <v>-0.61587301587301591</v>
      </c>
      <c r="G963" s="123">
        <v>-0.10412573673870339</v>
      </c>
    </row>
    <row r="964" spans="2:7" x14ac:dyDescent="0.2">
      <c r="B964" s="120" t="s">
        <v>2220</v>
      </c>
      <c r="C964" s="121" t="s">
        <v>2221</v>
      </c>
      <c r="D964" s="122" t="s">
        <v>3556</v>
      </c>
      <c r="E964" s="122" t="s">
        <v>3727</v>
      </c>
      <c r="F964" s="123">
        <v>-0.41666666666666669</v>
      </c>
      <c r="G964" s="123">
        <v>0.61428571428571421</v>
      </c>
    </row>
    <row r="965" spans="2:7" x14ac:dyDescent="0.2">
      <c r="B965" s="120" t="s">
        <v>2222</v>
      </c>
      <c r="C965" s="121" t="s">
        <v>2223</v>
      </c>
      <c r="D965" s="122" t="s">
        <v>3563</v>
      </c>
      <c r="E965" s="122" t="s">
        <v>3779</v>
      </c>
      <c r="F965" s="123">
        <v>-1.2195121951219388E-2</v>
      </c>
      <c r="G965" s="123">
        <v>7.4074074074074001E-2</v>
      </c>
    </row>
    <row r="966" spans="2:7" x14ac:dyDescent="0.2">
      <c r="B966" s="120" t="s">
        <v>2224</v>
      </c>
      <c r="C966" s="121" t="s">
        <v>2225</v>
      </c>
      <c r="D966" s="122" t="s">
        <v>3576</v>
      </c>
      <c r="E966" s="122" t="s">
        <v>3620</v>
      </c>
      <c r="F966" s="123">
        <v>-2.0533880903490323E-3</v>
      </c>
      <c r="G966" s="123">
        <v>7.6131687242798368E-2</v>
      </c>
    </row>
    <row r="967" spans="2:7" x14ac:dyDescent="0.2">
      <c r="B967" s="120" t="s">
        <v>2226</v>
      </c>
      <c r="C967" s="121" t="s">
        <v>2227</v>
      </c>
      <c r="D967" s="122" t="s">
        <v>3558</v>
      </c>
      <c r="E967" s="122" t="s">
        <v>3567</v>
      </c>
      <c r="F967" s="123">
        <v>7.9646017699115126E-2</v>
      </c>
      <c r="G967" s="123">
        <v>9.2213114754098394E-2</v>
      </c>
    </row>
    <row r="968" spans="2:7" x14ac:dyDescent="0.2">
      <c r="B968" s="120" t="s">
        <v>2228</v>
      </c>
      <c r="C968" s="121" t="s">
        <v>2229</v>
      </c>
      <c r="D968" s="122" t="s">
        <v>3576</v>
      </c>
      <c r="E968" s="122" t="s">
        <v>3578</v>
      </c>
      <c r="F968" s="123">
        <v>4.180064308681683E-2</v>
      </c>
      <c r="G968" s="123">
        <v>-1</v>
      </c>
    </row>
    <row r="969" spans="2:7" x14ac:dyDescent="0.2">
      <c r="B969" s="120" t="s">
        <v>2230</v>
      </c>
      <c r="C969" s="121" t="s">
        <v>2231</v>
      </c>
      <c r="D969" s="122" t="s">
        <v>3556</v>
      </c>
      <c r="E969" s="122" t="s">
        <v>3723</v>
      </c>
      <c r="F969" s="123">
        <v>0.19734345351043645</v>
      </c>
      <c r="G969" s="123">
        <v>0.12519809825673536</v>
      </c>
    </row>
    <row r="970" spans="2:7" x14ac:dyDescent="0.2">
      <c r="B970" s="120" t="s">
        <v>2232</v>
      </c>
      <c r="C970" s="121" t="s">
        <v>2233</v>
      </c>
      <c r="D970" s="122" t="s">
        <v>3556</v>
      </c>
      <c r="E970" s="122" t="s">
        <v>3579</v>
      </c>
      <c r="F970" s="123">
        <v>0.13943355119825721</v>
      </c>
      <c r="G970" s="123">
        <v>0.12810707456978965</v>
      </c>
    </row>
    <row r="971" spans="2:7" x14ac:dyDescent="0.2">
      <c r="B971" s="120" t="s">
        <v>2234</v>
      </c>
      <c r="C971" s="121" t="s">
        <v>2235</v>
      </c>
      <c r="D971" s="122" t="s">
        <v>25</v>
      </c>
      <c r="E971" s="122" t="s">
        <v>3694</v>
      </c>
      <c r="F971" s="123">
        <v>-0.22471910112359558</v>
      </c>
      <c r="G971" s="123">
        <v>-0.44927536231884052</v>
      </c>
    </row>
    <row r="972" spans="2:7" x14ac:dyDescent="0.2">
      <c r="B972" s="120" t="s">
        <v>2236</v>
      </c>
      <c r="C972" s="121" t="s">
        <v>2237</v>
      </c>
      <c r="D972" s="122" t="s">
        <v>3556</v>
      </c>
      <c r="E972" s="122" t="s">
        <v>3742</v>
      </c>
      <c r="F972" s="123">
        <v>0.10841654778887301</v>
      </c>
      <c r="G972" s="123">
        <v>0.1016731016731018</v>
      </c>
    </row>
    <row r="973" spans="2:7" x14ac:dyDescent="0.2">
      <c r="B973" s="120" t="s">
        <v>2238</v>
      </c>
      <c r="C973" s="121" t="s">
        <v>2239</v>
      </c>
      <c r="D973" s="122" t="s">
        <v>3558</v>
      </c>
      <c r="E973" s="122" t="s">
        <v>3638</v>
      </c>
      <c r="F973" s="123">
        <v>2.480916030534349E-2</v>
      </c>
      <c r="G973" s="123">
        <v>9.1247672253258888E-2</v>
      </c>
    </row>
    <row r="974" spans="2:7" x14ac:dyDescent="0.2">
      <c r="B974" s="120" t="s">
        <v>2240</v>
      </c>
      <c r="C974" s="121" t="s">
        <v>2241</v>
      </c>
      <c r="D974" s="122" t="s">
        <v>3594</v>
      </c>
      <c r="E974" s="122" t="s">
        <v>3754</v>
      </c>
      <c r="F974" s="123">
        <v>-0.80434782608695654</v>
      </c>
      <c r="G974" s="123">
        <v>1.6444444444444444</v>
      </c>
    </row>
    <row r="975" spans="2:7" x14ac:dyDescent="0.2">
      <c r="B975" s="120" t="s">
        <v>2242</v>
      </c>
      <c r="C975" s="121" t="s">
        <v>2243</v>
      </c>
      <c r="D975" s="122" t="s">
        <v>3576</v>
      </c>
      <c r="E975" s="122" t="s">
        <v>3654</v>
      </c>
      <c r="F975" s="123">
        <v>5.8733790999237326E-2</v>
      </c>
      <c r="G975" s="123">
        <v>2.3054755043227557E-2</v>
      </c>
    </row>
    <row r="976" spans="2:7" x14ac:dyDescent="0.2">
      <c r="B976" s="120" t="s">
        <v>2244</v>
      </c>
      <c r="C976" s="121" t="s">
        <v>2245</v>
      </c>
      <c r="D976" s="122" t="s">
        <v>3556</v>
      </c>
      <c r="E976" s="122" t="s">
        <v>3607</v>
      </c>
      <c r="F976" s="123">
        <v>0.35862068965517246</v>
      </c>
      <c r="G976" s="123">
        <v>0.1624365482233503</v>
      </c>
    </row>
    <row r="977" spans="2:7" x14ac:dyDescent="0.2">
      <c r="B977" s="120" t="s">
        <v>2246</v>
      </c>
      <c r="C977" s="121" t="s">
        <v>2247</v>
      </c>
      <c r="D977" s="122" t="s">
        <v>3556</v>
      </c>
      <c r="E977" s="122" t="s">
        <v>3673</v>
      </c>
      <c r="F977" s="123">
        <v>0.12259021255561049</v>
      </c>
      <c r="G977" s="123">
        <v>0.12285336856010563</v>
      </c>
    </row>
    <row r="978" spans="2:7" x14ac:dyDescent="0.2">
      <c r="B978" s="120" t="s">
        <v>2248</v>
      </c>
      <c r="C978" s="121" t="s">
        <v>2249</v>
      </c>
      <c r="D978" s="122" t="s">
        <v>3576</v>
      </c>
      <c r="E978" s="122" t="s">
        <v>3593</v>
      </c>
      <c r="F978" s="123">
        <v>-2.8735632183908073E-2</v>
      </c>
      <c r="G978" s="123">
        <v>2.9585798816568074E-2</v>
      </c>
    </row>
    <row r="979" spans="2:7" x14ac:dyDescent="0.2">
      <c r="B979" s="120" t="s">
        <v>2250</v>
      </c>
      <c r="C979" s="121" t="s">
        <v>2251</v>
      </c>
      <c r="D979" s="122" t="s">
        <v>3594</v>
      </c>
      <c r="E979" s="122" t="s">
        <v>3602</v>
      </c>
      <c r="F979" s="123">
        <v>-0.27302631578947373</v>
      </c>
      <c r="G979" s="123">
        <v>-4.7511312217194561E-2</v>
      </c>
    </row>
    <row r="980" spans="2:7" x14ac:dyDescent="0.2">
      <c r="B980" s="120" t="s">
        <v>2252</v>
      </c>
      <c r="C980" s="121" t="s">
        <v>2253</v>
      </c>
      <c r="D980" s="122" t="s">
        <v>25</v>
      </c>
      <c r="E980" s="122" t="s">
        <v>3694</v>
      </c>
      <c r="F980" s="123">
        <v>0.13896848137535811</v>
      </c>
      <c r="G980" s="123">
        <v>7.5471698113207614E-2</v>
      </c>
    </row>
    <row r="981" spans="2:7" x14ac:dyDescent="0.2">
      <c r="B981" s="120" t="s">
        <v>2254</v>
      </c>
      <c r="C981" s="121" t="s">
        <v>2255</v>
      </c>
      <c r="D981" s="122" t="s">
        <v>3580</v>
      </c>
      <c r="E981" s="122" t="s">
        <v>3692</v>
      </c>
      <c r="F981" s="123">
        <v>0.3457446808510638</v>
      </c>
      <c r="G981" s="123">
        <v>6.9169960474308415E-2</v>
      </c>
    </row>
    <row r="982" spans="2:7" x14ac:dyDescent="0.2">
      <c r="B982" s="120" t="s">
        <v>2256</v>
      </c>
      <c r="C982" s="121" t="s">
        <v>2257</v>
      </c>
      <c r="D982" s="122" t="s">
        <v>3556</v>
      </c>
      <c r="E982" s="122" t="s">
        <v>3780</v>
      </c>
      <c r="F982" s="123">
        <v>-0.59294871794871795</v>
      </c>
      <c r="G982" s="123">
        <v>0.96456692913385833</v>
      </c>
    </row>
    <row r="983" spans="2:7" x14ac:dyDescent="0.2">
      <c r="B983" s="120" t="s">
        <v>2258</v>
      </c>
      <c r="C983" s="121" t="s">
        <v>2259</v>
      </c>
      <c r="D983" s="122" t="s">
        <v>3576</v>
      </c>
      <c r="E983" s="122" t="s">
        <v>3626</v>
      </c>
      <c r="F983" s="123">
        <v>-7.2463768115941934E-2</v>
      </c>
      <c r="G983" s="123">
        <v>6.2500000000000056E-2</v>
      </c>
    </row>
    <row r="984" spans="2:7" x14ac:dyDescent="0.2">
      <c r="B984" s="120" t="s">
        <v>2260</v>
      </c>
      <c r="C984" s="121" t="s">
        <v>2261</v>
      </c>
      <c r="D984" s="122" t="s">
        <v>3612</v>
      </c>
      <c r="E984" s="122" t="s">
        <v>3627</v>
      </c>
      <c r="F984" s="123">
        <v>-0.27642276422764228</v>
      </c>
      <c r="G984" s="123">
        <v>1</v>
      </c>
    </row>
    <row r="985" spans="2:7" x14ac:dyDescent="0.2">
      <c r="B985" s="120" t="s">
        <v>2262</v>
      </c>
      <c r="C985" s="121" t="s">
        <v>2263</v>
      </c>
      <c r="D985" s="122" t="s">
        <v>3558</v>
      </c>
      <c r="E985" s="122" t="s">
        <v>3642</v>
      </c>
      <c r="F985" s="123">
        <v>0.27272727272727282</v>
      </c>
      <c r="G985" s="123">
        <v>0.1249999999999999</v>
      </c>
    </row>
    <row r="986" spans="2:7" x14ac:dyDescent="0.2">
      <c r="B986" s="120" t="s">
        <v>2264</v>
      </c>
      <c r="C986" s="121" t="s">
        <v>2265</v>
      </c>
      <c r="D986" s="122" t="s">
        <v>3556</v>
      </c>
      <c r="E986" s="122" t="s">
        <v>3586</v>
      </c>
      <c r="F986" s="123">
        <v>-9.8360655737704819E-2</v>
      </c>
      <c r="G986" s="123">
        <v>0.19999999999999996</v>
      </c>
    </row>
    <row r="987" spans="2:7" x14ac:dyDescent="0.2">
      <c r="B987" s="120" t="s">
        <v>2266</v>
      </c>
      <c r="C987" s="121" t="s">
        <v>2267</v>
      </c>
      <c r="D987" s="122" t="s">
        <v>3569</v>
      </c>
      <c r="E987" s="122" t="s">
        <v>3599</v>
      </c>
      <c r="F987" s="123">
        <v>-7.7753779697624259E-2</v>
      </c>
      <c r="G987" s="123">
        <v>5.1522248243559873E-2</v>
      </c>
    </row>
    <row r="988" spans="2:7" x14ac:dyDescent="0.2">
      <c r="B988" s="120" t="s">
        <v>2268</v>
      </c>
      <c r="C988" s="121" t="s">
        <v>2269</v>
      </c>
      <c r="D988" s="122" t="s">
        <v>3610</v>
      </c>
      <c r="E988" s="122" t="s">
        <v>3656</v>
      </c>
      <c r="F988" s="123">
        <v>0.36111111111111116</v>
      </c>
      <c r="G988" s="123">
        <v>0.12244897959183684</v>
      </c>
    </row>
    <row r="989" spans="2:7" x14ac:dyDescent="0.2">
      <c r="B989" s="120" t="s">
        <v>2270</v>
      </c>
      <c r="C989" s="121" t="s">
        <v>2271</v>
      </c>
      <c r="D989" s="122" t="s">
        <v>3576</v>
      </c>
      <c r="E989" s="122" t="s">
        <v>3626</v>
      </c>
      <c r="F989" s="123">
        <v>1.3157894736842117E-2</v>
      </c>
      <c r="G989" s="123">
        <v>3.8961038961038995E-2</v>
      </c>
    </row>
    <row r="990" spans="2:7" x14ac:dyDescent="0.2">
      <c r="B990" s="120" t="s">
        <v>2272</v>
      </c>
      <c r="C990" s="121" t="s">
        <v>2273</v>
      </c>
      <c r="D990" s="122" t="s">
        <v>3576</v>
      </c>
      <c r="E990" s="122" t="s">
        <v>3609</v>
      </c>
      <c r="F990" s="123">
        <v>0.23737373737373749</v>
      </c>
      <c r="G990" s="123">
        <v>-6.9387755102040968E-2</v>
      </c>
    </row>
    <row r="991" spans="2:7" x14ac:dyDescent="0.2">
      <c r="B991" s="120" t="s">
        <v>2274</v>
      </c>
      <c r="C991" s="121" t="s">
        <v>2275</v>
      </c>
      <c r="D991" s="122" t="s">
        <v>3569</v>
      </c>
      <c r="E991" s="122" t="s">
        <v>3722</v>
      </c>
      <c r="F991" s="123">
        <v>3.8235294117647052</v>
      </c>
      <c r="G991" s="123">
        <v>3.0975609756097562</v>
      </c>
    </row>
    <row r="992" spans="2:7" x14ac:dyDescent="0.2">
      <c r="B992" s="120" t="s">
        <v>2276</v>
      </c>
      <c r="C992" s="121" t="s">
        <v>2277</v>
      </c>
      <c r="D992" s="122" t="s">
        <v>3612</v>
      </c>
      <c r="E992" s="122" t="s">
        <v>3627</v>
      </c>
      <c r="F992" s="123">
        <v>-1.3846153846153846</v>
      </c>
      <c r="G992" s="123">
        <v>2.342857142857143</v>
      </c>
    </row>
    <row r="993" spans="2:7" x14ac:dyDescent="0.2">
      <c r="B993" s="120" t="s">
        <v>2278</v>
      </c>
      <c r="C993" s="121" t="s">
        <v>2279</v>
      </c>
      <c r="D993" s="122" t="s">
        <v>25</v>
      </c>
      <c r="E993" s="122" t="s">
        <v>3694</v>
      </c>
      <c r="F993" s="123">
        <v>4.3209876543209867E-2</v>
      </c>
      <c r="G993" s="123">
        <v>0.14201183431952658</v>
      </c>
    </row>
    <row r="994" spans="2:7" x14ac:dyDescent="0.2">
      <c r="B994" s="120" t="s">
        <v>2280</v>
      </c>
      <c r="C994" s="121" t="s">
        <v>2281</v>
      </c>
      <c r="D994" s="122" t="s">
        <v>3556</v>
      </c>
      <c r="E994" s="122" t="s">
        <v>3760</v>
      </c>
      <c r="F994" s="123">
        <v>6.870229007633577E-2</v>
      </c>
      <c r="G994" s="123">
        <v>0.10357142857142859</v>
      </c>
    </row>
    <row r="995" spans="2:7" x14ac:dyDescent="0.2">
      <c r="B995" s="120" t="s">
        <v>2282</v>
      </c>
      <c r="C995" s="121" t="s">
        <v>2283</v>
      </c>
      <c r="D995" s="122" t="s">
        <v>3561</v>
      </c>
      <c r="E995" s="122" t="s">
        <v>3608</v>
      </c>
      <c r="F995" s="123">
        <v>-4.5454545454545491E-2</v>
      </c>
      <c r="G995" s="123">
        <v>0.1984126984126984</v>
      </c>
    </row>
    <row r="996" spans="2:7" x14ac:dyDescent="0.2">
      <c r="B996" s="120" t="s">
        <v>2284</v>
      </c>
      <c r="C996" s="121" t="s">
        <v>2285</v>
      </c>
      <c r="D996" s="122" t="s">
        <v>3576</v>
      </c>
      <c r="E996" s="122" t="s">
        <v>3688</v>
      </c>
      <c r="F996" s="123">
        <v>1.6528925619834725E-2</v>
      </c>
      <c r="G996" s="123">
        <v>9.3495934959349589E-2</v>
      </c>
    </row>
    <row r="997" spans="2:7" x14ac:dyDescent="0.2">
      <c r="B997" s="120" t="s">
        <v>2286</v>
      </c>
      <c r="C997" s="121" t="s">
        <v>2287</v>
      </c>
      <c r="D997" s="122" t="s">
        <v>3558</v>
      </c>
      <c r="E997" s="122" t="s">
        <v>3642</v>
      </c>
      <c r="F997" s="123">
        <v>-5.0251256281405969E-3</v>
      </c>
      <c r="G997" s="123">
        <v>0.10606060606060604</v>
      </c>
    </row>
    <row r="998" spans="2:7" x14ac:dyDescent="0.2">
      <c r="B998" s="120" t="s">
        <v>2288</v>
      </c>
      <c r="C998" s="121" t="s">
        <v>2289</v>
      </c>
      <c r="D998" s="122" t="s">
        <v>3591</v>
      </c>
      <c r="E998" s="122" t="s">
        <v>3592</v>
      </c>
      <c r="F998" s="123">
        <v>7.8709677419354765E-2</v>
      </c>
      <c r="G998" s="123">
        <v>8.2535885167464268E-2</v>
      </c>
    </row>
    <row r="999" spans="2:7" x14ac:dyDescent="0.2">
      <c r="B999" s="120" t="s">
        <v>2290</v>
      </c>
      <c r="C999" s="121" t="s">
        <v>2291</v>
      </c>
      <c r="D999" s="122" t="s">
        <v>3594</v>
      </c>
      <c r="E999" s="122" t="s">
        <v>3595</v>
      </c>
      <c r="F999" s="123">
        <v>0.22500000000000003</v>
      </c>
      <c r="G999" s="123">
        <v>0.59183673469387743</v>
      </c>
    </row>
    <row r="1000" spans="2:7" x14ac:dyDescent="0.2">
      <c r="B1000" s="120" t="s">
        <v>2292</v>
      </c>
      <c r="C1000" s="121" t="s">
        <v>2293</v>
      </c>
      <c r="D1000" s="122" t="s">
        <v>3569</v>
      </c>
      <c r="E1000" s="122" t="s">
        <v>3572</v>
      </c>
      <c r="F1000" s="123">
        <v>8.9285714285714163E-2</v>
      </c>
      <c r="G1000" s="123">
        <v>9.8360655737705013E-2</v>
      </c>
    </row>
    <row r="1001" spans="2:7" x14ac:dyDescent="0.2">
      <c r="B1001" s="120" t="s">
        <v>2294</v>
      </c>
      <c r="C1001" s="121" t="s">
        <v>2295</v>
      </c>
      <c r="D1001" s="122" t="s">
        <v>3612</v>
      </c>
      <c r="E1001" s="122" t="s">
        <v>3726</v>
      </c>
      <c r="F1001" s="123">
        <v>-0.89873417721518989</v>
      </c>
      <c r="G1001" s="123">
        <v>3.9249999999999994</v>
      </c>
    </row>
    <row r="1002" spans="2:7" x14ac:dyDescent="0.2">
      <c r="B1002" s="120" t="s">
        <v>2296</v>
      </c>
      <c r="C1002" s="121" t="s">
        <v>2297</v>
      </c>
      <c r="D1002" s="122" t="s">
        <v>3556</v>
      </c>
      <c r="E1002" s="122" t="s">
        <v>3630</v>
      </c>
      <c r="F1002" s="123">
        <v>-6.6666666666666541E-2</v>
      </c>
      <c r="G1002" s="123">
        <v>0.55357142857142838</v>
      </c>
    </row>
    <row r="1003" spans="2:7" x14ac:dyDescent="0.2">
      <c r="B1003" s="120" t="s">
        <v>2298</v>
      </c>
      <c r="C1003" s="121" t="s">
        <v>2299</v>
      </c>
      <c r="D1003" s="122" t="s">
        <v>3612</v>
      </c>
      <c r="E1003" s="122" t="s">
        <v>3669</v>
      </c>
      <c r="F1003" s="123">
        <v>-0.89999999999999991</v>
      </c>
      <c r="G1003" s="123">
        <v>1.4122807017543859</v>
      </c>
    </row>
    <row r="1004" spans="2:7" x14ac:dyDescent="0.2">
      <c r="B1004" s="120" t="s">
        <v>2300</v>
      </c>
      <c r="C1004" s="121" t="s">
        <v>2301</v>
      </c>
      <c r="D1004" s="122" t="s">
        <v>3591</v>
      </c>
      <c r="E1004" s="122" t="s">
        <v>3643</v>
      </c>
      <c r="F1004" s="123">
        <v>4.4378698224852048E-2</v>
      </c>
      <c r="G1004" s="123">
        <v>-6.2322946175637328E-2</v>
      </c>
    </row>
    <row r="1005" spans="2:7" x14ac:dyDescent="0.2">
      <c r="B1005" s="120" t="s">
        <v>2302</v>
      </c>
      <c r="C1005" s="121" t="s">
        <v>2303</v>
      </c>
      <c r="D1005" s="122" t="s">
        <v>25</v>
      </c>
      <c r="E1005" s="122" t="s">
        <v>3691</v>
      </c>
      <c r="F1005" s="123">
        <v>0.2357414448669202</v>
      </c>
      <c r="G1005" s="123">
        <v>0.76923076923076927</v>
      </c>
    </row>
    <row r="1006" spans="2:7" x14ac:dyDescent="0.2">
      <c r="B1006" s="120" t="s">
        <v>2304</v>
      </c>
      <c r="C1006" s="121" t="s">
        <v>2305</v>
      </c>
      <c r="D1006" s="122" t="s">
        <v>3591</v>
      </c>
      <c r="E1006" s="122" t="s">
        <v>3592</v>
      </c>
      <c r="F1006" s="123">
        <v>1.3513513513513466E-2</v>
      </c>
      <c r="G1006" s="123">
        <v>7.7333333333333337E-2</v>
      </c>
    </row>
    <row r="1007" spans="2:7" x14ac:dyDescent="0.2">
      <c r="B1007" s="120" t="s">
        <v>2306</v>
      </c>
      <c r="C1007" s="121" t="s">
        <v>2307</v>
      </c>
      <c r="D1007" s="122" t="s">
        <v>3594</v>
      </c>
      <c r="E1007" s="122" t="s">
        <v>3647</v>
      </c>
      <c r="F1007" s="123">
        <v>0.1393442622950819</v>
      </c>
      <c r="G1007" s="123">
        <v>-0.21582733812949628</v>
      </c>
    </row>
    <row r="1008" spans="2:7" x14ac:dyDescent="0.2">
      <c r="B1008" s="120" t="s">
        <v>2308</v>
      </c>
      <c r="C1008" s="121" t="s">
        <v>2309</v>
      </c>
      <c r="D1008" s="122" t="s">
        <v>3594</v>
      </c>
      <c r="E1008" s="122" t="s">
        <v>3637</v>
      </c>
      <c r="F1008" s="123">
        <v>0.25714285714285706</v>
      </c>
      <c r="G1008" s="123">
        <v>0.24173553719008264</v>
      </c>
    </row>
    <row r="1009" spans="2:7" x14ac:dyDescent="0.2">
      <c r="B1009" s="120" t="s">
        <v>2310</v>
      </c>
      <c r="C1009" s="121" t="s">
        <v>2311</v>
      </c>
      <c r="D1009" s="122" t="s">
        <v>3576</v>
      </c>
      <c r="E1009" s="122" t="s">
        <v>3619</v>
      </c>
      <c r="F1009" s="123">
        <v>-3.6297640653356758E-3</v>
      </c>
      <c r="G1009" s="123">
        <v>4.7358834244080106E-2</v>
      </c>
    </row>
    <row r="1010" spans="2:7" x14ac:dyDescent="0.2">
      <c r="B1010" s="120" t="s">
        <v>2312</v>
      </c>
      <c r="C1010" s="121" t="s">
        <v>2313</v>
      </c>
      <c r="D1010" s="122" t="s">
        <v>3558</v>
      </c>
      <c r="E1010" s="122" t="s">
        <v>3737</v>
      </c>
      <c r="F1010" s="123">
        <v>-0.5</v>
      </c>
      <c r="G1010" s="123">
        <v>0.81249999999999989</v>
      </c>
    </row>
    <row r="1011" spans="2:7" x14ac:dyDescent="0.2">
      <c r="B1011" s="120" t="s">
        <v>2314</v>
      </c>
      <c r="C1011" s="121" t="s">
        <v>2315</v>
      </c>
      <c r="D1011" s="122" t="s">
        <v>3591</v>
      </c>
      <c r="E1011" s="122" t="s">
        <v>3592</v>
      </c>
      <c r="F1011" s="123">
        <v>7.7519379844961309E-3</v>
      </c>
      <c r="G1011" s="123">
        <v>5.3846153846153891E-2</v>
      </c>
    </row>
    <row r="1012" spans="2:7" x14ac:dyDescent="0.2">
      <c r="B1012" s="120" t="s">
        <v>2316</v>
      </c>
      <c r="C1012" s="121" t="s">
        <v>2317</v>
      </c>
      <c r="D1012" s="122" t="s">
        <v>3556</v>
      </c>
      <c r="E1012" s="122" t="s">
        <v>3630</v>
      </c>
      <c r="F1012" s="123">
        <v>0.13174946004319663</v>
      </c>
      <c r="G1012" s="123">
        <v>0.10114503816793881</v>
      </c>
    </row>
    <row r="1013" spans="2:7" x14ac:dyDescent="0.2">
      <c r="B1013" s="120" t="s">
        <v>2318</v>
      </c>
      <c r="C1013" s="121" t="s">
        <v>2319</v>
      </c>
      <c r="D1013" s="122" t="s">
        <v>3556</v>
      </c>
      <c r="E1013" s="122" t="s">
        <v>3741</v>
      </c>
      <c r="F1013" s="123">
        <v>-0.24242424242424246</v>
      </c>
      <c r="G1013" s="123">
        <v>0.14999999999999991</v>
      </c>
    </row>
    <row r="1014" spans="2:7" x14ac:dyDescent="0.2">
      <c r="B1014" s="120" t="s">
        <v>2320</v>
      </c>
      <c r="C1014" s="121" t="s">
        <v>2321</v>
      </c>
      <c r="D1014" s="122" t="s">
        <v>3610</v>
      </c>
      <c r="E1014" s="122" t="s">
        <v>3656</v>
      </c>
      <c r="F1014" s="123">
        <v>0.58823529411764708</v>
      </c>
      <c r="G1014" s="123">
        <v>0.34586466165413537</v>
      </c>
    </row>
    <row r="1015" spans="2:7" x14ac:dyDescent="0.2">
      <c r="B1015" s="120" t="s">
        <v>2322</v>
      </c>
      <c r="C1015" s="121" t="s">
        <v>2323</v>
      </c>
      <c r="D1015" s="122" t="s">
        <v>3556</v>
      </c>
      <c r="E1015" s="122" t="s">
        <v>3560</v>
      </c>
      <c r="F1015" s="123">
        <v>5.6179775280898799E-2</v>
      </c>
      <c r="G1015" s="123">
        <v>0.42553191489361719</v>
      </c>
    </row>
    <row r="1016" spans="2:7" x14ac:dyDescent="0.2">
      <c r="B1016" s="120" t="s">
        <v>2324</v>
      </c>
      <c r="C1016" s="121" t="s">
        <v>2325</v>
      </c>
      <c r="D1016" s="122" t="s">
        <v>3591</v>
      </c>
      <c r="E1016" s="122" t="s">
        <v>3643</v>
      </c>
      <c r="F1016" s="123">
        <v>-0.26037735849056604</v>
      </c>
      <c r="G1016" s="123">
        <v>0.10204081632653071</v>
      </c>
    </row>
    <row r="1017" spans="2:7" x14ac:dyDescent="0.2">
      <c r="B1017" s="120" t="s">
        <v>2326</v>
      </c>
      <c r="C1017" s="121" t="s">
        <v>2327</v>
      </c>
      <c r="D1017" s="122" t="s">
        <v>25</v>
      </c>
      <c r="E1017" s="122" t="s">
        <v>3585</v>
      </c>
      <c r="F1017" s="123">
        <v>0.14173228346456687</v>
      </c>
      <c r="G1017" s="123">
        <v>0.17931034482758623</v>
      </c>
    </row>
    <row r="1018" spans="2:7" x14ac:dyDescent="0.2">
      <c r="B1018" s="120" t="s">
        <v>2328</v>
      </c>
      <c r="C1018" s="121" t="s">
        <v>2329</v>
      </c>
      <c r="D1018" s="122" t="s">
        <v>3569</v>
      </c>
      <c r="E1018" s="122" t="s">
        <v>3722</v>
      </c>
      <c r="F1018" s="123">
        <v>-1.7786885245901638</v>
      </c>
      <c r="G1018" s="123">
        <v>0.15789473684210531</v>
      </c>
    </row>
    <row r="1019" spans="2:7" x14ac:dyDescent="0.2">
      <c r="B1019" s="120" t="s">
        <v>2330</v>
      </c>
      <c r="C1019" s="121" t="s">
        <v>2331</v>
      </c>
      <c r="D1019" s="122" t="s">
        <v>3582</v>
      </c>
      <c r="E1019" s="122" t="s">
        <v>3664</v>
      </c>
      <c r="F1019" s="123">
        <v>-0.16509433962264156</v>
      </c>
      <c r="G1019" s="123">
        <v>1.1299435028248598E-2</v>
      </c>
    </row>
    <row r="1020" spans="2:7" x14ac:dyDescent="0.2">
      <c r="B1020" s="120" t="s">
        <v>2332</v>
      </c>
      <c r="C1020" s="121" t="s">
        <v>2333</v>
      </c>
      <c r="D1020" s="122" t="s">
        <v>3576</v>
      </c>
      <c r="E1020" s="122" t="s">
        <v>3600</v>
      </c>
      <c r="F1020" s="123">
        <v>-0.12711864406779655</v>
      </c>
      <c r="G1020" s="123">
        <v>-9.7087378640776777E-3</v>
      </c>
    </row>
    <row r="1021" spans="2:7" x14ac:dyDescent="0.2">
      <c r="B1021" s="120" t="s">
        <v>2334</v>
      </c>
      <c r="C1021" s="121" t="s">
        <v>2335</v>
      </c>
      <c r="D1021" s="122" t="s">
        <v>3569</v>
      </c>
      <c r="E1021" s="122" t="s">
        <v>3718</v>
      </c>
      <c r="F1021" s="123">
        <v>0.11347517730496465</v>
      </c>
      <c r="G1021" s="123">
        <v>0.24203821656050947</v>
      </c>
    </row>
    <row r="1022" spans="2:7" x14ac:dyDescent="0.2">
      <c r="B1022" s="120" t="s">
        <v>2336</v>
      </c>
      <c r="C1022" s="121" t="s">
        <v>2337</v>
      </c>
      <c r="D1022" s="122" t="s">
        <v>3576</v>
      </c>
      <c r="E1022" s="122" t="s">
        <v>3620</v>
      </c>
      <c r="F1022" s="123">
        <v>2.416666666666667</v>
      </c>
      <c r="G1022" s="123">
        <v>0.14705882352941171</v>
      </c>
    </row>
    <row r="1023" spans="2:7" x14ac:dyDescent="0.2">
      <c r="B1023" s="120" t="s">
        <v>2338</v>
      </c>
      <c r="C1023" s="121" t="s">
        <v>2339</v>
      </c>
      <c r="D1023" s="122" t="s">
        <v>3594</v>
      </c>
      <c r="E1023" s="122" t="s">
        <v>3637</v>
      </c>
      <c r="F1023" s="123">
        <v>6.8062827225130948E-2</v>
      </c>
      <c r="G1023" s="123">
        <v>8.3333333333333301E-2</v>
      </c>
    </row>
    <row r="1024" spans="2:7" x14ac:dyDescent="0.2">
      <c r="B1024" s="120" t="s">
        <v>2340</v>
      </c>
      <c r="C1024" s="121" t="s">
        <v>2341</v>
      </c>
      <c r="D1024" s="122" t="s">
        <v>3576</v>
      </c>
      <c r="E1024" s="122" t="s">
        <v>3584</v>
      </c>
      <c r="F1024" s="123">
        <v>2.6217228464419581E-2</v>
      </c>
      <c r="G1024" s="123">
        <v>4.7445255474452511E-2</v>
      </c>
    </row>
    <row r="1025" spans="2:7" x14ac:dyDescent="0.2">
      <c r="B1025" s="120" t="s">
        <v>2342</v>
      </c>
      <c r="C1025" s="121" t="s">
        <v>2343</v>
      </c>
      <c r="D1025" s="122" t="s">
        <v>3605</v>
      </c>
      <c r="E1025" s="122" t="s">
        <v>3653</v>
      </c>
      <c r="F1025" s="123">
        <v>2.8825995807127924E-2</v>
      </c>
      <c r="G1025" s="123">
        <v>0.14060112073357114</v>
      </c>
    </row>
    <row r="1026" spans="2:7" x14ac:dyDescent="0.2">
      <c r="B1026" s="120" t="s">
        <v>2344</v>
      </c>
      <c r="C1026" s="121" t="s">
        <v>2345</v>
      </c>
      <c r="D1026" s="122" t="s">
        <v>3556</v>
      </c>
      <c r="E1026" s="122" t="s">
        <v>3742</v>
      </c>
      <c r="F1026" s="123">
        <v>3.8461538461538491E-2</v>
      </c>
      <c r="G1026" s="123">
        <v>0.62962962962962954</v>
      </c>
    </row>
    <row r="1027" spans="2:7" x14ac:dyDescent="0.2">
      <c r="B1027" s="120" t="s">
        <v>2346</v>
      </c>
      <c r="C1027" s="121" t="s">
        <v>2347</v>
      </c>
      <c r="D1027" s="122" t="s">
        <v>24</v>
      </c>
      <c r="E1027" s="122" t="s">
        <v>3633</v>
      </c>
      <c r="F1027" s="123">
        <v>2.2222222222222077E-2</v>
      </c>
      <c r="G1027" s="123">
        <v>6.5217391304347894E-2</v>
      </c>
    </row>
    <row r="1028" spans="2:7" x14ac:dyDescent="0.2">
      <c r="B1028" s="120" t="s">
        <v>2348</v>
      </c>
      <c r="C1028" s="121" t="s">
        <v>2349</v>
      </c>
      <c r="D1028" s="122" t="s">
        <v>3612</v>
      </c>
      <c r="E1028" s="122" t="s">
        <v>3781</v>
      </c>
      <c r="F1028" s="123">
        <v>2</v>
      </c>
      <c r="G1028" s="123">
        <v>23.666666666666668</v>
      </c>
    </row>
    <row r="1029" spans="2:7" x14ac:dyDescent="0.2">
      <c r="B1029" s="120" t="s">
        <v>2350</v>
      </c>
      <c r="C1029" s="121" t="s">
        <v>2351</v>
      </c>
      <c r="D1029" s="122" t="s">
        <v>3556</v>
      </c>
      <c r="E1029" s="122" t="s">
        <v>3614</v>
      </c>
      <c r="F1029" s="123">
        <v>0.36708860759493672</v>
      </c>
      <c r="G1029" s="123">
        <v>0.34567901234567905</v>
      </c>
    </row>
    <row r="1030" spans="2:7" x14ac:dyDescent="0.2">
      <c r="B1030" s="120" t="s">
        <v>2352</v>
      </c>
      <c r="C1030" s="121" t="s">
        <v>2353</v>
      </c>
      <c r="D1030" s="122" t="s">
        <v>3580</v>
      </c>
      <c r="E1030" s="122" t="s">
        <v>3782</v>
      </c>
      <c r="F1030" s="123">
        <v>0.65263157894736856</v>
      </c>
      <c r="G1030" s="123">
        <v>0.21656050955414002</v>
      </c>
    </row>
    <row r="1031" spans="2:7" x14ac:dyDescent="0.2">
      <c r="B1031" s="120" t="s">
        <v>2354</v>
      </c>
      <c r="C1031" s="121" t="s">
        <v>2355</v>
      </c>
      <c r="D1031" s="122" t="s">
        <v>3591</v>
      </c>
      <c r="E1031" s="122" t="s">
        <v>3592</v>
      </c>
      <c r="F1031" s="123">
        <v>0.50775193798449614</v>
      </c>
      <c r="G1031" s="123">
        <v>0.40874035989717228</v>
      </c>
    </row>
    <row r="1032" spans="2:7" x14ac:dyDescent="0.2">
      <c r="B1032" s="120" t="s">
        <v>2356</v>
      </c>
      <c r="C1032" s="121" t="s">
        <v>2357</v>
      </c>
      <c r="D1032" s="122" t="s">
        <v>3582</v>
      </c>
      <c r="E1032" s="122" t="s">
        <v>3631</v>
      </c>
      <c r="F1032" s="123">
        <v>0.203125</v>
      </c>
      <c r="G1032" s="123">
        <v>0.11688311688311684</v>
      </c>
    </row>
    <row r="1033" spans="2:7" x14ac:dyDescent="0.2">
      <c r="B1033" s="120" t="s">
        <v>2358</v>
      </c>
      <c r="C1033" s="121" t="s">
        <v>2359</v>
      </c>
      <c r="D1033" s="122" t="s">
        <v>3576</v>
      </c>
      <c r="E1033" s="122" t="s">
        <v>3600</v>
      </c>
      <c r="F1033" s="123">
        <v>-8.1196581196581186E-2</v>
      </c>
      <c r="G1033" s="123">
        <v>4.1860465116279215E-2</v>
      </c>
    </row>
    <row r="1034" spans="2:7" x14ac:dyDescent="0.2">
      <c r="B1034" s="120" t="s">
        <v>2360</v>
      </c>
      <c r="C1034" s="121" t="s">
        <v>2361</v>
      </c>
      <c r="D1034" s="122" t="s">
        <v>3612</v>
      </c>
      <c r="E1034" s="122" t="s">
        <v>3670</v>
      </c>
      <c r="F1034" s="123">
        <v>0.28095238095238095</v>
      </c>
      <c r="G1034" s="123">
        <v>2.0132450331125828</v>
      </c>
    </row>
    <row r="1035" spans="2:7" x14ac:dyDescent="0.2">
      <c r="B1035" s="120" t="s">
        <v>2362</v>
      </c>
      <c r="C1035" s="121" t="s">
        <v>2363</v>
      </c>
      <c r="D1035" s="122" t="s">
        <v>3610</v>
      </c>
      <c r="E1035" s="122" t="s">
        <v>3656</v>
      </c>
      <c r="F1035" s="123">
        <v>-0.61849710982658956</v>
      </c>
      <c r="G1035" s="123">
        <v>0.93939393939393934</v>
      </c>
    </row>
    <row r="1036" spans="2:7" x14ac:dyDescent="0.2">
      <c r="B1036" s="120" t="s">
        <v>2364</v>
      </c>
      <c r="C1036" s="121" t="s">
        <v>2365</v>
      </c>
      <c r="D1036" s="122" t="s">
        <v>3561</v>
      </c>
      <c r="E1036" s="122" t="s">
        <v>3706</v>
      </c>
      <c r="F1036" s="123">
        <v>0.14935064935064923</v>
      </c>
      <c r="G1036" s="123">
        <v>0.11958568738229769</v>
      </c>
    </row>
    <row r="1037" spans="2:7" x14ac:dyDescent="0.2">
      <c r="B1037" s="120" t="s">
        <v>2366</v>
      </c>
      <c r="C1037" s="121" t="s">
        <v>2367</v>
      </c>
      <c r="D1037" s="122" t="s">
        <v>3582</v>
      </c>
      <c r="E1037" s="122" t="s">
        <v>3777</v>
      </c>
      <c r="F1037" s="123">
        <v>0.25067385444743928</v>
      </c>
      <c r="G1037" s="123">
        <v>0.18103448275862086</v>
      </c>
    </row>
    <row r="1038" spans="2:7" x14ac:dyDescent="0.2">
      <c r="B1038" s="120" t="s">
        <v>2368</v>
      </c>
      <c r="C1038" s="121" t="s">
        <v>2369</v>
      </c>
      <c r="D1038" s="122" t="s">
        <v>24</v>
      </c>
      <c r="E1038" s="122" t="s">
        <v>3633</v>
      </c>
      <c r="F1038" s="123">
        <v>0.1704834605597963</v>
      </c>
      <c r="G1038" s="123">
        <v>9.7826086956521785E-2</v>
      </c>
    </row>
    <row r="1039" spans="2:7" x14ac:dyDescent="0.2">
      <c r="B1039" s="120" t="s">
        <v>2370</v>
      </c>
      <c r="C1039" s="121" t="s">
        <v>2371</v>
      </c>
      <c r="D1039" s="122" t="s">
        <v>3556</v>
      </c>
      <c r="E1039" s="122" t="s">
        <v>3783</v>
      </c>
      <c r="F1039" s="123">
        <v>-9.8901098901098938E-2</v>
      </c>
      <c r="G1039" s="123">
        <v>0.1243902439024392</v>
      </c>
    </row>
    <row r="1040" spans="2:7" x14ac:dyDescent="0.2">
      <c r="B1040" s="120" t="s">
        <v>2372</v>
      </c>
      <c r="C1040" s="121" t="s">
        <v>2373</v>
      </c>
      <c r="D1040" s="122" t="s">
        <v>25</v>
      </c>
      <c r="E1040" s="122" t="s">
        <v>3645</v>
      </c>
      <c r="F1040" s="123">
        <v>0.36585365853658558</v>
      </c>
      <c r="G1040" s="123">
        <v>0.29910714285714279</v>
      </c>
    </row>
    <row r="1041" spans="2:7" x14ac:dyDescent="0.2">
      <c r="B1041" s="120" t="s">
        <v>2374</v>
      </c>
      <c r="C1041" s="121" t="s">
        <v>2375</v>
      </c>
      <c r="D1041" s="122" t="s">
        <v>3582</v>
      </c>
      <c r="E1041" s="122" t="s">
        <v>3631</v>
      </c>
      <c r="F1041" s="123">
        <v>5.1724137931034531E-2</v>
      </c>
      <c r="G1041" s="123">
        <v>0.16393442622950816</v>
      </c>
    </row>
    <row r="1042" spans="2:7" x14ac:dyDescent="0.2">
      <c r="B1042" s="120" t="s">
        <v>2376</v>
      </c>
      <c r="C1042" s="121" t="s">
        <v>2377</v>
      </c>
      <c r="D1042" s="122" t="s">
        <v>3556</v>
      </c>
      <c r="E1042" s="122" t="s">
        <v>3756</v>
      </c>
      <c r="F1042" s="123">
        <v>0.10824742268041246</v>
      </c>
      <c r="G1042" s="123">
        <v>0.16000000000000006</v>
      </c>
    </row>
    <row r="1043" spans="2:7" x14ac:dyDescent="0.2">
      <c r="B1043" s="120" t="s">
        <v>2378</v>
      </c>
      <c r="C1043" s="121" t="s">
        <v>2379</v>
      </c>
      <c r="D1043" s="122" t="s">
        <v>3576</v>
      </c>
      <c r="E1043" s="122" t="s">
        <v>3626</v>
      </c>
      <c r="F1043" s="123">
        <v>3.7444933920704832E-2</v>
      </c>
      <c r="G1043" s="123">
        <v>5.5201698513800378E-2</v>
      </c>
    </row>
    <row r="1044" spans="2:7" x14ac:dyDescent="0.2">
      <c r="B1044" s="120" t="s">
        <v>2380</v>
      </c>
      <c r="C1044" s="121" t="s">
        <v>2381</v>
      </c>
      <c r="D1044" s="122" t="s">
        <v>3556</v>
      </c>
      <c r="E1044" s="122" t="s">
        <v>3614</v>
      </c>
      <c r="F1044" s="123">
        <v>-0.7834394904458597</v>
      </c>
      <c r="G1044" s="123">
        <v>0.25357142857142856</v>
      </c>
    </row>
    <row r="1045" spans="2:7" x14ac:dyDescent="0.2">
      <c r="B1045" s="120" t="s">
        <v>2382</v>
      </c>
      <c r="C1045" s="121" t="s">
        <v>2383</v>
      </c>
      <c r="D1045" s="122" t="s">
        <v>3594</v>
      </c>
      <c r="E1045" s="122" t="s">
        <v>3698</v>
      </c>
      <c r="F1045" s="123">
        <v>7.954545454545453E-2</v>
      </c>
      <c r="G1045" s="123">
        <v>0.23157894736842094</v>
      </c>
    </row>
    <row r="1046" spans="2:7" x14ac:dyDescent="0.2">
      <c r="B1046" s="120" t="s">
        <v>2384</v>
      </c>
      <c r="C1046" s="121" t="s">
        <v>2385</v>
      </c>
      <c r="D1046" s="122" t="s">
        <v>3576</v>
      </c>
      <c r="E1046" s="122" t="s">
        <v>3654</v>
      </c>
      <c r="F1046" s="123">
        <v>1.3824884792626706E-2</v>
      </c>
      <c r="G1046" s="123">
        <v>6.0606060606060663E-2</v>
      </c>
    </row>
    <row r="1047" spans="2:7" x14ac:dyDescent="0.2">
      <c r="B1047" s="120" t="s">
        <v>2386</v>
      </c>
      <c r="C1047" s="121" t="s">
        <v>2387</v>
      </c>
      <c r="D1047" s="122" t="s">
        <v>3591</v>
      </c>
      <c r="E1047" s="122" t="s">
        <v>3658</v>
      </c>
      <c r="F1047" s="123">
        <v>5.5961070559610589E-2</v>
      </c>
      <c r="G1047" s="123">
        <v>-1</v>
      </c>
    </row>
    <row r="1048" spans="2:7" x14ac:dyDescent="0.2">
      <c r="B1048" s="120" t="s">
        <v>2388</v>
      </c>
      <c r="C1048" s="121" t="s">
        <v>2389</v>
      </c>
      <c r="D1048" s="122" t="s">
        <v>3556</v>
      </c>
      <c r="E1048" s="122" t="s">
        <v>3579</v>
      </c>
      <c r="F1048" s="123">
        <v>4.424778761061951E-2</v>
      </c>
      <c r="G1048" s="123">
        <v>4.2372881355932243E-2</v>
      </c>
    </row>
    <row r="1049" spans="2:7" x14ac:dyDescent="0.2">
      <c r="B1049" s="120" t="s">
        <v>2390</v>
      </c>
      <c r="C1049" s="121" t="s">
        <v>2391</v>
      </c>
      <c r="D1049" s="122" t="s">
        <v>3594</v>
      </c>
      <c r="E1049" s="122" t="s">
        <v>3754</v>
      </c>
      <c r="F1049" s="123">
        <v>-0.36737400530503983</v>
      </c>
      <c r="G1049" s="123">
        <v>-8.8050314465408799E-2</v>
      </c>
    </row>
    <row r="1050" spans="2:7" x14ac:dyDescent="0.2">
      <c r="B1050" s="120" t="s">
        <v>2392</v>
      </c>
      <c r="C1050" s="121" t="s">
        <v>2393</v>
      </c>
      <c r="D1050" s="122" t="s">
        <v>3569</v>
      </c>
      <c r="E1050" s="122" t="s">
        <v>3572</v>
      </c>
      <c r="F1050" s="123">
        <v>6.9124423963133605E-2</v>
      </c>
      <c r="G1050" s="123">
        <v>9.9137931034482762E-2</v>
      </c>
    </row>
    <row r="1051" spans="2:7" x14ac:dyDescent="0.2">
      <c r="B1051" s="120" t="s">
        <v>2394</v>
      </c>
      <c r="C1051" s="121" t="s">
        <v>2395</v>
      </c>
      <c r="D1051" s="122" t="s">
        <v>3569</v>
      </c>
      <c r="E1051" s="122" t="s">
        <v>3718</v>
      </c>
      <c r="F1051" s="123">
        <v>0.67647058823529416</v>
      </c>
      <c r="G1051" s="123">
        <v>3.1818181818181817</v>
      </c>
    </row>
    <row r="1052" spans="2:7" x14ac:dyDescent="0.2">
      <c r="B1052" s="120" t="s">
        <v>2396</v>
      </c>
      <c r="C1052" s="121" t="s">
        <v>2397</v>
      </c>
      <c r="D1052" s="122" t="s">
        <v>3556</v>
      </c>
      <c r="E1052" s="122" t="s">
        <v>3764</v>
      </c>
      <c r="F1052" s="123">
        <v>-0.18664643399089523</v>
      </c>
      <c r="G1052" s="123">
        <v>0.32089552238805963</v>
      </c>
    </row>
    <row r="1053" spans="2:7" x14ac:dyDescent="0.2">
      <c r="B1053" s="120" t="s">
        <v>2398</v>
      </c>
      <c r="C1053" s="121" t="s">
        <v>2399</v>
      </c>
      <c r="D1053" s="122" t="s">
        <v>3569</v>
      </c>
      <c r="E1053" s="122" t="s">
        <v>3570</v>
      </c>
      <c r="F1053" s="123">
        <v>-4.0983606557376175E-3</v>
      </c>
      <c r="G1053" s="123">
        <v>0.18106995884773658</v>
      </c>
    </row>
    <row r="1054" spans="2:7" x14ac:dyDescent="0.2">
      <c r="B1054" s="120" t="s">
        <v>2400</v>
      </c>
      <c r="C1054" s="121" t="s">
        <v>2401</v>
      </c>
      <c r="D1054" s="122" t="s">
        <v>3580</v>
      </c>
      <c r="E1054" s="122" t="s">
        <v>3730</v>
      </c>
      <c r="F1054" s="123">
        <v>0.13400943652041872</v>
      </c>
      <c r="G1054" s="123">
        <v>4.2898134863701573E-2</v>
      </c>
    </row>
    <row r="1055" spans="2:7" x14ac:dyDescent="0.2">
      <c r="B1055" s="120" t="s">
        <v>2402</v>
      </c>
      <c r="C1055" s="121" t="s">
        <v>2403</v>
      </c>
      <c r="D1055" s="122" t="s">
        <v>3569</v>
      </c>
      <c r="E1055" s="122" t="s">
        <v>3570</v>
      </c>
      <c r="F1055" s="123">
        <v>-1.1516314779270559E-2</v>
      </c>
      <c r="G1055" s="123">
        <v>0.12038834951456295</v>
      </c>
    </row>
    <row r="1056" spans="2:7" x14ac:dyDescent="0.2">
      <c r="B1056" s="120" t="s">
        <v>2404</v>
      </c>
      <c r="C1056" s="121" t="s">
        <v>2405</v>
      </c>
      <c r="D1056" s="122" t="s">
        <v>3556</v>
      </c>
      <c r="E1056" s="122" t="s">
        <v>3560</v>
      </c>
      <c r="F1056" s="123">
        <v>2.2857142857142878E-2</v>
      </c>
      <c r="G1056" s="123">
        <v>0.10614525139664802</v>
      </c>
    </row>
    <row r="1057" spans="2:7" x14ac:dyDescent="0.2">
      <c r="B1057" s="120" t="s">
        <v>2406</v>
      </c>
      <c r="C1057" s="121" t="s">
        <v>2407</v>
      </c>
      <c r="D1057" s="122" t="s">
        <v>3594</v>
      </c>
      <c r="E1057" s="122" t="s">
        <v>3637</v>
      </c>
      <c r="F1057" s="123">
        <v>2.4242424242424267E-2</v>
      </c>
      <c r="G1057" s="123">
        <v>3.5502958579881692E-2</v>
      </c>
    </row>
    <row r="1058" spans="2:7" x14ac:dyDescent="0.2">
      <c r="B1058" s="120" t="s">
        <v>2408</v>
      </c>
      <c r="C1058" s="121" t="s">
        <v>2409</v>
      </c>
      <c r="D1058" s="122" t="s">
        <v>3591</v>
      </c>
      <c r="E1058" s="122" t="s">
        <v>3592</v>
      </c>
      <c r="F1058" s="123">
        <v>5.8997050147492677E-3</v>
      </c>
      <c r="G1058" s="123">
        <v>3.2258064516128997E-2</v>
      </c>
    </row>
    <row r="1059" spans="2:7" x14ac:dyDescent="0.2">
      <c r="B1059" s="120" t="s">
        <v>2410</v>
      </c>
      <c r="C1059" s="121" t="s">
        <v>2411</v>
      </c>
      <c r="D1059" s="122" t="s">
        <v>24</v>
      </c>
      <c r="E1059" s="122" t="s">
        <v>3589</v>
      </c>
      <c r="F1059" s="123">
        <v>0.31967213114754112</v>
      </c>
      <c r="G1059" s="123">
        <v>-6.211180124223608E-2</v>
      </c>
    </row>
    <row r="1060" spans="2:7" x14ac:dyDescent="0.2">
      <c r="B1060" s="120" t="s">
        <v>2412</v>
      </c>
      <c r="C1060" s="121" t="s">
        <v>2413</v>
      </c>
      <c r="D1060" s="122" t="s">
        <v>25</v>
      </c>
      <c r="E1060" s="122" t="s">
        <v>3767</v>
      </c>
      <c r="F1060" s="123">
        <v>5.2631578947368467E-2</v>
      </c>
      <c r="G1060" s="123">
        <v>0.27499999999999997</v>
      </c>
    </row>
    <row r="1061" spans="2:7" x14ac:dyDescent="0.2">
      <c r="B1061" s="120" t="s">
        <v>2414</v>
      </c>
      <c r="C1061" s="121" t="s">
        <v>2415</v>
      </c>
      <c r="D1061" s="122" t="s">
        <v>3563</v>
      </c>
      <c r="E1061" s="122" t="s">
        <v>3676</v>
      </c>
      <c r="F1061" s="123">
        <v>-1.413427561837457E-2</v>
      </c>
      <c r="G1061" s="123">
        <v>1.7921146953404955E-2</v>
      </c>
    </row>
    <row r="1062" spans="2:7" x14ac:dyDescent="0.2">
      <c r="B1062" s="120" t="s">
        <v>2416</v>
      </c>
      <c r="C1062" s="121" t="s">
        <v>2417</v>
      </c>
      <c r="D1062" s="122" t="s">
        <v>3556</v>
      </c>
      <c r="E1062" s="122" t="s">
        <v>3586</v>
      </c>
      <c r="F1062" s="123">
        <v>6.751054852320669E-2</v>
      </c>
      <c r="G1062" s="123">
        <v>0.16337285902503296</v>
      </c>
    </row>
    <row r="1063" spans="2:7" x14ac:dyDescent="0.2">
      <c r="B1063" s="120" t="s">
        <v>2418</v>
      </c>
      <c r="C1063" s="121" t="s">
        <v>2419</v>
      </c>
      <c r="D1063" s="122" t="s">
        <v>25</v>
      </c>
      <c r="E1063" s="122" t="s">
        <v>3691</v>
      </c>
      <c r="F1063" s="123">
        <v>-0.26809015421115062</v>
      </c>
      <c r="G1063" s="123">
        <v>0.84440842787682346</v>
      </c>
    </row>
    <row r="1064" spans="2:7" x14ac:dyDescent="0.2">
      <c r="B1064" s="120" t="s">
        <v>2420</v>
      </c>
      <c r="C1064" s="121" t="s">
        <v>2421</v>
      </c>
      <c r="D1064" s="122" t="s">
        <v>3576</v>
      </c>
      <c r="E1064" s="122" t="s">
        <v>3699</v>
      </c>
      <c r="F1064" s="123">
        <v>-1.2658227848101276E-2</v>
      </c>
      <c r="G1064" s="123">
        <v>0.12820512820512817</v>
      </c>
    </row>
    <row r="1065" spans="2:7" x14ac:dyDescent="0.2">
      <c r="B1065" s="120" t="s">
        <v>2422</v>
      </c>
      <c r="C1065" s="121" t="s">
        <v>2423</v>
      </c>
      <c r="D1065" s="122" t="s">
        <v>24</v>
      </c>
      <c r="E1065" s="122" t="s">
        <v>3784</v>
      </c>
      <c r="F1065" s="123">
        <v>5.1948051948051993E-2</v>
      </c>
      <c r="G1065" s="123">
        <v>0.17283950617283939</v>
      </c>
    </row>
    <row r="1066" spans="2:7" x14ac:dyDescent="0.2">
      <c r="B1066" s="120" t="s">
        <v>2424</v>
      </c>
      <c r="C1066" s="121" t="s">
        <v>2425</v>
      </c>
      <c r="D1066" s="122" t="s">
        <v>3576</v>
      </c>
      <c r="E1066" s="122" t="s">
        <v>3584</v>
      </c>
      <c r="F1066" s="123">
        <v>5.1118210862619855E-2</v>
      </c>
      <c r="G1066" s="123">
        <v>6.9908814589665649E-2</v>
      </c>
    </row>
    <row r="1067" spans="2:7" x14ac:dyDescent="0.2">
      <c r="B1067" s="120" t="s">
        <v>2426</v>
      </c>
      <c r="C1067" s="121" t="s">
        <v>2427</v>
      </c>
      <c r="D1067" s="122" t="s">
        <v>3576</v>
      </c>
      <c r="E1067" s="122" t="s">
        <v>3604</v>
      </c>
      <c r="F1067" s="123">
        <v>0.35907335907335913</v>
      </c>
      <c r="G1067" s="123">
        <v>2.8409090909090936E-2</v>
      </c>
    </row>
    <row r="1068" spans="2:7" x14ac:dyDescent="0.2">
      <c r="B1068" s="120" t="s">
        <v>2428</v>
      </c>
      <c r="C1068" s="121" t="s">
        <v>2429</v>
      </c>
      <c r="D1068" s="122" t="s">
        <v>3556</v>
      </c>
      <c r="E1068" s="122" t="s">
        <v>3682</v>
      </c>
      <c r="F1068" s="123">
        <v>9.9041533546325902E-2</v>
      </c>
      <c r="G1068" s="123">
        <v>7.2674418604651167E-2</v>
      </c>
    </row>
    <row r="1069" spans="2:7" x14ac:dyDescent="0.2">
      <c r="B1069" s="120" t="s">
        <v>2430</v>
      </c>
      <c r="C1069" s="121" t="s">
        <v>2431</v>
      </c>
      <c r="D1069" s="122" t="s">
        <v>3580</v>
      </c>
      <c r="E1069" s="122" t="s">
        <v>3649</v>
      </c>
      <c r="F1069" s="123">
        <v>-2.2964509394572091E-2</v>
      </c>
      <c r="G1069" s="123">
        <v>0.14529914529914545</v>
      </c>
    </row>
    <row r="1070" spans="2:7" x14ac:dyDescent="0.2">
      <c r="B1070" s="120" t="s">
        <v>2432</v>
      </c>
      <c r="C1070" s="121" t="s">
        <v>2433</v>
      </c>
      <c r="D1070" s="122" t="s">
        <v>3569</v>
      </c>
      <c r="E1070" s="122" t="s">
        <v>3574</v>
      </c>
      <c r="F1070" s="123">
        <v>10.5</v>
      </c>
      <c r="G1070" s="123">
        <v>6.5217391304347755E-2</v>
      </c>
    </row>
    <row r="1071" spans="2:7" x14ac:dyDescent="0.2">
      <c r="B1071" s="120" t="s">
        <v>2434</v>
      </c>
      <c r="C1071" s="121" t="s">
        <v>2435</v>
      </c>
      <c r="D1071" s="122" t="s">
        <v>3561</v>
      </c>
      <c r="E1071" s="122" t="s">
        <v>3768</v>
      </c>
      <c r="F1071" s="123">
        <v>0.10306406685236773</v>
      </c>
      <c r="G1071" s="123">
        <v>7.9545454545454641E-2</v>
      </c>
    </row>
    <row r="1072" spans="2:7" x14ac:dyDescent="0.2">
      <c r="B1072" s="120" t="s">
        <v>2436</v>
      </c>
      <c r="C1072" s="121" t="s">
        <v>2437</v>
      </c>
      <c r="D1072" s="122" t="s">
        <v>3582</v>
      </c>
      <c r="E1072" s="122" t="s">
        <v>3631</v>
      </c>
      <c r="F1072" s="123">
        <v>-5.797101449275352E-2</v>
      </c>
      <c r="G1072" s="123">
        <v>0.1538461538461538</v>
      </c>
    </row>
    <row r="1073" spans="2:7" x14ac:dyDescent="0.2">
      <c r="B1073" s="120" t="s">
        <v>2438</v>
      </c>
      <c r="C1073" s="121" t="s">
        <v>2439</v>
      </c>
      <c r="D1073" s="122" t="s">
        <v>3576</v>
      </c>
      <c r="E1073" s="122" t="s">
        <v>3619</v>
      </c>
      <c r="F1073" s="123">
        <v>9.9502487562189157E-3</v>
      </c>
      <c r="G1073" s="123">
        <v>3.44827586206898E-2</v>
      </c>
    </row>
    <row r="1074" spans="2:7" x14ac:dyDescent="0.2">
      <c r="B1074" s="120" t="s">
        <v>2440</v>
      </c>
      <c r="C1074" s="121" t="s">
        <v>2441</v>
      </c>
      <c r="D1074" s="122" t="s">
        <v>3591</v>
      </c>
      <c r="E1074" s="122" t="s">
        <v>3592</v>
      </c>
      <c r="F1074" s="123">
        <v>2.8846153846153872E-2</v>
      </c>
      <c r="G1074" s="123">
        <v>7.0093457943925186E-2</v>
      </c>
    </row>
    <row r="1075" spans="2:7" x14ac:dyDescent="0.2">
      <c r="B1075" s="120" t="s">
        <v>2442</v>
      </c>
      <c r="C1075" s="121" t="s">
        <v>2443</v>
      </c>
      <c r="D1075" s="122" t="s">
        <v>3591</v>
      </c>
      <c r="E1075" s="122" t="s">
        <v>3643</v>
      </c>
      <c r="F1075" s="123">
        <v>7.6687116564417179E-2</v>
      </c>
      <c r="G1075" s="123">
        <v>3.1339031339031431E-2</v>
      </c>
    </row>
    <row r="1076" spans="2:7" x14ac:dyDescent="0.2">
      <c r="B1076" s="120" t="s">
        <v>2444</v>
      </c>
      <c r="C1076" s="121" t="s">
        <v>2445</v>
      </c>
      <c r="D1076" s="122" t="s">
        <v>3576</v>
      </c>
      <c r="E1076" s="122" t="s">
        <v>3619</v>
      </c>
      <c r="F1076" s="123">
        <v>-6.5359477124183061E-3</v>
      </c>
      <c r="G1076" s="123">
        <v>6.2499999999999979E-2</v>
      </c>
    </row>
    <row r="1077" spans="2:7" x14ac:dyDescent="0.2">
      <c r="B1077" s="120" t="s">
        <v>2446</v>
      </c>
      <c r="C1077" s="121" t="s">
        <v>2447</v>
      </c>
      <c r="D1077" s="122" t="s">
        <v>3591</v>
      </c>
      <c r="E1077" s="122" t="s">
        <v>3643</v>
      </c>
      <c r="F1077" s="123">
        <v>0.10638297872340435</v>
      </c>
      <c r="G1077" s="123">
        <v>0.2147435897435897</v>
      </c>
    </row>
    <row r="1078" spans="2:7" x14ac:dyDescent="0.2">
      <c r="B1078" s="120" t="s">
        <v>2448</v>
      </c>
      <c r="C1078" s="121" t="s">
        <v>2449</v>
      </c>
      <c r="D1078" s="122" t="s">
        <v>3556</v>
      </c>
      <c r="E1078" s="122" t="s">
        <v>3756</v>
      </c>
      <c r="F1078" s="123">
        <v>-0.19444444444444448</v>
      </c>
      <c r="G1078" s="123">
        <v>0.55813953488372092</v>
      </c>
    </row>
    <row r="1079" spans="2:7" x14ac:dyDescent="0.2">
      <c r="B1079" s="120" t="s">
        <v>2450</v>
      </c>
      <c r="C1079" s="121" t="s">
        <v>2451</v>
      </c>
      <c r="D1079" s="122" t="s">
        <v>25</v>
      </c>
      <c r="E1079" s="122" t="s">
        <v>3703</v>
      </c>
      <c r="F1079" s="123">
        <v>8.0000000000000071E-2</v>
      </c>
      <c r="G1079" s="123">
        <v>0.20370370370370366</v>
      </c>
    </row>
    <row r="1080" spans="2:7" x14ac:dyDescent="0.2">
      <c r="B1080" s="120" t="s">
        <v>2452</v>
      </c>
      <c r="C1080" s="121" t="s">
        <v>2453</v>
      </c>
      <c r="D1080" s="122" t="s">
        <v>3556</v>
      </c>
      <c r="E1080" s="122" t="s">
        <v>3560</v>
      </c>
      <c r="F1080" s="123">
        <v>1.3508771929824566</v>
      </c>
      <c r="G1080" s="123">
        <v>0.4477611940298506</v>
      </c>
    </row>
    <row r="1081" spans="2:7" x14ac:dyDescent="0.2">
      <c r="B1081" s="120" t="s">
        <v>2454</v>
      </c>
      <c r="C1081" s="121" t="s">
        <v>2455</v>
      </c>
      <c r="D1081" s="122" t="s">
        <v>24</v>
      </c>
      <c r="E1081" s="122" t="s">
        <v>3589</v>
      </c>
      <c r="F1081" s="123">
        <v>8.8397790055248573E-2</v>
      </c>
      <c r="G1081" s="123">
        <v>0.17766497461928926</v>
      </c>
    </row>
    <row r="1082" spans="2:7" x14ac:dyDescent="0.2">
      <c r="B1082" s="120" t="s">
        <v>2456</v>
      </c>
      <c r="C1082" s="121" t="s">
        <v>2457</v>
      </c>
      <c r="D1082" s="122" t="s">
        <v>3594</v>
      </c>
      <c r="E1082" s="122" t="s">
        <v>3602</v>
      </c>
      <c r="F1082" s="123">
        <v>-0.43478260869565216</v>
      </c>
      <c r="G1082" s="123">
        <v>0.77884615384615385</v>
      </c>
    </row>
    <row r="1083" spans="2:7" x14ac:dyDescent="0.2">
      <c r="B1083" s="120" t="s">
        <v>2458</v>
      </c>
      <c r="C1083" s="121" t="s">
        <v>17</v>
      </c>
      <c r="D1083" s="122" t="s">
        <v>3582</v>
      </c>
      <c r="E1083" s="122" t="s">
        <v>3765</v>
      </c>
      <c r="F1083" s="123">
        <v>7.460035523978685E-2</v>
      </c>
      <c r="G1083" s="123">
        <v>5.6198347107437992E-2</v>
      </c>
    </row>
    <row r="1084" spans="2:7" x14ac:dyDescent="0.2">
      <c r="B1084" s="120" t="s">
        <v>2459</v>
      </c>
      <c r="C1084" s="121" t="s">
        <v>2460</v>
      </c>
      <c r="D1084" s="122" t="s">
        <v>3569</v>
      </c>
      <c r="E1084" s="122" t="s">
        <v>3697</v>
      </c>
      <c r="F1084" s="123">
        <v>0.36764705882352938</v>
      </c>
      <c r="G1084" s="123">
        <v>8.2437275985663069E-2</v>
      </c>
    </row>
    <row r="1085" spans="2:7" x14ac:dyDescent="0.2">
      <c r="B1085" s="120" t="s">
        <v>2461</v>
      </c>
      <c r="C1085" s="121" t="s">
        <v>2462</v>
      </c>
      <c r="D1085" s="122" t="s">
        <v>3576</v>
      </c>
      <c r="E1085" s="122" t="s">
        <v>3609</v>
      </c>
      <c r="F1085" s="123">
        <v>0.22754491017964085</v>
      </c>
      <c r="G1085" s="123">
        <v>5.365853658536586E-2</v>
      </c>
    </row>
    <row r="1086" spans="2:7" x14ac:dyDescent="0.2">
      <c r="B1086" s="120" t="s">
        <v>2463</v>
      </c>
      <c r="C1086" s="121" t="s">
        <v>2464</v>
      </c>
      <c r="D1086" s="122" t="s">
        <v>3612</v>
      </c>
      <c r="E1086" s="122" t="s">
        <v>3669</v>
      </c>
      <c r="F1086" s="123">
        <v>8.2437275985663069E-2</v>
      </c>
      <c r="G1086" s="123">
        <v>2.9801324503311213E-2</v>
      </c>
    </row>
    <row r="1087" spans="2:7" x14ac:dyDescent="0.2">
      <c r="B1087" s="120" t="s">
        <v>2465</v>
      </c>
      <c r="C1087" s="121" t="s">
        <v>2466</v>
      </c>
      <c r="D1087" s="122" t="s">
        <v>3556</v>
      </c>
      <c r="E1087" s="122" t="s">
        <v>3586</v>
      </c>
      <c r="F1087" s="123">
        <v>-0.17894736842105258</v>
      </c>
      <c r="G1087" s="123">
        <v>7.0512820512820429E-2</v>
      </c>
    </row>
    <row r="1088" spans="2:7" x14ac:dyDescent="0.2">
      <c r="B1088" s="120" t="s">
        <v>2467</v>
      </c>
      <c r="C1088" s="121" t="s">
        <v>2468</v>
      </c>
      <c r="D1088" s="122" t="s">
        <v>3576</v>
      </c>
      <c r="E1088" s="122" t="s">
        <v>3636</v>
      </c>
      <c r="F1088" s="123">
        <v>3.0075187969924838E-2</v>
      </c>
      <c r="G1088" s="123">
        <v>4.3795620437956075E-2</v>
      </c>
    </row>
    <row r="1089" spans="2:7" x14ac:dyDescent="0.2">
      <c r="B1089" s="120" t="s">
        <v>2469</v>
      </c>
      <c r="C1089" s="121" t="s">
        <v>2470</v>
      </c>
      <c r="D1089" s="122" t="s">
        <v>3569</v>
      </c>
      <c r="E1089" s="122" t="s">
        <v>3575</v>
      </c>
      <c r="F1089" s="123">
        <v>-2.1428571428571428</v>
      </c>
      <c r="G1089" s="123">
        <v>0.10330578512396695</v>
      </c>
    </row>
    <row r="1090" spans="2:7" x14ac:dyDescent="0.2">
      <c r="B1090" s="120" t="s">
        <v>2471</v>
      </c>
      <c r="C1090" s="121" t="s">
        <v>2472</v>
      </c>
      <c r="D1090" s="122" t="s">
        <v>3612</v>
      </c>
      <c r="E1090" s="122" t="s">
        <v>3726</v>
      </c>
      <c r="F1090" s="123">
        <v>-0.15311004784688989</v>
      </c>
      <c r="G1090" s="123">
        <v>0.23728813559322029</v>
      </c>
    </row>
    <row r="1091" spans="2:7" x14ac:dyDescent="0.2">
      <c r="B1091" s="120" t="s">
        <v>2473</v>
      </c>
      <c r="C1091" s="121" t="s">
        <v>2474</v>
      </c>
      <c r="D1091" s="122" t="s">
        <v>3556</v>
      </c>
      <c r="E1091" s="122" t="s">
        <v>3621</v>
      </c>
      <c r="F1091" s="123">
        <v>-0.14285714285714279</v>
      </c>
      <c r="G1091" s="123">
        <v>0.20588235294117643</v>
      </c>
    </row>
    <row r="1092" spans="2:7" x14ac:dyDescent="0.2">
      <c r="B1092" s="120" t="s">
        <v>2475</v>
      </c>
      <c r="C1092" s="121" t="s">
        <v>2476</v>
      </c>
      <c r="D1092" s="122" t="s">
        <v>3556</v>
      </c>
      <c r="E1092" s="122" t="s">
        <v>3579</v>
      </c>
      <c r="F1092" s="123">
        <v>0.13081395348837216</v>
      </c>
      <c r="G1092" s="123">
        <v>0.10796915167095102</v>
      </c>
    </row>
    <row r="1093" spans="2:7" x14ac:dyDescent="0.2">
      <c r="B1093" s="120" t="s">
        <v>2477</v>
      </c>
      <c r="C1093" s="121" t="s">
        <v>2478</v>
      </c>
      <c r="D1093" s="122" t="s">
        <v>3569</v>
      </c>
      <c r="E1093" s="122" t="s">
        <v>3722</v>
      </c>
      <c r="F1093" s="123">
        <v>-0.37984496124031009</v>
      </c>
      <c r="G1093" s="123">
        <v>-5.0000000000000044E-2</v>
      </c>
    </row>
    <row r="1094" spans="2:7" x14ac:dyDescent="0.2">
      <c r="B1094" s="120" t="s">
        <v>2479</v>
      </c>
      <c r="C1094" s="121" t="s">
        <v>2480</v>
      </c>
      <c r="D1094" s="122" t="s">
        <v>3563</v>
      </c>
      <c r="E1094" s="122" t="s">
        <v>3565</v>
      </c>
      <c r="F1094" s="123">
        <v>8.808933002481377E-2</v>
      </c>
      <c r="G1094" s="123">
        <v>0.1174458380843787</v>
      </c>
    </row>
    <row r="1095" spans="2:7" x14ac:dyDescent="0.2">
      <c r="B1095" s="120" t="s">
        <v>2481</v>
      </c>
      <c r="C1095" s="121" t="s">
        <v>2482</v>
      </c>
      <c r="D1095" s="122" t="s">
        <v>3610</v>
      </c>
      <c r="E1095" s="122" t="s">
        <v>3611</v>
      </c>
      <c r="F1095" s="123">
        <v>0.33333333333333315</v>
      </c>
      <c r="G1095" s="123">
        <v>-6.2189054726366844E-3</v>
      </c>
    </row>
    <row r="1096" spans="2:7" x14ac:dyDescent="0.2">
      <c r="B1096" s="120" t="s">
        <v>2483</v>
      </c>
      <c r="C1096" s="121" t="s">
        <v>2484</v>
      </c>
      <c r="D1096" s="122" t="s">
        <v>3556</v>
      </c>
      <c r="E1096" s="122" t="s">
        <v>3579</v>
      </c>
      <c r="F1096" s="123">
        <v>6.5217391304347894E-2</v>
      </c>
      <c r="G1096" s="123">
        <v>5.442176870748304E-2</v>
      </c>
    </row>
    <row r="1097" spans="2:7" x14ac:dyDescent="0.2">
      <c r="B1097" s="120" t="s">
        <v>2485</v>
      </c>
      <c r="C1097" s="121" t="s">
        <v>2486</v>
      </c>
      <c r="D1097" s="122" t="s">
        <v>3576</v>
      </c>
      <c r="E1097" s="122" t="s">
        <v>3619</v>
      </c>
      <c r="F1097" s="123">
        <v>0.10900473933649289</v>
      </c>
      <c r="G1097" s="123">
        <v>6.4102564102564263E-2</v>
      </c>
    </row>
    <row r="1098" spans="2:7" x14ac:dyDescent="0.2">
      <c r="B1098" s="120" t="s">
        <v>2487</v>
      </c>
      <c r="C1098" s="121" t="s">
        <v>2488</v>
      </c>
      <c r="D1098" s="122" t="s">
        <v>3576</v>
      </c>
      <c r="E1098" s="122" t="s">
        <v>3626</v>
      </c>
      <c r="F1098" s="123">
        <v>-7.0175438596491169E-2</v>
      </c>
      <c r="G1098" s="123">
        <v>3.1446540880503034E-2</v>
      </c>
    </row>
    <row r="1099" spans="2:7" x14ac:dyDescent="0.2">
      <c r="B1099" s="120" t="s">
        <v>2489</v>
      </c>
      <c r="C1099" s="121" t="s">
        <v>2490</v>
      </c>
      <c r="D1099" s="122" t="s">
        <v>3612</v>
      </c>
      <c r="E1099" s="122" t="s">
        <v>3613</v>
      </c>
      <c r="F1099" s="123">
        <v>-0.40936863543788193</v>
      </c>
      <c r="G1099" s="123">
        <v>-0.24137931034482751</v>
      </c>
    </row>
    <row r="1100" spans="2:7" x14ac:dyDescent="0.2">
      <c r="B1100" s="120" t="s">
        <v>2491</v>
      </c>
      <c r="C1100" s="121" t="s">
        <v>2492</v>
      </c>
      <c r="D1100" s="122" t="s">
        <v>3576</v>
      </c>
      <c r="E1100" s="122" t="s">
        <v>3646</v>
      </c>
      <c r="F1100" s="123">
        <v>5.6603773584905571E-2</v>
      </c>
      <c r="G1100" s="123">
        <v>-5.0595238095238075E-2</v>
      </c>
    </row>
    <row r="1101" spans="2:7" x14ac:dyDescent="0.2">
      <c r="B1101" s="120" t="s">
        <v>2493</v>
      </c>
      <c r="C1101" s="121" t="s">
        <v>2494</v>
      </c>
      <c r="D1101" s="122" t="s">
        <v>3612</v>
      </c>
      <c r="E1101" s="122" t="s">
        <v>3670</v>
      </c>
      <c r="F1101" s="123">
        <v>0.36898395721925131</v>
      </c>
      <c r="G1101" s="123">
        <v>-0.25390625000000006</v>
      </c>
    </row>
    <row r="1102" spans="2:7" x14ac:dyDescent="0.2">
      <c r="B1102" s="120" t="s">
        <v>2495</v>
      </c>
      <c r="C1102" s="121" t="s">
        <v>2496</v>
      </c>
      <c r="D1102" s="122" t="s">
        <v>3594</v>
      </c>
      <c r="E1102" s="122" t="s">
        <v>3678</v>
      </c>
      <c r="F1102" s="123">
        <v>2.3809523809523832E-2</v>
      </c>
      <c r="G1102" s="123">
        <v>1.0697674418604652</v>
      </c>
    </row>
    <row r="1103" spans="2:7" x14ac:dyDescent="0.2">
      <c r="B1103" s="120" t="s">
        <v>2497</v>
      </c>
      <c r="C1103" s="121" t="s">
        <v>2498</v>
      </c>
      <c r="D1103" s="122" t="s">
        <v>3561</v>
      </c>
      <c r="E1103" s="122" t="s">
        <v>3639</v>
      </c>
      <c r="F1103" s="123">
        <v>0.1010989010989011</v>
      </c>
      <c r="G1103" s="123">
        <v>7.5848303393213551E-2</v>
      </c>
    </row>
    <row r="1104" spans="2:7" x14ac:dyDescent="0.2">
      <c r="B1104" s="120" t="s">
        <v>2499</v>
      </c>
      <c r="C1104" s="121" t="s">
        <v>2500</v>
      </c>
      <c r="D1104" s="122" t="s">
        <v>3576</v>
      </c>
      <c r="E1104" s="122" t="s">
        <v>3667</v>
      </c>
      <c r="F1104" s="123">
        <v>4.6070460704607026E-2</v>
      </c>
      <c r="G1104" s="123">
        <v>-2.0725388601036288E-2</v>
      </c>
    </row>
    <row r="1105" spans="2:7" x14ac:dyDescent="0.2">
      <c r="B1105" s="120" t="s">
        <v>2501</v>
      </c>
      <c r="C1105" s="121" t="s">
        <v>2502</v>
      </c>
      <c r="D1105" s="122" t="s">
        <v>3563</v>
      </c>
      <c r="E1105" s="122" t="s">
        <v>3623</v>
      </c>
      <c r="F1105" s="123">
        <v>-2.9574861367837362E-2</v>
      </c>
      <c r="G1105" s="123">
        <v>7.0476190476190498E-2</v>
      </c>
    </row>
    <row r="1106" spans="2:7" x14ac:dyDescent="0.2">
      <c r="B1106" s="120" t="s">
        <v>2503</v>
      </c>
      <c r="C1106" s="121" t="s">
        <v>2504</v>
      </c>
      <c r="D1106" s="122" t="s">
        <v>3612</v>
      </c>
      <c r="E1106" s="122" t="s">
        <v>3716</v>
      </c>
      <c r="F1106" s="123">
        <v>0.65771812080536929</v>
      </c>
      <c r="G1106" s="123">
        <v>-0.12955465587044546</v>
      </c>
    </row>
    <row r="1107" spans="2:7" x14ac:dyDescent="0.2">
      <c r="B1107" s="120" t="s">
        <v>2505</v>
      </c>
      <c r="C1107" s="121" t="s">
        <v>2506</v>
      </c>
      <c r="D1107" s="122" t="s">
        <v>3582</v>
      </c>
      <c r="E1107" s="122" t="s">
        <v>3590</v>
      </c>
      <c r="F1107" s="123">
        <v>0.26373626373626358</v>
      </c>
      <c r="G1107" s="123">
        <v>0.3130434782608697</v>
      </c>
    </row>
    <row r="1108" spans="2:7" x14ac:dyDescent="0.2">
      <c r="B1108" s="120" t="s">
        <v>2507</v>
      </c>
      <c r="C1108" s="121" t="s">
        <v>2508</v>
      </c>
      <c r="D1108" s="122" t="s">
        <v>3556</v>
      </c>
      <c r="E1108" s="122" t="s">
        <v>3704</v>
      </c>
      <c r="F1108" s="123">
        <v>-4.4444444444444481E-2</v>
      </c>
      <c r="G1108" s="123">
        <v>0.23449612403100775</v>
      </c>
    </row>
    <row r="1109" spans="2:7" x14ac:dyDescent="0.2">
      <c r="B1109" s="120" t="s">
        <v>2509</v>
      </c>
      <c r="C1109" s="121" t="s">
        <v>2510</v>
      </c>
      <c r="D1109" s="122" t="s">
        <v>3556</v>
      </c>
      <c r="E1109" s="122" t="s">
        <v>3630</v>
      </c>
      <c r="F1109" s="123">
        <v>0.30916030534351147</v>
      </c>
      <c r="G1109" s="123">
        <v>0.22157434402332368</v>
      </c>
    </row>
    <row r="1110" spans="2:7" x14ac:dyDescent="0.2">
      <c r="B1110" s="120" t="s">
        <v>2511</v>
      </c>
      <c r="C1110" s="121" t="s">
        <v>2512</v>
      </c>
      <c r="D1110" s="122" t="s">
        <v>3582</v>
      </c>
      <c r="E1110" s="122" t="s">
        <v>3588</v>
      </c>
      <c r="F1110" s="123">
        <v>8.0419580419580416E-2</v>
      </c>
      <c r="G1110" s="123">
        <v>8.0906148867313926E-2</v>
      </c>
    </row>
    <row r="1111" spans="2:7" x14ac:dyDescent="0.2">
      <c r="B1111" s="120" t="s">
        <v>2513</v>
      </c>
      <c r="C1111" s="121" t="s">
        <v>18</v>
      </c>
      <c r="D1111" s="122" t="s">
        <v>3576</v>
      </c>
      <c r="E1111" s="122" t="s">
        <v>3668</v>
      </c>
      <c r="F1111" s="123">
        <v>3.4858387799564301E-2</v>
      </c>
      <c r="G1111" s="123">
        <v>9.8947368421052576E-2</v>
      </c>
    </row>
    <row r="1112" spans="2:7" x14ac:dyDescent="0.2">
      <c r="B1112" s="120" t="s">
        <v>2514</v>
      </c>
      <c r="C1112" s="121" t="s">
        <v>2515</v>
      </c>
      <c r="D1112" s="122" t="s">
        <v>3612</v>
      </c>
      <c r="E1112" s="122" t="s">
        <v>3716</v>
      </c>
      <c r="F1112" s="123">
        <v>0.24999999999999997</v>
      </c>
      <c r="G1112" s="123">
        <v>-8.8372093023255799E-2</v>
      </c>
    </row>
    <row r="1113" spans="2:7" x14ac:dyDescent="0.2">
      <c r="B1113" s="120" t="s">
        <v>2516</v>
      </c>
      <c r="C1113" s="121" t="s">
        <v>2517</v>
      </c>
      <c r="D1113" s="122" t="s">
        <v>3576</v>
      </c>
      <c r="E1113" s="122" t="s">
        <v>3699</v>
      </c>
      <c r="F1113" s="123">
        <v>3.1007751937984523E-2</v>
      </c>
      <c r="G1113" s="123">
        <v>6.015037593984951E-2</v>
      </c>
    </row>
    <row r="1114" spans="2:7" x14ac:dyDescent="0.2">
      <c r="B1114" s="120" t="s">
        <v>2518</v>
      </c>
      <c r="C1114" s="121" t="s">
        <v>2519</v>
      </c>
      <c r="D1114" s="122" t="s">
        <v>3612</v>
      </c>
      <c r="E1114" s="122" t="s">
        <v>3696</v>
      </c>
      <c r="F1114" s="123">
        <v>-0.17449664429530201</v>
      </c>
      <c r="G1114" s="123">
        <v>0.26829268292682934</v>
      </c>
    </row>
    <row r="1115" spans="2:7" x14ac:dyDescent="0.2">
      <c r="B1115" s="120" t="s">
        <v>2520</v>
      </c>
      <c r="C1115" s="121" t="s">
        <v>2521</v>
      </c>
      <c r="D1115" s="122" t="s">
        <v>3610</v>
      </c>
      <c r="E1115" s="122" t="s">
        <v>3745</v>
      </c>
      <c r="F1115" s="123">
        <v>9.9025974025973934E-2</v>
      </c>
      <c r="G1115" s="123">
        <v>-0.13589364844903987</v>
      </c>
    </row>
    <row r="1116" spans="2:7" x14ac:dyDescent="0.2">
      <c r="B1116" s="120" t="s">
        <v>2522</v>
      </c>
      <c r="C1116" s="121" t="s">
        <v>2523</v>
      </c>
      <c r="D1116" s="122" t="s">
        <v>3591</v>
      </c>
      <c r="E1116" s="122" t="s">
        <v>3592</v>
      </c>
      <c r="F1116" s="123">
        <v>1.8372703412073449E-2</v>
      </c>
      <c r="G1116" s="123">
        <v>7.216494845360831E-2</v>
      </c>
    </row>
    <row r="1117" spans="2:7" x14ac:dyDescent="0.2">
      <c r="B1117" s="120" t="s">
        <v>2524</v>
      </c>
      <c r="C1117" s="121" t="s">
        <v>2525</v>
      </c>
      <c r="D1117" s="122" t="s">
        <v>25</v>
      </c>
      <c r="E1117" s="122" t="s">
        <v>3735</v>
      </c>
      <c r="F1117" s="123">
        <v>-0.202247191011236</v>
      </c>
      <c r="G1117" s="123">
        <v>1.4084507042253534E-2</v>
      </c>
    </row>
    <row r="1118" spans="2:7" x14ac:dyDescent="0.2">
      <c r="B1118" s="120" t="s">
        <v>2526</v>
      </c>
      <c r="C1118" s="121" t="s">
        <v>2527</v>
      </c>
      <c r="D1118" s="122" t="s">
        <v>3556</v>
      </c>
      <c r="E1118" s="122" t="s">
        <v>3630</v>
      </c>
      <c r="F1118" s="123">
        <v>0.30468749999999994</v>
      </c>
      <c r="G1118" s="123">
        <v>0.24550898203592825</v>
      </c>
    </row>
    <row r="1119" spans="2:7" x14ac:dyDescent="0.2">
      <c r="B1119" s="120" t="s">
        <v>2528</v>
      </c>
      <c r="C1119" s="121" t="s">
        <v>2529</v>
      </c>
      <c r="D1119" s="122" t="s">
        <v>3563</v>
      </c>
      <c r="E1119" s="122" t="s">
        <v>3622</v>
      </c>
      <c r="F1119" s="123">
        <v>0.67500000000000004</v>
      </c>
      <c r="G1119" s="123">
        <v>1.3076923076923077</v>
      </c>
    </row>
    <row r="1120" spans="2:7" x14ac:dyDescent="0.2">
      <c r="B1120" s="120" t="s">
        <v>2530</v>
      </c>
      <c r="C1120" s="121" t="s">
        <v>2531</v>
      </c>
      <c r="D1120" s="122" t="s">
        <v>24</v>
      </c>
      <c r="E1120" s="122" t="s">
        <v>3573</v>
      </c>
      <c r="F1120" s="123">
        <v>0.11267605633802827</v>
      </c>
      <c r="G1120" s="123">
        <v>0.10759493670886071</v>
      </c>
    </row>
    <row r="1121" spans="2:7" x14ac:dyDescent="0.2">
      <c r="B1121" s="120" t="s">
        <v>2532</v>
      </c>
      <c r="C1121" s="121" t="s">
        <v>2533</v>
      </c>
      <c r="D1121" s="122" t="s">
        <v>3612</v>
      </c>
      <c r="E1121" s="122" t="s">
        <v>3627</v>
      </c>
      <c r="F1121" s="123">
        <v>-7.3825503355704758E-2</v>
      </c>
      <c r="G1121" s="123">
        <v>0.3623188405797102</v>
      </c>
    </row>
    <row r="1122" spans="2:7" x14ac:dyDescent="0.2">
      <c r="B1122" s="120" t="s">
        <v>2534</v>
      </c>
      <c r="C1122" s="121" t="s">
        <v>2535</v>
      </c>
      <c r="D1122" s="122" t="s">
        <v>3576</v>
      </c>
      <c r="E1122" s="122" t="s">
        <v>3619</v>
      </c>
      <c r="F1122" s="123">
        <v>9.0534979423868206E-2</v>
      </c>
      <c r="G1122" s="123">
        <v>-1.5094339622641523E-2</v>
      </c>
    </row>
    <row r="1123" spans="2:7" x14ac:dyDescent="0.2">
      <c r="B1123" s="120" t="s">
        <v>2536</v>
      </c>
      <c r="C1123" s="121" t="s">
        <v>19</v>
      </c>
      <c r="D1123" s="122" t="s">
        <v>3591</v>
      </c>
      <c r="E1123" s="122" t="s">
        <v>3592</v>
      </c>
      <c r="F1123" s="123">
        <v>3.8585209003215472E-2</v>
      </c>
      <c r="G1123" s="123">
        <v>5.2631578947368397E-2</v>
      </c>
    </row>
    <row r="1124" spans="2:7" x14ac:dyDescent="0.2">
      <c r="B1124" s="120" t="s">
        <v>2537</v>
      </c>
      <c r="C1124" s="121" t="s">
        <v>2538</v>
      </c>
      <c r="D1124" s="122" t="s">
        <v>3556</v>
      </c>
      <c r="E1124" s="122" t="s">
        <v>3579</v>
      </c>
      <c r="F1124" s="123">
        <v>-1.0689655172413794</v>
      </c>
      <c r="G1124" s="123">
        <v>11.249999999999998</v>
      </c>
    </row>
    <row r="1125" spans="2:7" x14ac:dyDescent="0.2">
      <c r="B1125" s="120" t="s">
        <v>2539</v>
      </c>
      <c r="C1125" s="121" t="s">
        <v>2540</v>
      </c>
      <c r="D1125" s="122" t="s">
        <v>3569</v>
      </c>
      <c r="E1125" s="122" t="s">
        <v>3574</v>
      </c>
      <c r="F1125" s="123">
        <v>0.91489361702127681</v>
      </c>
      <c r="G1125" s="123">
        <v>0.37777777777777771</v>
      </c>
    </row>
    <row r="1126" spans="2:7" x14ac:dyDescent="0.2">
      <c r="B1126" s="120" t="s">
        <v>2541</v>
      </c>
      <c r="C1126" s="121" t="s">
        <v>2542</v>
      </c>
      <c r="D1126" s="122" t="s">
        <v>24</v>
      </c>
      <c r="E1126" s="122" t="s">
        <v>3693</v>
      </c>
      <c r="F1126" s="123">
        <v>-2.4778761061947003E-2</v>
      </c>
      <c r="G1126" s="123">
        <v>7.985480943738664E-2</v>
      </c>
    </row>
    <row r="1127" spans="2:7" x14ac:dyDescent="0.2">
      <c r="B1127" s="120" t="s">
        <v>2543</v>
      </c>
      <c r="C1127" s="121" t="s">
        <v>2544</v>
      </c>
      <c r="D1127" s="122" t="s">
        <v>3569</v>
      </c>
      <c r="E1127" s="122" t="s">
        <v>3570</v>
      </c>
      <c r="F1127" s="123">
        <v>-6.020066889632112E-2</v>
      </c>
      <c r="G1127" s="123">
        <v>-9.6085409252669049E-2</v>
      </c>
    </row>
    <row r="1128" spans="2:7" x14ac:dyDescent="0.2">
      <c r="B1128" s="120" t="s">
        <v>2545</v>
      </c>
      <c r="C1128" s="121" t="s">
        <v>2546</v>
      </c>
      <c r="D1128" s="122" t="s">
        <v>3576</v>
      </c>
      <c r="E1128" s="122" t="s">
        <v>3604</v>
      </c>
      <c r="F1128" s="123">
        <v>2.0905923344947754E-2</v>
      </c>
      <c r="G1128" s="123">
        <v>6.143344709897601E-2</v>
      </c>
    </row>
    <row r="1129" spans="2:7" x14ac:dyDescent="0.2">
      <c r="B1129" s="120" t="s">
        <v>2547</v>
      </c>
      <c r="C1129" s="121" t="s">
        <v>2548</v>
      </c>
      <c r="D1129" s="122" t="s">
        <v>3563</v>
      </c>
      <c r="E1129" s="122" t="s">
        <v>3779</v>
      </c>
      <c r="F1129" s="123">
        <v>0.12359550561797751</v>
      </c>
      <c r="G1129" s="123">
        <v>9.4999999999999973E-2</v>
      </c>
    </row>
    <row r="1130" spans="2:7" x14ac:dyDescent="0.2">
      <c r="B1130" s="120" t="s">
        <v>2549</v>
      </c>
      <c r="C1130" s="121" t="s">
        <v>2550</v>
      </c>
      <c r="D1130" s="122" t="s">
        <v>3556</v>
      </c>
      <c r="E1130" s="122" t="s">
        <v>3704</v>
      </c>
      <c r="F1130" s="123">
        <v>0.23484848484848472</v>
      </c>
      <c r="G1130" s="123">
        <v>0.2883435582822087</v>
      </c>
    </row>
    <row r="1131" spans="2:7" x14ac:dyDescent="0.2">
      <c r="B1131" s="120" t="s">
        <v>2551</v>
      </c>
      <c r="C1131" s="121" t="s">
        <v>2552</v>
      </c>
      <c r="D1131" s="122" t="s">
        <v>24</v>
      </c>
      <c r="E1131" s="122" t="s">
        <v>3701</v>
      </c>
      <c r="F1131" s="123">
        <v>8.0357142857142724E-2</v>
      </c>
      <c r="G1131" s="123">
        <v>6.404958677685961E-2</v>
      </c>
    </row>
    <row r="1132" spans="2:7" x14ac:dyDescent="0.2">
      <c r="B1132" s="120" t="s">
        <v>2553</v>
      </c>
      <c r="C1132" s="121" t="s">
        <v>2554</v>
      </c>
      <c r="D1132" s="122" t="s">
        <v>3576</v>
      </c>
      <c r="E1132" s="122" t="s">
        <v>3578</v>
      </c>
      <c r="F1132" s="123">
        <v>0.12997903563941304</v>
      </c>
      <c r="G1132" s="123">
        <v>4.4526901669758853E-2</v>
      </c>
    </row>
    <row r="1133" spans="2:7" x14ac:dyDescent="0.2">
      <c r="B1133" s="120" t="s">
        <v>2555</v>
      </c>
      <c r="C1133" s="121" t="s">
        <v>2556</v>
      </c>
      <c r="D1133" s="122" t="s">
        <v>3576</v>
      </c>
      <c r="E1133" s="122" t="s">
        <v>3619</v>
      </c>
      <c r="F1133" s="123">
        <v>-1.0638297872340318E-2</v>
      </c>
      <c r="G1133" s="123">
        <v>3.2258064516128941E-2</v>
      </c>
    </row>
    <row r="1134" spans="2:7" x14ac:dyDescent="0.2">
      <c r="B1134" s="120" t="s">
        <v>2557</v>
      </c>
      <c r="C1134" s="121" t="s">
        <v>2558</v>
      </c>
      <c r="D1134" s="122" t="s">
        <v>3558</v>
      </c>
      <c r="E1134" s="122" t="s">
        <v>3642</v>
      </c>
      <c r="F1134" s="123">
        <v>2.8399311531841661E-2</v>
      </c>
      <c r="G1134" s="123">
        <v>3.7656903765690468E-2</v>
      </c>
    </row>
    <row r="1135" spans="2:7" x14ac:dyDescent="0.2">
      <c r="B1135" s="120" t="s">
        <v>2559</v>
      </c>
      <c r="C1135" s="121" t="s">
        <v>2560</v>
      </c>
      <c r="D1135" s="122" t="s">
        <v>3556</v>
      </c>
      <c r="E1135" s="122" t="s">
        <v>3733</v>
      </c>
      <c r="F1135" s="123">
        <v>0.42666666666666675</v>
      </c>
      <c r="G1135" s="123">
        <v>0.1682242990654205</v>
      </c>
    </row>
    <row r="1136" spans="2:7" x14ac:dyDescent="0.2">
      <c r="B1136" s="120" t="s">
        <v>2561</v>
      </c>
      <c r="C1136" s="121" t="s">
        <v>2562</v>
      </c>
      <c r="D1136" s="122" t="s">
        <v>3556</v>
      </c>
      <c r="E1136" s="122" t="s">
        <v>3621</v>
      </c>
      <c r="F1136" s="123">
        <v>0.10280373831775688</v>
      </c>
      <c r="G1136" s="123">
        <v>-9.7457627118644072E-2</v>
      </c>
    </row>
    <row r="1137" spans="2:7" x14ac:dyDescent="0.2">
      <c r="B1137" s="120" t="s">
        <v>2563</v>
      </c>
      <c r="C1137" s="121" t="s">
        <v>2564</v>
      </c>
      <c r="D1137" s="122" t="s">
        <v>3580</v>
      </c>
      <c r="E1137" s="122" t="s">
        <v>3730</v>
      </c>
      <c r="F1137" s="123">
        <v>-5.2631578947368411E-2</v>
      </c>
      <c r="G1137" s="123">
        <v>8.7719298245614113E-2</v>
      </c>
    </row>
    <row r="1138" spans="2:7" x14ac:dyDescent="0.2">
      <c r="B1138" s="120" t="s">
        <v>2565</v>
      </c>
      <c r="C1138" s="121" t="s">
        <v>2566</v>
      </c>
      <c r="D1138" s="122" t="s">
        <v>3610</v>
      </c>
      <c r="E1138" s="122" t="s">
        <v>3745</v>
      </c>
      <c r="F1138" s="123">
        <v>-5.182926829268291E-2</v>
      </c>
      <c r="G1138" s="123">
        <v>7.7170418006430944E-2</v>
      </c>
    </row>
    <row r="1139" spans="2:7" x14ac:dyDescent="0.2">
      <c r="B1139" s="120" t="s">
        <v>2567</v>
      </c>
      <c r="C1139" s="121" t="s">
        <v>2568</v>
      </c>
      <c r="D1139" s="122" t="s">
        <v>3569</v>
      </c>
      <c r="E1139" s="122" t="s">
        <v>3718</v>
      </c>
      <c r="F1139" s="123">
        <v>7.6045627376425923E-2</v>
      </c>
      <c r="G1139" s="123">
        <v>6.7137809187279129E-2</v>
      </c>
    </row>
    <row r="1140" spans="2:7" x14ac:dyDescent="0.2">
      <c r="B1140" s="120" t="s">
        <v>2569</v>
      </c>
      <c r="C1140" s="121" t="s">
        <v>2570</v>
      </c>
      <c r="D1140" s="122" t="s">
        <v>3558</v>
      </c>
      <c r="E1140" s="122" t="s">
        <v>3644</v>
      </c>
      <c r="F1140" s="123">
        <v>-3.9900249376558533E-2</v>
      </c>
      <c r="G1140" s="123">
        <v>-6.7532467532467597E-2</v>
      </c>
    </row>
    <row r="1141" spans="2:7" x14ac:dyDescent="0.2">
      <c r="B1141" s="120" t="s">
        <v>2571</v>
      </c>
      <c r="C1141" s="121" t="s">
        <v>2572</v>
      </c>
      <c r="D1141" s="122" t="s">
        <v>3556</v>
      </c>
      <c r="E1141" s="122" t="s">
        <v>3673</v>
      </c>
      <c r="F1141" s="123">
        <v>0.12499999999999992</v>
      </c>
      <c r="G1141" s="123">
        <v>0.13580246913580243</v>
      </c>
    </row>
    <row r="1142" spans="2:7" x14ac:dyDescent="0.2">
      <c r="B1142" s="120" t="s">
        <v>2573</v>
      </c>
      <c r="C1142" s="121" t="s">
        <v>2574</v>
      </c>
      <c r="D1142" s="122" t="s">
        <v>3556</v>
      </c>
      <c r="E1142" s="122" t="s">
        <v>3630</v>
      </c>
      <c r="F1142" s="123">
        <v>0.37349397590361438</v>
      </c>
      <c r="G1142" s="123">
        <v>0.26923076923076927</v>
      </c>
    </row>
    <row r="1143" spans="2:7" x14ac:dyDescent="0.2">
      <c r="B1143" s="120" t="s">
        <v>2575</v>
      </c>
      <c r="C1143" s="121" t="s">
        <v>2576</v>
      </c>
      <c r="D1143" s="122" t="s">
        <v>3576</v>
      </c>
      <c r="E1143" s="122" t="s">
        <v>3619</v>
      </c>
      <c r="F1143" s="123">
        <v>8.9700996677740882E-2</v>
      </c>
      <c r="G1143" s="123">
        <v>5.7926829268292804E-2</v>
      </c>
    </row>
    <row r="1144" spans="2:7" x14ac:dyDescent="0.2">
      <c r="B1144" s="120" t="s">
        <v>2577</v>
      </c>
      <c r="C1144" s="121" t="s">
        <v>2578</v>
      </c>
      <c r="D1144" s="122" t="s">
        <v>25</v>
      </c>
      <c r="E1144" s="122" t="s">
        <v>3694</v>
      </c>
      <c r="F1144" s="123">
        <v>0.29752066115702486</v>
      </c>
      <c r="G1144" s="123">
        <v>0.23566878980891712</v>
      </c>
    </row>
    <row r="1145" spans="2:7" x14ac:dyDescent="0.2">
      <c r="B1145" s="120" t="s">
        <v>2579</v>
      </c>
      <c r="C1145" s="121" t="s">
        <v>2580</v>
      </c>
      <c r="D1145" s="122" t="s">
        <v>24</v>
      </c>
      <c r="E1145" s="122" t="s">
        <v>3675</v>
      </c>
      <c r="F1145" s="123">
        <v>3.7924151696606866E-2</v>
      </c>
      <c r="G1145" s="123">
        <v>7.6923076923076816E-2</v>
      </c>
    </row>
    <row r="1146" spans="2:7" x14ac:dyDescent="0.2">
      <c r="B1146" s="120" t="s">
        <v>2581</v>
      </c>
      <c r="C1146" s="121" t="s">
        <v>2582</v>
      </c>
      <c r="D1146" s="122" t="s">
        <v>3576</v>
      </c>
      <c r="E1146" s="122" t="s">
        <v>3654</v>
      </c>
      <c r="F1146" s="123">
        <v>4.841713221601486E-2</v>
      </c>
      <c r="G1146" s="123">
        <v>6.1278863232682015E-2</v>
      </c>
    </row>
    <row r="1147" spans="2:7" x14ac:dyDescent="0.2">
      <c r="B1147" s="120" t="s">
        <v>2583</v>
      </c>
      <c r="C1147" s="121" t="s">
        <v>2584</v>
      </c>
      <c r="D1147" s="122" t="s">
        <v>3576</v>
      </c>
      <c r="E1147" s="122" t="s">
        <v>3671</v>
      </c>
      <c r="F1147" s="123">
        <v>0.11677282377919317</v>
      </c>
      <c r="G1147" s="123">
        <v>2.8517110266159766E-2</v>
      </c>
    </row>
    <row r="1148" spans="2:7" x14ac:dyDescent="0.2">
      <c r="B1148" s="120" t="s">
        <v>2585</v>
      </c>
      <c r="C1148" s="121" t="s">
        <v>2586</v>
      </c>
      <c r="D1148" s="122" t="s">
        <v>3591</v>
      </c>
      <c r="E1148" s="122" t="s">
        <v>3592</v>
      </c>
      <c r="F1148" s="123">
        <v>5.5837563451776699E-2</v>
      </c>
      <c r="G1148" s="123">
        <v>5.7692307692307744E-2</v>
      </c>
    </row>
    <row r="1149" spans="2:7" x14ac:dyDescent="0.2">
      <c r="B1149" s="120" t="s">
        <v>2587</v>
      </c>
      <c r="C1149" s="121" t="s">
        <v>2588</v>
      </c>
      <c r="D1149" s="122" t="s">
        <v>3558</v>
      </c>
      <c r="E1149" s="122" t="s">
        <v>3770</v>
      </c>
      <c r="F1149" s="123">
        <v>4.2918454935621398E-3</v>
      </c>
      <c r="G1149" s="123">
        <v>0.10256410256410266</v>
      </c>
    </row>
    <row r="1150" spans="2:7" x14ac:dyDescent="0.2">
      <c r="B1150" s="120" t="s">
        <v>2589</v>
      </c>
      <c r="C1150" s="121" t="s">
        <v>2590</v>
      </c>
      <c r="D1150" s="122" t="s">
        <v>3591</v>
      </c>
      <c r="E1150" s="122" t="s">
        <v>3592</v>
      </c>
      <c r="F1150" s="123">
        <v>6.2499999999999854E-2</v>
      </c>
      <c r="G1150" s="123">
        <v>4.8319327731092529E-2</v>
      </c>
    </row>
    <row r="1151" spans="2:7" x14ac:dyDescent="0.2">
      <c r="B1151" s="120" t="s">
        <v>2591</v>
      </c>
      <c r="C1151" s="121" t="s">
        <v>2592</v>
      </c>
      <c r="D1151" s="122" t="s">
        <v>3569</v>
      </c>
      <c r="E1151" s="122" t="s">
        <v>3572</v>
      </c>
      <c r="F1151" s="123">
        <v>5.9999999999999991</v>
      </c>
      <c r="G1151" s="123">
        <v>2.4</v>
      </c>
    </row>
    <row r="1152" spans="2:7" x14ac:dyDescent="0.2">
      <c r="B1152" s="120" t="s">
        <v>2593</v>
      </c>
      <c r="C1152" s="121" t="s">
        <v>2594</v>
      </c>
      <c r="D1152" s="122" t="s">
        <v>25</v>
      </c>
      <c r="E1152" s="122" t="s">
        <v>3657</v>
      </c>
      <c r="F1152" s="123">
        <v>9.7173144876325057E-2</v>
      </c>
      <c r="G1152" s="123">
        <v>7.0853462157810049E-2</v>
      </c>
    </row>
    <row r="1153" spans="2:7" x14ac:dyDescent="0.2">
      <c r="B1153" s="120" t="s">
        <v>2595</v>
      </c>
      <c r="C1153" s="121" t="s">
        <v>2596</v>
      </c>
      <c r="D1153" s="122" t="s">
        <v>3591</v>
      </c>
      <c r="E1153" s="122" t="s">
        <v>3592</v>
      </c>
      <c r="F1153" s="123">
        <v>2.1276595744680774E-2</v>
      </c>
      <c r="G1153" s="123">
        <v>7.0833333333333304E-2</v>
      </c>
    </row>
    <row r="1154" spans="2:7" x14ac:dyDescent="0.2">
      <c r="B1154" s="120" t="s">
        <v>2597</v>
      </c>
      <c r="C1154" s="121" t="s">
        <v>2598</v>
      </c>
      <c r="D1154" s="122" t="s">
        <v>24</v>
      </c>
      <c r="E1154" s="122" t="s">
        <v>3713</v>
      </c>
      <c r="F1154" s="123">
        <v>-0.10924369747899151</v>
      </c>
      <c r="G1154" s="123">
        <v>8.4905660377358347E-2</v>
      </c>
    </row>
    <row r="1155" spans="2:7" x14ac:dyDescent="0.2">
      <c r="B1155" s="120" t="s">
        <v>2599</v>
      </c>
      <c r="C1155" s="121" t="s">
        <v>2600</v>
      </c>
      <c r="D1155" s="122" t="s">
        <v>24</v>
      </c>
      <c r="E1155" s="122" t="s">
        <v>3633</v>
      </c>
      <c r="F1155" s="123">
        <v>0.13301662707838471</v>
      </c>
      <c r="G1155" s="123">
        <v>0.12788259958071288</v>
      </c>
    </row>
    <row r="1156" spans="2:7" x14ac:dyDescent="0.2">
      <c r="B1156" s="120" t="s">
        <v>2601</v>
      </c>
      <c r="C1156" s="121" t="s">
        <v>2602</v>
      </c>
      <c r="D1156" s="122" t="s">
        <v>24</v>
      </c>
      <c r="E1156" s="122" t="s">
        <v>3761</v>
      </c>
      <c r="F1156" s="123">
        <v>0.35862068965517246</v>
      </c>
      <c r="G1156" s="123">
        <v>0.11167512690355329</v>
      </c>
    </row>
    <row r="1157" spans="2:7" x14ac:dyDescent="0.2">
      <c r="B1157" s="120" t="s">
        <v>2603</v>
      </c>
      <c r="C1157" s="121" t="s">
        <v>2604</v>
      </c>
      <c r="D1157" s="122" t="s">
        <v>3594</v>
      </c>
      <c r="E1157" s="122" t="s">
        <v>3602</v>
      </c>
      <c r="F1157" s="123">
        <v>7.9173838209982791E-2</v>
      </c>
      <c r="G1157" s="123">
        <v>9.8883572567783115E-2</v>
      </c>
    </row>
    <row r="1158" spans="2:7" x14ac:dyDescent="0.2">
      <c r="B1158" s="120" t="s">
        <v>2605</v>
      </c>
      <c r="C1158" s="121" t="s">
        <v>2606</v>
      </c>
      <c r="D1158" s="122" t="s">
        <v>3591</v>
      </c>
      <c r="E1158" s="122" t="s">
        <v>3592</v>
      </c>
      <c r="F1158" s="123">
        <v>2.9661016949152665E-2</v>
      </c>
      <c r="G1158" s="123">
        <v>4.9382716049382575E-2</v>
      </c>
    </row>
    <row r="1159" spans="2:7" x14ac:dyDescent="0.2">
      <c r="B1159" s="120" t="s">
        <v>2607</v>
      </c>
      <c r="C1159" s="121" t="s">
        <v>2608</v>
      </c>
      <c r="D1159" s="122" t="s">
        <v>3563</v>
      </c>
      <c r="E1159" s="122" t="s">
        <v>3676</v>
      </c>
      <c r="F1159" s="123">
        <v>2.3809523809523829E-2</v>
      </c>
      <c r="G1159" s="123">
        <v>0.2170542635658915</v>
      </c>
    </row>
    <row r="1160" spans="2:7" x14ac:dyDescent="0.2">
      <c r="B1160" s="120" t="s">
        <v>2609</v>
      </c>
      <c r="C1160" s="121" t="s">
        <v>2610</v>
      </c>
      <c r="D1160" s="122" t="s">
        <v>3569</v>
      </c>
      <c r="E1160" s="122" t="s">
        <v>3718</v>
      </c>
      <c r="F1160" s="123">
        <v>0.19294117647058831</v>
      </c>
      <c r="G1160" s="123">
        <v>0.14003944773175542</v>
      </c>
    </row>
    <row r="1161" spans="2:7" x14ac:dyDescent="0.2">
      <c r="B1161" s="120" t="s">
        <v>2611</v>
      </c>
      <c r="C1161" s="121" t="s">
        <v>2612</v>
      </c>
      <c r="D1161" s="122" t="s">
        <v>3569</v>
      </c>
      <c r="E1161" s="122" t="s">
        <v>3572</v>
      </c>
      <c r="F1161" s="123">
        <v>-0.13406593406593403</v>
      </c>
      <c r="G1161" s="123">
        <v>8.3756345177664879E-2</v>
      </c>
    </row>
    <row r="1162" spans="2:7" x14ac:dyDescent="0.2">
      <c r="B1162" s="120" t="s">
        <v>2613</v>
      </c>
      <c r="C1162" s="121" t="s">
        <v>2614</v>
      </c>
      <c r="D1162" s="122" t="s">
        <v>3576</v>
      </c>
      <c r="E1162" s="122" t="s">
        <v>3641</v>
      </c>
      <c r="F1162" s="123">
        <v>0.13730929264909839</v>
      </c>
      <c r="G1162" s="123">
        <v>0.11707317073170743</v>
      </c>
    </row>
    <row r="1163" spans="2:7" x14ac:dyDescent="0.2">
      <c r="B1163" s="120" t="s">
        <v>2615</v>
      </c>
      <c r="C1163" s="121" t="s">
        <v>2616</v>
      </c>
      <c r="D1163" s="122" t="s">
        <v>3556</v>
      </c>
      <c r="E1163" s="122" t="s">
        <v>3614</v>
      </c>
      <c r="F1163" s="123">
        <v>9.3264248704663183E-2</v>
      </c>
      <c r="G1163" s="123">
        <v>5.2132701421801105E-2</v>
      </c>
    </row>
    <row r="1164" spans="2:7" x14ac:dyDescent="0.2">
      <c r="B1164" s="120" t="s">
        <v>2617</v>
      </c>
      <c r="C1164" s="121" t="s">
        <v>2618</v>
      </c>
      <c r="D1164" s="122" t="s">
        <v>3576</v>
      </c>
      <c r="E1164" s="122" t="s">
        <v>3593</v>
      </c>
      <c r="F1164" s="123">
        <v>1.9785655399834991E-2</v>
      </c>
      <c r="G1164" s="123">
        <v>8.3265966046887727E-2</v>
      </c>
    </row>
    <row r="1165" spans="2:7" x14ac:dyDescent="0.2">
      <c r="B1165" s="120" t="s">
        <v>2619</v>
      </c>
      <c r="C1165" s="121" t="s">
        <v>2620</v>
      </c>
      <c r="D1165" s="122" t="s">
        <v>3576</v>
      </c>
      <c r="E1165" s="122" t="s">
        <v>3619</v>
      </c>
      <c r="F1165" s="123">
        <v>1.892147587511819E-2</v>
      </c>
      <c r="G1165" s="123">
        <v>2.6926648096564618E-2</v>
      </c>
    </row>
    <row r="1166" spans="2:7" x14ac:dyDescent="0.2">
      <c r="B1166" s="120" t="s">
        <v>2621</v>
      </c>
      <c r="C1166" s="121" t="s">
        <v>2622</v>
      </c>
      <c r="D1166" s="122" t="s">
        <v>3576</v>
      </c>
      <c r="E1166" s="122" t="s">
        <v>3619</v>
      </c>
      <c r="F1166" s="123">
        <v>5.8914728682170528E-2</v>
      </c>
      <c r="G1166" s="123">
        <v>1.3177159590043903E-2</v>
      </c>
    </row>
    <row r="1167" spans="2:7" x14ac:dyDescent="0.2">
      <c r="B1167" s="120" t="s">
        <v>2623</v>
      </c>
      <c r="C1167" s="121" t="s">
        <v>2624</v>
      </c>
      <c r="D1167" s="122" t="s">
        <v>3556</v>
      </c>
      <c r="E1167" s="122" t="s">
        <v>3783</v>
      </c>
      <c r="F1167" s="123">
        <v>-0.15384615384615388</v>
      </c>
      <c r="G1167" s="123">
        <v>1.0909090909090911</v>
      </c>
    </row>
    <row r="1168" spans="2:7" x14ac:dyDescent="0.2">
      <c r="B1168" s="120" t="s">
        <v>2625</v>
      </c>
      <c r="C1168" s="121" t="s">
        <v>2626</v>
      </c>
      <c r="D1168" s="122" t="s">
        <v>3612</v>
      </c>
      <c r="E1168" s="122" t="s">
        <v>3739</v>
      </c>
      <c r="F1168" s="123">
        <v>-0.23116089613034627</v>
      </c>
      <c r="G1168" s="123">
        <v>0.37350993377483438</v>
      </c>
    </row>
    <row r="1169" spans="2:7" x14ac:dyDescent="0.2">
      <c r="B1169" s="120" t="s">
        <v>2627</v>
      </c>
      <c r="C1169" s="121" t="s">
        <v>2628</v>
      </c>
      <c r="D1169" s="122" t="s">
        <v>3612</v>
      </c>
      <c r="E1169" s="122" t="s">
        <v>3785</v>
      </c>
      <c r="F1169" s="123">
        <v>1.2345679012345635E-2</v>
      </c>
      <c r="G1169" s="123">
        <v>-3.902439024390237E-2</v>
      </c>
    </row>
    <row r="1170" spans="2:7" x14ac:dyDescent="0.2">
      <c r="B1170" s="120" t="s">
        <v>2629</v>
      </c>
      <c r="C1170" s="121" t="s">
        <v>2630</v>
      </c>
      <c r="D1170" s="122" t="s">
        <v>3556</v>
      </c>
      <c r="E1170" s="122" t="s">
        <v>3579</v>
      </c>
      <c r="F1170" s="123">
        <v>0.21527777777777782</v>
      </c>
      <c r="G1170" s="123">
        <v>0.35428571428571437</v>
      </c>
    </row>
    <row r="1171" spans="2:7" x14ac:dyDescent="0.2">
      <c r="B1171" s="120" t="s">
        <v>2631</v>
      </c>
      <c r="C1171" s="121" t="s">
        <v>2632</v>
      </c>
      <c r="D1171" s="122" t="s">
        <v>3612</v>
      </c>
      <c r="E1171" s="122" t="s">
        <v>3669</v>
      </c>
      <c r="F1171" s="123">
        <v>-0.11618257261410798</v>
      </c>
      <c r="G1171" s="123">
        <v>-1.6431924882628967E-2</v>
      </c>
    </row>
    <row r="1172" spans="2:7" x14ac:dyDescent="0.2">
      <c r="B1172" s="120" t="s">
        <v>2633</v>
      </c>
      <c r="C1172" s="121" t="s">
        <v>2634</v>
      </c>
      <c r="D1172" s="122" t="s">
        <v>3582</v>
      </c>
      <c r="E1172" s="122" t="s">
        <v>3765</v>
      </c>
      <c r="F1172" s="123">
        <v>4.5454545454545324E-2</v>
      </c>
      <c r="G1172" s="123">
        <v>-7.2463768115940486E-3</v>
      </c>
    </row>
    <row r="1173" spans="2:7" x14ac:dyDescent="0.2">
      <c r="B1173" s="120" t="s">
        <v>2635</v>
      </c>
      <c r="C1173" s="121" t="s">
        <v>2636</v>
      </c>
      <c r="D1173" s="122" t="s">
        <v>3610</v>
      </c>
      <c r="E1173" s="122" t="s">
        <v>3656</v>
      </c>
      <c r="F1173" s="123">
        <v>0.20155038759689928</v>
      </c>
      <c r="G1173" s="123">
        <v>-1.2903225806451719E-2</v>
      </c>
    </row>
    <row r="1174" spans="2:7" x14ac:dyDescent="0.2">
      <c r="B1174" s="120" t="s">
        <v>2637</v>
      </c>
      <c r="C1174" s="121" t="s">
        <v>2638</v>
      </c>
      <c r="D1174" s="122" t="s">
        <v>3576</v>
      </c>
      <c r="E1174" s="122" t="s">
        <v>3593</v>
      </c>
      <c r="F1174" s="123">
        <v>3.6745406824147016E-2</v>
      </c>
      <c r="G1174" s="123">
        <v>4.8101265822784685E-2</v>
      </c>
    </row>
    <row r="1175" spans="2:7" x14ac:dyDescent="0.2">
      <c r="B1175" s="120" t="s">
        <v>2639</v>
      </c>
      <c r="C1175" s="121" t="s">
        <v>2640</v>
      </c>
      <c r="D1175" s="122" t="s">
        <v>25</v>
      </c>
      <c r="E1175" s="122" t="s">
        <v>3712</v>
      </c>
      <c r="F1175" s="123">
        <v>1.0515247108306822E-3</v>
      </c>
      <c r="G1175" s="123">
        <v>7.4579831932773205E-2</v>
      </c>
    </row>
    <row r="1176" spans="2:7" x14ac:dyDescent="0.2">
      <c r="B1176" s="120" t="s">
        <v>2641</v>
      </c>
      <c r="C1176" s="121" t="s">
        <v>2642</v>
      </c>
      <c r="D1176" s="122" t="s">
        <v>3556</v>
      </c>
      <c r="E1176" s="122" t="s">
        <v>3630</v>
      </c>
      <c r="F1176" s="123">
        <v>0.54838709677419351</v>
      </c>
      <c r="G1176" s="123">
        <v>1.0714285714285714</v>
      </c>
    </row>
    <row r="1177" spans="2:7" x14ac:dyDescent="0.2">
      <c r="B1177" s="120" t="s">
        <v>2643</v>
      </c>
      <c r="C1177" s="121" t="s">
        <v>2644</v>
      </c>
      <c r="D1177" s="122" t="s">
        <v>3580</v>
      </c>
      <c r="E1177" s="122" t="s">
        <v>3581</v>
      </c>
      <c r="F1177" s="123">
        <v>0.1449275362318842</v>
      </c>
      <c r="G1177" s="123">
        <v>0.16772151898734169</v>
      </c>
    </row>
    <row r="1178" spans="2:7" x14ac:dyDescent="0.2">
      <c r="B1178" s="120" t="s">
        <v>2645</v>
      </c>
      <c r="C1178" s="121" t="s">
        <v>2646</v>
      </c>
      <c r="D1178" s="122" t="s">
        <v>3612</v>
      </c>
      <c r="E1178" s="122" t="s">
        <v>3627</v>
      </c>
      <c r="F1178" s="123">
        <v>0.27786259541984726</v>
      </c>
      <c r="G1178" s="123">
        <v>0.21744324970131426</v>
      </c>
    </row>
    <row r="1179" spans="2:7" x14ac:dyDescent="0.2">
      <c r="B1179" s="120" t="s">
        <v>2647</v>
      </c>
      <c r="C1179" s="121" t="s">
        <v>2648</v>
      </c>
      <c r="D1179" s="122" t="s">
        <v>3556</v>
      </c>
      <c r="E1179" s="122" t="s">
        <v>3630</v>
      </c>
      <c r="F1179" s="123">
        <v>0.30833333333333346</v>
      </c>
      <c r="G1179" s="123">
        <v>0.11146496815286627</v>
      </c>
    </row>
    <row r="1180" spans="2:7" x14ac:dyDescent="0.2">
      <c r="B1180" s="120" t="s">
        <v>2649</v>
      </c>
      <c r="C1180" s="121" t="s">
        <v>2650</v>
      </c>
      <c r="D1180" s="122" t="s">
        <v>3556</v>
      </c>
      <c r="E1180" s="122" t="s">
        <v>3742</v>
      </c>
      <c r="F1180" s="123">
        <v>-4.4198895027624349E-2</v>
      </c>
      <c r="G1180" s="123">
        <v>0.16184971098265885</v>
      </c>
    </row>
    <row r="1181" spans="2:7" x14ac:dyDescent="0.2">
      <c r="B1181" s="120" t="s">
        <v>2651</v>
      </c>
      <c r="C1181" s="121" t="s">
        <v>2652</v>
      </c>
      <c r="D1181" s="122" t="s">
        <v>3569</v>
      </c>
      <c r="E1181" s="122" t="s">
        <v>3575</v>
      </c>
      <c r="F1181" s="123">
        <v>5.26315789473683E-2</v>
      </c>
      <c r="G1181" s="123">
        <v>0.12142857142857154</v>
      </c>
    </row>
    <row r="1182" spans="2:7" x14ac:dyDescent="0.2">
      <c r="B1182" s="120" t="s">
        <v>2653</v>
      </c>
      <c r="C1182" s="121" t="s">
        <v>2654</v>
      </c>
      <c r="D1182" s="122" t="s">
        <v>3556</v>
      </c>
      <c r="E1182" s="122" t="s">
        <v>3704</v>
      </c>
      <c r="F1182" s="123">
        <v>0.25609756097560987</v>
      </c>
      <c r="G1182" s="123">
        <v>8.7378640776699101E-2</v>
      </c>
    </row>
    <row r="1183" spans="2:7" x14ac:dyDescent="0.2">
      <c r="B1183" s="120" t="s">
        <v>2655</v>
      </c>
      <c r="C1183" s="121" t="s">
        <v>2656</v>
      </c>
      <c r="D1183" s="122" t="s">
        <v>3563</v>
      </c>
      <c r="E1183" s="122" t="s">
        <v>3622</v>
      </c>
      <c r="F1183" s="123">
        <v>-0.19811320754716988</v>
      </c>
      <c r="G1183" s="123">
        <v>0.17647058823529416</v>
      </c>
    </row>
    <row r="1184" spans="2:7" x14ac:dyDescent="0.2">
      <c r="B1184" s="120" t="s">
        <v>2657</v>
      </c>
      <c r="C1184" s="121" t="s">
        <v>2658</v>
      </c>
      <c r="D1184" s="122" t="s">
        <v>3556</v>
      </c>
      <c r="E1184" s="122" t="s">
        <v>3786</v>
      </c>
      <c r="F1184" s="123">
        <v>-8.7344028520499148E-2</v>
      </c>
      <c r="G1184" s="123">
        <v>0.203125</v>
      </c>
    </row>
    <row r="1185" spans="2:7" x14ac:dyDescent="0.2">
      <c r="B1185" s="120" t="s">
        <v>2659</v>
      </c>
      <c r="C1185" s="121" t="s">
        <v>2660</v>
      </c>
      <c r="D1185" s="122" t="s">
        <v>3563</v>
      </c>
      <c r="E1185" s="122" t="s">
        <v>3690</v>
      </c>
      <c r="F1185" s="123">
        <v>3.0534351145038195E-2</v>
      </c>
      <c r="G1185" s="123">
        <v>0.10740740740740741</v>
      </c>
    </row>
    <row r="1186" spans="2:7" x14ac:dyDescent="0.2">
      <c r="B1186" s="120" t="s">
        <v>2661</v>
      </c>
      <c r="C1186" s="121" t="s">
        <v>2662</v>
      </c>
      <c r="D1186" s="122" t="s">
        <v>3556</v>
      </c>
      <c r="E1186" s="122" t="s">
        <v>3723</v>
      </c>
      <c r="F1186" s="123">
        <v>0.23076923076923075</v>
      </c>
      <c r="G1186" s="123">
        <v>1.5</v>
      </c>
    </row>
    <row r="1187" spans="2:7" x14ac:dyDescent="0.2">
      <c r="B1187" s="120" t="s">
        <v>2663</v>
      </c>
      <c r="C1187" s="121" t="s">
        <v>2664</v>
      </c>
      <c r="D1187" s="122" t="s">
        <v>3610</v>
      </c>
      <c r="E1187" s="122" t="s">
        <v>3611</v>
      </c>
      <c r="F1187" s="123">
        <v>0.13725490196078424</v>
      </c>
      <c r="G1187" s="123">
        <v>0.10591133004926125</v>
      </c>
    </row>
    <row r="1188" spans="2:7" x14ac:dyDescent="0.2">
      <c r="B1188" s="120" t="s">
        <v>2665</v>
      </c>
      <c r="C1188" s="121" t="s">
        <v>2666</v>
      </c>
      <c r="D1188" s="122" t="s">
        <v>3582</v>
      </c>
      <c r="E1188" s="122" t="s">
        <v>3631</v>
      </c>
      <c r="F1188" s="123">
        <v>-0.85714285714285732</v>
      </c>
      <c r="G1188" s="123">
        <v>1.3692307692307693</v>
      </c>
    </row>
    <row r="1189" spans="2:7" x14ac:dyDescent="0.2">
      <c r="B1189" s="120" t="s">
        <v>2667</v>
      </c>
      <c r="C1189" s="121" t="s">
        <v>2668</v>
      </c>
      <c r="D1189" s="122" t="s">
        <v>3582</v>
      </c>
      <c r="E1189" s="122" t="s">
        <v>3715</v>
      </c>
      <c r="F1189" s="123">
        <v>0.12389380530973464</v>
      </c>
      <c r="G1189" s="123">
        <v>0.17322834645669288</v>
      </c>
    </row>
    <row r="1190" spans="2:7" x14ac:dyDescent="0.2">
      <c r="B1190" s="120" t="s">
        <v>2669</v>
      </c>
      <c r="C1190" s="121" t="s">
        <v>2670</v>
      </c>
      <c r="D1190" s="122" t="s">
        <v>3558</v>
      </c>
      <c r="E1190" s="122" t="s">
        <v>3568</v>
      </c>
      <c r="F1190" s="123">
        <v>-3.0456852791878125E-2</v>
      </c>
      <c r="G1190" s="123">
        <v>9.5986038394415316E-2</v>
      </c>
    </row>
    <row r="1191" spans="2:7" x14ac:dyDescent="0.2">
      <c r="B1191" s="120" t="s">
        <v>2671</v>
      </c>
      <c r="C1191" s="121" t="s">
        <v>2672</v>
      </c>
      <c r="D1191" s="122" t="s">
        <v>24</v>
      </c>
      <c r="E1191" s="122" t="s">
        <v>3701</v>
      </c>
      <c r="F1191" s="123">
        <v>4.8192771084337394E-2</v>
      </c>
      <c r="G1191" s="123">
        <v>1.1494252873563229E-2</v>
      </c>
    </row>
    <row r="1192" spans="2:7" x14ac:dyDescent="0.2">
      <c r="B1192" s="120" t="s">
        <v>2673</v>
      </c>
      <c r="C1192" s="121" t="s">
        <v>2674</v>
      </c>
      <c r="D1192" s="122" t="s">
        <v>3576</v>
      </c>
      <c r="E1192" s="122" t="s">
        <v>3626</v>
      </c>
      <c r="F1192" s="123">
        <v>-7.4074074074074139E-2</v>
      </c>
      <c r="G1192" s="123">
        <v>8.0000000000000071E-2</v>
      </c>
    </row>
    <row r="1193" spans="2:7" x14ac:dyDescent="0.2">
      <c r="B1193" s="120" t="s">
        <v>2675</v>
      </c>
      <c r="C1193" s="121" t="s">
        <v>2676</v>
      </c>
      <c r="D1193" s="122" t="s">
        <v>25</v>
      </c>
      <c r="E1193" s="122" t="s">
        <v>3681</v>
      </c>
      <c r="F1193" s="123">
        <v>5.6074766355140235E-2</v>
      </c>
      <c r="G1193" s="123">
        <v>0.11209439528023596</v>
      </c>
    </row>
    <row r="1194" spans="2:7" x14ac:dyDescent="0.2">
      <c r="B1194" s="120" t="s">
        <v>2677</v>
      </c>
      <c r="C1194" s="121" t="s">
        <v>2678</v>
      </c>
      <c r="D1194" s="122" t="s">
        <v>25</v>
      </c>
      <c r="E1194" s="122" t="s">
        <v>3694</v>
      </c>
      <c r="F1194" s="123">
        <v>9.0497737556561167E-2</v>
      </c>
      <c r="G1194" s="123">
        <v>0.11825726141078825</v>
      </c>
    </row>
    <row r="1195" spans="2:7" x14ac:dyDescent="0.2">
      <c r="B1195" s="120" t="s">
        <v>2679</v>
      </c>
      <c r="C1195" s="121" t="s">
        <v>2680</v>
      </c>
      <c r="D1195" s="122" t="s">
        <v>3582</v>
      </c>
      <c r="E1195" s="122" t="s">
        <v>3664</v>
      </c>
      <c r="F1195" s="123">
        <v>0.20430107526881724</v>
      </c>
      <c r="G1195" s="123">
        <v>0.11607142857142846</v>
      </c>
    </row>
    <row r="1196" spans="2:7" x14ac:dyDescent="0.2">
      <c r="B1196" s="120" t="s">
        <v>2681</v>
      </c>
      <c r="C1196" s="121" t="s">
        <v>2682</v>
      </c>
      <c r="D1196" s="122" t="s">
        <v>3576</v>
      </c>
      <c r="E1196" s="122" t="s">
        <v>3593</v>
      </c>
      <c r="F1196" s="123">
        <v>0.11320754716981142</v>
      </c>
      <c r="G1196" s="123">
        <v>3.3898305084745638E-2</v>
      </c>
    </row>
    <row r="1197" spans="2:7" x14ac:dyDescent="0.2">
      <c r="B1197" s="120" t="s">
        <v>2683</v>
      </c>
      <c r="C1197" s="121" t="s">
        <v>2684</v>
      </c>
      <c r="D1197" s="122" t="s">
        <v>3612</v>
      </c>
      <c r="E1197" s="122" t="s">
        <v>3669</v>
      </c>
      <c r="F1197" s="123">
        <v>-0.11394891944990179</v>
      </c>
      <c r="G1197" s="123">
        <v>0.1574279379157428</v>
      </c>
    </row>
    <row r="1198" spans="2:7" x14ac:dyDescent="0.2">
      <c r="B1198" s="120" t="s">
        <v>2685</v>
      </c>
      <c r="C1198" s="121" t="s">
        <v>2686</v>
      </c>
      <c r="D1198" s="122" t="s">
        <v>3594</v>
      </c>
      <c r="E1198" s="122" t="s">
        <v>3602</v>
      </c>
      <c r="F1198" s="123">
        <v>-0.1901840490797545</v>
      </c>
      <c r="G1198" s="123">
        <v>0.14393939393939389</v>
      </c>
    </row>
    <row r="1199" spans="2:7" x14ac:dyDescent="0.2">
      <c r="B1199" s="120" t="s">
        <v>2687</v>
      </c>
      <c r="C1199" s="121" t="s">
        <v>2688</v>
      </c>
      <c r="D1199" s="122" t="s">
        <v>3569</v>
      </c>
      <c r="E1199" s="122" t="s">
        <v>3599</v>
      </c>
      <c r="F1199" s="123">
        <v>0.35526315789473684</v>
      </c>
      <c r="G1199" s="123">
        <v>0.12135922330097088</v>
      </c>
    </row>
    <row r="1200" spans="2:7" x14ac:dyDescent="0.2">
      <c r="B1200" s="120" t="s">
        <v>2689</v>
      </c>
      <c r="C1200" s="121" t="s">
        <v>2690</v>
      </c>
      <c r="D1200" s="122" t="s">
        <v>3576</v>
      </c>
      <c r="E1200" s="122" t="s">
        <v>3578</v>
      </c>
      <c r="F1200" s="123">
        <v>7.5119453924914676</v>
      </c>
      <c r="G1200" s="123">
        <v>-1.8444266238973571E-2</v>
      </c>
    </row>
    <row r="1201" spans="2:7" x14ac:dyDescent="0.2">
      <c r="B1201" s="120" t="s">
        <v>2691</v>
      </c>
      <c r="C1201" s="121" t="s">
        <v>2692</v>
      </c>
      <c r="D1201" s="122" t="s">
        <v>3576</v>
      </c>
      <c r="E1201" s="122" t="s">
        <v>3584</v>
      </c>
      <c r="F1201" s="123">
        <v>1.319261213720312E-2</v>
      </c>
      <c r="G1201" s="123">
        <v>3.9062500000000097E-2</v>
      </c>
    </row>
    <row r="1202" spans="2:7" x14ac:dyDescent="0.2">
      <c r="B1202" s="120" t="s">
        <v>2693</v>
      </c>
      <c r="C1202" s="121" t="s">
        <v>2694</v>
      </c>
      <c r="D1202" s="122" t="s">
        <v>3569</v>
      </c>
      <c r="E1202" s="122" t="s">
        <v>3575</v>
      </c>
      <c r="F1202" s="123">
        <v>8.2560296846011183E-2</v>
      </c>
      <c r="G1202" s="123">
        <v>0.1053984575835476</v>
      </c>
    </row>
    <row r="1203" spans="2:7" x14ac:dyDescent="0.2">
      <c r="B1203" s="120" t="s">
        <v>2695</v>
      </c>
      <c r="C1203" s="121" t="s">
        <v>2696</v>
      </c>
      <c r="D1203" s="122" t="s">
        <v>3612</v>
      </c>
      <c r="E1203" s="122" t="s">
        <v>3669</v>
      </c>
      <c r="F1203" s="123">
        <v>9.4674556213017833E-2</v>
      </c>
      <c r="G1203" s="123">
        <v>0.36756756756756742</v>
      </c>
    </row>
    <row r="1204" spans="2:7" x14ac:dyDescent="0.2">
      <c r="B1204" s="120" t="s">
        <v>2697</v>
      </c>
      <c r="C1204" s="121" t="s">
        <v>2698</v>
      </c>
      <c r="D1204" s="122" t="s">
        <v>3576</v>
      </c>
      <c r="E1204" s="122" t="s">
        <v>3619</v>
      </c>
      <c r="F1204" s="123">
        <v>9.9999999999999881E-2</v>
      </c>
      <c r="G1204" s="123">
        <v>9.0909090909090995E-2</v>
      </c>
    </row>
    <row r="1205" spans="2:7" x14ac:dyDescent="0.2">
      <c r="B1205" s="120" t="s">
        <v>2699</v>
      </c>
      <c r="C1205" s="121" t="s">
        <v>2700</v>
      </c>
      <c r="D1205" s="122" t="s">
        <v>3576</v>
      </c>
      <c r="E1205" s="122" t="s">
        <v>3671</v>
      </c>
      <c r="F1205" s="123">
        <v>6.9444444444444503E-2</v>
      </c>
      <c r="G1205" s="123">
        <v>7.1428571428571341E-2</v>
      </c>
    </row>
    <row r="1206" spans="2:7" x14ac:dyDescent="0.2">
      <c r="B1206" s="120" t="s">
        <v>2701</v>
      </c>
      <c r="C1206" s="121" t="s">
        <v>2702</v>
      </c>
      <c r="D1206" s="122" t="s">
        <v>3576</v>
      </c>
      <c r="E1206" s="122" t="s">
        <v>3641</v>
      </c>
      <c r="F1206" s="123">
        <v>7.7750206782464804E-2</v>
      </c>
      <c r="G1206" s="123">
        <v>8.4420567920184306E-2</v>
      </c>
    </row>
    <row r="1207" spans="2:7" x14ac:dyDescent="0.2">
      <c r="B1207" s="120" t="s">
        <v>2703</v>
      </c>
      <c r="C1207" s="121" t="s">
        <v>2704</v>
      </c>
      <c r="D1207" s="122" t="s">
        <v>3569</v>
      </c>
      <c r="E1207" s="122" t="s">
        <v>3575</v>
      </c>
      <c r="F1207" s="123">
        <v>0.32876712328767121</v>
      </c>
      <c r="G1207" s="123">
        <v>0.12371134020618568</v>
      </c>
    </row>
    <row r="1208" spans="2:7" x14ac:dyDescent="0.2">
      <c r="B1208" s="120" t="s">
        <v>2705</v>
      </c>
      <c r="C1208" s="121" t="s">
        <v>2706</v>
      </c>
      <c r="D1208" s="122" t="s">
        <v>3594</v>
      </c>
      <c r="E1208" s="122" t="s">
        <v>3595</v>
      </c>
      <c r="F1208" s="123">
        <v>0.61249999999999993</v>
      </c>
      <c r="G1208" s="123">
        <v>-2.3255813953488393E-2</v>
      </c>
    </row>
    <row r="1209" spans="2:7" x14ac:dyDescent="0.2">
      <c r="B1209" s="120" t="s">
        <v>2707</v>
      </c>
      <c r="C1209" s="121" t="s">
        <v>2708</v>
      </c>
      <c r="D1209" s="122" t="s">
        <v>3563</v>
      </c>
      <c r="E1209" s="122" t="s">
        <v>3787</v>
      </c>
      <c r="F1209" s="123">
        <v>0.27771156138259834</v>
      </c>
      <c r="G1209" s="123">
        <v>0.13992537313432835</v>
      </c>
    </row>
    <row r="1210" spans="2:7" x14ac:dyDescent="0.2">
      <c r="B1210" s="120" t="s">
        <v>2709</v>
      </c>
      <c r="C1210" s="121" t="s">
        <v>2710</v>
      </c>
      <c r="D1210" s="122" t="s">
        <v>3569</v>
      </c>
      <c r="E1210" s="122" t="s">
        <v>3570</v>
      </c>
      <c r="F1210" s="123">
        <v>0.10176991150442498</v>
      </c>
      <c r="G1210" s="123">
        <v>2.811244979919672E-2</v>
      </c>
    </row>
    <row r="1211" spans="2:7" x14ac:dyDescent="0.2">
      <c r="B1211" s="120" t="s">
        <v>2711</v>
      </c>
      <c r="C1211" s="121" t="s">
        <v>2712</v>
      </c>
      <c r="D1211" s="122" t="s">
        <v>3582</v>
      </c>
      <c r="E1211" s="122" t="s">
        <v>3777</v>
      </c>
      <c r="F1211" s="123">
        <v>0.11299435028248585</v>
      </c>
      <c r="G1211" s="123">
        <v>6.59898477157361E-2</v>
      </c>
    </row>
    <row r="1212" spans="2:7" x14ac:dyDescent="0.2">
      <c r="B1212" s="120" t="s">
        <v>2713</v>
      </c>
      <c r="C1212" s="121" t="s">
        <v>2714</v>
      </c>
      <c r="D1212" s="122" t="s">
        <v>3576</v>
      </c>
      <c r="E1212" s="122" t="s">
        <v>3619</v>
      </c>
      <c r="F1212" s="123">
        <v>0.16068376068376075</v>
      </c>
      <c r="G1212" s="123">
        <v>6.774668630338733E-2</v>
      </c>
    </row>
    <row r="1213" spans="2:7" x14ac:dyDescent="0.2">
      <c r="B1213" s="120" t="s">
        <v>2715</v>
      </c>
      <c r="C1213" s="121" t="s">
        <v>2716</v>
      </c>
      <c r="D1213" s="122" t="s">
        <v>3556</v>
      </c>
      <c r="E1213" s="122" t="s">
        <v>3683</v>
      </c>
      <c r="F1213" s="123">
        <v>0.19178082191780824</v>
      </c>
      <c r="G1213" s="123">
        <v>6.8965517241379379E-2</v>
      </c>
    </row>
    <row r="1214" spans="2:7" x14ac:dyDescent="0.2">
      <c r="B1214" s="120" t="s">
        <v>2717</v>
      </c>
      <c r="C1214" s="121" t="s">
        <v>2718</v>
      </c>
      <c r="D1214" s="122" t="s">
        <v>3612</v>
      </c>
      <c r="E1214" s="122" t="s">
        <v>3759</v>
      </c>
      <c r="F1214" s="123">
        <v>-0.62666666666666659</v>
      </c>
      <c r="G1214" s="123">
        <v>0.36065573770491799</v>
      </c>
    </row>
    <row r="1215" spans="2:7" x14ac:dyDescent="0.2">
      <c r="B1215" s="120" t="s">
        <v>2719</v>
      </c>
      <c r="C1215" s="121" t="s">
        <v>2720</v>
      </c>
      <c r="D1215" s="122" t="s">
        <v>3594</v>
      </c>
      <c r="E1215" s="122" t="s">
        <v>3647</v>
      </c>
      <c r="F1215" s="123">
        <v>0.29106029106029113</v>
      </c>
      <c r="G1215" s="123">
        <v>-0.13526570048309178</v>
      </c>
    </row>
    <row r="1216" spans="2:7" x14ac:dyDescent="0.2">
      <c r="B1216" s="120" t="s">
        <v>2721</v>
      </c>
      <c r="C1216" s="121" t="s">
        <v>2722</v>
      </c>
      <c r="D1216" s="122" t="s">
        <v>3576</v>
      </c>
      <c r="E1216" s="122" t="s">
        <v>3620</v>
      </c>
      <c r="F1216" s="123">
        <v>0.11951588502269289</v>
      </c>
      <c r="G1216" s="123">
        <v>0.10540540540540531</v>
      </c>
    </row>
    <row r="1217" spans="2:7" x14ac:dyDescent="0.2">
      <c r="B1217" s="120" t="s">
        <v>2723</v>
      </c>
      <c r="C1217" s="121" t="s">
        <v>20</v>
      </c>
      <c r="D1217" s="122" t="s">
        <v>25</v>
      </c>
      <c r="E1217" s="122" t="s">
        <v>3712</v>
      </c>
      <c r="F1217" s="123">
        <v>9.090909090909087E-2</v>
      </c>
      <c r="G1217" s="123">
        <v>7.1614583333333426E-2</v>
      </c>
    </row>
    <row r="1218" spans="2:7" x14ac:dyDescent="0.2">
      <c r="B1218" s="120" t="s">
        <v>2724</v>
      </c>
      <c r="C1218" s="121" t="s">
        <v>2725</v>
      </c>
      <c r="D1218" s="122" t="s">
        <v>3576</v>
      </c>
      <c r="E1218" s="122" t="s">
        <v>3578</v>
      </c>
      <c r="F1218" s="123">
        <v>0.36627906976744196</v>
      </c>
      <c r="G1218" s="123">
        <v>-8.5106382978723475E-3</v>
      </c>
    </row>
    <row r="1219" spans="2:7" x14ac:dyDescent="0.2">
      <c r="B1219" s="120" t="s">
        <v>2726</v>
      </c>
      <c r="C1219" s="121" t="s">
        <v>2727</v>
      </c>
      <c r="D1219" s="122" t="s">
        <v>3569</v>
      </c>
      <c r="E1219" s="122" t="s">
        <v>3572</v>
      </c>
      <c r="F1219" s="123">
        <v>8.5872576177285331E-2</v>
      </c>
      <c r="G1219" s="123">
        <v>9.1836734693877639E-2</v>
      </c>
    </row>
    <row r="1220" spans="2:7" x14ac:dyDescent="0.2">
      <c r="B1220" s="120" t="s">
        <v>2728</v>
      </c>
      <c r="C1220" s="121" t="s">
        <v>2729</v>
      </c>
      <c r="D1220" s="122" t="s">
        <v>3556</v>
      </c>
      <c r="E1220" s="122" t="s">
        <v>3756</v>
      </c>
      <c r="F1220" s="123">
        <v>9.8591549295774739E-2</v>
      </c>
      <c r="G1220" s="123">
        <v>0.21794871794871784</v>
      </c>
    </row>
    <row r="1221" spans="2:7" x14ac:dyDescent="0.2">
      <c r="B1221" s="120" t="s">
        <v>2730</v>
      </c>
      <c r="C1221" s="121" t="s">
        <v>2731</v>
      </c>
      <c r="D1221" s="122" t="s">
        <v>3610</v>
      </c>
      <c r="E1221" s="122" t="s">
        <v>3656</v>
      </c>
      <c r="F1221" s="123">
        <v>-0.37345679012345689</v>
      </c>
      <c r="G1221" s="123">
        <v>1.4778325123152834E-2</v>
      </c>
    </row>
    <row r="1222" spans="2:7" x14ac:dyDescent="0.2">
      <c r="B1222" s="120" t="s">
        <v>2732</v>
      </c>
      <c r="C1222" s="121" t="s">
        <v>2733</v>
      </c>
      <c r="D1222" s="122" t="s">
        <v>3576</v>
      </c>
      <c r="E1222" s="122" t="s">
        <v>3578</v>
      </c>
      <c r="F1222" s="123">
        <v>1.0491573033707864</v>
      </c>
      <c r="G1222" s="123">
        <v>9.5956134338588458E-3</v>
      </c>
    </row>
    <row r="1223" spans="2:7" x14ac:dyDescent="0.2">
      <c r="B1223" s="120" t="s">
        <v>2734</v>
      </c>
      <c r="C1223" s="121" t="s">
        <v>2735</v>
      </c>
      <c r="D1223" s="122" t="s">
        <v>3582</v>
      </c>
      <c r="E1223" s="122" t="s">
        <v>3631</v>
      </c>
      <c r="F1223" s="123">
        <v>-6.5868263473053815E-2</v>
      </c>
      <c r="G1223" s="123">
        <v>8.9743589743589675E-2</v>
      </c>
    </row>
    <row r="1224" spans="2:7" x14ac:dyDescent="0.2">
      <c r="B1224" s="120" t="s">
        <v>2736</v>
      </c>
      <c r="C1224" s="121" t="s">
        <v>2737</v>
      </c>
      <c r="D1224" s="122" t="s">
        <v>3558</v>
      </c>
      <c r="E1224" s="122" t="s">
        <v>3746</v>
      </c>
      <c r="F1224" s="123">
        <v>7.4719800747198195E-2</v>
      </c>
      <c r="G1224" s="123">
        <v>2.6651216685978984E-2</v>
      </c>
    </row>
    <row r="1225" spans="2:7" x14ac:dyDescent="0.2">
      <c r="B1225" s="120" t="s">
        <v>2738</v>
      </c>
      <c r="C1225" s="121" t="s">
        <v>2739</v>
      </c>
      <c r="D1225" s="122" t="s">
        <v>25</v>
      </c>
      <c r="E1225" s="122" t="s">
        <v>3691</v>
      </c>
      <c r="F1225" s="123">
        <v>-2.8461538461538458</v>
      </c>
      <c r="G1225" s="123">
        <v>2.0000000000000018E-2</v>
      </c>
    </row>
    <row r="1226" spans="2:7" x14ac:dyDescent="0.2">
      <c r="B1226" s="120" t="s">
        <v>2740</v>
      </c>
      <c r="C1226" s="121" t="s">
        <v>2741</v>
      </c>
      <c r="D1226" s="122" t="s">
        <v>3582</v>
      </c>
      <c r="E1226" s="122" t="s">
        <v>3788</v>
      </c>
      <c r="F1226" s="123">
        <v>-1.3698630136986314E-2</v>
      </c>
      <c r="G1226" s="123">
        <v>9.7222222222222307E-2</v>
      </c>
    </row>
    <row r="1227" spans="2:7" x14ac:dyDescent="0.2">
      <c r="B1227" s="120" t="s">
        <v>2742</v>
      </c>
      <c r="C1227" s="121" t="s">
        <v>2743</v>
      </c>
      <c r="D1227" s="122" t="s">
        <v>3558</v>
      </c>
      <c r="E1227" s="122" t="s">
        <v>3642</v>
      </c>
      <c r="F1227" s="123">
        <v>0.12288135593220341</v>
      </c>
      <c r="G1227" s="123">
        <v>0.11886792452830187</v>
      </c>
    </row>
    <row r="1228" spans="2:7" x14ac:dyDescent="0.2">
      <c r="B1228" s="120" t="s">
        <v>2744</v>
      </c>
      <c r="C1228" s="121" t="s">
        <v>2745</v>
      </c>
      <c r="D1228" s="122" t="s">
        <v>3558</v>
      </c>
      <c r="E1228" s="122" t="s">
        <v>3642</v>
      </c>
      <c r="F1228" s="123">
        <v>0.11006825938566545</v>
      </c>
      <c r="G1228" s="123">
        <v>2.3059185242121499E-2</v>
      </c>
    </row>
    <row r="1229" spans="2:7" x14ac:dyDescent="0.2">
      <c r="B1229" s="120" t="s">
        <v>2746</v>
      </c>
      <c r="C1229" s="121" t="s">
        <v>2747</v>
      </c>
      <c r="D1229" s="122" t="s">
        <v>3563</v>
      </c>
      <c r="E1229" s="122" t="s">
        <v>3677</v>
      </c>
      <c r="F1229" s="123">
        <v>7.1428571428571383E-2</v>
      </c>
      <c r="G1229" s="123">
        <v>9.5555555555555491E-2</v>
      </c>
    </row>
    <row r="1230" spans="2:7" x14ac:dyDescent="0.2">
      <c r="B1230" s="120" t="s">
        <v>2748</v>
      </c>
      <c r="C1230" s="121" t="s">
        <v>2749</v>
      </c>
      <c r="D1230" s="122" t="s">
        <v>3556</v>
      </c>
      <c r="E1230" s="122" t="s">
        <v>3723</v>
      </c>
      <c r="F1230" s="123">
        <v>0.17449664429530201</v>
      </c>
      <c r="G1230" s="123">
        <v>0.17714285714285719</v>
      </c>
    </row>
    <row r="1231" spans="2:7" x14ac:dyDescent="0.2">
      <c r="B1231" s="120" t="s">
        <v>2750</v>
      </c>
      <c r="C1231" s="121" t="s">
        <v>2751</v>
      </c>
      <c r="D1231" s="122" t="s">
        <v>3580</v>
      </c>
      <c r="E1231" s="122" t="s">
        <v>3782</v>
      </c>
      <c r="F1231" s="123">
        <v>0.31249999999999994</v>
      </c>
      <c r="G1231" s="123">
        <v>0.22916666666666669</v>
      </c>
    </row>
    <row r="1232" spans="2:7" x14ac:dyDescent="0.2">
      <c r="B1232" s="120" t="s">
        <v>2752</v>
      </c>
      <c r="C1232" s="121" t="s">
        <v>2753</v>
      </c>
      <c r="D1232" s="122" t="s">
        <v>3558</v>
      </c>
      <c r="E1232" s="122" t="s">
        <v>3559</v>
      </c>
      <c r="F1232" s="123">
        <v>-3.4700315457413256E-2</v>
      </c>
      <c r="G1232" s="123">
        <v>-8.3877995642701486E-2</v>
      </c>
    </row>
    <row r="1233" spans="2:7" x14ac:dyDescent="0.2">
      <c r="B1233" s="120" t="s">
        <v>2754</v>
      </c>
      <c r="C1233" s="121" t="s">
        <v>2755</v>
      </c>
      <c r="D1233" s="122" t="s">
        <v>3582</v>
      </c>
      <c r="E1233" s="122" t="s">
        <v>3707</v>
      </c>
      <c r="F1233" s="123">
        <v>5.5374592833876343E-2</v>
      </c>
      <c r="G1233" s="123">
        <v>0.10185185185185174</v>
      </c>
    </row>
    <row r="1234" spans="2:7" x14ac:dyDescent="0.2">
      <c r="B1234" s="120" t="s">
        <v>2756</v>
      </c>
      <c r="C1234" s="121" t="s">
        <v>2757</v>
      </c>
      <c r="D1234" s="122" t="s">
        <v>3605</v>
      </c>
      <c r="E1234" s="122" t="s">
        <v>3606</v>
      </c>
      <c r="F1234" s="123">
        <v>0.16023738872403573</v>
      </c>
      <c r="G1234" s="123">
        <v>0.10912190963341853</v>
      </c>
    </row>
    <row r="1235" spans="2:7" x14ac:dyDescent="0.2">
      <c r="B1235" s="120" t="s">
        <v>2758</v>
      </c>
      <c r="C1235" s="121" t="s">
        <v>2759</v>
      </c>
      <c r="D1235" s="122" t="s">
        <v>3582</v>
      </c>
      <c r="E1235" s="122" t="s">
        <v>3728</v>
      </c>
      <c r="F1235" s="123">
        <v>2.3255813953488393E-2</v>
      </c>
      <c r="G1235" s="123">
        <v>0.12499999999999999</v>
      </c>
    </row>
    <row r="1236" spans="2:7" x14ac:dyDescent="0.2">
      <c r="B1236" s="120" t="s">
        <v>2760</v>
      </c>
      <c r="C1236" s="121" t="s">
        <v>2761</v>
      </c>
      <c r="D1236" s="122" t="s">
        <v>3580</v>
      </c>
      <c r="E1236" s="122" t="s">
        <v>3581</v>
      </c>
      <c r="F1236" s="123">
        <v>4.8387096774193589E-2</v>
      </c>
      <c r="G1236" s="123">
        <v>0.10769230769230762</v>
      </c>
    </row>
    <row r="1237" spans="2:7" x14ac:dyDescent="0.2">
      <c r="B1237" s="120" t="s">
        <v>2762</v>
      </c>
      <c r="C1237" s="121" t="s">
        <v>2763</v>
      </c>
      <c r="D1237" s="122" t="s">
        <v>3591</v>
      </c>
      <c r="E1237" s="122" t="s">
        <v>3592</v>
      </c>
      <c r="F1237" s="123">
        <v>-0.45945945945945948</v>
      </c>
      <c r="G1237" s="123">
        <v>1.2400000000000002</v>
      </c>
    </row>
    <row r="1238" spans="2:7" x14ac:dyDescent="0.2">
      <c r="B1238" s="120" t="s">
        <v>2764</v>
      </c>
      <c r="C1238" s="121" t="s">
        <v>2765</v>
      </c>
      <c r="D1238" s="122" t="s">
        <v>3576</v>
      </c>
      <c r="E1238" s="122" t="s">
        <v>3626</v>
      </c>
      <c r="F1238" s="123">
        <v>4.4822256568778987E-2</v>
      </c>
      <c r="G1238" s="123">
        <v>5.029585798816566E-2</v>
      </c>
    </row>
    <row r="1239" spans="2:7" x14ac:dyDescent="0.2">
      <c r="B1239" s="120" t="s">
        <v>2766</v>
      </c>
      <c r="C1239" s="121" t="s">
        <v>2767</v>
      </c>
      <c r="D1239" s="122" t="s">
        <v>3561</v>
      </c>
      <c r="E1239" s="122" t="s">
        <v>3562</v>
      </c>
      <c r="F1239" s="123">
        <v>-0.23207547169811313</v>
      </c>
      <c r="G1239" s="123">
        <v>0.32432432432432418</v>
      </c>
    </row>
    <row r="1240" spans="2:7" x14ac:dyDescent="0.2">
      <c r="B1240" s="120" t="s">
        <v>2768</v>
      </c>
      <c r="C1240" s="121" t="s">
        <v>2769</v>
      </c>
      <c r="D1240" s="122" t="s">
        <v>3605</v>
      </c>
      <c r="E1240" s="122" t="s">
        <v>3606</v>
      </c>
      <c r="F1240" s="123">
        <v>1.0909090909090911</v>
      </c>
      <c r="G1240" s="123">
        <v>0.56521739130434767</v>
      </c>
    </row>
    <row r="1241" spans="2:7" x14ac:dyDescent="0.2">
      <c r="B1241" s="120" t="s">
        <v>2770</v>
      </c>
      <c r="C1241" s="121" t="s">
        <v>2771</v>
      </c>
      <c r="D1241" s="122" t="s">
        <v>3580</v>
      </c>
      <c r="E1241" s="122" t="s">
        <v>3750</v>
      </c>
      <c r="F1241" s="123">
        <v>-0.42499999999999999</v>
      </c>
      <c r="G1241" s="123">
        <v>6.5217391304347755E-2</v>
      </c>
    </row>
    <row r="1242" spans="2:7" x14ac:dyDescent="0.2">
      <c r="B1242" s="120" t="s">
        <v>2772</v>
      </c>
      <c r="C1242" s="121" t="s">
        <v>2773</v>
      </c>
      <c r="D1242" s="122" t="s">
        <v>3556</v>
      </c>
      <c r="E1242" s="122" t="s">
        <v>3721</v>
      </c>
      <c r="F1242" s="123">
        <v>-2.7500000000000004</v>
      </c>
      <c r="G1242" s="123">
        <v>-0.28571428571428553</v>
      </c>
    </row>
    <row r="1243" spans="2:7" x14ac:dyDescent="0.2">
      <c r="B1243" s="120" t="s">
        <v>2774</v>
      </c>
      <c r="C1243" s="121" t="s">
        <v>2775</v>
      </c>
      <c r="D1243" s="122" t="s">
        <v>3556</v>
      </c>
      <c r="E1243" s="122" t="s">
        <v>3756</v>
      </c>
      <c r="F1243" s="123">
        <v>-0.33552631578947367</v>
      </c>
      <c r="G1243" s="123">
        <v>0.27722772277227725</v>
      </c>
    </row>
    <row r="1244" spans="2:7" x14ac:dyDescent="0.2">
      <c r="B1244" s="120" t="s">
        <v>2776</v>
      </c>
      <c r="C1244" s="121" t="s">
        <v>2777</v>
      </c>
      <c r="D1244" s="122" t="s">
        <v>24</v>
      </c>
      <c r="E1244" s="122" t="s">
        <v>3761</v>
      </c>
      <c r="F1244" s="123">
        <v>1.3253588516746415</v>
      </c>
      <c r="G1244" s="123">
        <v>0.90740740740740722</v>
      </c>
    </row>
    <row r="1245" spans="2:7" x14ac:dyDescent="0.2">
      <c r="B1245" s="120" t="s">
        <v>2778</v>
      </c>
      <c r="C1245" s="121" t="s">
        <v>2779</v>
      </c>
      <c r="D1245" s="122" t="s">
        <v>3605</v>
      </c>
      <c r="E1245" s="122" t="s">
        <v>3653</v>
      </c>
      <c r="F1245" s="123">
        <v>0.28888888888888881</v>
      </c>
      <c r="G1245" s="123">
        <v>0.14367816091954022</v>
      </c>
    </row>
    <row r="1246" spans="2:7" x14ac:dyDescent="0.2">
      <c r="B1246" s="120" t="s">
        <v>2780</v>
      </c>
      <c r="C1246" s="121" t="s">
        <v>2781</v>
      </c>
      <c r="D1246" s="122" t="s">
        <v>3569</v>
      </c>
      <c r="E1246" s="122" t="s">
        <v>3722</v>
      </c>
      <c r="F1246" s="123">
        <v>-0.77025232403718458</v>
      </c>
      <c r="G1246" s="123">
        <v>7.876969242310583E-2</v>
      </c>
    </row>
    <row r="1247" spans="2:7" x14ac:dyDescent="0.2">
      <c r="B1247" s="120" t="s">
        <v>2782</v>
      </c>
      <c r="C1247" s="121" t="s">
        <v>2783</v>
      </c>
      <c r="D1247" s="122" t="s">
        <v>3556</v>
      </c>
      <c r="E1247" s="122" t="s">
        <v>3614</v>
      </c>
      <c r="F1247" s="123">
        <v>0.21777777777777788</v>
      </c>
      <c r="G1247" s="123">
        <v>0.12773722627737213</v>
      </c>
    </row>
    <row r="1248" spans="2:7" x14ac:dyDescent="0.2">
      <c r="B1248" s="120" t="s">
        <v>2784</v>
      </c>
      <c r="C1248" s="121" t="s">
        <v>2785</v>
      </c>
      <c r="D1248" s="122" t="s">
        <v>24</v>
      </c>
      <c r="E1248" s="122" t="s">
        <v>3573</v>
      </c>
      <c r="F1248" s="123">
        <v>0.1690694626474443</v>
      </c>
      <c r="G1248" s="123">
        <v>0.10650224215246629</v>
      </c>
    </row>
    <row r="1249" spans="2:7" x14ac:dyDescent="0.2">
      <c r="B1249" s="120" t="s">
        <v>2786</v>
      </c>
      <c r="C1249" s="121" t="s">
        <v>2787</v>
      </c>
      <c r="D1249" s="122" t="s">
        <v>3576</v>
      </c>
      <c r="E1249" s="122" t="s">
        <v>3626</v>
      </c>
      <c r="F1249" s="123">
        <v>-1.8867924528301903E-2</v>
      </c>
      <c r="G1249" s="123">
        <v>1.9230769230769246E-2</v>
      </c>
    </row>
    <row r="1250" spans="2:7" x14ac:dyDescent="0.2">
      <c r="B1250" s="120" t="s">
        <v>2788</v>
      </c>
      <c r="C1250" s="121" t="s">
        <v>2789</v>
      </c>
      <c r="D1250" s="122" t="s">
        <v>3556</v>
      </c>
      <c r="E1250" s="122" t="s">
        <v>3579</v>
      </c>
      <c r="F1250" s="123">
        <v>0.1051587301587302</v>
      </c>
      <c r="G1250" s="123">
        <v>0.11310592459605025</v>
      </c>
    </row>
    <row r="1251" spans="2:7" x14ac:dyDescent="0.2">
      <c r="B1251" s="120" t="s">
        <v>2790</v>
      </c>
      <c r="C1251" s="121" t="s">
        <v>2791</v>
      </c>
      <c r="D1251" s="122" t="s">
        <v>3612</v>
      </c>
      <c r="E1251" s="122" t="s">
        <v>3759</v>
      </c>
      <c r="F1251" s="123">
        <v>1.1666666666666667</v>
      </c>
      <c r="G1251" s="123">
        <v>1</v>
      </c>
    </row>
    <row r="1252" spans="2:7" x14ac:dyDescent="0.2">
      <c r="B1252" s="120" t="s">
        <v>2792</v>
      </c>
      <c r="C1252" s="121" t="s">
        <v>2793</v>
      </c>
      <c r="D1252" s="122" t="s">
        <v>3569</v>
      </c>
      <c r="E1252" s="122" t="s">
        <v>3574</v>
      </c>
      <c r="F1252" s="123">
        <v>0.19661016949152529</v>
      </c>
      <c r="G1252" s="123">
        <v>0.11048158640226632</v>
      </c>
    </row>
    <row r="1253" spans="2:7" x14ac:dyDescent="0.2">
      <c r="B1253" s="120" t="s">
        <v>2794</v>
      </c>
      <c r="C1253" s="121" t="s">
        <v>2795</v>
      </c>
      <c r="D1253" s="122" t="s">
        <v>3556</v>
      </c>
      <c r="E1253" s="122" t="s">
        <v>3744</v>
      </c>
      <c r="F1253" s="123">
        <v>0.24691358024691351</v>
      </c>
      <c r="G1253" s="123">
        <v>-3.9603960396039639E-2</v>
      </c>
    </row>
    <row r="1254" spans="2:7" x14ac:dyDescent="0.2">
      <c r="B1254" s="120" t="s">
        <v>2796</v>
      </c>
      <c r="C1254" s="121" t="s">
        <v>2797</v>
      </c>
      <c r="D1254" s="122" t="s">
        <v>3569</v>
      </c>
      <c r="E1254" s="122" t="s">
        <v>3571</v>
      </c>
      <c r="F1254" s="123">
        <v>0.16146393972012918</v>
      </c>
      <c r="G1254" s="123">
        <v>0.19416126042632073</v>
      </c>
    </row>
    <row r="1255" spans="2:7" x14ac:dyDescent="0.2">
      <c r="B1255" s="120" t="s">
        <v>2798</v>
      </c>
      <c r="C1255" s="121" t="s">
        <v>2799</v>
      </c>
      <c r="D1255" s="122" t="s">
        <v>3576</v>
      </c>
      <c r="E1255" s="122" t="s">
        <v>3619</v>
      </c>
      <c r="F1255" s="123">
        <v>0.11569148936170226</v>
      </c>
      <c r="G1255" s="123">
        <v>0.10846245530393327</v>
      </c>
    </row>
    <row r="1256" spans="2:7" x14ac:dyDescent="0.2">
      <c r="B1256" s="120" t="s">
        <v>2800</v>
      </c>
      <c r="C1256" s="121" t="s">
        <v>2801</v>
      </c>
      <c r="D1256" s="122" t="s">
        <v>25</v>
      </c>
      <c r="E1256" s="122" t="s">
        <v>3691</v>
      </c>
      <c r="F1256" s="123">
        <v>-0.37423312883435578</v>
      </c>
      <c r="G1256" s="123">
        <v>1.4852941176470589</v>
      </c>
    </row>
    <row r="1257" spans="2:7" x14ac:dyDescent="0.2">
      <c r="B1257" s="120" t="s">
        <v>2802</v>
      </c>
      <c r="C1257" s="121" t="s">
        <v>2803</v>
      </c>
      <c r="D1257" s="122" t="s">
        <v>3576</v>
      </c>
      <c r="E1257" s="122" t="s">
        <v>3646</v>
      </c>
      <c r="F1257" s="123">
        <v>0.19560439560439574</v>
      </c>
      <c r="G1257" s="123">
        <v>7.1691176470588175E-2</v>
      </c>
    </row>
    <row r="1258" spans="2:7" x14ac:dyDescent="0.2">
      <c r="B1258" s="120" t="s">
        <v>2804</v>
      </c>
      <c r="C1258" s="121" t="s">
        <v>2805</v>
      </c>
      <c r="D1258" s="122" t="s">
        <v>3576</v>
      </c>
      <c r="E1258" s="122" t="s">
        <v>3619</v>
      </c>
      <c r="F1258" s="123">
        <v>-0.18695652173913033</v>
      </c>
      <c r="G1258" s="123">
        <v>1.6042780748662996E-2</v>
      </c>
    </row>
    <row r="1259" spans="2:7" x14ac:dyDescent="0.2">
      <c r="B1259" s="120" t="s">
        <v>2806</v>
      </c>
      <c r="C1259" s="121" t="s">
        <v>2807</v>
      </c>
      <c r="D1259" s="122" t="s">
        <v>3591</v>
      </c>
      <c r="E1259" s="122" t="s">
        <v>3650</v>
      </c>
      <c r="F1259" s="123">
        <v>0.22077922077922069</v>
      </c>
      <c r="G1259" s="123">
        <v>0.12765957446808524</v>
      </c>
    </row>
    <row r="1260" spans="2:7" x14ac:dyDescent="0.2">
      <c r="B1260" s="120" t="s">
        <v>2808</v>
      </c>
      <c r="C1260" s="121" t="s">
        <v>2809</v>
      </c>
      <c r="D1260" s="122" t="s">
        <v>3563</v>
      </c>
      <c r="E1260" s="122" t="s">
        <v>3690</v>
      </c>
      <c r="F1260" s="123">
        <v>0.17916666666666675</v>
      </c>
      <c r="G1260" s="123">
        <v>0.10247349823321555</v>
      </c>
    </row>
    <row r="1261" spans="2:7" x14ac:dyDescent="0.2">
      <c r="B1261" s="120" t="s">
        <v>2810</v>
      </c>
      <c r="C1261" s="121" t="s">
        <v>2811</v>
      </c>
      <c r="D1261" s="122" t="s">
        <v>3576</v>
      </c>
      <c r="E1261" s="122" t="s">
        <v>3609</v>
      </c>
      <c r="F1261" s="123">
        <v>8.0459770114942514E-2</v>
      </c>
      <c r="G1261" s="123">
        <v>9.2198581560283779E-2</v>
      </c>
    </row>
    <row r="1262" spans="2:7" x14ac:dyDescent="0.2">
      <c r="B1262" s="120" t="s">
        <v>2812</v>
      </c>
      <c r="C1262" s="121" t="s">
        <v>2813</v>
      </c>
      <c r="D1262" s="122" t="s">
        <v>3576</v>
      </c>
      <c r="E1262" s="122" t="s">
        <v>3626</v>
      </c>
      <c r="F1262" s="123">
        <v>0.26153846153846144</v>
      </c>
      <c r="G1262" s="123">
        <v>0.23170731707317083</v>
      </c>
    </row>
    <row r="1263" spans="2:7" x14ac:dyDescent="0.2">
      <c r="B1263" s="120" t="s">
        <v>2814</v>
      </c>
      <c r="C1263" s="121" t="s">
        <v>2815</v>
      </c>
      <c r="D1263" s="122" t="s">
        <v>3594</v>
      </c>
      <c r="E1263" s="122" t="s">
        <v>3634</v>
      </c>
      <c r="F1263" s="123">
        <v>1.4423076923076828E-2</v>
      </c>
      <c r="G1263" s="123">
        <v>1.4218009478673105E-2</v>
      </c>
    </row>
    <row r="1264" spans="2:7" x14ac:dyDescent="0.2">
      <c r="B1264" s="120" t="s">
        <v>2816</v>
      </c>
      <c r="C1264" s="121" t="s">
        <v>2817</v>
      </c>
      <c r="D1264" s="122" t="s">
        <v>3576</v>
      </c>
      <c r="E1264" s="122" t="s">
        <v>3626</v>
      </c>
      <c r="F1264" s="123">
        <v>-0.16853932584269665</v>
      </c>
      <c r="G1264" s="123">
        <v>9.4594594594594683E-2</v>
      </c>
    </row>
    <row r="1265" spans="2:7" x14ac:dyDescent="0.2">
      <c r="B1265" s="120" t="s">
        <v>2818</v>
      </c>
      <c r="C1265" s="121" t="s">
        <v>2819</v>
      </c>
      <c r="D1265" s="122" t="s">
        <v>3576</v>
      </c>
      <c r="E1265" s="122" t="s">
        <v>3620</v>
      </c>
      <c r="F1265" s="123">
        <v>0.10288065843621398</v>
      </c>
      <c r="G1265" s="123">
        <v>7.462686567164185E-3</v>
      </c>
    </row>
    <row r="1266" spans="2:7" x14ac:dyDescent="0.2">
      <c r="B1266" s="120" t="s">
        <v>2820</v>
      </c>
      <c r="C1266" s="121" t="s">
        <v>2821</v>
      </c>
      <c r="D1266" s="122" t="s">
        <v>24</v>
      </c>
      <c r="E1266" s="122" t="s">
        <v>3789</v>
      </c>
      <c r="F1266" s="123">
        <v>7.1428571428571369E-2</v>
      </c>
      <c r="G1266" s="123">
        <v>9.2307692307692271E-2</v>
      </c>
    </row>
    <row r="1267" spans="2:7" x14ac:dyDescent="0.2">
      <c r="B1267" s="120" t="s">
        <v>2822</v>
      </c>
      <c r="C1267" s="121" t="s">
        <v>2823</v>
      </c>
      <c r="D1267" s="122" t="s">
        <v>3591</v>
      </c>
      <c r="E1267" s="122" t="s">
        <v>3658</v>
      </c>
      <c r="F1267" s="123">
        <v>-1.7182130584192531E-2</v>
      </c>
      <c r="G1267" s="123">
        <v>-6.9930069930069999E-3</v>
      </c>
    </row>
    <row r="1268" spans="2:7" x14ac:dyDescent="0.2">
      <c r="B1268" s="120" t="s">
        <v>2824</v>
      </c>
      <c r="C1268" s="121" t="s">
        <v>2825</v>
      </c>
      <c r="D1268" s="122" t="s">
        <v>3576</v>
      </c>
      <c r="E1268" s="122" t="s">
        <v>3593</v>
      </c>
      <c r="F1268" s="123">
        <v>0.7142857142857143</v>
      </c>
      <c r="G1268" s="123">
        <v>5.5555555555555608E-2</v>
      </c>
    </row>
    <row r="1269" spans="2:7" x14ac:dyDescent="0.2">
      <c r="B1269" s="120" t="s">
        <v>2826</v>
      </c>
      <c r="C1269" s="121" t="s">
        <v>2827</v>
      </c>
      <c r="D1269" s="122" t="s">
        <v>3558</v>
      </c>
      <c r="E1269" s="122" t="s">
        <v>3774</v>
      </c>
      <c r="F1269" s="123">
        <v>-3.4782608695652015E-2</v>
      </c>
      <c r="G1269" s="123">
        <v>0.11711711711711702</v>
      </c>
    </row>
    <row r="1270" spans="2:7" x14ac:dyDescent="0.2">
      <c r="B1270" s="120" t="s">
        <v>2828</v>
      </c>
      <c r="C1270" s="121" t="s">
        <v>2829</v>
      </c>
      <c r="D1270" s="122" t="s">
        <v>3576</v>
      </c>
      <c r="E1270" s="122" t="s">
        <v>3790</v>
      </c>
      <c r="F1270" s="123">
        <v>-0.17216117216117224</v>
      </c>
      <c r="G1270" s="123">
        <v>0.55000000000000004</v>
      </c>
    </row>
    <row r="1271" spans="2:7" x14ac:dyDescent="0.2">
      <c r="B1271" s="120" t="s">
        <v>2830</v>
      </c>
      <c r="C1271" s="121" t="s">
        <v>2831</v>
      </c>
      <c r="D1271" s="122" t="s">
        <v>3612</v>
      </c>
      <c r="E1271" s="122" t="s">
        <v>3740</v>
      </c>
      <c r="F1271" s="123">
        <v>0.20987654320987645</v>
      </c>
      <c r="G1271" s="123">
        <v>0.19642857142857156</v>
      </c>
    </row>
    <row r="1272" spans="2:7" x14ac:dyDescent="0.2">
      <c r="B1272" s="120" t="s">
        <v>2832</v>
      </c>
      <c r="C1272" s="121" t="s">
        <v>2833</v>
      </c>
      <c r="D1272" s="122" t="s">
        <v>3558</v>
      </c>
      <c r="E1272" s="122" t="s">
        <v>3644</v>
      </c>
      <c r="F1272" s="123">
        <v>0.14403292181069943</v>
      </c>
      <c r="G1272" s="123">
        <v>0.10791366906474831</v>
      </c>
    </row>
    <row r="1273" spans="2:7" x14ac:dyDescent="0.2">
      <c r="B1273" s="120" t="s">
        <v>2834</v>
      </c>
      <c r="C1273" s="121" t="s">
        <v>2835</v>
      </c>
      <c r="D1273" s="122" t="s">
        <v>3576</v>
      </c>
      <c r="E1273" s="122" t="s">
        <v>3619</v>
      </c>
      <c r="F1273" s="123">
        <v>3.4482758620689689E-2</v>
      </c>
      <c r="G1273" s="123">
        <v>0.10000000000000009</v>
      </c>
    </row>
    <row r="1274" spans="2:7" x14ac:dyDescent="0.2">
      <c r="B1274" s="120" t="s">
        <v>2836</v>
      </c>
      <c r="C1274" s="121" t="s">
        <v>2837</v>
      </c>
      <c r="D1274" s="122" t="s">
        <v>3576</v>
      </c>
      <c r="E1274" s="122" t="s">
        <v>3604</v>
      </c>
      <c r="F1274" s="123">
        <v>2.5477707006369449E-2</v>
      </c>
      <c r="G1274" s="123">
        <v>0.11801242236024841</v>
      </c>
    </row>
    <row r="1275" spans="2:7" x14ac:dyDescent="0.2">
      <c r="B1275" s="120" t="s">
        <v>2838</v>
      </c>
      <c r="C1275" s="121" t="s">
        <v>2839</v>
      </c>
      <c r="D1275" s="122" t="s">
        <v>3556</v>
      </c>
      <c r="E1275" s="122" t="s">
        <v>3683</v>
      </c>
      <c r="F1275" s="123">
        <v>-0.20967741935483872</v>
      </c>
      <c r="G1275" s="123">
        <v>0.20408163265306117</v>
      </c>
    </row>
    <row r="1276" spans="2:7" x14ac:dyDescent="0.2">
      <c r="B1276" s="120" t="s">
        <v>2840</v>
      </c>
      <c r="C1276" s="121" t="s">
        <v>2841</v>
      </c>
      <c r="D1276" s="122" t="s">
        <v>3556</v>
      </c>
      <c r="E1276" s="122" t="s">
        <v>3733</v>
      </c>
      <c r="F1276" s="123">
        <v>3.9603960396039639E-2</v>
      </c>
      <c r="G1276" s="123">
        <v>9.5238095238095108E-2</v>
      </c>
    </row>
    <row r="1277" spans="2:7" x14ac:dyDescent="0.2">
      <c r="B1277" s="120" t="s">
        <v>2842</v>
      </c>
      <c r="C1277" s="121" t="s">
        <v>2843</v>
      </c>
      <c r="D1277" s="122" t="s">
        <v>3582</v>
      </c>
      <c r="E1277" s="122" t="s">
        <v>3788</v>
      </c>
      <c r="F1277" s="123">
        <v>-0.24615384615384614</v>
      </c>
      <c r="G1277" s="123">
        <v>0.15646258503401358</v>
      </c>
    </row>
    <row r="1278" spans="2:7" x14ac:dyDescent="0.2">
      <c r="B1278" s="120" t="s">
        <v>2844</v>
      </c>
      <c r="C1278" s="121" t="s">
        <v>2845</v>
      </c>
      <c r="D1278" s="122" t="s">
        <v>3576</v>
      </c>
      <c r="E1278" s="122" t="s">
        <v>3620</v>
      </c>
      <c r="F1278" s="123">
        <v>9.441233140655092E-2</v>
      </c>
      <c r="G1278" s="123">
        <v>9.1549295774647974E-2</v>
      </c>
    </row>
    <row r="1279" spans="2:7" x14ac:dyDescent="0.2">
      <c r="B1279" s="120" t="s">
        <v>2846</v>
      </c>
      <c r="C1279" s="121" t="s">
        <v>2847</v>
      </c>
      <c r="D1279" s="122" t="s">
        <v>3569</v>
      </c>
      <c r="E1279" s="122" t="s">
        <v>3575</v>
      </c>
      <c r="F1279" s="123">
        <v>-0.22222222222222221</v>
      </c>
      <c r="G1279" s="123">
        <v>0.44696969696969702</v>
      </c>
    </row>
    <row r="1280" spans="2:7" x14ac:dyDescent="0.2">
      <c r="B1280" s="120" t="s">
        <v>2848</v>
      </c>
      <c r="C1280" s="121" t="s">
        <v>2849</v>
      </c>
      <c r="D1280" s="122" t="s">
        <v>3556</v>
      </c>
      <c r="E1280" s="122" t="s">
        <v>3723</v>
      </c>
      <c r="F1280" s="123">
        <v>-0.11111111111111108</v>
      </c>
      <c r="G1280" s="123">
        <v>8.5526315789473617E-2</v>
      </c>
    </row>
    <row r="1281" spans="2:7" x14ac:dyDescent="0.2">
      <c r="B1281" s="120" t="s">
        <v>2850</v>
      </c>
      <c r="C1281" s="121" t="s">
        <v>2851</v>
      </c>
      <c r="D1281" s="122" t="s">
        <v>3582</v>
      </c>
      <c r="E1281" s="122" t="s">
        <v>3728</v>
      </c>
      <c r="F1281" s="123">
        <v>-2.0408163265306142E-2</v>
      </c>
      <c r="G1281" s="123">
        <v>0.11458333333333344</v>
      </c>
    </row>
    <row r="1282" spans="2:7" x14ac:dyDescent="0.2">
      <c r="B1282" s="120" t="s">
        <v>2852</v>
      </c>
      <c r="C1282" s="121" t="s">
        <v>2853</v>
      </c>
      <c r="D1282" s="122" t="s">
        <v>3563</v>
      </c>
      <c r="E1282" s="122" t="s">
        <v>3690</v>
      </c>
      <c r="F1282" s="123">
        <v>-5.797101449275352E-2</v>
      </c>
      <c r="G1282" s="123">
        <v>0.16923076923076921</v>
      </c>
    </row>
    <row r="1283" spans="2:7" x14ac:dyDescent="0.2">
      <c r="B1283" s="120" t="s">
        <v>2854</v>
      </c>
      <c r="C1283" s="121" t="s">
        <v>2855</v>
      </c>
      <c r="D1283" s="122" t="s">
        <v>25</v>
      </c>
      <c r="E1283" s="122" t="s">
        <v>3735</v>
      </c>
      <c r="F1283" s="123">
        <v>-0.79230769230769227</v>
      </c>
      <c r="G1283" s="123">
        <v>-3.703703703703707E-2</v>
      </c>
    </row>
    <row r="1284" spans="2:7" x14ac:dyDescent="0.2">
      <c r="B1284" s="120" t="s">
        <v>2856</v>
      </c>
      <c r="C1284" s="121" t="s">
        <v>2857</v>
      </c>
      <c r="D1284" s="122" t="s">
        <v>3594</v>
      </c>
      <c r="E1284" s="122" t="s">
        <v>3602</v>
      </c>
      <c r="F1284" s="123">
        <v>-2.9239766081871371E-2</v>
      </c>
      <c r="G1284" s="123">
        <v>0.14457831325301204</v>
      </c>
    </row>
    <row r="1285" spans="2:7" x14ac:dyDescent="0.2">
      <c r="B1285" s="120" t="s">
        <v>2858</v>
      </c>
      <c r="C1285" s="121" t="s">
        <v>2859</v>
      </c>
      <c r="D1285" s="122" t="s">
        <v>3576</v>
      </c>
      <c r="E1285" s="122" t="s">
        <v>3626</v>
      </c>
      <c r="F1285" s="123">
        <v>-2.0442930153321996E-2</v>
      </c>
      <c r="G1285" s="123">
        <v>4.1739130434782647E-2</v>
      </c>
    </row>
    <row r="1286" spans="2:7" x14ac:dyDescent="0.2">
      <c r="B1286" s="120" t="s">
        <v>2860</v>
      </c>
      <c r="C1286" s="121" t="s">
        <v>2861</v>
      </c>
      <c r="D1286" s="122" t="s">
        <v>3594</v>
      </c>
      <c r="E1286" s="122" t="s">
        <v>3602</v>
      </c>
      <c r="F1286" s="123">
        <v>5.9782608695652106E-2</v>
      </c>
      <c r="G1286" s="123">
        <v>1.2820512820512889E-2</v>
      </c>
    </row>
    <row r="1287" spans="2:7" x14ac:dyDescent="0.2">
      <c r="B1287" s="120" t="s">
        <v>2862</v>
      </c>
      <c r="C1287" s="121" t="s">
        <v>2863</v>
      </c>
      <c r="D1287" s="122" t="s">
        <v>3612</v>
      </c>
      <c r="E1287" s="122" t="s">
        <v>3670</v>
      </c>
      <c r="F1287" s="123">
        <v>-7.8431372549019676E-2</v>
      </c>
      <c r="G1287" s="123">
        <v>0.11347517730496465</v>
      </c>
    </row>
    <row r="1288" spans="2:7" x14ac:dyDescent="0.2">
      <c r="B1288" s="120" t="s">
        <v>2864</v>
      </c>
      <c r="C1288" s="121" t="s">
        <v>2865</v>
      </c>
      <c r="D1288" s="122" t="s">
        <v>3576</v>
      </c>
      <c r="E1288" s="122" t="s">
        <v>3604</v>
      </c>
      <c r="F1288" s="123">
        <v>-0.13454545454545458</v>
      </c>
      <c r="G1288" s="123">
        <v>0.10504201680672269</v>
      </c>
    </row>
    <row r="1289" spans="2:7" x14ac:dyDescent="0.2">
      <c r="B1289" s="120" t="s">
        <v>2866</v>
      </c>
      <c r="C1289" s="121" t="s">
        <v>2867</v>
      </c>
      <c r="D1289" s="122" t="s">
        <v>3576</v>
      </c>
      <c r="E1289" s="122" t="s">
        <v>3619</v>
      </c>
      <c r="F1289" s="123">
        <v>-4.3478260869565064E-2</v>
      </c>
      <c r="G1289" s="123">
        <v>-1.8181818181818195E-2</v>
      </c>
    </row>
    <row r="1290" spans="2:7" x14ac:dyDescent="0.2">
      <c r="B1290" s="120" t="s">
        <v>2868</v>
      </c>
      <c r="C1290" s="121" t="s">
        <v>2869</v>
      </c>
      <c r="D1290" s="122" t="s">
        <v>3556</v>
      </c>
      <c r="E1290" s="122" t="s">
        <v>3607</v>
      </c>
      <c r="F1290" s="123">
        <v>0.9375</v>
      </c>
      <c r="G1290" s="123">
        <v>0.58064516129032251</v>
      </c>
    </row>
    <row r="1291" spans="2:7" x14ac:dyDescent="0.2">
      <c r="B1291" s="120" t="s">
        <v>2870</v>
      </c>
      <c r="C1291" s="121" t="s">
        <v>2871</v>
      </c>
      <c r="D1291" s="122" t="s">
        <v>3580</v>
      </c>
      <c r="E1291" s="122" t="s">
        <v>3782</v>
      </c>
      <c r="F1291" s="123">
        <v>0.13977334052887208</v>
      </c>
      <c r="G1291" s="123">
        <v>0.14535984848484848</v>
      </c>
    </row>
    <row r="1292" spans="2:7" x14ac:dyDescent="0.2">
      <c r="B1292" s="120" t="s">
        <v>2872</v>
      </c>
      <c r="C1292" s="121" t="s">
        <v>2873</v>
      </c>
      <c r="D1292" s="122" t="s">
        <v>3594</v>
      </c>
      <c r="E1292" s="122" t="s">
        <v>3602</v>
      </c>
      <c r="F1292" s="123">
        <v>-1.8439716312056723E-2</v>
      </c>
      <c r="G1292" s="123">
        <v>-3.4682080924855523E-2</v>
      </c>
    </row>
    <row r="1293" spans="2:7" x14ac:dyDescent="0.2">
      <c r="B1293" s="120" t="s">
        <v>2874</v>
      </c>
      <c r="C1293" s="121" t="s">
        <v>2875</v>
      </c>
      <c r="D1293" s="122" t="s">
        <v>3594</v>
      </c>
      <c r="E1293" s="122" t="s">
        <v>3754</v>
      </c>
      <c r="F1293" s="123">
        <v>2.1304347826086953</v>
      </c>
      <c r="G1293" s="123">
        <v>-0.23611111111111102</v>
      </c>
    </row>
    <row r="1294" spans="2:7" x14ac:dyDescent="0.2">
      <c r="B1294" s="120" t="s">
        <v>2876</v>
      </c>
      <c r="C1294" s="121" t="s">
        <v>2877</v>
      </c>
      <c r="D1294" s="122" t="s">
        <v>3558</v>
      </c>
      <c r="E1294" s="122" t="s">
        <v>3638</v>
      </c>
      <c r="F1294" s="123">
        <v>-5.5555555555555448E-2</v>
      </c>
      <c r="G1294" s="123">
        <v>0.1508951406649616</v>
      </c>
    </row>
    <row r="1295" spans="2:7" x14ac:dyDescent="0.2">
      <c r="B1295" s="120" t="s">
        <v>2878</v>
      </c>
      <c r="C1295" s="121" t="s">
        <v>2879</v>
      </c>
      <c r="D1295" s="122" t="s">
        <v>3576</v>
      </c>
      <c r="E1295" s="122" t="s">
        <v>3578</v>
      </c>
      <c r="F1295" s="123">
        <v>0.28698224852070997</v>
      </c>
      <c r="G1295" s="123">
        <v>2.7586206896551752E-2</v>
      </c>
    </row>
    <row r="1296" spans="2:7" x14ac:dyDescent="0.2">
      <c r="B1296" s="120" t="s">
        <v>2880</v>
      </c>
      <c r="C1296" s="121" t="s">
        <v>2881</v>
      </c>
      <c r="D1296" s="122" t="s">
        <v>3556</v>
      </c>
      <c r="E1296" s="122" t="s">
        <v>3791</v>
      </c>
      <c r="F1296" s="123">
        <v>-0.21846153846153846</v>
      </c>
      <c r="G1296" s="123">
        <v>0.18110236220472439</v>
      </c>
    </row>
    <row r="1297" spans="2:7" x14ac:dyDescent="0.2">
      <c r="B1297" s="120" t="s">
        <v>2882</v>
      </c>
      <c r="C1297" s="121" t="s">
        <v>2883</v>
      </c>
      <c r="D1297" s="122" t="s">
        <v>25</v>
      </c>
      <c r="E1297" s="122" t="s">
        <v>3691</v>
      </c>
      <c r="F1297" s="123">
        <v>-0.19230769230769237</v>
      </c>
      <c r="G1297" s="123">
        <v>0.23809523809523819</v>
      </c>
    </row>
    <row r="1298" spans="2:7" x14ac:dyDescent="0.2">
      <c r="B1298" s="120" t="s">
        <v>2884</v>
      </c>
      <c r="C1298" s="121" t="s">
        <v>2885</v>
      </c>
      <c r="D1298" s="122" t="s">
        <v>3558</v>
      </c>
      <c r="E1298" s="122" t="s">
        <v>3638</v>
      </c>
      <c r="F1298" s="123">
        <v>-0.16494845360824734</v>
      </c>
      <c r="G1298" s="123">
        <v>0.31481481481481466</v>
      </c>
    </row>
    <row r="1299" spans="2:7" x14ac:dyDescent="0.2">
      <c r="B1299" s="120" t="s">
        <v>2886</v>
      </c>
      <c r="C1299" s="121" t="s">
        <v>2887</v>
      </c>
      <c r="D1299" s="122" t="s">
        <v>3576</v>
      </c>
      <c r="E1299" s="122" t="s">
        <v>3667</v>
      </c>
      <c r="F1299" s="123">
        <v>0.18914381645215439</v>
      </c>
      <c r="G1299" s="123">
        <v>-6.258823529411757E-2</v>
      </c>
    </row>
    <row r="1300" spans="2:7" x14ac:dyDescent="0.2">
      <c r="B1300" s="120" t="s">
        <v>2888</v>
      </c>
      <c r="C1300" s="121" t="s">
        <v>2889</v>
      </c>
      <c r="D1300" s="122" t="s">
        <v>25</v>
      </c>
      <c r="E1300" s="122" t="s">
        <v>3694</v>
      </c>
      <c r="F1300" s="123">
        <v>7.3359073359073337E-2</v>
      </c>
      <c r="G1300" s="123">
        <v>8.2733812949640287E-2</v>
      </c>
    </row>
    <row r="1301" spans="2:7" x14ac:dyDescent="0.2">
      <c r="B1301" s="120" t="s">
        <v>2890</v>
      </c>
      <c r="C1301" s="121" t="s">
        <v>2891</v>
      </c>
      <c r="D1301" s="122" t="s">
        <v>3591</v>
      </c>
      <c r="E1301" s="122" t="s">
        <v>3643</v>
      </c>
      <c r="F1301" s="123">
        <v>-0.27152317880794696</v>
      </c>
      <c r="G1301" s="123">
        <v>0.38181818181818172</v>
      </c>
    </row>
    <row r="1302" spans="2:7" x14ac:dyDescent="0.2">
      <c r="B1302" s="120" t="s">
        <v>2892</v>
      </c>
      <c r="C1302" s="121" t="s">
        <v>2893</v>
      </c>
      <c r="D1302" s="122" t="s">
        <v>24</v>
      </c>
      <c r="E1302" s="122" t="s">
        <v>3633</v>
      </c>
      <c r="F1302" s="123">
        <v>2.9447852760736221E-2</v>
      </c>
      <c r="G1302" s="123">
        <v>3.9332538736591184E-2</v>
      </c>
    </row>
    <row r="1303" spans="2:7" x14ac:dyDescent="0.2">
      <c r="B1303" s="120" t="s">
        <v>2894</v>
      </c>
      <c r="C1303" s="121" t="s">
        <v>2895</v>
      </c>
      <c r="D1303" s="122" t="s">
        <v>3558</v>
      </c>
      <c r="E1303" s="122" t="s">
        <v>3737</v>
      </c>
      <c r="F1303" s="123">
        <v>-7.741935483870975E-2</v>
      </c>
      <c r="G1303" s="123">
        <v>1.3986013986014E-2</v>
      </c>
    </row>
    <row r="1304" spans="2:7" x14ac:dyDescent="0.2">
      <c r="B1304" s="120" t="s">
        <v>2896</v>
      </c>
      <c r="C1304" s="121" t="s">
        <v>2897</v>
      </c>
      <c r="D1304" s="122" t="s">
        <v>3556</v>
      </c>
      <c r="E1304" s="122" t="s">
        <v>3621</v>
      </c>
      <c r="F1304" s="123">
        <v>-0.64084507042253513</v>
      </c>
      <c r="G1304" s="123">
        <v>0.35947712418300654</v>
      </c>
    </row>
    <row r="1305" spans="2:7" x14ac:dyDescent="0.2">
      <c r="B1305" s="120" t="s">
        <v>2898</v>
      </c>
      <c r="C1305" s="121" t="s">
        <v>2899</v>
      </c>
      <c r="D1305" s="122" t="s">
        <v>25</v>
      </c>
      <c r="E1305" s="122" t="s">
        <v>3585</v>
      </c>
      <c r="F1305" s="123">
        <v>0.21621621621621614</v>
      </c>
      <c r="G1305" s="123">
        <v>0.12444444444444436</v>
      </c>
    </row>
    <row r="1306" spans="2:7" x14ac:dyDescent="0.2">
      <c r="B1306" s="120" t="s">
        <v>2900</v>
      </c>
      <c r="C1306" s="121" t="s">
        <v>2901</v>
      </c>
      <c r="D1306" s="122" t="s">
        <v>3561</v>
      </c>
      <c r="E1306" s="122" t="s">
        <v>3562</v>
      </c>
      <c r="F1306" s="123">
        <v>0.20939334637964763</v>
      </c>
      <c r="G1306" s="123">
        <v>5.8252427184466077E-2</v>
      </c>
    </row>
    <row r="1307" spans="2:7" x14ac:dyDescent="0.2">
      <c r="B1307" s="120" t="s">
        <v>2902</v>
      </c>
      <c r="C1307" s="121" t="s">
        <v>2903</v>
      </c>
      <c r="D1307" s="122" t="s">
        <v>3556</v>
      </c>
      <c r="E1307" s="122" t="s">
        <v>3586</v>
      </c>
      <c r="F1307" s="123">
        <v>-0.16844919786096266</v>
      </c>
      <c r="G1307" s="123">
        <v>0.14790996784565916</v>
      </c>
    </row>
    <row r="1308" spans="2:7" x14ac:dyDescent="0.2">
      <c r="B1308" s="120" t="s">
        <v>2904</v>
      </c>
      <c r="C1308" s="121" t="s">
        <v>2905</v>
      </c>
      <c r="D1308" s="122" t="s">
        <v>3612</v>
      </c>
      <c r="E1308" s="122" t="s">
        <v>3661</v>
      </c>
      <c r="F1308" s="123">
        <v>-7.9754601226993807E-2</v>
      </c>
      <c r="G1308" s="123">
        <v>0.3133333333333333</v>
      </c>
    </row>
    <row r="1309" spans="2:7" x14ac:dyDescent="0.2">
      <c r="B1309" s="120" t="s">
        <v>2906</v>
      </c>
      <c r="C1309" s="121" t="s">
        <v>2907</v>
      </c>
      <c r="D1309" s="122" t="s">
        <v>3576</v>
      </c>
      <c r="E1309" s="122" t="s">
        <v>3641</v>
      </c>
      <c r="F1309" s="123">
        <v>4.3835616438356206E-2</v>
      </c>
      <c r="G1309" s="123">
        <v>8.3989501312335915E-2</v>
      </c>
    </row>
    <row r="1310" spans="2:7" x14ac:dyDescent="0.2">
      <c r="B1310" s="120" t="s">
        <v>2908</v>
      </c>
      <c r="C1310" s="121" t="s">
        <v>2909</v>
      </c>
      <c r="D1310" s="122" t="s">
        <v>3576</v>
      </c>
      <c r="E1310" s="122" t="s">
        <v>3651</v>
      </c>
      <c r="F1310" s="123">
        <v>-0.23200000000000004</v>
      </c>
      <c r="G1310" s="123">
        <v>0.1354166666666668</v>
      </c>
    </row>
    <row r="1311" spans="2:7" x14ac:dyDescent="0.2">
      <c r="B1311" s="120" t="s">
        <v>2910</v>
      </c>
      <c r="C1311" s="121" t="s">
        <v>2911</v>
      </c>
      <c r="D1311" s="122" t="s">
        <v>3576</v>
      </c>
      <c r="E1311" s="122" t="s">
        <v>3619</v>
      </c>
      <c r="F1311" s="123">
        <v>2.6706231454005892E-2</v>
      </c>
      <c r="G1311" s="123">
        <v>7.2254335260115354E-3</v>
      </c>
    </row>
    <row r="1312" spans="2:7" x14ac:dyDescent="0.2">
      <c r="B1312" s="120" t="s">
        <v>2912</v>
      </c>
      <c r="C1312" s="121" t="s">
        <v>2913</v>
      </c>
      <c r="D1312" s="122" t="s">
        <v>3558</v>
      </c>
      <c r="E1312" s="122" t="s">
        <v>3665</v>
      </c>
      <c r="F1312" s="123">
        <v>7.3170731707317249E-2</v>
      </c>
      <c r="G1312" s="123">
        <v>6.8181818181818135E-2</v>
      </c>
    </row>
    <row r="1313" spans="2:7" x14ac:dyDescent="0.2">
      <c r="B1313" s="120" t="s">
        <v>2914</v>
      </c>
      <c r="C1313" s="121" t="s">
        <v>2915</v>
      </c>
      <c r="D1313" s="122" t="s">
        <v>3576</v>
      </c>
      <c r="E1313" s="122" t="s">
        <v>3609</v>
      </c>
      <c r="F1313" s="123">
        <v>0.20588235294117643</v>
      </c>
      <c r="G1313" s="123">
        <v>0.13821138211382109</v>
      </c>
    </row>
    <row r="1314" spans="2:7" x14ac:dyDescent="0.2">
      <c r="B1314" s="120" t="s">
        <v>2916</v>
      </c>
      <c r="C1314" s="121" t="s">
        <v>2917</v>
      </c>
      <c r="D1314" s="122" t="s">
        <v>3556</v>
      </c>
      <c r="E1314" s="122" t="s">
        <v>3630</v>
      </c>
      <c r="F1314" s="123">
        <v>-0.27906976744186057</v>
      </c>
      <c r="G1314" s="123">
        <v>1.8181818181818195E-2</v>
      </c>
    </row>
    <row r="1315" spans="2:7" x14ac:dyDescent="0.2">
      <c r="B1315" s="120" t="s">
        <v>2918</v>
      </c>
      <c r="C1315" s="121" t="s">
        <v>2919</v>
      </c>
      <c r="D1315" s="122" t="s">
        <v>3556</v>
      </c>
      <c r="E1315" s="122" t="s">
        <v>3733</v>
      </c>
      <c r="F1315" s="123">
        <v>-1.1235955056179785E-2</v>
      </c>
      <c r="G1315" s="123">
        <v>6.8181818181818121E-2</v>
      </c>
    </row>
    <row r="1316" spans="2:7" x14ac:dyDescent="0.2">
      <c r="B1316" s="120" t="s">
        <v>2920</v>
      </c>
      <c r="C1316" s="121" t="s">
        <v>2921</v>
      </c>
      <c r="D1316" s="122" t="s">
        <v>3576</v>
      </c>
      <c r="E1316" s="122" t="s">
        <v>3626</v>
      </c>
      <c r="F1316" s="123">
        <v>3.2258064516128941E-2</v>
      </c>
      <c r="G1316" s="123">
        <v>4.1666666666666706E-2</v>
      </c>
    </row>
    <row r="1317" spans="2:7" x14ac:dyDescent="0.2">
      <c r="B1317" s="120" t="s">
        <v>2922</v>
      </c>
      <c r="C1317" s="121" t="s">
        <v>2923</v>
      </c>
      <c r="D1317" s="122" t="s">
        <v>3594</v>
      </c>
      <c r="E1317" s="122" t="s">
        <v>3732</v>
      </c>
      <c r="F1317" s="123">
        <v>-4.4871794871794907E-2</v>
      </c>
      <c r="G1317" s="123">
        <v>-6.7114093959731603E-3</v>
      </c>
    </row>
    <row r="1318" spans="2:7" x14ac:dyDescent="0.2">
      <c r="B1318" s="120" t="s">
        <v>2924</v>
      </c>
      <c r="C1318" s="121" t="s">
        <v>2925</v>
      </c>
      <c r="D1318" s="122" t="s">
        <v>3594</v>
      </c>
      <c r="E1318" s="122" t="s">
        <v>3698</v>
      </c>
      <c r="F1318" s="123">
        <v>0.19363395225464192</v>
      </c>
      <c r="G1318" s="123">
        <v>8.66666666666666E-2</v>
      </c>
    </row>
    <row r="1319" spans="2:7" x14ac:dyDescent="0.2">
      <c r="B1319" s="120" t="s">
        <v>2926</v>
      </c>
      <c r="C1319" s="121" t="s">
        <v>2927</v>
      </c>
      <c r="D1319" s="122" t="s">
        <v>3582</v>
      </c>
      <c r="E1319" s="122" t="s">
        <v>3631</v>
      </c>
      <c r="F1319" s="123">
        <v>0.10084033613445388</v>
      </c>
      <c r="G1319" s="123">
        <v>3.8167938931297746E-2</v>
      </c>
    </row>
    <row r="1320" spans="2:7" x14ac:dyDescent="0.2">
      <c r="B1320" s="120" t="s">
        <v>2928</v>
      </c>
      <c r="C1320" s="121" t="s">
        <v>2929</v>
      </c>
      <c r="D1320" s="122" t="s">
        <v>3556</v>
      </c>
      <c r="E1320" s="122" t="s">
        <v>3616</v>
      </c>
      <c r="F1320" s="123">
        <v>0.25000000000000006</v>
      </c>
      <c r="G1320" s="123">
        <v>-0.5</v>
      </c>
    </row>
    <row r="1321" spans="2:7" x14ac:dyDescent="0.2">
      <c r="B1321" s="120" t="s">
        <v>2930</v>
      </c>
      <c r="C1321" s="121" t="s">
        <v>2931</v>
      </c>
      <c r="D1321" s="122" t="s">
        <v>3556</v>
      </c>
      <c r="E1321" s="122" t="s">
        <v>3586</v>
      </c>
      <c r="F1321" s="123">
        <v>-0.29357798165137616</v>
      </c>
      <c r="G1321" s="123">
        <v>0.23376623376623368</v>
      </c>
    </row>
    <row r="1322" spans="2:7" x14ac:dyDescent="0.2">
      <c r="B1322" s="120" t="s">
        <v>2932</v>
      </c>
      <c r="C1322" s="121" t="s">
        <v>2933</v>
      </c>
      <c r="D1322" s="122" t="s">
        <v>25</v>
      </c>
      <c r="E1322" s="122" t="s">
        <v>3792</v>
      </c>
      <c r="F1322" s="123">
        <v>3.8071065989847656E-2</v>
      </c>
      <c r="G1322" s="123">
        <v>5.1344743276283682E-2</v>
      </c>
    </row>
    <row r="1323" spans="2:7" x14ac:dyDescent="0.2">
      <c r="B1323" s="120" t="s">
        <v>2934</v>
      </c>
      <c r="C1323" s="121" t="s">
        <v>2935</v>
      </c>
      <c r="D1323" s="122" t="s">
        <v>3556</v>
      </c>
      <c r="E1323" s="122" t="s">
        <v>3630</v>
      </c>
      <c r="F1323" s="123">
        <v>0.61538461538461542</v>
      </c>
      <c r="G1323" s="123">
        <v>1</v>
      </c>
    </row>
    <row r="1324" spans="2:7" x14ac:dyDescent="0.2">
      <c r="B1324" s="120" t="s">
        <v>2936</v>
      </c>
      <c r="C1324" s="121" t="s">
        <v>2937</v>
      </c>
      <c r="D1324" s="122" t="s">
        <v>3561</v>
      </c>
      <c r="E1324" s="122" t="s">
        <v>3639</v>
      </c>
      <c r="F1324" s="123">
        <v>-0.12499999999999996</v>
      </c>
      <c r="G1324" s="123">
        <v>7.5187969924811929E-2</v>
      </c>
    </row>
    <row r="1325" spans="2:7" x14ac:dyDescent="0.2">
      <c r="B1325" s="120" t="s">
        <v>2938</v>
      </c>
      <c r="C1325" s="121" t="s">
        <v>2939</v>
      </c>
      <c r="D1325" s="122" t="s">
        <v>25</v>
      </c>
      <c r="E1325" s="122" t="s">
        <v>3735</v>
      </c>
      <c r="F1325" s="123">
        <v>-0.35024549918166942</v>
      </c>
      <c r="G1325" s="123">
        <v>4.785894206549117E-2</v>
      </c>
    </row>
    <row r="1326" spans="2:7" x14ac:dyDescent="0.2">
      <c r="B1326" s="120" t="s">
        <v>2940</v>
      </c>
      <c r="C1326" s="121" t="s">
        <v>2941</v>
      </c>
      <c r="D1326" s="122" t="s">
        <v>3569</v>
      </c>
      <c r="E1326" s="122" t="s">
        <v>3572</v>
      </c>
      <c r="F1326" s="123">
        <v>7.8947368421052586E-2</v>
      </c>
      <c r="G1326" s="123">
        <v>6.8292682926829329E-2</v>
      </c>
    </row>
    <row r="1327" spans="2:7" x14ac:dyDescent="0.2">
      <c r="B1327" s="120" t="s">
        <v>2942</v>
      </c>
      <c r="C1327" s="121" t="s">
        <v>2943</v>
      </c>
      <c r="D1327" s="122" t="s">
        <v>3612</v>
      </c>
      <c r="E1327" s="122" t="s">
        <v>3696</v>
      </c>
      <c r="F1327" s="123">
        <v>-0.12470023980815348</v>
      </c>
      <c r="G1327" s="123">
        <v>-5.4794520547945133E-2</v>
      </c>
    </row>
    <row r="1328" spans="2:7" x14ac:dyDescent="0.2">
      <c r="B1328" s="120" t="s">
        <v>2944</v>
      </c>
      <c r="C1328" s="121" t="s">
        <v>2945</v>
      </c>
      <c r="D1328" s="122" t="s">
        <v>3556</v>
      </c>
      <c r="E1328" s="122" t="s">
        <v>3579</v>
      </c>
      <c r="F1328" s="123">
        <v>0.15345268542199478</v>
      </c>
      <c r="G1328" s="123">
        <v>9.7560975609756184E-2</v>
      </c>
    </row>
    <row r="1329" spans="2:7" x14ac:dyDescent="0.2">
      <c r="B1329" s="120" t="s">
        <v>2946</v>
      </c>
      <c r="C1329" s="121" t="s">
        <v>2947</v>
      </c>
      <c r="D1329" s="122" t="s">
        <v>3569</v>
      </c>
      <c r="E1329" s="122" t="s">
        <v>3572</v>
      </c>
      <c r="F1329" s="123">
        <v>0.3529411764705882</v>
      </c>
      <c r="G1329" s="123">
        <v>0.43478260869565216</v>
      </c>
    </row>
    <row r="1330" spans="2:7" x14ac:dyDescent="0.2">
      <c r="B1330" s="120" t="s">
        <v>2948</v>
      </c>
      <c r="C1330" s="121" t="s">
        <v>2949</v>
      </c>
      <c r="D1330" s="122" t="s">
        <v>3576</v>
      </c>
      <c r="E1330" s="122" t="s">
        <v>3671</v>
      </c>
      <c r="F1330" s="123">
        <v>9.5628415300546346E-2</v>
      </c>
      <c r="G1330" s="123">
        <v>7.4812967581048004E-3</v>
      </c>
    </row>
    <row r="1331" spans="2:7" x14ac:dyDescent="0.2">
      <c r="B1331" s="120" t="s">
        <v>2950</v>
      </c>
      <c r="C1331" s="121" t="s">
        <v>2951</v>
      </c>
      <c r="D1331" s="122" t="s">
        <v>3556</v>
      </c>
      <c r="E1331" s="122" t="s">
        <v>3723</v>
      </c>
      <c r="F1331" s="123">
        <v>0.1474785918173169</v>
      </c>
      <c r="G1331" s="123">
        <v>5.8043117744610219E-2</v>
      </c>
    </row>
    <row r="1332" spans="2:7" x14ac:dyDescent="0.2">
      <c r="B1332" s="120" t="s">
        <v>2952</v>
      </c>
      <c r="C1332" s="121" t="s">
        <v>2953</v>
      </c>
      <c r="D1332" s="122" t="s">
        <v>3569</v>
      </c>
      <c r="E1332" s="122" t="s">
        <v>3570</v>
      </c>
      <c r="F1332" s="123">
        <v>5.1612903225806354E-2</v>
      </c>
      <c r="G1332" s="123">
        <v>8.5889570552147326E-2</v>
      </c>
    </row>
    <row r="1333" spans="2:7" x14ac:dyDescent="0.2">
      <c r="B1333" s="120" t="s">
        <v>2954</v>
      </c>
      <c r="C1333" s="121" t="s">
        <v>2955</v>
      </c>
      <c r="D1333" s="122" t="s">
        <v>3591</v>
      </c>
      <c r="E1333" s="122" t="s">
        <v>3592</v>
      </c>
      <c r="F1333" s="123">
        <v>-3.2786885245900941E-3</v>
      </c>
      <c r="G1333" s="123">
        <v>3.9473684210526348E-2</v>
      </c>
    </row>
    <row r="1334" spans="2:7" x14ac:dyDescent="0.2">
      <c r="B1334" s="120" t="s">
        <v>2956</v>
      </c>
      <c r="C1334" s="121" t="s">
        <v>2957</v>
      </c>
      <c r="D1334" s="122" t="s">
        <v>3582</v>
      </c>
      <c r="E1334" s="122" t="s">
        <v>3728</v>
      </c>
      <c r="F1334" s="123">
        <v>-9.708737864077667E-2</v>
      </c>
      <c r="G1334" s="123">
        <v>0.13978494623655913</v>
      </c>
    </row>
    <row r="1335" spans="2:7" x14ac:dyDescent="0.2">
      <c r="B1335" s="120" t="s">
        <v>2958</v>
      </c>
      <c r="C1335" s="121" t="s">
        <v>2959</v>
      </c>
      <c r="D1335" s="122" t="s">
        <v>3594</v>
      </c>
      <c r="E1335" s="122" t="s">
        <v>3602</v>
      </c>
      <c r="F1335" s="123">
        <v>-0.14465408805031443</v>
      </c>
      <c r="G1335" s="123">
        <v>-0.2720588235294118</v>
      </c>
    </row>
    <row r="1336" spans="2:7" x14ac:dyDescent="0.2">
      <c r="B1336" s="120" t="s">
        <v>2960</v>
      </c>
      <c r="C1336" s="121" t="s">
        <v>2961</v>
      </c>
      <c r="D1336" s="122" t="s">
        <v>3558</v>
      </c>
      <c r="E1336" s="122" t="s">
        <v>3644</v>
      </c>
      <c r="F1336" s="123">
        <v>6.8862275449101798E-2</v>
      </c>
      <c r="G1336" s="123">
        <v>3.9215686274509838E-2</v>
      </c>
    </row>
    <row r="1337" spans="2:7" x14ac:dyDescent="0.2">
      <c r="B1337" s="120" t="s">
        <v>2962</v>
      </c>
      <c r="C1337" s="121" t="s">
        <v>2963</v>
      </c>
      <c r="D1337" s="122" t="s">
        <v>3569</v>
      </c>
      <c r="E1337" s="122" t="s">
        <v>3574</v>
      </c>
      <c r="F1337" s="123">
        <v>6.5359477124182913E-2</v>
      </c>
      <c r="G1337" s="123">
        <v>0.18404907975460127</v>
      </c>
    </row>
    <row r="1338" spans="2:7" x14ac:dyDescent="0.2">
      <c r="B1338" s="120" t="s">
        <v>2964</v>
      </c>
      <c r="C1338" s="121" t="s">
        <v>2965</v>
      </c>
      <c r="D1338" s="122" t="s">
        <v>3594</v>
      </c>
      <c r="E1338" s="122" t="s">
        <v>3647</v>
      </c>
      <c r="F1338" s="123">
        <v>-0.44999999999999996</v>
      </c>
      <c r="G1338" s="123">
        <v>0.21818181818181814</v>
      </c>
    </row>
    <row r="1339" spans="2:7" x14ac:dyDescent="0.2">
      <c r="B1339" s="120" t="s">
        <v>2966</v>
      </c>
      <c r="C1339" s="121" t="s">
        <v>2967</v>
      </c>
      <c r="D1339" s="122" t="s">
        <v>3576</v>
      </c>
      <c r="E1339" s="122" t="s">
        <v>3584</v>
      </c>
      <c r="F1339" s="123">
        <v>1.2366034624896832E-2</v>
      </c>
      <c r="G1339" s="123">
        <v>3.3387622149837148E-2</v>
      </c>
    </row>
    <row r="1340" spans="2:7" x14ac:dyDescent="0.2">
      <c r="B1340" s="120" t="s">
        <v>2968</v>
      </c>
      <c r="C1340" s="121" t="s">
        <v>2969</v>
      </c>
      <c r="D1340" s="122" t="s">
        <v>3582</v>
      </c>
      <c r="E1340" s="122" t="s">
        <v>3664</v>
      </c>
      <c r="F1340" s="123">
        <v>8.7367178276269206E-2</v>
      </c>
      <c r="G1340" s="123">
        <v>0.10097719869706837</v>
      </c>
    </row>
    <row r="1341" spans="2:7" x14ac:dyDescent="0.2">
      <c r="B1341" s="120" t="s">
        <v>2970</v>
      </c>
      <c r="C1341" s="121" t="s">
        <v>2971</v>
      </c>
      <c r="D1341" s="122" t="s">
        <v>3556</v>
      </c>
      <c r="E1341" s="122" t="s">
        <v>3630</v>
      </c>
      <c r="F1341" s="123">
        <v>0.58974358974358987</v>
      </c>
      <c r="G1341" s="123">
        <v>0.24193548387096769</v>
      </c>
    </row>
    <row r="1342" spans="2:7" x14ac:dyDescent="0.2">
      <c r="B1342" s="120" t="s">
        <v>2972</v>
      </c>
      <c r="C1342" s="121" t="s">
        <v>2973</v>
      </c>
      <c r="D1342" s="122" t="s">
        <v>3582</v>
      </c>
      <c r="E1342" s="122" t="s">
        <v>3631</v>
      </c>
      <c r="F1342" s="123">
        <v>0.34957020057306593</v>
      </c>
      <c r="G1342" s="123">
        <v>0.32599118942731276</v>
      </c>
    </row>
    <row r="1343" spans="2:7" x14ac:dyDescent="0.2">
      <c r="B1343" s="120" t="s">
        <v>2974</v>
      </c>
      <c r="C1343" s="121" t="s">
        <v>2975</v>
      </c>
      <c r="D1343" s="122" t="s">
        <v>3605</v>
      </c>
      <c r="E1343" s="122" t="s">
        <v>3606</v>
      </c>
      <c r="F1343" s="123">
        <v>0.10161290322580643</v>
      </c>
      <c r="G1343" s="123">
        <v>0.13616398243045383</v>
      </c>
    </row>
    <row r="1344" spans="2:7" x14ac:dyDescent="0.2">
      <c r="B1344" s="120" t="s">
        <v>2976</v>
      </c>
      <c r="C1344" s="121" t="s">
        <v>2977</v>
      </c>
      <c r="D1344" s="122" t="s">
        <v>3580</v>
      </c>
      <c r="E1344" s="122" t="s">
        <v>3581</v>
      </c>
      <c r="F1344" s="123">
        <v>-6.2305295950155822E-3</v>
      </c>
      <c r="G1344" s="123">
        <v>8.1504702194357445E-2</v>
      </c>
    </row>
    <row r="1345" spans="2:7" x14ac:dyDescent="0.2">
      <c r="B1345" s="120" t="s">
        <v>2978</v>
      </c>
      <c r="C1345" s="121" t="s">
        <v>2979</v>
      </c>
      <c r="D1345" s="122" t="s">
        <v>3556</v>
      </c>
      <c r="E1345" s="122" t="s">
        <v>3630</v>
      </c>
      <c r="F1345" s="123">
        <v>0.67391304347826086</v>
      </c>
      <c r="G1345" s="123">
        <v>0.40259740259740268</v>
      </c>
    </row>
    <row r="1346" spans="2:7" x14ac:dyDescent="0.2">
      <c r="B1346" s="120" t="s">
        <v>2980</v>
      </c>
      <c r="C1346" s="121" t="s">
        <v>2981</v>
      </c>
      <c r="D1346" s="122" t="s">
        <v>3594</v>
      </c>
      <c r="E1346" s="122" t="s">
        <v>3698</v>
      </c>
      <c r="F1346" s="123">
        <v>-0.33139534883720934</v>
      </c>
      <c r="G1346" s="123">
        <v>0.15652173913043493</v>
      </c>
    </row>
    <row r="1347" spans="2:7" x14ac:dyDescent="0.2">
      <c r="B1347" s="120" t="s">
        <v>2982</v>
      </c>
      <c r="C1347" s="121" t="s">
        <v>2983</v>
      </c>
      <c r="D1347" s="122" t="s">
        <v>24</v>
      </c>
      <c r="E1347" s="122" t="s">
        <v>3793</v>
      </c>
      <c r="F1347" s="123">
        <v>0.20610687022900764</v>
      </c>
      <c r="G1347" s="123">
        <v>0.43037974683544283</v>
      </c>
    </row>
    <row r="1348" spans="2:7" x14ac:dyDescent="0.2">
      <c r="B1348" s="120" t="s">
        <v>2984</v>
      </c>
      <c r="C1348" s="121" t="s">
        <v>2985</v>
      </c>
      <c r="D1348" s="122" t="s">
        <v>3591</v>
      </c>
      <c r="E1348" s="122" t="s">
        <v>3643</v>
      </c>
      <c r="F1348" s="123">
        <v>1.0781671159029659E-2</v>
      </c>
      <c r="G1348" s="123">
        <v>2.9333333333333302E-2</v>
      </c>
    </row>
    <row r="1349" spans="2:7" x14ac:dyDescent="0.2">
      <c r="B1349" s="120" t="s">
        <v>2986</v>
      </c>
      <c r="C1349" s="121" t="s">
        <v>2987</v>
      </c>
      <c r="D1349" s="122" t="s">
        <v>3576</v>
      </c>
      <c r="E1349" s="122" t="s">
        <v>3577</v>
      </c>
      <c r="F1349" s="123">
        <v>-0.12234042553191489</v>
      </c>
      <c r="G1349" s="123">
        <v>-5.7575757575757565E-2</v>
      </c>
    </row>
    <row r="1350" spans="2:7" x14ac:dyDescent="0.2">
      <c r="B1350" s="120" t="s">
        <v>2988</v>
      </c>
      <c r="C1350" s="121" t="s">
        <v>2989</v>
      </c>
      <c r="D1350" s="122" t="s">
        <v>3582</v>
      </c>
      <c r="E1350" s="122" t="s">
        <v>3707</v>
      </c>
      <c r="F1350" s="123">
        <v>-0.40732265446224258</v>
      </c>
      <c r="G1350" s="123">
        <v>0.19691119691119702</v>
      </c>
    </row>
    <row r="1351" spans="2:7" x14ac:dyDescent="0.2">
      <c r="B1351" s="120" t="s">
        <v>2990</v>
      </c>
      <c r="C1351" s="121" t="s">
        <v>2991</v>
      </c>
      <c r="D1351" s="122" t="s">
        <v>3591</v>
      </c>
      <c r="E1351" s="122" t="s">
        <v>3643</v>
      </c>
      <c r="F1351" s="123">
        <v>9.523809523809533E-2</v>
      </c>
      <c r="G1351" s="123">
        <v>0.17056856187290961</v>
      </c>
    </row>
    <row r="1352" spans="2:7" x14ac:dyDescent="0.2">
      <c r="B1352" s="120" t="s">
        <v>2992</v>
      </c>
      <c r="C1352" s="121" t="s">
        <v>2993</v>
      </c>
      <c r="D1352" s="122" t="s">
        <v>3569</v>
      </c>
      <c r="E1352" s="122" t="s">
        <v>3575</v>
      </c>
      <c r="F1352" s="123">
        <v>-2.9071038251366121</v>
      </c>
      <c r="G1352" s="123">
        <v>0.3580419580419581</v>
      </c>
    </row>
    <row r="1353" spans="2:7" x14ac:dyDescent="0.2">
      <c r="B1353" s="120" t="s">
        <v>2994</v>
      </c>
      <c r="C1353" s="121" t="s">
        <v>2995</v>
      </c>
      <c r="D1353" s="122" t="s">
        <v>3580</v>
      </c>
      <c r="E1353" s="122" t="s">
        <v>3649</v>
      </c>
      <c r="F1353" s="123">
        <v>-0.10784313725490198</v>
      </c>
      <c r="G1353" s="123">
        <v>0.19413919413919406</v>
      </c>
    </row>
    <row r="1354" spans="2:7" x14ac:dyDescent="0.2">
      <c r="B1354" s="120" t="s">
        <v>2996</v>
      </c>
      <c r="C1354" s="121" t="s">
        <v>2997</v>
      </c>
      <c r="D1354" s="122" t="s">
        <v>24</v>
      </c>
      <c r="E1354" s="122" t="s">
        <v>3713</v>
      </c>
      <c r="F1354" s="123">
        <v>0.19374999999999989</v>
      </c>
      <c r="G1354" s="123">
        <v>0.24083769633507865</v>
      </c>
    </row>
    <row r="1355" spans="2:7" x14ac:dyDescent="0.2">
      <c r="B1355" s="120" t="s">
        <v>2998</v>
      </c>
      <c r="C1355" s="121" t="s">
        <v>2999</v>
      </c>
      <c r="D1355" s="122" t="s">
        <v>3556</v>
      </c>
      <c r="E1355" s="122" t="s">
        <v>3757</v>
      </c>
      <c r="F1355" s="123">
        <v>0.30232558139534899</v>
      </c>
      <c r="G1355" s="123">
        <v>0.16071428571428564</v>
      </c>
    </row>
    <row r="1356" spans="2:7" x14ac:dyDescent="0.2">
      <c r="B1356" s="120" t="s">
        <v>3000</v>
      </c>
      <c r="C1356" s="121" t="s">
        <v>3001</v>
      </c>
      <c r="D1356" s="122" t="s">
        <v>3612</v>
      </c>
      <c r="E1356" s="122" t="s">
        <v>3669</v>
      </c>
      <c r="F1356" s="123">
        <v>-7.7205882352941319E-2</v>
      </c>
      <c r="G1356" s="123">
        <v>-1</v>
      </c>
    </row>
    <row r="1357" spans="2:7" x14ac:dyDescent="0.2">
      <c r="B1357" s="120" t="s">
        <v>3002</v>
      </c>
      <c r="C1357" s="121" t="s">
        <v>3003</v>
      </c>
      <c r="D1357" s="122" t="s">
        <v>3556</v>
      </c>
      <c r="E1357" s="122" t="s">
        <v>3579</v>
      </c>
      <c r="F1357" s="123">
        <v>0.3014184397163121</v>
      </c>
      <c r="G1357" s="123">
        <v>8.4468664850136252E-2</v>
      </c>
    </row>
    <row r="1358" spans="2:7" x14ac:dyDescent="0.2">
      <c r="B1358" s="120" t="s">
        <v>3004</v>
      </c>
      <c r="C1358" s="121" t="s">
        <v>3005</v>
      </c>
      <c r="D1358" s="122" t="s">
        <v>3576</v>
      </c>
      <c r="E1358" s="122" t="s">
        <v>3593</v>
      </c>
      <c r="F1358" s="123">
        <v>2.339285714285714</v>
      </c>
      <c r="G1358" s="123">
        <v>0.29946524064171126</v>
      </c>
    </row>
    <row r="1359" spans="2:7" x14ac:dyDescent="0.2">
      <c r="B1359" s="120" t="s">
        <v>3006</v>
      </c>
      <c r="C1359" s="121" t="s">
        <v>3007</v>
      </c>
      <c r="D1359" s="122" t="s">
        <v>3556</v>
      </c>
      <c r="E1359" s="122" t="s">
        <v>3794</v>
      </c>
      <c r="F1359" s="123">
        <v>2.7173913043477679E-3</v>
      </c>
      <c r="G1359" s="123">
        <v>8.1300813008130149E-2</v>
      </c>
    </row>
    <row r="1360" spans="2:7" x14ac:dyDescent="0.2">
      <c r="B1360" s="120" t="s">
        <v>3008</v>
      </c>
      <c r="C1360" s="121" t="s">
        <v>3009</v>
      </c>
      <c r="D1360" s="122" t="s">
        <v>3576</v>
      </c>
      <c r="E1360" s="122" t="s">
        <v>3619</v>
      </c>
      <c r="F1360" s="123">
        <v>2.2471910112359571E-2</v>
      </c>
      <c r="G1360" s="123">
        <v>3.8461538461538373E-2</v>
      </c>
    </row>
    <row r="1361" spans="2:7" x14ac:dyDescent="0.2">
      <c r="B1361" s="120" t="s">
        <v>3010</v>
      </c>
      <c r="C1361" s="121" t="s">
        <v>3011</v>
      </c>
      <c r="D1361" s="122" t="s">
        <v>3569</v>
      </c>
      <c r="E1361" s="122" t="s">
        <v>3574</v>
      </c>
      <c r="F1361" s="123">
        <v>0.13987473903966596</v>
      </c>
      <c r="G1361" s="123">
        <v>9.523809523809533E-2</v>
      </c>
    </row>
    <row r="1362" spans="2:7" x14ac:dyDescent="0.2">
      <c r="B1362" s="120" t="s">
        <v>3012</v>
      </c>
      <c r="C1362" s="121" t="s">
        <v>3013</v>
      </c>
      <c r="D1362" s="122" t="s">
        <v>3576</v>
      </c>
      <c r="E1362" s="122" t="s">
        <v>3654</v>
      </c>
      <c r="F1362" s="123">
        <v>-3.8260869565217348E-2</v>
      </c>
      <c r="G1362" s="123">
        <v>-2.5316455696202632E-2</v>
      </c>
    </row>
    <row r="1363" spans="2:7" x14ac:dyDescent="0.2">
      <c r="B1363" s="120" t="s">
        <v>3014</v>
      </c>
      <c r="C1363" s="121" t="s">
        <v>3015</v>
      </c>
      <c r="D1363" s="122" t="s">
        <v>3576</v>
      </c>
      <c r="E1363" s="122" t="s">
        <v>3646</v>
      </c>
      <c r="F1363" s="123">
        <v>7.1065989847715685E-2</v>
      </c>
      <c r="G1363" s="123">
        <v>7.1090047393364886E-2</v>
      </c>
    </row>
    <row r="1364" spans="2:7" x14ac:dyDescent="0.2">
      <c r="B1364" s="120" t="s">
        <v>3016</v>
      </c>
      <c r="C1364" s="121" t="s">
        <v>3017</v>
      </c>
      <c r="D1364" s="122" t="s">
        <v>3594</v>
      </c>
      <c r="E1364" s="122" t="s">
        <v>3754</v>
      </c>
      <c r="F1364" s="123">
        <v>-0.41774491682070242</v>
      </c>
      <c r="G1364" s="123">
        <v>-7.9365079365079361E-2</v>
      </c>
    </row>
    <row r="1365" spans="2:7" x14ac:dyDescent="0.2">
      <c r="B1365" s="120" t="s">
        <v>3018</v>
      </c>
      <c r="C1365" s="121" t="s">
        <v>3019</v>
      </c>
      <c r="D1365" s="122" t="s">
        <v>3556</v>
      </c>
      <c r="E1365" s="122" t="s">
        <v>3764</v>
      </c>
      <c r="F1365" s="123">
        <v>-0.26618705035971219</v>
      </c>
      <c r="G1365" s="123">
        <v>0.18627450980392152</v>
      </c>
    </row>
    <row r="1366" spans="2:7" x14ac:dyDescent="0.2">
      <c r="B1366" s="120" t="s">
        <v>3020</v>
      </c>
      <c r="C1366" s="121" t="s">
        <v>3021</v>
      </c>
      <c r="D1366" s="122" t="s">
        <v>3556</v>
      </c>
      <c r="E1366" s="122" t="s">
        <v>3630</v>
      </c>
      <c r="F1366" s="123">
        <v>1.28125</v>
      </c>
      <c r="G1366" s="123">
        <v>0.43835616438356173</v>
      </c>
    </row>
    <row r="1367" spans="2:7" x14ac:dyDescent="0.2">
      <c r="B1367" s="120" t="s">
        <v>3022</v>
      </c>
      <c r="C1367" s="121" t="s">
        <v>3023</v>
      </c>
      <c r="D1367" s="122" t="s">
        <v>3576</v>
      </c>
      <c r="E1367" s="122" t="s">
        <v>3584</v>
      </c>
      <c r="F1367" s="123">
        <v>3.825136612021849E-2</v>
      </c>
      <c r="G1367" s="123">
        <v>6.8421052631578896E-2</v>
      </c>
    </row>
    <row r="1368" spans="2:7" x14ac:dyDescent="0.2">
      <c r="B1368" s="120" t="s">
        <v>3024</v>
      </c>
      <c r="C1368" s="121" t="s">
        <v>3025</v>
      </c>
      <c r="D1368" s="122" t="s">
        <v>25</v>
      </c>
      <c r="E1368" s="122" t="s">
        <v>3659</v>
      </c>
      <c r="F1368" s="123">
        <v>0.43722943722943713</v>
      </c>
      <c r="G1368" s="123">
        <v>0.121987951807229</v>
      </c>
    </row>
    <row r="1369" spans="2:7" x14ac:dyDescent="0.2">
      <c r="B1369" s="120" t="s">
        <v>3026</v>
      </c>
      <c r="C1369" s="121" t="s">
        <v>3027</v>
      </c>
      <c r="D1369" s="122" t="s">
        <v>3576</v>
      </c>
      <c r="E1369" s="122" t="s">
        <v>3654</v>
      </c>
      <c r="F1369" s="123">
        <v>-0.20746887966804978</v>
      </c>
      <c r="G1369" s="123">
        <v>8.551483420593356E-2</v>
      </c>
    </row>
    <row r="1370" spans="2:7" x14ac:dyDescent="0.2">
      <c r="B1370" s="120" t="s">
        <v>3028</v>
      </c>
      <c r="C1370" s="121" t="s">
        <v>3029</v>
      </c>
      <c r="D1370" s="122" t="s">
        <v>3576</v>
      </c>
      <c r="E1370" s="122" t="s">
        <v>3600</v>
      </c>
      <c r="F1370" s="123">
        <v>-0.15137614678899083</v>
      </c>
      <c r="G1370" s="123">
        <v>0.16216216216216206</v>
      </c>
    </row>
    <row r="1371" spans="2:7" x14ac:dyDescent="0.2">
      <c r="B1371" s="120" t="s">
        <v>3030</v>
      </c>
      <c r="C1371" s="121" t="s">
        <v>3031</v>
      </c>
      <c r="D1371" s="122" t="s">
        <v>3556</v>
      </c>
      <c r="E1371" s="122" t="s">
        <v>3783</v>
      </c>
      <c r="F1371" s="123">
        <v>-0.10041841004184109</v>
      </c>
      <c r="G1371" s="123">
        <v>0.19069767441860472</v>
      </c>
    </row>
    <row r="1372" spans="2:7" x14ac:dyDescent="0.2">
      <c r="B1372" s="120" t="s">
        <v>3032</v>
      </c>
      <c r="C1372" s="121" t="s">
        <v>3033</v>
      </c>
      <c r="D1372" s="122" t="s">
        <v>24</v>
      </c>
      <c r="E1372" s="122" t="s">
        <v>3573</v>
      </c>
      <c r="F1372" s="123">
        <v>-8.7431693989071108E-2</v>
      </c>
      <c r="G1372" s="123">
        <v>0.10898203592814373</v>
      </c>
    </row>
    <row r="1373" spans="2:7" x14ac:dyDescent="0.2">
      <c r="B1373" s="120" t="s">
        <v>3034</v>
      </c>
      <c r="C1373" s="121" t="s">
        <v>3035</v>
      </c>
      <c r="D1373" s="122" t="s">
        <v>3612</v>
      </c>
      <c r="E1373" s="122" t="s">
        <v>3724</v>
      </c>
      <c r="F1373" s="123">
        <v>0.11363636363636363</v>
      </c>
      <c r="G1373" s="123">
        <v>-8.9795918367347016E-2</v>
      </c>
    </row>
    <row r="1374" spans="2:7" x14ac:dyDescent="0.2">
      <c r="B1374" s="120" t="s">
        <v>3036</v>
      </c>
      <c r="C1374" s="121" t="s">
        <v>3037</v>
      </c>
      <c r="D1374" s="122" t="s">
        <v>3612</v>
      </c>
      <c r="E1374" s="122" t="s">
        <v>3661</v>
      </c>
      <c r="F1374" s="123">
        <v>-0.64814814814814814</v>
      </c>
      <c r="G1374" s="123">
        <v>1.5789473684210527</v>
      </c>
    </row>
    <row r="1375" spans="2:7" x14ac:dyDescent="0.2">
      <c r="B1375" s="120" t="s">
        <v>3038</v>
      </c>
      <c r="C1375" s="121" t="s">
        <v>3039</v>
      </c>
      <c r="D1375" s="122" t="s">
        <v>3576</v>
      </c>
      <c r="E1375" s="122" t="s">
        <v>3689</v>
      </c>
      <c r="F1375" s="123">
        <v>2.0408163265306142E-2</v>
      </c>
      <c r="G1375" s="123">
        <v>2.0000000000000018E-2</v>
      </c>
    </row>
    <row r="1376" spans="2:7" x14ac:dyDescent="0.2">
      <c r="B1376" s="120" t="s">
        <v>3040</v>
      </c>
      <c r="C1376" s="121" t="s">
        <v>3041</v>
      </c>
      <c r="D1376" s="122" t="s">
        <v>3576</v>
      </c>
      <c r="E1376" s="122" t="s">
        <v>3577</v>
      </c>
      <c r="F1376" s="123">
        <v>6.3180827886710256E-2</v>
      </c>
      <c r="G1376" s="123">
        <v>8.6065573770491788E-2</v>
      </c>
    </row>
    <row r="1377" spans="2:7" x14ac:dyDescent="0.2">
      <c r="B1377" s="120" t="s">
        <v>3042</v>
      </c>
      <c r="C1377" s="121" t="s">
        <v>3043</v>
      </c>
      <c r="D1377" s="122" t="s">
        <v>3612</v>
      </c>
      <c r="E1377" s="122" t="s">
        <v>3785</v>
      </c>
      <c r="F1377" s="123">
        <v>1.0214285714285716</v>
      </c>
      <c r="G1377" s="123">
        <v>-4.5936395759717273E-2</v>
      </c>
    </row>
    <row r="1378" spans="2:7" x14ac:dyDescent="0.2">
      <c r="B1378" s="120" t="s">
        <v>3044</v>
      </c>
      <c r="C1378" s="121" t="s">
        <v>3045</v>
      </c>
      <c r="D1378" s="122" t="s">
        <v>3556</v>
      </c>
      <c r="E1378" s="122" t="s">
        <v>3764</v>
      </c>
      <c r="F1378" s="123">
        <v>-0.24011299435028252</v>
      </c>
      <c r="G1378" s="123">
        <v>2.6022304832713696E-2</v>
      </c>
    </row>
    <row r="1379" spans="2:7" x14ac:dyDescent="0.2">
      <c r="B1379" s="120" t="s">
        <v>3046</v>
      </c>
      <c r="C1379" s="121" t="s">
        <v>3047</v>
      </c>
      <c r="D1379" s="122" t="s">
        <v>3594</v>
      </c>
      <c r="E1379" s="122" t="s">
        <v>3732</v>
      </c>
      <c r="F1379" s="123">
        <v>-0.26666666666666666</v>
      </c>
      <c r="G1379" s="123">
        <v>4.5454545454545497E-2</v>
      </c>
    </row>
    <row r="1380" spans="2:7" x14ac:dyDescent="0.2">
      <c r="B1380" s="120" t="s">
        <v>3048</v>
      </c>
      <c r="C1380" s="121" t="s">
        <v>3049</v>
      </c>
      <c r="D1380" s="122" t="s">
        <v>3582</v>
      </c>
      <c r="E1380" s="122" t="s">
        <v>3631</v>
      </c>
      <c r="F1380" s="123">
        <v>0.625</v>
      </c>
      <c r="G1380" s="123">
        <v>0.76923076923076927</v>
      </c>
    </row>
    <row r="1381" spans="2:7" x14ac:dyDescent="0.2">
      <c r="B1381" s="120" t="s">
        <v>3050</v>
      </c>
      <c r="C1381" s="121" t="s">
        <v>3051</v>
      </c>
      <c r="D1381" s="122" t="s">
        <v>3556</v>
      </c>
      <c r="E1381" s="122" t="s">
        <v>3630</v>
      </c>
      <c r="F1381" s="123">
        <v>0.41379310344827586</v>
      </c>
      <c r="G1381" s="123">
        <v>0.14634146341463414</v>
      </c>
    </row>
    <row r="1382" spans="2:7" x14ac:dyDescent="0.2">
      <c r="B1382" s="120" t="s">
        <v>3052</v>
      </c>
      <c r="C1382" s="121" t="s">
        <v>3053</v>
      </c>
      <c r="D1382" s="122" t="s">
        <v>3558</v>
      </c>
      <c r="E1382" s="122" t="s">
        <v>3774</v>
      </c>
      <c r="F1382" s="123">
        <v>5.4054054054053988E-2</v>
      </c>
      <c r="G1382" s="123">
        <v>9.2074592074591968E-2</v>
      </c>
    </row>
    <row r="1383" spans="2:7" x14ac:dyDescent="0.2">
      <c r="B1383" s="120" t="s">
        <v>3054</v>
      </c>
      <c r="C1383" s="121" t="s">
        <v>3055</v>
      </c>
      <c r="D1383" s="122" t="s">
        <v>3556</v>
      </c>
      <c r="E1383" s="122" t="s">
        <v>3786</v>
      </c>
      <c r="F1383" s="123">
        <v>-0.14583333333333331</v>
      </c>
      <c r="G1383" s="123">
        <v>1.6260162601625669E-3</v>
      </c>
    </row>
    <row r="1384" spans="2:7" x14ac:dyDescent="0.2">
      <c r="B1384" s="120" t="s">
        <v>3056</v>
      </c>
      <c r="C1384" s="121" t="s">
        <v>3057</v>
      </c>
      <c r="D1384" s="122" t="s">
        <v>3561</v>
      </c>
      <c r="E1384" s="122" t="s">
        <v>3562</v>
      </c>
      <c r="F1384" s="123">
        <v>1.6376811594202902</v>
      </c>
      <c r="G1384" s="123">
        <v>-0.56043956043956045</v>
      </c>
    </row>
    <row r="1385" spans="2:7" x14ac:dyDescent="0.2">
      <c r="B1385" s="120" t="s">
        <v>3058</v>
      </c>
      <c r="C1385" s="121" t="s">
        <v>3059</v>
      </c>
      <c r="D1385" s="122" t="s">
        <v>3591</v>
      </c>
      <c r="E1385" s="122" t="s">
        <v>3643</v>
      </c>
      <c r="F1385" s="123">
        <v>2.6315789473684237E-2</v>
      </c>
      <c r="G1385" s="123">
        <v>8.205128205128201E-2</v>
      </c>
    </row>
    <row r="1386" spans="2:7" x14ac:dyDescent="0.2">
      <c r="B1386" s="120" t="s">
        <v>3060</v>
      </c>
      <c r="C1386" s="121" t="s">
        <v>3061</v>
      </c>
      <c r="D1386" s="122" t="s">
        <v>3576</v>
      </c>
      <c r="E1386" s="122" t="s">
        <v>3651</v>
      </c>
      <c r="F1386" s="123">
        <v>0.17597765363128487</v>
      </c>
      <c r="G1386" s="123">
        <v>0.11163895486935861</v>
      </c>
    </row>
    <row r="1387" spans="2:7" x14ac:dyDescent="0.2">
      <c r="B1387" s="120" t="s">
        <v>3062</v>
      </c>
      <c r="C1387" s="121" t="s">
        <v>3063</v>
      </c>
      <c r="D1387" s="122" t="s">
        <v>3569</v>
      </c>
      <c r="E1387" s="122" t="s">
        <v>3572</v>
      </c>
      <c r="F1387" s="123">
        <v>0.12774725274725282</v>
      </c>
      <c r="G1387" s="123">
        <v>9.7442143727161853E-2</v>
      </c>
    </row>
    <row r="1388" spans="2:7" x14ac:dyDescent="0.2">
      <c r="B1388" s="120" t="s">
        <v>3064</v>
      </c>
      <c r="C1388" s="121" t="s">
        <v>3065</v>
      </c>
      <c r="D1388" s="122" t="s">
        <v>3556</v>
      </c>
      <c r="E1388" s="122" t="s">
        <v>3579</v>
      </c>
      <c r="F1388" s="123">
        <v>8.1761006289308102E-2</v>
      </c>
      <c r="G1388" s="123">
        <v>3.4883720930232592E-2</v>
      </c>
    </row>
    <row r="1389" spans="2:7" x14ac:dyDescent="0.2">
      <c r="B1389" s="120" t="s">
        <v>3066</v>
      </c>
      <c r="C1389" s="121" t="s">
        <v>3067</v>
      </c>
      <c r="D1389" s="122" t="s">
        <v>3569</v>
      </c>
      <c r="E1389" s="122" t="s">
        <v>3697</v>
      </c>
      <c r="F1389" s="123">
        <v>0.16117216117216115</v>
      </c>
      <c r="G1389" s="123">
        <v>0.14511041009463721</v>
      </c>
    </row>
    <row r="1390" spans="2:7" x14ac:dyDescent="0.2">
      <c r="B1390" s="120" t="s">
        <v>3068</v>
      </c>
      <c r="C1390" s="121" t="s">
        <v>3069</v>
      </c>
      <c r="D1390" s="122" t="s">
        <v>24</v>
      </c>
      <c r="E1390" s="122" t="s">
        <v>3633</v>
      </c>
      <c r="F1390" s="123">
        <v>8.8571428571428593E-2</v>
      </c>
      <c r="G1390" s="123">
        <v>9.1863517060367481E-2</v>
      </c>
    </row>
    <row r="1391" spans="2:7" x14ac:dyDescent="0.2">
      <c r="B1391" s="120" t="s">
        <v>3070</v>
      </c>
      <c r="C1391" s="121" t="s">
        <v>3071</v>
      </c>
      <c r="D1391" s="122" t="s">
        <v>3610</v>
      </c>
      <c r="E1391" s="122" t="s">
        <v>3656</v>
      </c>
      <c r="F1391" s="123">
        <v>5.7224606580829809E-3</v>
      </c>
      <c r="G1391" s="123">
        <v>0.11379800853485061</v>
      </c>
    </row>
    <row r="1392" spans="2:7" x14ac:dyDescent="0.2">
      <c r="B1392" s="120" t="s">
        <v>3072</v>
      </c>
      <c r="C1392" s="121" t="s">
        <v>3073</v>
      </c>
      <c r="D1392" s="122" t="s">
        <v>3556</v>
      </c>
      <c r="E1392" s="122" t="s">
        <v>3721</v>
      </c>
      <c r="F1392" s="123">
        <v>1.7045454545454562E-2</v>
      </c>
      <c r="G1392" s="123">
        <v>2.2346368715083817E-2</v>
      </c>
    </row>
    <row r="1393" spans="2:7" x14ac:dyDescent="0.2">
      <c r="B1393" s="120" t="s">
        <v>3074</v>
      </c>
      <c r="C1393" s="121" t="s">
        <v>3075</v>
      </c>
      <c r="D1393" s="122" t="s">
        <v>3569</v>
      </c>
      <c r="E1393" s="122" t="s">
        <v>3722</v>
      </c>
      <c r="F1393" s="123">
        <v>3.4117647058823524</v>
      </c>
      <c r="G1393" s="123">
        <v>0.6066666666666668</v>
      </c>
    </row>
    <row r="1394" spans="2:7" x14ac:dyDescent="0.2">
      <c r="B1394" s="120" t="s">
        <v>3076</v>
      </c>
      <c r="C1394" s="121" t="s">
        <v>3077</v>
      </c>
      <c r="D1394" s="122" t="s">
        <v>25</v>
      </c>
      <c r="E1394" s="122" t="s">
        <v>3659</v>
      </c>
      <c r="F1394" s="123">
        <v>0.36666666666666664</v>
      </c>
      <c r="G1394" s="123">
        <v>0.47560975609756101</v>
      </c>
    </row>
    <row r="1395" spans="2:7" x14ac:dyDescent="0.2">
      <c r="B1395" s="120" t="s">
        <v>3078</v>
      </c>
      <c r="C1395" s="121" t="s">
        <v>3079</v>
      </c>
      <c r="D1395" s="122" t="s">
        <v>24</v>
      </c>
      <c r="E1395" s="122" t="s">
        <v>3573</v>
      </c>
      <c r="F1395" s="123">
        <v>-0.12096774193548381</v>
      </c>
      <c r="G1395" s="123">
        <v>-6.8807339449541852E-3</v>
      </c>
    </row>
    <row r="1396" spans="2:7" x14ac:dyDescent="0.2">
      <c r="B1396" s="120" t="s">
        <v>3080</v>
      </c>
      <c r="C1396" s="121" t="s">
        <v>3081</v>
      </c>
      <c r="D1396" s="122" t="s">
        <v>3569</v>
      </c>
      <c r="E1396" s="122" t="s">
        <v>3722</v>
      </c>
      <c r="F1396" s="123">
        <v>-8.0301129234629828E-2</v>
      </c>
      <c r="G1396" s="123">
        <v>0.27012278308321969</v>
      </c>
    </row>
    <row r="1397" spans="2:7" x14ac:dyDescent="0.2">
      <c r="B1397" s="120" t="s">
        <v>3082</v>
      </c>
      <c r="C1397" s="121" t="s">
        <v>3083</v>
      </c>
      <c r="D1397" s="122" t="s">
        <v>24</v>
      </c>
      <c r="E1397" s="122" t="s">
        <v>3633</v>
      </c>
      <c r="F1397" s="123">
        <v>-6.0377358490565927E-2</v>
      </c>
      <c r="G1397" s="123">
        <v>6.0240963855421645E-2</v>
      </c>
    </row>
    <row r="1398" spans="2:7" x14ac:dyDescent="0.2">
      <c r="B1398" s="120" t="s">
        <v>3084</v>
      </c>
      <c r="C1398" s="121" t="s">
        <v>3085</v>
      </c>
      <c r="D1398" s="122" t="s">
        <v>3556</v>
      </c>
      <c r="E1398" s="122" t="s">
        <v>3607</v>
      </c>
      <c r="F1398" s="123">
        <v>0.22881355932203393</v>
      </c>
      <c r="G1398" s="123">
        <v>0.25517241379310351</v>
      </c>
    </row>
    <row r="1399" spans="2:7" x14ac:dyDescent="0.2">
      <c r="B1399" s="120" t="s">
        <v>3086</v>
      </c>
      <c r="C1399" s="121" t="s">
        <v>3087</v>
      </c>
      <c r="D1399" s="122" t="s">
        <v>3576</v>
      </c>
      <c r="E1399" s="122" t="s">
        <v>3626</v>
      </c>
      <c r="F1399" s="123">
        <v>4.6843177189409273E-2</v>
      </c>
      <c r="G1399" s="123">
        <v>5.6420233463035027E-2</v>
      </c>
    </row>
    <row r="1400" spans="2:7" x14ac:dyDescent="0.2">
      <c r="B1400" s="120" t="s">
        <v>3088</v>
      </c>
      <c r="C1400" s="121" t="s">
        <v>3089</v>
      </c>
      <c r="D1400" s="122" t="s">
        <v>3556</v>
      </c>
      <c r="E1400" s="122" t="s">
        <v>3783</v>
      </c>
      <c r="F1400" s="123">
        <v>0.19354838709677419</v>
      </c>
      <c r="G1400" s="123">
        <v>0.358108108108108</v>
      </c>
    </row>
    <row r="1401" spans="2:7" x14ac:dyDescent="0.2">
      <c r="B1401" s="120" t="s">
        <v>3090</v>
      </c>
      <c r="C1401" s="121" t="s">
        <v>3091</v>
      </c>
      <c r="D1401" s="122" t="s">
        <v>3605</v>
      </c>
      <c r="E1401" s="122" t="s">
        <v>3606</v>
      </c>
      <c r="F1401" s="123">
        <v>2.9461756373937855E-2</v>
      </c>
      <c r="G1401" s="123">
        <v>0.18161805173362669</v>
      </c>
    </row>
    <row r="1402" spans="2:7" x14ac:dyDescent="0.2">
      <c r="B1402" s="120" t="s">
        <v>3092</v>
      </c>
      <c r="C1402" s="121" t="s">
        <v>3093</v>
      </c>
      <c r="D1402" s="122" t="s">
        <v>3569</v>
      </c>
      <c r="E1402" s="122" t="s">
        <v>3718</v>
      </c>
      <c r="F1402" s="123">
        <v>-5.4054054054054106E-2</v>
      </c>
      <c r="G1402" s="123">
        <v>0.28205128205128199</v>
      </c>
    </row>
    <row r="1403" spans="2:7" x14ac:dyDescent="0.2">
      <c r="B1403" s="120" t="s">
        <v>3094</v>
      </c>
      <c r="C1403" s="121" t="s">
        <v>3095</v>
      </c>
      <c r="D1403" s="122" t="s">
        <v>3605</v>
      </c>
      <c r="E1403" s="122" t="s">
        <v>3606</v>
      </c>
      <c r="F1403" s="123">
        <v>0.13714285714285707</v>
      </c>
      <c r="G1403" s="123">
        <v>0.10351758793969862</v>
      </c>
    </row>
    <row r="1404" spans="2:7" x14ac:dyDescent="0.2">
      <c r="B1404" s="120" t="s">
        <v>3096</v>
      </c>
      <c r="C1404" s="121" t="s">
        <v>3097</v>
      </c>
      <c r="D1404" s="122" t="s">
        <v>3556</v>
      </c>
      <c r="E1404" s="122" t="s">
        <v>3630</v>
      </c>
      <c r="F1404" s="123">
        <v>0.23170731707317083</v>
      </c>
      <c r="G1404" s="123">
        <v>0.25742574257425743</v>
      </c>
    </row>
    <row r="1405" spans="2:7" x14ac:dyDescent="0.2">
      <c r="B1405" s="120" t="s">
        <v>3098</v>
      </c>
      <c r="C1405" s="121" t="s">
        <v>3099</v>
      </c>
      <c r="D1405" s="122" t="s">
        <v>3563</v>
      </c>
      <c r="E1405" s="122" t="s">
        <v>3795</v>
      </c>
      <c r="F1405" s="123">
        <v>0.1378995433789956</v>
      </c>
      <c r="G1405" s="123">
        <v>4.173354735152484E-2</v>
      </c>
    </row>
    <row r="1406" spans="2:7" x14ac:dyDescent="0.2">
      <c r="B1406" s="120" t="s">
        <v>3100</v>
      </c>
      <c r="C1406" s="121" t="s">
        <v>3101</v>
      </c>
      <c r="D1406" s="122" t="s">
        <v>3569</v>
      </c>
      <c r="E1406" s="122" t="s">
        <v>3575</v>
      </c>
      <c r="F1406" s="123">
        <v>9.8468271334791954E-2</v>
      </c>
      <c r="G1406" s="123">
        <v>0.17729083665338657</v>
      </c>
    </row>
    <row r="1407" spans="2:7" x14ac:dyDescent="0.2">
      <c r="B1407" s="120" t="s">
        <v>3102</v>
      </c>
      <c r="C1407" s="121" t="s">
        <v>3103</v>
      </c>
      <c r="D1407" s="122" t="s">
        <v>3594</v>
      </c>
      <c r="E1407" s="122" t="s">
        <v>3647</v>
      </c>
      <c r="F1407" s="123">
        <v>-0.15432098765432098</v>
      </c>
      <c r="G1407" s="123">
        <v>-6.2043795620438089E-2</v>
      </c>
    </row>
    <row r="1408" spans="2:7" x14ac:dyDescent="0.2">
      <c r="B1408" s="120" t="s">
        <v>3104</v>
      </c>
      <c r="C1408" s="121" t="s">
        <v>3105</v>
      </c>
      <c r="D1408" s="122" t="s">
        <v>3591</v>
      </c>
      <c r="E1408" s="122" t="s">
        <v>3658</v>
      </c>
      <c r="F1408" s="123">
        <v>-0.14444444444444446</v>
      </c>
      <c r="G1408" s="123">
        <v>2.5974025974025997E-2</v>
      </c>
    </row>
    <row r="1409" spans="2:7" x14ac:dyDescent="0.2">
      <c r="B1409" s="120" t="s">
        <v>3106</v>
      </c>
      <c r="C1409" s="121" t="s">
        <v>3107</v>
      </c>
      <c r="D1409" s="122" t="s">
        <v>3556</v>
      </c>
      <c r="E1409" s="122" t="s">
        <v>3560</v>
      </c>
      <c r="F1409" s="123">
        <v>-1.2522361359570713E-2</v>
      </c>
      <c r="G1409" s="123">
        <v>5.6159420289855169E-2</v>
      </c>
    </row>
    <row r="1410" spans="2:7" x14ac:dyDescent="0.2">
      <c r="B1410" s="120" t="s">
        <v>3108</v>
      </c>
      <c r="C1410" s="121" t="s">
        <v>3109</v>
      </c>
      <c r="D1410" s="122" t="s">
        <v>3591</v>
      </c>
      <c r="E1410" s="122" t="s">
        <v>3658</v>
      </c>
      <c r="F1410" s="123">
        <v>0.24999999999999986</v>
      </c>
      <c r="G1410" s="123">
        <v>9.5652173913043564E-2</v>
      </c>
    </row>
    <row r="1411" spans="2:7" x14ac:dyDescent="0.2">
      <c r="B1411" s="120" t="s">
        <v>3110</v>
      </c>
      <c r="C1411" s="121" t="s">
        <v>3111</v>
      </c>
      <c r="D1411" s="122" t="s">
        <v>3591</v>
      </c>
      <c r="E1411" s="122" t="s">
        <v>3700</v>
      </c>
      <c r="F1411" s="123">
        <v>1.4666666666666668</v>
      </c>
      <c r="G1411" s="123">
        <v>0.9642857142857143</v>
      </c>
    </row>
    <row r="1412" spans="2:7" x14ac:dyDescent="0.2">
      <c r="B1412" s="120" t="s">
        <v>3112</v>
      </c>
      <c r="C1412" s="121" t="s">
        <v>3113</v>
      </c>
      <c r="D1412" s="122" t="s">
        <v>3556</v>
      </c>
      <c r="E1412" s="122" t="s">
        <v>3557</v>
      </c>
      <c r="F1412" s="123">
        <v>0.1111111111111111</v>
      </c>
      <c r="G1412" s="123">
        <v>0.21199999999999991</v>
      </c>
    </row>
    <row r="1413" spans="2:7" x14ac:dyDescent="0.2">
      <c r="B1413" s="120" t="s">
        <v>3114</v>
      </c>
      <c r="C1413" s="121" t="s">
        <v>3115</v>
      </c>
      <c r="D1413" s="122" t="s">
        <v>3591</v>
      </c>
      <c r="E1413" s="122" t="s">
        <v>3592</v>
      </c>
      <c r="F1413" s="123">
        <v>-1.631578947368421</v>
      </c>
      <c r="G1413" s="123">
        <v>-0.66666666666666685</v>
      </c>
    </row>
    <row r="1414" spans="2:7" x14ac:dyDescent="0.2">
      <c r="B1414" s="120" t="s">
        <v>3116</v>
      </c>
      <c r="C1414" s="121" t="s">
        <v>3117</v>
      </c>
      <c r="D1414" s="122" t="s">
        <v>3569</v>
      </c>
      <c r="E1414" s="122" t="s">
        <v>3599</v>
      </c>
      <c r="F1414" s="123">
        <v>-0.1938775510204081</v>
      </c>
      <c r="G1414" s="123">
        <v>5.9071729957805769E-2</v>
      </c>
    </row>
    <row r="1415" spans="2:7" x14ac:dyDescent="0.2">
      <c r="B1415" s="120" t="s">
        <v>3118</v>
      </c>
      <c r="C1415" s="121" t="s">
        <v>3119</v>
      </c>
      <c r="D1415" s="122" t="s">
        <v>3569</v>
      </c>
      <c r="E1415" s="122" t="s">
        <v>3574</v>
      </c>
      <c r="F1415" s="123">
        <v>0.11301715438950546</v>
      </c>
      <c r="G1415" s="123">
        <v>0.1604714415231189</v>
      </c>
    </row>
    <row r="1416" spans="2:7" x14ac:dyDescent="0.2">
      <c r="B1416" s="120" t="s">
        <v>3120</v>
      </c>
      <c r="C1416" s="121" t="s">
        <v>3121</v>
      </c>
      <c r="D1416" s="122" t="s">
        <v>3612</v>
      </c>
      <c r="E1416" s="122" t="s">
        <v>3674</v>
      </c>
      <c r="F1416" s="123">
        <v>0.52040816326530615</v>
      </c>
      <c r="G1416" s="123">
        <v>-0.18791946308724833</v>
      </c>
    </row>
    <row r="1417" spans="2:7" x14ac:dyDescent="0.2">
      <c r="B1417" s="120" t="s">
        <v>3122</v>
      </c>
      <c r="C1417" s="121" t="s">
        <v>3123</v>
      </c>
      <c r="D1417" s="122" t="s">
        <v>25</v>
      </c>
      <c r="E1417" s="122" t="s">
        <v>3691</v>
      </c>
      <c r="F1417" s="123">
        <v>-0.3258426966292135</v>
      </c>
      <c r="G1417" s="123">
        <v>0.46666666666666673</v>
      </c>
    </row>
    <row r="1418" spans="2:7" x14ac:dyDescent="0.2">
      <c r="B1418" s="120" t="s">
        <v>3124</v>
      </c>
      <c r="C1418" s="121" t="s">
        <v>3125</v>
      </c>
      <c r="D1418" s="122" t="s">
        <v>3563</v>
      </c>
      <c r="E1418" s="122" t="s">
        <v>3677</v>
      </c>
      <c r="F1418" s="123">
        <v>0.13729128014842304</v>
      </c>
      <c r="G1418" s="123">
        <v>5.546492659053831E-2</v>
      </c>
    </row>
    <row r="1419" spans="2:7" x14ac:dyDescent="0.2">
      <c r="B1419" s="120" t="s">
        <v>3126</v>
      </c>
      <c r="C1419" s="121" t="s">
        <v>3127</v>
      </c>
      <c r="D1419" s="122" t="s">
        <v>3576</v>
      </c>
      <c r="E1419" s="122" t="s">
        <v>3578</v>
      </c>
      <c r="F1419" s="123">
        <v>0.22023809523809518</v>
      </c>
      <c r="G1419" s="123">
        <v>9.7560975609756198E-2</v>
      </c>
    </row>
    <row r="1420" spans="2:7" x14ac:dyDescent="0.2">
      <c r="B1420" s="120" t="s">
        <v>3128</v>
      </c>
      <c r="C1420" s="121" t="s">
        <v>3129</v>
      </c>
      <c r="D1420" s="122" t="s">
        <v>24</v>
      </c>
      <c r="E1420" s="122" t="s">
        <v>3633</v>
      </c>
      <c r="F1420" s="123">
        <v>0.15492957746478878</v>
      </c>
      <c r="G1420" s="123">
        <v>0.15853658536585372</v>
      </c>
    </row>
    <row r="1421" spans="2:7" x14ac:dyDescent="0.2">
      <c r="B1421" s="120" t="s">
        <v>3130</v>
      </c>
      <c r="C1421" s="121" t="s">
        <v>3131</v>
      </c>
      <c r="D1421" s="122" t="s">
        <v>3563</v>
      </c>
      <c r="E1421" s="122" t="s">
        <v>3796</v>
      </c>
      <c r="F1421" s="123">
        <v>3.2119914346895151E-2</v>
      </c>
      <c r="G1421" s="123">
        <v>6.0165975103734441E-2</v>
      </c>
    </row>
    <row r="1422" spans="2:7" x14ac:dyDescent="0.2">
      <c r="B1422" s="120" t="s">
        <v>3132</v>
      </c>
      <c r="C1422" s="121" t="s">
        <v>3133</v>
      </c>
      <c r="D1422" s="122" t="s">
        <v>3556</v>
      </c>
      <c r="E1422" s="122" t="s">
        <v>3621</v>
      </c>
      <c r="F1422" s="123">
        <v>-0.77966101694915257</v>
      </c>
      <c r="G1422" s="123">
        <v>2.7692307692307692</v>
      </c>
    </row>
    <row r="1423" spans="2:7" x14ac:dyDescent="0.2">
      <c r="B1423" s="120" t="s">
        <v>3134</v>
      </c>
      <c r="C1423" s="121" t="s">
        <v>3135</v>
      </c>
      <c r="D1423" s="122" t="s">
        <v>3591</v>
      </c>
      <c r="E1423" s="122" t="s">
        <v>3658</v>
      </c>
      <c r="F1423" s="123">
        <v>0.10294117647058816</v>
      </c>
      <c r="G1423" s="123">
        <v>2.6666666666666689E-2</v>
      </c>
    </row>
    <row r="1424" spans="2:7" x14ac:dyDescent="0.2">
      <c r="B1424" s="120" t="s">
        <v>3136</v>
      </c>
      <c r="C1424" s="121" t="s">
        <v>3137</v>
      </c>
      <c r="D1424" s="122" t="s">
        <v>3563</v>
      </c>
      <c r="E1424" s="122" t="s">
        <v>3677</v>
      </c>
      <c r="F1424" s="123">
        <v>6.967213114754095E-2</v>
      </c>
      <c r="G1424" s="123">
        <v>8.0459770114942514E-2</v>
      </c>
    </row>
    <row r="1425" spans="2:7" x14ac:dyDescent="0.2">
      <c r="B1425" s="120" t="s">
        <v>3138</v>
      </c>
      <c r="C1425" s="121" t="s">
        <v>3139</v>
      </c>
      <c r="D1425" s="122" t="s">
        <v>3591</v>
      </c>
      <c r="E1425" s="122" t="s">
        <v>3658</v>
      </c>
      <c r="F1425" s="123">
        <v>0.34482758620689646</v>
      </c>
      <c r="G1425" s="123">
        <v>7.6923076923076997E-2</v>
      </c>
    </row>
    <row r="1426" spans="2:7" x14ac:dyDescent="0.2">
      <c r="B1426" s="120" t="s">
        <v>3140</v>
      </c>
      <c r="C1426" s="121" t="s">
        <v>3141</v>
      </c>
      <c r="D1426" s="122" t="s">
        <v>3594</v>
      </c>
      <c r="E1426" s="122" t="s">
        <v>3754</v>
      </c>
      <c r="F1426" s="123">
        <v>-3.2222222222222228</v>
      </c>
      <c r="G1426" s="123">
        <v>6.1999999999999993</v>
      </c>
    </row>
    <row r="1427" spans="2:7" x14ac:dyDescent="0.2">
      <c r="B1427" s="120" t="s">
        <v>3142</v>
      </c>
      <c r="C1427" s="121" t="s">
        <v>3143</v>
      </c>
      <c r="D1427" s="122" t="s">
        <v>3556</v>
      </c>
      <c r="E1427" s="122" t="s">
        <v>3621</v>
      </c>
      <c r="F1427" s="123">
        <v>4.6153846153846191E-2</v>
      </c>
      <c r="G1427" s="123">
        <v>0.27941176470588225</v>
      </c>
    </row>
    <row r="1428" spans="2:7" x14ac:dyDescent="0.2">
      <c r="B1428" s="120" t="s">
        <v>3144</v>
      </c>
      <c r="C1428" s="121" t="s">
        <v>3145</v>
      </c>
      <c r="D1428" s="122" t="s">
        <v>3576</v>
      </c>
      <c r="E1428" s="122" t="s">
        <v>3578</v>
      </c>
      <c r="F1428" s="123">
        <v>1.3793103448275978E-2</v>
      </c>
      <c r="G1428" s="123">
        <v>-4.5351473922903536E-3</v>
      </c>
    </row>
    <row r="1429" spans="2:7" x14ac:dyDescent="0.2">
      <c r="B1429" s="120" t="s">
        <v>3146</v>
      </c>
      <c r="C1429" s="121" t="s">
        <v>3147</v>
      </c>
      <c r="D1429" s="122" t="s">
        <v>3558</v>
      </c>
      <c r="E1429" s="122" t="s">
        <v>3737</v>
      </c>
      <c r="F1429" s="123">
        <v>0.16864608076009502</v>
      </c>
      <c r="G1429" s="123">
        <v>5.2845528455284507E-2</v>
      </c>
    </row>
    <row r="1430" spans="2:7" x14ac:dyDescent="0.2">
      <c r="B1430" s="120" t="s">
        <v>3148</v>
      </c>
      <c r="C1430" s="121" t="s">
        <v>3149</v>
      </c>
      <c r="D1430" s="122" t="s">
        <v>3556</v>
      </c>
      <c r="E1430" s="122" t="s">
        <v>3621</v>
      </c>
      <c r="F1430" s="123">
        <v>-0.10526315789473675</v>
      </c>
      <c r="G1430" s="123">
        <v>0.1176470588235293</v>
      </c>
    </row>
    <row r="1431" spans="2:7" x14ac:dyDescent="0.2">
      <c r="B1431" s="120" t="s">
        <v>3150</v>
      </c>
      <c r="C1431" s="121" t="s">
        <v>3151</v>
      </c>
      <c r="D1431" s="122" t="s">
        <v>3591</v>
      </c>
      <c r="E1431" s="122" t="s">
        <v>3658</v>
      </c>
      <c r="F1431" s="123">
        <v>-0.18750000000000003</v>
      </c>
      <c r="G1431" s="123">
        <v>0.10769230769230762</v>
      </c>
    </row>
    <row r="1432" spans="2:7" x14ac:dyDescent="0.2">
      <c r="B1432" s="120" t="s">
        <v>3152</v>
      </c>
      <c r="C1432" s="121" t="s">
        <v>3153</v>
      </c>
      <c r="D1432" s="122" t="s">
        <v>3591</v>
      </c>
      <c r="E1432" s="122" t="s">
        <v>3700</v>
      </c>
      <c r="F1432" s="123">
        <v>0.17241379310344845</v>
      </c>
      <c r="G1432" s="123">
        <v>-8.8235294117647134E-2</v>
      </c>
    </row>
    <row r="1433" spans="2:7" x14ac:dyDescent="0.2">
      <c r="B1433" s="120" t="s">
        <v>3154</v>
      </c>
      <c r="C1433" s="121" t="s">
        <v>3155</v>
      </c>
      <c r="D1433" s="122" t="s">
        <v>3610</v>
      </c>
      <c r="E1433" s="122" t="s">
        <v>3656</v>
      </c>
      <c r="F1433" s="123">
        <v>0.19181380417335461</v>
      </c>
      <c r="G1433" s="123">
        <v>8.3501683501683521E-2</v>
      </c>
    </row>
    <row r="1434" spans="2:7" x14ac:dyDescent="0.2">
      <c r="B1434" s="120" t="s">
        <v>3156</v>
      </c>
      <c r="C1434" s="121" t="s">
        <v>3157</v>
      </c>
      <c r="D1434" s="122" t="s">
        <v>3556</v>
      </c>
      <c r="E1434" s="122" t="s">
        <v>3791</v>
      </c>
      <c r="F1434" s="123">
        <v>2.6315789473684233E-2</v>
      </c>
      <c r="G1434" s="123">
        <v>0.4102564102564103</v>
      </c>
    </row>
    <row r="1435" spans="2:7" x14ac:dyDescent="0.2">
      <c r="B1435" s="120" t="s">
        <v>3158</v>
      </c>
      <c r="C1435" s="121" t="s">
        <v>3159</v>
      </c>
      <c r="D1435" s="122" t="s">
        <v>3556</v>
      </c>
      <c r="E1435" s="122" t="s">
        <v>3579</v>
      </c>
      <c r="F1435" s="123">
        <v>4.4198895027624224E-2</v>
      </c>
      <c r="G1435" s="123">
        <v>0.1058201058201058</v>
      </c>
    </row>
    <row r="1436" spans="2:7" x14ac:dyDescent="0.2">
      <c r="B1436" s="120" t="s">
        <v>3160</v>
      </c>
      <c r="C1436" s="121" t="s">
        <v>3161</v>
      </c>
      <c r="D1436" s="122" t="s">
        <v>3569</v>
      </c>
      <c r="E1436" s="122" t="s">
        <v>3574</v>
      </c>
      <c r="F1436" s="123">
        <v>0.10769230769230764</v>
      </c>
      <c r="G1436" s="123">
        <v>0.10784313725490198</v>
      </c>
    </row>
    <row r="1437" spans="2:7" x14ac:dyDescent="0.2">
      <c r="B1437" s="120" t="s">
        <v>3162</v>
      </c>
      <c r="C1437" s="121" t="s">
        <v>3163</v>
      </c>
      <c r="D1437" s="122" t="s">
        <v>3556</v>
      </c>
      <c r="E1437" s="122" t="s">
        <v>3721</v>
      </c>
      <c r="F1437" s="123">
        <v>0.21921921921921908</v>
      </c>
      <c r="G1437" s="123">
        <v>0.20197044334975378</v>
      </c>
    </row>
    <row r="1438" spans="2:7" x14ac:dyDescent="0.2">
      <c r="B1438" s="120" t="s">
        <v>3164</v>
      </c>
      <c r="C1438" s="121" t="s">
        <v>3165</v>
      </c>
      <c r="D1438" s="122" t="s">
        <v>3569</v>
      </c>
      <c r="E1438" s="122" t="s">
        <v>3574</v>
      </c>
      <c r="F1438" s="123">
        <v>0.78881987577639745</v>
      </c>
      <c r="G1438" s="123">
        <v>0.8970588235294118</v>
      </c>
    </row>
    <row r="1439" spans="2:7" x14ac:dyDescent="0.2">
      <c r="B1439" s="120" t="s">
        <v>3166</v>
      </c>
      <c r="C1439" s="121" t="s">
        <v>3167</v>
      </c>
      <c r="D1439" s="122" t="s">
        <v>3582</v>
      </c>
      <c r="E1439" s="122" t="s">
        <v>3588</v>
      </c>
      <c r="F1439" s="123">
        <v>0.16271186440677965</v>
      </c>
      <c r="G1439" s="123">
        <v>0.1399416909620991</v>
      </c>
    </row>
    <row r="1440" spans="2:7" x14ac:dyDescent="0.2">
      <c r="B1440" s="120" t="s">
        <v>3168</v>
      </c>
      <c r="C1440" s="121" t="s">
        <v>3169</v>
      </c>
      <c r="D1440" s="122" t="s">
        <v>3556</v>
      </c>
      <c r="E1440" s="122" t="s">
        <v>3717</v>
      </c>
      <c r="F1440" s="123">
        <v>-0.17228464419475656</v>
      </c>
      <c r="G1440" s="123">
        <v>0.30316742081447962</v>
      </c>
    </row>
    <row r="1441" spans="2:7" x14ac:dyDescent="0.2">
      <c r="B1441" s="120" t="s">
        <v>3170</v>
      </c>
      <c r="C1441" s="121" t="s">
        <v>3171</v>
      </c>
      <c r="D1441" s="122" t="s">
        <v>3580</v>
      </c>
      <c r="E1441" s="122" t="s">
        <v>3730</v>
      </c>
      <c r="F1441" s="123">
        <v>-0.14782608695652169</v>
      </c>
      <c r="G1441" s="123">
        <v>3.5714285714285636E-2</v>
      </c>
    </row>
    <row r="1442" spans="2:7" x14ac:dyDescent="0.2">
      <c r="B1442" s="120" t="s">
        <v>3172</v>
      </c>
      <c r="C1442" s="121" t="s">
        <v>3173</v>
      </c>
      <c r="D1442" s="122" t="s">
        <v>3612</v>
      </c>
      <c r="E1442" s="122" t="s">
        <v>3669</v>
      </c>
      <c r="F1442" s="123">
        <v>-0.11832061068702292</v>
      </c>
      <c r="G1442" s="123">
        <v>0.1861471861471862</v>
      </c>
    </row>
    <row r="1443" spans="2:7" x14ac:dyDescent="0.2">
      <c r="B1443" s="120" t="s">
        <v>3174</v>
      </c>
      <c r="C1443" s="121" t="s">
        <v>3175</v>
      </c>
      <c r="D1443" s="122" t="s">
        <v>3563</v>
      </c>
      <c r="E1443" s="122" t="s">
        <v>3787</v>
      </c>
      <c r="F1443" s="123">
        <v>0.19112627986348124</v>
      </c>
      <c r="G1443" s="123">
        <v>0.53868194842406869</v>
      </c>
    </row>
    <row r="1444" spans="2:7" x14ac:dyDescent="0.2">
      <c r="B1444" s="120" t="s">
        <v>3176</v>
      </c>
      <c r="C1444" s="121" t="s">
        <v>3177</v>
      </c>
      <c r="D1444" s="122" t="s">
        <v>3576</v>
      </c>
      <c r="E1444" s="122" t="s">
        <v>3743</v>
      </c>
      <c r="F1444" s="123">
        <v>-7.7571669477234401E-2</v>
      </c>
      <c r="G1444" s="123">
        <v>0.55941499085923208</v>
      </c>
    </row>
    <row r="1445" spans="2:7" x14ac:dyDescent="0.2">
      <c r="B1445" s="120" t="s">
        <v>3178</v>
      </c>
      <c r="C1445" s="121" t="s">
        <v>3179</v>
      </c>
      <c r="D1445" s="122" t="s">
        <v>3580</v>
      </c>
      <c r="E1445" s="122" t="s">
        <v>3750</v>
      </c>
      <c r="F1445" s="123">
        <v>3.056768558951958E-2</v>
      </c>
      <c r="G1445" s="123">
        <v>0.22033898305084748</v>
      </c>
    </row>
    <row r="1446" spans="2:7" x14ac:dyDescent="0.2">
      <c r="B1446" s="120" t="s">
        <v>3180</v>
      </c>
      <c r="C1446" s="121" t="s">
        <v>3181</v>
      </c>
      <c r="D1446" s="122" t="s">
        <v>3612</v>
      </c>
      <c r="E1446" s="122" t="s">
        <v>3785</v>
      </c>
      <c r="F1446" s="123">
        <v>-6.666666666666667</v>
      </c>
      <c r="G1446" s="123">
        <v>1.1764705882352942</v>
      </c>
    </row>
    <row r="1447" spans="2:7" x14ac:dyDescent="0.2">
      <c r="B1447" s="120" t="s">
        <v>3182</v>
      </c>
      <c r="C1447" s="121" t="s">
        <v>3183</v>
      </c>
      <c r="D1447" s="122" t="s">
        <v>3582</v>
      </c>
      <c r="E1447" s="122" t="s">
        <v>3631</v>
      </c>
      <c r="F1447" s="123">
        <v>0.89062499999999989</v>
      </c>
      <c r="G1447" s="123">
        <v>0.60330578512396693</v>
      </c>
    </row>
    <row r="1448" spans="2:7" x14ac:dyDescent="0.2">
      <c r="B1448" s="120" t="s">
        <v>3184</v>
      </c>
      <c r="C1448" s="121" t="s">
        <v>3185</v>
      </c>
      <c r="D1448" s="122" t="s">
        <v>3563</v>
      </c>
      <c r="E1448" s="122" t="s">
        <v>3622</v>
      </c>
      <c r="F1448" s="123">
        <v>5.7471264367816147E-2</v>
      </c>
      <c r="G1448" s="123">
        <v>0.17934782608695643</v>
      </c>
    </row>
    <row r="1449" spans="2:7" x14ac:dyDescent="0.2">
      <c r="B1449" s="120" t="s">
        <v>3186</v>
      </c>
      <c r="C1449" s="121" t="s">
        <v>3187</v>
      </c>
      <c r="D1449" s="122" t="s">
        <v>3556</v>
      </c>
      <c r="E1449" s="122" t="s">
        <v>3733</v>
      </c>
      <c r="F1449" s="123">
        <v>2.0942408376963369E-2</v>
      </c>
      <c r="G1449" s="123">
        <v>0.11794871794871806</v>
      </c>
    </row>
    <row r="1450" spans="2:7" x14ac:dyDescent="0.2">
      <c r="B1450" s="120" t="s">
        <v>3188</v>
      </c>
      <c r="C1450" s="121" t="s">
        <v>3189</v>
      </c>
      <c r="D1450" s="122" t="s">
        <v>3576</v>
      </c>
      <c r="E1450" s="122" t="s">
        <v>3619</v>
      </c>
      <c r="F1450" s="123">
        <v>4.5454545454545324E-2</v>
      </c>
      <c r="G1450" s="123">
        <v>9.4202898550724723E-2</v>
      </c>
    </row>
    <row r="1451" spans="2:7" x14ac:dyDescent="0.2">
      <c r="B1451" s="120" t="s">
        <v>3190</v>
      </c>
      <c r="C1451" s="121" t="s">
        <v>3191</v>
      </c>
      <c r="D1451" s="122" t="s">
        <v>3576</v>
      </c>
      <c r="E1451" s="122" t="s">
        <v>3604</v>
      </c>
      <c r="F1451" s="123">
        <v>4.4295302013422827E-2</v>
      </c>
      <c r="G1451" s="123">
        <v>4.7557840616966593E-2</v>
      </c>
    </row>
    <row r="1452" spans="2:7" x14ac:dyDescent="0.2">
      <c r="B1452" s="120" t="s">
        <v>3192</v>
      </c>
      <c r="C1452" s="121" t="s">
        <v>3193</v>
      </c>
      <c r="D1452" s="122" t="s">
        <v>3612</v>
      </c>
      <c r="E1452" s="122" t="s">
        <v>3726</v>
      </c>
      <c r="F1452" s="123">
        <v>9.4736842105263161E-2</v>
      </c>
      <c r="G1452" s="123">
        <v>-6.4102564102564161E-3</v>
      </c>
    </row>
    <row r="1453" spans="2:7" x14ac:dyDescent="0.2">
      <c r="B1453" s="120" t="s">
        <v>3194</v>
      </c>
      <c r="C1453" s="121" t="s">
        <v>3195</v>
      </c>
      <c r="D1453" s="122" t="s">
        <v>3582</v>
      </c>
      <c r="E1453" s="122" t="s">
        <v>3664</v>
      </c>
      <c r="F1453" s="123">
        <v>8.8709677419354913E-2</v>
      </c>
      <c r="G1453" s="123">
        <v>0.14074074074074069</v>
      </c>
    </row>
    <row r="1454" spans="2:7" x14ac:dyDescent="0.2">
      <c r="B1454" s="120" t="s">
        <v>3196</v>
      </c>
      <c r="C1454" s="121" t="s">
        <v>3197</v>
      </c>
      <c r="D1454" s="122" t="s">
        <v>3576</v>
      </c>
      <c r="E1454" s="122" t="s">
        <v>3578</v>
      </c>
      <c r="F1454" s="123">
        <v>0.18672665916760406</v>
      </c>
      <c r="G1454" s="123">
        <v>8.9099526066350659E-2</v>
      </c>
    </row>
    <row r="1455" spans="2:7" x14ac:dyDescent="0.2">
      <c r="B1455" s="120" t="s">
        <v>3198</v>
      </c>
      <c r="C1455" s="121" t="s">
        <v>3199</v>
      </c>
      <c r="D1455" s="122" t="s">
        <v>3558</v>
      </c>
      <c r="E1455" s="122" t="s">
        <v>3797</v>
      </c>
      <c r="F1455" s="123">
        <v>-7.8651685393258494E-2</v>
      </c>
      <c r="G1455" s="123">
        <v>-7.3170731707317013E-2</v>
      </c>
    </row>
    <row r="1456" spans="2:7" x14ac:dyDescent="0.2">
      <c r="B1456" s="120" t="s">
        <v>3200</v>
      </c>
      <c r="C1456" s="121" t="s">
        <v>3201</v>
      </c>
      <c r="D1456" s="122" t="s">
        <v>3558</v>
      </c>
      <c r="E1456" s="122" t="s">
        <v>3798</v>
      </c>
      <c r="F1456" s="123">
        <v>-1.3071895424836612E-2</v>
      </c>
      <c r="G1456" s="123">
        <v>0.19205298013245034</v>
      </c>
    </row>
    <row r="1457" spans="2:7" x14ac:dyDescent="0.2">
      <c r="B1457" s="120" t="s">
        <v>3202</v>
      </c>
      <c r="C1457" s="121" t="s">
        <v>3203</v>
      </c>
      <c r="D1457" s="122" t="s">
        <v>3563</v>
      </c>
      <c r="E1457" s="122" t="s">
        <v>3687</v>
      </c>
      <c r="F1457" s="123">
        <v>0.11111111111111099</v>
      </c>
      <c r="G1457" s="123">
        <v>0.10000000000000009</v>
      </c>
    </row>
    <row r="1458" spans="2:7" x14ac:dyDescent="0.2">
      <c r="B1458" s="120" t="s">
        <v>3204</v>
      </c>
      <c r="C1458" s="121" t="s">
        <v>3205</v>
      </c>
      <c r="D1458" s="122" t="s">
        <v>3563</v>
      </c>
      <c r="E1458" s="122" t="s">
        <v>3734</v>
      </c>
      <c r="F1458" s="123">
        <v>0.10489510489510494</v>
      </c>
      <c r="G1458" s="123">
        <v>0.11392405063291139</v>
      </c>
    </row>
    <row r="1459" spans="2:7" x14ac:dyDescent="0.2">
      <c r="B1459" s="120" t="s">
        <v>3206</v>
      </c>
      <c r="C1459" s="121" t="s">
        <v>3207</v>
      </c>
      <c r="D1459" s="122" t="s">
        <v>25</v>
      </c>
      <c r="E1459" s="122" t="s">
        <v>3702</v>
      </c>
      <c r="F1459" s="123">
        <v>-0.20547945205479451</v>
      </c>
      <c r="G1459" s="123">
        <v>0.15517241379310334</v>
      </c>
    </row>
    <row r="1460" spans="2:7" x14ac:dyDescent="0.2">
      <c r="B1460" s="120" t="s">
        <v>3208</v>
      </c>
      <c r="C1460" s="121" t="s">
        <v>3209</v>
      </c>
      <c r="D1460" s="122" t="s">
        <v>3610</v>
      </c>
      <c r="E1460" s="122" t="s">
        <v>3745</v>
      </c>
      <c r="F1460" s="123">
        <v>-1.5691056910569108</v>
      </c>
      <c r="G1460" s="123">
        <v>2.5253164556962027</v>
      </c>
    </row>
    <row r="1461" spans="2:7" x14ac:dyDescent="0.2">
      <c r="B1461" s="120" t="s">
        <v>3210</v>
      </c>
      <c r="C1461" s="121" t="s">
        <v>3211</v>
      </c>
      <c r="D1461" s="122" t="s">
        <v>3556</v>
      </c>
      <c r="E1461" s="122" t="s">
        <v>3799</v>
      </c>
      <c r="F1461" s="123">
        <v>-6.3636363636363685E-2</v>
      </c>
      <c r="G1461" s="123">
        <v>0.19417475728155334</v>
      </c>
    </row>
    <row r="1462" spans="2:7" x14ac:dyDescent="0.2">
      <c r="B1462" s="120" t="s">
        <v>3212</v>
      </c>
      <c r="C1462" s="121" t="s">
        <v>3213</v>
      </c>
      <c r="D1462" s="122" t="s">
        <v>24</v>
      </c>
      <c r="E1462" s="122" t="s">
        <v>3761</v>
      </c>
      <c r="F1462" s="123">
        <v>-7.4324324324324245E-2</v>
      </c>
      <c r="G1462" s="123">
        <v>0.22262773722627732</v>
      </c>
    </row>
    <row r="1463" spans="2:7" x14ac:dyDescent="0.2">
      <c r="B1463" s="120" t="s">
        <v>3214</v>
      </c>
      <c r="C1463" s="121" t="s">
        <v>3215</v>
      </c>
      <c r="D1463" s="122" t="s">
        <v>3556</v>
      </c>
      <c r="E1463" s="122" t="s">
        <v>3621</v>
      </c>
      <c r="F1463" s="123">
        <v>-0.28030303030303039</v>
      </c>
      <c r="G1463" s="123">
        <v>0.13684210526315801</v>
      </c>
    </row>
    <row r="1464" spans="2:7" x14ac:dyDescent="0.2">
      <c r="B1464" s="120" t="s">
        <v>3216</v>
      </c>
      <c r="C1464" s="121" t="s">
        <v>3217</v>
      </c>
      <c r="D1464" s="122" t="s">
        <v>25</v>
      </c>
      <c r="E1464" s="122" t="s">
        <v>3792</v>
      </c>
      <c r="F1464" s="123">
        <v>0.10037174721189591</v>
      </c>
      <c r="G1464" s="123">
        <v>0.12837837837837834</v>
      </c>
    </row>
    <row r="1465" spans="2:7" x14ac:dyDescent="0.2">
      <c r="B1465" s="120" t="s">
        <v>3218</v>
      </c>
      <c r="C1465" s="121" t="s">
        <v>3219</v>
      </c>
      <c r="D1465" s="122" t="s">
        <v>3556</v>
      </c>
      <c r="E1465" s="122" t="s">
        <v>3607</v>
      </c>
      <c r="F1465" s="123">
        <v>0.34309623430962333</v>
      </c>
      <c r="G1465" s="123">
        <v>0.14953271028037382</v>
      </c>
    </row>
    <row r="1466" spans="2:7" x14ac:dyDescent="0.2">
      <c r="B1466" s="120" t="s">
        <v>3220</v>
      </c>
      <c r="C1466" s="121" t="s">
        <v>3221</v>
      </c>
      <c r="D1466" s="122" t="s">
        <v>3556</v>
      </c>
      <c r="E1466" s="122" t="s">
        <v>3560</v>
      </c>
      <c r="F1466" s="123">
        <v>0.197651663405088</v>
      </c>
      <c r="G1466" s="123">
        <v>0.16503267973856206</v>
      </c>
    </row>
    <row r="1467" spans="2:7" x14ac:dyDescent="0.2">
      <c r="B1467" s="120" t="s">
        <v>3222</v>
      </c>
      <c r="C1467" s="121" t="s">
        <v>3223</v>
      </c>
      <c r="D1467" s="122" t="s">
        <v>3558</v>
      </c>
      <c r="E1467" s="122" t="s">
        <v>3729</v>
      </c>
      <c r="F1467" s="123">
        <v>0.1811320754716981</v>
      </c>
      <c r="G1467" s="123">
        <v>9.9041533546325902E-2</v>
      </c>
    </row>
    <row r="1468" spans="2:7" x14ac:dyDescent="0.2">
      <c r="B1468" s="120" t="s">
        <v>3224</v>
      </c>
      <c r="C1468" s="121" t="s">
        <v>3225</v>
      </c>
      <c r="D1468" s="122" t="s">
        <v>3610</v>
      </c>
      <c r="E1468" s="122" t="s">
        <v>3656</v>
      </c>
      <c r="F1468" s="123">
        <v>1.6216216216216215</v>
      </c>
      <c r="G1468" s="123">
        <v>0.6288659793814434</v>
      </c>
    </row>
    <row r="1469" spans="2:7" x14ac:dyDescent="0.2">
      <c r="B1469" s="120" t="s">
        <v>3226</v>
      </c>
      <c r="C1469" s="121" t="s">
        <v>3227</v>
      </c>
      <c r="D1469" s="122" t="s">
        <v>25</v>
      </c>
      <c r="E1469" s="122" t="s">
        <v>3645</v>
      </c>
      <c r="F1469" s="123">
        <v>-3.7422037422037369E-2</v>
      </c>
      <c r="G1469" s="123">
        <v>5.3995680345572353E-2</v>
      </c>
    </row>
    <row r="1470" spans="2:7" x14ac:dyDescent="0.2">
      <c r="B1470" s="120" t="s">
        <v>3228</v>
      </c>
      <c r="C1470" s="121" t="s">
        <v>3229</v>
      </c>
      <c r="D1470" s="122" t="s">
        <v>3591</v>
      </c>
      <c r="E1470" s="122" t="s">
        <v>3658</v>
      </c>
      <c r="F1470" s="123">
        <v>1.8518518518518535E-2</v>
      </c>
      <c r="G1470" s="123">
        <v>6.3636363636363491E-2</v>
      </c>
    </row>
    <row r="1471" spans="2:7" x14ac:dyDescent="0.2">
      <c r="B1471" s="120" t="s">
        <v>3230</v>
      </c>
      <c r="C1471" s="121" t="s">
        <v>3231</v>
      </c>
      <c r="D1471" s="122" t="s">
        <v>25</v>
      </c>
      <c r="E1471" s="122" t="s">
        <v>3691</v>
      </c>
      <c r="F1471" s="123">
        <v>-0.43750000000000006</v>
      </c>
      <c r="G1471" s="123">
        <v>0.52777777777777801</v>
      </c>
    </row>
    <row r="1472" spans="2:7" x14ac:dyDescent="0.2">
      <c r="B1472" s="120" t="s">
        <v>3232</v>
      </c>
      <c r="C1472" s="121" t="s">
        <v>3233</v>
      </c>
      <c r="D1472" s="122" t="s">
        <v>3563</v>
      </c>
      <c r="E1472" s="122" t="s">
        <v>3747</v>
      </c>
      <c r="F1472" s="123">
        <v>-7.9710144927536142E-2</v>
      </c>
      <c r="G1472" s="123">
        <v>7.0866141732283533E-2</v>
      </c>
    </row>
    <row r="1473" spans="2:7" x14ac:dyDescent="0.2">
      <c r="B1473" s="120" t="s">
        <v>3234</v>
      </c>
      <c r="C1473" s="121" t="s">
        <v>3235</v>
      </c>
      <c r="D1473" s="122" t="s">
        <v>3556</v>
      </c>
      <c r="E1473" s="122" t="s">
        <v>3630</v>
      </c>
      <c r="F1473" s="123">
        <v>0.54545454545454553</v>
      </c>
      <c r="G1473" s="123">
        <v>0.82352941176470573</v>
      </c>
    </row>
    <row r="1474" spans="2:7" x14ac:dyDescent="0.2">
      <c r="B1474" s="120" t="s">
        <v>3236</v>
      </c>
      <c r="C1474" s="121" t="s">
        <v>3237</v>
      </c>
      <c r="D1474" s="122" t="s">
        <v>3576</v>
      </c>
      <c r="E1474" s="122" t="s">
        <v>3600</v>
      </c>
      <c r="F1474" s="123">
        <v>-0.15897435897435899</v>
      </c>
      <c r="G1474" s="123">
        <v>2.4390243902439046E-2</v>
      </c>
    </row>
    <row r="1475" spans="2:7" x14ac:dyDescent="0.2">
      <c r="B1475" s="120" t="s">
        <v>3238</v>
      </c>
      <c r="C1475" s="121" t="s">
        <v>3239</v>
      </c>
      <c r="D1475" s="122" t="s">
        <v>3556</v>
      </c>
      <c r="E1475" s="122" t="s">
        <v>3630</v>
      </c>
      <c r="F1475" s="123">
        <v>2.0749999999999997</v>
      </c>
      <c r="G1475" s="123">
        <v>-0.52032520325203258</v>
      </c>
    </row>
    <row r="1476" spans="2:7" x14ac:dyDescent="0.2">
      <c r="B1476" s="120" t="s">
        <v>3240</v>
      </c>
      <c r="C1476" s="121" t="s">
        <v>3241</v>
      </c>
      <c r="D1476" s="122" t="s">
        <v>3594</v>
      </c>
      <c r="E1476" s="122" t="s">
        <v>3754</v>
      </c>
      <c r="F1476" s="123">
        <v>-0.60154241645244211</v>
      </c>
      <c r="G1476" s="123">
        <v>-0.12580645161290327</v>
      </c>
    </row>
    <row r="1477" spans="2:7" x14ac:dyDescent="0.2">
      <c r="B1477" s="120" t="s">
        <v>3242</v>
      </c>
      <c r="C1477" s="121" t="s">
        <v>3243</v>
      </c>
      <c r="D1477" s="122" t="s">
        <v>3556</v>
      </c>
      <c r="E1477" s="122" t="s">
        <v>3764</v>
      </c>
      <c r="F1477" s="123">
        <v>-4.3087971274685853E-2</v>
      </c>
      <c r="G1477" s="123">
        <v>9.0056285178236314E-2</v>
      </c>
    </row>
    <row r="1478" spans="2:7" x14ac:dyDescent="0.2">
      <c r="B1478" s="120" t="s">
        <v>3244</v>
      </c>
      <c r="C1478" s="121" t="s">
        <v>3245</v>
      </c>
      <c r="D1478" s="122" t="s">
        <v>3563</v>
      </c>
      <c r="E1478" s="122" t="s">
        <v>3690</v>
      </c>
      <c r="F1478" s="123">
        <v>4.5662100456621044E-2</v>
      </c>
      <c r="G1478" s="123">
        <v>9.170305676855893E-2</v>
      </c>
    </row>
    <row r="1479" spans="2:7" x14ac:dyDescent="0.2">
      <c r="B1479" s="120" t="s">
        <v>3246</v>
      </c>
      <c r="C1479" s="121" t="s">
        <v>3247</v>
      </c>
      <c r="D1479" s="122" t="s">
        <v>3605</v>
      </c>
      <c r="E1479" s="122" t="s">
        <v>3653</v>
      </c>
      <c r="F1479" s="123">
        <v>0.17924528301886786</v>
      </c>
      <c r="G1479" s="123">
        <v>7.4666666666666728E-2</v>
      </c>
    </row>
    <row r="1480" spans="2:7" x14ac:dyDescent="0.2">
      <c r="B1480" s="120" t="s">
        <v>3248</v>
      </c>
      <c r="C1480" s="121" t="s">
        <v>3249</v>
      </c>
      <c r="D1480" s="122" t="s">
        <v>3556</v>
      </c>
      <c r="E1480" s="122" t="s">
        <v>3723</v>
      </c>
      <c r="F1480" s="123">
        <v>0.10833333333333343</v>
      </c>
      <c r="G1480" s="123">
        <v>0.11090225563909771</v>
      </c>
    </row>
    <row r="1481" spans="2:7" x14ac:dyDescent="0.2">
      <c r="B1481" s="120" t="s">
        <v>3250</v>
      </c>
      <c r="C1481" s="121" t="s">
        <v>3251</v>
      </c>
      <c r="D1481" s="122" t="s">
        <v>25</v>
      </c>
      <c r="E1481" s="122" t="s">
        <v>3712</v>
      </c>
      <c r="F1481" s="123">
        <v>0.54545454545454553</v>
      </c>
      <c r="G1481" s="123">
        <v>0.44117647058823517</v>
      </c>
    </row>
    <row r="1482" spans="2:7" x14ac:dyDescent="0.2">
      <c r="B1482" s="120" t="s">
        <v>3252</v>
      </c>
      <c r="C1482" s="121" t="s">
        <v>3253</v>
      </c>
      <c r="D1482" s="122" t="s">
        <v>3561</v>
      </c>
      <c r="E1482" s="122" t="s">
        <v>3562</v>
      </c>
      <c r="F1482" s="123">
        <v>0.35805330243337191</v>
      </c>
      <c r="G1482" s="123">
        <v>6.655290102389072E-2</v>
      </c>
    </row>
    <row r="1483" spans="2:7" x14ac:dyDescent="0.2">
      <c r="B1483" s="120" t="s">
        <v>3254</v>
      </c>
      <c r="C1483" s="121" t="s">
        <v>3255</v>
      </c>
      <c r="D1483" s="122" t="s">
        <v>3576</v>
      </c>
      <c r="E1483" s="122" t="s">
        <v>3626</v>
      </c>
      <c r="F1483" s="123">
        <v>-0.10218978102189789</v>
      </c>
      <c r="G1483" s="123">
        <v>2.4390243902439046E-2</v>
      </c>
    </row>
    <row r="1484" spans="2:7" x14ac:dyDescent="0.2">
      <c r="B1484" s="120" t="s">
        <v>3256</v>
      </c>
      <c r="C1484" s="121" t="s">
        <v>3257</v>
      </c>
      <c r="D1484" s="122" t="s">
        <v>3576</v>
      </c>
      <c r="E1484" s="122" t="s">
        <v>3671</v>
      </c>
      <c r="F1484" s="123">
        <v>3.2653061224489639E-2</v>
      </c>
      <c r="G1484" s="123">
        <v>-7.9051383399209568E-3</v>
      </c>
    </row>
    <row r="1485" spans="2:7" x14ac:dyDescent="0.2">
      <c r="B1485" s="120" t="s">
        <v>3258</v>
      </c>
      <c r="C1485" s="121" t="s">
        <v>3259</v>
      </c>
      <c r="D1485" s="122" t="s">
        <v>3556</v>
      </c>
      <c r="E1485" s="122" t="s">
        <v>3607</v>
      </c>
      <c r="F1485" s="123">
        <v>5.5194805194805172E-2</v>
      </c>
      <c r="G1485" s="123">
        <v>-1</v>
      </c>
    </row>
    <row r="1486" spans="2:7" x14ac:dyDescent="0.2">
      <c r="B1486" s="120" t="s">
        <v>3260</v>
      </c>
      <c r="C1486" s="121" t="s">
        <v>3261</v>
      </c>
      <c r="D1486" s="122" t="s">
        <v>3576</v>
      </c>
      <c r="E1486" s="122" t="s">
        <v>3577</v>
      </c>
      <c r="F1486" s="123">
        <v>6.7010309278350458E-2</v>
      </c>
      <c r="G1486" s="123">
        <v>5.7971014492753679E-2</v>
      </c>
    </row>
    <row r="1487" spans="2:7" x14ac:dyDescent="0.2">
      <c r="B1487" s="120" t="s">
        <v>3262</v>
      </c>
      <c r="C1487" s="121" t="s">
        <v>3263</v>
      </c>
      <c r="D1487" s="122" t="s">
        <v>3591</v>
      </c>
      <c r="E1487" s="122" t="s">
        <v>3643</v>
      </c>
      <c r="F1487" s="123">
        <v>-0.12727272727272732</v>
      </c>
      <c r="G1487" s="123">
        <v>0.3000000000000001</v>
      </c>
    </row>
    <row r="1488" spans="2:7" x14ac:dyDescent="0.2">
      <c r="B1488" s="120" t="s">
        <v>3264</v>
      </c>
      <c r="C1488" s="121" t="s">
        <v>3265</v>
      </c>
      <c r="D1488" s="122" t="s">
        <v>3612</v>
      </c>
      <c r="E1488" s="122" t="s">
        <v>3716</v>
      </c>
      <c r="F1488" s="123">
        <v>8.0000000000000071E-2</v>
      </c>
      <c r="G1488" s="123">
        <v>0.11111111111111099</v>
      </c>
    </row>
    <row r="1489" spans="2:7" x14ac:dyDescent="0.2">
      <c r="B1489" s="120" t="s">
        <v>3266</v>
      </c>
      <c r="C1489" s="121" t="s">
        <v>3267</v>
      </c>
      <c r="D1489" s="122" t="s">
        <v>3561</v>
      </c>
      <c r="E1489" s="122" t="s">
        <v>3608</v>
      </c>
      <c r="F1489" s="123">
        <v>0.11308203991130816</v>
      </c>
      <c r="G1489" s="123">
        <v>0.11902390438247015</v>
      </c>
    </row>
    <row r="1490" spans="2:7" x14ac:dyDescent="0.2">
      <c r="B1490" s="120" t="s">
        <v>3268</v>
      </c>
      <c r="C1490" s="121" t="s">
        <v>3269</v>
      </c>
      <c r="D1490" s="122" t="s">
        <v>3569</v>
      </c>
      <c r="E1490" s="122" t="s">
        <v>3758</v>
      </c>
      <c r="F1490" s="123">
        <v>7.6923076923076969E-2</v>
      </c>
      <c r="G1490" s="123">
        <v>7.7299412915851184E-2</v>
      </c>
    </row>
    <row r="1491" spans="2:7" x14ac:dyDescent="0.2">
      <c r="B1491" s="120" t="s">
        <v>3270</v>
      </c>
      <c r="C1491" s="121" t="s">
        <v>3271</v>
      </c>
      <c r="D1491" s="122" t="s">
        <v>3556</v>
      </c>
      <c r="E1491" s="122" t="s">
        <v>3742</v>
      </c>
      <c r="F1491" s="123">
        <v>9.0909090909090912E-2</v>
      </c>
      <c r="G1491" s="123">
        <v>9.9637681159420427E-2</v>
      </c>
    </row>
    <row r="1492" spans="2:7" x14ac:dyDescent="0.2">
      <c r="B1492" s="120" t="s">
        <v>3272</v>
      </c>
      <c r="C1492" s="121" t="s">
        <v>3273</v>
      </c>
      <c r="D1492" s="122" t="s">
        <v>24</v>
      </c>
      <c r="E1492" s="122" t="s">
        <v>3701</v>
      </c>
      <c r="F1492" s="123">
        <v>6.8965517241379379E-2</v>
      </c>
      <c r="G1492" s="123">
        <v>9.3189964157706015E-2</v>
      </c>
    </row>
    <row r="1493" spans="2:7" x14ac:dyDescent="0.2">
      <c r="B1493" s="120" t="s">
        <v>3274</v>
      </c>
      <c r="C1493" s="121" t="s">
        <v>3275</v>
      </c>
      <c r="D1493" s="122" t="s">
        <v>3563</v>
      </c>
      <c r="E1493" s="122" t="s">
        <v>3734</v>
      </c>
      <c r="F1493" s="123">
        <v>9.8255280073461918E-2</v>
      </c>
      <c r="G1493" s="123">
        <v>0.12040133779264209</v>
      </c>
    </row>
    <row r="1494" spans="2:7" x14ac:dyDescent="0.2">
      <c r="B1494" s="120" t="s">
        <v>3276</v>
      </c>
      <c r="C1494" s="121" t="s">
        <v>3277</v>
      </c>
      <c r="D1494" s="122" t="s">
        <v>3576</v>
      </c>
      <c r="E1494" s="122" t="s">
        <v>3636</v>
      </c>
      <c r="F1494" s="123">
        <v>2.8508771929824737E-2</v>
      </c>
      <c r="G1494" s="123">
        <v>2.1321961620468627E-3</v>
      </c>
    </row>
    <row r="1495" spans="2:7" x14ac:dyDescent="0.2">
      <c r="B1495" s="120" t="s">
        <v>3278</v>
      </c>
      <c r="C1495" s="121" t="s">
        <v>3279</v>
      </c>
      <c r="D1495" s="122" t="s">
        <v>3576</v>
      </c>
      <c r="E1495" s="122" t="s">
        <v>3667</v>
      </c>
      <c r="F1495" s="123">
        <v>0.10273972602739735</v>
      </c>
      <c r="G1495" s="123">
        <v>-1.8633540372670822E-2</v>
      </c>
    </row>
    <row r="1496" spans="2:7" x14ac:dyDescent="0.2">
      <c r="B1496" s="120" t="s">
        <v>3280</v>
      </c>
      <c r="C1496" s="121" t="s">
        <v>3281</v>
      </c>
      <c r="D1496" s="122" t="s">
        <v>24</v>
      </c>
      <c r="E1496" s="122" t="s">
        <v>3701</v>
      </c>
      <c r="F1496" s="123">
        <v>6.4638783269961947E-2</v>
      </c>
      <c r="G1496" s="123">
        <v>9.2857142857142944E-2</v>
      </c>
    </row>
    <row r="1497" spans="2:7" x14ac:dyDescent="0.2">
      <c r="B1497" s="120" t="s">
        <v>3282</v>
      </c>
      <c r="C1497" s="121" t="s">
        <v>3283</v>
      </c>
      <c r="D1497" s="122" t="s">
        <v>3576</v>
      </c>
      <c r="E1497" s="122" t="s">
        <v>3626</v>
      </c>
      <c r="F1497" s="123">
        <v>0.26035502958579881</v>
      </c>
      <c r="G1497" s="123">
        <v>-7.0422535211267567E-2</v>
      </c>
    </row>
    <row r="1498" spans="2:7" x14ac:dyDescent="0.2">
      <c r="B1498" s="120" t="s">
        <v>3284</v>
      </c>
      <c r="C1498" s="121" t="s">
        <v>3285</v>
      </c>
      <c r="D1498" s="122" t="s">
        <v>3558</v>
      </c>
      <c r="E1498" s="122" t="s">
        <v>3720</v>
      </c>
      <c r="F1498" s="123">
        <v>-4.079254079254075E-2</v>
      </c>
      <c r="G1498" s="123">
        <v>0.11786148238153084</v>
      </c>
    </row>
    <row r="1499" spans="2:7" x14ac:dyDescent="0.2">
      <c r="B1499" s="120" t="s">
        <v>3286</v>
      </c>
      <c r="C1499" s="121" t="s">
        <v>3287</v>
      </c>
      <c r="D1499" s="122" t="s">
        <v>3569</v>
      </c>
      <c r="E1499" s="122" t="s">
        <v>3625</v>
      </c>
      <c r="F1499" s="123">
        <v>0.15703124999999998</v>
      </c>
      <c r="G1499" s="123">
        <v>0.11951384199864941</v>
      </c>
    </row>
    <row r="1500" spans="2:7" x14ac:dyDescent="0.2">
      <c r="B1500" s="120" t="s">
        <v>3288</v>
      </c>
      <c r="C1500" s="121" t="s">
        <v>3289</v>
      </c>
      <c r="D1500" s="122" t="s">
        <v>3576</v>
      </c>
      <c r="E1500" s="122" t="s">
        <v>3597</v>
      </c>
      <c r="F1500" s="123">
        <v>4.6065259117082577E-2</v>
      </c>
      <c r="G1500" s="123">
        <v>6.7889908256880752E-2</v>
      </c>
    </row>
    <row r="1501" spans="2:7" x14ac:dyDescent="0.2">
      <c r="B1501" s="120" t="s">
        <v>3290</v>
      </c>
      <c r="C1501" s="121" t="s">
        <v>3291</v>
      </c>
      <c r="D1501" s="122" t="s">
        <v>3561</v>
      </c>
      <c r="E1501" s="122" t="s">
        <v>3706</v>
      </c>
      <c r="F1501" s="123">
        <v>0.13613231552162841</v>
      </c>
      <c r="G1501" s="123">
        <v>0.12094064949608063</v>
      </c>
    </row>
    <row r="1502" spans="2:7" x14ac:dyDescent="0.2">
      <c r="B1502" s="120" t="s">
        <v>3292</v>
      </c>
      <c r="C1502" s="121" t="s">
        <v>3293</v>
      </c>
      <c r="D1502" s="122" t="s">
        <v>3594</v>
      </c>
      <c r="E1502" s="122" t="s">
        <v>3602</v>
      </c>
      <c r="F1502" s="123">
        <v>-0.10559006211180133</v>
      </c>
      <c r="G1502" s="123">
        <v>0.1736111111111111</v>
      </c>
    </row>
    <row r="1503" spans="2:7" x14ac:dyDescent="0.2">
      <c r="B1503" s="120" t="s">
        <v>3294</v>
      </c>
      <c r="C1503" s="121" t="s">
        <v>3295</v>
      </c>
      <c r="D1503" s="122" t="s">
        <v>3576</v>
      </c>
      <c r="E1503" s="122" t="s">
        <v>3626</v>
      </c>
      <c r="F1503" s="123">
        <v>1.3661202185792301E-2</v>
      </c>
      <c r="G1503" s="123">
        <v>3.7735849056603807E-2</v>
      </c>
    </row>
    <row r="1504" spans="2:7" x14ac:dyDescent="0.2">
      <c r="B1504" s="120" t="s">
        <v>3296</v>
      </c>
      <c r="C1504" s="121" t="s">
        <v>3297</v>
      </c>
      <c r="D1504" s="122" t="s">
        <v>3561</v>
      </c>
      <c r="E1504" s="122" t="s">
        <v>3748</v>
      </c>
      <c r="F1504" s="123">
        <v>3.8781163434903086E-2</v>
      </c>
      <c r="G1504" s="123">
        <v>7.4666666666666728E-2</v>
      </c>
    </row>
    <row r="1505" spans="2:7" x14ac:dyDescent="0.2">
      <c r="B1505" s="120" t="s">
        <v>3298</v>
      </c>
      <c r="C1505" s="121" t="s">
        <v>3299</v>
      </c>
      <c r="D1505" s="122" t="s">
        <v>3580</v>
      </c>
      <c r="E1505" s="122" t="s">
        <v>3649</v>
      </c>
      <c r="F1505" s="123">
        <v>0.18623232944068846</v>
      </c>
      <c r="G1505" s="123">
        <v>9.9999999999999978E-2</v>
      </c>
    </row>
    <row r="1506" spans="2:7" x14ac:dyDescent="0.2">
      <c r="B1506" s="120" t="s">
        <v>3300</v>
      </c>
      <c r="C1506" s="121" t="s">
        <v>3301</v>
      </c>
      <c r="D1506" s="122" t="s">
        <v>3576</v>
      </c>
      <c r="E1506" s="122" t="s">
        <v>3654</v>
      </c>
      <c r="F1506" s="123">
        <v>4.8780487804878099E-2</v>
      </c>
      <c r="G1506" s="123">
        <v>3.720930232558143E-2</v>
      </c>
    </row>
    <row r="1507" spans="2:7" x14ac:dyDescent="0.2">
      <c r="B1507" s="120" t="s">
        <v>3302</v>
      </c>
      <c r="C1507" s="121" t="s">
        <v>3303</v>
      </c>
      <c r="D1507" s="122" t="s">
        <v>24</v>
      </c>
      <c r="E1507" s="122" t="s">
        <v>3633</v>
      </c>
      <c r="F1507" s="123">
        <v>0.10731707317073182</v>
      </c>
      <c r="G1507" s="123">
        <v>0.12334801762114529</v>
      </c>
    </row>
    <row r="1508" spans="2:7" x14ac:dyDescent="0.2">
      <c r="B1508" s="120" t="s">
        <v>3304</v>
      </c>
      <c r="C1508" s="121" t="s">
        <v>3305</v>
      </c>
      <c r="D1508" s="122" t="s">
        <v>3556</v>
      </c>
      <c r="E1508" s="122" t="s">
        <v>3721</v>
      </c>
      <c r="F1508" s="123">
        <v>-7.4074074074074139E-2</v>
      </c>
      <c r="G1508" s="123">
        <v>6.6666666666666721E-2</v>
      </c>
    </row>
    <row r="1509" spans="2:7" x14ac:dyDescent="0.2">
      <c r="B1509" s="120" t="s">
        <v>3306</v>
      </c>
      <c r="C1509" s="121" t="s">
        <v>3307</v>
      </c>
      <c r="D1509" s="122" t="s">
        <v>3576</v>
      </c>
      <c r="E1509" s="122" t="s">
        <v>3689</v>
      </c>
      <c r="F1509" s="123">
        <v>0.1136363636363636</v>
      </c>
      <c r="G1509" s="123">
        <v>0.12244897959183684</v>
      </c>
    </row>
    <row r="1510" spans="2:7" x14ac:dyDescent="0.2">
      <c r="B1510" s="120" t="s">
        <v>3308</v>
      </c>
      <c r="C1510" s="121" t="s">
        <v>3309</v>
      </c>
      <c r="D1510" s="122" t="s">
        <v>3569</v>
      </c>
      <c r="E1510" s="122" t="s">
        <v>3722</v>
      </c>
      <c r="F1510" s="123">
        <v>-1.1294583883751652</v>
      </c>
      <c r="G1510" s="123">
        <v>5.7755102040816331</v>
      </c>
    </row>
    <row r="1511" spans="2:7" x14ac:dyDescent="0.2">
      <c r="B1511" s="120" t="s">
        <v>3310</v>
      </c>
      <c r="C1511" s="121" t="s">
        <v>3311</v>
      </c>
      <c r="D1511" s="122" t="s">
        <v>3679</v>
      </c>
      <c r="E1511" s="122" t="s">
        <v>3680</v>
      </c>
      <c r="F1511" s="123">
        <v>0.11838440111420609</v>
      </c>
      <c r="G1511" s="123">
        <v>9.7135740971357562E-2</v>
      </c>
    </row>
    <row r="1512" spans="2:7" x14ac:dyDescent="0.2">
      <c r="B1512" s="120" t="s">
        <v>3312</v>
      </c>
      <c r="C1512" s="121" t="s">
        <v>3313</v>
      </c>
      <c r="D1512" s="122" t="s">
        <v>3582</v>
      </c>
      <c r="E1512" s="122" t="s">
        <v>3590</v>
      </c>
      <c r="F1512" s="123">
        <v>0.17647058823529424</v>
      </c>
      <c r="G1512" s="123">
        <v>0.15555555555555553</v>
      </c>
    </row>
    <row r="1513" spans="2:7" x14ac:dyDescent="0.2">
      <c r="B1513" s="120" t="s">
        <v>3314</v>
      </c>
      <c r="C1513" s="121" t="s">
        <v>3315</v>
      </c>
      <c r="D1513" s="122" t="s">
        <v>25</v>
      </c>
      <c r="E1513" s="122" t="s">
        <v>3703</v>
      </c>
      <c r="F1513" s="123">
        <v>0.3724137931034483</v>
      </c>
      <c r="G1513" s="123">
        <v>0.12311557788944717</v>
      </c>
    </row>
    <row r="1514" spans="2:7" x14ac:dyDescent="0.2">
      <c r="B1514" s="120" t="s">
        <v>3316</v>
      </c>
      <c r="C1514" s="121" t="s">
        <v>3317</v>
      </c>
      <c r="D1514" s="122" t="s">
        <v>3594</v>
      </c>
      <c r="E1514" s="122" t="s">
        <v>3751</v>
      </c>
      <c r="F1514" s="123">
        <v>-4.6979865771812124E-2</v>
      </c>
      <c r="G1514" s="123">
        <v>9.1549295774647974E-2</v>
      </c>
    </row>
    <row r="1515" spans="2:7" x14ac:dyDescent="0.2">
      <c r="B1515" s="120" t="s">
        <v>3318</v>
      </c>
      <c r="C1515" s="121" t="s">
        <v>3319</v>
      </c>
      <c r="D1515" s="122" t="s">
        <v>3569</v>
      </c>
      <c r="E1515" s="122" t="s">
        <v>3574</v>
      </c>
      <c r="F1515" s="123">
        <v>3.8202247191011215E-2</v>
      </c>
      <c r="G1515" s="123">
        <v>0.12770562770562768</v>
      </c>
    </row>
    <row r="1516" spans="2:7" x14ac:dyDescent="0.2">
      <c r="B1516" s="120" t="s">
        <v>3320</v>
      </c>
      <c r="C1516" s="121" t="s">
        <v>3321</v>
      </c>
      <c r="D1516" s="122" t="s">
        <v>3556</v>
      </c>
      <c r="E1516" s="122" t="s">
        <v>3630</v>
      </c>
      <c r="F1516" s="123">
        <v>0.33544303797468339</v>
      </c>
      <c r="G1516" s="123">
        <v>0.1469194312796209</v>
      </c>
    </row>
    <row r="1517" spans="2:7" x14ac:dyDescent="0.2">
      <c r="B1517" s="120" t="s">
        <v>3322</v>
      </c>
      <c r="C1517" s="121" t="s">
        <v>3323</v>
      </c>
      <c r="D1517" s="122" t="s">
        <v>3591</v>
      </c>
      <c r="E1517" s="122" t="s">
        <v>3650</v>
      </c>
      <c r="F1517" s="123">
        <v>1.4184397163120581E-2</v>
      </c>
      <c r="G1517" s="123">
        <v>9.7902097902097987E-2</v>
      </c>
    </row>
    <row r="1518" spans="2:7" x14ac:dyDescent="0.2">
      <c r="B1518" s="120" t="s">
        <v>3324</v>
      </c>
      <c r="C1518" s="121" t="s">
        <v>3325</v>
      </c>
      <c r="D1518" s="122" t="s">
        <v>3591</v>
      </c>
      <c r="E1518" s="122" t="s">
        <v>3658</v>
      </c>
      <c r="F1518" s="123">
        <v>0.28571428571428553</v>
      </c>
      <c r="G1518" s="123">
        <v>0.13888888888888887</v>
      </c>
    </row>
    <row r="1519" spans="2:7" x14ac:dyDescent="0.2">
      <c r="B1519" s="120" t="s">
        <v>3326</v>
      </c>
      <c r="C1519" s="121" t="s">
        <v>3327</v>
      </c>
      <c r="D1519" s="122" t="s">
        <v>3576</v>
      </c>
      <c r="E1519" s="122" t="s">
        <v>3619</v>
      </c>
      <c r="F1519" s="123">
        <v>-2.7777777777777804E-2</v>
      </c>
      <c r="G1519" s="123">
        <v>-2.8571428571428439E-2</v>
      </c>
    </row>
    <row r="1520" spans="2:7" x14ac:dyDescent="0.2">
      <c r="B1520" s="120" t="s">
        <v>3328</v>
      </c>
      <c r="C1520" s="121" t="s">
        <v>3329</v>
      </c>
      <c r="D1520" s="122" t="s">
        <v>25</v>
      </c>
      <c r="E1520" s="122" t="s">
        <v>3712</v>
      </c>
      <c r="F1520" s="123">
        <v>-9.1644204851751981E-2</v>
      </c>
      <c r="G1520" s="123">
        <v>0.14540059347181</v>
      </c>
    </row>
    <row r="1521" spans="2:7" x14ac:dyDescent="0.2">
      <c r="B1521" s="120" t="s">
        <v>3330</v>
      </c>
      <c r="C1521" s="121" t="s">
        <v>3331</v>
      </c>
      <c r="D1521" s="122" t="s">
        <v>3556</v>
      </c>
      <c r="E1521" s="122" t="s">
        <v>3756</v>
      </c>
      <c r="F1521" s="123">
        <v>-0.1764705882352941</v>
      </c>
      <c r="G1521" s="123">
        <v>-0.10714285714285723</v>
      </c>
    </row>
    <row r="1522" spans="2:7" x14ac:dyDescent="0.2">
      <c r="B1522" s="120" t="s">
        <v>3332</v>
      </c>
      <c r="C1522" s="121" t="s">
        <v>3333</v>
      </c>
      <c r="D1522" s="122" t="s">
        <v>25</v>
      </c>
      <c r="E1522" s="122" t="s">
        <v>3731</v>
      </c>
      <c r="F1522" s="123">
        <v>-1.9512195121951237E-2</v>
      </c>
      <c r="G1522" s="123">
        <v>7.4626865671641979E-2</v>
      </c>
    </row>
    <row r="1523" spans="2:7" x14ac:dyDescent="0.2">
      <c r="B1523" s="120" t="s">
        <v>3334</v>
      </c>
      <c r="C1523" s="121" t="s">
        <v>3335</v>
      </c>
      <c r="D1523" s="122" t="s">
        <v>3556</v>
      </c>
      <c r="E1523" s="122" t="s">
        <v>3624</v>
      </c>
      <c r="F1523" s="123">
        <v>4.5454545454545324E-2</v>
      </c>
      <c r="G1523" s="123">
        <v>0.11594202898550736</v>
      </c>
    </row>
    <row r="1524" spans="2:7" x14ac:dyDescent="0.2">
      <c r="B1524" s="120" t="s">
        <v>3336</v>
      </c>
      <c r="C1524" s="121" t="s">
        <v>3337</v>
      </c>
      <c r="D1524" s="122" t="s">
        <v>3576</v>
      </c>
      <c r="E1524" s="122" t="s">
        <v>3619</v>
      </c>
      <c r="F1524" s="123">
        <v>6.9930069930069999E-3</v>
      </c>
      <c r="G1524" s="123">
        <v>0.11111111111111122</v>
      </c>
    </row>
    <row r="1525" spans="2:7" x14ac:dyDescent="0.2">
      <c r="B1525" s="120" t="s">
        <v>3338</v>
      </c>
      <c r="C1525" s="121" t="s">
        <v>3339</v>
      </c>
      <c r="D1525" s="122" t="s">
        <v>3556</v>
      </c>
      <c r="E1525" s="122" t="s">
        <v>3753</v>
      </c>
      <c r="F1525" s="123">
        <v>0.39655172413793122</v>
      </c>
      <c r="G1525" s="123">
        <v>0.23456790123456783</v>
      </c>
    </row>
    <row r="1526" spans="2:7" x14ac:dyDescent="0.2">
      <c r="B1526" s="120" t="s">
        <v>3340</v>
      </c>
      <c r="C1526" s="121" t="s">
        <v>3341</v>
      </c>
      <c r="D1526" s="122" t="s">
        <v>3576</v>
      </c>
      <c r="E1526" s="122" t="s">
        <v>3651</v>
      </c>
      <c r="F1526" s="123">
        <v>-0.38461538461538464</v>
      </c>
      <c r="G1526" s="123">
        <v>0.44166666666666671</v>
      </c>
    </row>
    <row r="1527" spans="2:7" x14ac:dyDescent="0.2">
      <c r="B1527" s="120" t="s">
        <v>3342</v>
      </c>
      <c r="C1527" s="121" t="s">
        <v>3343</v>
      </c>
      <c r="D1527" s="122" t="s">
        <v>3591</v>
      </c>
      <c r="E1527" s="122" t="s">
        <v>3658</v>
      </c>
      <c r="F1527" s="123">
        <v>-0.42465753424657537</v>
      </c>
      <c r="G1527" s="123">
        <v>8.3333333333333412E-2</v>
      </c>
    </row>
    <row r="1528" spans="2:7" x14ac:dyDescent="0.2">
      <c r="B1528" s="120" t="s">
        <v>3344</v>
      </c>
      <c r="C1528" s="121" t="s">
        <v>3345</v>
      </c>
      <c r="D1528" s="122" t="s">
        <v>3591</v>
      </c>
      <c r="E1528" s="122" t="s">
        <v>3658</v>
      </c>
      <c r="F1528" s="123">
        <v>0.14851485148514842</v>
      </c>
      <c r="G1528" s="123">
        <v>0.19827586206896552</v>
      </c>
    </row>
    <row r="1529" spans="2:7" x14ac:dyDescent="0.2">
      <c r="B1529" s="120" t="s">
        <v>3346</v>
      </c>
      <c r="C1529" s="121" t="s">
        <v>3347</v>
      </c>
      <c r="D1529" s="122" t="s">
        <v>3610</v>
      </c>
      <c r="E1529" s="122" t="s">
        <v>3611</v>
      </c>
      <c r="F1529" s="123">
        <v>-0.35099337748344372</v>
      </c>
      <c r="G1529" s="123">
        <v>0.44897959183673464</v>
      </c>
    </row>
    <row r="1530" spans="2:7" x14ac:dyDescent="0.2">
      <c r="B1530" s="120" t="s">
        <v>3348</v>
      </c>
      <c r="C1530" s="121" t="s">
        <v>3349</v>
      </c>
      <c r="D1530" s="122" t="s">
        <v>3612</v>
      </c>
      <c r="E1530" s="122" t="s">
        <v>3739</v>
      </c>
      <c r="F1530" s="123">
        <v>-0.20159999999999997</v>
      </c>
      <c r="G1530" s="123">
        <v>0.90981963927855691</v>
      </c>
    </row>
    <row r="1531" spans="2:7" x14ac:dyDescent="0.2">
      <c r="B1531" s="120" t="s">
        <v>3350</v>
      </c>
      <c r="C1531" s="121" t="s">
        <v>3351</v>
      </c>
      <c r="D1531" s="122" t="s">
        <v>3594</v>
      </c>
      <c r="E1531" s="122" t="s">
        <v>3800</v>
      </c>
      <c r="F1531" s="123">
        <v>-0.42000000000000004</v>
      </c>
      <c r="G1531" s="123">
        <v>0.48275862068965525</v>
      </c>
    </row>
    <row r="1532" spans="2:7" x14ac:dyDescent="0.2">
      <c r="B1532" s="120" t="s">
        <v>3352</v>
      </c>
      <c r="C1532" s="121" t="s">
        <v>3353</v>
      </c>
      <c r="D1532" s="122" t="s">
        <v>3610</v>
      </c>
      <c r="E1532" s="122" t="s">
        <v>3611</v>
      </c>
      <c r="F1532" s="123">
        <v>0.16233766233766234</v>
      </c>
      <c r="G1532" s="123">
        <v>-0.15642458100558659</v>
      </c>
    </row>
    <row r="1533" spans="2:7" x14ac:dyDescent="0.2">
      <c r="B1533" s="120" t="s">
        <v>3354</v>
      </c>
      <c r="C1533" s="121" t="s">
        <v>3355</v>
      </c>
      <c r="D1533" s="122" t="s">
        <v>3576</v>
      </c>
      <c r="E1533" s="122" t="s">
        <v>3646</v>
      </c>
      <c r="F1533" s="123">
        <v>0.14634146341463414</v>
      </c>
      <c r="G1533" s="123">
        <v>6.3829787234042618E-2</v>
      </c>
    </row>
    <row r="1534" spans="2:7" x14ac:dyDescent="0.2">
      <c r="B1534" s="120" t="s">
        <v>3356</v>
      </c>
      <c r="C1534" s="121" t="s">
        <v>3357</v>
      </c>
      <c r="D1534" s="122" t="s">
        <v>3580</v>
      </c>
      <c r="E1534" s="122" t="s">
        <v>3601</v>
      </c>
      <c r="F1534" s="123">
        <v>0.23155216284987268</v>
      </c>
      <c r="G1534" s="123">
        <v>0.17768595041322321</v>
      </c>
    </row>
    <row r="1535" spans="2:7" x14ac:dyDescent="0.2">
      <c r="B1535" s="120" t="s">
        <v>3358</v>
      </c>
      <c r="C1535" s="121" t="s">
        <v>3359</v>
      </c>
      <c r="D1535" s="122" t="s">
        <v>3558</v>
      </c>
      <c r="E1535" s="122" t="s">
        <v>3798</v>
      </c>
      <c r="F1535" s="123">
        <v>8.9828269484808418E-2</v>
      </c>
      <c r="G1535" s="123">
        <v>0.15515151515151507</v>
      </c>
    </row>
    <row r="1536" spans="2:7" x14ac:dyDescent="0.2">
      <c r="B1536" s="120" t="s">
        <v>3360</v>
      </c>
      <c r="C1536" s="121" t="s">
        <v>3361</v>
      </c>
      <c r="D1536" s="122" t="s">
        <v>3556</v>
      </c>
      <c r="E1536" s="122" t="s">
        <v>3579</v>
      </c>
      <c r="F1536" s="123">
        <v>4.8154093097913291E-2</v>
      </c>
      <c r="G1536" s="123">
        <v>0.11791730474732</v>
      </c>
    </row>
    <row r="1537" spans="2:7" x14ac:dyDescent="0.2">
      <c r="B1537" s="120" t="s">
        <v>3362</v>
      </c>
      <c r="C1537" s="121" t="s">
        <v>3363</v>
      </c>
      <c r="D1537" s="122" t="s">
        <v>3576</v>
      </c>
      <c r="E1537" s="122" t="s">
        <v>3619</v>
      </c>
      <c r="F1537" s="123">
        <v>-8.9473684210526289E-2</v>
      </c>
      <c r="G1537" s="123">
        <v>4.9132947976878595E-2</v>
      </c>
    </row>
    <row r="1538" spans="2:7" x14ac:dyDescent="0.2">
      <c r="B1538" s="120" t="s">
        <v>3364</v>
      </c>
      <c r="C1538" s="121" t="s">
        <v>3365</v>
      </c>
      <c r="D1538" s="122" t="s">
        <v>3612</v>
      </c>
      <c r="E1538" s="122" t="s">
        <v>3627</v>
      </c>
      <c r="F1538" s="123">
        <v>-0.58139534883720934</v>
      </c>
      <c r="G1538" s="123">
        <v>-0.17777777777777781</v>
      </c>
    </row>
    <row r="1539" spans="2:7" x14ac:dyDescent="0.2">
      <c r="B1539" s="120" t="s">
        <v>3366</v>
      </c>
      <c r="C1539" s="121" t="s">
        <v>3367</v>
      </c>
      <c r="D1539" s="122" t="s">
        <v>3556</v>
      </c>
      <c r="E1539" s="122" t="s">
        <v>3621</v>
      </c>
      <c r="F1539" s="123">
        <v>0.17204301075268819</v>
      </c>
      <c r="G1539" s="123">
        <v>0.1559633027522935</v>
      </c>
    </row>
    <row r="1540" spans="2:7" x14ac:dyDescent="0.2">
      <c r="B1540" s="120" t="s">
        <v>3368</v>
      </c>
      <c r="C1540" s="121" t="s">
        <v>3369</v>
      </c>
      <c r="D1540" s="122" t="s">
        <v>3612</v>
      </c>
      <c r="E1540" s="122" t="s">
        <v>3759</v>
      </c>
      <c r="F1540" s="123">
        <v>0.22310756972111559</v>
      </c>
      <c r="G1540" s="123">
        <v>5.5374592833876343E-2</v>
      </c>
    </row>
    <row r="1541" spans="2:7" x14ac:dyDescent="0.2">
      <c r="B1541" s="120" t="s">
        <v>3370</v>
      </c>
      <c r="C1541" s="121" t="s">
        <v>3371</v>
      </c>
      <c r="D1541" s="122" t="s">
        <v>3576</v>
      </c>
      <c r="E1541" s="122" t="s">
        <v>3641</v>
      </c>
      <c r="F1541" s="123">
        <v>0.38987341772151896</v>
      </c>
      <c r="G1541" s="123">
        <v>0.13114754098360651</v>
      </c>
    </row>
    <row r="1542" spans="2:7" x14ac:dyDescent="0.2">
      <c r="B1542" s="120" t="s">
        <v>3372</v>
      </c>
      <c r="C1542" s="121" t="s">
        <v>3373</v>
      </c>
      <c r="D1542" s="122" t="s">
        <v>3556</v>
      </c>
      <c r="E1542" s="122" t="s">
        <v>3579</v>
      </c>
      <c r="F1542" s="123">
        <v>0.15141955835962145</v>
      </c>
      <c r="G1542" s="123">
        <v>0.11780821917808224</v>
      </c>
    </row>
    <row r="1543" spans="2:7" x14ac:dyDescent="0.2">
      <c r="B1543" s="120" t="s">
        <v>3374</v>
      </c>
      <c r="C1543" s="121" t="s">
        <v>3375</v>
      </c>
      <c r="D1543" s="122" t="s">
        <v>3582</v>
      </c>
      <c r="E1543" s="122" t="s">
        <v>3664</v>
      </c>
      <c r="F1543" s="123">
        <v>6.506024096385532E-2</v>
      </c>
      <c r="G1543" s="123">
        <v>0.10633484162895922</v>
      </c>
    </row>
    <row r="1544" spans="2:7" x14ac:dyDescent="0.2">
      <c r="B1544" s="120" t="s">
        <v>3376</v>
      </c>
      <c r="C1544" s="121" t="s">
        <v>3377</v>
      </c>
      <c r="D1544" s="122" t="s">
        <v>3556</v>
      </c>
      <c r="E1544" s="122" t="s">
        <v>3756</v>
      </c>
      <c r="F1544" s="123">
        <v>0.11702127659574464</v>
      </c>
      <c r="G1544" s="123">
        <v>8.1904761904761855E-2</v>
      </c>
    </row>
    <row r="1545" spans="2:7" x14ac:dyDescent="0.2">
      <c r="B1545" s="120" t="s">
        <v>3378</v>
      </c>
      <c r="C1545" s="121" t="s">
        <v>3379</v>
      </c>
      <c r="D1545" s="122" t="s">
        <v>3569</v>
      </c>
      <c r="E1545" s="122" t="s">
        <v>3575</v>
      </c>
      <c r="F1545" s="123">
        <v>0.195822454308094</v>
      </c>
      <c r="G1545" s="123">
        <v>0.31659388646288211</v>
      </c>
    </row>
    <row r="1546" spans="2:7" x14ac:dyDescent="0.2">
      <c r="B1546" s="120" t="s">
        <v>3380</v>
      </c>
      <c r="C1546" s="121" t="s">
        <v>3381</v>
      </c>
      <c r="D1546" s="122" t="s">
        <v>3556</v>
      </c>
      <c r="E1546" s="122" t="s">
        <v>3742</v>
      </c>
      <c r="F1546" s="123">
        <v>0.83216783216783219</v>
      </c>
      <c r="G1546" s="123">
        <v>3.9166666666666665</v>
      </c>
    </row>
    <row r="1547" spans="2:7" x14ac:dyDescent="0.2">
      <c r="B1547" s="120" t="s">
        <v>3382</v>
      </c>
      <c r="C1547" s="121" t="s">
        <v>3383</v>
      </c>
      <c r="D1547" s="122" t="s">
        <v>3594</v>
      </c>
      <c r="E1547" s="122" t="s">
        <v>3637</v>
      </c>
      <c r="F1547" s="123">
        <v>-8.6206896551724223E-3</v>
      </c>
      <c r="G1547" s="123">
        <v>8.6956521739130523E-3</v>
      </c>
    </row>
    <row r="1548" spans="2:7" x14ac:dyDescent="0.2">
      <c r="B1548" s="120" t="s">
        <v>3384</v>
      </c>
      <c r="C1548" s="121" t="s">
        <v>3385</v>
      </c>
      <c r="D1548" s="122" t="s">
        <v>3591</v>
      </c>
      <c r="E1548" s="122" t="s">
        <v>3592</v>
      </c>
      <c r="F1548" s="123">
        <v>0.63358778625954204</v>
      </c>
      <c r="G1548" s="123">
        <v>0.11214953271028026</v>
      </c>
    </row>
    <row r="1549" spans="2:7" x14ac:dyDescent="0.2">
      <c r="B1549" s="120" t="s">
        <v>3386</v>
      </c>
      <c r="C1549" s="121" t="s">
        <v>3387</v>
      </c>
      <c r="D1549" s="122" t="s">
        <v>3576</v>
      </c>
      <c r="E1549" s="122" t="s">
        <v>3619</v>
      </c>
      <c r="F1549" s="123">
        <v>-4.477611940298501E-2</v>
      </c>
      <c r="G1549" s="123">
        <v>2.343750000000008E-2</v>
      </c>
    </row>
    <row r="1550" spans="2:7" x14ac:dyDescent="0.2">
      <c r="B1550" s="120" t="s">
        <v>3388</v>
      </c>
      <c r="C1550" s="121" t="s">
        <v>3389</v>
      </c>
      <c r="D1550" s="122" t="s">
        <v>3594</v>
      </c>
      <c r="E1550" s="122" t="s">
        <v>3637</v>
      </c>
      <c r="F1550" s="123">
        <v>3.1007751937984523E-2</v>
      </c>
      <c r="G1550" s="123">
        <v>9.774436090225555E-2</v>
      </c>
    </row>
    <row r="1551" spans="2:7" x14ac:dyDescent="0.2">
      <c r="B1551" s="120" t="s">
        <v>3390</v>
      </c>
      <c r="C1551" s="121" t="s">
        <v>3391</v>
      </c>
      <c r="D1551" s="122" t="s">
        <v>3610</v>
      </c>
      <c r="E1551" s="122" t="s">
        <v>3656</v>
      </c>
      <c r="F1551" s="123">
        <v>0.12592592592592586</v>
      </c>
      <c r="G1551" s="123">
        <v>2.960526315789469E-2</v>
      </c>
    </row>
    <row r="1552" spans="2:7" x14ac:dyDescent="0.2">
      <c r="B1552" s="120" t="s">
        <v>3392</v>
      </c>
      <c r="C1552" s="121" t="s">
        <v>3393</v>
      </c>
      <c r="D1552" s="122" t="s">
        <v>3556</v>
      </c>
      <c r="E1552" s="122" t="s">
        <v>3721</v>
      </c>
      <c r="F1552" s="123">
        <v>2.7777777777777755E-2</v>
      </c>
      <c r="G1552" s="123">
        <v>1.8711018711018868E-2</v>
      </c>
    </row>
    <row r="1553" spans="2:7" x14ac:dyDescent="0.2">
      <c r="B1553" s="120" t="s">
        <v>3394</v>
      </c>
      <c r="C1553" s="121" t="s">
        <v>3395</v>
      </c>
      <c r="D1553" s="122" t="s">
        <v>3563</v>
      </c>
      <c r="E1553" s="122" t="s">
        <v>3622</v>
      </c>
      <c r="F1553" s="123">
        <v>-0.55140186915887834</v>
      </c>
      <c r="G1553" s="123">
        <v>4.6686746987951749E-2</v>
      </c>
    </row>
    <row r="1554" spans="2:7" x14ac:dyDescent="0.2">
      <c r="B1554" s="120" t="s">
        <v>3396</v>
      </c>
      <c r="C1554" s="121" t="s">
        <v>3397</v>
      </c>
      <c r="D1554" s="122" t="s">
        <v>3561</v>
      </c>
      <c r="E1554" s="122" t="s">
        <v>3608</v>
      </c>
      <c r="F1554" s="123">
        <v>8.5714285714285618E-2</v>
      </c>
      <c r="G1554" s="123">
        <v>0.13157894736842124</v>
      </c>
    </row>
    <row r="1555" spans="2:7" x14ac:dyDescent="0.2">
      <c r="B1555" s="120" t="s">
        <v>3398</v>
      </c>
      <c r="C1555" s="121" t="s">
        <v>3399</v>
      </c>
      <c r="D1555" s="122" t="s">
        <v>3576</v>
      </c>
      <c r="E1555" s="122" t="s">
        <v>3667</v>
      </c>
      <c r="F1555" s="123">
        <v>0.17241379310344834</v>
      </c>
      <c r="G1555" s="123">
        <v>6.5126050420168169E-2</v>
      </c>
    </row>
    <row r="1556" spans="2:7" x14ac:dyDescent="0.2">
      <c r="B1556" s="120" t="s">
        <v>3400</v>
      </c>
      <c r="C1556" s="121" t="s">
        <v>3401</v>
      </c>
      <c r="D1556" s="122" t="s">
        <v>3556</v>
      </c>
      <c r="E1556" s="122" t="s">
        <v>3673</v>
      </c>
      <c r="F1556" s="123">
        <v>0.11786600496277906</v>
      </c>
      <c r="G1556" s="123">
        <v>0.12430632630410667</v>
      </c>
    </row>
    <row r="1557" spans="2:7" x14ac:dyDescent="0.2">
      <c r="B1557" s="120" t="s">
        <v>3402</v>
      </c>
      <c r="C1557" s="121" t="s">
        <v>3403</v>
      </c>
      <c r="D1557" s="122" t="s">
        <v>3556</v>
      </c>
      <c r="E1557" s="122" t="s">
        <v>3791</v>
      </c>
      <c r="F1557" s="123">
        <v>4.4943820224719142E-2</v>
      </c>
      <c r="G1557" s="123">
        <v>0.15053763440860213</v>
      </c>
    </row>
    <row r="1558" spans="2:7" x14ac:dyDescent="0.2">
      <c r="B1558" s="120" t="s">
        <v>3404</v>
      </c>
      <c r="C1558" s="121" t="s">
        <v>3405</v>
      </c>
      <c r="D1558" s="122" t="s">
        <v>3610</v>
      </c>
      <c r="E1558" s="122" t="s">
        <v>3611</v>
      </c>
      <c r="F1558" s="123">
        <v>-4.0103492884864228E-2</v>
      </c>
      <c r="G1558" s="123">
        <v>4.7169811320754672E-2</v>
      </c>
    </row>
    <row r="1559" spans="2:7" x14ac:dyDescent="0.2">
      <c r="B1559" s="120" t="s">
        <v>3406</v>
      </c>
      <c r="C1559" s="121" t="s">
        <v>3407</v>
      </c>
      <c r="D1559" s="122" t="s">
        <v>3576</v>
      </c>
      <c r="E1559" s="122" t="s">
        <v>3626</v>
      </c>
      <c r="F1559" s="123">
        <v>-0.13529411764705881</v>
      </c>
      <c r="G1559" s="123">
        <v>8.8435374149659948E-2</v>
      </c>
    </row>
    <row r="1560" spans="2:7" x14ac:dyDescent="0.2">
      <c r="B1560" s="120" t="s">
        <v>3408</v>
      </c>
      <c r="C1560" s="121" t="s">
        <v>3409</v>
      </c>
      <c r="D1560" s="122" t="s">
        <v>3576</v>
      </c>
      <c r="E1560" s="122" t="s">
        <v>3646</v>
      </c>
      <c r="F1560" s="123">
        <v>9.8930481283422481E-2</v>
      </c>
      <c r="G1560" s="123">
        <v>-1.9464720194647216E-2</v>
      </c>
    </row>
    <row r="1561" spans="2:7" x14ac:dyDescent="0.2">
      <c r="B1561" s="120" t="s">
        <v>3410</v>
      </c>
      <c r="C1561" s="121" t="s">
        <v>3411</v>
      </c>
      <c r="D1561" s="122" t="s">
        <v>3569</v>
      </c>
      <c r="E1561" s="122" t="s">
        <v>3625</v>
      </c>
      <c r="F1561" s="123">
        <v>0.27479526842584162</v>
      </c>
      <c r="G1561" s="123">
        <v>0.18201284796573869</v>
      </c>
    </row>
    <row r="1562" spans="2:7" x14ac:dyDescent="0.2">
      <c r="B1562" s="120" t="s">
        <v>3412</v>
      </c>
      <c r="C1562" s="121" t="s">
        <v>3413</v>
      </c>
      <c r="D1562" s="122" t="s">
        <v>3582</v>
      </c>
      <c r="E1562" s="122" t="s">
        <v>3707</v>
      </c>
      <c r="F1562" s="123">
        <v>5.9523809523809486E-2</v>
      </c>
      <c r="G1562" s="123">
        <v>0.153558052434457</v>
      </c>
    </row>
    <row r="1563" spans="2:7" x14ac:dyDescent="0.2">
      <c r="B1563" s="120" t="s">
        <v>3414</v>
      </c>
      <c r="C1563" s="121" t="s">
        <v>3415</v>
      </c>
      <c r="D1563" s="122" t="s">
        <v>3556</v>
      </c>
      <c r="E1563" s="122" t="s">
        <v>3630</v>
      </c>
      <c r="F1563" s="123">
        <v>0.32283464566929126</v>
      </c>
      <c r="G1563" s="123">
        <v>0.3095238095238097</v>
      </c>
    </row>
    <row r="1564" spans="2:7" x14ac:dyDescent="0.2">
      <c r="B1564" s="120" t="s">
        <v>3416</v>
      </c>
      <c r="C1564" s="121" t="s">
        <v>3417</v>
      </c>
      <c r="D1564" s="122" t="s">
        <v>3556</v>
      </c>
      <c r="E1564" s="122" t="s">
        <v>3783</v>
      </c>
      <c r="F1564" s="123">
        <v>-0.36929460580912865</v>
      </c>
      <c r="G1564" s="123">
        <v>1.3322368421052631</v>
      </c>
    </row>
    <row r="1565" spans="2:7" x14ac:dyDescent="0.2">
      <c r="B1565" s="120" t="s">
        <v>3418</v>
      </c>
      <c r="C1565" s="121" t="s">
        <v>3419</v>
      </c>
      <c r="D1565" s="122" t="s">
        <v>3591</v>
      </c>
      <c r="E1565" s="122" t="s">
        <v>3592</v>
      </c>
      <c r="F1565" s="123">
        <v>5.3892215568862326E-2</v>
      </c>
      <c r="G1565" s="123">
        <v>6.8181818181818121E-2</v>
      </c>
    </row>
    <row r="1566" spans="2:7" x14ac:dyDescent="0.2">
      <c r="B1566" s="120" t="s">
        <v>3420</v>
      </c>
      <c r="C1566" s="121" t="s">
        <v>3421</v>
      </c>
      <c r="D1566" s="122" t="s">
        <v>3580</v>
      </c>
      <c r="E1566" s="122" t="s">
        <v>3581</v>
      </c>
      <c r="F1566" s="123">
        <v>-4.9180327868852507E-2</v>
      </c>
      <c r="G1566" s="123">
        <v>0.12068965517241391</v>
      </c>
    </row>
    <row r="1567" spans="2:7" x14ac:dyDescent="0.2">
      <c r="B1567" s="120" t="s">
        <v>3422</v>
      </c>
      <c r="C1567" s="121" t="s">
        <v>3423</v>
      </c>
      <c r="D1567" s="122" t="s">
        <v>3576</v>
      </c>
      <c r="E1567" s="122" t="s">
        <v>3619</v>
      </c>
      <c r="F1567" s="123">
        <v>2.9629629629629659E-2</v>
      </c>
      <c r="G1567" s="123">
        <v>4.5563549160671554E-2</v>
      </c>
    </row>
    <row r="1568" spans="2:7" x14ac:dyDescent="0.2">
      <c r="B1568" s="120" t="s">
        <v>3424</v>
      </c>
      <c r="C1568" s="121" t="s">
        <v>3425</v>
      </c>
      <c r="D1568" s="122" t="s">
        <v>3563</v>
      </c>
      <c r="E1568" s="122" t="s">
        <v>3690</v>
      </c>
      <c r="F1568" s="123">
        <v>5.2631578947368474E-2</v>
      </c>
      <c r="G1568" s="123">
        <v>0.25000000000000006</v>
      </c>
    </row>
    <row r="1569" spans="2:7" x14ac:dyDescent="0.2">
      <c r="B1569" s="120" t="s">
        <v>3426</v>
      </c>
      <c r="C1569" s="121" t="s">
        <v>3427</v>
      </c>
      <c r="D1569" s="122" t="s">
        <v>3612</v>
      </c>
      <c r="E1569" s="122" t="s">
        <v>3785</v>
      </c>
      <c r="F1569" s="123">
        <v>-0.13333333333333333</v>
      </c>
      <c r="G1569" s="123">
        <v>0.34319526627218938</v>
      </c>
    </row>
    <row r="1570" spans="2:7" x14ac:dyDescent="0.2">
      <c r="B1570" s="120" t="s">
        <v>3428</v>
      </c>
      <c r="C1570" s="121" t="s">
        <v>3429</v>
      </c>
      <c r="D1570" s="122" t="s">
        <v>3582</v>
      </c>
      <c r="E1570" s="122" t="s">
        <v>3590</v>
      </c>
      <c r="F1570" s="123">
        <v>0.12698412698412712</v>
      </c>
      <c r="G1570" s="123">
        <v>0.15926327193932815</v>
      </c>
    </row>
    <row r="1571" spans="2:7" x14ac:dyDescent="0.2">
      <c r="B1571" s="120" t="s">
        <v>3430</v>
      </c>
      <c r="C1571" s="121" t="s">
        <v>3431</v>
      </c>
      <c r="D1571" s="122" t="s">
        <v>3576</v>
      </c>
      <c r="E1571" s="122" t="s">
        <v>3604</v>
      </c>
      <c r="F1571" s="123">
        <v>-7.2792362768496557E-2</v>
      </c>
      <c r="G1571" s="123">
        <v>5.5341055341055309E-2</v>
      </c>
    </row>
    <row r="1572" spans="2:7" x14ac:dyDescent="0.2">
      <c r="B1572" s="120" t="s">
        <v>3432</v>
      </c>
      <c r="C1572" s="121" t="s">
        <v>3433</v>
      </c>
      <c r="D1572" s="122" t="s">
        <v>3576</v>
      </c>
      <c r="E1572" s="122" t="s">
        <v>3654</v>
      </c>
      <c r="F1572" s="123">
        <v>0.12499999999999985</v>
      </c>
      <c r="G1572" s="123">
        <v>-5.2410901467505246E-2</v>
      </c>
    </row>
    <row r="1573" spans="2:7" x14ac:dyDescent="0.2">
      <c r="B1573" s="120" t="s">
        <v>3434</v>
      </c>
      <c r="C1573" s="121" t="s">
        <v>3435</v>
      </c>
      <c r="D1573" s="122" t="s">
        <v>25</v>
      </c>
      <c r="E1573" s="122" t="s">
        <v>3703</v>
      </c>
      <c r="F1573" s="123">
        <v>0.19924812030075179</v>
      </c>
      <c r="G1573" s="123">
        <v>0.12225705329153609</v>
      </c>
    </row>
    <row r="1574" spans="2:7" x14ac:dyDescent="0.2">
      <c r="B1574" s="120" t="s">
        <v>3436</v>
      </c>
      <c r="C1574" s="121" t="s">
        <v>3437</v>
      </c>
      <c r="D1574" s="122" t="s">
        <v>25</v>
      </c>
      <c r="E1574" s="122" t="s">
        <v>3738</v>
      </c>
      <c r="F1574" s="123">
        <v>3.6326250856751154E-2</v>
      </c>
      <c r="G1574" s="123">
        <v>0.10251322751322768</v>
      </c>
    </row>
    <row r="1575" spans="2:7" x14ac:dyDescent="0.2">
      <c r="B1575" s="120" t="s">
        <v>3438</v>
      </c>
      <c r="C1575" s="121" t="s">
        <v>3439</v>
      </c>
      <c r="D1575" s="122" t="s">
        <v>3569</v>
      </c>
      <c r="E1575" s="122" t="s">
        <v>3572</v>
      </c>
      <c r="F1575" s="123">
        <v>-3.1746031746031772E-2</v>
      </c>
      <c r="G1575" s="123">
        <v>0.19672131147540983</v>
      </c>
    </row>
    <row r="1576" spans="2:7" x14ac:dyDescent="0.2">
      <c r="B1576" s="120" t="s">
        <v>3440</v>
      </c>
      <c r="C1576" s="121" t="s">
        <v>3441</v>
      </c>
      <c r="D1576" s="122" t="s">
        <v>3556</v>
      </c>
      <c r="E1576" s="122" t="s">
        <v>3723</v>
      </c>
      <c r="F1576" s="123">
        <v>0.14285714285714285</v>
      </c>
      <c r="G1576" s="123">
        <v>4.1666666666666706E-2</v>
      </c>
    </row>
    <row r="1577" spans="2:7" x14ac:dyDescent="0.2">
      <c r="B1577" s="120" t="s">
        <v>3442</v>
      </c>
      <c r="C1577" s="121" t="s">
        <v>3443</v>
      </c>
      <c r="D1577" s="122" t="s">
        <v>3556</v>
      </c>
      <c r="E1577" s="122" t="s">
        <v>3614</v>
      </c>
      <c r="F1577" s="123">
        <v>7.9545454545454489E-2</v>
      </c>
      <c r="G1577" s="123">
        <v>0.46315789473684205</v>
      </c>
    </row>
    <row r="1578" spans="2:7" x14ac:dyDescent="0.2">
      <c r="B1578" s="120" t="s">
        <v>3444</v>
      </c>
      <c r="C1578" s="121" t="s">
        <v>3445</v>
      </c>
      <c r="D1578" s="122" t="s">
        <v>3561</v>
      </c>
      <c r="E1578" s="122" t="s">
        <v>3706</v>
      </c>
      <c r="F1578" s="123">
        <v>0.21285140562248986</v>
      </c>
      <c r="G1578" s="123">
        <v>2.3178807947019816E-2</v>
      </c>
    </row>
    <row r="1579" spans="2:7" x14ac:dyDescent="0.2">
      <c r="B1579" s="120" t="s">
        <v>3446</v>
      </c>
      <c r="C1579" s="121" t="s">
        <v>3447</v>
      </c>
      <c r="D1579" s="122" t="s">
        <v>3594</v>
      </c>
      <c r="E1579" s="122" t="s">
        <v>3714</v>
      </c>
      <c r="F1579" s="123">
        <v>-0.55966587112171851</v>
      </c>
      <c r="G1579" s="123">
        <v>0.2872628726287263</v>
      </c>
    </row>
    <row r="1580" spans="2:7" x14ac:dyDescent="0.2">
      <c r="B1580" s="120" t="s">
        <v>3448</v>
      </c>
      <c r="C1580" s="121" t="s">
        <v>3449</v>
      </c>
      <c r="D1580" s="122" t="s">
        <v>3576</v>
      </c>
      <c r="E1580" s="122" t="s">
        <v>3603</v>
      </c>
      <c r="F1580" s="123">
        <v>0.11644535240040865</v>
      </c>
      <c r="G1580" s="123">
        <v>9.7895699908508715E-2</v>
      </c>
    </row>
    <row r="1581" spans="2:7" x14ac:dyDescent="0.2">
      <c r="B1581" s="120" t="s">
        <v>3450</v>
      </c>
      <c r="C1581" s="121" t="s">
        <v>3451</v>
      </c>
      <c r="D1581" s="122" t="s">
        <v>3582</v>
      </c>
      <c r="E1581" s="122" t="s">
        <v>3707</v>
      </c>
      <c r="F1581" s="123">
        <v>4.5893719806763385E-2</v>
      </c>
      <c r="G1581" s="123">
        <v>8.5450346420323342E-2</v>
      </c>
    </row>
    <row r="1582" spans="2:7" x14ac:dyDescent="0.2">
      <c r="B1582" s="120" t="s">
        <v>3452</v>
      </c>
      <c r="C1582" s="121" t="s">
        <v>3453</v>
      </c>
      <c r="D1582" s="122" t="s">
        <v>3612</v>
      </c>
      <c r="E1582" s="122" t="s">
        <v>3716</v>
      </c>
      <c r="F1582" s="123">
        <v>0.23749999999999993</v>
      </c>
      <c r="G1582" s="123">
        <v>9.0909090909090995E-2</v>
      </c>
    </row>
    <row r="1583" spans="2:7" x14ac:dyDescent="0.2">
      <c r="B1583" s="120" t="s">
        <v>3454</v>
      </c>
      <c r="C1583" s="121" t="s">
        <v>3455</v>
      </c>
      <c r="D1583" s="122" t="s">
        <v>3563</v>
      </c>
      <c r="E1583" s="122" t="s">
        <v>3687</v>
      </c>
      <c r="F1583" s="123">
        <v>0.11650485436893192</v>
      </c>
      <c r="G1583" s="123">
        <v>8.6956521739130516E-2</v>
      </c>
    </row>
    <row r="1584" spans="2:7" x14ac:dyDescent="0.2">
      <c r="B1584" s="120" t="s">
        <v>3456</v>
      </c>
      <c r="C1584" s="121" t="s">
        <v>21</v>
      </c>
      <c r="D1584" s="122" t="s">
        <v>3563</v>
      </c>
      <c r="E1584" s="122" t="s">
        <v>3687</v>
      </c>
      <c r="F1584" s="123">
        <v>1.6563146997929622E-2</v>
      </c>
      <c r="G1584" s="123">
        <v>4.2769857433808546E-2</v>
      </c>
    </row>
    <row r="1585" spans="2:7" x14ac:dyDescent="0.2">
      <c r="B1585" s="120" t="s">
        <v>3457</v>
      </c>
      <c r="C1585" s="121" t="s">
        <v>3458</v>
      </c>
      <c r="D1585" s="122" t="s">
        <v>3582</v>
      </c>
      <c r="E1585" s="122" t="s">
        <v>3728</v>
      </c>
      <c r="F1585" s="123">
        <v>8.2706766917293131E-2</v>
      </c>
      <c r="G1585" s="123">
        <v>9.027777777777786E-2</v>
      </c>
    </row>
    <row r="1586" spans="2:7" x14ac:dyDescent="0.2">
      <c r="B1586" s="120" t="s">
        <v>3459</v>
      </c>
      <c r="C1586" s="121" t="s">
        <v>3460</v>
      </c>
      <c r="D1586" s="122" t="s">
        <v>3576</v>
      </c>
      <c r="E1586" s="122" t="s">
        <v>3619</v>
      </c>
      <c r="F1586" s="123">
        <v>-7.421150278293126E-2</v>
      </c>
      <c r="G1586" s="123">
        <v>1.6032064128256526E-2</v>
      </c>
    </row>
    <row r="1587" spans="2:7" x14ac:dyDescent="0.2">
      <c r="B1587" s="120" t="s">
        <v>3461</v>
      </c>
      <c r="C1587" s="121" t="s">
        <v>3462</v>
      </c>
      <c r="D1587" s="122" t="s">
        <v>3594</v>
      </c>
      <c r="E1587" s="122" t="s">
        <v>3647</v>
      </c>
      <c r="F1587" s="123">
        <v>0.17391304347826089</v>
      </c>
      <c r="G1587" s="123">
        <v>0.37037037037037024</v>
      </c>
    </row>
    <row r="1588" spans="2:7" x14ac:dyDescent="0.2">
      <c r="B1588" s="120" t="s">
        <v>3463</v>
      </c>
      <c r="C1588" s="121" t="s">
        <v>3464</v>
      </c>
      <c r="D1588" s="122" t="s">
        <v>3582</v>
      </c>
      <c r="E1588" s="122" t="s">
        <v>3765</v>
      </c>
      <c r="F1588" s="123">
        <v>-9.9702380952380945E-2</v>
      </c>
      <c r="G1588" s="123">
        <v>-1.6528925619834652E-2</v>
      </c>
    </row>
    <row r="1589" spans="2:7" x14ac:dyDescent="0.2">
      <c r="B1589" s="120" t="s">
        <v>3465</v>
      </c>
      <c r="C1589" s="121" t="s">
        <v>3466</v>
      </c>
      <c r="D1589" s="122" t="s">
        <v>3612</v>
      </c>
      <c r="E1589" s="122" t="s">
        <v>3627</v>
      </c>
      <c r="F1589" s="123">
        <v>1.9230769230769229</v>
      </c>
      <c r="G1589" s="123">
        <v>0.94736842105263153</v>
      </c>
    </row>
    <row r="1590" spans="2:7" x14ac:dyDescent="0.2">
      <c r="B1590" s="120" t="s">
        <v>3467</v>
      </c>
      <c r="C1590" s="121" t="s">
        <v>3468</v>
      </c>
      <c r="D1590" s="122" t="s">
        <v>3576</v>
      </c>
      <c r="E1590" s="122" t="s">
        <v>3578</v>
      </c>
      <c r="F1590" s="123">
        <v>0.11718749999999993</v>
      </c>
      <c r="G1590" s="123">
        <v>2.0979020979020997E-2</v>
      </c>
    </row>
    <row r="1591" spans="2:7" x14ac:dyDescent="0.2">
      <c r="B1591" s="120" t="s">
        <v>3469</v>
      </c>
      <c r="C1591" s="121" t="s">
        <v>3470</v>
      </c>
      <c r="D1591" s="122" t="s">
        <v>3576</v>
      </c>
      <c r="E1591" s="122" t="s">
        <v>3584</v>
      </c>
      <c r="F1591" s="123">
        <v>-8.2969432314410452E-2</v>
      </c>
      <c r="G1591" s="123">
        <v>1.9047619047619063E-2</v>
      </c>
    </row>
    <row r="1592" spans="2:7" x14ac:dyDescent="0.2">
      <c r="B1592" s="120" t="s">
        <v>3471</v>
      </c>
      <c r="C1592" s="121" t="s">
        <v>3472</v>
      </c>
      <c r="D1592" s="122" t="s">
        <v>3594</v>
      </c>
      <c r="E1592" s="122" t="s">
        <v>3732</v>
      </c>
      <c r="F1592" s="123">
        <v>-2.2277227722772242E-2</v>
      </c>
      <c r="G1592" s="123">
        <v>-0.14177215189873418</v>
      </c>
    </row>
    <row r="1593" spans="2:7" x14ac:dyDescent="0.2">
      <c r="B1593" s="120" t="s">
        <v>3473</v>
      </c>
      <c r="C1593" s="121" t="s">
        <v>3474</v>
      </c>
      <c r="D1593" s="122" t="s">
        <v>3563</v>
      </c>
      <c r="E1593" s="122" t="s">
        <v>3787</v>
      </c>
      <c r="F1593" s="123">
        <v>9.9537037037036966E-2</v>
      </c>
      <c r="G1593" s="123">
        <v>3.3684210526315816E-2</v>
      </c>
    </row>
    <row r="1594" spans="2:7" x14ac:dyDescent="0.2">
      <c r="B1594" s="120" t="s">
        <v>3475</v>
      </c>
      <c r="C1594" s="121" t="s">
        <v>3476</v>
      </c>
      <c r="D1594" s="122" t="s">
        <v>3580</v>
      </c>
      <c r="E1594" s="122" t="s">
        <v>3776</v>
      </c>
      <c r="F1594" s="123">
        <v>2.0123839009287908E-2</v>
      </c>
      <c r="G1594" s="123">
        <v>5.1593323216995425E-2</v>
      </c>
    </row>
    <row r="1595" spans="2:7" x14ac:dyDescent="0.2">
      <c r="B1595" s="120" t="s">
        <v>3477</v>
      </c>
      <c r="C1595" s="121" t="s">
        <v>3478</v>
      </c>
      <c r="D1595" s="122" t="s">
        <v>3569</v>
      </c>
      <c r="E1595" s="122" t="s">
        <v>3571</v>
      </c>
      <c r="F1595" s="123">
        <v>9.6428571428571447E-2</v>
      </c>
      <c r="G1595" s="123">
        <v>9.7719869706840476E-2</v>
      </c>
    </row>
    <row r="1596" spans="2:7" x14ac:dyDescent="0.2">
      <c r="B1596" s="120" t="s">
        <v>3479</v>
      </c>
      <c r="C1596" s="121" t="s">
        <v>3480</v>
      </c>
      <c r="D1596" s="122" t="s">
        <v>3576</v>
      </c>
      <c r="E1596" s="122" t="s">
        <v>3636</v>
      </c>
      <c r="F1596" s="123">
        <v>8.2101806239736983E-3</v>
      </c>
      <c r="G1596" s="123">
        <v>7.654723127035841E-2</v>
      </c>
    </row>
    <row r="1597" spans="2:7" x14ac:dyDescent="0.2">
      <c r="B1597" s="120" t="s">
        <v>3481</v>
      </c>
      <c r="C1597" s="121" t="s">
        <v>3482</v>
      </c>
      <c r="D1597" s="122" t="s">
        <v>3591</v>
      </c>
      <c r="E1597" s="122" t="s">
        <v>3650</v>
      </c>
      <c r="F1597" s="123">
        <v>3.5460992907801449E-2</v>
      </c>
      <c r="G1597" s="123">
        <v>8.9041095890411037E-2</v>
      </c>
    </row>
    <row r="1598" spans="2:7" x14ac:dyDescent="0.2">
      <c r="B1598" s="120" t="s">
        <v>3483</v>
      </c>
      <c r="C1598" s="121" t="s">
        <v>3484</v>
      </c>
      <c r="D1598" s="122" t="s">
        <v>3556</v>
      </c>
      <c r="E1598" s="122" t="s">
        <v>3794</v>
      </c>
      <c r="F1598" s="123">
        <v>8.8471849865951649E-2</v>
      </c>
      <c r="G1598" s="123">
        <v>6.8965517241379379E-2</v>
      </c>
    </row>
    <row r="1599" spans="2:7" x14ac:dyDescent="0.2">
      <c r="B1599" s="120" t="s">
        <v>3485</v>
      </c>
      <c r="C1599" s="121" t="s">
        <v>3486</v>
      </c>
      <c r="D1599" s="122" t="s">
        <v>3582</v>
      </c>
      <c r="E1599" s="122" t="s">
        <v>3590</v>
      </c>
      <c r="F1599" s="123">
        <v>-8.3333333333333301E-2</v>
      </c>
      <c r="G1599" s="123">
        <v>0.10227272727272724</v>
      </c>
    </row>
    <row r="1600" spans="2:7" x14ac:dyDescent="0.2">
      <c r="B1600" s="120" t="s">
        <v>3487</v>
      </c>
      <c r="C1600" s="121" t="s">
        <v>3488</v>
      </c>
      <c r="D1600" s="122" t="s">
        <v>3556</v>
      </c>
      <c r="E1600" s="122" t="s">
        <v>3756</v>
      </c>
      <c r="F1600" s="123">
        <v>1.891089108910891</v>
      </c>
      <c r="G1600" s="123">
        <v>-0.53253424657534243</v>
      </c>
    </row>
    <row r="1601" spans="2:7" x14ac:dyDescent="0.2">
      <c r="B1601" s="120" t="s">
        <v>3489</v>
      </c>
      <c r="C1601" s="121" t="s">
        <v>3490</v>
      </c>
      <c r="D1601" s="122" t="s">
        <v>3556</v>
      </c>
      <c r="E1601" s="122" t="s">
        <v>3794</v>
      </c>
      <c r="F1601" s="123">
        <v>0.29894179894179906</v>
      </c>
      <c r="G1601" s="123">
        <v>0.11812627291242364</v>
      </c>
    </row>
    <row r="1602" spans="2:7" x14ac:dyDescent="0.2">
      <c r="B1602" s="120" t="s">
        <v>3491</v>
      </c>
      <c r="C1602" s="121" t="s">
        <v>3492</v>
      </c>
      <c r="D1602" s="122" t="s">
        <v>25</v>
      </c>
      <c r="E1602" s="122" t="s">
        <v>3767</v>
      </c>
      <c r="F1602" s="123">
        <v>4.2105263157894778E-2</v>
      </c>
      <c r="G1602" s="123">
        <v>1.7474747474747476</v>
      </c>
    </row>
    <row r="1603" spans="2:7" x14ac:dyDescent="0.2">
      <c r="B1603" s="120" t="s">
        <v>3493</v>
      </c>
      <c r="C1603" s="121" t="s">
        <v>3494</v>
      </c>
      <c r="D1603" s="122" t="s">
        <v>3580</v>
      </c>
      <c r="E1603" s="122" t="s">
        <v>3750</v>
      </c>
      <c r="F1603" s="123">
        <v>-0.53278688524590168</v>
      </c>
      <c r="G1603" s="123">
        <v>0.52631578947368429</v>
      </c>
    </row>
    <row r="1604" spans="2:7" x14ac:dyDescent="0.2">
      <c r="B1604" s="120" t="s">
        <v>3495</v>
      </c>
      <c r="C1604" s="121" t="s">
        <v>3496</v>
      </c>
      <c r="D1604" s="122" t="s">
        <v>25</v>
      </c>
      <c r="E1604" s="122" t="s">
        <v>3703</v>
      </c>
      <c r="F1604" s="123">
        <v>0.14937759336099579</v>
      </c>
      <c r="G1604" s="123">
        <v>8.1227436823104723E-2</v>
      </c>
    </row>
    <row r="1605" spans="2:7" x14ac:dyDescent="0.2">
      <c r="B1605" s="120" t="s">
        <v>3497</v>
      </c>
      <c r="C1605" s="121" t="s">
        <v>3498</v>
      </c>
      <c r="D1605" s="122" t="s">
        <v>25</v>
      </c>
      <c r="E1605" s="122" t="s">
        <v>3702</v>
      </c>
      <c r="F1605" s="123">
        <v>-0.14098837209302323</v>
      </c>
      <c r="G1605" s="123">
        <v>0.10829103214890011</v>
      </c>
    </row>
    <row r="1606" spans="2:7" x14ac:dyDescent="0.2">
      <c r="B1606" s="120" t="s">
        <v>3499</v>
      </c>
      <c r="C1606" s="121" t="s">
        <v>3500</v>
      </c>
      <c r="D1606" s="122" t="s">
        <v>3612</v>
      </c>
      <c r="E1606" s="122" t="s">
        <v>3627</v>
      </c>
      <c r="F1606" s="123">
        <v>-0.35465924895688467</v>
      </c>
      <c r="G1606" s="123">
        <v>0.47844827586206912</v>
      </c>
    </row>
    <row r="1607" spans="2:7" x14ac:dyDescent="0.2">
      <c r="B1607" s="120" t="s">
        <v>3501</v>
      </c>
      <c r="C1607" s="121" t="s">
        <v>3502</v>
      </c>
      <c r="D1607" s="122" t="s">
        <v>3591</v>
      </c>
      <c r="E1607" s="122" t="s">
        <v>3592</v>
      </c>
      <c r="F1607" s="123">
        <v>6.0728744939271218E-2</v>
      </c>
      <c r="G1607" s="123">
        <v>6.4885496183206076E-2</v>
      </c>
    </row>
    <row r="1608" spans="2:7" x14ac:dyDescent="0.2">
      <c r="B1608" s="120" t="s">
        <v>3503</v>
      </c>
      <c r="C1608" s="121" t="s">
        <v>3504</v>
      </c>
      <c r="D1608" s="122" t="s">
        <v>3556</v>
      </c>
      <c r="E1608" s="122" t="s">
        <v>3801</v>
      </c>
      <c r="F1608" s="123">
        <v>8.2857142857142865E-2</v>
      </c>
      <c r="G1608" s="123">
        <v>0.14511873350923479</v>
      </c>
    </row>
    <row r="1609" spans="2:7" x14ac:dyDescent="0.2">
      <c r="B1609" s="120" t="s">
        <v>3505</v>
      </c>
      <c r="C1609" s="121" t="s">
        <v>3506</v>
      </c>
      <c r="D1609" s="122" t="s">
        <v>3591</v>
      </c>
      <c r="E1609" s="122" t="s">
        <v>3643</v>
      </c>
      <c r="F1609" s="123">
        <v>7.2874493927125389E-2</v>
      </c>
      <c r="G1609" s="123">
        <v>5.6603773584905627E-2</v>
      </c>
    </row>
    <row r="1610" spans="2:7" x14ac:dyDescent="0.2">
      <c r="B1610" s="120" t="s">
        <v>3507</v>
      </c>
      <c r="C1610" s="121" t="s">
        <v>22</v>
      </c>
      <c r="D1610" s="122" t="s">
        <v>3612</v>
      </c>
      <c r="E1610" s="122" t="s">
        <v>3669</v>
      </c>
      <c r="F1610" s="123">
        <v>-0.33478260869565213</v>
      </c>
      <c r="G1610" s="123">
        <v>0.52614379084967311</v>
      </c>
    </row>
    <row r="1611" spans="2:7" x14ac:dyDescent="0.2">
      <c r="B1611" s="120" t="s">
        <v>3508</v>
      </c>
      <c r="C1611" s="121" t="s">
        <v>3509</v>
      </c>
      <c r="D1611" s="122" t="s">
        <v>3561</v>
      </c>
      <c r="E1611" s="122" t="s">
        <v>3639</v>
      </c>
      <c r="F1611" s="123">
        <v>0.16314199395770393</v>
      </c>
      <c r="G1611" s="123">
        <v>0.2051948051948051</v>
      </c>
    </row>
    <row r="1612" spans="2:7" x14ac:dyDescent="0.2">
      <c r="B1612" s="120" t="s">
        <v>3510</v>
      </c>
      <c r="C1612" s="121" t="s">
        <v>3511</v>
      </c>
      <c r="D1612" s="122" t="s">
        <v>3569</v>
      </c>
      <c r="E1612" s="122" t="s">
        <v>3571</v>
      </c>
      <c r="F1612" s="123">
        <v>0.21319796954314729</v>
      </c>
      <c r="G1612" s="123">
        <v>0.11715481171548109</v>
      </c>
    </row>
    <row r="1613" spans="2:7" x14ac:dyDescent="0.2">
      <c r="B1613" s="120" t="s">
        <v>3512</v>
      </c>
      <c r="C1613" s="121" t="s">
        <v>3513</v>
      </c>
      <c r="D1613" s="122" t="s">
        <v>3558</v>
      </c>
      <c r="E1613" s="122" t="s">
        <v>3648</v>
      </c>
      <c r="F1613" s="123">
        <v>0.12103746397694522</v>
      </c>
      <c r="G1613" s="123">
        <v>2.8277634961439556E-2</v>
      </c>
    </row>
    <row r="1614" spans="2:7" x14ac:dyDescent="0.2">
      <c r="B1614" s="120" t="s">
        <v>3514</v>
      </c>
      <c r="C1614" s="121" t="s">
        <v>3515</v>
      </c>
      <c r="D1614" s="122" t="s">
        <v>3558</v>
      </c>
      <c r="E1614" s="122" t="s">
        <v>3642</v>
      </c>
      <c r="F1614" s="123">
        <v>9.6885813148788857E-2</v>
      </c>
      <c r="G1614" s="123">
        <v>0.14826498422712941</v>
      </c>
    </row>
    <row r="1615" spans="2:7" x14ac:dyDescent="0.2">
      <c r="B1615" s="120" t="s">
        <v>3516</v>
      </c>
      <c r="C1615" s="121" t="s">
        <v>3517</v>
      </c>
      <c r="D1615" s="122" t="s">
        <v>3576</v>
      </c>
      <c r="E1615" s="122" t="s">
        <v>3578</v>
      </c>
      <c r="F1615" s="123">
        <v>1.739948119325551</v>
      </c>
      <c r="G1615" s="123">
        <v>0.10721893491124262</v>
      </c>
    </row>
    <row r="1616" spans="2:7" x14ac:dyDescent="0.2">
      <c r="B1616" s="120" t="s">
        <v>3518</v>
      </c>
      <c r="C1616" s="121" t="s">
        <v>3519</v>
      </c>
      <c r="D1616" s="122" t="s">
        <v>3556</v>
      </c>
      <c r="E1616" s="122" t="s">
        <v>3607</v>
      </c>
      <c r="F1616" s="123">
        <v>0.14285714285714277</v>
      </c>
      <c r="G1616" s="123">
        <v>0.1875</v>
      </c>
    </row>
    <row r="1617" spans="2:7" x14ac:dyDescent="0.2">
      <c r="B1617" s="120" t="s">
        <v>3520</v>
      </c>
      <c r="C1617" s="121" t="s">
        <v>3521</v>
      </c>
      <c r="D1617" s="122" t="s">
        <v>3610</v>
      </c>
      <c r="E1617" s="122" t="s">
        <v>3656</v>
      </c>
      <c r="F1617" s="123">
        <v>-0.10756972111553768</v>
      </c>
      <c r="G1617" s="123">
        <v>9.3749999999999972E-2</v>
      </c>
    </row>
    <row r="1618" spans="2:7" x14ac:dyDescent="0.2">
      <c r="B1618" s="120" t="s">
        <v>3522</v>
      </c>
      <c r="C1618" s="121" t="s">
        <v>3523</v>
      </c>
      <c r="D1618" s="122" t="s">
        <v>3556</v>
      </c>
      <c r="E1618" s="122" t="s">
        <v>3791</v>
      </c>
      <c r="F1618" s="123">
        <v>0.36363636363636376</v>
      </c>
      <c r="G1618" s="123">
        <v>0.42222222222222205</v>
      </c>
    </row>
    <row r="1619" spans="2:7" x14ac:dyDescent="0.2">
      <c r="B1619" s="120" t="s">
        <v>3524</v>
      </c>
      <c r="C1619" s="121" t="s">
        <v>3525</v>
      </c>
      <c r="D1619" s="122" t="s">
        <v>3612</v>
      </c>
      <c r="E1619" s="122" t="s">
        <v>3669</v>
      </c>
      <c r="F1619" s="123">
        <v>-0.57692307692307698</v>
      </c>
      <c r="G1619" s="123">
        <v>-0.46753246753246758</v>
      </c>
    </row>
    <row r="1620" spans="2:7" x14ac:dyDescent="0.2">
      <c r="B1620" s="120" t="s">
        <v>3526</v>
      </c>
      <c r="C1620" s="121" t="s">
        <v>3527</v>
      </c>
      <c r="D1620" s="122" t="s">
        <v>3563</v>
      </c>
      <c r="E1620" s="122" t="s">
        <v>3690</v>
      </c>
      <c r="F1620" s="123">
        <v>4.0322580645161261E-2</v>
      </c>
      <c r="G1620" s="123">
        <v>9.5607235142118885E-2</v>
      </c>
    </row>
    <row r="1621" spans="2:7" x14ac:dyDescent="0.2">
      <c r="B1621" s="120" t="s">
        <v>3528</v>
      </c>
      <c r="C1621" s="121" t="s">
        <v>3529</v>
      </c>
      <c r="D1621" s="122" t="s">
        <v>3563</v>
      </c>
      <c r="E1621" s="122" t="s">
        <v>3690</v>
      </c>
      <c r="F1621" s="123">
        <v>0.1324503311258278</v>
      </c>
      <c r="G1621" s="123">
        <v>9.941520467836254E-2</v>
      </c>
    </row>
    <row r="1622" spans="2:7" x14ac:dyDescent="0.2">
      <c r="B1622" s="120" t="s">
        <v>3530</v>
      </c>
      <c r="C1622" s="121" t="s">
        <v>3531</v>
      </c>
      <c r="D1622" s="122" t="s">
        <v>3556</v>
      </c>
      <c r="E1622" s="122" t="s">
        <v>3791</v>
      </c>
      <c r="F1622" s="123">
        <v>-0.47506925207756229</v>
      </c>
      <c r="G1622" s="123">
        <v>0.20580474934036946</v>
      </c>
    </row>
    <row r="1623" spans="2:7" x14ac:dyDescent="0.2">
      <c r="B1623" s="120" t="s">
        <v>3532</v>
      </c>
      <c r="C1623" s="121" t="s">
        <v>3533</v>
      </c>
      <c r="D1623" s="122" t="s">
        <v>3556</v>
      </c>
      <c r="E1623" s="122" t="s">
        <v>3802</v>
      </c>
      <c r="F1623" s="123">
        <v>0.5</v>
      </c>
      <c r="G1623" s="123">
        <v>1.3333333333333345E-2</v>
      </c>
    </row>
    <row r="1624" spans="2:7" x14ac:dyDescent="0.2">
      <c r="B1624" s="120" t="s">
        <v>3534</v>
      </c>
      <c r="C1624" s="121" t="s">
        <v>3535</v>
      </c>
      <c r="D1624" s="122" t="s">
        <v>3569</v>
      </c>
      <c r="E1624" s="122" t="s">
        <v>3572</v>
      </c>
      <c r="F1624" s="123">
        <v>2.356020942408385E-2</v>
      </c>
      <c r="G1624" s="123">
        <v>6.3938618925831206E-2</v>
      </c>
    </row>
    <row r="1625" spans="2:7" x14ac:dyDescent="0.2">
      <c r="B1625" s="120" t="s">
        <v>3536</v>
      </c>
      <c r="C1625" s="121" t="s">
        <v>3537</v>
      </c>
      <c r="D1625" s="122" t="s">
        <v>3558</v>
      </c>
      <c r="E1625" s="122" t="s">
        <v>3770</v>
      </c>
      <c r="F1625" s="123">
        <v>0.18433179723502305</v>
      </c>
      <c r="G1625" s="123">
        <v>8.6381322957198539E-2</v>
      </c>
    </row>
    <row r="1626" spans="2:7" x14ac:dyDescent="0.2">
      <c r="B1626" s="120" t="s">
        <v>3538</v>
      </c>
      <c r="C1626" s="121" t="s">
        <v>3539</v>
      </c>
      <c r="D1626" s="122" t="s">
        <v>3556</v>
      </c>
      <c r="E1626" s="122" t="s">
        <v>3630</v>
      </c>
      <c r="F1626" s="123">
        <v>0.625</v>
      </c>
      <c r="G1626" s="123">
        <v>1.1923076923076921</v>
      </c>
    </row>
    <row r="1627" spans="2:7" x14ac:dyDescent="0.2">
      <c r="B1627" s="120" t="s">
        <v>3540</v>
      </c>
      <c r="C1627" s="121" t="s">
        <v>3541</v>
      </c>
      <c r="D1627" s="122" t="s">
        <v>3576</v>
      </c>
      <c r="E1627" s="122" t="s">
        <v>3667</v>
      </c>
      <c r="F1627" s="123">
        <v>3.4313725490195998E-2</v>
      </c>
      <c r="G1627" s="123">
        <v>4.7393364928909998E-2</v>
      </c>
    </row>
    <row r="1628" spans="2:7" x14ac:dyDescent="0.2">
      <c r="B1628" s="120" t="s">
        <v>3542</v>
      </c>
      <c r="C1628" s="121" t="s">
        <v>3543</v>
      </c>
      <c r="D1628" s="122" t="s">
        <v>25</v>
      </c>
      <c r="E1628" s="122" t="s">
        <v>3702</v>
      </c>
      <c r="F1628" s="123">
        <v>0.43750000000000006</v>
      </c>
      <c r="G1628" s="123">
        <v>0.13043478260869565</v>
      </c>
    </row>
    <row r="1629" spans="2:7" x14ac:dyDescent="0.2">
      <c r="B1629" s="120" t="s">
        <v>3544</v>
      </c>
      <c r="C1629" s="121" t="s">
        <v>3545</v>
      </c>
      <c r="D1629" s="122" t="s">
        <v>3561</v>
      </c>
      <c r="E1629" s="122" t="s">
        <v>3562</v>
      </c>
      <c r="F1629" s="123">
        <v>0.9031007751937985</v>
      </c>
      <c r="G1629" s="123">
        <v>0.26272912423625255</v>
      </c>
    </row>
    <row r="1630" spans="2:7" x14ac:dyDescent="0.2">
      <c r="B1630" s="120" t="s">
        <v>3546</v>
      </c>
      <c r="C1630" s="121" t="s">
        <v>3547</v>
      </c>
      <c r="D1630" s="122" t="s">
        <v>3556</v>
      </c>
      <c r="E1630" s="122" t="s">
        <v>3607</v>
      </c>
      <c r="F1630" s="123">
        <v>-0.1764705882352941</v>
      </c>
      <c r="G1630" s="123">
        <v>0.78571428571428559</v>
      </c>
    </row>
    <row r="1631" spans="2:7" x14ac:dyDescent="0.2">
      <c r="B1631" s="120" t="s">
        <v>3548</v>
      </c>
      <c r="C1631" s="121" t="s">
        <v>3549</v>
      </c>
      <c r="D1631" s="122" t="s">
        <v>3556</v>
      </c>
      <c r="E1631" s="122" t="s">
        <v>3742</v>
      </c>
      <c r="F1631" s="123">
        <v>1.675</v>
      </c>
      <c r="G1631" s="123">
        <v>7.4074074074073931E-2</v>
      </c>
    </row>
    <row r="1632" spans="2:7" x14ac:dyDescent="0.2">
      <c r="B1632" s="120" t="s">
        <v>3550</v>
      </c>
      <c r="C1632" s="121" t="s">
        <v>3551</v>
      </c>
      <c r="D1632" s="122" t="s">
        <v>3561</v>
      </c>
      <c r="E1632" s="122" t="s">
        <v>3639</v>
      </c>
      <c r="F1632" s="123">
        <v>0.22666666666666671</v>
      </c>
      <c r="G1632" s="123">
        <v>0.26086956521739119</v>
      </c>
    </row>
    <row r="1633" spans="2:7" x14ac:dyDescent="0.2">
      <c r="B1633" s="120" t="s">
        <v>3552</v>
      </c>
      <c r="C1633" s="121" t="s">
        <v>3553</v>
      </c>
      <c r="D1633" s="122" t="s">
        <v>3569</v>
      </c>
      <c r="E1633" s="122" t="s">
        <v>3722</v>
      </c>
      <c r="F1633" s="123">
        <v>0.14790996784565916</v>
      </c>
      <c r="G1633" s="123">
        <v>0.10644257703081242</v>
      </c>
    </row>
    <row r="1634" spans="2:7" x14ac:dyDescent="0.2">
      <c r="B1634" s="120" t="s">
        <v>3554</v>
      </c>
      <c r="C1634" s="121" t="s">
        <v>3555</v>
      </c>
      <c r="D1634" s="122" t="s">
        <v>3576</v>
      </c>
      <c r="E1634" s="122" t="s">
        <v>3593</v>
      </c>
      <c r="F1634" s="123">
        <v>0.20353982300884976</v>
      </c>
      <c r="G1634" s="123">
        <v>9.9264705882352935E-2</v>
      </c>
    </row>
  </sheetData>
  <autoFilter ref="B3:G3" xr:uid="{BDBCADC5-A3D2-4300-A865-2B2F3C94959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14961-584C-4371-B5D0-78640D980A96}">
  <dimension ref="B2:G2097"/>
  <sheetViews>
    <sheetView zoomScale="170" zoomScaleNormal="170" workbookViewId="0">
      <selection activeCell="I20" sqref="I20"/>
    </sheetView>
  </sheetViews>
  <sheetFormatPr baseColWidth="10" defaultColWidth="9.1640625" defaultRowHeight="15" x14ac:dyDescent="0.2"/>
  <cols>
    <col min="1" max="1" width="9.1640625" style="6"/>
    <col min="2" max="2" width="29" style="6" customWidth="1"/>
    <col min="3" max="3" width="29" style="7" customWidth="1"/>
    <col min="4" max="4" width="33" style="7" customWidth="1"/>
    <col min="5" max="16384" width="9.1640625" style="6"/>
  </cols>
  <sheetData>
    <row r="2" spans="2:7" ht="16" thickBot="1" x14ac:dyDescent="0.25"/>
    <row r="3" spans="2:7" x14ac:dyDescent="0.2">
      <c r="B3" s="116" t="s">
        <v>307</v>
      </c>
      <c r="C3" s="117" t="s">
        <v>308</v>
      </c>
      <c r="D3" s="117" t="s">
        <v>4721</v>
      </c>
      <c r="G3" s="6" t="s">
        <v>4727</v>
      </c>
    </row>
    <row r="4" spans="2:7" x14ac:dyDescent="0.2">
      <c r="B4" s="120" t="s">
        <v>309</v>
      </c>
      <c r="C4" s="121" t="s">
        <v>310</v>
      </c>
      <c r="D4" s="122">
        <v>0.84</v>
      </c>
      <c r="G4" s="6" t="s">
        <v>4728</v>
      </c>
    </row>
    <row r="5" spans="2:7" x14ac:dyDescent="0.2">
      <c r="B5" s="120" t="s">
        <v>311</v>
      </c>
      <c r="C5" s="121" t="s">
        <v>312</v>
      </c>
      <c r="D5" s="122">
        <v>0</v>
      </c>
    </row>
    <row r="6" spans="2:7" x14ac:dyDescent="0.2">
      <c r="B6" s="120" t="s">
        <v>3807</v>
      </c>
      <c r="C6" s="121" t="s">
        <v>3808</v>
      </c>
      <c r="D6" s="122">
        <v>0</v>
      </c>
    </row>
    <row r="7" spans="2:7" x14ac:dyDescent="0.2">
      <c r="B7" s="120" t="s">
        <v>313</v>
      </c>
      <c r="C7" s="121" t="s">
        <v>314</v>
      </c>
      <c r="D7" s="122">
        <v>1.44</v>
      </c>
    </row>
    <row r="8" spans="2:7" x14ac:dyDescent="0.2">
      <c r="B8" s="120" t="s">
        <v>3809</v>
      </c>
      <c r="C8" s="121" t="s">
        <v>3810</v>
      </c>
      <c r="D8" s="122">
        <v>0.78</v>
      </c>
    </row>
    <row r="9" spans="2:7" x14ac:dyDescent="0.2">
      <c r="B9" s="120" t="s">
        <v>315</v>
      </c>
      <c r="C9" s="121" t="s">
        <v>316</v>
      </c>
      <c r="D9" s="122">
        <v>1.43</v>
      </c>
    </row>
    <row r="10" spans="2:7" x14ac:dyDescent="0.2">
      <c r="B10" s="120" t="s">
        <v>317</v>
      </c>
      <c r="C10" s="121" t="s">
        <v>318</v>
      </c>
      <c r="D10" s="122">
        <v>0.23</v>
      </c>
    </row>
    <row r="11" spans="2:7" x14ac:dyDescent="0.2">
      <c r="B11" s="120" t="s">
        <v>319</v>
      </c>
      <c r="C11" s="121" t="s">
        <v>320</v>
      </c>
      <c r="D11" s="122">
        <v>0.15</v>
      </c>
    </row>
    <row r="12" spans="2:7" x14ac:dyDescent="0.2">
      <c r="B12" s="120" t="s">
        <v>321</v>
      </c>
      <c r="C12" s="121" t="s">
        <v>322</v>
      </c>
      <c r="D12" s="122">
        <v>1.41</v>
      </c>
    </row>
    <row r="13" spans="2:7" x14ac:dyDescent="0.2">
      <c r="B13" s="120" t="s">
        <v>323</v>
      </c>
      <c r="C13" s="121" t="s">
        <v>324</v>
      </c>
      <c r="D13" s="122">
        <v>0</v>
      </c>
    </row>
    <row r="14" spans="2:7" x14ac:dyDescent="0.2">
      <c r="B14" s="120" t="s">
        <v>325</v>
      </c>
      <c r="C14" s="121" t="s">
        <v>326</v>
      </c>
      <c r="D14" s="122">
        <v>2.4500000000000002</v>
      </c>
    </row>
    <row r="15" spans="2:7" x14ac:dyDescent="0.2">
      <c r="B15" s="120" t="s">
        <v>327</v>
      </c>
      <c r="C15" s="121" t="s">
        <v>328</v>
      </c>
      <c r="D15" s="122">
        <v>5.91</v>
      </c>
    </row>
    <row r="16" spans="2:7" x14ac:dyDescent="0.2">
      <c r="B16" s="120" t="s">
        <v>329</v>
      </c>
      <c r="C16" s="121" t="s">
        <v>330</v>
      </c>
      <c r="D16" s="122">
        <v>1.88</v>
      </c>
    </row>
    <row r="17" spans="2:4" x14ac:dyDescent="0.2">
      <c r="B17" s="120" t="s">
        <v>333</v>
      </c>
      <c r="C17" s="121" t="s">
        <v>334</v>
      </c>
      <c r="D17" s="122">
        <v>1.79</v>
      </c>
    </row>
    <row r="18" spans="2:4" x14ac:dyDescent="0.2">
      <c r="B18" s="120" t="s">
        <v>335</v>
      </c>
      <c r="C18" s="121" t="s">
        <v>336</v>
      </c>
      <c r="D18" s="122">
        <v>0</v>
      </c>
    </row>
    <row r="19" spans="2:4" x14ac:dyDescent="0.2">
      <c r="B19" s="120" t="s">
        <v>337</v>
      </c>
      <c r="C19" s="121" t="s">
        <v>338</v>
      </c>
      <c r="D19" s="122">
        <v>1.53</v>
      </c>
    </row>
    <row r="20" spans="2:4" x14ac:dyDescent="0.2">
      <c r="B20" s="120" t="s">
        <v>339</v>
      </c>
      <c r="C20" s="121" t="s">
        <v>340</v>
      </c>
      <c r="D20" s="122">
        <v>0</v>
      </c>
    </row>
    <row r="21" spans="2:4" x14ac:dyDescent="0.2">
      <c r="B21" s="120" t="s">
        <v>341</v>
      </c>
      <c r="C21" s="121" t="s">
        <v>342</v>
      </c>
      <c r="D21" s="122">
        <v>0</v>
      </c>
    </row>
    <row r="22" spans="2:4" x14ac:dyDescent="0.2">
      <c r="B22" s="120" t="s">
        <v>343</v>
      </c>
      <c r="C22" s="121" t="s">
        <v>344</v>
      </c>
      <c r="D22" s="122">
        <v>3.99</v>
      </c>
    </row>
    <row r="23" spans="2:4" x14ac:dyDescent="0.2">
      <c r="B23" s="120" t="s">
        <v>3811</v>
      </c>
      <c r="C23" s="121" t="s">
        <v>3812</v>
      </c>
      <c r="D23" s="122">
        <v>0</v>
      </c>
    </row>
    <row r="24" spans="2:4" x14ac:dyDescent="0.2">
      <c r="B24" s="120" t="s">
        <v>3813</v>
      </c>
      <c r="C24" s="121" t="s">
        <v>3814</v>
      </c>
      <c r="D24" s="122">
        <v>5.26</v>
      </c>
    </row>
    <row r="25" spans="2:4" x14ac:dyDescent="0.2">
      <c r="B25" s="120" t="s">
        <v>345</v>
      </c>
      <c r="C25" s="121" t="s">
        <v>346</v>
      </c>
      <c r="D25" s="122">
        <v>0</v>
      </c>
    </row>
    <row r="26" spans="2:4" x14ac:dyDescent="0.2">
      <c r="B26" s="120" t="s">
        <v>3815</v>
      </c>
      <c r="C26" s="121" t="s">
        <v>3816</v>
      </c>
      <c r="D26" s="122">
        <v>0</v>
      </c>
    </row>
    <row r="27" spans="2:4" x14ac:dyDescent="0.2">
      <c r="B27" s="120" t="s">
        <v>347</v>
      </c>
      <c r="C27" s="121" t="s">
        <v>348</v>
      </c>
      <c r="D27" s="122">
        <v>0</v>
      </c>
    </row>
    <row r="28" spans="2:4" x14ac:dyDescent="0.2">
      <c r="B28" s="120" t="s">
        <v>349</v>
      </c>
      <c r="C28" s="121" t="s">
        <v>350</v>
      </c>
      <c r="D28" s="122">
        <v>0</v>
      </c>
    </row>
    <row r="29" spans="2:4" x14ac:dyDescent="0.2">
      <c r="B29" s="120" t="s">
        <v>351</v>
      </c>
      <c r="C29" s="121" t="s">
        <v>352</v>
      </c>
      <c r="D29" s="122">
        <v>1.51</v>
      </c>
    </row>
    <row r="30" spans="2:4" x14ac:dyDescent="0.2">
      <c r="B30" s="120" t="s">
        <v>3817</v>
      </c>
      <c r="C30" s="121" t="s">
        <v>3818</v>
      </c>
      <c r="D30" s="122">
        <v>2.09</v>
      </c>
    </row>
    <row r="31" spans="2:4" x14ac:dyDescent="0.2">
      <c r="B31" s="120" t="s">
        <v>353</v>
      </c>
      <c r="C31" s="121" t="s">
        <v>354</v>
      </c>
      <c r="D31" s="122">
        <v>0</v>
      </c>
    </row>
    <row r="32" spans="2:4" x14ac:dyDescent="0.2">
      <c r="B32" s="120" t="s">
        <v>355</v>
      </c>
      <c r="C32" s="121" t="s">
        <v>356</v>
      </c>
      <c r="D32" s="122">
        <v>3.11</v>
      </c>
    </row>
    <row r="33" spans="2:4" x14ac:dyDescent="0.2">
      <c r="B33" s="120" t="s">
        <v>357</v>
      </c>
      <c r="C33" s="121" t="s">
        <v>358</v>
      </c>
      <c r="D33" s="122">
        <v>0.89</v>
      </c>
    </row>
    <row r="34" spans="2:4" x14ac:dyDescent="0.2">
      <c r="B34" s="120" t="s">
        <v>359</v>
      </c>
      <c r="C34" s="121" t="s">
        <v>360</v>
      </c>
      <c r="D34" s="122">
        <v>1.87</v>
      </c>
    </row>
    <row r="35" spans="2:4" x14ac:dyDescent="0.2">
      <c r="B35" s="120" t="s">
        <v>361</v>
      </c>
      <c r="C35" s="121" t="s">
        <v>362</v>
      </c>
      <c r="D35" s="122">
        <v>3.42</v>
      </c>
    </row>
    <row r="36" spans="2:4" x14ac:dyDescent="0.2">
      <c r="B36" s="120" t="s">
        <v>363</v>
      </c>
      <c r="C36" s="121" t="s">
        <v>364</v>
      </c>
      <c r="D36" s="122">
        <v>1.98</v>
      </c>
    </row>
    <row r="37" spans="2:4" x14ac:dyDescent="0.2">
      <c r="B37" s="120" t="s">
        <v>3819</v>
      </c>
      <c r="C37" s="121" t="s">
        <v>3820</v>
      </c>
      <c r="D37" s="122">
        <v>0</v>
      </c>
    </row>
    <row r="38" spans="2:4" x14ac:dyDescent="0.2">
      <c r="B38" s="120" t="s">
        <v>365</v>
      </c>
      <c r="C38" s="121" t="s">
        <v>366</v>
      </c>
      <c r="D38" s="122">
        <v>2.1</v>
      </c>
    </row>
    <row r="39" spans="2:4" x14ac:dyDescent="0.2">
      <c r="B39" s="120" t="s">
        <v>3821</v>
      </c>
      <c r="C39" s="121" t="s">
        <v>3822</v>
      </c>
      <c r="D39" s="122">
        <v>3.16</v>
      </c>
    </row>
    <row r="40" spans="2:4" x14ac:dyDescent="0.2">
      <c r="B40" s="120" t="s">
        <v>367</v>
      </c>
      <c r="C40" s="121" t="s">
        <v>368</v>
      </c>
      <c r="D40" s="122">
        <v>1.94</v>
      </c>
    </row>
    <row r="41" spans="2:4" x14ac:dyDescent="0.2">
      <c r="B41" s="120" t="s">
        <v>369</v>
      </c>
      <c r="C41" s="121" t="s">
        <v>370</v>
      </c>
      <c r="D41" s="122">
        <v>0</v>
      </c>
    </row>
    <row r="42" spans="2:4" x14ac:dyDescent="0.2">
      <c r="B42" s="120" t="s">
        <v>371</v>
      </c>
      <c r="C42" s="121" t="s">
        <v>372</v>
      </c>
      <c r="D42" s="122">
        <v>2.2999999999999998</v>
      </c>
    </row>
    <row r="43" spans="2:4" x14ac:dyDescent="0.2">
      <c r="B43" s="120" t="s">
        <v>373</v>
      </c>
      <c r="C43" s="121" t="s">
        <v>374</v>
      </c>
      <c r="D43" s="122">
        <v>2.4</v>
      </c>
    </row>
    <row r="44" spans="2:4" x14ac:dyDescent="0.2">
      <c r="B44" s="120" t="s">
        <v>375</v>
      </c>
      <c r="C44" s="121" t="s">
        <v>376</v>
      </c>
      <c r="D44" s="122">
        <v>6.73</v>
      </c>
    </row>
    <row r="45" spans="2:4" x14ac:dyDescent="0.2">
      <c r="B45" s="120" t="s">
        <v>377</v>
      </c>
      <c r="C45" s="121" t="s">
        <v>378</v>
      </c>
      <c r="D45" s="122">
        <v>0.86</v>
      </c>
    </row>
    <row r="46" spans="2:4" x14ac:dyDescent="0.2">
      <c r="B46" s="120" t="s">
        <v>379</v>
      </c>
      <c r="C46" s="121" t="s">
        <v>380</v>
      </c>
      <c r="D46" s="122">
        <v>2.88</v>
      </c>
    </row>
    <row r="47" spans="2:4" x14ac:dyDescent="0.2">
      <c r="B47" s="120" t="s">
        <v>381</v>
      </c>
      <c r="C47" s="121" t="s">
        <v>382</v>
      </c>
      <c r="D47" s="122">
        <v>0</v>
      </c>
    </row>
    <row r="48" spans="2:4" x14ac:dyDescent="0.2">
      <c r="B48" s="120" t="s">
        <v>383</v>
      </c>
      <c r="C48" s="121" t="s">
        <v>384</v>
      </c>
      <c r="D48" s="122">
        <v>3.39</v>
      </c>
    </row>
    <row r="49" spans="2:4" x14ac:dyDescent="0.2">
      <c r="B49" s="120" t="s">
        <v>3823</v>
      </c>
      <c r="C49" s="121" t="s">
        <v>3824</v>
      </c>
      <c r="D49" s="122">
        <v>30.27</v>
      </c>
    </row>
    <row r="50" spans="2:4" x14ac:dyDescent="0.2">
      <c r="B50" s="120" t="s">
        <v>385</v>
      </c>
      <c r="C50" s="121" t="s">
        <v>386</v>
      </c>
      <c r="D50" s="122">
        <v>1.48</v>
      </c>
    </row>
    <row r="51" spans="2:4" x14ac:dyDescent="0.2">
      <c r="B51" s="120" t="s">
        <v>387</v>
      </c>
      <c r="C51" s="121" t="s">
        <v>388</v>
      </c>
      <c r="D51" s="122">
        <v>2.08</v>
      </c>
    </row>
    <row r="52" spans="2:4" x14ac:dyDescent="0.2">
      <c r="B52" s="120" t="s">
        <v>389</v>
      </c>
      <c r="C52" s="121" t="s">
        <v>390</v>
      </c>
      <c r="D52" s="122">
        <v>0</v>
      </c>
    </row>
    <row r="53" spans="2:4" x14ac:dyDescent="0.2">
      <c r="B53" s="120" t="s">
        <v>391</v>
      </c>
      <c r="C53" s="121" t="s">
        <v>392</v>
      </c>
      <c r="D53" s="122">
        <v>0.84</v>
      </c>
    </row>
    <row r="54" spans="2:4" x14ac:dyDescent="0.2">
      <c r="B54" s="120" t="s">
        <v>393</v>
      </c>
      <c r="C54" s="121" t="s">
        <v>394</v>
      </c>
      <c r="D54" s="122">
        <v>3.06</v>
      </c>
    </row>
    <row r="55" spans="2:4" x14ac:dyDescent="0.2">
      <c r="B55" s="120" t="s">
        <v>3825</v>
      </c>
      <c r="C55" s="121" t="s">
        <v>3826</v>
      </c>
      <c r="D55" s="122">
        <v>2.71</v>
      </c>
    </row>
    <row r="56" spans="2:4" x14ac:dyDescent="0.2">
      <c r="B56" s="120" t="s">
        <v>395</v>
      </c>
      <c r="C56" s="121" t="s">
        <v>396</v>
      </c>
      <c r="D56" s="122">
        <v>1.78</v>
      </c>
    </row>
    <row r="57" spans="2:4" x14ac:dyDescent="0.2">
      <c r="B57" s="120" t="s">
        <v>397</v>
      </c>
      <c r="C57" s="121" t="s">
        <v>398</v>
      </c>
      <c r="D57" s="122">
        <v>11.81</v>
      </c>
    </row>
    <row r="58" spans="2:4" x14ac:dyDescent="0.2">
      <c r="B58" s="120" t="s">
        <v>3827</v>
      </c>
      <c r="C58" s="121" t="s">
        <v>3828</v>
      </c>
      <c r="D58" s="122">
        <v>1.58</v>
      </c>
    </row>
    <row r="59" spans="2:4" x14ac:dyDescent="0.2">
      <c r="B59" s="120" t="s">
        <v>3829</v>
      </c>
      <c r="C59" s="121" t="s">
        <v>3830</v>
      </c>
      <c r="D59" s="122">
        <v>11.3</v>
      </c>
    </row>
    <row r="60" spans="2:4" x14ac:dyDescent="0.2">
      <c r="B60" s="120" t="s">
        <v>399</v>
      </c>
      <c r="C60" s="121" t="s">
        <v>400</v>
      </c>
      <c r="D60" s="122">
        <v>3.41</v>
      </c>
    </row>
    <row r="61" spans="2:4" x14ac:dyDescent="0.2">
      <c r="B61" s="120" t="s">
        <v>401</v>
      </c>
      <c r="C61" s="121" t="s">
        <v>402</v>
      </c>
      <c r="D61" s="122">
        <v>3.57</v>
      </c>
    </row>
    <row r="62" spans="2:4" x14ac:dyDescent="0.2">
      <c r="B62" s="120" t="s">
        <v>3831</v>
      </c>
      <c r="C62" s="121" t="s">
        <v>3832</v>
      </c>
      <c r="D62" s="122">
        <v>2.64</v>
      </c>
    </row>
    <row r="63" spans="2:4" x14ac:dyDescent="0.2">
      <c r="B63" s="120" t="s">
        <v>403</v>
      </c>
      <c r="C63" s="121" t="s">
        <v>404</v>
      </c>
      <c r="D63" s="122">
        <v>2.25</v>
      </c>
    </row>
    <row r="64" spans="2:4" x14ac:dyDescent="0.2">
      <c r="B64" s="120" t="s">
        <v>405</v>
      </c>
      <c r="C64" s="121" t="s">
        <v>406</v>
      </c>
      <c r="D64" s="122">
        <v>2.23</v>
      </c>
    </row>
    <row r="65" spans="2:4" x14ac:dyDescent="0.2">
      <c r="B65" s="120" t="s">
        <v>407</v>
      </c>
      <c r="C65" s="121" t="s">
        <v>408</v>
      </c>
      <c r="D65" s="122">
        <v>1.86</v>
      </c>
    </row>
    <row r="66" spans="2:4" x14ac:dyDescent="0.2">
      <c r="B66" s="120" t="s">
        <v>409</v>
      </c>
      <c r="C66" s="121" t="s">
        <v>410</v>
      </c>
      <c r="D66" s="122">
        <v>1.38</v>
      </c>
    </row>
    <row r="67" spans="2:4" x14ac:dyDescent="0.2">
      <c r="B67" s="120" t="s">
        <v>411</v>
      </c>
      <c r="C67" s="121" t="s">
        <v>412</v>
      </c>
      <c r="D67" s="122">
        <v>3.05</v>
      </c>
    </row>
    <row r="68" spans="2:4" x14ac:dyDescent="0.2">
      <c r="B68" s="120" t="s">
        <v>413</v>
      </c>
      <c r="C68" s="121" t="s">
        <v>414</v>
      </c>
      <c r="D68" s="122">
        <v>1.9</v>
      </c>
    </row>
    <row r="69" spans="2:4" x14ac:dyDescent="0.2">
      <c r="B69" s="120" t="s">
        <v>415</v>
      </c>
      <c r="C69" s="121" t="s">
        <v>416</v>
      </c>
      <c r="D69" s="122">
        <v>1.94</v>
      </c>
    </row>
    <row r="70" spans="2:4" x14ac:dyDescent="0.2">
      <c r="B70" s="120" t="s">
        <v>3833</v>
      </c>
      <c r="C70" s="121" t="s">
        <v>3834</v>
      </c>
      <c r="D70" s="122">
        <v>1.1299999999999999</v>
      </c>
    </row>
    <row r="71" spans="2:4" x14ac:dyDescent="0.2">
      <c r="B71" s="120" t="s">
        <v>417</v>
      </c>
      <c r="C71" s="121" t="s">
        <v>418</v>
      </c>
      <c r="D71" s="122">
        <v>0</v>
      </c>
    </row>
    <row r="72" spans="2:4" x14ac:dyDescent="0.2">
      <c r="B72" s="120" t="s">
        <v>419</v>
      </c>
      <c r="C72" s="121" t="s">
        <v>420</v>
      </c>
      <c r="D72" s="122">
        <v>0</v>
      </c>
    </row>
    <row r="73" spans="2:4" x14ac:dyDescent="0.2">
      <c r="B73" s="120" t="s">
        <v>421</v>
      </c>
      <c r="C73" s="121" t="s">
        <v>422</v>
      </c>
      <c r="D73" s="122">
        <v>0</v>
      </c>
    </row>
    <row r="74" spans="2:4" x14ac:dyDescent="0.2">
      <c r="B74" s="120" t="s">
        <v>3835</v>
      </c>
      <c r="C74" s="121" t="s">
        <v>3836</v>
      </c>
      <c r="D74" s="122">
        <v>0</v>
      </c>
    </row>
    <row r="75" spans="2:4" x14ac:dyDescent="0.2">
      <c r="B75" s="120" t="s">
        <v>423</v>
      </c>
      <c r="C75" s="121" t="s">
        <v>424</v>
      </c>
      <c r="D75" s="122">
        <v>3.01</v>
      </c>
    </row>
    <row r="76" spans="2:4" x14ac:dyDescent="0.2">
      <c r="B76" s="120" t="s">
        <v>425</v>
      </c>
      <c r="C76" s="121" t="s">
        <v>426</v>
      </c>
      <c r="D76" s="122">
        <v>1.22</v>
      </c>
    </row>
    <row r="77" spans="2:4" x14ac:dyDescent="0.2">
      <c r="B77" s="120" t="s">
        <v>427</v>
      </c>
      <c r="C77" s="121" t="s">
        <v>428</v>
      </c>
      <c r="D77" s="122">
        <v>2.13</v>
      </c>
    </row>
    <row r="78" spans="2:4" x14ac:dyDescent="0.2">
      <c r="B78" s="120" t="s">
        <v>429</v>
      </c>
      <c r="C78" s="121" t="s">
        <v>430</v>
      </c>
      <c r="D78" s="122">
        <v>2.69</v>
      </c>
    </row>
    <row r="79" spans="2:4" x14ac:dyDescent="0.2">
      <c r="B79" s="120" t="s">
        <v>3837</v>
      </c>
      <c r="C79" s="121" t="s">
        <v>3838</v>
      </c>
      <c r="D79" s="122">
        <v>1.99</v>
      </c>
    </row>
    <row r="80" spans="2:4" x14ac:dyDescent="0.2">
      <c r="B80" s="120" t="s">
        <v>431</v>
      </c>
      <c r="C80" s="121" t="s">
        <v>432</v>
      </c>
      <c r="D80" s="122">
        <v>0</v>
      </c>
    </row>
    <row r="81" spans="2:4" x14ac:dyDescent="0.2">
      <c r="B81" s="120" t="s">
        <v>433</v>
      </c>
      <c r="C81" s="121" t="s">
        <v>434</v>
      </c>
      <c r="D81" s="122">
        <v>2.15</v>
      </c>
    </row>
    <row r="82" spans="2:4" x14ac:dyDescent="0.2">
      <c r="B82" s="120" t="s">
        <v>435</v>
      </c>
      <c r="C82" s="121" t="s">
        <v>436</v>
      </c>
      <c r="D82" s="122">
        <v>0</v>
      </c>
    </row>
    <row r="83" spans="2:4" x14ac:dyDescent="0.2">
      <c r="B83" s="120" t="s">
        <v>437</v>
      </c>
      <c r="C83" s="121" t="s">
        <v>438</v>
      </c>
      <c r="D83" s="122">
        <v>1.85</v>
      </c>
    </row>
    <row r="84" spans="2:4" x14ac:dyDescent="0.2">
      <c r="B84" s="120" t="s">
        <v>439</v>
      </c>
      <c r="C84" s="121" t="s">
        <v>440</v>
      </c>
      <c r="D84" s="122">
        <v>1.06</v>
      </c>
    </row>
    <row r="85" spans="2:4" x14ac:dyDescent="0.2">
      <c r="B85" s="120" t="s">
        <v>441</v>
      </c>
      <c r="C85" s="121" t="s">
        <v>442</v>
      </c>
      <c r="D85" s="122">
        <v>0</v>
      </c>
    </row>
    <row r="86" spans="2:4" x14ac:dyDescent="0.2">
      <c r="B86" s="120" t="s">
        <v>443</v>
      </c>
      <c r="C86" s="121" t="s">
        <v>444</v>
      </c>
      <c r="D86" s="122">
        <v>0</v>
      </c>
    </row>
    <row r="87" spans="2:4" x14ac:dyDescent="0.2">
      <c r="B87" s="120" t="s">
        <v>445</v>
      </c>
      <c r="C87" s="121" t="s">
        <v>446</v>
      </c>
      <c r="D87" s="122">
        <v>2.02</v>
      </c>
    </row>
    <row r="88" spans="2:4" x14ac:dyDescent="0.2">
      <c r="B88" s="120" t="s">
        <v>3839</v>
      </c>
      <c r="C88" s="121" t="s">
        <v>3840</v>
      </c>
      <c r="D88" s="122">
        <v>1.48</v>
      </c>
    </row>
    <row r="89" spans="2:4" x14ac:dyDescent="0.2">
      <c r="B89" s="120" t="s">
        <v>447</v>
      </c>
      <c r="C89" s="121" t="s">
        <v>448</v>
      </c>
      <c r="D89" s="122">
        <v>0</v>
      </c>
    </row>
    <row r="90" spans="2:4" x14ac:dyDescent="0.2">
      <c r="B90" s="120" t="s">
        <v>3841</v>
      </c>
      <c r="C90" s="121" t="s">
        <v>3842</v>
      </c>
      <c r="D90" s="122">
        <v>1.79</v>
      </c>
    </row>
    <row r="91" spans="2:4" x14ac:dyDescent="0.2">
      <c r="B91" s="120" t="s">
        <v>3843</v>
      </c>
      <c r="C91" s="121" t="s">
        <v>3844</v>
      </c>
      <c r="D91" s="122">
        <v>11.37</v>
      </c>
    </row>
    <row r="92" spans="2:4" x14ac:dyDescent="0.2">
      <c r="B92" s="120" t="s">
        <v>449</v>
      </c>
      <c r="C92" s="121" t="s">
        <v>450</v>
      </c>
      <c r="D92" s="122">
        <v>1.3</v>
      </c>
    </row>
    <row r="93" spans="2:4" x14ac:dyDescent="0.2">
      <c r="B93" s="120" t="s">
        <v>451</v>
      </c>
      <c r="C93" s="121" t="s">
        <v>452</v>
      </c>
      <c r="D93" s="122">
        <v>3.17</v>
      </c>
    </row>
    <row r="94" spans="2:4" x14ac:dyDescent="0.2">
      <c r="B94" s="120" t="s">
        <v>453</v>
      </c>
      <c r="C94" s="121" t="s">
        <v>454</v>
      </c>
      <c r="D94" s="122">
        <v>0</v>
      </c>
    </row>
    <row r="95" spans="2:4" x14ac:dyDescent="0.2">
      <c r="B95" s="120" t="s">
        <v>455</v>
      </c>
      <c r="C95" s="121" t="s">
        <v>456</v>
      </c>
      <c r="D95" s="122">
        <v>16.73</v>
      </c>
    </row>
    <row r="96" spans="2:4" x14ac:dyDescent="0.2">
      <c r="B96" s="120" t="s">
        <v>457</v>
      </c>
      <c r="C96" s="121" t="s">
        <v>458</v>
      </c>
      <c r="D96" s="122">
        <v>1.49</v>
      </c>
    </row>
    <row r="97" spans="2:4" x14ac:dyDescent="0.2">
      <c r="B97" s="120" t="s">
        <v>459</v>
      </c>
      <c r="C97" s="121" t="s">
        <v>460</v>
      </c>
      <c r="D97" s="122">
        <v>1.65</v>
      </c>
    </row>
    <row r="98" spans="2:4" x14ac:dyDescent="0.2">
      <c r="B98" s="120" t="s">
        <v>3845</v>
      </c>
      <c r="C98" s="121" t="s">
        <v>3846</v>
      </c>
      <c r="D98" s="122">
        <v>4.97</v>
      </c>
    </row>
    <row r="99" spans="2:4" x14ac:dyDescent="0.2">
      <c r="B99" s="120" t="s">
        <v>461</v>
      </c>
      <c r="C99" s="121" t="s">
        <v>462</v>
      </c>
      <c r="D99" s="122">
        <v>0</v>
      </c>
    </row>
    <row r="100" spans="2:4" x14ac:dyDescent="0.2">
      <c r="B100" s="120" t="s">
        <v>3847</v>
      </c>
      <c r="C100" s="121" t="s">
        <v>3848</v>
      </c>
      <c r="D100" s="122">
        <v>3.6</v>
      </c>
    </row>
    <row r="101" spans="2:4" x14ac:dyDescent="0.2">
      <c r="B101" s="120" t="s">
        <v>463</v>
      </c>
      <c r="C101" s="121" t="s">
        <v>464</v>
      </c>
      <c r="D101" s="122">
        <v>0.62</v>
      </c>
    </row>
    <row r="102" spans="2:4" x14ac:dyDescent="0.2">
      <c r="B102" s="120" t="s">
        <v>465</v>
      </c>
      <c r="C102" s="121" t="s">
        <v>466</v>
      </c>
      <c r="D102" s="122">
        <v>0</v>
      </c>
    </row>
    <row r="103" spans="2:4" x14ac:dyDescent="0.2">
      <c r="B103" s="120" t="s">
        <v>467</v>
      </c>
      <c r="C103" s="121" t="s">
        <v>468</v>
      </c>
      <c r="D103" s="122">
        <v>1.49</v>
      </c>
    </row>
    <row r="104" spans="2:4" x14ac:dyDescent="0.2">
      <c r="B104" s="120" t="s">
        <v>469</v>
      </c>
      <c r="C104" s="121" t="s">
        <v>470</v>
      </c>
      <c r="D104" s="122">
        <v>2.95</v>
      </c>
    </row>
    <row r="105" spans="2:4" x14ac:dyDescent="0.2">
      <c r="B105" s="120" t="s">
        <v>471</v>
      </c>
      <c r="C105" s="121" t="s">
        <v>472</v>
      </c>
      <c r="D105" s="122">
        <v>0.79</v>
      </c>
    </row>
    <row r="106" spans="2:4" x14ac:dyDescent="0.2">
      <c r="B106" s="120" t="s">
        <v>473</v>
      </c>
      <c r="C106" s="121" t="s">
        <v>474</v>
      </c>
      <c r="D106" s="122">
        <v>1.27</v>
      </c>
    </row>
    <row r="107" spans="2:4" x14ac:dyDescent="0.2">
      <c r="B107" s="120" t="s">
        <v>475</v>
      </c>
      <c r="C107" s="121" t="s">
        <v>476</v>
      </c>
      <c r="D107" s="122">
        <v>2.66</v>
      </c>
    </row>
    <row r="108" spans="2:4" x14ac:dyDescent="0.2">
      <c r="B108" s="120" t="s">
        <v>477</v>
      </c>
      <c r="C108" s="121" t="s">
        <v>478</v>
      </c>
      <c r="D108" s="122">
        <v>0</v>
      </c>
    </row>
    <row r="109" spans="2:4" x14ac:dyDescent="0.2">
      <c r="B109" s="120" t="s">
        <v>3849</v>
      </c>
      <c r="C109" s="121" t="s">
        <v>3850</v>
      </c>
      <c r="D109" s="122">
        <v>0</v>
      </c>
    </row>
    <row r="110" spans="2:4" x14ac:dyDescent="0.2">
      <c r="B110" s="120" t="s">
        <v>479</v>
      </c>
      <c r="C110" s="121" t="s">
        <v>480</v>
      </c>
      <c r="D110" s="122">
        <v>1.63</v>
      </c>
    </row>
    <row r="111" spans="2:4" x14ac:dyDescent="0.2">
      <c r="B111" s="120" t="s">
        <v>481</v>
      </c>
      <c r="C111" s="121" t="s">
        <v>482</v>
      </c>
      <c r="D111" s="122">
        <v>2.44</v>
      </c>
    </row>
    <row r="112" spans="2:4" x14ac:dyDescent="0.2">
      <c r="B112" s="120" t="s">
        <v>483</v>
      </c>
      <c r="C112" s="121" t="s">
        <v>484</v>
      </c>
      <c r="D112" s="122">
        <v>2.5</v>
      </c>
    </row>
    <row r="113" spans="2:4" x14ac:dyDescent="0.2">
      <c r="B113" s="120" t="s">
        <v>485</v>
      </c>
      <c r="C113" s="121" t="s">
        <v>10</v>
      </c>
      <c r="D113" s="122">
        <v>0</v>
      </c>
    </row>
    <row r="114" spans="2:4" x14ac:dyDescent="0.2">
      <c r="B114" s="120" t="s">
        <v>486</v>
      </c>
      <c r="C114" s="121" t="s">
        <v>487</v>
      </c>
      <c r="D114" s="122">
        <v>0</v>
      </c>
    </row>
    <row r="115" spans="2:4" x14ac:dyDescent="0.2">
      <c r="B115" s="120" t="s">
        <v>3851</v>
      </c>
      <c r="C115" s="121" t="s">
        <v>3852</v>
      </c>
      <c r="D115" s="122">
        <v>2.66</v>
      </c>
    </row>
    <row r="116" spans="2:4" x14ac:dyDescent="0.2">
      <c r="B116" s="120" t="s">
        <v>488</v>
      </c>
      <c r="C116" s="121" t="s">
        <v>489</v>
      </c>
      <c r="D116" s="122">
        <v>0</v>
      </c>
    </row>
    <row r="117" spans="2:4" x14ac:dyDescent="0.2">
      <c r="B117" s="120" t="s">
        <v>490</v>
      </c>
      <c r="C117" s="121" t="s">
        <v>491</v>
      </c>
      <c r="D117" s="122">
        <v>0</v>
      </c>
    </row>
    <row r="118" spans="2:4" x14ac:dyDescent="0.2">
      <c r="B118" s="120" t="s">
        <v>492</v>
      </c>
      <c r="C118" s="121" t="s">
        <v>493</v>
      </c>
      <c r="D118" s="122">
        <v>0</v>
      </c>
    </row>
    <row r="119" spans="2:4" x14ac:dyDescent="0.2">
      <c r="B119" s="120" t="s">
        <v>494</v>
      </c>
      <c r="C119" s="121" t="s">
        <v>495</v>
      </c>
      <c r="D119" s="122">
        <v>0</v>
      </c>
    </row>
    <row r="120" spans="2:4" x14ac:dyDescent="0.2">
      <c r="B120" s="120" t="s">
        <v>496</v>
      </c>
      <c r="C120" s="121" t="s">
        <v>497</v>
      </c>
      <c r="D120" s="122">
        <v>1.27</v>
      </c>
    </row>
    <row r="121" spans="2:4" x14ac:dyDescent="0.2">
      <c r="B121" s="120" t="s">
        <v>498</v>
      </c>
      <c r="C121" s="121" t="s">
        <v>499</v>
      </c>
      <c r="D121" s="122">
        <v>5.84</v>
      </c>
    </row>
    <row r="122" spans="2:4" x14ac:dyDescent="0.2">
      <c r="B122" s="120" t="s">
        <v>500</v>
      </c>
      <c r="C122" s="121" t="s">
        <v>501</v>
      </c>
      <c r="D122" s="122">
        <v>0.91</v>
      </c>
    </row>
    <row r="123" spans="2:4" x14ac:dyDescent="0.2">
      <c r="B123" s="120" t="s">
        <v>502</v>
      </c>
      <c r="C123" s="121" t="s">
        <v>503</v>
      </c>
      <c r="D123" s="122">
        <v>1.85</v>
      </c>
    </row>
    <row r="124" spans="2:4" x14ac:dyDescent="0.2">
      <c r="B124" s="120" t="s">
        <v>504</v>
      </c>
      <c r="C124" s="121" t="s">
        <v>505</v>
      </c>
      <c r="D124" s="122">
        <v>3.88</v>
      </c>
    </row>
    <row r="125" spans="2:4" x14ac:dyDescent="0.2">
      <c r="B125" s="120" t="s">
        <v>506</v>
      </c>
      <c r="C125" s="121" t="s">
        <v>507</v>
      </c>
      <c r="D125" s="122">
        <v>2.09</v>
      </c>
    </row>
    <row r="126" spans="2:4" x14ac:dyDescent="0.2">
      <c r="B126" s="120" t="s">
        <v>508</v>
      </c>
      <c r="C126" s="121" t="s">
        <v>509</v>
      </c>
      <c r="D126" s="122">
        <v>1.79</v>
      </c>
    </row>
    <row r="127" spans="2:4" x14ac:dyDescent="0.2">
      <c r="B127" s="120" t="s">
        <v>510</v>
      </c>
      <c r="C127" s="121" t="s">
        <v>511</v>
      </c>
      <c r="D127" s="122">
        <v>1.07</v>
      </c>
    </row>
    <row r="128" spans="2:4" x14ac:dyDescent="0.2">
      <c r="B128" s="120" t="s">
        <v>3853</v>
      </c>
      <c r="C128" s="121" t="s">
        <v>3854</v>
      </c>
      <c r="D128" s="122">
        <v>7.33</v>
      </c>
    </row>
    <row r="129" spans="2:4" x14ac:dyDescent="0.2">
      <c r="B129" s="120" t="s">
        <v>512</v>
      </c>
      <c r="C129" s="121" t="s">
        <v>513</v>
      </c>
      <c r="D129" s="122">
        <v>4.99</v>
      </c>
    </row>
    <row r="130" spans="2:4" x14ac:dyDescent="0.2">
      <c r="B130" s="120" t="s">
        <v>514</v>
      </c>
      <c r="C130" s="121" t="s">
        <v>515</v>
      </c>
      <c r="D130" s="122">
        <v>0</v>
      </c>
    </row>
    <row r="131" spans="2:4" x14ac:dyDescent="0.2">
      <c r="B131" s="120" t="s">
        <v>516</v>
      </c>
      <c r="C131" s="121" t="s">
        <v>517</v>
      </c>
      <c r="D131" s="122">
        <v>0</v>
      </c>
    </row>
    <row r="132" spans="2:4" x14ac:dyDescent="0.2">
      <c r="B132" s="120" t="s">
        <v>518</v>
      </c>
      <c r="C132" s="121" t="s">
        <v>519</v>
      </c>
      <c r="D132" s="122">
        <v>1.01</v>
      </c>
    </row>
    <row r="133" spans="2:4" x14ac:dyDescent="0.2">
      <c r="B133" s="120" t="s">
        <v>520</v>
      </c>
      <c r="C133" s="121" t="s">
        <v>521</v>
      </c>
      <c r="D133" s="122">
        <v>4.1500000000000004</v>
      </c>
    </row>
    <row r="134" spans="2:4" x14ac:dyDescent="0.2">
      <c r="B134" s="120" t="s">
        <v>522</v>
      </c>
      <c r="C134" s="121" t="s">
        <v>523</v>
      </c>
      <c r="D134" s="122">
        <v>8.49</v>
      </c>
    </row>
    <row r="135" spans="2:4" x14ac:dyDescent="0.2">
      <c r="B135" s="120" t="s">
        <v>524</v>
      </c>
      <c r="C135" s="121" t="s">
        <v>525</v>
      </c>
      <c r="D135" s="122">
        <v>2.61</v>
      </c>
    </row>
    <row r="136" spans="2:4" x14ac:dyDescent="0.2">
      <c r="B136" s="120" t="s">
        <v>526</v>
      </c>
      <c r="C136" s="121" t="s">
        <v>527</v>
      </c>
      <c r="D136" s="122">
        <v>4.3600000000000003</v>
      </c>
    </row>
    <row r="137" spans="2:4" x14ac:dyDescent="0.2">
      <c r="B137" s="120" t="s">
        <v>528</v>
      </c>
      <c r="C137" s="121" t="s">
        <v>529</v>
      </c>
      <c r="D137" s="122">
        <v>0</v>
      </c>
    </row>
    <row r="138" spans="2:4" x14ac:dyDescent="0.2">
      <c r="B138" s="120" t="s">
        <v>3855</v>
      </c>
      <c r="C138" s="121" t="s">
        <v>3856</v>
      </c>
      <c r="D138" s="122">
        <v>9.42</v>
      </c>
    </row>
    <row r="139" spans="2:4" x14ac:dyDescent="0.2">
      <c r="B139" s="120" t="s">
        <v>530</v>
      </c>
      <c r="C139" s="121" t="s">
        <v>531</v>
      </c>
      <c r="D139" s="122">
        <v>2.4900000000000002</v>
      </c>
    </row>
    <row r="140" spans="2:4" x14ac:dyDescent="0.2">
      <c r="B140" s="120" t="s">
        <v>532</v>
      </c>
      <c r="C140" s="121" t="s">
        <v>533</v>
      </c>
      <c r="D140" s="122">
        <v>1.04</v>
      </c>
    </row>
    <row r="141" spans="2:4" x14ac:dyDescent="0.2">
      <c r="B141" s="120" t="s">
        <v>534</v>
      </c>
      <c r="C141" s="121" t="s">
        <v>535</v>
      </c>
      <c r="D141" s="122">
        <v>0.3</v>
      </c>
    </row>
    <row r="142" spans="2:4" x14ac:dyDescent="0.2">
      <c r="B142" s="120" t="s">
        <v>536</v>
      </c>
      <c r="C142" s="121" t="s">
        <v>537</v>
      </c>
      <c r="D142" s="122">
        <v>0</v>
      </c>
    </row>
    <row r="143" spans="2:4" x14ac:dyDescent="0.2">
      <c r="B143" s="120" t="s">
        <v>538</v>
      </c>
      <c r="C143" s="121" t="s">
        <v>539</v>
      </c>
      <c r="D143" s="122">
        <v>1.17</v>
      </c>
    </row>
    <row r="144" spans="2:4" x14ac:dyDescent="0.2">
      <c r="B144" s="120" t="s">
        <v>540</v>
      </c>
      <c r="C144" s="121" t="s">
        <v>541</v>
      </c>
      <c r="D144" s="122">
        <v>3.35</v>
      </c>
    </row>
    <row r="145" spans="2:4" x14ac:dyDescent="0.2">
      <c r="B145" s="120" t="s">
        <v>542</v>
      </c>
      <c r="C145" s="121" t="s">
        <v>543</v>
      </c>
      <c r="D145" s="122">
        <v>0.9</v>
      </c>
    </row>
    <row r="146" spans="2:4" x14ac:dyDescent="0.2">
      <c r="B146" s="120" t="s">
        <v>544</v>
      </c>
      <c r="C146" s="121" t="s">
        <v>545</v>
      </c>
      <c r="D146" s="122">
        <v>3.92</v>
      </c>
    </row>
    <row r="147" spans="2:4" x14ac:dyDescent="0.2">
      <c r="B147" s="120" t="s">
        <v>3857</v>
      </c>
      <c r="C147" s="121" t="s">
        <v>3858</v>
      </c>
      <c r="D147" s="122">
        <v>2.39</v>
      </c>
    </row>
    <row r="148" spans="2:4" x14ac:dyDescent="0.2">
      <c r="B148" s="120" t="s">
        <v>546</v>
      </c>
      <c r="C148" s="121" t="s">
        <v>547</v>
      </c>
      <c r="D148" s="122">
        <v>0</v>
      </c>
    </row>
    <row r="149" spans="2:4" x14ac:dyDescent="0.2">
      <c r="B149" s="120" t="s">
        <v>548</v>
      </c>
      <c r="C149" s="121" t="s">
        <v>549</v>
      </c>
      <c r="D149" s="122">
        <v>1.42</v>
      </c>
    </row>
    <row r="150" spans="2:4" x14ac:dyDescent="0.2">
      <c r="B150" s="120" t="s">
        <v>550</v>
      </c>
      <c r="C150" s="121" t="s">
        <v>551</v>
      </c>
      <c r="D150" s="122">
        <v>2.85</v>
      </c>
    </row>
    <row r="151" spans="2:4" x14ac:dyDescent="0.2">
      <c r="B151" s="120" t="s">
        <v>3859</v>
      </c>
      <c r="C151" s="121" t="s">
        <v>3860</v>
      </c>
      <c r="D151" s="122">
        <v>1.03</v>
      </c>
    </row>
    <row r="152" spans="2:4" x14ac:dyDescent="0.2">
      <c r="B152" s="120" t="s">
        <v>552</v>
      </c>
      <c r="C152" s="121" t="s">
        <v>553</v>
      </c>
      <c r="D152" s="122">
        <v>0.81</v>
      </c>
    </row>
    <row r="153" spans="2:4" x14ac:dyDescent="0.2">
      <c r="B153" s="120" t="s">
        <v>554</v>
      </c>
      <c r="C153" s="121" t="s">
        <v>555</v>
      </c>
      <c r="D153" s="122">
        <v>0</v>
      </c>
    </row>
    <row r="154" spans="2:4" x14ac:dyDescent="0.2">
      <c r="B154" s="120" t="s">
        <v>556</v>
      </c>
      <c r="C154" s="121" t="s">
        <v>557</v>
      </c>
      <c r="D154" s="122">
        <v>2.97</v>
      </c>
    </row>
    <row r="155" spans="2:4" x14ac:dyDescent="0.2">
      <c r="B155" s="120" t="s">
        <v>558</v>
      </c>
      <c r="C155" s="121" t="s">
        <v>559</v>
      </c>
      <c r="D155" s="122">
        <v>2.35</v>
      </c>
    </row>
    <row r="156" spans="2:4" x14ac:dyDescent="0.2">
      <c r="B156" s="120" t="s">
        <v>3861</v>
      </c>
      <c r="C156" s="121" t="s">
        <v>3862</v>
      </c>
      <c r="D156" s="122">
        <v>2.74</v>
      </c>
    </row>
    <row r="157" spans="2:4" x14ac:dyDescent="0.2">
      <c r="B157" s="120" t="s">
        <v>3863</v>
      </c>
      <c r="C157" s="121" t="s">
        <v>3864</v>
      </c>
      <c r="D157" s="122">
        <v>1.45</v>
      </c>
    </row>
    <row r="158" spans="2:4" x14ac:dyDescent="0.2">
      <c r="B158" s="120" t="s">
        <v>560</v>
      </c>
      <c r="C158" s="121" t="s">
        <v>561</v>
      </c>
      <c r="D158" s="122">
        <v>1.38</v>
      </c>
    </row>
    <row r="159" spans="2:4" x14ac:dyDescent="0.2">
      <c r="B159" s="120" t="s">
        <v>562</v>
      </c>
      <c r="C159" s="121" t="s">
        <v>563</v>
      </c>
      <c r="D159" s="122">
        <v>0</v>
      </c>
    </row>
    <row r="160" spans="2:4" x14ac:dyDescent="0.2">
      <c r="B160" s="120" t="s">
        <v>564</v>
      </c>
      <c r="C160" s="121" t="s">
        <v>565</v>
      </c>
      <c r="D160" s="122">
        <v>0</v>
      </c>
    </row>
    <row r="161" spans="2:4" x14ac:dyDescent="0.2">
      <c r="B161" s="120" t="s">
        <v>566</v>
      </c>
      <c r="C161" s="121" t="s">
        <v>567</v>
      </c>
      <c r="D161" s="122">
        <v>0.85</v>
      </c>
    </row>
    <row r="162" spans="2:4" x14ac:dyDescent="0.2">
      <c r="B162" s="120" t="s">
        <v>568</v>
      </c>
      <c r="C162" s="121" t="s">
        <v>569</v>
      </c>
      <c r="D162" s="122">
        <v>1.86</v>
      </c>
    </row>
    <row r="163" spans="2:4" x14ac:dyDescent="0.2">
      <c r="B163" s="120" t="s">
        <v>570</v>
      </c>
      <c r="C163" s="121" t="s">
        <v>571</v>
      </c>
      <c r="D163" s="122">
        <v>1.22</v>
      </c>
    </row>
    <row r="164" spans="2:4" x14ac:dyDescent="0.2">
      <c r="B164" s="120" t="s">
        <v>572</v>
      </c>
      <c r="C164" s="121" t="s">
        <v>573</v>
      </c>
      <c r="D164" s="122">
        <v>0</v>
      </c>
    </row>
    <row r="165" spans="2:4" x14ac:dyDescent="0.2">
      <c r="B165" s="120" t="s">
        <v>574</v>
      </c>
      <c r="C165" s="121" t="s">
        <v>575</v>
      </c>
      <c r="D165" s="122">
        <v>0.68</v>
      </c>
    </row>
    <row r="166" spans="2:4" x14ac:dyDescent="0.2">
      <c r="B166" s="120" t="s">
        <v>576</v>
      </c>
      <c r="C166" s="121" t="s">
        <v>577</v>
      </c>
      <c r="D166" s="122">
        <v>0.27</v>
      </c>
    </row>
    <row r="167" spans="2:4" x14ac:dyDescent="0.2">
      <c r="B167" s="120" t="s">
        <v>578</v>
      </c>
      <c r="C167" s="121" t="s">
        <v>579</v>
      </c>
      <c r="D167" s="122">
        <v>2.61</v>
      </c>
    </row>
    <row r="168" spans="2:4" x14ac:dyDescent="0.2">
      <c r="B168" s="120" t="s">
        <v>580</v>
      </c>
      <c r="C168" s="121" t="s">
        <v>581</v>
      </c>
      <c r="D168" s="122">
        <v>2.76</v>
      </c>
    </row>
    <row r="169" spans="2:4" x14ac:dyDescent="0.2">
      <c r="B169" s="120" t="s">
        <v>582</v>
      </c>
      <c r="C169" s="121" t="s">
        <v>583</v>
      </c>
      <c r="D169" s="122">
        <v>0.57999999999999996</v>
      </c>
    </row>
    <row r="170" spans="2:4" x14ac:dyDescent="0.2">
      <c r="B170" s="120" t="s">
        <v>584</v>
      </c>
      <c r="C170" s="121" t="s">
        <v>585</v>
      </c>
      <c r="D170" s="122">
        <v>3.24</v>
      </c>
    </row>
    <row r="171" spans="2:4" x14ac:dyDescent="0.2">
      <c r="B171" s="120" t="s">
        <v>586</v>
      </c>
      <c r="C171" s="121" t="s">
        <v>587</v>
      </c>
      <c r="D171" s="122">
        <v>4.67</v>
      </c>
    </row>
    <row r="172" spans="2:4" x14ac:dyDescent="0.2">
      <c r="B172" s="120" t="s">
        <v>588</v>
      </c>
      <c r="C172" s="121" t="s">
        <v>589</v>
      </c>
      <c r="D172" s="122">
        <v>2.91</v>
      </c>
    </row>
    <row r="173" spans="2:4" x14ac:dyDescent="0.2">
      <c r="B173" s="120" t="s">
        <v>590</v>
      </c>
      <c r="C173" s="121" t="s">
        <v>591</v>
      </c>
      <c r="D173" s="122">
        <v>3.73</v>
      </c>
    </row>
    <row r="174" spans="2:4" x14ac:dyDescent="0.2">
      <c r="B174" s="120" t="s">
        <v>3865</v>
      </c>
      <c r="C174" s="121" t="s">
        <v>3866</v>
      </c>
      <c r="D174" s="122">
        <v>2.69</v>
      </c>
    </row>
    <row r="175" spans="2:4" x14ac:dyDescent="0.2">
      <c r="B175" s="120" t="s">
        <v>592</v>
      </c>
      <c r="C175" s="121" t="s">
        <v>593</v>
      </c>
      <c r="D175" s="122">
        <v>0</v>
      </c>
    </row>
    <row r="176" spans="2:4" x14ac:dyDescent="0.2">
      <c r="B176" s="120" t="s">
        <v>594</v>
      </c>
      <c r="C176" s="121" t="s">
        <v>595</v>
      </c>
      <c r="D176" s="122">
        <v>1.94</v>
      </c>
    </row>
    <row r="177" spans="2:4" x14ac:dyDescent="0.2">
      <c r="B177" s="120" t="s">
        <v>3867</v>
      </c>
      <c r="C177" s="121" t="s">
        <v>3868</v>
      </c>
      <c r="D177" s="122">
        <v>0</v>
      </c>
    </row>
    <row r="178" spans="2:4" x14ac:dyDescent="0.2">
      <c r="B178" s="120" t="s">
        <v>596</v>
      </c>
      <c r="C178" s="121" t="s">
        <v>597</v>
      </c>
      <c r="D178" s="122">
        <v>4.3499999999999996</v>
      </c>
    </row>
    <row r="179" spans="2:4" x14ac:dyDescent="0.2">
      <c r="B179" s="120" t="s">
        <v>598</v>
      </c>
      <c r="C179" s="121" t="s">
        <v>599</v>
      </c>
      <c r="D179" s="122">
        <v>2.06</v>
      </c>
    </row>
    <row r="180" spans="2:4" x14ac:dyDescent="0.2">
      <c r="B180" s="120" t="s">
        <v>3869</v>
      </c>
      <c r="C180" s="121" t="s">
        <v>3870</v>
      </c>
      <c r="D180" s="122">
        <v>5.12</v>
      </c>
    </row>
    <row r="181" spans="2:4" x14ac:dyDescent="0.2">
      <c r="B181" s="120" t="s">
        <v>600</v>
      </c>
      <c r="C181" s="121" t="s">
        <v>601</v>
      </c>
      <c r="D181" s="122">
        <v>0.72</v>
      </c>
    </row>
    <row r="182" spans="2:4" x14ac:dyDescent="0.2">
      <c r="B182" s="120" t="s">
        <v>602</v>
      </c>
      <c r="C182" s="121" t="s">
        <v>603</v>
      </c>
      <c r="D182" s="122">
        <v>1.63</v>
      </c>
    </row>
    <row r="183" spans="2:4" x14ac:dyDescent="0.2">
      <c r="B183" s="120" t="s">
        <v>604</v>
      </c>
      <c r="C183" s="121" t="s">
        <v>605</v>
      </c>
      <c r="D183" s="122">
        <v>1.35</v>
      </c>
    </row>
    <row r="184" spans="2:4" x14ac:dyDescent="0.2">
      <c r="B184" s="120" t="s">
        <v>606</v>
      </c>
      <c r="C184" s="121" t="s">
        <v>607</v>
      </c>
      <c r="D184" s="122">
        <v>4.82</v>
      </c>
    </row>
    <row r="185" spans="2:4" x14ac:dyDescent="0.2">
      <c r="B185" s="120" t="s">
        <v>608</v>
      </c>
      <c r="C185" s="121" t="s">
        <v>609</v>
      </c>
      <c r="D185" s="122">
        <v>1.34</v>
      </c>
    </row>
    <row r="186" spans="2:4" x14ac:dyDescent="0.2">
      <c r="B186" s="120" t="s">
        <v>610</v>
      </c>
      <c r="C186" s="121" t="s">
        <v>611</v>
      </c>
      <c r="D186" s="122">
        <v>2.44</v>
      </c>
    </row>
    <row r="187" spans="2:4" x14ac:dyDescent="0.2">
      <c r="B187" s="120" t="s">
        <v>612</v>
      </c>
      <c r="C187" s="121" t="s">
        <v>613</v>
      </c>
      <c r="D187" s="122">
        <v>0</v>
      </c>
    </row>
    <row r="188" spans="2:4" x14ac:dyDescent="0.2">
      <c r="B188" s="120" t="s">
        <v>614</v>
      </c>
      <c r="C188" s="121" t="s">
        <v>615</v>
      </c>
      <c r="D188" s="122">
        <v>0.38</v>
      </c>
    </row>
    <row r="189" spans="2:4" x14ac:dyDescent="0.2">
      <c r="B189" s="120" t="s">
        <v>616</v>
      </c>
      <c r="C189" s="121" t="s">
        <v>617</v>
      </c>
      <c r="D189" s="122">
        <v>0</v>
      </c>
    </row>
    <row r="190" spans="2:4" x14ac:dyDescent="0.2">
      <c r="B190" s="120" t="s">
        <v>618</v>
      </c>
      <c r="C190" s="121" t="s">
        <v>619</v>
      </c>
      <c r="D190" s="122">
        <v>1.95</v>
      </c>
    </row>
    <row r="191" spans="2:4" x14ac:dyDescent="0.2">
      <c r="B191" s="120" t="s">
        <v>620</v>
      </c>
      <c r="C191" s="121" t="s">
        <v>621</v>
      </c>
      <c r="D191" s="122">
        <v>0</v>
      </c>
    </row>
    <row r="192" spans="2:4" x14ac:dyDescent="0.2">
      <c r="B192" s="120" t="s">
        <v>622</v>
      </c>
      <c r="C192" s="121" t="s">
        <v>623</v>
      </c>
      <c r="D192" s="122">
        <v>0</v>
      </c>
    </row>
    <row r="193" spans="2:4" x14ac:dyDescent="0.2">
      <c r="B193" s="120" t="s">
        <v>624</v>
      </c>
      <c r="C193" s="121" t="s">
        <v>625</v>
      </c>
      <c r="D193" s="122">
        <v>3.2</v>
      </c>
    </row>
    <row r="194" spans="2:4" x14ac:dyDescent="0.2">
      <c r="B194" s="120" t="s">
        <v>626</v>
      </c>
      <c r="C194" s="121" t="s">
        <v>627</v>
      </c>
      <c r="D194" s="122">
        <v>0</v>
      </c>
    </row>
    <row r="195" spans="2:4" x14ac:dyDescent="0.2">
      <c r="B195" s="120" t="s">
        <v>628</v>
      </c>
      <c r="C195" s="121" t="s">
        <v>629</v>
      </c>
      <c r="D195" s="122">
        <v>2.17</v>
      </c>
    </row>
    <row r="196" spans="2:4" x14ac:dyDescent="0.2">
      <c r="B196" s="120" t="s">
        <v>630</v>
      </c>
      <c r="C196" s="121" t="s">
        <v>631</v>
      </c>
      <c r="D196" s="122">
        <v>0</v>
      </c>
    </row>
    <row r="197" spans="2:4" x14ac:dyDescent="0.2">
      <c r="B197" s="120" t="s">
        <v>632</v>
      </c>
      <c r="C197" s="121" t="s">
        <v>633</v>
      </c>
      <c r="D197" s="122">
        <v>2.4300000000000002</v>
      </c>
    </row>
    <row r="198" spans="2:4" x14ac:dyDescent="0.2">
      <c r="B198" s="120" t="s">
        <v>3871</v>
      </c>
      <c r="C198" s="121" t="s">
        <v>3872</v>
      </c>
      <c r="D198" s="122">
        <v>5.64</v>
      </c>
    </row>
    <row r="199" spans="2:4" x14ac:dyDescent="0.2">
      <c r="B199" s="120" t="s">
        <v>634</v>
      </c>
      <c r="C199" s="121" t="s">
        <v>635</v>
      </c>
      <c r="D199" s="122">
        <v>4.5199999999999996</v>
      </c>
    </row>
    <row r="200" spans="2:4" x14ac:dyDescent="0.2">
      <c r="B200" s="120" t="s">
        <v>636</v>
      </c>
      <c r="C200" s="121" t="s">
        <v>637</v>
      </c>
      <c r="D200" s="122">
        <v>1.31</v>
      </c>
    </row>
    <row r="201" spans="2:4" x14ac:dyDescent="0.2">
      <c r="B201" s="120" t="s">
        <v>3873</v>
      </c>
      <c r="C201" s="121" t="s">
        <v>3874</v>
      </c>
      <c r="D201" s="122">
        <v>1.19</v>
      </c>
    </row>
    <row r="202" spans="2:4" x14ac:dyDescent="0.2">
      <c r="B202" s="120" t="s">
        <v>638</v>
      </c>
      <c r="C202" s="121" t="s">
        <v>639</v>
      </c>
      <c r="D202" s="122">
        <v>0</v>
      </c>
    </row>
    <row r="203" spans="2:4" x14ac:dyDescent="0.2">
      <c r="B203" s="120" t="s">
        <v>640</v>
      </c>
      <c r="C203" s="121" t="s">
        <v>641</v>
      </c>
      <c r="D203" s="122">
        <v>2.9</v>
      </c>
    </row>
    <row r="204" spans="2:4" x14ac:dyDescent="0.2">
      <c r="B204" s="120" t="s">
        <v>642</v>
      </c>
      <c r="C204" s="121" t="s">
        <v>643</v>
      </c>
      <c r="D204" s="122">
        <v>3.67</v>
      </c>
    </row>
    <row r="205" spans="2:4" x14ac:dyDescent="0.2">
      <c r="B205" s="120" t="s">
        <v>644</v>
      </c>
      <c r="C205" s="121" t="s">
        <v>645</v>
      </c>
      <c r="D205" s="122">
        <v>1.01</v>
      </c>
    </row>
    <row r="206" spans="2:4" x14ac:dyDescent="0.2">
      <c r="B206" s="120" t="s">
        <v>646</v>
      </c>
      <c r="C206" s="121" t="s">
        <v>647</v>
      </c>
      <c r="D206" s="122">
        <v>2.95</v>
      </c>
    </row>
    <row r="207" spans="2:4" x14ac:dyDescent="0.2">
      <c r="B207" s="120" t="s">
        <v>648</v>
      </c>
      <c r="C207" s="121" t="s">
        <v>649</v>
      </c>
      <c r="D207" s="122">
        <v>0</v>
      </c>
    </row>
    <row r="208" spans="2:4" x14ac:dyDescent="0.2">
      <c r="B208" s="120" t="s">
        <v>650</v>
      </c>
      <c r="C208" s="121" t="s">
        <v>651</v>
      </c>
      <c r="D208" s="122">
        <v>1.91</v>
      </c>
    </row>
    <row r="209" spans="2:4" x14ac:dyDescent="0.2">
      <c r="B209" s="120" t="s">
        <v>652</v>
      </c>
      <c r="C209" s="121" t="s">
        <v>653</v>
      </c>
      <c r="D209" s="122">
        <v>0.53</v>
      </c>
    </row>
    <row r="210" spans="2:4" x14ac:dyDescent="0.2">
      <c r="B210" s="120" t="s">
        <v>652</v>
      </c>
      <c r="C210" s="121" t="s">
        <v>3875</v>
      </c>
      <c r="D210" s="122">
        <v>0.52</v>
      </c>
    </row>
    <row r="211" spans="2:4" x14ac:dyDescent="0.2">
      <c r="B211" s="120" t="s">
        <v>3876</v>
      </c>
      <c r="C211" s="121" t="s">
        <v>3877</v>
      </c>
      <c r="D211" s="122">
        <v>0</v>
      </c>
    </row>
    <row r="212" spans="2:4" x14ac:dyDescent="0.2">
      <c r="B212" s="120" t="s">
        <v>654</v>
      </c>
      <c r="C212" s="121" t="s">
        <v>655</v>
      </c>
      <c r="D212" s="122">
        <v>7.03</v>
      </c>
    </row>
    <row r="213" spans="2:4" x14ac:dyDescent="0.2">
      <c r="B213" s="120" t="s">
        <v>3878</v>
      </c>
      <c r="C213" s="121" t="s">
        <v>3879</v>
      </c>
      <c r="D213" s="122">
        <v>5.53</v>
      </c>
    </row>
    <row r="214" spans="2:4" x14ac:dyDescent="0.2">
      <c r="B214" s="120" t="s">
        <v>656</v>
      </c>
      <c r="C214" s="121" t="s">
        <v>657</v>
      </c>
      <c r="D214" s="122">
        <v>3.43</v>
      </c>
    </row>
    <row r="215" spans="2:4" x14ac:dyDescent="0.2">
      <c r="B215" s="120" t="s">
        <v>3880</v>
      </c>
      <c r="C215" s="121" t="s">
        <v>3881</v>
      </c>
      <c r="D215" s="122">
        <v>0.66</v>
      </c>
    </row>
    <row r="216" spans="2:4" x14ac:dyDescent="0.2">
      <c r="B216" s="120" t="s">
        <v>658</v>
      </c>
      <c r="C216" s="121" t="s">
        <v>659</v>
      </c>
      <c r="D216" s="122">
        <v>5.46</v>
      </c>
    </row>
    <row r="217" spans="2:4" x14ac:dyDescent="0.2">
      <c r="B217" s="120" t="s">
        <v>660</v>
      </c>
      <c r="C217" s="121" t="s">
        <v>661</v>
      </c>
      <c r="D217" s="122">
        <v>3</v>
      </c>
    </row>
    <row r="218" spans="2:4" x14ac:dyDescent="0.2">
      <c r="B218" s="120" t="s">
        <v>662</v>
      </c>
      <c r="C218" s="121" t="s">
        <v>663</v>
      </c>
      <c r="D218" s="122">
        <v>1.61</v>
      </c>
    </row>
    <row r="219" spans="2:4" x14ac:dyDescent="0.2">
      <c r="B219" s="120" t="s">
        <v>664</v>
      </c>
      <c r="C219" s="121" t="s">
        <v>665</v>
      </c>
      <c r="D219" s="122">
        <v>1.1200000000000001</v>
      </c>
    </row>
    <row r="220" spans="2:4" x14ac:dyDescent="0.2">
      <c r="B220" s="120" t="s">
        <v>666</v>
      </c>
      <c r="C220" s="121" t="s">
        <v>667</v>
      </c>
      <c r="D220" s="122">
        <v>4.92</v>
      </c>
    </row>
    <row r="221" spans="2:4" x14ac:dyDescent="0.2">
      <c r="B221" s="120" t="s">
        <v>668</v>
      </c>
      <c r="C221" s="121" t="s">
        <v>669</v>
      </c>
      <c r="D221" s="122">
        <v>2.73</v>
      </c>
    </row>
    <row r="222" spans="2:4" x14ac:dyDescent="0.2">
      <c r="B222" s="120" t="s">
        <v>3882</v>
      </c>
      <c r="C222" s="121" t="s">
        <v>3883</v>
      </c>
      <c r="D222" s="122">
        <v>0.67</v>
      </c>
    </row>
    <row r="223" spans="2:4" x14ac:dyDescent="0.2">
      <c r="B223" s="120" t="s">
        <v>670</v>
      </c>
      <c r="C223" s="121" t="s">
        <v>671</v>
      </c>
      <c r="D223" s="122">
        <v>8.1999999999999993</v>
      </c>
    </row>
    <row r="224" spans="2:4" x14ac:dyDescent="0.2">
      <c r="B224" s="120" t="s">
        <v>3884</v>
      </c>
      <c r="C224" s="121" t="s">
        <v>3885</v>
      </c>
      <c r="D224" s="122">
        <v>5.63</v>
      </c>
    </row>
    <row r="225" spans="2:4" x14ac:dyDescent="0.2">
      <c r="B225" s="120" t="s">
        <v>672</v>
      </c>
      <c r="C225" s="121" t="s">
        <v>673</v>
      </c>
      <c r="D225" s="122">
        <v>0.72</v>
      </c>
    </row>
    <row r="226" spans="2:4" x14ac:dyDescent="0.2">
      <c r="B226" s="120" t="s">
        <v>674</v>
      </c>
      <c r="C226" s="121" t="s">
        <v>675</v>
      </c>
      <c r="D226" s="122">
        <v>0.48</v>
      </c>
    </row>
    <row r="227" spans="2:4" x14ac:dyDescent="0.2">
      <c r="B227" s="120" t="s">
        <v>676</v>
      </c>
      <c r="C227" s="121" t="s">
        <v>677</v>
      </c>
      <c r="D227" s="122">
        <v>3.85</v>
      </c>
    </row>
    <row r="228" spans="2:4" x14ac:dyDescent="0.2">
      <c r="B228" s="120" t="s">
        <v>3886</v>
      </c>
      <c r="C228" s="121" t="s">
        <v>3887</v>
      </c>
      <c r="D228" s="122">
        <v>2.13</v>
      </c>
    </row>
    <row r="229" spans="2:4" x14ac:dyDescent="0.2">
      <c r="B229" s="120" t="s">
        <v>678</v>
      </c>
      <c r="C229" s="121" t="s">
        <v>679</v>
      </c>
      <c r="D229" s="122">
        <v>1.21</v>
      </c>
    </row>
    <row r="230" spans="2:4" x14ac:dyDescent="0.2">
      <c r="B230" s="120" t="s">
        <v>680</v>
      </c>
      <c r="C230" s="121" t="s">
        <v>681</v>
      </c>
      <c r="D230" s="122">
        <v>3.54</v>
      </c>
    </row>
    <row r="231" spans="2:4" x14ac:dyDescent="0.2">
      <c r="B231" s="120" t="s">
        <v>3888</v>
      </c>
      <c r="C231" s="121" t="s">
        <v>3889</v>
      </c>
      <c r="D231" s="122">
        <v>5.47</v>
      </c>
    </row>
    <row r="232" spans="2:4" x14ac:dyDescent="0.2">
      <c r="B232" s="120" t="s">
        <v>682</v>
      </c>
      <c r="C232" s="121" t="s">
        <v>683</v>
      </c>
      <c r="D232" s="122">
        <v>0</v>
      </c>
    </row>
    <row r="233" spans="2:4" x14ac:dyDescent="0.2">
      <c r="B233" s="120" t="s">
        <v>684</v>
      </c>
      <c r="C233" s="121" t="s">
        <v>685</v>
      </c>
      <c r="D233" s="122">
        <v>1.08</v>
      </c>
    </row>
    <row r="234" spans="2:4" x14ac:dyDescent="0.2">
      <c r="B234" s="120" t="s">
        <v>686</v>
      </c>
      <c r="C234" s="121" t="s">
        <v>687</v>
      </c>
      <c r="D234" s="122">
        <v>1.04</v>
      </c>
    </row>
    <row r="235" spans="2:4" x14ac:dyDescent="0.2">
      <c r="B235" s="120" t="s">
        <v>688</v>
      </c>
      <c r="C235" s="121" t="s">
        <v>689</v>
      </c>
      <c r="D235" s="122">
        <v>0</v>
      </c>
    </row>
    <row r="236" spans="2:4" x14ac:dyDescent="0.2">
      <c r="B236" s="120" t="s">
        <v>690</v>
      </c>
      <c r="C236" s="121" t="s">
        <v>691</v>
      </c>
      <c r="D236" s="122">
        <v>3.57</v>
      </c>
    </row>
    <row r="237" spans="2:4" x14ac:dyDescent="0.2">
      <c r="B237" s="120" t="s">
        <v>692</v>
      </c>
      <c r="C237" s="121" t="s">
        <v>693</v>
      </c>
      <c r="D237" s="122">
        <v>0</v>
      </c>
    </row>
    <row r="238" spans="2:4" x14ac:dyDescent="0.2">
      <c r="B238" s="120" t="s">
        <v>694</v>
      </c>
      <c r="C238" s="121" t="s">
        <v>695</v>
      </c>
      <c r="D238" s="122">
        <v>0</v>
      </c>
    </row>
    <row r="239" spans="2:4" x14ac:dyDescent="0.2">
      <c r="B239" s="120" t="s">
        <v>696</v>
      </c>
      <c r="C239" s="121" t="s">
        <v>697</v>
      </c>
      <c r="D239" s="122">
        <v>0</v>
      </c>
    </row>
    <row r="240" spans="2:4" x14ac:dyDescent="0.2">
      <c r="B240" s="120" t="s">
        <v>698</v>
      </c>
      <c r="C240" s="121" t="s">
        <v>699</v>
      </c>
      <c r="D240" s="122">
        <v>3.05</v>
      </c>
    </row>
    <row r="241" spans="2:4" x14ac:dyDescent="0.2">
      <c r="B241" s="120" t="s">
        <v>3890</v>
      </c>
      <c r="C241" s="121" t="s">
        <v>3891</v>
      </c>
      <c r="D241" s="122">
        <v>6.74</v>
      </c>
    </row>
    <row r="242" spans="2:4" x14ac:dyDescent="0.2">
      <c r="B242" s="120" t="s">
        <v>700</v>
      </c>
      <c r="C242" s="121" t="s">
        <v>701</v>
      </c>
      <c r="D242" s="122">
        <v>0</v>
      </c>
    </row>
    <row r="243" spans="2:4" x14ac:dyDescent="0.2">
      <c r="B243" s="120" t="s">
        <v>702</v>
      </c>
      <c r="C243" s="121" t="s">
        <v>703</v>
      </c>
      <c r="D243" s="122">
        <v>6.12</v>
      </c>
    </row>
    <row r="244" spans="2:4" x14ac:dyDescent="0.2">
      <c r="B244" s="120" t="s">
        <v>704</v>
      </c>
      <c r="C244" s="121" t="s">
        <v>705</v>
      </c>
      <c r="D244" s="122">
        <v>0</v>
      </c>
    </row>
    <row r="245" spans="2:4" x14ac:dyDescent="0.2">
      <c r="B245" s="120" t="s">
        <v>706</v>
      </c>
      <c r="C245" s="121" t="s">
        <v>707</v>
      </c>
      <c r="D245" s="122">
        <v>0</v>
      </c>
    </row>
    <row r="246" spans="2:4" x14ac:dyDescent="0.2">
      <c r="B246" s="120" t="s">
        <v>708</v>
      </c>
      <c r="C246" s="121" t="s">
        <v>709</v>
      </c>
      <c r="D246" s="122">
        <v>0</v>
      </c>
    </row>
    <row r="247" spans="2:4" x14ac:dyDescent="0.2">
      <c r="B247" s="120" t="s">
        <v>710</v>
      </c>
      <c r="C247" s="121" t="s">
        <v>711</v>
      </c>
      <c r="D247" s="122">
        <v>0</v>
      </c>
    </row>
    <row r="248" spans="2:4" x14ac:dyDescent="0.2">
      <c r="B248" s="120" t="s">
        <v>710</v>
      </c>
      <c r="C248" s="121" t="s">
        <v>3892</v>
      </c>
      <c r="D248" s="122">
        <v>0</v>
      </c>
    </row>
    <row r="249" spans="2:4" x14ac:dyDescent="0.2">
      <c r="B249" s="120" t="s">
        <v>712</v>
      </c>
      <c r="C249" s="121" t="s">
        <v>713</v>
      </c>
      <c r="D249" s="122">
        <v>4.21</v>
      </c>
    </row>
    <row r="250" spans="2:4" x14ac:dyDescent="0.2">
      <c r="B250" s="120" t="s">
        <v>714</v>
      </c>
      <c r="C250" s="121" t="s">
        <v>715</v>
      </c>
      <c r="D250" s="122">
        <v>0</v>
      </c>
    </row>
    <row r="251" spans="2:4" x14ac:dyDescent="0.2">
      <c r="B251" s="120" t="s">
        <v>716</v>
      </c>
      <c r="C251" s="121" t="s">
        <v>717</v>
      </c>
      <c r="D251" s="122">
        <v>2.67</v>
      </c>
    </row>
    <row r="252" spans="2:4" x14ac:dyDescent="0.2">
      <c r="B252" s="120" t="s">
        <v>718</v>
      </c>
      <c r="C252" s="121" t="s">
        <v>719</v>
      </c>
      <c r="D252" s="122">
        <v>1</v>
      </c>
    </row>
    <row r="253" spans="2:4" x14ac:dyDescent="0.2">
      <c r="B253" s="120" t="s">
        <v>720</v>
      </c>
      <c r="C253" s="121" t="s">
        <v>721</v>
      </c>
      <c r="D253" s="122">
        <v>0.91</v>
      </c>
    </row>
    <row r="254" spans="2:4" x14ac:dyDescent="0.2">
      <c r="B254" s="120" t="s">
        <v>722</v>
      </c>
      <c r="C254" s="121" t="s">
        <v>723</v>
      </c>
      <c r="D254" s="122">
        <v>2.63</v>
      </c>
    </row>
    <row r="255" spans="2:4" x14ac:dyDescent="0.2">
      <c r="B255" s="120" t="s">
        <v>3893</v>
      </c>
      <c r="C255" s="121" t="s">
        <v>3894</v>
      </c>
      <c r="D255" s="122">
        <v>0</v>
      </c>
    </row>
    <row r="256" spans="2:4" x14ac:dyDescent="0.2">
      <c r="B256" s="120" t="s">
        <v>724</v>
      </c>
      <c r="C256" s="121" t="s">
        <v>725</v>
      </c>
      <c r="D256" s="122">
        <v>0</v>
      </c>
    </row>
    <row r="257" spans="2:4" x14ac:dyDescent="0.2">
      <c r="B257" s="120" t="s">
        <v>726</v>
      </c>
      <c r="C257" s="121" t="s">
        <v>727</v>
      </c>
      <c r="D257" s="122">
        <v>0</v>
      </c>
    </row>
    <row r="258" spans="2:4" x14ac:dyDescent="0.2">
      <c r="B258" s="120" t="s">
        <v>728</v>
      </c>
      <c r="C258" s="121" t="s">
        <v>729</v>
      </c>
      <c r="D258" s="122">
        <v>3.79</v>
      </c>
    </row>
    <row r="259" spans="2:4" x14ac:dyDescent="0.2">
      <c r="B259" s="120" t="s">
        <v>730</v>
      </c>
      <c r="C259" s="121" t="s">
        <v>731</v>
      </c>
      <c r="D259" s="122">
        <v>2.5</v>
      </c>
    </row>
    <row r="260" spans="2:4" x14ac:dyDescent="0.2">
      <c r="B260" s="120" t="s">
        <v>732</v>
      </c>
      <c r="C260" s="121" t="s">
        <v>733</v>
      </c>
      <c r="D260" s="122">
        <v>0</v>
      </c>
    </row>
    <row r="261" spans="2:4" x14ac:dyDescent="0.2">
      <c r="B261" s="120" t="s">
        <v>734</v>
      </c>
      <c r="C261" s="121" t="s">
        <v>735</v>
      </c>
      <c r="D261" s="122">
        <v>2.97</v>
      </c>
    </row>
    <row r="262" spans="2:4" x14ac:dyDescent="0.2">
      <c r="B262" s="120" t="s">
        <v>736</v>
      </c>
      <c r="C262" s="121" t="s">
        <v>737</v>
      </c>
      <c r="D262" s="122">
        <v>0.53</v>
      </c>
    </row>
    <row r="263" spans="2:4" x14ac:dyDescent="0.2">
      <c r="B263" s="120" t="s">
        <v>738</v>
      </c>
      <c r="C263" s="121" t="s">
        <v>739</v>
      </c>
      <c r="D263" s="122">
        <v>0.81</v>
      </c>
    </row>
    <row r="264" spans="2:4" x14ac:dyDescent="0.2">
      <c r="B264" s="120" t="s">
        <v>740</v>
      </c>
      <c r="C264" s="121" t="s">
        <v>741</v>
      </c>
      <c r="D264" s="122">
        <v>0</v>
      </c>
    </row>
    <row r="265" spans="2:4" x14ac:dyDescent="0.2">
      <c r="B265" s="120" t="s">
        <v>3895</v>
      </c>
      <c r="C265" s="121" t="s">
        <v>3896</v>
      </c>
      <c r="D265" s="122">
        <v>3.04</v>
      </c>
    </row>
    <row r="266" spans="2:4" x14ac:dyDescent="0.2">
      <c r="B266" s="120" t="s">
        <v>3897</v>
      </c>
      <c r="C266" s="121" t="s">
        <v>3898</v>
      </c>
      <c r="D266" s="122">
        <v>0</v>
      </c>
    </row>
    <row r="267" spans="2:4" x14ac:dyDescent="0.2">
      <c r="B267" s="120" t="s">
        <v>742</v>
      </c>
      <c r="C267" s="121" t="s">
        <v>743</v>
      </c>
      <c r="D267" s="122">
        <v>4.25</v>
      </c>
    </row>
    <row r="268" spans="2:4" x14ac:dyDescent="0.2">
      <c r="B268" s="120" t="s">
        <v>744</v>
      </c>
      <c r="C268" s="121" t="s">
        <v>745</v>
      </c>
      <c r="D268" s="122">
        <v>0</v>
      </c>
    </row>
    <row r="269" spans="2:4" x14ac:dyDescent="0.2">
      <c r="B269" s="120" t="s">
        <v>746</v>
      </c>
      <c r="C269" s="121" t="s">
        <v>747</v>
      </c>
      <c r="D269" s="122">
        <v>1.89</v>
      </c>
    </row>
    <row r="270" spans="2:4" x14ac:dyDescent="0.2">
      <c r="B270" s="120" t="s">
        <v>748</v>
      </c>
      <c r="C270" s="121" t="s">
        <v>749</v>
      </c>
      <c r="D270" s="122">
        <v>3.24</v>
      </c>
    </row>
    <row r="271" spans="2:4" x14ac:dyDescent="0.2">
      <c r="B271" s="120" t="s">
        <v>750</v>
      </c>
      <c r="C271" s="121" t="s">
        <v>751</v>
      </c>
      <c r="D271" s="122">
        <v>5.73</v>
      </c>
    </row>
    <row r="272" spans="2:4" x14ac:dyDescent="0.2">
      <c r="B272" s="120" t="s">
        <v>752</v>
      </c>
      <c r="C272" s="121" t="s">
        <v>753</v>
      </c>
      <c r="D272" s="122">
        <v>4.72</v>
      </c>
    </row>
    <row r="273" spans="2:4" x14ac:dyDescent="0.2">
      <c r="B273" s="120" t="s">
        <v>754</v>
      </c>
      <c r="C273" s="121" t="s">
        <v>755</v>
      </c>
      <c r="D273" s="122">
        <v>1.75</v>
      </c>
    </row>
    <row r="274" spans="2:4" x14ac:dyDescent="0.2">
      <c r="B274" s="120" t="s">
        <v>756</v>
      </c>
      <c r="C274" s="121" t="s">
        <v>757</v>
      </c>
      <c r="D274" s="122">
        <v>3.02</v>
      </c>
    </row>
    <row r="275" spans="2:4" x14ac:dyDescent="0.2">
      <c r="B275" s="120" t="s">
        <v>758</v>
      </c>
      <c r="C275" s="121" t="s">
        <v>759</v>
      </c>
      <c r="D275" s="122">
        <v>2.4700000000000002</v>
      </c>
    </row>
    <row r="276" spans="2:4" x14ac:dyDescent="0.2">
      <c r="B276" s="120" t="s">
        <v>3899</v>
      </c>
      <c r="C276" s="121" t="s">
        <v>3900</v>
      </c>
      <c r="D276" s="122">
        <v>3.47</v>
      </c>
    </row>
    <row r="277" spans="2:4" x14ac:dyDescent="0.2">
      <c r="B277" s="120" t="s">
        <v>760</v>
      </c>
      <c r="C277" s="121" t="s">
        <v>761</v>
      </c>
      <c r="D277" s="122">
        <v>0.6</v>
      </c>
    </row>
    <row r="278" spans="2:4" x14ac:dyDescent="0.2">
      <c r="B278" s="120" t="s">
        <v>762</v>
      </c>
      <c r="C278" s="121" t="s">
        <v>763</v>
      </c>
      <c r="D278" s="122">
        <v>6.26</v>
      </c>
    </row>
    <row r="279" spans="2:4" x14ac:dyDescent="0.2">
      <c r="B279" s="120" t="s">
        <v>764</v>
      </c>
      <c r="C279" s="121" t="s">
        <v>765</v>
      </c>
      <c r="D279" s="122">
        <v>7.31</v>
      </c>
    </row>
    <row r="280" spans="2:4" x14ac:dyDescent="0.2">
      <c r="B280" s="120" t="s">
        <v>766</v>
      </c>
      <c r="C280" s="121" t="s">
        <v>767</v>
      </c>
      <c r="D280" s="122">
        <v>0</v>
      </c>
    </row>
    <row r="281" spans="2:4" x14ac:dyDescent="0.2">
      <c r="B281" s="120" t="s">
        <v>768</v>
      </c>
      <c r="C281" s="121" t="s">
        <v>769</v>
      </c>
      <c r="D281" s="122">
        <v>2.2000000000000002</v>
      </c>
    </row>
    <row r="282" spans="2:4" x14ac:dyDescent="0.2">
      <c r="B282" s="120" t="s">
        <v>3901</v>
      </c>
      <c r="C282" s="121" t="s">
        <v>3902</v>
      </c>
      <c r="D282" s="122">
        <v>6.62</v>
      </c>
    </row>
    <row r="283" spans="2:4" x14ac:dyDescent="0.2">
      <c r="B283" s="120" t="s">
        <v>770</v>
      </c>
      <c r="C283" s="121" t="s">
        <v>771</v>
      </c>
      <c r="D283" s="122">
        <v>1.7</v>
      </c>
    </row>
    <row r="284" spans="2:4" x14ac:dyDescent="0.2">
      <c r="B284" s="120" t="s">
        <v>772</v>
      </c>
      <c r="C284" s="121" t="s">
        <v>773</v>
      </c>
      <c r="D284" s="122">
        <v>2.76</v>
      </c>
    </row>
    <row r="285" spans="2:4" x14ac:dyDescent="0.2">
      <c r="B285" s="120" t="s">
        <v>774</v>
      </c>
      <c r="C285" s="121" t="s">
        <v>775</v>
      </c>
      <c r="D285" s="122">
        <v>0</v>
      </c>
    </row>
    <row r="286" spans="2:4" x14ac:dyDescent="0.2">
      <c r="B286" s="120" t="s">
        <v>776</v>
      </c>
      <c r="C286" s="121" t="s">
        <v>3903</v>
      </c>
      <c r="D286" s="122">
        <v>0</v>
      </c>
    </row>
    <row r="287" spans="2:4" x14ac:dyDescent="0.2">
      <c r="B287" s="120" t="s">
        <v>776</v>
      </c>
      <c r="C287" s="121" t="s">
        <v>777</v>
      </c>
      <c r="D287" s="122">
        <v>0</v>
      </c>
    </row>
    <row r="288" spans="2:4" x14ac:dyDescent="0.2">
      <c r="B288" s="120" t="s">
        <v>778</v>
      </c>
      <c r="C288" s="121" t="s">
        <v>779</v>
      </c>
      <c r="D288" s="122">
        <v>10.92</v>
      </c>
    </row>
    <row r="289" spans="2:4" x14ac:dyDescent="0.2">
      <c r="B289" s="120" t="s">
        <v>780</v>
      </c>
      <c r="C289" s="121" t="s">
        <v>781</v>
      </c>
      <c r="D289" s="122">
        <v>0.37</v>
      </c>
    </row>
    <row r="290" spans="2:4" x14ac:dyDescent="0.2">
      <c r="B290" s="120" t="s">
        <v>782</v>
      </c>
      <c r="C290" s="121" t="s">
        <v>783</v>
      </c>
      <c r="D290" s="122">
        <v>0.88</v>
      </c>
    </row>
    <row r="291" spans="2:4" x14ac:dyDescent="0.2">
      <c r="B291" s="120" t="s">
        <v>3904</v>
      </c>
      <c r="C291" s="121" t="s">
        <v>3905</v>
      </c>
      <c r="D291" s="122">
        <v>2.25</v>
      </c>
    </row>
    <row r="292" spans="2:4" x14ac:dyDescent="0.2">
      <c r="B292" s="120" t="s">
        <v>784</v>
      </c>
      <c r="C292" s="121" t="s">
        <v>785</v>
      </c>
      <c r="D292" s="122">
        <v>5.65</v>
      </c>
    </row>
    <row r="293" spans="2:4" x14ac:dyDescent="0.2">
      <c r="B293" s="120" t="s">
        <v>786</v>
      </c>
      <c r="C293" s="121" t="s">
        <v>787</v>
      </c>
      <c r="D293" s="122">
        <v>2.92</v>
      </c>
    </row>
    <row r="294" spans="2:4" x14ac:dyDescent="0.2">
      <c r="B294" s="120" t="s">
        <v>788</v>
      </c>
      <c r="C294" s="121" t="s">
        <v>789</v>
      </c>
      <c r="D294" s="122">
        <v>2.27</v>
      </c>
    </row>
    <row r="295" spans="2:4" x14ac:dyDescent="0.2">
      <c r="B295" s="120" t="s">
        <v>792</v>
      </c>
      <c r="C295" s="121" t="s">
        <v>793</v>
      </c>
      <c r="D295" s="122">
        <v>0.75</v>
      </c>
    </row>
    <row r="296" spans="2:4" x14ac:dyDescent="0.2">
      <c r="B296" s="120" t="s">
        <v>794</v>
      </c>
      <c r="C296" s="121" t="s">
        <v>795</v>
      </c>
      <c r="D296" s="122">
        <v>0</v>
      </c>
    </row>
    <row r="297" spans="2:4" x14ac:dyDescent="0.2">
      <c r="B297" s="120" t="s">
        <v>796</v>
      </c>
      <c r="C297" s="121" t="s">
        <v>797</v>
      </c>
      <c r="D297" s="122">
        <v>2.84</v>
      </c>
    </row>
    <row r="298" spans="2:4" x14ac:dyDescent="0.2">
      <c r="B298" s="120" t="s">
        <v>798</v>
      </c>
      <c r="C298" s="121" t="s">
        <v>799</v>
      </c>
      <c r="D298" s="122">
        <v>0</v>
      </c>
    </row>
    <row r="299" spans="2:4" x14ac:dyDescent="0.2">
      <c r="B299" s="120" t="s">
        <v>800</v>
      </c>
      <c r="C299" s="121" t="s">
        <v>801</v>
      </c>
      <c r="D299" s="122">
        <v>6.73</v>
      </c>
    </row>
    <row r="300" spans="2:4" x14ac:dyDescent="0.2">
      <c r="B300" s="120" t="s">
        <v>3906</v>
      </c>
      <c r="C300" s="121" t="s">
        <v>3907</v>
      </c>
      <c r="D300" s="122">
        <v>4.2</v>
      </c>
    </row>
    <row r="301" spans="2:4" x14ac:dyDescent="0.2">
      <c r="B301" s="120" t="s">
        <v>802</v>
      </c>
      <c r="C301" s="121" t="s">
        <v>803</v>
      </c>
      <c r="D301" s="122">
        <v>11.72</v>
      </c>
    </row>
    <row r="302" spans="2:4" x14ac:dyDescent="0.2">
      <c r="B302" s="120" t="s">
        <v>3908</v>
      </c>
      <c r="C302" s="121" t="s">
        <v>3909</v>
      </c>
      <c r="D302" s="122">
        <v>1.49</v>
      </c>
    </row>
    <row r="303" spans="2:4" x14ac:dyDescent="0.2">
      <c r="B303" s="120" t="s">
        <v>804</v>
      </c>
      <c r="C303" s="121" t="s">
        <v>805</v>
      </c>
      <c r="D303" s="122">
        <v>1.73</v>
      </c>
    </row>
    <row r="304" spans="2:4" x14ac:dyDescent="0.2">
      <c r="B304" s="120" t="s">
        <v>806</v>
      </c>
      <c r="C304" s="121" t="s">
        <v>807</v>
      </c>
      <c r="D304" s="122">
        <v>2.6</v>
      </c>
    </row>
    <row r="305" spans="2:4" x14ac:dyDescent="0.2">
      <c r="B305" s="120" t="s">
        <v>808</v>
      </c>
      <c r="C305" s="121" t="s">
        <v>809</v>
      </c>
      <c r="D305" s="122">
        <v>0</v>
      </c>
    </row>
    <row r="306" spans="2:4" x14ac:dyDescent="0.2">
      <c r="B306" s="120" t="s">
        <v>810</v>
      </c>
      <c r="C306" s="121" t="s">
        <v>811</v>
      </c>
      <c r="D306" s="122">
        <v>0.78</v>
      </c>
    </row>
    <row r="307" spans="2:4" x14ac:dyDescent="0.2">
      <c r="B307" s="120" t="s">
        <v>812</v>
      </c>
      <c r="C307" s="121" t="s">
        <v>813</v>
      </c>
      <c r="D307" s="122">
        <v>0</v>
      </c>
    </row>
    <row r="308" spans="2:4" x14ac:dyDescent="0.2">
      <c r="B308" s="120" t="s">
        <v>814</v>
      </c>
      <c r="C308" s="121" t="s">
        <v>815</v>
      </c>
      <c r="D308" s="122">
        <v>1.85</v>
      </c>
    </row>
    <row r="309" spans="2:4" x14ac:dyDescent="0.2">
      <c r="B309" s="120" t="s">
        <v>816</v>
      </c>
      <c r="C309" s="121" t="s">
        <v>817</v>
      </c>
      <c r="D309" s="122">
        <v>1.1399999999999999</v>
      </c>
    </row>
    <row r="310" spans="2:4" x14ac:dyDescent="0.2">
      <c r="B310" s="120" t="s">
        <v>818</v>
      </c>
      <c r="C310" s="121" t="s">
        <v>819</v>
      </c>
      <c r="D310" s="122">
        <v>3.63</v>
      </c>
    </row>
    <row r="311" spans="2:4" x14ac:dyDescent="0.2">
      <c r="B311" s="120" t="s">
        <v>3910</v>
      </c>
      <c r="C311" s="121" t="s">
        <v>3911</v>
      </c>
      <c r="D311" s="122">
        <v>2.12</v>
      </c>
    </row>
    <row r="312" spans="2:4" x14ac:dyDescent="0.2">
      <c r="B312" s="120" t="s">
        <v>820</v>
      </c>
      <c r="C312" s="121" t="s">
        <v>821</v>
      </c>
      <c r="D312" s="122">
        <v>6.8</v>
      </c>
    </row>
    <row r="313" spans="2:4" x14ac:dyDescent="0.2">
      <c r="B313" s="120" t="s">
        <v>822</v>
      </c>
      <c r="C313" s="121" t="s">
        <v>823</v>
      </c>
      <c r="D313" s="122">
        <v>2.92</v>
      </c>
    </row>
    <row r="314" spans="2:4" x14ac:dyDescent="0.2">
      <c r="B314" s="120" t="s">
        <v>3912</v>
      </c>
      <c r="C314" s="121" t="s">
        <v>3913</v>
      </c>
      <c r="D314" s="122">
        <v>0</v>
      </c>
    </row>
    <row r="315" spans="2:4" x14ac:dyDescent="0.2">
      <c r="B315" s="120" t="s">
        <v>824</v>
      </c>
      <c r="C315" s="121" t="s">
        <v>825</v>
      </c>
      <c r="D315" s="122">
        <v>3.12</v>
      </c>
    </row>
    <row r="316" spans="2:4" x14ac:dyDescent="0.2">
      <c r="B316" s="120" t="s">
        <v>3914</v>
      </c>
      <c r="C316" s="121" t="s">
        <v>3915</v>
      </c>
      <c r="D316" s="122">
        <v>0</v>
      </c>
    </row>
    <row r="317" spans="2:4" x14ac:dyDescent="0.2">
      <c r="B317" s="120" t="s">
        <v>826</v>
      </c>
      <c r="C317" s="121" t="s">
        <v>827</v>
      </c>
      <c r="D317" s="122">
        <v>2.94</v>
      </c>
    </row>
    <row r="318" spans="2:4" x14ac:dyDescent="0.2">
      <c r="B318" s="120" t="s">
        <v>828</v>
      </c>
      <c r="C318" s="121" t="s">
        <v>829</v>
      </c>
      <c r="D318" s="122">
        <v>1.27</v>
      </c>
    </row>
    <row r="319" spans="2:4" x14ac:dyDescent="0.2">
      <c r="B319" s="120" t="s">
        <v>830</v>
      </c>
      <c r="C319" s="121" t="s">
        <v>831</v>
      </c>
      <c r="D319" s="122">
        <v>0.72</v>
      </c>
    </row>
    <row r="320" spans="2:4" x14ac:dyDescent="0.2">
      <c r="B320" s="120" t="s">
        <v>832</v>
      </c>
      <c r="C320" s="121" t="s">
        <v>833</v>
      </c>
      <c r="D320" s="122">
        <v>0</v>
      </c>
    </row>
    <row r="321" spans="2:4" x14ac:dyDescent="0.2">
      <c r="B321" s="120" t="s">
        <v>834</v>
      </c>
      <c r="C321" s="121" t="s">
        <v>835</v>
      </c>
      <c r="D321" s="122">
        <v>0</v>
      </c>
    </row>
    <row r="322" spans="2:4" x14ac:dyDescent="0.2">
      <c r="B322" s="120" t="s">
        <v>836</v>
      </c>
      <c r="C322" s="121" t="s">
        <v>837</v>
      </c>
      <c r="D322" s="122">
        <v>1.31</v>
      </c>
    </row>
    <row r="323" spans="2:4" x14ac:dyDescent="0.2">
      <c r="B323" s="120" t="s">
        <v>838</v>
      </c>
      <c r="C323" s="121" t="s">
        <v>839</v>
      </c>
      <c r="D323" s="122">
        <v>2.85</v>
      </c>
    </row>
    <row r="324" spans="2:4" x14ac:dyDescent="0.2">
      <c r="B324" s="120" t="s">
        <v>840</v>
      </c>
      <c r="C324" s="121" t="s">
        <v>841</v>
      </c>
      <c r="D324" s="122">
        <v>4.0199999999999996</v>
      </c>
    </row>
    <row r="325" spans="2:4" x14ac:dyDescent="0.2">
      <c r="B325" s="120" t="s">
        <v>842</v>
      </c>
      <c r="C325" s="121" t="s">
        <v>843</v>
      </c>
      <c r="D325" s="122">
        <v>4.47</v>
      </c>
    </row>
    <row r="326" spans="2:4" x14ac:dyDescent="0.2">
      <c r="B326" s="120" t="s">
        <v>3916</v>
      </c>
      <c r="C326" s="121" t="s">
        <v>3917</v>
      </c>
      <c r="D326" s="122">
        <v>6.16</v>
      </c>
    </row>
    <row r="327" spans="2:4" x14ac:dyDescent="0.2">
      <c r="B327" s="120" t="s">
        <v>844</v>
      </c>
      <c r="C327" s="121" t="s">
        <v>845</v>
      </c>
      <c r="D327" s="122">
        <v>0</v>
      </c>
    </row>
    <row r="328" spans="2:4" x14ac:dyDescent="0.2">
      <c r="B328" s="120" t="s">
        <v>846</v>
      </c>
      <c r="C328" s="121" t="s">
        <v>847</v>
      </c>
      <c r="D328" s="122">
        <v>0.78</v>
      </c>
    </row>
    <row r="329" spans="2:4" x14ac:dyDescent="0.2">
      <c r="B329" s="120" t="s">
        <v>848</v>
      </c>
      <c r="C329" s="121" t="s">
        <v>849</v>
      </c>
      <c r="D329" s="122">
        <v>3.21</v>
      </c>
    </row>
    <row r="330" spans="2:4" x14ac:dyDescent="0.2">
      <c r="B330" s="120" t="s">
        <v>850</v>
      </c>
      <c r="C330" s="121" t="s">
        <v>851</v>
      </c>
      <c r="D330" s="122">
        <v>1.9</v>
      </c>
    </row>
    <row r="331" spans="2:4" x14ac:dyDescent="0.2">
      <c r="B331" s="120" t="s">
        <v>852</v>
      </c>
      <c r="C331" s="121" t="s">
        <v>853</v>
      </c>
      <c r="D331" s="122">
        <v>0.6</v>
      </c>
    </row>
    <row r="332" spans="2:4" x14ac:dyDescent="0.2">
      <c r="B332" s="120" t="s">
        <v>3918</v>
      </c>
      <c r="C332" s="121" t="s">
        <v>3919</v>
      </c>
      <c r="D332" s="122">
        <v>0</v>
      </c>
    </row>
    <row r="333" spans="2:4" x14ac:dyDescent="0.2">
      <c r="B333" s="120" t="s">
        <v>854</v>
      </c>
      <c r="C333" s="121" t="s">
        <v>855</v>
      </c>
      <c r="D333" s="122">
        <v>1.25</v>
      </c>
    </row>
    <row r="334" spans="2:4" x14ac:dyDescent="0.2">
      <c r="B334" s="120" t="s">
        <v>856</v>
      </c>
      <c r="C334" s="121" t="s">
        <v>857</v>
      </c>
      <c r="D334" s="122">
        <v>0</v>
      </c>
    </row>
    <row r="335" spans="2:4" x14ac:dyDescent="0.2">
      <c r="B335" s="120" t="s">
        <v>858</v>
      </c>
      <c r="C335" s="121" t="s">
        <v>859</v>
      </c>
      <c r="D335" s="122">
        <v>0</v>
      </c>
    </row>
    <row r="336" spans="2:4" x14ac:dyDescent="0.2">
      <c r="B336" s="120" t="s">
        <v>860</v>
      </c>
      <c r="C336" s="121" t="s">
        <v>861</v>
      </c>
      <c r="D336" s="122">
        <v>3.13</v>
      </c>
    </row>
    <row r="337" spans="2:4" x14ac:dyDescent="0.2">
      <c r="B337" s="120" t="s">
        <v>862</v>
      </c>
      <c r="C337" s="121" t="s">
        <v>863</v>
      </c>
      <c r="D337" s="122">
        <v>1.72</v>
      </c>
    </row>
    <row r="338" spans="2:4" x14ac:dyDescent="0.2">
      <c r="B338" s="120" t="s">
        <v>862</v>
      </c>
      <c r="C338" s="121" t="s">
        <v>3920</v>
      </c>
      <c r="D338" s="122">
        <v>1.64</v>
      </c>
    </row>
    <row r="339" spans="2:4" x14ac:dyDescent="0.2">
      <c r="B339" s="120" t="s">
        <v>3921</v>
      </c>
      <c r="C339" s="121" t="s">
        <v>3922</v>
      </c>
      <c r="D339" s="122">
        <v>1.72</v>
      </c>
    </row>
    <row r="340" spans="2:4" x14ac:dyDescent="0.2">
      <c r="B340" s="120" t="s">
        <v>864</v>
      </c>
      <c r="C340" s="121" t="s">
        <v>865</v>
      </c>
      <c r="D340" s="122">
        <v>2.59</v>
      </c>
    </row>
    <row r="341" spans="2:4" x14ac:dyDescent="0.2">
      <c r="B341" s="120" t="s">
        <v>3923</v>
      </c>
      <c r="C341" s="121" t="s">
        <v>3924</v>
      </c>
      <c r="D341" s="122">
        <v>0</v>
      </c>
    </row>
    <row r="342" spans="2:4" x14ac:dyDescent="0.2">
      <c r="B342" s="120" t="s">
        <v>866</v>
      </c>
      <c r="C342" s="121" t="s">
        <v>867</v>
      </c>
      <c r="D342" s="122">
        <v>3.34</v>
      </c>
    </row>
    <row r="343" spans="2:4" x14ac:dyDescent="0.2">
      <c r="B343" s="120" t="s">
        <v>868</v>
      </c>
      <c r="C343" s="121" t="s">
        <v>869</v>
      </c>
      <c r="D343" s="122">
        <v>0</v>
      </c>
    </row>
    <row r="344" spans="2:4" x14ac:dyDescent="0.2">
      <c r="B344" s="120" t="s">
        <v>870</v>
      </c>
      <c r="C344" s="121" t="s">
        <v>871</v>
      </c>
      <c r="D344" s="122">
        <v>8.69</v>
      </c>
    </row>
    <row r="345" spans="2:4" x14ac:dyDescent="0.2">
      <c r="B345" s="120" t="s">
        <v>872</v>
      </c>
      <c r="C345" s="121" t="s">
        <v>873</v>
      </c>
      <c r="D345" s="122">
        <v>3.2</v>
      </c>
    </row>
    <row r="346" spans="2:4" x14ac:dyDescent="0.2">
      <c r="B346" s="120" t="s">
        <v>874</v>
      </c>
      <c r="C346" s="121" t="s">
        <v>875</v>
      </c>
      <c r="D346" s="122">
        <v>0.65</v>
      </c>
    </row>
    <row r="347" spans="2:4" x14ac:dyDescent="0.2">
      <c r="B347" s="120" t="s">
        <v>876</v>
      </c>
      <c r="C347" s="121" t="s">
        <v>877</v>
      </c>
      <c r="D347" s="122">
        <v>0</v>
      </c>
    </row>
    <row r="348" spans="2:4" x14ac:dyDescent="0.2">
      <c r="B348" s="120" t="s">
        <v>878</v>
      </c>
      <c r="C348" s="121" t="s">
        <v>879</v>
      </c>
      <c r="D348" s="122">
        <v>4.1500000000000004</v>
      </c>
    </row>
    <row r="349" spans="2:4" x14ac:dyDescent="0.2">
      <c r="B349" s="120" t="s">
        <v>880</v>
      </c>
      <c r="C349" s="121" t="s">
        <v>881</v>
      </c>
      <c r="D349" s="122">
        <v>3.65</v>
      </c>
    </row>
    <row r="350" spans="2:4" x14ac:dyDescent="0.2">
      <c r="B350" s="120" t="s">
        <v>882</v>
      </c>
      <c r="C350" s="121" t="s">
        <v>883</v>
      </c>
      <c r="D350" s="122">
        <v>1.1599999999999999</v>
      </c>
    </row>
    <row r="351" spans="2:4" x14ac:dyDescent="0.2">
      <c r="B351" s="120" t="s">
        <v>3925</v>
      </c>
      <c r="C351" s="121" t="s">
        <v>3926</v>
      </c>
      <c r="D351" s="122">
        <v>1.06</v>
      </c>
    </row>
    <row r="352" spans="2:4" x14ac:dyDescent="0.2">
      <c r="B352" s="120" t="s">
        <v>3927</v>
      </c>
      <c r="C352" s="121" t="s">
        <v>3928</v>
      </c>
      <c r="D352" s="122">
        <v>3.93</v>
      </c>
    </row>
    <row r="353" spans="2:4" x14ac:dyDescent="0.2">
      <c r="B353" s="120" t="s">
        <v>884</v>
      </c>
      <c r="C353" s="121" t="s">
        <v>885</v>
      </c>
      <c r="D353" s="122">
        <v>2.2000000000000002</v>
      </c>
    </row>
    <row r="354" spans="2:4" x14ac:dyDescent="0.2">
      <c r="B354" s="120" t="s">
        <v>886</v>
      </c>
      <c r="C354" s="121" t="s">
        <v>887</v>
      </c>
      <c r="D354" s="122">
        <v>1.84</v>
      </c>
    </row>
    <row r="355" spans="2:4" x14ac:dyDescent="0.2">
      <c r="B355" s="120" t="s">
        <v>888</v>
      </c>
      <c r="C355" s="121" t="s">
        <v>889</v>
      </c>
      <c r="D355" s="122">
        <v>0</v>
      </c>
    </row>
    <row r="356" spans="2:4" x14ac:dyDescent="0.2">
      <c r="B356" s="120" t="s">
        <v>890</v>
      </c>
      <c r="C356" s="121" t="s">
        <v>891</v>
      </c>
      <c r="D356" s="122">
        <v>1.0900000000000001</v>
      </c>
    </row>
    <row r="357" spans="2:4" x14ac:dyDescent="0.2">
      <c r="B357" s="120" t="s">
        <v>892</v>
      </c>
      <c r="C357" s="121" t="s">
        <v>893</v>
      </c>
      <c r="D357" s="122">
        <v>1.26</v>
      </c>
    </row>
    <row r="358" spans="2:4" x14ac:dyDescent="0.2">
      <c r="B358" s="120" t="s">
        <v>894</v>
      </c>
      <c r="C358" s="121" t="s">
        <v>895</v>
      </c>
      <c r="D358" s="122">
        <v>0</v>
      </c>
    </row>
    <row r="359" spans="2:4" x14ac:dyDescent="0.2">
      <c r="B359" s="120" t="s">
        <v>896</v>
      </c>
      <c r="C359" s="121" t="s">
        <v>897</v>
      </c>
      <c r="D359" s="122">
        <v>0.97</v>
      </c>
    </row>
    <row r="360" spans="2:4" x14ac:dyDescent="0.2">
      <c r="B360" s="120" t="s">
        <v>898</v>
      </c>
      <c r="C360" s="121" t="s">
        <v>899</v>
      </c>
      <c r="D360" s="122">
        <v>2.02</v>
      </c>
    </row>
    <row r="361" spans="2:4" x14ac:dyDescent="0.2">
      <c r="B361" s="120" t="s">
        <v>900</v>
      </c>
      <c r="C361" s="121" t="s">
        <v>901</v>
      </c>
      <c r="D361" s="122">
        <v>0</v>
      </c>
    </row>
    <row r="362" spans="2:4" x14ac:dyDescent="0.2">
      <c r="B362" s="120" t="s">
        <v>902</v>
      </c>
      <c r="C362" s="121" t="s">
        <v>903</v>
      </c>
      <c r="D362" s="122">
        <v>0</v>
      </c>
    </row>
    <row r="363" spans="2:4" x14ac:dyDescent="0.2">
      <c r="B363" s="120" t="s">
        <v>904</v>
      </c>
      <c r="C363" s="121" t="s">
        <v>905</v>
      </c>
      <c r="D363" s="122">
        <v>4.7300000000000004</v>
      </c>
    </row>
    <row r="364" spans="2:4" x14ac:dyDescent="0.2">
      <c r="B364" s="120" t="s">
        <v>906</v>
      </c>
      <c r="C364" s="121" t="s">
        <v>907</v>
      </c>
      <c r="D364" s="122">
        <v>1.05</v>
      </c>
    </row>
    <row r="365" spans="2:4" x14ac:dyDescent="0.2">
      <c r="B365" s="120" t="s">
        <v>908</v>
      </c>
      <c r="C365" s="121" t="s">
        <v>909</v>
      </c>
      <c r="D365" s="122">
        <v>2.4300000000000002</v>
      </c>
    </row>
    <row r="366" spans="2:4" x14ac:dyDescent="0.2">
      <c r="B366" s="120" t="s">
        <v>910</v>
      </c>
      <c r="C366" s="121" t="s">
        <v>911</v>
      </c>
      <c r="D366" s="122">
        <v>4.01</v>
      </c>
    </row>
    <row r="367" spans="2:4" x14ac:dyDescent="0.2">
      <c r="B367" s="120" t="s">
        <v>3929</v>
      </c>
      <c r="C367" s="121" t="s">
        <v>3930</v>
      </c>
      <c r="D367" s="122">
        <v>3.21</v>
      </c>
    </row>
    <row r="368" spans="2:4" x14ac:dyDescent="0.2">
      <c r="B368" s="120" t="s">
        <v>3931</v>
      </c>
      <c r="C368" s="121" t="s">
        <v>3932</v>
      </c>
      <c r="D368" s="122">
        <v>1.57</v>
      </c>
    </row>
    <row r="369" spans="2:4" x14ac:dyDescent="0.2">
      <c r="B369" s="120" t="s">
        <v>912</v>
      </c>
      <c r="C369" s="121" t="s">
        <v>913</v>
      </c>
      <c r="D369" s="122">
        <v>0</v>
      </c>
    </row>
    <row r="370" spans="2:4" x14ac:dyDescent="0.2">
      <c r="B370" s="120" t="s">
        <v>914</v>
      </c>
      <c r="C370" s="121" t="s">
        <v>915</v>
      </c>
      <c r="D370" s="122">
        <v>0</v>
      </c>
    </row>
    <row r="371" spans="2:4" x14ac:dyDescent="0.2">
      <c r="B371" s="120" t="s">
        <v>3933</v>
      </c>
      <c r="C371" s="121" t="s">
        <v>3934</v>
      </c>
      <c r="D371" s="122">
        <v>1.17</v>
      </c>
    </row>
    <row r="372" spans="2:4" x14ac:dyDescent="0.2">
      <c r="B372" s="120" t="s">
        <v>916</v>
      </c>
      <c r="C372" s="121" t="s">
        <v>917</v>
      </c>
      <c r="D372" s="122">
        <v>0.41</v>
      </c>
    </row>
    <row r="373" spans="2:4" x14ac:dyDescent="0.2">
      <c r="B373" s="120" t="s">
        <v>918</v>
      </c>
      <c r="C373" s="121" t="s">
        <v>919</v>
      </c>
      <c r="D373" s="122">
        <v>3.17</v>
      </c>
    </row>
    <row r="374" spans="2:4" x14ac:dyDescent="0.2">
      <c r="B374" s="120" t="s">
        <v>3935</v>
      </c>
      <c r="C374" s="121" t="s">
        <v>3936</v>
      </c>
      <c r="D374" s="122">
        <v>2</v>
      </c>
    </row>
    <row r="375" spans="2:4" x14ac:dyDescent="0.2">
      <c r="B375" s="120" t="s">
        <v>3937</v>
      </c>
      <c r="C375" s="121" t="s">
        <v>3938</v>
      </c>
      <c r="D375" s="122">
        <v>4.9800000000000004</v>
      </c>
    </row>
    <row r="376" spans="2:4" x14ac:dyDescent="0.2">
      <c r="B376" s="120" t="s">
        <v>920</v>
      </c>
      <c r="C376" s="121" t="s">
        <v>921</v>
      </c>
      <c r="D376" s="122">
        <v>1.25</v>
      </c>
    </row>
    <row r="377" spans="2:4" x14ac:dyDescent="0.2">
      <c r="B377" s="120" t="s">
        <v>922</v>
      </c>
      <c r="C377" s="121" t="s">
        <v>923</v>
      </c>
      <c r="D377" s="122">
        <v>0.44</v>
      </c>
    </row>
    <row r="378" spans="2:4" x14ac:dyDescent="0.2">
      <c r="B378" s="120" t="s">
        <v>924</v>
      </c>
      <c r="C378" s="121" t="s">
        <v>925</v>
      </c>
      <c r="D378" s="122">
        <v>0.3</v>
      </c>
    </row>
    <row r="379" spans="2:4" x14ac:dyDescent="0.2">
      <c r="B379" s="120" t="s">
        <v>3939</v>
      </c>
      <c r="C379" s="121" t="s">
        <v>3940</v>
      </c>
      <c r="D379" s="122">
        <v>0</v>
      </c>
    </row>
    <row r="380" spans="2:4" x14ac:dyDescent="0.2">
      <c r="B380" s="120" t="s">
        <v>926</v>
      </c>
      <c r="C380" s="121" t="s">
        <v>927</v>
      </c>
      <c r="D380" s="122">
        <v>0</v>
      </c>
    </row>
    <row r="381" spans="2:4" x14ac:dyDescent="0.2">
      <c r="B381" s="120" t="s">
        <v>928</v>
      </c>
      <c r="C381" s="121" t="s">
        <v>929</v>
      </c>
      <c r="D381" s="122">
        <v>0.95</v>
      </c>
    </row>
    <row r="382" spans="2:4" x14ac:dyDescent="0.2">
      <c r="B382" s="120" t="s">
        <v>930</v>
      </c>
      <c r="C382" s="121" t="s">
        <v>931</v>
      </c>
      <c r="D382" s="122">
        <v>0</v>
      </c>
    </row>
    <row r="383" spans="2:4" x14ac:dyDescent="0.2">
      <c r="B383" s="120" t="s">
        <v>932</v>
      </c>
      <c r="C383" s="121" t="s">
        <v>933</v>
      </c>
      <c r="D383" s="122">
        <v>4.2699999999999996</v>
      </c>
    </row>
    <row r="384" spans="2:4" x14ac:dyDescent="0.2">
      <c r="B384" s="120" t="s">
        <v>934</v>
      </c>
      <c r="C384" s="121" t="s">
        <v>935</v>
      </c>
      <c r="D384" s="122">
        <v>2.37</v>
      </c>
    </row>
    <row r="385" spans="2:4" x14ac:dyDescent="0.2">
      <c r="B385" s="120" t="s">
        <v>3941</v>
      </c>
      <c r="C385" s="121" t="s">
        <v>3942</v>
      </c>
      <c r="D385" s="122">
        <v>3.07</v>
      </c>
    </row>
    <row r="386" spans="2:4" x14ac:dyDescent="0.2">
      <c r="B386" s="120" t="s">
        <v>936</v>
      </c>
      <c r="C386" s="121" t="s">
        <v>937</v>
      </c>
      <c r="D386" s="122">
        <v>0</v>
      </c>
    </row>
    <row r="387" spans="2:4" x14ac:dyDescent="0.2">
      <c r="B387" s="120" t="s">
        <v>938</v>
      </c>
      <c r="C387" s="121" t="s">
        <v>939</v>
      </c>
      <c r="D387" s="122">
        <v>1.72</v>
      </c>
    </row>
    <row r="388" spans="2:4" x14ac:dyDescent="0.2">
      <c r="B388" s="120" t="s">
        <v>3943</v>
      </c>
      <c r="C388" s="121" t="s">
        <v>3944</v>
      </c>
      <c r="D388" s="122">
        <v>0</v>
      </c>
    </row>
    <row r="389" spans="2:4" x14ac:dyDescent="0.2">
      <c r="B389" s="120" t="s">
        <v>940</v>
      </c>
      <c r="C389" s="121" t="s">
        <v>941</v>
      </c>
      <c r="D389" s="122">
        <v>0.02</v>
      </c>
    </row>
    <row r="390" spans="2:4" x14ac:dyDescent="0.2">
      <c r="B390" s="120" t="s">
        <v>3945</v>
      </c>
      <c r="C390" s="121" t="s">
        <v>3946</v>
      </c>
      <c r="D390" s="122">
        <v>0.54</v>
      </c>
    </row>
    <row r="391" spans="2:4" x14ac:dyDescent="0.2">
      <c r="B391" s="120" t="s">
        <v>942</v>
      </c>
      <c r="C391" s="121" t="s">
        <v>943</v>
      </c>
      <c r="D391" s="122">
        <v>2.5</v>
      </c>
    </row>
    <row r="392" spans="2:4" x14ac:dyDescent="0.2">
      <c r="B392" s="120" t="s">
        <v>3947</v>
      </c>
      <c r="C392" s="121" t="s">
        <v>3948</v>
      </c>
      <c r="D392" s="122">
        <v>4.97</v>
      </c>
    </row>
    <row r="393" spans="2:4" x14ac:dyDescent="0.2">
      <c r="B393" s="120" t="s">
        <v>944</v>
      </c>
      <c r="C393" s="121" t="s">
        <v>945</v>
      </c>
      <c r="D393" s="122">
        <v>0</v>
      </c>
    </row>
    <row r="394" spans="2:4" x14ac:dyDescent="0.2">
      <c r="B394" s="120" t="s">
        <v>946</v>
      </c>
      <c r="C394" s="121" t="s">
        <v>947</v>
      </c>
      <c r="D394" s="122">
        <v>0</v>
      </c>
    </row>
    <row r="395" spans="2:4" x14ac:dyDescent="0.2">
      <c r="B395" s="120" t="s">
        <v>3949</v>
      </c>
      <c r="C395" s="121" t="s">
        <v>3950</v>
      </c>
      <c r="D395" s="122">
        <v>2.77</v>
      </c>
    </row>
    <row r="396" spans="2:4" x14ac:dyDescent="0.2">
      <c r="B396" s="120" t="s">
        <v>3951</v>
      </c>
      <c r="C396" s="121" t="s">
        <v>3952</v>
      </c>
      <c r="D396" s="122">
        <v>2.42</v>
      </c>
    </row>
    <row r="397" spans="2:4" x14ac:dyDescent="0.2">
      <c r="B397" s="120" t="s">
        <v>948</v>
      </c>
      <c r="C397" s="121" t="s">
        <v>949</v>
      </c>
      <c r="D397" s="122">
        <v>9.99</v>
      </c>
    </row>
    <row r="398" spans="2:4" x14ac:dyDescent="0.2">
      <c r="B398" s="120" t="s">
        <v>950</v>
      </c>
      <c r="C398" s="121" t="s">
        <v>951</v>
      </c>
      <c r="D398" s="122">
        <v>1.97</v>
      </c>
    </row>
    <row r="399" spans="2:4" x14ac:dyDescent="0.2">
      <c r="B399" s="120" t="s">
        <v>3953</v>
      </c>
      <c r="C399" s="121" t="s">
        <v>3954</v>
      </c>
      <c r="D399" s="122">
        <v>8.56</v>
      </c>
    </row>
    <row r="400" spans="2:4" x14ac:dyDescent="0.2">
      <c r="B400" s="120" t="s">
        <v>952</v>
      </c>
      <c r="C400" s="121" t="s">
        <v>953</v>
      </c>
      <c r="D400" s="122">
        <v>3.06</v>
      </c>
    </row>
    <row r="401" spans="2:4" x14ac:dyDescent="0.2">
      <c r="B401" s="120" t="s">
        <v>3955</v>
      </c>
      <c r="C401" s="121" t="s">
        <v>3956</v>
      </c>
      <c r="D401" s="122">
        <v>4.8499999999999996</v>
      </c>
    </row>
    <row r="402" spans="2:4" x14ac:dyDescent="0.2">
      <c r="B402" s="120" t="s">
        <v>954</v>
      </c>
      <c r="C402" s="121" t="s">
        <v>955</v>
      </c>
      <c r="D402" s="122">
        <v>0.46</v>
      </c>
    </row>
    <row r="403" spans="2:4" x14ac:dyDescent="0.2">
      <c r="B403" s="120" t="s">
        <v>3957</v>
      </c>
      <c r="C403" s="121" t="s">
        <v>3958</v>
      </c>
      <c r="D403" s="122">
        <v>2.06</v>
      </c>
    </row>
    <row r="404" spans="2:4" x14ac:dyDescent="0.2">
      <c r="B404" s="120" t="s">
        <v>956</v>
      </c>
      <c r="C404" s="121" t="s">
        <v>957</v>
      </c>
      <c r="D404" s="122">
        <v>2.42</v>
      </c>
    </row>
    <row r="405" spans="2:4" x14ac:dyDescent="0.2">
      <c r="B405" s="120" t="s">
        <v>958</v>
      </c>
      <c r="C405" s="121" t="s">
        <v>959</v>
      </c>
      <c r="D405" s="122">
        <v>0</v>
      </c>
    </row>
    <row r="406" spans="2:4" x14ac:dyDescent="0.2">
      <c r="B406" s="120" t="s">
        <v>960</v>
      </c>
      <c r="C406" s="121" t="s">
        <v>961</v>
      </c>
      <c r="D406" s="122">
        <v>0</v>
      </c>
    </row>
    <row r="407" spans="2:4" x14ac:dyDescent="0.2">
      <c r="B407" s="120" t="s">
        <v>3959</v>
      </c>
      <c r="C407" s="121" t="s">
        <v>3960</v>
      </c>
      <c r="D407" s="122">
        <v>3.04</v>
      </c>
    </row>
    <row r="408" spans="2:4" x14ac:dyDescent="0.2">
      <c r="B408" s="120" t="s">
        <v>3961</v>
      </c>
      <c r="C408" s="121" t="s">
        <v>3962</v>
      </c>
      <c r="D408" s="122">
        <v>0.67</v>
      </c>
    </row>
    <row r="409" spans="2:4" x14ac:dyDescent="0.2">
      <c r="B409" s="120" t="s">
        <v>962</v>
      </c>
      <c r="C409" s="121" t="s">
        <v>963</v>
      </c>
      <c r="D409" s="122">
        <v>2.8</v>
      </c>
    </row>
    <row r="410" spans="2:4" x14ac:dyDescent="0.2">
      <c r="B410" s="120" t="s">
        <v>964</v>
      </c>
      <c r="C410" s="121" t="s">
        <v>965</v>
      </c>
      <c r="D410" s="122">
        <v>0</v>
      </c>
    </row>
    <row r="411" spans="2:4" x14ac:dyDescent="0.2">
      <c r="B411" s="120" t="s">
        <v>966</v>
      </c>
      <c r="C411" s="121" t="s">
        <v>967</v>
      </c>
      <c r="D411" s="122">
        <v>2.79</v>
      </c>
    </row>
    <row r="412" spans="2:4" x14ac:dyDescent="0.2">
      <c r="B412" s="120" t="s">
        <v>968</v>
      </c>
      <c r="C412" s="121" t="s">
        <v>969</v>
      </c>
      <c r="D412" s="122">
        <v>4.95</v>
      </c>
    </row>
    <row r="413" spans="2:4" x14ac:dyDescent="0.2">
      <c r="B413" s="120" t="s">
        <v>970</v>
      </c>
      <c r="C413" s="121" t="s">
        <v>971</v>
      </c>
      <c r="D413" s="122">
        <v>4.0599999999999996</v>
      </c>
    </row>
    <row r="414" spans="2:4" x14ac:dyDescent="0.2">
      <c r="B414" s="120" t="s">
        <v>3963</v>
      </c>
      <c r="C414" s="121" t="s">
        <v>3964</v>
      </c>
      <c r="D414" s="122">
        <v>5.77</v>
      </c>
    </row>
    <row r="415" spans="2:4" x14ac:dyDescent="0.2">
      <c r="B415" s="120" t="s">
        <v>972</v>
      </c>
      <c r="C415" s="121" t="s">
        <v>973</v>
      </c>
      <c r="D415" s="122">
        <v>1.81</v>
      </c>
    </row>
    <row r="416" spans="2:4" x14ac:dyDescent="0.2">
      <c r="B416" s="120" t="s">
        <v>974</v>
      </c>
      <c r="C416" s="121" t="s">
        <v>975</v>
      </c>
      <c r="D416" s="122">
        <v>0.24</v>
      </c>
    </row>
    <row r="417" spans="2:4" x14ac:dyDescent="0.2">
      <c r="B417" s="120" t="s">
        <v>976</v>
      </c>
      <c r="C417" s="121" t="s">
        <v>977</v>
      </c>
      <c r="D417" s="122">
        <v>1.42</v>
      </c>
    </row>
    <row r="418" spans="2:4" x14ac:dyDescent="0.2">
      <c r="B418" s="120" t="s">
        <v>978</v>
      </c>
      <c r="C418" s="121" t="s">
        <v>979</v>
      </c>
      <c r="D418" s="122">
        <v>0</v>
      </c>
    </row>
    <row r="419" spans="2:4" x14ac:dyDescent="0.2">
      <c r="B419" s="120" t="s">
        <v>3965</v>
      </c>
      <c r="C419" s="121" t="s">
        <v>3966</v>
      </c>
      <c r="D419" s="122">
        <v>0</v>
      </c>
    </row>
    <row r="420" spans="2:4" x14ac:dyDescent="0.2">
      <c r="B420" s="120" t="s">
        <v>980</v>
      </c>
      <c r="C420" s="121" t="s">
        <v>981</v>
      </c>
      <c r="D420" s="122">
        <v>3.25</v>
      </c>
    </row>
    <row r="421" spans="2:4" x14ac:dyDescent="0.2">
      <c r="B421" s="120" t="s">
        <v>982</v>
      </c>
      <c r="C421" s="121" t="s">
        <v>983</v>
      </c>
      <c r="D421" s="122">
        <v>1.17</v>
      </c>
    </row>
    <row r="422" spans="2:4" x14ac:dyDescent="0.2">
      <c r="B422" s="120" t="s">
        <v>984</v>
      </c>
      <c r="C422" s="121" t="s">
        <v>985</v>
      </c>
      <c r="D422" s="122">
        <v>0</v>
      </c>
    </row>
    <row r="423" spans="2:4" x14ac:dyDescent="0.2">
      <c r="B423" s="120" t="s">
        <v>986</v>
      </c>
      <c r="C423" s="121" t="s">
        <v>987</v>
      </c>
      <c r="D423" s="122">
        <v>2.42</v>
      </c>
    </row>
    <row r="424" spans="2:4" x14ac:dyDescent="0.2">
      <c r="B424" s="120" t="s">
        <v>3967</v>
      </c>
      <c r="C424" s="121" t="s">
        <v>3968</v>
      </c>
      <c r="D424" s="122">
        <v>5.55</v>
      </c>
    </row>
    <row r="425" spans="2:4" x14ac:dyDescent="0.2">
      <c r="B425" s="120" t="s">
        <v>988</v>
      </c>
      <c r="C425" s="121" t="s">
        <v>989</v>
      </c>
      <c r="D425" s="122">
        <v>2.85</v>
      </c>
    </row>
    <row r="426" spans="2:4" x14ac:dyDescent="0.2">
      <c r="B426" s="120" t="s">
        <v>990</v>
      </c>
      <c r="C426" s="121" t="s">
        <v>991</v>
      </c>
      <c r="D426" s="122">
        <v>0</v>
      </c>
    </row>
    <row r="427" spans="2:4" x14ac:dyDescent="0.2">
      <c r="B427" s="120" t="s">
        <v>992</v>
      </c>
      <c r="C427" s="121" t="s">
        <v>993</v>
      </c>
      <c r="D427" s="122">
        <v>0</v>
      </c>
    </row>
    <row r="428" spans="2:4" x14ac:dyDescent="0.2">
      <c r="B428" s="120" t="s">
        <v>994</v>
      </c>
      <c r="C428" s="121" t="s">
        <v>995</v>
      </c>
      <c r="D428" s="122">
        <v>1.83</v>
      </c>
    </row>
    <row r="429" spans="2:4" x14ac:dyDescent="0.2">
      <c r="B429" s="120" t="s">
        <v>996</v>
      </c>
      <c r="C429" s="121" t="s">
        <v>997</v>
      </c>
      <c r="D429" s="122">
        <v>3.59</v>
      </c>
    </row>
    <row r="430" spans="2:4" x14ac:dyDescent="0.2">
      <c r="B430" s="120" t="s">
        <v>998</v>
      </c>
      <c r="C430" s="121" t="s">
        <v>999</v>
      </c>
      <c r="D430" s="122">
        <v>3.79</v>
      </c>
    </row>
    <row r="431" spans="2:4" x14ac:dyDescent="0.2">
      <c r="B431" s="120" t="s">
        <v>1000</v>
      </c>
      <c r="C431" s="121" t="s">
        <v>1001</v>
      </c>
      <c r="D431" s="122">
        <v>4.1100000000000003</v>
      </c>
    </row>
    <row r="432" spans="2:4" x14ac:dyDescent="0.2">
      <c r="B432" s="120" t="s">
        <v>1002</v>
      </c>
      <c r="C432" s="121" t="s">
        <v>1003</v>
      </c>
      <c r="D432" s="122">
        <v>1.73</v>
      </c>
    </row>
    <row r="433" spans="2:4" x14ac:dyDescent="0.2">
      <c r="B433" s="120" t="s">
        <v>1004</v>
      </c>
      <c r="C433" s="121" t="s">
        <v>1005</v>
      </c>
      <c r="D433" s="122">
        <v>1.99</v>
      </c>
    </row>
    <row r="434" spans="2:4" x14ac:dyDescent="0.2">
      <c r="B434" s="120" t="s">
        <v>1006</v>
      </c>
      <c r="C434" s="121" t="s">
        <v>1007</v>
      </c>
      <c r="D434" s="122">
        <v>0</v>
      </c>
    </row>
    <row r="435" spans="2:4" x14ac:dyDescent="0.2">
      <c r="B435" s="120" t="s">
        <v>1008</v>
      </c>
      <c r="C435" s="121" t="s">
        <v>1009</v>
      </c>
      <c r="D435" s="122">
        <v>1.42</v>
      </c>
    </row>
    <row r="436" spans="2:4" x14ac:dyDescent="0.2">
      <c r="B436" s="120" t="s">
        <v>1010</v>
      </c>
      <c r="C436" s="121" t="s">
        <v>1011</v>
      </c>
      <c r="D436" s="122">
        <v>2.17</v>
      </c>
    </row>
    <row r="437" spans="2:4" x14ac:dyDescent="0.2">
      <c r="B437" s="120" t="s">
        <v>1012</v>
      </c>
      <c r="C437" s="121" t="s">
        <v>1013</v>
      </c>
      <c r="D437" s="122">
        <v>1</v>
      </c>
    </row>
    <row r="438" spans="2:4" x14ac:dyDescent="0.2">
      <c r="B438" s="120" t="s">
        <v>1014</v>
      </c>
      <c r="C438" s="121" t="s">
        <v>1015</v>
      </c>
      <c r="D438" s="122">
        <v>2.37</v>
      </c>
    </row>
    <row r="439" spans="2:4" x14ac:dyDescent="0.2">
      <c r="B439" s="120" t="s">
        <v>1016</v>
      </c>
      <c r="C439" s="121" t="s">
        <v>1017</v>
      </c>
      <c r="D439" s="122">
        <v>0.02</v>
      </c>
    </row>
    <row r="440" spans="2:4" x14ac:dyDescent="0.2">
      <c r="B440" s="120" t="s">
        <v>1018</v>
      </c>
      <c r="C440" s="121" t="s">
        <v>1019</v>
      </c>
      <c r="D440" s="122">
        <v>2.0099999999999998</v>
      </c>
    </row>
    <row r="441" spans="2:4" x14ac:dyDescent="0.2">
      <c r="B441" s="120" t="s">
        <v>1020</v>
      </c>
      <c r="C441" s="121" t="s">
        <v>1021</v>
      </c>
      <c r="D441" s="122">
        <v>4.07</v>
      </c>
    </row>
    <row r="442" spans="2:4" x14ac:dyDescent="0.2">
      <c r="B442" s="120" t="s">
        <v>1022</v>
      </c>
      <c r="C442" s="121" t="s">
        <v>1023</v>
      </c>
      <c r="D442" s="122">
        <v>0.91</v>
      </c>
    </row>
    <row r="443" spans="2:4" x14ac:dyDescent="0.2">
      <c r="B443" s="120" t="s">
        <v>1024</v>
      </c>
      <c r="C443" s="121" t="s">
        <v>1025</v>
      </c>
      <c r="D443" s="122">
        <v>4.92</v>
      </c>
    </row>
    <row r="444" spans="2:4" x14ac:dyDescent="0.2">
      <c r="B444" s="120" t="s">
        <v>1026</v>
      </c>
      <c r="C444" s="121" t="s">
        <v>1027</v>
      </c>
      <c r="D444" s="122">
        <v>0</v>
      </c>
    </row>
    <row r="445" spans="2:4" x14ac:dyDescent="0.2">
      <c r="B445" s="120" t="s">
        <v>1028</v>
      </c>
      <c r="C445" s="121" t="s">
        <v>1029</v>
      </c>
      <c r="D445" s="122">
        <v>3.95</v>
      </c>
    </row>
    <row r="446" spans="2:4" x14ac:dyDescent="0.2">
      <c r="B446" s="120" t="s">
        <v>1030</v>
      </c>
      <c r="C446" s="121" t="s">
        <v>1031</v>
      </c>
      <c r="D446" s="122">
        <v>1.1000000000000001</v>
      </c>
    </row>
    <row r="447" spans="2:4" x14ac:dyDescent="0.2">
      <c r="B447" s="120" t="s">
        <v>1032</v>
      </c>
      <c r="C447" s="121" t="s">
        <v>1033</v>
      </c>
      <c r="D447" s="122">
        <v>2.72</v>
      </c>
    </row>
    <row r="448" spans="2:4" x14ac:dyDescent="0.2">
      <c r="B448" s="120" t="s">
        <v>1034</v>
      </c>
      <c r="C448" s="121" t="s">
        <v>1035</v>
      </c>
      <c r="D448" s="122">
        <v>2.99</v>
      </c>
    </row>
    <row r="449" spans="2:4" x14ac:dyDescent="0.2">
      <c r="B449" s="120" t="s">
        <v>1036</v>
      </c>
      <c r="C449" s="121" t="s">
        <v>1037</v>
      </c>
      <c r="D449" s="122">
        <v>3.12</v>
      </c>
    </row>
    <row r="450" spans="2:4" x14ac:dyDescent="0.2">
      <c r="B450" s="120" t="s">
        <v>3969</v>
      </c>
      <c r="C450" s="121" t="s">
        <v>3970</v>
      </c>
      <c r="D450" s="122">
        <v>1.44</v>
      </c>
    </row>
    <row r="451" spans="2:4" x14ac:dyDescent="0.2">
      <c r="B451" s="120" t="s">
        <v>1038</v>
      </c>
      <c r="C451" s="121" t="s">
        <v>1039</v>
      </c>
      <c r="D451" s="122">
        <v>0</v>
      </c>
    </row>
    <row r="452" spans="2:4" x14ac:dyDescent="0.2">
      <c r="B452" s="120" t="s">
        <v>1040</v>
      </c>
      <c r="C452" s="121" t="s">
        <v>1041</v>
      </c>
      <c r="D452" s="122">
        <v>0</v>
      </c>
    </row>
    <row r="453" spans="2:4" x14ac:dyDescent="0.2">
      <c r="B453" s="120" t="s">
        <v>1042</v>
      </c>
      <c r="C453" s="121" t="s">
        <v>1043</v>
      </c>
      <c r="D453" s="122">
        <v>2.91</v>
      </c>
    </row>
    <row r="454" spans="2:4" x14ac:dyDescent="0.2">
      <c r="B454" s="120" t="s">
        <v>1044</v>
      </c>
      <c r="C454" s="121" t="s">
        <v>1045</v>
      </c>
      <c r="D454" s="122">
        <v>21.63</v>
      </c>
    </row>
    <row r="455" spans="2:4" x14ac:dyDescent="0.2">
      <c r="B455" s="120" t="s">
        <v>1046</v>
      </c>
      <c r="C455" s="121" t="s">
        <v>1047</v>
      </c>
      <c r="D455" s="122">
        <v>5.15</v>
      </c>
    </row>
    <row r="456" spans="2:4" x14ac:dyDescent="0.2">
      <c r="B456" s="120" t="s">
        <v>1048</v>
      </c>
      <c r="C456" s="121" t="s">
        <v>1049</v>
      </c>
      <c r="D456" s="122">
        <v>1.93</v>
      </c>
    </row>
    <row r="457" spans="2:4" x14ac:dyDescent="0.2">
      <c r="B457" s="120" t="s">
        <v>1050</v>
      </c>
      <c r="C457" s="121" t="s">
        <v>1051</v>
      </c>
      <c r="D457" s="122">
        <v>4.43</v>
      </c>
    </row>
    <row r="458" spans="2:4" x14ac:dyDescent="0.2">
      <c r="B458" s="120" t="s">
        <v>1052</v>
      </c>
      <c r="C458" s="121" t="s">
        <v>1053</v>
      </c>
      <c r="D458" s="122">
        <v>0</v>
      </c>
    </row>
    <row r="459" spans="2:4" x14ac:dyDescent="0.2">
      <c r="B459" s="120" t="s">
        <v>3971</v>
      </c>
      <c r="C459" s="121" t="s">
        <v>3972</v>
      </c>
      <c r="D459" s="122">
        <v>1.05</v>
      </c>
    </row>
    <row r="460" spans="2:4" x14ac:dyDescent="0.2">
      <c r="B460" s="120" t="s">
        <v>3973</v>
      </c>
      <c r="C460" s="121" t="s">
        <v>3974</v>
      </c>
      <c r="D460" s="122">
        <v>0.12</v>
      </c>
    </row>
    <row r="461" spans="2:4" x14ac:dyDescent="0.2">
      <c r="B461" s="120" t="s">
        <v>1054</v>
      </c>
      <c r="C461" s="121" t="s">
        <v>1055</v>
      </c>
      <c r="D461" s="122">
        <v>2.2400000000000002</v>
      </c>
    </row>
    <row r="462" spans="2:4" x14ac:dyDescent="0.2">
      <c r="B462" s="120" t="s">
        <v>1056</v>
      </c>
      <c r="C462" s="121" t="s">
        <v>1057</v>
      </c>
      <c r="D462" s="122">
        <v>0</v>
      </c>
    </row>
    <row r="463" spans="2:4" x14ac:dyDescent="0.2">
      <c r="B463" s="120" t="s">
        <v>1058</v>
      </c>
      <c r="C463" s="121" t="s">
        <v>1059</v>
      </c>
      <c r="D463" s="122">
        <v>0</v>
      </c>
    </row>
    <row r="464" spans="2:4" x14ac:dyDescent="0.2">
      <c r="B464" s="120" t="s">
        <v>1060</v>
      </c>
      <c r="C464" s="121" t="s">
        <v>1061</v>
      </c>
      <c r="D464" s="122">
        <v>0</v>
      </c>
    </row>
    <row r="465" spans="2:4" x14ac:dyDescent="0.2">
      <c r="B465" s="120" t="s">
        <v>1062</v>
      </c>
      <c r="C465" s="121" t="s">
        <v>1063</v>
      </c>
      <c r="D465" s="122">
        <v>3.52</v>
      </c>
    </row>
    <row r="466" spans="2:4" x14ac:dyDescent="0.2">
      <c r="B466" s="120" t="s">
        <v>1064</v>
      </c>
      <c r="C466" s="121" t="s">
        <v>1065</v>
      </c>
      <c r="D466" s="122">
        <v>1.87</v>
      </c>
    </row>
    <row r="467" spans="2:4" x14ac:dyDescent="0.2">
      <c r="B467" s="120" t="s">
        <v>1066</v>
      </c>
      <c r="C467" s="121" t="s">
        <v>1067</v>
      </c>
      <c r="D467" s="122">
        <v>0</v>
      </c>
    </row>
    <row r="468" spans="2:4" x14ac:dyDescent="0.2">
      <c r="B468" s="120" t="s">
        <v>3975</v>
      </c>
      <c r="C468" s="121" t="s">
        <v>3976</v>
      </c>
      <c r="D468" s="122">
        <v>0</v>
      </c>
    </row>
    <row r="469" spans="2:4" x14ac:dyDescent="0.2">
      <c r="B469" s="120" t="s">
        <v>3977</v>
      </c>
      <c r="C469" s="121" t="s">
        <v>3978</v>
      </c>
      <c r="D469" s="122">
        <v>2.16</v>
      </c>
    </row>
    <row r="470" spans="2:4" x14ac:dyDescent="0.2">
      <c r="B470" s="120" t="s">
        <v>3979</v>
      </c>
      <c r="C470" s="121" t="s">
        <v>3980</v>
      </c>
      <c r="D470" s="122">
        <v>2.33</v>
      </c>
    </row>
    <row r="471" spans="2:4" x14ac:dyDescent="0.2">
      <c r="B471" s="120" t="s">
        <v>1068</v>
      </c>
      <c r="C471" s="121" t="s">
        <v>1069</v>
      </c>
      <c r="D471" s="122">
        <v>2.0099999999999998</v>
      </c>
    </row>
    <row r="472" spans="2:4" x14ac:dyDescent="0.2">
      <c r="B472" s="120" t="s">
        <v>1070</v>
      </c>
      <c r="C472" s="121" t="s">
        <v>1071</v>
      </c>
      <c r="D472" s="122">
        <v>2.82</v>
      </c>
    </row>
    <row r="473" spans="2:4" x14ac:dyDescent="0.2">
      <c r="B473" s="120" t="s">
        <v>1072</v>
      </c>
      <c r="C473" s="121" t="s">
        <v>1073</v>
      </c>
      <c r="D473" s="122">
        <v>1.79</v>
      </c>
    </row>
    <row r="474" spans="2:4" x14ac:dyDescent="0.2">
      <c r="B474" s="120" t="s">
        <v>1074</v>
      </c>
      <c r="C474" s="121" t="s">
        <v>1075</v>
      </c>
      <c r="D474" s="122">
        <v>0</v>
      </c>
    </row>
    <row r="475" spans="2:4" x14ac:dyDescent="0.2">
      <c r="B475" s="120" t="s">
        <v>3981</v>
      </c>
      <c r="C475" s="121" t="s">
        <v>3982</v>
      </c>
      <c r="D475" s="122">
        <v>2.99</v>
      </c>
    </row>
    <row r="476" spans="2:4" x14ac:dyDescent="0.2">
      <c r="B476" s="120" t="s">
        <v>1076</v>
      </c>
      <c r="C476" s="121" t="s">
        <v>1077</v>
      </c>
      <c r="D476" s="122">
        <v>1.38</v>
      </c>
    </row>
    <row r="477" spans="2:4" x14ac:dyDescent="0.2">
      <c r="B477" s="120" t="s">
        <v>1078</v>
      </c>
      <c r="C477" s="121" t="s">
        <v>1079</v>
      </c>
      <c r="D477" s="122">
        <v>1.1299999999999999</v>
      </c>
    </row>
    <row r="478" spans="2:4" x14ac:dyDescent="0.2">
      <c r="B478" s="120" t="s">
        <v>1080</v>
      </c>
      <c r="C478" s="121" t="s">
        <v>1081</v>
      </c>
      <c r="D478" s="122">
        <v>0</v>
      </c>
    </row>
    <row r="479" spans="2:4" x14ac:dyDescent="0.2">
      <c r="B479" s="120" t="s">
        <v>3983</v>
      </c>
      <c r="C479" s="121" t="s">
        <v>3984</v>
      </c>
      <c r="D479" s="122">
        <v>5.14</v>
      </c>
    </row>
    <row r="480" spans="2:4" x14ac:dyDescent="0.2">
      <c r="B480" s="120" t="s">
        <v>1082</v>
      </c>
      <c r="C480" s="121" t="s">
        <v>1083</v>
      </c>
      <c r="D480" s="122">
        <v>1.4</v>
      </c>
    </row>
    <row r="481" spans="2:4" x14ac:dyDescent="0.2">
      <c r="B481" s="120" t="s">
        <v>1084</v>
      </c>
      <c r="C481" s="121" t="s">
        <v>1085</v>
      </c>
      <c r="D481" s="122">
        <v>0.81</v>
      </c>
    </row>
    <row r="482" spans="2:4" x14ac:dyDescent="0.2">
      <c r="B482" s="120" t="s">
        <v>1086</v>
      </c>
      <c r="C482" s="121" t="s">
        <v>1087</v>
      </c>
      <c r="D482" s="122">
        <v>7.99</v>
      </c>
    </row>
    <row r="483" spans="2:4" x14ac:dyDescent="0.2">
      <c r="B483" s="120" t="s">
        <v>1088</v>
      </c>
      <c r="C483" s="121" t="s">
        <v>1089</v>
      </c>
      <c r="D483" s="122">
        <v>0</v>
      </c>
    </row>
    <row r="484" spans="2:4" x14ac:dyDescent="0.2">
      <c r="B484" s="120" t="s">
        <v>3985</v>
      </c>
      <c r="C484" s="121" t="s">
        <v>3986</v>
      </c>
      <c r="D484" s="122">
        <v>3.16</v>
      </c>
    </row>
    <row r="485" spans="2:4" x14ac:dyDescent="0.2">
      <c r="B485" s="120" t="s">
        <v>1090</v>
      </c>
      <c r="C485" s="121" t="s">
        <v>1091</v>
      </c>
      <c r="D485" s="122">
        <v>0</v>
      </c>
    </row>
    <row r="486" spans="2:4" x14ac:dyDescent="0.2">
      <c r="B486" s="120" t="s">
        <v>3987</v>
      </c>
      <c r="C486" s="121" t="s">
        <v>3988</v>
      </c>
      <c r="D486" s="122">
        <v>5.0999999999999996</v>
      </c>
    </row>
    <row r="487" spans="2:4" x14ac:dyDescent="0.2">
      <c r="B487" s="120" t="s">
        <v>1092</v>
      </c>
      <c r="C487" s="121" t="s">
        <v>1093</v>
      </c>
      <c r="D487" s="122">
        <v>1.29</v>
      </c>
    </row>
    <row r="488" spans="2:4" x14ac:dyDescent="0.2">
      <c r="B488" s="120" t="s">
        <v>1094</v>
      </c>
      <c r="C488" s="121" t="s">
        <v>1095</v>
      </c>
      <c r="D488" s="122">
        <v>2.85</v>
      </c>
    </row>
    <row r="489" spans="2:4" x14ac:dyDescent="0.2">
      <c r="B489" s="120" t="s">
        <v>3989</v>
      </c>
      <c r="C489" s="121" t="s">
        <v>3990</v>
      </c>
      <c r="D489" s="122">
        <v>1.8</v>
      </c>
    </row>
    <row r="490" spans="2:4" x14ac:dyDescent="0.2">
      <c r="B490" s="120" t="s">
        <v>1096</v>
      </c>
      <c r="C490" s="121" t="s">
        <v>1097</v>
      </c>
      <c r="D490" s="122">
        <v>1.44</v>
      </c>
    </row>
    <row r="491" spans="2:4" x14ac:dyDescent="0.2">
      <c r="B491" s="120" t="s">
        <v>1098</v>
      </c>
      <c r="C491" s="121" t="s">
        <v>1099</v>
      </c>
      <c r="D491" s="122">
        <v>3.59</v>
      </c>
    </row>
    <row r="492" spans="2:4" x14ac:dyDescent="0.2">
      <c r="B492" s="120" t="s">
        <v>878</v>
      </c>
      <c r="C492" s="121" t="s">
        <v>3991</v>
      </c>
      <c r="D492" s="122">
        <v>4.3</v>
      </c>
    </row>
    <row r="493" spans="2:4" x14ac:dyDescent="0.2">
      <c r="B493" s="120" t="s">
        <v>1100</v>
      </c>
      <c r="C493" s="121" t="s">
        <v>1101</v>
      </c>
      <c r="D493" s="122">
        <v>1.62</v>
      </c>
    </row>
    <row r="494" spans="2:4" x14ac:dyDescent="0.2">
      <c r="B494" s="120" t="s">
        <v>1102</v>
      </c>
      <c r="C494" s="121" t="s">
        <v>1103</v>
      </c>
      <c r="D494" s="122">
        <v>3.1</v>
      </c>
    </row>
    <row r="495" spans="2:4" x14ac:dyDescent="0.2">
      <c r="B495" s="120" t="s">
        <v>1104</v>
      </c>
      <c r="C495" s="121" t="s">
        <v>1105</v>
      </c>
      <c r="D495" s="122">
        <v>3.32</v>
      </c>
    </row>
    <row r="496" spans="2:4" x14ac:dyDescent="0.2">
      <c r="B496" s="120" t="s">
        <v>1106</v>
      </c>
      <c r="C496" s="121" t="s">
        <v>1107</v>
      </c>
      <c r="D496" s="122">
        <v>1.51</v>
      </c>
    </row>
    <row r="497" spans="2:4" x14ac:dyDescent="0.2">
      <c r="B497" s="120" t="s">
        <v>3992</v>
      </c>
      <c r="C497" s="121" t="s">
        <v>3993</v>
      </c>
      <c r="D497" s="122">
        <v>6.65</v>
      </c>
    </row>
    <row r="498" spans="2:4" x14ac:dyDescent="0.2">
      <c r="B498" s="120" t="s">
        <v>1108</v>
      </c>
      <c r="C498" s="121" t="s">
        <v>1109</v>
      </c>
      <c r="D498" s="122">
        <v>0</v>
      </c>
    </row>
    <row r="499" spans="2:4" x14ac:dyDescent="0.2">
      <c r="B499" s="120" t="s">
        <v>1110</v>
      </c>
      <c r="C499" s="121" t="s">
        <v>1111</v>
      </c>
      <c r="D499" s="122">
        <v>3.11</v>
      </c>
    </row>
    <row r="500" spans="2:4" x14ac:dyDescent="0.2">
      <c r="B500" s="120" t="s">
        <v>1112</v>
      </c>
      <c r="C500" s="121" t="s">
        <v>1113</v>
      </c>
      <c r="D500" s="122">
        <v>3.83</v>
      </c>
    </row>
    <row r="501" spans="2:4" x14ac:dyDescent="0.2">
      <c r="B501" s="120" t="s">
        <v>1114</v>
      </c>
      <c r="C501" s="121" t="s">
        <v>1115</v>
      </c>
      <c r="D501" s="122">
        <v>0.53</v>
      </c>
    </row>
    <row r="502" spans="2:4" x14ac:dyDescent="0.2">
      <c r="B502" s="120" t="s">
        <v>1116</v>
      </c>
      <c r="C502" s="121" t="s">
        <v>1117</v>
      </c>
      <c r="D502" s="122">
        <v>4.43</v>
      </c>
    </row>
    <row r="503" spans="2:4" x14ac:dyDescent="0.2">
      <c r="B503" s="120" t="s">
        <v>1118</v>
      </c>
      <c r="C503" s="121" t="s">
        <v>1119</v>
      </c>
      <c r="D503" s="122">
        <v>0</v>
      </c>
    </row>
    <row r="504" spans="2:4" x14ac:dyDescent="0.2">
      <c r="B504" s="120" t="s">
        <v>3994</v>
      </c>
      <c r="C504" s="121" t="s">
        <v>3995</v>
      </c>
      <c r="D504" s="122">
        <v>1.96</v>
      </c>
    </row>
    <row r="505" spans="2:4" x14ac:dyDescent="0.2">
      <c r="B505" s="120" t="s">
        <v>3996</v>
      </c>
      <c r="C505" s="121" t="s">
        <v>3997</v>
      </c>
      <c r="D505" s="122">
        <v>5.56</v>
      </c>
    </row>
    <row r="506" spans="2:4" x14ac:dyDescent="0.2">
      <c r="B506" s="120" t="s">
        <v>1120</v>
      </c>
      <c r="C506" s="121" t="s">
        <v>1121</v>
      </c>
      <c r="D506" s="122">
        <v>1.21</v>
      </c>
    </row>
    <row r="507" spans="2:4" x14ac:dyDescent="0.2">
      <c r="B507" s="120" t="s">
        <v>1122</v>
      </c>
      <c r="C507" s="121" t="s">
        <v>1123</v>
      </c>
      <c r="D507" s="122">
        <v>0.68</v>
      </c>
    </row>
    <row r="508" spans="2:4" x14ac:dyDescent="0.2">
      <c r="B508" s="120" t="s">
        <v>1124</v>
      </c>
      <c r="C508" s="121" t="s">
        <v>1125</v>
      </c>
      <c r="D508" s="122">
        <v>1.89</v>
      </c>
    </row>
    <row r="509" spans="2:4" x14ac:dyDescent="0.2">
      <c r="B509" s="120" t="s">
        <v>3998</v>
      </c>
      <c r="C509" s="121" t="s">
        <v>3999</v>
      </c>
      <c r="D509" s="122">
        <v>0</v>
      </c>
    </row>
    <row r="510" spans="2:4" x14ac:dyDescent="0.2">
      <c r="B510" s="120" t="s">
        <v>1126</v>
      </c>
      <c r="C510" s="121" t="s">
        <v>1127</v>
      </c>
      <c r="D510" s="122">
        <v>0</v>
      </c>
    </row>
    <row r="511" spans="2:4" x14ac:dyDescent="0.2">
      <c r="B511" s="120" t="s">
        <v>1128</v>
      </c>
      <c r="C511" s="121" t="s">
        <v>1129</v>
      </c>
      <c r="D511" s="122">
        <v>0.63</v>
      </c>
    </row>
    <row r="512" spans="2:4" x14ac:dyDescent="0.2">
      <c r="B512" s="120" t="s">
        <v>1130</v>
      </c>
      <c r="C512" s="121" t="s">
        <v>1131</v>
      </c>
      <c r="D512" s="122">
        <v>0</v>
      </c>
    </row>
    <row r="513" spans="2:4" x14ac:dyDescent="0.2">
      <c r="B513" s="120" t="s">
        <v>1132</v>
      </c>
      <c r="C513" s="121" t="s">
        <v>1133</v>
      </c>
      <c r="D513" s="122">
        <v>0</v>
      </c>
    </row>
    <row r="514" spans="2:4" x14ac:dyDescent="0.2">
      <c r="B514" s="120" t="s">
        <v>1134</v>
      </c>
      <c r="C514" s="121" t="s">
        <v>1135</v>
      </c>
      <c r="D514" s="122">
        <v>4.54</v>
      </c>
    </row>
    <row r="515" spans="2:4" x14ac:dyDescent="0.2">
      <c r="B515" s="120" t="s">
        <v>1136</v>
      </c>
      <c r="C515" s="121" t="s">
        <v>1137</v>
      </c>
      <c r="D515" s="122">
        <v>2.75</v>
      </c>
    </row>
    <row r="516" spans="2:4" x14ac:dyDescent="0.2">
      <c r="B516" s="120" t="s">
        <v>1138</v>
      </c>
      <c r="C516" s="121" t="s">
        <v>1139</v>
      </c>
      <c r="D516" s="122">
        <v>1.93</v>
      </c>
    </row>
    <row r="517" spans="2:4" x14ac:dyDescent="0.2">
      <c r="B517" s="120" t="s">
        <v>1140</v>
      </c>
      <c r="C517" s="121" t="s">
        <v>1141</v>
      </c>
      <c r="D517" s="122">
        <v>0</v>
      </c>
    </row>
    <row r="518" spans="2:4" x14ac:dyDescent="0.2">
      <c r="B518" s="120" t="s">
        <v>1142</v>
      </c>
      <c r="C518" s="121" t="s">
        <v>1143</v>
      </c>
      <c r="D518" s="122">
        <v>0.43</v>
      </c>
    </row>
    <row r="519" spans="2:4" x14ac:dyDescent="0.2">
      <c r="B519" s="120" t="s">
        <v>1144</v>
      </c>
      <c r="C519" s="121" t="s">
        <v>1145</v>
      </c>
      <c r="D519" s="122">
        <v>0</v>
      </c>
    </row>
    <row r="520" spans="2:4" x14ac:dyDescent="0.2">
      <c r="B520" s="120" t="s">
        <v>4000</v>
      </c>
      <c r="C520" s="121" t="s">
        <v>4001</v>
      </c>
      <c r="D520" s="122">
        <v>1.29</v>
      </c>
    </row>
    <row r="521" spans="2:4" x14ac:dyDescent="0.2">
      <c r="B521" s="120" t="s">
        <v>1146</v>
      </c>
      <c r="C521" s="121" t="s">
        <v>1147</v>
      </c>
      <c r="D521" s="122">
        <v>4.4800000000000004</v>
      </c>
    </row>
    <row r="522" spans="2:4" x14ac:dyDescent="0.2">
      <c r="B522" s="120" t="s">
        <v>1148</v>
      </c>
      <c r="C522" s="121" t="s">
        <v>1149</v>
      </c>
      <c r="D522" s="122">
        <v>0</v>
      </c>
    </row>
    <row r="523" spans="2:4" x14ac:dyDescent="0.2">
      <c r="B523" s="120" t="s">
        <v>1150</v>
      </c>
      <c r="C523" s="121" t="s">
        <v>1151</v>
      </c>
      <c r="D523" s="122">
        <v>0</v>
      </c>
    </row>
    <row r="524" spans="2:4" x14ac:dyDescent="0.2">
      <c r="B524" s="120" t="s">
        <v>1152</v>
      </c>
      <c r="C524" s="121" t="s">
        <v>1153</v>
      </c>
      <c r="D524" s="122">
        <v>1.62</v>
      </c>
    </row>
    <row r="525" spans="2:4" x14ac:dyDescent="0.2">
      <c r="B525" s="120" t="s">
        <v>4002</v>
      </c>
      <c r="C525" s="121" t="s">
        <v>4003</v>
      </c>
      <c r="D525" s="122">
        <v>2.93</v>
      </c>
    </row>
    <row r="526" spans="2:4" x14ac:dyDescent="0.2">
      <c r="B526" s="120" t="s">
        <v>1154</v>
      </c>
      <c r="C526" s="121" t="s">
        <v>1155</v>
      </c>
      <c r="D526" s="122">
        <v>11.42</v>
      </c>
    </row>
    <row r="527" spans="2:4" x14ac:dyDescent="0.2">
      <c r="B527" s="120" t="s">
        <v>1156</v>
      </c>
      <c r="C527" s="121" t="s">
        <v>1157</v>
      </c>
      <c r="D527" s="122">
        <v>1.68</v>
      </c>
    </row>
    <row r="528" spans="2:4" x14ac:dyDescent="0.2">
      <c r="B528" s="120" t="s">
        <v>1158</v>
      </c>
      <c r="C528" s="121" t="s">
        <v>1159</v>
      </c>
      <c r="D528" s="122">
        <v>0</v>
      </c>
    </row>
    <row r="529" spans="2:4" x14ac:dyDescent="0.2">
      <c r="B529" s="120" t="s">
        <v>1160</v>
      </c>
      <c r="C529" s="121" t="s">
        <v>1161</v>
      </c>
      <c r="D529" s="122">
        <v>1.85</v>
      </c>
    </row>
    <row r="530" spans="2:4" x14ac:dyDescent="0.2">
      <c r="B530" s="120" t="s">
        <v>1162</v>
      </c>
      <c r="C530" s="121" t="s">
        <v>1163</v>
      </c>
      <c r="D530" s="122">
        <v>0</v>
      </c>
    </row>
    <row r="531" spans="2:4" x14ac:dyDescent="0.2">
      <c r="B531" s="120" t="s">
        <v>1164</v>
      </c>
      <c r="C531" s="121" t="s">
        <v>1165</v>
      </c>
      <c r="D531" s="122">
        <v>2.46</v>
      </c>
    </row>
    <row r="532" spans="2:4" x14ac:dyDescent="0.2">
      <c r="B532" s="120" t="s">
        <v>1166</v>
      </c>
      <c r="C532" s="121" t="s">
        <v>1167</v>
      </c>
      <c r="D532" s="122">
        <v>0</v>
      </c>
    </row>
    <row r="533" spans="2:4" x14ac:dyDescent="0.2">
      <c r="B533" s="120" t="s">
        <v>1168</v>
      </c>
      <c r="C533" s="121" t="s">
        <v>1169</v>
      </c>
      <c r="D533" s="122">
        <v>2.62</v>
      </c>
    </row>
    <row r="534" spans="2:4" x14ac:dyDescent="0.2">
      <c r="B534" s="120" t="s">
        <v>4004</v>
      </c>
      <c r="C534" s="121" t="s">
        <v>4005</v>
      </c>
      <c r="D534" s="122">
        <v>1.74</v>
      </c>
    </row>
    <row r="535" spans="2:4" x14ac:dyDescent="0.2">
      <c r="B535" s="120" t="s">
        <v>1170</v>
      </c>
      <c r="C535" s="121" t="s">
        <v>1171</v>
      </c>
      <c r="D535" s="122">
        <v>2.12</v>
      </c>
    </row>
    <row r="536" spans="2:4" x14ac:dyDescent="0.2">
      <c r="B536" s="120" t="s">
        <v>1172</v>
      </c>
      <c r="C536" s="121" t="s">
        <v>1173</v>
      </c>
      <c r="D536" s="122">
        <v>0.82</v>
      </c>
    </row>
    <row r="537" spans="2:4" x14ac:dyDescent="0.2">
      <c r="B537" s="120" t="s">
        <v>1174</v>
      </c>
      <c r="C537" s="121" t="s">
        <v>1175</v>
      </c>
      <c r="D537" s="122">
        <v>1.97</v>
      </c>
    </row>
    <row r="538" spans="2:4" x14ac:dyDescent="0.2">
      <c r="B538" s="120" t="s">
        <v>1176</v>
      </c>
      <c r="C538" s="121" t="s">
        <v>1177</v>
      </c>
      <c r="D538" s="122">
        <v>1.1599999999999999</v>
      </c>
    </row>
    <row r="539" spans="2:4" x14ac:dyDescent="0.2">
      <c r="B539" s="120" t="s">
        <v>1178</v>
      </c>
      <c r="C539" s="121" t="s">
        <v>1179</v>
      </c>
      <c r="D539" s="122">
        <v>0.46</v>
      </c>
    </row>
    <row r="540" spans="2:4" x14ac:dyDescent="0.2">
      <c r="B540" s="120" t="s">
        <v>4006</v>
      </c>
      <c r="C540" s="121" t="s">
        <v>4007</v>
      </c>
      <c r="D540" s="122">
        <v>2.11</v>
      </c>
    </row>
    <row r="541" spans="2:4" x14ac:dyDescent="0.2">
      <c r="B541" s="120" t="s">
        <v>4008</v>
      </c>
      <c r="C541" s="121" t="s">
        <v>4009</v>
      </c>
      <c r="D541" s="122">
        <v>3.5</v>
      </c>
    </row>
    <row r="542" spans="2:4" x14ac:dyDescent="0.2">
      <c r="B542" s="120" t="s">
        <v>4010</v>
      </c>
      <c r="C542" s="121" t="s">
        <v>4011</v>
      </c>
      <c r="D542" s="122">
        <v>5.66</v>
      </c>
    </row>
    <row r="543" spans="2:4" x14ac:dyDescent="0.2">
      <c r="B543" s="120" t="s">
        <v>1180</v>
      </c>
      <c r="C543" s="121" t="s">
        <v>1181</v>
      </c>
      <c r="D543" s="122">
        <v>1.33</v>
      </c>
    </row>
    <row r="544" spans="2:4" x14ac:dyDescent="0.2">
      <c r="B544" s="120" t="s">
        <v>1182</v>
      </c>
      <c r="C544" s="121" t="s">
        <v>1183</v>
      </c>
      <c r="D544" s="122">
        <v>0</v>
      </c>
    </row>
    <row r="545" spans="2:4" x14ac:dyDescent="0.2">
      <c r="B545" s="120" t="s">
        <v>4012</v>
      </c>
      <c r="C545" s="121" t="s">
        <v>4013</v>
      </c>
      <c r="D545" s="122">
        <v>0</v>
      </c>
    </row>
    <row r="546" spans="2:4" x14ac:dyDescent="0.2">
      <c r="B546" s="120" t="s">
        <v>4012</v>
      </c>
      <c r="C546" s="121" t="s">
        <v>4014</v>
      </c>
      <c r="D546" s="122">
        <v>0</v>
      </c>
    </row>
    <row r="547" spans="2:4" x14ac:dyDescent="0.2">
      <c r="B547" s="120" t="s">
        <v>1184</v>
      </c>
      <c r="C547" s="121" t="s">
        <v>1185</v>
      </c>
      <c r="D547" s="122">
        <v>0</v>
      </c>
    </row>
    <row r="548" spans="2:4" x14ac:dyDescent="0.2">
      <c r="B548" s="120" t="s">
        <v>1186</v>
      </c>
      <c r="C548" s="121" t="s">
        <v>1187</v>
      </c>
      <c r="D548" s="122">
        <v>0</v>
      </c>
    </row>
    <row r="549" spans="2:4" x14ac:dyDescent="0.2">
      <c r="B549" s="120" t="s">
        <v>1188</v>
      </c>
      <c r="C549" s="121" t="s">
        <v>1189</v>
      </c>
      <c r="D549" s="122">
        <v>0.97</v>
      </c>
    </row>
    <row r="550" spans="2:4" x14ac:dyDescent="0.2">
      <c r="B550" s="120" t="s">
        <v>1190</v>
      </c>
      <c r="C550" s="121" t="s">
        <v>1191</v>
      </c>
      <c r="D550" s="122">
        <v>2.91</v>
      </c>
    </row>
    <row r="551" spans="2:4" x14ac:dyDescent="0.2">
      <c r="B551" s="120" t="s">
        <v>4015</v>
      </c>
      <c r="C551" s="121" t="s">
        <v>4016</v>
      </c>
      <c r="D551" s="122">
        <v>4.12</v>
      </c>
    </row>
    <row r="552" spans="2:4" x14ac:dyDescent="0.2">
      <c r="B552" s="120" t="s">
        <v>1192</v>
      </c>
      <c r="C552" s="121" t="s">
        <v>1193</v>
      </c>
      <c r="D552" s="122">
        <v>1.23</v>
      </c>
    </row>
    <row r="553" spans="2:4" x14ac:dyDescent="0.2">
      <c r="B553" s="120" t="s">
        <v>4017</v>
      </c>
      <c r="C553" s="121" t="s">
        <v>4018</v>
      </c>
      <c r="D553" s="122">
        <v>0</v>
      </c>
    </row>
    <row r="554" spans="2:4" x14ac:dyDescent="0.2">
      <c r="B554" s="120" t="s">
        <v>1194</v>
      </c>
      <c r="C554" s="121" t="s">
        <v>1195</v>
      </c>
      <c r="D554" s="122">
        <v>3.46</v>
      </c>
    </row>
    <row r="555" spans="2:4" x14ac:dyDescent="0.2">
      <c r="B555" s="120" t="s">
        <v>1196</v>
      </c>
      <c r="C555" s="121" t="s">
        <v>1197</v>
      </c>
      <c r="D555" s="122">
        <v>0</v>
      </c>
    </row>
    <row r="556" spans="2:4" x14ac:dyDescent="0.2">
      <c r="B556" s="120" t="s">
        <v>1198</v>
      </c>
      <c r="C556" s="121" t="s">
        <v>1199</v>
      </c>
      <c r="D556" s="122">
        <v>2.35</v>
      </c>
    </row>
    <row r="557" spans="2:4" x14ac:dyDescent="0.2">
      <c r="B557" s="120" t="s">
        <v>4019</v>
      </c>
      <c r="C557" s="121" t="s">
        <v>4020</v>
      </c>
      <c r="D557" s="122">
        <v>4.3099999999999996</v>
      </c>
    </row>
    <row r="558" spans="2:4" x14ac:dyDescent="0.2">
      <c r="B558" s="120" t="s">
        <v>4021</v>
      </c>
      <c r="C558" s="121" t="s">
        <v>4022</v>
      </c>
      <c r="D558" s="122">
        <v>5.98</v>
      </c>
    </row>
    <row r="559" spans="2:4" x14ac:dyDescent="0.2">
      <c r="B559" s="120" t="s">
        <v>1200</v>
      </c>
      <c r="C559" s="121" t="s">
        <v>1201</v>
      </c>
      <c r="D559" s="122">
        <v>1.85</v>
      </c>
    </row>
    <row r="560" spans="2:4" x14ac:dyDescent="0.2">
      <c r="B560" s="120" t="s">
        <v>4023</v>
      </c>
      <c r="C560" s="121" t="s">
        <v>4024</v>
      </c>
      <c r="D560" s="122">
        <v>6.05</v>
      </c>
    </row>
    <row r="561" spans="2:4" x14ac:dyDescent="0.2">
      <c r="B561" s="120" t="s">
        <v>4025</v>
      </c>
      <c r="C561" s="121" t="s">
        <v>4026</v>
      </c>
      <c r="D561" s="122">
        <v>1.68</v>
      </c>
    </row>
    <row r="562" spans="2:4" x14ac:dyDescent="0.2">
      <c r="B562" s="120" t="s">
        <v>1202</v>
      </c>
      <c r="C562" s="121" t="s">
        <v>1203</v>
      </c>
      <c r="D562" s="122">
        <v>2.1</v>
      </c>
    </row>
    <row r="563" spans="2:4" x14ac:dyDescent="0.2">
      <c r="B563" s="120" t="s">
        <v>1204</v>
      </c>
      <c r="C563" s="121" t="s">
        <v>1205</v>
      </c>
      <c r="D563" s="122">
        <v>5.27</v>
      </c>
    </row>
    <row r="564" spans="2:4" x14ac:dyDescent="0.2">
      <c r="B564" s="120" t="s">
        <v>1206</v>
      </c>
      <c r="C564" s="121" t="s">
        <v>1207</v>
      </c>
      <c r="D564" s="122">
        <v>0</v>
      </c>
    </row>
    <row r="565" spans="2:4" x14ac:dyDescent="0.2">
      <c r="B565" s="120" t="s">
        <v>1208</v>
      </c>
      <c r="C565" s="121" t="s">
        <v>1209</v>
      </c>
      <c r="D565" s="122">
        <v>0.78</v>
      </c>
    </row>
    <row r="566" spans="2:4" x14ac:dyDescent="0.2">
      <c r="B566" s="120" t="s">
        <v>1210</v>
      </c>
      <c r="C566" s="121" t="s">
        <v>1211</v>
      </c>
      <c r="D566" s="122">
        <v>1.98</v>
      </c>
    </row>
    <row r="567" spans="2:4" x14ac:dyDescent="0.2">
      <c r="B567" s="120" t="s">
        <v>4027</v>
      </c>
      <c r="C567" s="121" t="s">
        <v>4028</v>
      </c>
      <c r="D567" s="122">
        <v>5.81</v>
      </c>
    </row>
    <row r="568" spans="2:4" x14ac:dyDescent="0.2">
      <c r="B568" s="120" t="s">
        <v>1212</v>
      </c>
      <c r="C568" s="121" t="s">
        <v>1213</v>
      </c>
      <c r="D568" s="122">
        <v>1.73</v>
      </c>
    </row>
    <row r="569" spans="2:4" x14ac:dyDescent="0.2">
      <c r="B569" s="120" t="s">
        <v>4029</v>
      </c>
      <c r="C569" s="121" t="s">
        <v>4030</v>
      </c>
      <c r="D569" s="122">
        <v>0</v>
      </c>
    </row>
    <row r="570" spans="2:4" x14ac:dyDescent="0.2">
      <c r="B570" s="120" t="s">
        <v>1214</v>
      </c>
      <c r="C570" s="121" t="s">
        <v>1215</v>
      </c>
      <c r="D570" s="122">
        <v>3.75</v>
      </c>
    </row>
    <row r="571" spans="2:4" x14ac:dyDescent="0.2">
      <c r="B571" s="120" t="s">
        <v>1216</v>
      </c>
      <c r="C571" s="121" t="s">
        <v>1217</v>
      </c>
      <c r="D571" s="122">
        <v>1.05</v>
      </c>
    </row>
    <row r="572" spans="2:4" x14ac:dyDescent="0.2">
      <c r="B572" s="120" t="s">
        <v>1218</v>
      </c>
      <c r="C572" s="121" t="s">
        <v>1219</v>
      </c>
      <c r="D572" s="122">
        <v>2.58</v>
      </c>
    </row>
    <row r="573" spans="2:4" x14ac:dyDescent="0.2">
      <c r="B573" s="120" t="s">
        <v>1220</v>
      </c>
      <c r="C573" s="121" t="s">
        <v>1221</v>
      </c>
      <c r="D573" s="122">
        <v>2.94</v>
      </c>
    </row>
    <row r="574" spans="2:4" x14ac:dyDescent="0.2">
      <c r="B574" s="120" t="s">
        <v>1222</v>
      </c>
      <c r="C574" s="121" t="s">
        <v>1223</v>
      </c>
      <c r="D574" s="122">
        <v>1.38</v>
      </c>
    </row>
    <row r="575" spans="2:4" x14ac:dyDescent="0.2">
      <c r="B575" s="120" t="s">
        <v>1224</v>
      </c>
      <c r="C575" s="121" t="s">
        <v>1225</v>
      </c>
      <c r="D575" s="122">
        <v>0.23</v>
      </c>
    </row>
    <row r="576" spans="2:4" x14ac:dyDescent="0.2">
      <c r="B576" s="120" t="s">
        <v>4031</v>
      </c>
      <c r="C576" s="121" t="s">
        <v>4032</v>
      </c>
      <c r="D576" s="122">
        <v>2.4</v>
      </c>
    </row>
    <row r="577" spans="2:4" x14ac:dyDescent="0.2">
      <c r="B577" s="120" t="s">
        <v>1226</v>
      </c>
      <c r="C577" s="121" t="s">
        <v>1227</v>
      </c>
      <c r="D577" s="122">
        <v>0</v>
      </c>
    </row>
    <row r="578" spans="2:4" x14ac:dyDescent="0.2">
      <c r="B578" s="120" t="s">
        <v>4033</v>
      </c>
      <c r="C578" s="121" t="s">
        <v>4034</v>
      </c>
      <c r="D578" s="122">
        <v>0</v>
      </c>
    </row>
    <row r="579" spans="2:4" x14ac:dyDescent="0.2">
      <c r="B579" s="120" t="s">
        <v>4035</v>
      </c>
      <c r="C579" s="121" t="s">
        <v>4036</v>
      </c>
      <c r="D579" s="122">
        <v>0</v>
      </c>
    </row>
    <row r="580" spans="2:4" x14ac:dyDescent="0.2">
      <c r="B580" s="120" t="s">
        <v>1228</v>
      </c>
      <c r="C580" s="121" t="s">
        <v>1229</v>
      </c>
      <c r="D580" s="122">
        <v>2.86</v>
      </c>
    </row>
    <row r="581" spans="2:4" x14ac:dyDescent="0.2">
      <c r="B581" s="120" t="s">
        <v>1230</v>
      </c>
      <c r="C581" s="121" t="s">
        <v>1231</v>
      </c>
      <c r="D581" s="122">
        <v>4.4800000000000004</v>
      </c>
    </row>
    <row r="582" spans="2:4" x14ac:dyDescent="0.2">
      <c r="B582" s="120" t="s">
        <v>4037</v>
      </c>
      <c r="C582" s="121" t="s">
        <v>4038</v>
      </c>
      <c r="D582" s="122">
        <v>4.17</v>
      </c>
    </row>
    <row r="583" spans="2:4" x14ac:dyDescent="0.2">
      <c r="B583" s="120" t="s">
        <v>1232</v>
      </c>
      <c r="C583" s="121" t="s">
        <v>1233</v>
      </c>
      <c r="D583" s="122">
        <v>3.97</v>
      </c>
    </row>
    <row r="584" spans="2:4" x14ac:dyDescent="0.2">
      <c r="B584" s="120" t="s">
        <v>1234</v>
      </c>
      <c r="C584" s="121" t="s">
        <v>1235</v>
      </c>
      <c r="D584" s="122">
        <v>0</v>
      </c>
    </row>
    <row r="585" spans="2:4" x14ac:dyDescent="0.2">
      <c r="B585" s="120" t="s">
        <v>1236</v>
      </c>
      <c r="C585" s="121" t="s">
        <v>1237</v>
      </c>
      <c r="D585" s="122">
        <v>0.4</v>
      </c>
    </row>
    <row r="586" spans="2:4" x14ac:dyDescent="0.2">
      <c r="B586" s="120" t="s">
        <v>1238</v>
      </c>
      <c r="C586" s="121" t="s">
        <v>1239</v>
      </c>
      <c r="D586" s="122">
        <v>1.38</v>
      </c>
    </row>
    <row r="587" spans="2:4" x14ac:dyDescent="0.2">
      <c r="B587" s="120" t="s">
        <v>4039</v>
      </c>
      <c r="C587" s="121" t="s">
        <v>4040</v>
      </c>
      <c r="D587" s="122">
        <v>3.3</v>
      </c>
    </row>
    <row r="588" spans="2:4" x14ac:dyDescent="0.2">
      <c r="B588" s="120" t="s">
        <v>4041</v>
      </c>
      <c r="C588" s="121" t="s">
        <v>4042</v>
      </c>
      <c r="D588" s="122">
        <v>0</v>
      </c>
    </row>
    <row r="589" spans="2:4" x14ac:dyDescent="0.2">
      <c r="B589" s="120" t="s">
        <v>1240</v>
      </c>
      <c r="C589" s="121" t="s">
        <v>1241</v>
      </c>
      <c r="D589" s="122">
        <v>0</v>
      </c>
    </row>
    <row r="590" spans="2:4" x14ac:dyDescent="0.2">
      <c r="B590" s="120" t="s">
        <v>1242</v>
      </c>
      <c r="C590" s="121" t="s">
        <v>1243</v>
      </c>
      <c r="D590" s="122">
        <v>2.64</v>
      </c>
    </row>
    <row r="591" spans="2:4" x14ac:dyDescent="0.2">
      <c r="B591" s="120" t="s">
        <v>1244</v>
      </c>
      <c r="C591" s="121" t="s">
        <v>1245</v>
      </c>
      <c r="D591" s="122">
        <v>0</v>
      </c>
    </row>
    <row r="592" spans="2:4" x14ac:dyDescent="0.2">
      <c r="B592" s="120" t="s">
        <v>1246</v>
      </c>
      <c r="C592" s="121" t="s">
        <v>1247</v>
      </c>
      <c r="D592" s="122">
        <v>4.1399999999999997</v>
      </c>
    </row>
    <row r="593" spans="2:4" x14ac:dyDescent="0.2">
      <c r="B593" s="120" t="s">
        <v>1248</v>
      </c>
      <c r="C593" s="121" t="s">
        <v>1249</v>
      </c>
      <c r="D593" s="122">
        <v>0</v>
      </c>
    </row>
    <row r="594" spans="2:4" x14ac:dyDescent="0.2">
      <c r="B594" s="120" t="s">
        <v>4043</v>
      </c>
      <c r="C594" s="121" t="s">
        <v>4044</v>
      </c>
      <c r="D594" s="122">
        <v>1.06</v>
      </c>
    </row>
    <row r="595" spans="2:4" x14ac:dyDescent="0.2">
      <c r="B595" s="120" t="s">
        <v>1250</v>
      </c>
      <c r="C595" s="121" t="s">
        <v>1251</v>
      </c>
      <c r="D595" s="122">
        <v>2.56</v>
      </c>
    </row>
    <row r="596" spans="2:4" x14ac:dyDescent="0.2">
      <c r="B596" s="120" t="s">
        <v>1252</v>
      </c>
      <c r="C596" s="121" t="s">
        <v>1253</v>
      </c>
      <c r="D596" s="122">
        <v>1.39</v>
      </c>
    </row>
    <row r="597" spans="2:4" x14ac:dyDescent="0.2">
      <c r="B597" s="120" t="s">
        <v>1254</v>
      </c>
      <c r="C597" s="121" t="s">
        <v>1255</v>
      </c>
      <c r="D597" s="122">
        <v>4.3</v>
      </c>
    </row>
    <row r="598" spans="2:4" x14ac:dyDescent="0.2">
      <c r="B598" s="120" t="s">
        <v>4045</v>
      </c>
      <c r="C598" s="121" t="s">
        <v>4046</v>
      </c>
      <c r="D598" s="122">
        <v>1.94</v>
      </c>
    </row>
    <row r="599" spans="2:4" x14ac:dyDescent="0.2">
      <c r="B599" s="120" t="s">
        <v>4047</v>
      </c>
      <c r="C599" s="121" t="s">
        <v>4048</v>
      </c>
      <c r="D599" s="122">
        <v>3.26</v>
      </c>
    </row>
    <row r="600" spans="2:4" x14ac:dyDescent="0.2">
      <c r="B600" s="120" t="s">
        <v>1256</v>
      </c>
      <c r="C600" s="121" t="s">
        <v>1257</v>
      </c>
      <c r="D600" s="122">
        <v>5.49</v>
      </c>
    </row>
    <row r="601" spans="2:4" x14ac:dyDescent="0.2">
      <c r="B601" s="120" t="s">
        <v>1258</v>
      </c>
      <c r="C601" s="121" t="s">
        <v>1259</v>
      </c>
      <c r="D601" s="122">
        <v>1.53</v>
      </c>
    </row>
    <row r="602" spans="2:4" x14ac:dyDescent="0.2">
      <c r="B602" s="120" t="s">
        <v>1260</v>
      </c>
      <c r="C602" s="121" t="s">
        <v>1261</v>
      </c>
      <c r="D602" s="122">
        <v>2.06</v>
      </c>
    </row>
    <row r="603" spans="2:4" x14ac:dyDescent="0.2">
      <c r="B603" s="120" t="s">
        <v>1262</v>
      </c>
      <c r="C603" s="121" t="s">
        <v>1263</v>
      </c>
      <c r="D603" s="122">
        <v>0.94</v>
      </c>
    </row>
    <row r="604" spans="2:4" x14ac:dyDescent="0.2">
      <c r="B604" s="120" t="s">
        <v>1264</v>
      </c>
      <c r="C604" s="121" t="s">
        <v>1265</v>
      </c>
      <c r="D604" s="122">
        <v>3.2</v>
      </c>
    </row>
    <row r="605" spans="2:4" x14ac:dyDescent="0.2">
      <c r="B605" s="120" t="s">
        <v>4049</v>
      </c>
      <c r="C605" s="121" t="s">
        <v>4050</v>
      </c>
      <c r="D605" s="122">
        <v>1.19</v>
      </c>
    </row>
    <row r="606" spans="2:4" x14ac:dyDescent="0.2">
      <c r="B606" s="120" t="s">
        <v>4051</v>
      </c>
      <c r="C606" s="121" t="s">
        <v>4052</v>
      </c>
      <c r="D606" s="122">
        <v>3.54</v>
      </c>
    </row>
    <row r="607" spans="2:4" x14ac:dyDescent="0.2">
      <c r="B607" s="120" t="s">
        <v>1266</v>
      </c>
      <c r="C607" s="121" t="s">
        <v>1267</v>
      </c>
      <c r="D607" s="122">
        <v>0</v>
      </c>
    </row>
    <row r="608" spans="2:4" x14ac:dyDescent="0.2">
      <c r="B608" s="120" t="s">
        <v>1268</v>
      </c>
      <c r="C608" s="121" t="s">
        <v>1269</v>
      </c>
      <c r="D608" s="122">
        <v>0</v>
      </c>
    </row>
    <row r="609" spans="2:4" x14ac:dyDescent="0.2">
      <c r="B609" s="120" t="s">
        <v>4053</v>
      </c>
      <c r="C609" s="121" t="s">
        <v>4054</v>
      </c>
      <c r="D609" s="122">
        <v>2.15</v>
      </c>
    </row>
    <row r="610" spans="2:4" x14ac:dyDescent="0.2">
      <c r="B610" s="120" t="s">
        <v>4055</v>
      </c>
      <c r="C610" s="121" t="s">
        <v>4056</v>
      </c>
      <c r="D610" s="122">
        <v>3.07</v>
      </c>
    </row>
    <row r="611" spans="2:4" x14ac:dyDescent="0.2">
      <c r="B611" s="120" t="s">
        <v>1270</v>
      </c>
      <c r="C611" s="121" t="s">
        <v>1271</v>
      </c>
      <c r="D611" s="122">
        <v>1.1100000000000001</v>
      </c>
    </row>
    <row r="612" spans="2:4" x14ac:dyDescent="0.2">
      <c r="B612" s="120" t="s">
        <v>4057</v>
      </c>
      <c r="C612" s="121" t="s">
        <v>4058</v>
      </c>
      <c r="D612" s="122">
        <v>2.79</v>
      </c>
    </row>
    <row r="613" spans="2:4" x14ac:dyDescent="0.2">
      <c r="B613" s="120" t="s">
        <v>1272</v>
      </c>
      <c r="C613" s="121" t="s">
        <v>1273</v>
      </c>
      <c r="D613" s="122">
        <v>2.27</v>
      </c>
    </row>
    <row r="614" spans="2:4" x14ac:dyDescent="0.2">
      <c r="B614" s="120" t="s">
        <v>1274</v>
      </c>
      <c r="C614" s="121" t="s">
        <v>1275</v>
      </c>
      <c r="D614" s="122">
        <v>1.68</v>
      </c>
    </row>
    <row r="615" spans="2:4" x14ac:dyDescent="0.2">
      <c r="B615" s="120" t="s">
        <v>1276</v>
      </c>
      <c r="C615" s="121" t="s">
        <v>1277</v>
      </c>
      <c r="D615" s="122">
        <v>3.37</v>
      </c>
    </row>
    <row r="616" spans="2:4" x14ac:dyDescent="0.2">
      <c r="B616" s="120" t="s">
        <v>1278</v>
      </c>
      <c r="C616" s="121" t="s">
        <v>1279</v>
      </c>
      <c r="D616" s="122">
        <v>0</v>
      </c>
    </row>
    <row r="617" spans="2:4" x14ac:dyDescent="0.2">
      <c r="B617" s="120" t="s">
        <v>1280</v>
      </c>
      <c r="C617" s="121" t="s">
        <v>1281</v>
      </c>
      <c r="D617" s="122">
        <v>0.94</v>
      </c>
    </row>
    <row r="618" spans="2:4" x14ac:dyDescent="0.2">
      <c r="B618" s="120" t="s">
        <v>1282</v>
      </c>
      <c r="C618" s="121" t="s">
        <v>1283</v>
      </c>
      <c r="D618" s="122">
        <v>0.9</v>
      </c>
    </row>
    <row r="619" spans="2:4" x14ac:dyDescent="0.2">
      <c r="B619" s="120" t="s">
        <v>1284</v>
      </c>
      <c r="C619" s="121" t="s">
        <v>1285</v>
      </c>
      <c r="D619" s="122">
        <v>0</v>
      </c>
    </row>
    <row r="620" spans="2:4" x14ac:dyDescent="0.2">
      <c r="B620" s="120" t="s">
        <v>4059</v>
      </c>
      <c r="C620" s="121" t="s">
        <v>4060</v>
      </c>
      <c r="D620" s="122">
        <v>0.8</v>
      </c>
    </row>
    <row r="621" spans="2:4" x14ac:dyDescent="0.2">
      <c r="B621" s="120" t="s">
        <v>4061</v>
      </c>
      <c r="C621" s="121" t="s">
        <v>4062</v>
      </c>
      <c r="D621" s="122">
        <v>0.67</v>
      </c>
    </row>
    <row r="622" spans="2:4" x14ac:dyDescent="0.2">
      <c r="B622" s="120" t="s">
        <v>1286</v>
      </c>
      <c r="C622" s="121" t="s">
        <v>1287</v>
      </c>
      <c r="D622" s="122">
        <v>1.83</v>
      </c>
    </row>
    <row r="623" spans="2:4" x14ac:dyDescent="0.2">
      <c r="B623" s="120" t="s">
        <v>1288</v>
      </c>
      <c r="C623" s="121" t="s">
        <v>1289</v>
      </c>
      <c r="D623" s="122">
        <v>1.52</v>
      </c>
    </row>
    <row r="624" spans="2:4" x14ac:dyDescent="0.2">
      <c r="B624" s="120" t="s">
        <v>4063</v>
      </c>
      <c r="C624" s="121" t="s">
        <v>4064</v>
      </c>
      <c r="D624" s="122">
        <v>5.39</v>
      </c>
    </row>
    <row r="625" spans="2:4" x14ac:dyDescent="0.2">
      <c r="B625" s="120" t="s">
        <v>1290</v>
      </c>
      <c r="C625" s="121" t="s">
        <v>1291</v>
      </c>
      <c r="D625" s="122">
        <v>0.37</v>
      </c>
    </row>
    <row r="626" spans="2:4" x14ac:dyDescent="0.2">
      <c r="B626" s="120" t="s">
        <v>1292</v>
      </c>
      <c r="C626" s="121" t="s">
        <v>1293</v>
      </c>
      <c r="D626" s="122">
        <v>3.43</v>
      </c>
    </row>
    <row r="627" spans="2:4" x14ac:dyDescent="0.2">
      <c r="B627" s="120" t="s">
        <v>1294</v>
      </c>
      <c r="C627" s="121" t="s">
        <v>1295</v>
      </c>
      <c r="D627" s="122">
        <v>3.02</v>
      </c>
    </row>
    <row r="628" spans="2:4" x14ac:dyDescent="0.2">
      <c r="B628" s="120" t="s">
        <v>1296</v>
      </c>
      <c r="C628" s="121" t="s">
        <v>1297</v>
      </c>
      <c r="D628" s="122">
        <v>6.27</v>
      </c>
    </row>
    <row r="629" spans="2:4" x14ac:dyDescent="0.2">
      <c r="B629" s="120" t="s">
        <v>1298</v>
      </c>
      <c r="C629" s="121" t="s">
        <v>1299</v>
      </c>
      <c r="D629" s="122">
        <v>10.37</v>
      </c>
    </row>
    <row r="630" spans="2:4" x14ac:dyDescent="0.2">
      <c r="B630" s="120" t="s">
        <v>4065</v>
      </c>
      <c r="C630" s="121" t="s">
        <v>4066</v>
      </c>
      <c r="D630" s="122">
        <v>6.46</v>
      </c>
    </row>
    <row r="631" spans="2:4" x14ac:dyDescent="0.2">
      <c r="B631" s="120" t="s">
        <v>4067</v>
      </c>
      <c r="C631" s="121" t="s">
        <v>4068</v>
      </c>
      <c r="D631" s="122">
        <v>8.25</v>
      </c>
    </row>
    <row r="632" spans="2:4" x14ac:dyDescent="0.2">
      <c r="B632" s="120" t="s">
        <v>1300</v>
      </c>
      <c r="C632" s="121" t="s">
        <v>1301</v>
      </c>
      <c r="D632" s="122">
        <v>6.77</v>
      </c>
    </row>
    <row r="633" spans="2:4" x14ac:dyDescent="0.2">
      <c r="B633" s="120" t="s">
        <v>4069</v>
      </c>
      <c r="C633" s="121" t="s">
        <v>4070</v>
      </c>
      <c r="D633" s="122">
        <v>6.6</v>
      </c>
    </row>
    <row r="634" spans="2:4" x14ac:dyDescent="0.2">
      <c r="B634" s="120" t="s">
        <v>4071</v>
      </c>
      <c r="C634" s="121" t="s">
        <v>4072</v>
      </c>
      <c r="D634" s="122">
        <v>2.41</v>
      </c>
    </row>
    <row r="635" spans="2:4" x14ac:dyDescent="0.2">
      <c r="B635" s="120" t="s">
        <v>1302</v>
      </c>
      <c r="C635" s="121" t="s">
        <v>1303</v>
      </c>
      <c r="D635" s="122">
        <v>13.43</v>
      </c>
    </row>
    <row r="636" spans="2:4" x14ac:dyDescent="0.2">
      <c r="B636" s="120" t="s">
        <v>1304</v>
      </c>
      <c r="C636" s="121" t="s">
        <v>1305</v>
      </c>
      <c r="D636" s="122">
        <v>0</v>
      </c>
    </row>
    <row r="637" spans="2:4" x14ac:dyDescent="0.2">
      <c r="B637" s="120" t="s">
        <v>1306</v>
      </c>
      <c r="C637" s="121" t="s">
        <v>1307</v>
      </c>
      <c r="D637" s="122">
        <v>0.67</v>
      </c>
    </row>
    <row r="638" spans="2:4" x14ac:dyDescent="0.2">
      <c r="B638" s="120" t="s">
        <v>4073</v>
      </c>
      <c r="C638" s="121" t="s">
        <v>4074</v>
      </c>
      <c r="D638" s="122">
        <v>0</v>
      </c>
    </row>
    <row r="639" spans="2:4" x14ac:dyDescent="0.2">
      <c r="B639" s="120" t="s">
        <v>1308</v>
      </c>
      <c r="C639" s="121" t="s">
        <v>1309</v>
      </c>
      <c r="D639" s="122">
        <v>0</v>
      </c>
    </row>
    <row r="640" spans="2:4" x14ac:dyDescent="0.2">
      <c r="B640" s="120" t="s">
        <v>4075</v>
      </c>
      <c r="C640" s="121" t="s">
        <v>4076</v>
      </c>
      <c r="D640" s="122">
        <v>4.9000000000000004</v>
      </c>
    </row>
    <row r="641" spans="2:4" x14ac:dyDescent="0.2">
      <c r="B641" s="120" t="s">
        <v>1310</v>
      </c>
      <c r="C641" s="121" t="s">
        <v>1311</v>
      </c>
      <c r="D641" s="122">
        <v>1.42</v>
      </c>
    </row>
    <row r="642" spans="2:4" x14ac:dyDescent="0.2">
      <c r="B642" s="120" t="s">
        <v>1312</v>
      </c>
      <c r="C642" s="121" t="s">
        <v>1313</v>
      </c>
      <c r="D642" s="122">
        <v>3.57</v>
      </c>
    </row>
    <row r="643" spans="2:4" x14ac:dyDescent="0.2">
      <c r="B643" s="120" t="s">
        <v>1314</v>
      </c>
      <c r="C643" s="121" t="s">
        <v>1315</v>
      </c>
      <c r="D643" s="122">
        <v>0</v>
      </c>
    </row>
    <row r="644" spans="2:4" x14ac:dyDescent="0.2">
      <c r="B644" s="120" t="s">
        <v>1316</v>
      </c>
      <c r="C644" s="121" t="s">
        <v>1317</v>
      </c>
      <c r="D644" s="122">
        <v>6.04</v>
      </c>
    </row>
    <row r="645" spans="2:4" x14ac:dyDescent="0.2">
      <c r="B645" s="120" t="s">
        <v>1318</v>
      </c>
      <c r="C645" s="121" t="s">
        <v>1319</v>
      </c>
      <c r="D645" s="122">
        <v>5.86</v>
      </c>
    </row>
    <row r="646" spans="2:4" x14ac:dyDescent="0.2">
      <c r="B646" s="120" t="s">
        <v>1320</v>
      </c>
      <c r="C646" s="121" t="s">
        <v>1321</v>
      </c>
      <c r="D646" s="122">
        <v>0</v>
      </c>
    </row>
    <row r="647" spans="2:4" x14ac:dyDescent="0.2">
      <c r="B647" s="120" t="s">
        <v>1322</v>
      </c>
      <c r="C647" s="121" t="s">
        <v>1323</v>
      </c>
      <c r="D647" s="122">
        <v>2.65</v>
      </c>
    </row>
    <row r="648" spans="2:4" x14ac:dyDescent="0.2">
      <c r="B648" s="120" t="s">
        <v>1324</v>
      </c>
      <c r="C648" s="121" t="s">
        <v>1325</v>
      </c>
      <c r="D648" s="122">
        <v>1.74</v>
      </c>
    </row>
    <row r="649" spans="2:4" x14ac:dyDescent="0.2">
      <c r="B649" s="120" t="s">
        <v>1326</v>
      </c>
      <c r="C649" s="121" t="s">
        <v>1327</v>
      </c>
      <c r="D649" s="122">
        <v>14.28</v>
      </c>
    </row>
    <row r="650" spans="2:4" x14ac:dyDescent="0.2">
      <c r="B650" s="120" t="s">
        <v>1328</v>
      </c>
      <c r="C650" s="121" t="s">
        <v>1329</v>
      </c>
      <c r="D650" s="122">
        <v>3.83</v>
      </c>
    </row>
    <row r="651" spans="2:4" x14ac:dyDescent="0.2">
      <c r="B651" s="120" t="s">
        <v>1330</v>
      </c>
      <c r="C651" s="121" t="s">
        <v>1331</v>
      </c>
      <c r="D651" s="122">
        <v>2.67</v>
      </c>
    </row>
    <row r="652" spans="2:4" x14ac:dyDescent="0.2">
      <c r="B652" s="120" t="s">
        <v>4077</v>
      </c>
      <c r="C652" s="121" t="s">
        <v>4078</v>
      </c>
      <c r="D652" s="122">
        <v>0</v>
      </c>
    </row>
    <row r="653" spans="2:4" x14ac:dyDescent="0.2">
      <c r="B653" s="120" t="s">
        <v>1334</v>
      </c>
      <c r="C653" s="121" t="s">
        <v>1335</v>
      </c>
      <c r="D653" s="122">
        <v>0</v>
      </c>
    </row>
    <row r="654" spans="2:4" x14ac:dyDescent="0.2">
      <c r="B654" s="120" t="s">
        <v>1336</v>
      </c>
      <c r="C654" s="121" t="s">
        <v>1337</v>
      </c>
      <c r="D654" s="122">
        <v>0.79</v>
      </c>
    </row>
    <row r="655" spans="2:4" x14ac:dyDescent="0.2">
      <c r="B655" s="120" t="s">
        <v>4079</v>
      </c>
      <c r="C655" s="121" t="s">
        <v>4080</v>
      </c>
      <c r="D655" s="122">
        <v>1.89</v>
      </c>
    </row>
    <row r="656" spans="2:4" x14ac:dyDescent="0.2">
      <c r="B656" s="120" t="s">
        <v>1338</v>
      </c>
      <c r="C656" s="121" t="s">
        <v>1339</v>
      </c>
      <c r="D656" s="122">
        <v>0.11</v>
      </c>
    </row>
    <row r="657" spans="2:4" x14ac:dyDescent="0.2">
      <c r="B657" s="120" t="s">
        <v>1340</v>
      </c>
      <c r="C657" s="121" t="s">
        <v>1341</v>
      </c>
      <c r="D657" s="122">
        <v>2.57</v>
      </c>
    </row>
    <row r="658" spans="2:4" x14ac:dyDescent="0.2">
      <c r="B658" s="120" t="s">
        <v>1342</v>
      </c>
      <c r="C658" s="121" t="s">
        <v>1343</v>
      </c>
      <c r="D658" s="122">
        <v>2.42</v>
      </c>
    </row>
    <row r="659" spans="2:4" x14ac:dyDescent="0.2">
      <c r="B659" s="120" t="s">
        <v>4081</v>
      </c>
      <c r="C659" s="121" t="s">
        <v>4082</v>
      </c>
      <c r="D659" s="122">
        <v>0</v>
      </c>
    </row>
    <row r="660" spans="2:4" x14ac:dyDescent="0.2">
      <c r="B660" s="120" t="s">
        <v>4083</v>
      </c>
      <c r="C660" s="121" t="s">
        <v>4084</v>
      </c>
      <c r="D660" s="122">
        <v>1.25</v>
      </c>
    </row>
    <row r="661" spans="2:4" x14ac:dyDescent="0.2">
      <c r="B661" s="120" t="s">
        <v>4085</v>
      </c>
      <c r="C661" s="121" t="s">
        <v>4086</v>
      </c>
      <c r="D661" s="122">
        <v>0</v>
      </c>
    </row>
    <row r="662" spans="2:4" x14ac:dyDescent="0.2">
      <c r="B662" s="120" t="s">
        <v>1344</v>
      </c>
      <c r="C662" s="121" t="s">
        <v>1345</v>
      </c>
      <c r="D662" s="122">
        <v>1.17</v>
      </c>
    </row>
    <row r="663" spans="2:4" x14ac:dyDescent="0.2">
      <c r="B663" s="120" t="s">
        <v>1346</v>
      </c>
      <c r="C663" s="121" t="s">
        <v>1347</v>
      </c>
      <c r="D663" s="122">
        <v>2.42</v>
      </c>
    </row>
    <row r="664" spans="2:4" x14ac:dyDescent="0.2">
      <c r="B664" s="120" t="s">
        <v>1348</v>
      </c>
      <c r="C664" s="121" t="s">
        <v>1349</v>
      </c>
      <c r="D664" s="122">
        <v>0</v>
      </c>
    </row>
    <row r="665" spans="2:4" x14ac:dyDescent="0.2">
      <c r="B665" s="120" t="s">
        <v>1350</v>
      </c>
      <c r="C665" s="121" t="s">
        <v>1351</v>
      </c>
      <c r="D665" s="122">
        <v>8.89</v>
      </c>
    </row>
    <row r="666" spans="2:4" x14ac:dyDescent="0.2">
      <c r="B666" s="120" t="s">
        <v>1352</v>
      </c>
      <c r="C666" s="121" t="s">
        <v>1353</v>
      </c>
      <c r="D666" s="122">
        <v>1.25</v>
      </c>
    </row>
    <row r="667" spans="2:4" x14ac:dyDescent="0.2">
      <c r="B667" s="120" t="s">
        <v>1354</v>
      </c>
      <c r="C667" s="121" t="s">
        <v>1355</v>
      </c>
      <c r="D667" s="122">
        <v>3.4</v>
      </c>
    </row>
    <row r="668" spans="2:4" x14ac:dyDescent="0.2">
      <c r="B668" s="120" t="s">
        <v>1356</v>
      </c>
      <c r="C668" s="121" t="s">
        <v>1357</v>
      </c>
      <c r="D668" s="122">
        <v>3.16</v>
      </c>
    </row>
    <row r="669" spans="2:4" x14ac:dyDescent="0.2">
      <c r="B669" s="120" t="s">
        <v>1358</v>
      </c>
      <c r="C669" s="121" t="s">
        <v>1359</v>
      </c>
      <c r="D669" s="122">
        <v>13.2</v>
      </c>
    </row>
    <row r="670" spans="2:4" x14ac:dyDescent="0.2">
      <c r="B670" s="120" t="s">
        <v>1360</v>
      </c>
      <c r="C670" s="121" t="s">
        <v>1361</v>
      </c>
      <c r="D670" s="122">
        <v>0</v>
      </c>
    </row>
    <row r="671" spans="2:4" x14ac:dyDescent="0.2">
      <c r="B671" s="120" t="s">
        <v>1362</v>
      </c>
      <c r="C671" s="121" t="s">
        <v>1363</v>
      </c>
      <c r="D671" s="122">
        <v>0</v>
      </c>
    </row>
    <row r="672" spans="2:4" x14ac:dyDescent="0.2">
      <c r="B672" s="120" t="s">
        <v>1364</v>
      </c>
      <c r="C672" s="121" t="s">
        <v>11</v>
      </c>
      <c r="D672" s="122">
        <v>3.11</v>
      </c>
    </row>
    <row r="673" spans="2:4" x14ac:dyDescent="0.2">
      <c r="B673" s="120" t="s">
        <v>1365</v>
      </c>
      <c r="C673" s="121" t="s">
        <v>1366</v>
      </c>
      <c r="D673" s="122">
        <v>2.74</v>
      </c>
    </row>
    <row r="674" spans="2:4" x14ac:dyDescent="0.2">
      <c r="B674" s="120" t="s">
        <v>1367</v>
      </c>
      <c r="C674" s="121" t="s">
        <v>1368</v>
      </c>
      <c r="D674" s="122">
        <v>2.88</v>
      </c>
    </row>
    <row r="675" spans="2:4" x14ac:dyDescent="0.2">
      <c r="B675" s="120" t="s">
        <v>4087</v>
      </c>
      <c r="C675" s="121" t="s">
        <v>4088</v>
      </c>
      <c r="D675" s="122">
        <v>0</v>
      </c>
    </row>
    <row r="676" spans="2:4" x14ac:dyDescent="0.2">
      <c r="B676" s="120" t="s">
        <v>1369</v>
      </c>
      <c r="C676" s="121" t="s">
        <v>1370</v>
      </c>
      <c r="D676" s="122">
        <v>0</v>
      </c>
    </row>
    <row r="677" spans="2:4" x14ac:dyDescent="0.2">
      <c r="B677" s="120" t="s">
        <v>1371</v>
      </c>
      <c r="C677" s="121" t="s">
        <v>1372</v>
      </c>
      <c r="D677" s="122">
        <v>0</v>
      </c>
    </row>
    <row r="678" spans="2:4" x14ac:dyDescent="0.2">
      <c r="B678" s="120" t="s">
        <v>1373</v>
      </c>
      <c r="C678" s="121" t="s">
        <v>1374</v>
      </c>
      <c r="D678" s="122">
        <v>2.4300000000000002</v>
      </c>
    </row>
    <row r="679" spans="2:4" x14ac:dyDescent="0.2">
      <c r="B679" s="120" t="s">
        <v>4089</v>
      </c>
      <c r="C679" s="121" t="s">
        <v>4090</v>
      </c>
      <c r="D679" s="122">
        <v>1.57</v>
      </c>
    </row>
    <row r="680" spans="2:4" x14ac:dyDescent="0.2">
      <c r="B680" s="120" t="s">
        <v>4091</v>
      </c>
      <c r="C680" s="121" t="s">
        <v>4092</v>
      </c>
      <c r="D680" s="122">
        <v>1.38</v>
      </c>
    </row>
    <row r="681" spans="2:4" x14ac:dyDescent="0.2">
      <c r="B681" s="120" t="s">
        <v>4093</v>
      </c>
      <c r="C681" s="121" t="s">
        <v>4094</v>
      </c>
      <c r="D681" s="122">
        <v>2.62</v>
      </c>
    </row>
    <row r="682" spans="2:4" x14ac:dyDescent="0.2">
      <c r="B682" s="120" t="s">
        <v>1375</v>
      </c>
      <c r="C682" s="121" t="s">
        <v>1376</v>
      </c>
      <c r="D682" s="122">
        <v>0</v>
      </c>
    </row>
    <row r="683" spans="2:4" x14ac:dyDescent="0.2">
      <c r="B683" s="120" t="s">
        <v>1377</v>
      </c>
      <c r="C683" s="121" t="s">
        <v>1378</v>
      </c>
      <c r="D683" s="122">
        <v>2.99</v>
      </c>
    </row>
    <row r="684" spans="2:4" x14ac:dyDescent="0.2">
      <c r="B684" s="120" t="s">
        <v>1379</v>
      </c>
      <c r="C684" s="121" t="s">
        <v>1380</v>
      </c>
      <c r="D684" s="122">
        <v>0</v>
      </c>
    </row>
    <row r="685" spans="2:4" x14ac:dyDescent="0.2">
      <c r="B685" s="120" t="s">
        <v>1381</v>
      </c>
      <c r="C685" s="121" t="s">
        <v>1382</v>
      </c>
      <c r="D685" s="122">
        <v>0.44</v>
      </c>
    </row>
    <row r="686" spans="2:4" x14ac:dyDescent="0.2">
      <c r="B686" s="120" t="s">
        <v>1383</v>
      </c>
      <c r="C686" s="121" t="s">
        <v>1384</v>
      </c>
      <c r="D686" s="122">
        <v>1.35</v>
      </c>
    </row>
    <row r="687" spans="2:4" x14ac:dyDescent="0.2">
      <c r="B687" s="120" t="s">
        <v>1385</v>
      </c>
      <c r="C687" s="121" t="s">
        <v>1386</v>
      </c>
      <c r="D687" s="122">
        <v>1.01</v>
      </c>
    </row>
    <row r="688" spans="2:4" x14ac:dyDescent="0.2">
      <c r="B688" s="120" t="s">
        <v>1387</v>
      </c>
      <c r="C688" s="121" t="s">
        <v>1388</v>
      </c>
      <c r="D688" s="122">
        <v>1.92</v>
      </c>
    </row>
    <row r="689" spans="2:4" x14ac:dyDescent="0.2">
      <c r="B689" s="120" t="s">
        <v>1389</v>
      </c>
      <c r="C689" s="121" t="s">
        <v>1390</v>
      </c>
      <c r="D689" s="122">
        <v>0.9</v>
      </c>
    </row>
    <row r="690" spans="2:4" x14ac:dyDescent="0.2">
      <c r="B690" s="120" t="s">
        <v>1391</v>
      </c>
      <c r="C690" s="121" t="s">
        <v>1392</v>
      </c>
      <c r="D690" s="122">
        <v>3.1</v>
      </c>
    </row>
    <row r="691" spans="2:4" x14ac:dyDescent="0.2">
      <c r="B691" s="120" t="s">
        <v>4095</v>
      </c>
      <c r="C691" s="121" t="s">
        <v>4096</v>
      </c>
      <c r="D691" s="122">
        <v>6.37</v>
      </c>
    </row>
    <row r="692" spans="2:4" x14ac:dyDescent="0.2">
      <c r="B692" s="120" t="s">
        <v>4097</v>
      </c>
      <c r="C692" s="121" t="s">
        <v>4098</v>
      </c>
      <c r="D692" s="122">
        <v>3.1</v>
      </c>
    </row>
    <row r="693" spans="2:4" x14ac:dyDescent="0.2">
      <c r="B693" s="120" t="s">
        <v>1393</v>
      </c>
      <c r="C693" s="121" t="s">
        <v>1394</v>
      </c>
      <c r="D693" s="122">
        <v>6.54</v>
      </c>
    </row>
    <row r="694" spans="2:4" x14ac:dyDescent="0.2">
      <c r="B694" s="120" t="s">
        <v>1395</v>
      </c>
      <c r="C694" s="121" t="s">
        <v>1396</v>
      </c>
      <c r="D694" s="122">
        <v>2.86</v>
      </c>
    </row>
    <row r="695" spans="2:4" x14ac:dyDescent="0.2">
      <c r="B695" s="120" t="s">
        <v>1397</v>
      </c>
      <c r="C695" s="121" t="s">
        <v>1398</v>
      </c>
      <c r="D695" s="122">
        <v>0.77</v>
      </c>
    </row>
    <row r="696" spans="2:4" x14ac:dyDescent="0.2">
      <c r="B696" s="120" t="s">
        <v>1399</v>
      </c>
      <c r="C696" s="121" t="s">
        <v>1400</v>
      </c>
      <c r="D696" s="122">
        <v>3.22</v>
      </c>
    </row>
    <row r="697" spans="2:4" x14ac:dyDescent="0.2">
      <c r="B697" s="120" t="s">
        <v>1401</v>
      </c>
      <c r="C697" s="121" t="s">
        <v>1402</v>
      </c>
      <c r="D697" s="122">
        <v>2.76</v>
      </c>
    </row>
    <row r="698" spans="2:4" x14ac:dyDescent="0.2">
      <c r="B698" s="120" t="s">
        <v>1403</v>
      </c>
      <c r="C698" s="121" t="s">
        <v>1404</v>
      </c>
      <c r="D698" s="122">
        <v>0</v>
      </c>
    </row>
    <row r="699" spans="2:4" x14ac:dyDescent="0.2">
      <c r="B699" s="120" t="s">
        <v>1405</v>
      </c>
      <c r="C699" s="121" t="s">
        <v>1406</v>
      </c>
      <c r="D699" s="122">
        <v>1.67</v>
      </c>
    </row>
    <row r="700" spans="2:4" x14ac:dyDescent="0.2">
      <c r="B700" s="120" t="s">
        <v>1407</v>
      </c>
      <c r="C700" s="121" t="s">
        <v>1408</v>
      </c>
      <c r="D700" s="122">
        <v>0</v>
      </c>
    </row>
    <row r="701" spans="2:4" x14ac:dyDescent="0.2">
      <c r="B701" s="120" t="s">
        <v>1409</v>
      </c>
      <c r="C701" s="121" t="s">
        <v>1410</v>
      </c>
      <c r="D701" s="122">
        <v>1.06</v>
      </c>
    </row>
    <row r="702" spans="2:4" x14ac:dyDescent="0.2">
      <c r="B702" s="120" t="s">
        <v>1411</v>
      </c>
      <c r="C702" s="121" t="s">
        <v>1412</v>
      </c>
      <c r="D702" s="122">
        <v>0</v>
      </c>
    </row>
    <row r="703" spans="2:4" x14ac:dyDescent="0.2">
      <c r="B703" s="120" t="s">
        <v>4099</v>
      </c>
      <c r="C703" s="121" t="s">
        <v>4100</v>
      </c>
      <c r="D703" s="122">
        <v>0.34</v>
      </c>
    </row>
    <row r="704" spans="2:4" x14ac:dyDescent="0.2">
      <c r="B704" s="120" t="s">
        <v>1413</v>
      </c>
      <c r="C704" s="121" t="s">
        <v>1414</v>
      </c>
      <c r="D704" s="122">
        <v>1.91</v>
      </c>
    </row>
    <row r="705" spans="2:4" x14ac:dyDescent="0.2">
      <c r="B705" s="120" t="s">
        <v>4101</v>
      </c>
      <c r="C705" s="121" t="s">
        <v>4102</v>
      </c>
      <c r="D705" s="122">
        <v>0</v>
      </c>
    </row>
    <row r="706" spans="2:4" x14ac:dyDescent="0.2">
      <c r="B706" s="120" t="s">
        <v>1415</v>
      </c>
      <c r="C706" s="121" t="s">
        <v>1416</v>
      </c>
      <c r="D706" s="122">
        <v>1.02</v>
      </c>
    </row>
    <row r="707" spans="2:4" x14ac:dyDescent="0.2">
      <c r="B707" s="120" t="s">
        <v>1417</v>
      </c>
      <c r="C707" s="121" t="s">
        <v>1418</v>
      </c>
      <c r="D707" s="122">
        <v>1.75</v>
      </c>
    </row>
    <row r="708" spans="2:4" x14ac:dyDescent="0.2">
      <c r="B708" s="120" t="s">
        <v>1419</v>
      </c>
      <c r="C708" s="121" t="s">
        <v>1420</v>
      </c>
      <c r="D708" s="122">
        <v>3.21</v>
      </c>
    </row>
    <row r="709" spans="2:4" x14ac:dyDescent="0.2">
      <c r="B709" s="120" t="s">
        <v>1421</v>
      </c>
      <c r="C709" s="121" t="s">
        <v>1422</v>
      </c>
      <c r="D709" s="122">
        <v>1.39</v>
      </c>
    </row>
    <row r="710" spans="2:4" x14ac:dyDescent="0.2">
      <c r="B710" s="120" t="s">
        <v>1423</v>
      </c>
      <c r="C710" s="121" t="s">
        <v>1424</v>
      </c>
      <c r="D710" s="122">
        <v>0</v>
      </c>
    </row>
    <row r="711" spans="2:4" x14ac:dyDescent="0.2">
      <c r="B711" s="120" t="s">
        <v>1425</v>
      </c>
      <c r="C711" s="121" t="s">
        <v>1426</v>
      </c>
      <c r="D711" s="122">
        <v>1.44</v>
      </c>
    </row>
    <row r="712" spans="2:4" x14ac:dyDescent="0.2">
      <c r="B712" s="120" t="s">
        <v>1427</v>
      </c>
      <c r="C712" s="121" t="s">
        <v>1428</v>
      </c>
      <c r="D712" s="122">
        <v>0</v>
      </c>
    </row>
    <row r="713" spans="2:4" x14ac:dyDescent="0.2">
      <c r="B713" s="120" t="s">
        <v>1429</v>
      </c>
      <c r="C713" s="121" t="s">
        <v>1430</v>
      </c>
      <c r="D713" s="122">
        <v>0</v>
      </c>
    </row>
    <row r="714" spans="2:4" x14ac:dyDescent="0.2">
      <c r="B714" s="120" t="s">
        <v>1431</v>
      </c>
      <c r="C714" s="121" t="s">
        <v>1432</v>
      </c>
      <c r="D714" s="122">
        <v>3.77</v>
      </c>
    </row>
    <row r="715" spans="2:4" x14ac:dyDescent="0.2">
      <c r="B715" s="120" t="s">
        <v>1433</v>
      </c>
      <c r="C715" s="121" t="s">
        <v>1434</v>
      </c>
      <c r="D715" s="122">
        <v>3.43</v>
      </c>
    </row>
    <row r="716" spans="2:4" x14ac:dyDescent="0.2">
      <c r="B716" s="120" t="s">
        <v>1435</v>
      </c>
      <c r="C716" s="121" t="s">
        <v>1436</v>
      </c>
      <c r="D716" s="122">
        <v>0</v>
      </c>
    </row>
    <row r="717" spans="2:4" x14ac:dyDescent="0.2">
      <c r="B717" s="120" t="s">
        <v>1437</v>
      </c>
      <c r="C717" s="121" t="s">
        <v>1438</v>
      </c>
      <c r="D717" s="122">
        <v>3.38</v>
      </c>
    </row>
    <row r="718" spans="2:4" x14ac:dyDescent="0.2">
      <c r="B718" s="120" t="s">
        <v>4103</v>
      </c>
      <c r="C718" s="121" t="s">
        <v>4104</v>
      </c>
      <c r="D718" s="122">
        <v>0.85</v>
      </c>
    </row>
    <row r="719" spans="2:4" x14ac:dyDescent="0.2">
      <c r="B719" s="120" t="s">
        <v>1439</v>
      </c>
      <c r="C719" s="121" t="s">
        <v>1440</v>
      </c>
      <c r="D719" s="122">
        <v>1.06</v>
      </c>
    </row>
    <row r="720" spans="2:4" x14ac:dyDescent="0.2">
      <c r="B720" s="120" t="s">
        <v>1441</v>
      </c>
      <c r="C720" s="121" t="s">
        <v>1442</v>
      </c>
      <c r="D720" s="122">
        <v>0</v>
      </c>
    </row>
    <row r="721" spans="2:4" x14ac:dyDescent="0.2">
      <c r="B721" s="120" t="s">
        <v>1443</v>
      </c>
      <c r="C721" s="121" t="s">
        <v>1444</v>
      </c>
      <c r="D721" s="122">
        <v>3.45</v>
      </c>
    </row>
    <row r="722" spans="2:4" x14ac:dyDescent="0.2">
      <c r="B722" s="120" t="s">
        <v>1445</v>
      </c>
      <c r="C722" s="121" t="s">
        <v>1446</v>
      </c>
      <c r="D722" s="122">
        <v>0</v>
      </c>
    </row>
    <row r="723" spans="2:4" x14ac:dyDescent="0.2">
      <c r="B723" s="120" t="s">
        <v>1447</v>
      </c>
      <c r="C723" s="121" t="s">
        <v>1448</v>
      </c>
      <c r="D723" s="122">
        <v>0</v>
      </c>
    </row>
    <row r="724" spans="2:4" x14ac:dyDescent="0.2">
      <c r="B724" s="120" t="s">
        <v>1449</v>
      </c>
      <c r="C724" s="121" t="s">
        <v>1450</v>
      </c>
      <c r="D724" s="122">
        <v>1.27</v>
      </c>
    </row>
    <row r="725" spans="2:4" x14ac:dyDescent="0.2">
      <c r="B725" s="120" t="s">
        <v>1451</v>
      </c>
      <c r="C725" s="121" t="s">
        <v>1452</v>
      </c>
      <c r="D725" s="122">
        <v>3.82</v>
      </c>
    </row>
    <row r="726" spans="2:4" x14ac:dyDescent="0.2">
      <c r="B726" s="120" t="s">
        <v>1453</v>
      </c>
      <c r="C726" s="121" t="s">
        <v>1454</v>
      </c>
      <c r="D726" s="122">
        <v>0</v>
      </c>
    </row>
    <row r="727" spans="2:4" x14ac:dyDescent="0.2">
      <c r="B727" s="120" t="s">
        <v>1455</v>
      </c>
      <c r="C727" s="121" t="s">
        <v>1456</v>
      </c>
      <c r="D727" s="122">
        <v>1.28</v>
      </c>
    </row>
    <row r="728" spans="2:4" x14ac:dyDescent="0.2">
      <c r="B728" s="120" t="s">
        <v>1457</v>
      </c>
      <c r="C728" s="121" t="s">
        <v>1458</v>
      </c>
      <c r="D728" s="122">
        <v>3.32</v>
      </c>
    </row>
    <row r="729" spans="2:4" x14ac:dyDescent="0.2">
      <c r="B729" s="120" t="s">
        <v>1459</v>
      </c>
      <c r="C729" s="121" t="s">
        <v>1460</v>
      </c>
      <c r="D729" s="122">
        <v>1.6</v>
      </c>
    </row>
    <row r="730" spans="2:4" x14ac:dyDescent="0.2">
      <c r="B730" s="120" t="s">
        <v>1461</v>
      </c>
      <c r="C730" s="121" t="s">
        <v>1462</v>
      </c>
      <c r="D730" s="122">
        <v>0</v>
      </c>
    </row>
    <row r="731" spans="2:4" x14ac:dyDescent="0.2">
      <c r="B731" s="120" t="s">
        <v>1463</v>
      </c>
      <c r="C731" s="121" t="s">
        <v>1464</v>
      </c>
      <c r="D731" s="122">
        <v>1.78</v>
      </c>
    </row>
    <row r="732" spans="2:4" x14ac:dyDescent="0.2">
      <c r="B732" s="120" t="s">
        <v>1465</v>
      </c>
      <c r="C732" s="121" t="s">
        <v>1466</v>
      </c>
      <c r="D732" s="122">
        <v>1.3</v>
      </c>
    </row>
    <row r="733" spans="2:4" x14ac:dyDescent="0.2">
      <c r="B733" s="120" t="s">
        <v>1467</v>
      </c>
      <c r="C733" s="121" t="s">
        <v>1468</v>
      </c>
      <c r="D733" s="122">
        <v>1.57</v>
      </c>
    </row>
    <row r="734" spans="2:4" x14ac:dyDescent="0.2">
      <c r="B734" s="120" t="s">
        <v>1469</v>
      </c>
      <c r="C734" s="121" t="s">
        <v>1470</v>
      </c>
      <c r="D734" s="122">
        <v>4.22</v>
      </c>
    </row>
    <row r="735" spans="2:4" x14ac:dyDescent="0.2">
      <c r="B735" s="120" t="s">
        <v>1471</v>
      </c>
      <c r="C735" s="121" t="s">
        <v>1472</v>
      </c>
      <c r="D735" s="122">
        <v>0</v>
      </c>
    </row>
    <row r="736" spans="2:4" x14ac:dyDescent="0.2">
      <c r="B736" s="120" t="s">
        <v>1473</v>
      </c>
      <c r="C736" s="121" t="s">
        <v>1474</v>
      </c>
      <c r="D736" s="122">
        <v>2.86</v>
      </c>
    </row>
    <row r="737" spans="2:4" x14ac:dyDescent="0.2">
      <c r="B737" s="120" t="s">
        <v>1475</v>
      </c>
      <c r="C737" s="121" t="s">
        <v>1476</v>
      </c>
      <c r="D737" s="122">
        <v>0</v>
      </c>
    </row>
    <row r="738" spans="2:4" x14ac:dyDescent="0.2">
      <c r="B738" s="120" t="s">
        <v>4105</v>
      </c>
      <c r="C738" s="121" t="s">
        <v>4106</v>
      </c>
      <c r="D738" s="122">
        <v>0</v>
      </c>
    </row>
    <row r="739" spans="2:4" x14ac:dyDescent="0.2">
      <c r="B739" s="120" t="s">
        <v>1477</v>
      </c>
      <c r="C739" s="121" t="s">
        <v>1478</v>
      </c>
      <c r="D739" s="122">
        <v>1.05</v>
      </c>
    </row>
    <row r="740" spans="2:4" x14ac:dyDescent="0.2">
      <c r="B740" s="120" t="s">
        <v>1479</v>
      </c>
      <c r="C740" s="121" t="s">
        <v>4107</v>
      </c>
      <c r="D740" s="122">
        <v>1.43</v>
      </c>
    </row>
    <row r="741" spans="2:4" x14ac:dyDescent="0.2">
      <c r="B741" s="120" t="s">
        <v>1479</v>
      </c>
      <c r="C741" s="121" t="s">
        <v>1480</v>
      </c>
      <c r="D741" s="122">
        <v>1.43</v>
      </c>
    </row>
    <row r="742" spans="2:4" x14ac:dyDescent="0.2">
      <c r="B742" s="120" t="s">
        <v>4108</v>
      </c>
      <c r="C742" s="121" t="s">
        <v>4109</v>
      </c>
      <c r="D742" s="122">
        <v>0.08</v>
      </c>
    </row>
    <row r="743" spans="2:4" x14ac:dyDescent="0.2">
      <c r="B743" s="120" t="s">
        <v>1481</v>
      </c>
      <c r="C743" s="121" t="s">
        <v>1482</v>
      </c>
      <c r="D743" s="122">
        <v>2.3199999999999998</v>
      </c>
    </row>
    <row r="744" spans="2:4" x14ac:dyDescent="0.2">
      <c r="B744" s="120" t="s">
        <v>1483</v>
      </c>
      <c r="C744" s="121" t="s">
        <v>1484</v>
      </c>
      <c r="D744" s="122">
        <v>0.8</v>
      </c>
    </row>
    <row r="745" spans="2:4" x14ac:dyDescent="0.2">
      <c r="B745" s="120" t="s">
        <v>4110</v>
      </c>
      <c r="C745" s="121" t="s">
        <v>4111</v>
      </c>
      <c r="D745" s="122">
        <v>2.2599999999999998</v>
      </c>
    </row>
    <row r="746" spans="2:4" x14ac:dyDescent="0.2">
      <c r="B746" s="120" t="s">
        <v>4112</v>
      </c>
      <c r="C746" s="121" t="s">
        <v>4113</v>
      </c>
      <c r="D746" s="122">
        <v>0</v>
      </c>
    </row>
    <row r="747" spans="2:4" x14ac:dyDescent="0.2">
      <c r="B747" s="120" t="s">
        <v>1485</v>
      </c>
      <c r="C747" s="121" t="s">
        <v>1486</v>
      </c>
      <c r="D747" s="122">
        <v>3.04</v>
      </c>
    </row>
    <row r="748" spans="2:4" x14ac:dyDescent="0.2">
      <c r="B748" s="120" t="s">
        <v>4114</v>
      </c>
      <c r="C748" s="121" t="s">
        <v>4115</v>
      </c>
      <c r="D748" s="122">
        <v>12.9</v>
      </c>
    </row>
    <row r="749" spans="2:4" x14ac:dyDescent="0.2">
      <c r="B749" s="120" t="s">
        <v>1487</v>
      </c>
      <c r="C749" s="121" t="s">
        <v>1488</v>
      </c>
      <c r="D749" s="122">
        <v>0</v>
      </c>
    </row>
    <row r="750" spans="2:4" x14ac:dyDescent="0.2">
      <c r="B750" s="120" t="s">
        <v>4116</v>
      </c>
      <c r="C750" s="121" t="s">
        <v>4117</v>
      </c>
      <c r="D750" s="122">
        <v>1.23</v>
      </c>
    </row>
    <row r="751" spans="2:4" x14ac:dyDescent="0.2">
      <c r="B751" s="120" t="s">
        <v>1489</v>
      </c>
      <c r="C751" s="121" t="s">
        <v>1490</v>
      </c>
      <c r="D751" s="122">
        <v>5.0999999999999996</v>
      </c>
    </row>
    <row r="752" spans="2:4" x14ac:dyDescent="0.2">
      <c r="B752" s="120" t="s">
        <v>1491</v>
      </c>
      <c r="C752" s="121" t="s">
        <v>1492</v>
      </c>
      <c r="D752" s="122">
        <v>0.57999999999999996</v>
      </c>
    </row>
    <row r="753" spans="2:4" x14ac:dyDescent="0.2">
      <c r="B753" s="120" t="s">
        <v>1493</v>
      </c>
      <c r="C753" s="121" t="s">
        <v>1494</v>
      </c>
      <c r="D753" s="122">
        <v>0</v>
      </c>
    </row>
    <row r="754" spans="2:4" x14ac:dyDescent="0.2">
      <c r="B754" s="120" t="s">
        <v>1495</v>
      </c>
      <c r="C754" s="121" t="s">
        <v>1496</v>
      </c>
      <c r="D754" s="122">
        <v>0</v>
      </c>
    </row>
    <row r="755" spans="2:4" x14ac:dyDescent="0.2">
      <c r="B755" s="120" t="s">
        <v>1497</v>
      </c>
      <c r="C755" s="121" t="s">
        <v>1498</v>
      </c>
      <c r="D755" s="122">
        <v>0</v>
      </c>
    </row>
    <row r="756" spans="2:4" x14ac:dyDescent="0.2">
      <c r="B756" s="120" t="s">
        <v>1499</v>
      </c>
      <c r="C756" s="121" t="s">
        <v>1500</v>
      </c>
      <c r="D756" s="122">
        <v>3.21</v>
      </c>
    </row>
    <row r="757" spans="2:4" x14ac:dyDescent="0.2">
      <c r="B757" s="120" t="s">
        <v>1501</v>
      </c>
      <c r="C757" s="121" t="s">
        <v>1502</v>
      </c>
      <c r="D757" s="122">
        <v>0.41</v>
      </c>
    </row>
    <row r="758" spans="2:4" x14ac:dyDescent="0.2">
      <c r="B758" s="120" t="s">
        <v>1503</v>
      </c>
      <c r="C758" s="121" t="s">
        <v>1504</v>
      </c>
      <c r="D758" s="122">
        <v>3.51</v>
      </c>
    </row>
    <row r="759" spans="2:4" x14ac:dyDescent="0.2">
      <c r="B759" s="120" t="s">
        <v>1505</v>
      </c>
      <c r="C759" s="121" t="s">
        <v>1506</v>
      </c>
      <c r="D759" s="122">
        <v>1.39</v>
      </c>
    </row>
    <row r="760" spans="2:4" x14ac:dyDescent="0.2">
      <c r="B760" s="120" t="s">
        <v>1507</v>
      </c>
      <c r="C760" s="121" t="s">
        <v>1508</v>
      </c>
      <c r="D760" s="122">
        <v>6.72</v>
      </c>
    </row>
    <row r="761" spans="2:4" x14ac:dyDescent="0.2">
      <c r="B761" s="120" t="s">
        <v>4118</v>
      </c>
      <c r="C761" s="121" t="s">
        <v>4119</v>
      </c>
      <c r="D761" s="122">
        <v>1.84</v>
      </c>
    </row>
    <row r="762" spans="2:4" x14ac:dyDescent="0.2">
      <c r="B762" s="120" t="s">
        <v>1509</v>
      </c>
      <c r="C762" s="121" t="s">
        <v>4120</v>
      </c>
      <c r="D762" s="122">
        <v>0</v>
      </c>
    </row>
    <row r="763" spans="2:4" x14ac:dyDescent="0.2">
      <c r="B763" s="120" t="s">
        <v>4121</v>
      </c>
      <c r="C763" s="121" t="s">
        <v>4122</v>
      </c>
      <c r="D763" s="122">
        <v>0</v>
      </c>
    </row>
    <row r="764" spans="2:4" x14ac:dyDescent="0.2">
      <c r="B764" s="120" t="s">
        <v>1509</v>
      </c>
      <c r="C764" s="121" t="s">
        <v>1510</v>
      </c>
      <c r="D764" s="122">
        <v>0</v>
      </c>
    </row>
    <row r="765" spans="2:4" x14ac:dyDescent="0.2">
      <c r="B765" s="120" t="s">
        <v>4123</v>
      </c>
      <c r="C765" s="121" t="s">
        <v>4124</v>
      </c>
      <c r="D765" s="122">
        <v>2.1</v>
      </c>
    </row>
    <row r="766" spans="2:4" x14ac:dyDescent="0.2">
      <c r="B766" s="120" t="s">
        <v>1511</v>
      </c>
      <c r="C766" s="121" t="s">
        <v>1512</v>
      </c>
      <c r="D766" s="122">
        <v>0.87</v>
      </c>
    </row>
    <row r="767" spans="2:4" x14ac:dyDescent="0.2">
      <c r="B767" s="120" t="s">
        <v>1513</v>
      </c>
      <c r="C767" s="121" t="s">
        <v>1514</v>
      </c>
      <c r="D767" s="122">
        <v>2.65</v>
      </c>
    </row>
    <row r="768" spans="2:4" x14ac:dyDescent="0.2">
      <c r="B768" s="120" t="s">
        <v>4125</v>
      </c>
      <c r="C768" s="121" t="s">
        <v>4126</v>
      </c>
      <c r="D768" s="122">
        <v>5.03</v>
      </c>
    </row>
    <row r="769" spans="2:4" x14ac:dyDescent="0.2">
      <c r="B769" s="120" t="s">
        <v>1515</v>
      </c>
      <c r="C769" s="121" t="s">
        <v>1516</v>
      </c>
      <c r="D769" s="122">
        <v>0</v>
      </c>
    </row>
    <row r="770" spans="2:4" x14ac:dyDescent="0.2">
      <c r="B770" s="120" t="s">
        <v>4127</v>
      </c>
      <c r="C770" s="121" t="s">
        <v>4128</v>
      </c>
      <c r="D770" s="122">
        <v>0.14000000000000001</v>
      </c>
    </row>
    <row r="771" spans="2:4" x14ac:dyDescent="0.2">
      <c r="B771" s="120" t="s">
        <v>1517</v>
      </c>
      <c r="C771" s="121" t="s">
        <v>1518</v>
      </c>
      <c r="D771" s="122">
        <v>2.1800000000000002</v>
      </c>
    </row>
    <row r="772" spans="2:4" x14ac:dyDescent="0.2">
      <c r="B772" s="120" t="s">
        <v>1519</v>
      </c>
      <c r="C772" s="121" t="s">
        <v>1520</v>
      </c>
      <c r="D772" s="122">
        <v>0</v>
      </c>
    </row>
    <row r="773" spans="2:4" x14ac:dyDescent="0.2">
      <c r="B773" s="120" t="s">
        <v>1521</v>
      </c>
      <c r="C773" s="121" t="s">
        <v>1522</v>
      </c>
      <c r="D773" s="122">
        <v>0</v>
      </c>
    </row>
    <row r="774" spans="2:4" x14ac:dyDescent="0.2">
      <c r="B774" s="120" t="s">
        <v>1523</v>
      </c>
      <c r="C774" s="121" t="s">
        <v>1524</v>
      </c>
      <c r="D774" s="122">
        <v>0</v>
      </c>
    </row>
    <row r="775" spans="2:4" x14ac:dyDescent="0.2">
      <c r="B775" s="120" t="s">
        <v>1525</v>
      </c>
      <c r="C775" s="121" t="s">
        <v>12</v>
      </c>
      <c r="D775" s="122">
        <v>0.43</v>
      </c>
    </row>
    <row r="776" spans="2:4" x14ac:dyDescent="0.2">
      <c r="B776" s="120" t="s">
        <v>1526</v>
      </c>
      <c r="C776" s="121" t="s">
        <v>1527</v>
      </c>
      <c r="D776" s="122">
        <v>3.23</v>
      </c>
    </row>
    <row r="777" spans="2:4" x14ac:dyDescent="0.2">
      <c r="B777" s="120" t="s">
        <v>1528</v>
      </c>
      <c r="C777" s="121" t="s">
        <v>1529</v>
      </c>
      <c r="D777" s="122">
        <v>0</v>
      </c>
    </row>
    <row r="778" spans="2:4" x14ac:dyDescent="0.2">
      <c r="B778" s="120" t="s">
        <v>1530</v>
      </c>
      <c r="C778" s="121" t="s">
        <v>1531</v>
      </c>
      <c r="D778" s="122">
        <v>2.58</v>
      </c>
    </row>
    <row r="779" spans="2:4" x14ac:dyDescent="0.2">
      <c r="B779" s="120" t="s">
        <v>4129</v>
      </c>
      <c r="C779" s="121" t="s">
        <v>4130</v>
      </c>
      <c r="D779" s="122">
        <v>1.78</v>
      </c>
    </row>
    <row r="780" spans="2:4" x14ac:dyDescent="0.2">
      <c r="B780" s="120" t="s">
        <v>1532</v>
      </c>
      <c r="C780" s="121" t="s">
        <v>1533</v>
      </c>
      <c r="D780" s="122">
        <v>1.26</v>
      </c>
    </row>
    <row r="781" spans="2:4" x14ac:dyDescent="0.2">
      <c r="B781" s="120" t="s">
        <v>1534</v>
      </c>
      <c r="C781" s="121" t="s">
        <v>1535</v>
      </c>
      <c r="D781" s="122">
        <v>3.11</v>
      </c>
    </row>
    <row r="782" spans="2:4" x14ac:dyDescent="0.2">
      <c r="B782" s="120" t="s">
        <v>1536</v>
      </c>
      <c r="C782" s="121" t="s">
        <v>1537</v>
      </c>
      <c r="D782" s="122">
        <v>2.12</v>
      </c>
    </row>
    <row r="783" spans="2:4" x14ac:dyDescent="0.2">
      <c r="B783" s="120" t="s">
        <v>1538</v>
      </c>
      <c r="C783" s="121" t="s">
        <v>1539</v>
      </c>
      <c r="D783" s="122">
        <v>1.4</v>
      </c>
    </row>
    <row r="784" spans="2:4" x14ac:dyDescent="0.2">
      <c r="B784" s="120" t="s">
        <v>1540</v>
      </c>
      <c r="C784" s="121" t="s">
        <v>1541</v>
      </c>
      <c r="D784" s="122">
        <v>0</v>
      </c>
    </row>
    <row r="785" spans="2:4" x14ac:dyDescent="0.2">
      <c r="B785" s="120" t="s">
        <v>4131</v>
      </c>
      <c r="C785" s="121" t="s">
        <v>4132</v>
      </c>
      <c r="D785" s="122">
        <v>0.82</v>
      </c>
    </row>
    <row r="786" spans="2:4" x14ac:dyDescent="0.2">
      <c r="B786" s="120" t="s">
        <v>1542</v>
      </c>
      <c r="C786" s="121" t="s">
        <v>1543</v>
      </c>
      <c r="D786" s="122">
        <v>0</v>
      </c>
    </row>
    <row r="787" spans="2:4" x14ac:dyDescent="0.2">
      <c r="B787" s="120" t="s">
        <v>1544</v>
      </c>
      <c r="C787" s="121" t="s">
        <v>1545</v>
      </c>
      <c r="D787" s="122">
        <v>1.51</v>
      </c>
    </row>
    <row r="788" spans="2:4" x14ac:dyDescent="0.2">
      <c r="B788" s="120" t="s">
        <v>1546</v>
      </c>
      <c r="C788" s="121" t="s">
        <v>1547</v>
      </c>
      <c r="D788" s="122">
        <v>3.79</v>
      </c>
    </row>
    <row r="789" spans="2:4" x14ac:dyDescent="0.2">
      <c r="B789" s="120" t="s">
        <v>1548</v>
      </c>
      <c r="C789" s="121" t="s">
        <v>1549</v>
      </c>
      <c r="D789" s="122">
        <v>3.61</v>
      </c>
    </row>
    <row r="790" spans="2:4" x14ac:dyDescent="0.2">
      <c r="B790" s="120" t="s">
        <v>1550</v>
      </c>
      <c r="C790" s="121" t="s">
        <v>1551</v>
      </c>
      <c r="D790" s="122">
        <v>5.82</v>
      </c>
    </row>
    <row r="791" spans="2:4" x14ac:dyDescent="0.2">
      <c r="B791" s="120" t="s">
        <v>1552</v>
      </c>
      <c r="C791" s="121" t="s">
        <v>1553</v>
      </c>
      <c r="D791" s="122">
        <v>0.73</v>
      </c>
    </row>
    <row r="792" spans="2:4" x14ac:dyDescent="0.2">
      <c r="B792" s="120" t="s">
        <v>1554</v>
      </c>
      <c r="C792" s="121" t="s">
        <v>1555</v>
      </c>
      <c r="D792" s="122">
        <v>1.49</v>
      </c>
    </row>
    <row r="793" spans="2:4" x14ac:dyDescent="0.2">
      <c r="B793" s="120" t="s">
        <v>4133</v>
      </c>
      <c r="C793" s="121" t="s">
        <v>4134</v>
      </c>
      <c r="D793" s="122">
        <v>0</v>
      </c>
    </row>
    <row r="794" spans="2:4" x14ac:dyDescent="0.2">
      <c r="B794" s="120" t="s">
        <v>1556</v>
      </c>
      <c r="C794" s="121" t="s">
        <v>1557</v>
      </c>
      <c r="D794" s="122">
        <v>0</v>
      </c>
    </row>
    <row r="795" spans="2:4" x14ac:dyDescent="0.2">
      <c r="B795" s="120" t="s">
        <v>1558</v>
      </c>
      <c r="C795" s="121" t="s">
        <v>1559</v>
      </c>
      <c r="D795" s="122">
        <v>5.39</v>
      </c>
    </row>
    <row r="796" spans="2:4" x14ac:dyDescent="0.2">
      <c r="B796" s="120" t="s">
        <v>1560</v>
      </c>
      <c r="C796" s="121" t="s">
        <v>1561</v>
      </c>
      <c r="D796" s="122">
        <v>0</v>
      </c>
    </row>
    <row r="797" spans="2:4" x14ac:dyDescent="0.2">
      <c r="B797" s="120" t="s">
        <v>1562</v>
      </c>
      <c r="C797" s="121" t="s">
        <v>1563</v>
      </c>
      <c r="D797" s="122">
        <v>2.95</v>
      </c>
    </row>
    <row r="798" spans="2:4" x14ac:dyDescent="0.2">
      <c r="B798" s="120" t="s">
        <v>1564</v>
      </c>
      <c r="C798" s="121" t="s">
        <v>1565</v>
      </c>
      <c r="D798" s="122">
        <v>0</v>
      </c>
    </row>
    <row r="799" spans="2:4" x14ac:dyDescent="0.2">
      <c r="B799" s="120" t="s">
        <v>1566</v>
      </c>
      <c r="C799" s="121" t="s">
        <v>1567</v>
      </c>
      <c r="D799" s="122">
        <v>7.01</v>
      </c>
    </row>
    <row r="800" spans="2:4" x14ac:dyDescent="0.2">
      <c r="B800" s="120" t="s">
        <v>1568</v>
      </c>
      <c r="C800" s="121" t="s">
        <v>1569</v>
      </c>
      <c r="D800" s="122">
        <v>2.88</v>
      </c>
    </row>
    <row r="801" spans="2:4" x14ac:dyDescent="0.2">
      <c r="B801" s="120" t="s">
        <v>1570</v>
      </c>
      <c r="C801" s="121" t="s">
        <v>1571</v>
      </c>
      <c r="D801" s="122">
        <v>4.07</v>
      </c>
    </row>
    <row r="802" spans="2:4" x14ac:dyDescent="0.2">
      <c r="B802" s="120" t="s">
        <v>1572</v>
      </c>
      <c r="C802" s="121" t="s">
        <v>1573</v>
      </c>
      <c r="D802" s="122">
        <v>0</v>
      </c>
    </row>
    <row r="803" spans="2:4" x14ac:dyDescent="0.2">
      <c r="B803" s="120" t="s">
        <v>4135</v>
      </c>
      <c r="C803" s="121" t="s">
        <v>4136</v>
      </c>
      <c r="D803" s="122">
        <v>0.47</v>
      </c>
    </row>
    <row r="804" spans="2:4" x14ac:dyDescent="0.2">
      <c r="B804" s="120" t="s">
        <v>4137</v>
      </c>
      <c r="C804" s="121" t="s">
        <v>4138</v>
      </c>
      <c r="D804" s="122">
        <v>0</v>
      </c>
    </row>
    <row r="805" spans="2:4" x14ac:dyDescent="0.2">
      <c r="B805" s="120" t="s">
        <v>1574</v>
      </c>
      <c r="C805" s="121" t="s">
        <v>1575</v>
      </c>
      <c r="D805" s="122">
        <v>0.31</v>
      </c>
    </row>
    <row r="806" spans="2:4" x14ac:dyDescent="0.2">
      <c r="B806" s="120" t="s">
        <v>1576</v>
      </c>
      <c r="C806" s="121" t="s">
        <v>1577</v>
      </c>
      <c r="D806" s="122">
        <v>0</v>
      </c>
    </row>
    <row r="807" spans="2:4" x14ac:dyDescent="0.2">
      <c r="B807" s="120" t="s">
        <v>1578</v>
      </c>
      <c r="C807" s="121" t="s">
        <v>1579</v>
      </c>
      <c r="D807" s="122">
        <v>1.66</v>
      </c>
    </row>
    <row r="808" spans="2:4" x14ac:dyDescent="0.2">
      <c r="B808" s="120" t="s">
        <v>4139</v>
      </c>
      <c r="C808" s="121" t="s">
        <v>4140</v>
      </c>
      <c r="D808" s="122">
        <v>0</v>
      </c>
    </row>
    <row r="809" spans="2:4" x14ac:dyDescent="0.2">
      <c r="B809" s="120" t="s">
        <v>1580</v>
      </c>
      <c r="C809" s="121" t="s">
        <v>1581</v>
      </c>
      <c r="D809" s="122">
        <v>0.87</v>
      </c>
    </row>
    <row r="810" spans="2:4" x14ac:dyDescent="0.2">
      <c r="B810" s="120" t="s">
        <v>1582</v>
      </c>
      <c r="C810" s="121" t="s">
        <v>4141</v>
      </c>
      <c r="D810" s="122">
        <v>0</v>
      </c>
    </row>
    <row r="811" spans="2:4" x14ac:dyDescent="0.2">
      <c r="B811" s="120" t="s">
        <v>1582</v>
      </c>
      <c r="C811" s="121" t="s">
        <v>1583</v>
      </c>
      <c r="D811" s="122">
        <v>0</v>
      </c>
    </row>
    <row r="812" spans="2:4" x14ac:dyDescent="0.2">
      <c r="B812" s="120" t="s">
        <v>1584</v>
      </c>
      <c r="C812" s="121" t="s">
        <v>13</v>
      </c>
      <c r="D812" s="122">
        <v>0</v>
      </c>
    </row>
    <row r="813" spans="2:4" x14ac:dyDescent="0.2">
      <c r="B813" s="120" t="s">
        <v>1585</v>
      </c>
      <c r="C813" s="121" t="s">
        <v>1586</v>
      </c>
      <c r="D813" s="122">
        <v>3.13</v>
      </c>
    </row>
    <row r="814" spans="2:4" x14ac:dyDescent="0.2">
      <c r="B814" s="120" t="s">
        <v>4142</v>
      </c>
      <c r="C814" s="121" t="s">
        <v>4143</v>
      </c>
      <c r="D814" s="122">
        <v>1.55</v>
      </c>
    </row>
    <row r="815" spans="2:4" x14ac:dyDescent="0.2">
      <c r="B815" s="120" t="s">
        <v>1587</v>
      </c>
      <c r="C815" s="121" t="s">
        <v>1588</v>
      </c>
      <c r="D815" s="122">
        <v>2.1</v>
      </c>
    </row>
    <row r="816" spans="2:4" x14ac:dyDescent="0.2">
      <c r="B816" s="120" t="s">
        <v>1589</v>
      </c>
      <c r="C816" s="121" t="s">
        <v>1590</v>
      </c>
      <c r="D816" s="122">
        <v>0.02</v>
      </c>
    </row>
    <row r="817" spans="2:4" x14ac:dyDescent="0.2">
      <c r="B817" s="120" t="s">
        <v>4144</v>
      </c>
      <c r="C817" s="121" t="s">
        <v>4145</v>
      </c>
      <c r="D817" s="122">
        <v>0.72</v>
      </c>
    </row>
    <row r="818" spans="2:4" x14ac:dyDescent="0.2">
      <c r="B818" s="120" t="s">
        <v>1591</v>
      </c>
      <c r="C818" s="121" t="s">
        <v>1592</v>
      </c>
      <c r="D818" s="122">
        <v>5.64</v>
      </c>
    </row>
    <row r="819" spans="2:4" x14ac:dyDescent="0.2">
      <c r="B819" s="120" t="s">
        <v>1593</v>
      </c>
      <c r="C819" s="121" t="s">
        <v>1594</v>
      </c>
      <c r="D819" s="122">
        <v>1.6</v>
      </c>
    </row>
    <row r="820" spans="2:4" x14ac:dyDescent="0.2">
      <c r="B820" s="120" t="s">
        <v>1595</v>
      </c>
      <c r="C820" s="121" t="s">
        <v>1596</v>
      </c>
      <c r="D820" s="122">
        <v>1.28</v>
      </c>
    </row>
    <row r="821" spans="2:4" x14ac:dyDescent="0.2">
      <c r="B821" s="120" t="s">
        <v>1597</v>
      </c>
      <c r="C821" s="121" t="s">
        <v>1598</v>
      </c>
      <c r="D821" s="122">
        <v>2.68</v>
      </c>
    </row>
    <row r="822" spans="2:4" x14ac:dyDescent="0.2">
      <c r="B822" s="120" t="s">
        <v>1599</v>
      </c>
      <c r="C822" s="121" t="s">
        <v>1600</v>
      </c>
      <c r="D822" s="122">
        <v>0</v>
      </c>
    </row>
    <row r="823" spans="2:4" x14ac:dyDescent="0.2">
      <c r="B823" s="120" t="s">
        <v>1601</v>
      </c>
      <c r="C823" s="121" t="s">
        <v>1602</v>
      </c>
      <c r="D823" s="122">
        <v>2.34</v>
      </c>
    </row>
    <row r="824" spans="2:4" x14ac:dyDescent="0.2">
      <c r="B824" s="120" t="s">
        <v>1603</v>
      </c>
      <c r="C824" s="121" t="s">
        <v>1604</v>
      </c>
      <c r="D824" s="122">
        <v>4.3899999999999997</v>
      </c>
    </row>
    <row r="825" spans="2:4" x14ac:dyDescent="0.2">
      <c r="B825" s="120" t="s">
        <v>4146</v>
      </c>
      <c r="C825" s="121" t="s">
        <v>4147</v>
      </c>
      <c r="D825" s="122">
        <v>0</v>
      </c>
    </row>
    <row r="826" spans="2:4" x14ac:dyDescent="0.2">
      <c r="B826" s="120" t="s">
        <v>1605</v>
      </c>
      <c r="C826" s="121" t="s">
        <v>1606</v>
      </c>
      <c r="D826" s="122">
        <v>4.63</v>
      </c>
    </row>
    <row r="827" spans="2:4" x14ac:dyDescent="0.2">
      <c r="B827" s="120" t="s">
        <v>4148</v>
      </c>
      <c r="C827" s="121" t="s">
        <v>4149</v>
      </c>
      <c r="D827" s="122">
        <v>0</v>
      </c>
    </row>
    <row r="828" spans="2:4" x14ac:dyDescent="0.2">
      <c r="B828" s="120" t="s">
        <v>1607</v>
      </c>
      <c r="C828" s="121" t="s">
        <v>1608</v>
      </c>
      <c r="D828" s="122">
        <v>0</v>
      </c>
    </row>
    <row r="829" spans="2:4" x14ac:dyDescent="0.2">
      <c r="B829" s="120" t="s">
        <v>1609</v>
      </c>
      <c r="C829" s="121" t="s">
        <v>1610</v>
      </c>
      <c r="D829" s="122">
        <v>0</v>
      </c>
    </row>
    <row r="830" spans="2:4" x14ac:dyDescent="0.2">
      <c r="B830" s="120" t="s">
        <v>1611</v>
      </c>
      <c r="C830" s="121" t="s">
        <v>1612</v>
      </c>
      <c r="D830" s="122">
        <v>0</v>
      </c>
    </row>
    <row r="831" spans="2:4" x14ac:dyDescent="0.2">
      <c r="B831" s="120" t="s">
        <v>1613</v>
      </c>
      <c r="C831" s="121" t="s">
        <v>1614</v>
      </c>
      <c r="D831" s="122">
        <v>1.97</v>
      </c>
    </row>
    <row r="832" spans="2:4" x14ac:dyDescent="0.2">
      <c r="B832" s="120" t="s">
        <v>4150</v>
      </c>
      <c r="C832" s="121" t="s">
        <v>4151</v>
      </c>
      <c r="D832" s="122">
        <v>3.18</v>
      </c>
    </row>
    <row r="833" spans="2:4" x14ac:dyDescent="0.2">
      <c r="B833" s="120" t="s">
        <v>1615</v>
      </c>
      <c r="C833" s="121" t="s">
        <v>1616</v>
      </c>
      <c r="D833" s="122">
        <v>1.01</v>
      </c>
    </row>
    <row r="834" spans="2:4" x14ac:dyDescent="0.2">
      <c r="B834" s="120" t="s">
        <v>1617</v>
      </c>
      <c r="C834" s="121" t="s">
        <v>1618</v>
      </c>
      <c r="D834" s="122">
        <v>0</v>
      </c>
    </row>
    <row r="835" spans="2:4" x14ac:dyDescent="0.2">
      <c r="B835" s="120" t="s">
        <v>1619</v>
      </c>
      <c r="C835" s="121" t="s">
        <v>1620</v>
      </c>
      <c r="D835" s="122">
        <v>3.52</v>
      </c>
    </row>
    <row r="836" spans="2:4" x14ac:dyDescent="0.2">
      <c r="B836" s="120" t="s">
        <v>1621</v>
      </c>
      <c r="C836" s="121" t="s">
        <v>1622</v>
      </c>
      <c r="D836" s="122">
        <v>2.31</v>
      </c>
    </row>
    <row r="837" spans="2:4" x14ac:dyDescent="0.2">
      <c r="B837" s="120" t="s">
        <v>4152</v>
      </c>
      <c r="C837" s="121" t="s">
        <v>4153</v>
      </c>
      <c r="D837" s="122">
        <v>0</v>
      </c>
    </row>
    <row r="838" spans="2:4" x14ac:dyDescent="0.2">
      <c r="B838" s="120" t="s">
        <v>1623</v>
      </c>
      <c r="C838" s="121" t="s">
        <v>1624</v>
      </c>
      <c r="D838" s="122">
        <v>4.17</v>
      </c>
    </row>
    <row r="839" spans="2:4" x14ac:dyDescent="0.2">
      <c r="B839" s="120" t="s">
        <v>1625</v>
      </c>
      <c r="C839" s="121" t="s">
        <v>1626</v>
      </c>
      <c r="D839" s="122">
        <v>4.1900000000000004</v>
      </c>
    </row>
    <row r="840" spans="2:4" x14ac:dyDescent="0.2">
      <c r="B840" s="120" t="s">
        <v>1627</v>
      </c>
      <c r="C840" s="121" t="s">
        <v>1628</v>
      </c>
      <c r="D840" s="122">
        <v>1.29</v>
      </c>
    </row>
    <row r="841" spans="2:4" x14ac:dyDescent="0.2">
      <c r="B841" s="120" t="s">
        <v>1629</v>
      </c>
      <c r="C841" s="121" t="s">
        <v>1630</v>
      </c>
      <c r="D841" s="122">
        <v>1.33</v>
      </c>
    </row>
    <row r="842" spans="2:4" x14ac:dyDescent="0.2">
      <c r="B842" s="120" t="s">
        <v>4154</v>
      </c>
      <c r="C842" s="121" t="s">
        <v>4155</v>
      </c>
      <c r="D842" s="122">
        <v>7.09</v>
      </c>
    </row>
    <row r="843" spans="2:4" x14ac:dyDescent="0.2">
      <c r="B843" s="120" t="s">
        <v>1631</v>
      </c>
      <c r="C843" s="121" t="s">
        <v>1632</v>
      </c>
      <c r="D843" s="122">
        <v>4.2300000000000004</v>
      </c>
    </row>
    <row r="844" spans="2:4" x14ac:dyDescent="0.2">
      <c r="B844" s="120" t="s">
        <v>1633</v>
      </c>
      <c r="C844" s="121" t="s">
        <v>1634</v>
      </c>
      <c r="D844" s="122">
        <v>2.42</v>
      </c>
    </row>
    <row r="845" spans="2:4" x14ac:dyDescent="0.2">
      <c r="B845" s="120" t="s">
        <v>1635</v>
      </c>
      <c r="C845" s="121" t="s">
        <v>1636</v>
      </c>
      <c r="D845" s="122">
        <v>0.73</v>
      </c>
    </row>
    <row r="846" spans="2:4" x14ac:dyDescent="0.2">
      <c r="B846" s="120" t="s">
        <v>4156</v>
      </c>
      <c r="C846" s="121" t="s">
        <v>4157</v>
      </c>
      <c r="D846" s="122">
        <v>2.09</v>
      </c>
    </row>
    <row r="847" spans="2:4" x14ac:dyDescent="0.2">
      <c r="B847" s="120" t="s">
        <v>1637</v>
      </c>
      <c r="C847" s="121" t="s">
        <v>1638</v>
      </c>
      <c r="D847" s="122">
        <v>0</v>
      </c>
    </row>
    <row r="848" spans="2:4" x14ac:dyDescent="0.2">
      <c r="B848" s="120" t="s">
        <v>1639</v>
      </c>
      <c r="C848" s="121" t="s">
        <v>1640</v>
      </c>
      <c r="D848" s="122">
        <v>2.86</v>
      </c>
    </row>
    <row r="849" spans="2:4" x14ac:dyDescent="0.2">
      <c r="B849" s="120" t="s">
        <v>1641</v>
      </c>
      <c r="C849" s="121" t="s">
        <v>1642</v>
      </c>
      <c r="D849" s="122">
        <v>4.04</v>
      </c>
    </row>
    <row r="850" spans="2:4" x14ac:dyDescent="0.2">
      <c r="B850" s="120" t="s">
        <v>1643</v>
      </c>
      <c r="C850" s="121" t="s">
        <v>1644</v>
      </c>
      <c r="D850" s="122">
        <v>0.11</v>
      </c>
    </row>
    <row r="851" spans="2:4" x14ac:dyDescent="0.2">
      <c r="B851" s="120" t="s">
        <v>1643</v>
      </c>
      <c r="C851" s="121" t="s">
        <v>4158</v>
      </c>
      <c r="D851" s="122">
        <v>7.0000000000000007E-2</v>
      </c>
    </row>
    <row r="852" spans="2:4" x14ac:dyDescent="0.2">
      <c r="B852" s="120" t="s">
        <v>1645</v>
      </c>
      <c r="C852" s="121" t="s">
        <v>1646</v>
      </c>
      <c r="D852" s="122">
        <v>1.07</v>
      </c>
    </row>
    <row r="853" spans="2:4" x14ac:dyDescent="0.2">
      <c r="B853" s="120" t="s">
        <v>1647</v>
      </c>
      <c r="C853" s="121" t="s">
        <v>1648</v>
      </c>
      <c r="D853" s="122">
        <v>0</v>
      </c>
    </row>
    <row r="854" spans="2:4" x14ac:dyDescent="0.2">
      <c r="B854" s="120" t="s">
        <v>1649</v>
      </c>
      <c r="C854" s="121" t="s">
        <v>1650</v>
      </c>
      <c r="D854" s="122">
        <v>1.54</v>
      </c>
    </row>
    <row r="855" spans="2:4" x14ac:dyDescent="0.2">
      <c r="B855" s="120" t="s">
        <v>1651</v>
      </c>
      <c r="C855" s="121" t="s">
        <v>1652</v>
      </c>
      <c r="D855" s="122">
        <v>1.52</v>
      </c>
    </row>
    <row r="856" spans="2:4" x14ac:dyDescent="0.2">
      <c r="B856" s="120" t="s">
        <v>1653</v>
      </c>
      <c r="C856" s="121" t="s">
        <v>1654</v>
      </c>
      <c r="D856" s="122">
        <v>2.5099999999999998</v>
      </c>
    </row>
    <row r="857" spans="2:4" x14ac:dyDescent="0.2">
      <c r="B857" s="120" t="s">
        <v>4159</v>
      </c>
      <c r="C857" s="121" t="s">
        <v>4160</v>
      </c>
      <c r="D857" s="122">
        <v>2.34</v>
      </c>
    </row>
    <row r="858" spans="2:4" x14ac:dyDescent="0.2">
      <c r="B858" s="120" t="s">
        <v>1655</v>
      </c>
      <c r="C858" s="121" t="s">
        <v>1656</v>
      </c>
      <c r="D858" s="122">
        <v>0</v>
      </c>
    </row>
    <row r="859" spans="2:4" x14ac:dyDescent="0.2">
      <c r="B859" s="120" t="s">
        <v>1657</v>
      </c>
      <c r="C859" s="121" t="s">
        <v>1658</v>
      </c>
      <c r="D859" s="122">
        <v>1.99</v>
      </c>
    </row>
    <row r="860" spans="2:4" x14ac:dyDescent="0.2">
      <c r="B860" s="120" t="s">
        <v>1659</v>
      </c>
      <c r="C860" s="121" t="s">
        <v>1660</v>
      </c>
      <c r="D860" s="122">
        <v>1.6</v>
      </c>
    </row>
    <row r="861" spans="2:4" x14ac:dyDescent="0.2">
      <c r="B861" s="120" t="s">
        <v>1661</v>
      </c>
      <c r="C861" s="121" t="s">
        <v>1662</v>
      </c>
      <c r="D861" s="122">
        <v>2.61</v>
      </c>
    </row>
    <row r="862" spans="2:4" x14ac:dyDescent="0.2">
      <c r="B862" s="120" t="s">
        <v>1663</v>
      </c>
      <c r="C862" s="121" t="s">
        <v>1664</v>
      </c>
      <c r="D862" s="122">
        <v>4.21</v>
      </c>
    </row>
    <row r="863" spans="2:4" x14ac:dyDescent="0.2">
      <c r="B863" s="120" t="s">
        <v>1665</v>
      </c>
      <c r="C863" s="121" t="s">
        <v>1666</v>
      </c>
      <c r="D863" s="122">
        <v>0</v>
      </c>
    </row>
    <row r="864" spans="2:4" x14ac:dyDescent="0.2">
      <c r="B864" s="120" t="s">
        <v>1667</v>
      </c>
      <c r="C864" s="121" t="s">
        <v>1668</v>
      </c>
      <c r="D864" s="122">
        <v>2.16</v>
      </c>
    </row>
    <row r="865" spans="2:4" x14ac:dyDescent="0.2">
      <c r="B865" s="120" t="s">
        <v>1669</v>
      </c>
      <c r="C865" s="121" t="s">
        <v>1670</v>
      </c>
      <c r="D865" s="122">
        <v>0</v>
      </c>
    </row>
    <row r="866" spans="2:4" x14ac:dyDescent="0.2">
      <c r="B866" s="120" t="s">
        <v>1671</v>
      </c>
      <c r="C866" s="121" t="s">
        <v>1672</v>
      </c>
      <c r="D866" s="122">
        <v>2.71</v>
      </c>
    </row>
    <row r="867" spans="2:4" x14ac:dyDescent="0.2">
      <c r="B867" s="120" t="s">
        <v>1673</v>
      </c>
      <c r="C867" s="121" t="s">
        <v>1674</v>
      </c>
      <c r="D867" s="122">
        <v>0</v>
      </c>
    </row>
    <row r="868" spans="2:4" x14ac:dyDescent="0.2">
      <c r="B868" s="120" t="s">
        <v>1675</v>
      </c>
      <c r="C868" s="121" t="s">
        <v>1676</v>
      </c>
      <c r="D868" s="122">
        <v>1.8</v>
      </c>
    </row>
    <row r="869" spans="2:4" x14ac:dyDescent="0.2">
      <c r="B869" s="120" t="s">
        <v>4161</v>
      </c>
      <c r="C869" s="121" t="s">
        <v>4162</v>
      </c>
      <c r="D869" s="122">
        <v>1.71</v>
      </c>
    </row>
    <row r="870" spans="2:4" x14ac:dyDescent="0.2">
      <c r="B870" s="120" t="s">
        <v>1677</v>
      </c>
      <c r="C870" s="121" t="s">
        <v>1678</v>
      </c>
      <c r="D870" s="122">
        <v>0.63</v>
      </c>
    </row>
    <row r="871" spans="2:4" x14ac:dyDescent="0.2">
      <c r="B871" s="120" t="s">
        <v>4163</v>
      </c>
      <c r="C871" s="121" t="s">
        <v>4164</v>
      </c>
      <c r="D871" s="122">
        <v>2.96</v>
      </c>
    </row>
    <row r="872" spans="2:4" x14ac:dyDescent="0.2">
      <c r="B872" s="120" t="s">
        <v>1679</v>
      </c>
      <c r="C872" s="121" t="s">
        <v>1680</v>
      </c>
      <c r="D872" s="122">
        <v>3.62</v>
      </c>
    </row>
    <row r="873" spans="2:4" x14ac:dyDescent="0.2">
      <c r="B873" s="120" t="s">
        <v>1681</v>
      </c>
      <c r="C873" s="121" t="s">
        <v>1682</v>
      </c>
      <c r="D873" s="122">
        <v>3.14</v>
      </c>
    </row>
    <row r="874" spans="2:4" x14ac:dyDescent="0.2">
      <c r="B874" s="120" t="s">
        <v>1683</v>
      </c>
      <c r="C874" s="121" t="s">
        <v>1684</v>
      </c>
      <c r="D874" s="122">
        <v>0</v>
      </c>
    </row>
    <row r="875" spans="2:4" x14ac:dyDescent="0.2">
      <c r="B875" s="120" t="s">
        <v>4165</v>
      </c>
      <c r="C875" s="121" t="s">
        <v>4166</v>
      </c>
      <c r="D875" s="122">
        <v>1.87</v>
      </c>
    </row>
    <row r="876" spans="2:4" x14ac:dyDescent="0.2">
      <c r="B876" s="120" t="s">
        <v>4167</v>
      </c>
      <c r="C876" s="121" t="s">
        <v>4168</v>
      </c>
      <c r="D876" s="122">
        <v>1.7</v>
      </c>
    </row>
    <row r="877" spans="2:4" x14ac:dyDescent="0.2">
      <c r="B877" s="120" t="s">
        <v>4169</v>
      </c>
      <c r="C877" s="121" t="s">
        <v>4170</v>
      </c>
      <c r="D877" s="122">
        <v>1.74</v>
      </c>
    </row>
    <row r="878" spans="2:4" x14ac:dyDescent="0.2">
      <c r="B878" s="120" t="s">
        <v>1685</v>
      </c>
      <c r="C878" s="121" t="s">
        <v>1686</v>
      </c>
      <c r="D878" s="122">
        <v>2.37</v>
      </c>
    </row>
    <row r="879" spans="2:4" x14ac:dyDescent="0.2">
      <c r="B879" s="120" t="s">
        <v>1687</v>
      </c>
      <c r="C879" s="121" t="s">
        <v>1688</v>
      </c>
      <c r="D879" s="122">
        <v>0.8</v>
      </c>
    </row>
    <row r="880" spans="2:4" x14ac:dyDescent="0.2">
      <c r="B880" s="120" t="s">
        <v>1689</v>
      </c>
      <c r="C880" s="121" t="s">
        <v>1690</v>
      </c>
      <c r="D880" s="122">
        <v>4.25</v>
      </c>
    </row>
    <row r="881" spans="2:4" x14ac:dyDescent="0.2">
      <c r="B881" s="120" t="s">
        <v>4171</v>
      </c>
      <c r="C881" s="121" t="s">
        <v>4172</v>
      </c>
      <c r="D881" s="122">
        <v>1.25</v>
      </c>
    </row>
    <row r="882" spans="2:4" x14ac:dyDescent="0.2">
      <c r="B882" s="120" t="s">
        <v>1691</v>
      </c>
      <c r="C882" s="121" t="s">
        <v>1692</v>
      </c>
      <c r="D882" s="122">
        <v>0</v>
      </c>
    </row>
    <row r="883" spans="2:4" x14ac:dyDescent="0.2">
      <c r="B883" s="120" t="s">
        <v>1693</v>
      </c>
      <c r="C883" s="121" t="s">
        <v>1694</v>
      </c>
      <c r="D883" s="122">
        <v>2.74</v>
      </c>
    </row>
    <row r="884" spans="2:4" x14ac:dyDescent="0.2">
      <c r="B884" s="120" t="s">
        <v>1695</v>
      </c>
      <c r="C884" s="121" t="s">
        <v>1696</v>
      </c>
      <c r="D884" s="122">
        <v>1.95</v>
      </c>
    </row>
    <row r="885" spans="2:4" x14ac:dyDescent="0.2">
      <c r="B885" s="120" t="s">
        <v>1697</v>
      </c>
      <c r="C885" s="121" t="s">
        <v>1698</v>
      </c>
      <c r="D885" s="122">
        <v>6.57</v>
      </c>
    </row>
    <row r="886" spans="2:4" x14ac:dyDescent="0.2">
      <c r="B886" s="120" t="s">
        <v>1699</v>
      </c>
      <c r="C886" s="121" t="s">
        <v>1700</v>
      </c>
      <c r="D886" s="122">
        <v>3.12</v>
      </c>
    </row>
    <row r="887" spans="2:4" x14ac:dyDescent="0.2">
      <c r="B887" s="120" t="s">
        <v>1701</v>
      </c>
      <c r="C887" s="121" t="s">
        <v>1702</v>
      </c>
      <c r="D887" s="122">
        <v>2.95</v>
      </c>
    </row>
    <row r="888" spans="2:4" x14ac:dyDescent="0.2">
      <c r="B888" s="120" t="s">
        <v>1703</v>
      </c>
      <c r="C888" s="121" t="s">
        <v>1704</v>
      </c>
      <c r="D888" s="122">
        <v>3.47</v>
      </c>
    </row>
    <row r="889" spans="2:4" x14ac:dyDescent="0.2">
      <c r="B889" s="120" t="s">
        <v>1705</v>
      </c>
      <c r="C889" s="121" t="s">
        <v>1706</v>
      </c>
      <c r="D889" s="122">
        <v>8.6300000000000008</v>
      </c>
    </row>
    <row r="890" spans="2:4" x14ac:dyDescent="0.2">
      <c r="B890" s="120" t="s">
        <v>1707</v>
      </c>
      <c r="C890" s="121" t="s">
        <v>1708</v>
      </c>
      <c r="D890" s="122">
        <v>0</v>
      </c>
    </row>
    <row r="891" spans="2:4" x14ac:dyDescent="0.2">
      <c r="B891" s="120" t="s">
        <v>4173</v>
      </c>
      <c r="C891" s="121" t="s">
        <v>4174</v>
      </c>
      <c r="D891" s="122">
        <v>3.62</v>
      </c>
    </row>
    <row r="892" spans="2:4" x14ac:dyDescent="0.2">
      <c r="B892" s="120" t="s">
        <v>1709</v>
      </c>
      <c r="C892" s="121" t="s">
        <v>1710</v>
      </c>
      <c r="D892" s="122">
        <v>4.4400000000000004</v>
      </c>
    </row>
    <row r="893" spans="2:4" x14ac:dyDescent="0.2">
      <c r="B893" s="120" t="s">
        <v>1711</v>
      </c>
      <c r="C893" s="121" t="s">
        <v>1712</v>
      </c>
      <c r="D893" s="122">
        <v>0.8</v>
      </c>
    </row>
    <row r="894" spans="2:4" x14ac:dyDescent="0.2">
      <c r="B894" s="120" t="s">
        <v>4175</v>
      </c>
      <c r="C894" s="121" t="s">
        <v>4176</v>
      </c>
      <c r="D894" s="122">
        <v>1.68</v>
      </c>
    </row>
    <row r="895" spans="2:4" x14ac:dyDescent="0.2">
      <c r="B895" s="120" t="s">
        <v>1713</v>
      </c>
      <c r="C895" s="121" t="s">
        <v>1714</v>
      </c>
      <c r="D895" s="122">
        <v>0.96</v>
      </c>
    </row>
    <row r="896" spans="2:4" x14ac:dyDescent="0.2">
      <c r="B896" s="120" t="s">
        <v>1715</v>
      </c>
      <c r="C896" s="121" t="s">
        <v>1716</v>
      </c>
      <c r="D896" s="122">
        <v>1.96</v>
      </c>
    </row>
    <row r="897" spans="2:4" x14ac:dyDescent="0.2">
      <c r="B897" s="120" t="s">
        <v>1717</v>
      </c>
      <c r="C897" s="121" t="s">
        <v>1718</v>
      </c>
      <c r="D897" s="122">
        <v>5.24</v>
      </c>
    </row>
    <row r="898" spans="2:4" x14ac:dyDescent="0.2">
      <c r="B898" s="120" t="s">
        <v>1719</v>
      </c>
      <c r="C898" s="121" t="s">
        <v>1720</v>
      </c>
      <c r="D898" s="122">
        <v>0</v>
      </c>
    </row>
    <row r="899" spans="2:4" x14ac:dyDescent="0.2">
      <c r="B899" s="120" t="s">
        <v>1721</v>
      </c>
      <c r="C899" s="121" t="s">
        <v>1722</v>
      </c>
      <c r="D899" s="122">
        <v>2.88</v>
      </c>
    </row>
    <row r="900" spans="2:4" x14ac:dyDescent="0.2">
      <c r="B900" s="120" t="s">
        <v>1723</v>
      </c>
      <c r="C900" s="121" t="s">
        <v>1724</v>
      </c>
      <c r="D900" s="122">
        <v>4.6399999999999997</v>
      </c>
    </row>
    <row r="901" spans="2:4" x14ac:dyDescent="0.2">
      <c r="B901" s="120" t="s">
        <v>1725</v>
      </c>
      <c r="C901" s="121" t="s">
        <v>1726</v>
      </c>
      <c r="D901" s="122">
        <v>2.0099999999999998</v>
      </c>
    </row>
    <row r="902" spans="2:4" x14ac:dyDescent="0.2">
      <c r="B902" s="120" t="s">
        <v>1727</v>
      </c>
      <c r="C902" s="121" t="s">
        <v>1728</v>
      </c>
      <c r="D902" s="122">
        <v>4.34</v>
      </c>
    </row>
    <row r="903" spans="2:4" x14ac:dyDescent="0.2">
      <c r="B903" s="120" t="s">
        <v>4177</v>
      </c>
      <c r="C903" s="121" t="s">
        <v>4178</v>
      </c>
      <c r="D903" s="122">
        <v>3.82</v>
      </c>
    </row>
    <row r="904" spans="2:4" x14ac:dyDescent="0.2">
      <c r="B904" s="120" t="s">
        <v>1729</v>
      </c>
      <c r="C904" s="121" t="s">
        <v>1730</v>
      </c>
      <c r="D904" s="122">
        <v>2.06</v>
      </c>
    </row>
    <row r="905" spans="2:4" x14ac:dyDescent="0.2">
      <c r="B905" s="120" t="s">
        <v>1731</v>
      </c>
      <c r="C905" s="121" t="s">
        <v>1732</v>
      </c>
      <c r="D905" s="122">
        <v>0.92</v>
      </c>
    </row>
    <row r="906" spans="2:4" x14ac:dyDescent="0.2">
      <c r="B906" s="120" t="s">
        <v>1733</v>
      </c>
      <c r="C906" s="121" t="s">
        <v>1734</v>
      </c>
      <c r="D906" s="122">
        <v>2.56</v>
      </c>
    </row>
    <row r="907" spans="2:4" x14ac:dyDescent="0.2">
      <c r="B907" s="120" t="s">
        <v>1735</v>
      </c>
      <c r="C907" s="121" t="s">
        <v>1736</v>
      </c>
      <c r="D907" s="122">
        <v>0</v>
      </c>
    </row>
    <row r="908" spans="2:4" x14ac:dyDescent="0.2">
      <c r="B908" s="120" t="s">
        <v>1737</v>
      </c>
      <c r="C908" s="121" t="s">
        <v>1738</v>
      </c>
      <c r="D908" s="122">
        <v>0.79</v>
      </c>
    </row>
    <row r="909" spans="2:4" x14ac:dyDescent="0.2">
      <c r="B909" s="120" t="s">
        <v>1739</v>
      </c>
      <c r="C909" s="121" t="s">
        <v>1740</v>
      </c>
      <c r="D909" s="122">
        <v>2.89</v>
      </c>
    </row>
    <row r="910" spans="2:4" x14ac:dyDescent="0.2">
      <c r="B910" s="120" t="s">
        <v>4179</v>
      </c>
      <c r="C910" s="121" t="s">
        <v>4180</v>
      </c>
      <c r="D910" s="122">
        <v>0</v>
      </c>
    </row>
    <row r="911" spans="2:4" x14ac:dyDescent="0.2">
      <c r="B911" s="120" t="s">
        <v>1741</v>
      </c>
      <c r="C911" s="121" t="s">
        <v>1742</v>
      </c>
      <c r="D911" s="122">
        <v>2.58</v>
      </c>
    </row>
    <row r="912" spans="2:4" x14ac:dyDescent="0.2">
      <c r="B912" s="120" t="s">
        <v>4181</v>
      </c>
      <c r="C912" s="121" t="s">
        <v>4182</v>
      </c>
      <c r="D912" s="122">
        <v>2.81</v>
      </c>
    </row>
    <row r="913" spans="2:4" x14ac:dyDescent="0.2">
      <c r="B913" s="120" t="s">
        <v>1743</v>
      </c>
      <c r="C913" s="121" t="s">
        <v>1744</v>
      </c>
      <c r="D913" s="122">
        <v>2.63</v>
      </c>
    </row>
    <row r="914" spans="2:4" x14ac:dyDescent="0.2">
      <c r="B914" s="120" t="s">
        <v>1745</v>
      </c>
      <c r="C914" s="121" t="s">
        <v>1746</v>
      </c>
      <c r="D914" s="122">
        <v>0.82</v>
      </c>
    </row>
    <row r="915" spans="2:4" x14ac:dyDescent="0.2">
      <c r="B915" s="120" t="s">
        <v>4183</v>
      </c>
      <c r="C915" s="121" t="s">
        <v>4184</v>
      </c>
      <c r="D915" s="122">
        <v>5.25</v>
      </c>
    </row>
    <row r="916" spans="2:4" x14ac:dyDescent="0.2">
      <c r="B916" s="120" t="s">
        <v>4185</v>
      </c>
      <c r="C916" s="121" t="s">
        <v>4186</v>
      </c>
      <c r="D916" s="122">
        <v>0</v>
      </c>
    </row>
    <row r="917" spans="2:4" x14ac:dyDescent="0.2">
      <c r="B917" s="120" t="s">
        <v>4187</v>
      </c>
      <c r="C917" s="121" t="s">
        <v>4188</v>
      </c>
      <c r="D917" s="122">
        <v>2.14</v>
      </c>
    </row>
    <row r="918" spans="2:4" x14ac:dyDescent="0.2">
      <c r="B918" s="120" t="s">
        <v>1747</v>
      </c>
      <c r="C918" s="121" t="s">
        <v>1748</v>
      </c>
      <c r="D918" s="122">
        <v>0</v>
      </c>
    </row>
    <row r="919" spans="2:4" x14ac:dyDescent="0.2">
      <c r="B919" s="120" t="s">
        <v>1749</v>
      </c>
      <c r="C919" s="121" t="s">
        <v>1750</v>
      </c>
      <c r="D919" s="122">
        <v>0</v>
      </c>
    </row>
    <row r="920" spans="2:4" x14ac:dyDescent="0.2">
      <c r="B920" s="120" t="s">
        <v>4189</v>
      </c>
      <c r="C920" s="121" t="s">
        <v>4190</v>
      </c>
      <c r="D920" s="122">
        <v>0</v>
      </c>
    </row>
    <row r="921" spans="2:4" x14ac:dyDescent="0.2">
      <c r="B921" s="120" t="s">
        <v>1751</v>
      </c>
      <c r="C921" s="121" t="s">
        <v>1752</v>
      </c>
      <c r="D921" s="122">
        <v>0</v>
      </c>
    </row>
    <row r="922" spans="2:4" x14ac:dyDescent="0.2">
      <c r="B922" s="120" t="s">
        <v>1753</v>
      </c>
      <c r="C922" s="121" t="s">
        <v>1754</v>
      </c>
      <c r="D922" s="122">
        <v>0</v>
      </c>
    </row>
    <row r="923" spans="2:4" x14ac:dyDescent="0.2">
      <c r="B923" s="120" t="s">
        <v>4191</v>
      </c>
      <c r="C923" s="121" t="s">
        <v>4192</v>
      </c>
      <c r="D923" s="122">
        <v>0</v>
      </c>
    </row>
    <row r="924" spans="2:4" x14ac:dyDescent="0.2">
      <c r="B924" s="120" t="s">
        <v>4193</v>
      </c>
      <c r="C924" s="121" t="s">
        <v>4194</v>
      </c>
      <c r="D924" s="122">
        <v>0.11</v>
      </c>
    </row>
    <row r="925" spans="2:4" x14ac:dyDescent="0.2">
      <c r="B925" s="120" t="s">
        <v>4195</v>
      </c>
      <c r="C925" s="121" t="s">
        <v>4196</v>
      </c>
      <c r="D925" s="122">
        <v>3.38</v>
      </c>
    </row>
    <row r="926" spans="2:4" x14ac:dyDescent="0.2">
      <c r="B926" s="120" t="s">
        <v>1755</v>
      </c>
      <c r="C926" s="121" t="s">
        <v>1756</v>
      </c>
      <c r="D926" s="122">
        <v>2.2599999999999998</v>
      </c>
    </row>
    <row r="927" spans="2:4" x14ac:dyDescent="0.2">
      <c r="B927" s="120" t="s">
        <v>1757</v>
      </c>
      <c r="C927" s="121" t="s">
        <v>1758</v>
      </c>
      <c r="D927" s="122">
        <v>0.77</v>
      </c>
    </row>
    <row r="928" spans="2:4" x14ac:dyDescent="0.2">
      <c r="B928" s="120" t="s">
        <v>1759</v>
      </c>
      <c r="C928" s="121" t="s">
        <v>1760</v>
      </c>
      <c r="D928" s="122">
        <v>4.57</v>
      </c>
    </row>
    <row r="929" spans="2:4" x14ac:dyDescent="0.2">
      <c r="B929" s="120" t="s">
        <v>1761</v>
      </c>
      <c r="C929" s="121" t="s">
        <v>1762</v>
      </c>
      <c r="D929" s="122">
        <v>0.24</v>
      </c>
    </row>
    <row r="930" spans="2:4" x14ac:dyDescent="0.2">
      <c r="B930" s="120" t="s">
        <v>4197</v>
      </c>
      <c r="C930" s="121" t="s">
        <v>4198</v>
      </c>
      <c r="D930" s="122">
        <v>15</v>
      </c>
    </row>
    <row r="931" spans="2:4" x14ac:dyDescent="0.2">
      <c r="B931" s="120" t="s">
        <v>1763</v>
      </c>
      <c r="C931" s="121" t="s">
        <v>1764</v>
      </c>
      <c r="D931" s="122">
        <v>1.19</v>
      </c>
    </row>
    <row r="932" spans="2:4" x14ac:dyDescent="0.2">
      <c r="B932" s="120" t="s">
        <v>1765</v>
      </c>
      <c r="C932" s="121" t="s">
        <v>1766</v>
      </c>
      <c r="D932" s="122">
        <v>0</v>
      </c>
    </row>
    <row r="933" spans="2:4" x14ac:dyDescent="0.2">
      <c r="B933" s="120" t="s">
        <v>1767</v>
      </c>
      <c r="C933" s="121" t="s">
        <v>1768</v>
      </c>
      <c r="D933" s="122">
        <v>0</v>
      </c>
    </row>
    <row r="934" spans="2:4" x14ac:dyDescent="0.2">
      <c r="B934" s="120" t="s">
        <v>1769</v>
      </c>
      <c r="C934" s="121" t="s">
        <v>1770</v>
      </c>
      <c r="D934" s="122">
        <v>0</v>
      </c>
    </row>
    <row r="935" spans="2:4" x14ac:dyDescent="0.2">
      <c r="B935" s="120" t="s">
        <v>1771</v>
      </c>
      <c r="C935" s="121" t="s">
        <v>1772</v>
      </c>
      <c r="D935" s="122">
        <v>2.27</v>
      </c>
    </row>
    <row r="936" spans="2:4" x14ac:dyDescent="0.2">
      <c r="B936" s="120" t="s">
        <v>4199</v>
      </c>
      <c r="C936" s="121" t="s">
        <v>4200</v>
      </c>
      <c r="D936" s="122">
        <v>4.55</v>
      </c>
    </row>
    <row r="937" spans="2:4" x14ac:dyDescent="0.2">
      <c r="B937" s="120" t="s">
        <v>1773</v>
      </c>
      <c r="C937" s="121" t="s">
        <v>1774</v>
      </c>
      <c r="D937" s="122">
        <v>2.35</v>
      </c>
    </row>
    <row r="938" spans="2:4" x14ac:dyDescent="0.2">
      <c r="B938" s="120" t="s">
        <v>4201</v>
      </c>
      <c r="C938" s="121" t="s">
        <v>4202</v>
      </c>
      <c r="D938" s="122">
        <v>5.98</v>
      </c>
    </row>
    <row r="939" spans="2:4" x14ac:dyDescent="0.2">
      <c r="B939" s="120" t="s">
        <v>1775</v>
      </c>
      <c r="C939" s="121" t="s">
        <v>1776</v>
      </c>
      <c r="D939" s="122">
        <v>0</v>
      </c>
    </row>
    <row r="940" spans="2:4" x14ac:dyDescent="0.2">
      <c r="B940" s="120" t="s">
        <v>4203</v>
      </c>
      <c r="C940" s="121" t="s">
        <v>4204</v>
      </c>
      <c r="D940" s="122">
        <v>2.2200000000000002</v>
      </c>
    </row>
    <row r="941" spans="2:4" x14ac:dyDescent="0.2">
      <c r="B941" s="120" t="s">
        <v>4205</v>
      </c>
      <c r="C941" s="121" t="s">
        <v>4206</v>
      </c>
      <c r="D941" s="122">
        <v>11.97</v>
      </c>
    </row>
    <row r="942" spans="2:4" x14ac:dyDescent="0.2">
      <c r="B942" s="120" t="s">
        <v>1777</v>
      </c>
      <c r="C942" s="121" t="s">
        <v>1778</v>
      </c>
      <c r="D942" s="122">
        <v>1.22</v>
      </c>
    </row>
    <row r="943" spans="2:4" x14ac:dyDescent="0.2">
      <c r="B943" s="120" t="s">
        <v>1779</v>
      </c>
      <c r="C943" s="121" t="s">
        <v>1780</v>
      </c>
      <c r="D943" s="122">
        <v>2.4300000000000002</v>
      </c>
    </row>
    <row r="944" spans="2:4" x14ac:dyDescent="0.2">
      <c r="B944" s="120" t="s">
        <v>1781</v>
      </c>
      <c r="C944" s="121" t="s">
        <v>1782</v>
      </c>
      <c r="D944" s="122">
        <v>1.1100000000000001</v>
      </c>
    </row>
    <row r="945" spans="2:4" x14ac:dyDescent="0.2">
      <c r="B945" s="120" t="s">
        <v>4207</v>
      </c>
      <c r="C945" s="121" t="s">
        <v>4208</v>
      </c>
      <c r="D945" s="122">
        <v>3.65</v>
      </c>
    </row>
    <row r="946" spans="2:4" x14ac:dyDescent="0.2">
      <c r="B946" s="120" t="s">
        <v>4209</v>
      </c>
      <c r="C946" s="121" t="s">
        <v>4210</v>
      </c>
      <c r="D946" s="122">
        <v>3.06</v>
      </c>
    </row>
    <row r="947" spans="2:4" x14ac:dyDescent="0.2">
      <c r="B947" s="120" t="s">
        <v>1783</v>
      </c>
      <c r="C947" s="121" t="s">
        <v>1784</v>
      </c>
      <c r="D947" s="122">
        <v>1.26</v>
      </c>
    </row>
    <row r="948" spans="2:4" x14ac:dyDescent="0.2">
      <c r="B948" s="120" t="s">
        <v>1785</v>
      </c>
      <c r="C948" s="121" t="s">
        <v>1786</v>
      </c>
      <c r="D948" s="122">
        <v>2.57</v>
      </c>
    </row>
    <row r="949" spans="2:4" x14ac:dyDescent="0.2">
      <c r="B949" s="120" t="s">
        <v>4211</v>
      </c>
      <c r="C949" s="121" t="s">
        <v>4212</v>
      </c>
      <c r="D949" s="122">
        <v>1.48</v>
      </c>
    </row>
    <row r="950" spans="2:4" x14ac:dyDescent="0.2">
      <c r="B950" s="120" t="s">
        <v>4213</v>
      </c>
      <c r="C950" s="121" t="s">
        <v>4214</v>
      </c>
      <c r="D950" s="122">
        <v>1.67</v>
      </c>
    </row>
    <row r="951" spans="2:4" x14ac:dyDescent="0.2">
      <c r="B951" s="120" t="s">
        <v>4215</v>
      </c>
      <c r="C951" s="121" t="s">
        <v>4216</v>
      </c>
      <c r="D951" s="122">
        <v>1.06</v>
      </c>
    </row>
    <row r="952" spans="2:4" x14ac:dyDescent="0.2">
      <c r="B952" s="120" t="s">
        <v>4217</v>
      </c>
      <c r="C952" s="121" t="s">
        <v>4218</v>
      </c>
      <c r="D952" s="122">
        <v>1.41</v>
      </c>
    </row>
    <row r="953" spans="2:4" x14ac:dyDescent="0.2">
      <c r="B953" s="120" t="s">
        <v>4219</v>
      </c>
      <c r="C953" s="121" t="s">
        <v>4220</v>
      </c>
      <c r="D953" s="122">
        <v>1.53</v>
      </c>
    </row>
    <row r="954" spans="2:4" x14ac:dyDescent="0.2">
      <c r="B954" s="120" t="s">
        <v>4221</v>
      </c>
      <c r="C954" s="121" t="s">
        <v>4222</v>
      </c>
      <c r="D954" s="122">
        <v>0.87</v>
      </c>
    </row>
    <row r="955" spans="2:4" x14ac:dyDescent="0.2">
      <c r="B955" s="120" t="s">
        <v>1787</v>
      </c>
      <c r="C955" s="121" t="s">
        <v>1788</v>
      </c>
      <c r="D955" s="122">
        <v>2.34</v>
      </c>
    </row>
    <row r="956" spans="2:4" x14ac:dyDescent="0.2">
      <c r="B956" s="120" t="s">
        <v>1789</v>
      </c>
      <c r="C956" s="121" t="s">
        <v>1790</v>
      </c>
      <c r="D956" s="122">
        <v>0</v>
      </c>
    </row>
    <row r="957" spans="2:4" x14ac:dyDescent="0.2">
      <c r="B957" s="120" t="s">
        <v>4223</v>
      </c>
      <c r="C957" s="121" t="s">
        <v>4224</v>
      </c>
      <c r="D957" s="122">
        <v>2.97</v>
      </c>
    </row>
    <row r="958" spans="2:4" x14ac:dyDescent="0.2">
      <c r="B958" s="120" t="s">
        <v>1791</v>
      </c>
      <c r="C958" s="121" t="s">
        <v>1792</v>
      </c>
      <c r="D958" s="122">
        <v>6.03</v>
      </c>
    </row>
    <row r="959" spans="2:4" x14ac:dyDescent="0.2">
      <c r="B959" s="120" t="s">
        <v>1793</v>
      </c>
      <c r="C959" s="121" t="s">
        <v>1794</v>
      </c>
      <c r="D959" s="122">
        <v>2.86</v>
      </c>
    </row>
    <row r="960" spans="2:4" x14ac:dyDescent="0.2">
      <c r="B960" s="120" t="s">
        <v>1795</v>
      </c>
      <c r="C960" s="121" t="s">
        <v>1796</v>
      </c>
      <c r="D960" s="122">
        <v>0</v>
      </c>
    </row>
    <row r="961" spans="2:4" x14ac:dyDescent="0.2">
      <c r="B961" s="120" t="s">
        <v>1797</v>
      </c>
      <c r="C961" s="121" t="s">
        <v>1798</v>
      </c>
      <c r="D961" s="122">
        <v>2.4300000000000002</v>
      </c>
    </row>
    <row r="962" spans="2:4" x14ac:dyDescent="0.2">
      <c r="B962" s="120" t="s">
        <v>1799</v>
      </c>
      <c r="C962" s="121" t="s">
        <v>1800</v>
      </c>
      <c r="D962" s="122">
        <v>0</v>
      </c>
    </row>
    <row r="963" spans="2:4" x14ac:dyDescent="0.2">
      <c r="B963" s="120" t="s">
        <v>1801</v>
      </c>
      <c r="C963" s="121" t="s">
        <v>1802</v>
      </c>
      <c r="D963" s="122">
        <v>0</v>
      </c>
    </row>
    <row r="964" spans="2:4" x14ac:dyDescent="0.2">
      <c r="B964" s="120" t="s">
        <v>1803</v>
      </c>
      <c r="C964" s="121" t="s">
        <v>1804</v>
      </c>
      <c r="D964" s="122">
        <v>0</v>
      </c>
    </row>
    <row r="965" spans="2:4" x14ac:dyDescent="0.2">
      <c r="B965" s="120" t="s">
        <v>1805</v>
      </c>
      <c r="C965" s="121" t="s">
        <v>1806</v>
      </c>
      <c r="D965" s="122">
        <v>2.4700000000000002</v>
      </c>
    </row>
    <row r="966" spans="2:4" x14ac:dyDescent="0.2">
      <c r="B966" s="120" t="s">
        <v>1807</v>
      </c>
      <c r="C966" s="121" t="s">
        <v>1808</v>
      </c>
      <c r="D966" s="122">
        <v>4.09</v>
      </c>
    </row>
    <row r="967" spans="2:4" x14ac:dyDescent="0.2">
      <c r="B967" s="120" t="s">
        <v>4225</v>
      </c>
      <c r="C967" s="121" t="s">
        <v>4226</v>
      </c>
      <c r="D967" s="122">
        <v>0.88</v>
      </c>
    </row>
    <row r="968" spans="2:4" x14ac:dyDescent="0.2">
      <c r="B968" s="120" t="s">
        <v>1809</v>
      </c>
      <c r="C968" s="121" t="s">
        <v>1810</v>
      </c>
      <c r="D968" s="122">
        <v>3.05</v>
      </c>
    </row>
    <row r="969" spans="2:4" x14ac:dyDescent="0.2">
      <c r="B969" s="120" t="s">
        <v>1811</v>
      </c>
      <c r="C969" s="121" t="s">
        <v>1812</v>
      </c>
      <c r="D969" s="122">
        <v>2.48</v>
      </c>
    </row>
    <row r="970" spans="2:4" x14ac:dyDescent="0.2">
      <c r="B970" s="120" t="s">
        <v>1813</v>
      </c>
      <c r="C970" s="121" t="s">
        <v>1814</v>
      </c>
      <c r="D970" s="122">
        <v>0.7</v>
      </c>
    </row>
    <row r="971" spans="2:4" x14ac:dyDescent="0.2">
      <c r="B971" s="120" t="s">
        <v>1815</v>
      </c>
      <c r="C971" s="121" t="s">
        <v>1816</v>
      </c>
      <c r="D971" s="122">
        <v>1.78</v>
      </c>
    </row>
    <row r="972" spans="2:4" x14ac:dyDescent="0.2">
      <c r="B972" s="120" t="s">
        <v>4227</v>
      </c>
      <c r="C972" s="121" t="s">
        <v>4228</v>
      </c>
      <c r="D972" s="122">
        <v>0</v>
      </c>
    </row>
    <row r="973" spans="2:4" x14ac:dyDescent="0.2">
      <c r="B973" s="120" t="s">
        <v>1817</v>
      </c>
      <c r="C973" s="121" t="s">
        <v>1818</v>
      </c>
      <c r="D973" s="122">
        <v>0</v>
      </c>
    </row>
    <row r="974" spans="2:4" x14ac:dyDescent="0.2">
      <c r="B974" s="120" t="s">
        <v>1819</v>
      </c>
      <c r="C974" s="121" t="s">
        <v>1820</v>
      </c>
      <c r="D974" s="122">
        <v>4.91</v>
      </c>
    </row>
    <row r="975" spans="2:4" x14ac:dyDescent="0.2">
      <c r="B975" s="120" t="s">
        <v>1821</v>
      </c>
      <c r="C975" s="121" t="s">
        <v>1822</v>
      </c>
      <c r="D975" s="122">
        <v>4.4400000000000004</v>
      </c>
    </row>
    <row r="976" spans="2:4" x14ac:dyDescent="0.2">
      <c r="B976" s="120" t="s">
        <v>1823</v>
      </c>
      <c r="C976" s="121" t="s">
        <v>1824</v>
      </c>
      <c r="D976" s="122">
        <v>0</v>
      </c>
    </row>
    <row r="977" spans="2:4" x14ac:dyDescent="0.2">
      <c r="B977" s="120" t="s">
        <v>1825</v>
      </c>
      <c r="C977" s="121" t="s">
        <v>1826</v>
      </c>
      <c r="D977" s="122">
        <v>0.81</v>
      </c>
    </row>
    <row r="978" spans="2:4" x14ac:dyDescent="0.2">
      <c r="B978" s="120" t="s">
        <v>4229</v>
      </c>
      <c r="C978" s="121" t="s">
        <v>4230</v>
      </c>
      <c r="D978" s="122">
        <v>2</v>
      </c>
    </row>
    <row r="979" spans="2:4" x14ac:dyDescent="0.2">
      <c r="B979" s="120" t="s">
        <v>1827</v>
      </c>
      <c r="C979" s="121" t="s">
        <v>1828</v>
      </c>
      <c r="D979" s="122">
        <v>0</v>
      </c>
    </row>
    <row r="980" spans="2:4" x14ac:dyDescent="0.2">
      <c r="B980" s="120" t="s">
        <v>1829</v>
      </c>
      <c r="C980" s="121" t="s">
        <v>1830</v>
      </c>
      <c r="D980" s="122">
        <v>0</v>
      </c>
    </row>
    <row r="981" spans="2:4" x14ac:dyDescent="0.2">
      <c r="B981" s="120" t="s">
        <v>1831</v>
      </c>
      <c r="C981" s="121" t="s">
        <v>1832</v>
      </c>
      <c r="D981" s="122">
        <v>1.72</v>
      </c>
    </row>
    <row r="982" spans="2:4" x14ac:dyDescent="0.2">
      <c r="B982" s="120" t="s">
        <v>1835</v>
      </c>
      <c r="C982" s="121" t="s">
        <v>1836</v>
      </c>
      <c r="D982" s="122">
        <v>7.64</v>
      </c>
    </row>
    <row r="983" spans="2:4" x14ac:dyDescent="0.2">
      <c r="B983" s="120" t="s">
        <v>1837</v>
      </c>
      <c r="C983" s="121" t="s">
        <v>1838</v>
      </c>
      <c r="D983" s="122">
        <v>3.85</v>
      </c>
    </row>
    <row r="984" spans="2:4" x14ac:dyDescent="0.2">
      <c r="B984" s="120" t="s">
        <v>1839</v>
      </c>
      <c r="C984" s="121" t="s">
        <v>1840</v>
      </c>
      <c r="D984" s="122">
        <v>6.74</v>
      </c>
    </row>
    <row r="985" spans="2:4" x14ac:dyDescent="0.2">
      <c r="B985" s="120" t="s">
        <v>1841</v>
      </c>
      <c r="C985" s="121" t="s">
        <v>1842</v>
      </c>
      <c r="D985" s="122">
        <v>0</v>
      </c>
    </row>
    <row r="986" spans="2:4" x14ac:dyDescent="0.2">
      <c r="B986" s="120" t="s">
        <v>4231</v>
      </c>
      <c r="C986" s="121" t="s">
        <v>4232</v>
      </c>
      <c r="D986" s="122">
        <v>2.2200000000000002</v>
      </c>
    </row>
    <row r="987" spans="2:4" x14ac:dyDescent="0.2">
      <c r="B987" s="120" t="s">
        <v>1843</v>
      </c>
      <c r="C987" s="121" t="s">
        <v>1844</v>
      </c>
      <c r="D987" s="122">
        <v>0</v>
      </c>
    </row>
    <row r="988" spans="2:4" x14ac:dyDescent="0.2">
      <c r="B988" s="120" t="s">
        <v>4233</v>
      </c>
      <c r="C988" s="121" t="s">
        <v>4234</v>
      </c>
      <c r="D988" s="122">
        <v>1.07</v>
      </c>
    </row>
    <row r="989" spans="2:4" x14ac:dyDescent="0.2">
      <c r="B989" s="120" t="s">
        <v>4235</v>
      </c>
      <c r="C989" s="121" t="s">
        <v>4236</v>
      </c>
      <c r="D989" s="122">
        <v>3.1</v>
      </c>
    </row>
    <row r="990" spans="2:4" x14ac:dyDescent="0.2">
      <c r="B990" s="120" t="s">
        <v>1845</v>
      </c>
      <c r="C990" s="121" t="s">
        <v>1846</v>
      </c>
      <c r="D990" s="122">
        <v>0</v>
      </c>
    </row>
    <row r="991" spans="2:4" x14ac:dyDescent="0.2">
      <c r="B991" s="120" t="s">
        <v>1847</v>
      </c>
      <c r="C991" s="121" t="s">
        <v>1848</v>
      </c>
      <c r="D991" s="122">
        <v>0.99</v>
      </c>
    </row>
    <row r="992" spans="2:4" x14ac:dyDescent="0.2">
      <c r="B992" s="120" t="s">
        <v>1849</v>
      </c>
      <c r="C992" s="121" t="s">
        <v>1850</v>
      </c>
      <c r="D992" s="122">
        <v>0.55000000000000004</v>
      </c>
    </row>
    <row r="993" spans="2:4" x14ac:dyDescent="0.2">
      <c r="B993" s="120" t="s">
        <v>4237</v>
      </c>
      <c r="C993" s="121" t="s">
        <v>4238</v>
      </c>
      <c r="D993" s="122">
        <v>7.91</v>
      </c>
    </row>
    <row r="994" spans="2:4" x14ac:dyDescent="0.2">
      <c r="B994" s="120" t="s">
        <v>1851</v>
      </c>
      <c r="C994" s="121" t="s">
        <v>1852</v>
      </c>
      <c r="D994" s="122">
        <v>2.58</v>
      </c>
    </row>
    <row r="995" spans="2:4" x14ac:dyDescent="0.2">
      <c r="B995" s="120" t="s">
        <v>4239</v>
      </c>
      <c r="C995" s="121" t="s">
        <v>4240</v>
      </c>
      <c r="D995" s="122">
        <v>1.98</v>
      </c>
    </row>
    <row r="996" spans="2:4" x14ac:dyDescent="0.2">
      <c r="B996" s="120" t="s">
        <v>1853</v>
      </c>
      <c r="C996" s="121" t="s">
        <v>1854</v>
      </c>
      <c r="D996" s="122">
        <v>7.35</v>
      </c>
    </row>
    <row r="997" spans="2:4" x14ac:dyDescent="0.2">
      <c r="B997" s="120" t="s">
        <v>4241</v>
      </c>
      <c r="C997" s="121" t="s">
        <v>4242</v>
      </c>
      <c r="D997" s="122">
        <v>2.31</v>
      </c>
    </row>
    <row r="998" spans="2:4" x14ac:dyDescent="0.2">
      <c r="B998" s="120" t="s">
        <v>4243</v>
      </c>
      <c r="C998" s="121" t="s">
        <v>4244</v>
      </c>
      <c r="D998" s="122">
        <v>1.05</v>
      </c>
    </row>
    <row r="999" spans="2:4" x14ac:dyDescent="0.2">
      <c r="B999" s="120" t="s">
        <v>4245</v>
      </c>
      <c r="C999" s="121" t="s">
        <v>4246</v>
      </c>
      <c r="D999" s="122">
        <v>1.2</v>
      </c>
    </row>
    <row r="1000" spans="2:4" x14ac:dyDescent="0.2">
      <c r="B1000" s="120" t="s">
        <v>4247</v>
      </c>
      <c r="C1000" s="121" t="s">
        <v>4248</v>
      </c>
      <c r="D1000" s="122">
        <v>1.81</v>
      </c>
    </row>
    <row r="1001" spans="2:4" x14ac:dyDescent="0.2">
      <c r="B1001" s="120" t="s">
        <v>4249</v>
      </c>
      <c r="C1001" s="121" t="s">
        <v>4250</v>
      </c>
      <c r="D1001" s="122">
        <v>0.64</v>
      </c>
    </row>
    <row r="1002" spans="2:4" x14ac:dyDescent="0.2">
      <c r="B1002" s="120" t="s">
        <v>4251</v>
      </c>
      <c r="C1002" s="121" t="s">
        <v>4252</v>
      </c>
      <c r="D1002" s="122">
        <v>0.76</v>
      </c>
    </row>
    <row r="1003" spans="2:4" x14ac:dyDescent="0.2">
      <c r="B1003" s="120" t="s">
        <v>4253</v>
      </c>
      <c r="C1003" s="121" t="s">
        <v>4254</v>
      </c>
      <c r="D1003" s="122">
        <v>3.22</v>
      </c>
    </row>
    <row r="1004" spans="2:4" x14ac:dyDescent="0.2">
      <c r="B1004" s="120" t="s">
        <v>4255</v>
      </c>
      <c r="C1004" s="121" t="s">
        <v>4256</v>
      </c>
      <c r="D1004" s="122">
        <v>2.1</v>
      </c>
    </row>
    <row r="1005" spans="2:4" x14ac:dyDescent="0.2">
      <c r="B1005" s="120" t="s">
        <v>1855</v>
      </c>
      <c r="C1005" s="121" t="s">
        <v>1856</v>
      </c>
      <c r="D1005" s="122">
        <v>4.17</v>
      </c>
    </row>
    <row r="1006" spans="2:4" x14ac:dyDescent="0.2">
      <c r="B1006" s="120" t="s">
        <v>4257</v>
      </c>
      <c r="C1006" s="121" t="s">
        <v>4258</v>
      </c>
      <c r="D1006" s="122">
        <v>2.72</v>
      </c>
    </row>
    <row r="1007" spans="2:4" x14ac:dyDescent="0.2">
      <c r="B1007" s="120" t="s">
        <v>4259</v>
      </c>
      <c r="C1007" s="121" t="s">
        <v>4260</v>
      </c>
      <c r="D1007" s="122">
        <v>0.77</v>
      </c>
    </row>
    <row r="1008" spans="2:4" x14ac:dyDescent="0.2">
      <c r="B1008" s="120" t="s">
        <v>1857</v>
      </c>
      <c r="C1008" s="121" t="s">
        <v>1858</v>
      </c>
      <c r="D1008" s="122">
        <v>4.93</v>
      </c>
    </row>
    <row r="1009" spans="2:4" x14ac:dyDescent="0.2">
      <c r="B1009" s="120" t="s">
        <v>4261</v>
      </c>
      <c r="C1009" s="121" t="s">
        <v>4262</v>
      </c>
      <c r="D1009" s="122">
        <v>2.75</v>
      </c>
    </row>
    <row r="1010" spans="2:4" x14ac:dyDescent="0.2">
      <c r="B1010" s="120" t="s">
        <v>1859</v>
      </c>
      <c r="C1010" s="121" t="s">
        <v>1860</v>
      </c>
      <c r="D1010" s="122">
        <v>0</v>
      </c>
    </row>
    <row r="1011" spans="2:4" x14ac:dyDescent="0.2">
      <c r="B1011" s="120" t="s">
        <v>1861</v>
      </c>
      <c r="C1011" s="121" t="s">
        <v>1862</v>
      </c>
      <c r="D1011" s="122">
        <v>2.2799999999999998</v>
      </c>
    </row>
    <row r="1012" spans="2:4" x14ac:dyDescent="0.2">
      <c r="B1012" s="120" t="s">
        <v>1863</v>
      </c>
      <c r="C1012" s="121" t="s">
        <v>1864</v>
      </c>
      <c r="D1012" s="122">
        <v>0.91</v>
      </c>
    </row>
    <row r="1013" spans="2:4" x14ac:dyDescent="0.2">
      <c r="B1013" s="120" t="s">
        <v>1865</v>
      </c>
      <c r="C1013" s="121" t="s">
        <v>1866</v>
      </c>
      <c r="D1013" s="122">
        <v>1.04</v>
      </c>
    </row>
    <row r="1014" spans="2:4" x14ac:dyDescent="0.2">
      <c r="B1014" s="120" t="s">
        <v>1867</v>
      </c>
      <c r="C1014" s="121" t="s">
        <v>1868</v>
      </c>
      <c r="D1014" s="122">
        <v>0</v>
      </c>
    </row>
    <row r="1015" spans="2:4" x14ac:dyDescent="0.2">
      <c r="B1015" s="120" t="s">
        <v>4263</v>
      </c>
      <c r="C1015" s="121" t="s">
        <v>4264</v>
      </c>
      <c r="D1015" s="122">
        <v>0.01</v>
      </c>
    </row>
    <row r="1016" spans="2:4" x14ac:dyDescent="0.2">
      <c r="B1016" s="120" t="s">
        <v>1869</v>
      </c>
      <c r="C1016" s="121" t="s">
        <v>1870</v>
      </c>
      <c r="D1016" s="122">
        <v>0.39</v>
      </c>
    </row>
    <row r="1017" spans="2:4" x14ac:dyDescent="0.2">
      <c r="B1017" s="120" t="s">
        <v>4265</v>
      </c>
      <c r="C1017" s="121" t="s">
        <v>4266</v>
      </c>
      <c r="D1017" s="122">
        <v>0</v>
      </c>
    </row>
    <row r="1018" spans="2:4" x14ac:dyDescent="0.2">
      <c r="B1018" s="120" t="s">
        <v>1871</v>
      </c>
      <c r="C1018" s="121" t="s">
        <v>1872</v>
      </c>
      <c r="D1018" s="122">
        <v>2.37</v>
      </c>
    </row>
    <row r="1019" spans="2:4" x14ac:dyDescent="0.2">
      <c r="B1019" s="120" t="s">
        <v>1873</v>
      </c>
      <c r="C1019" s="121" t="s">
        <v>1874</v>
      </c>
      <c r="D1019" s="122">
        <v>2.0099999999999998</v>
      </c>
    </row>
    <row r="1020" spans="2:4" x14ac:dyDescent="0.2">
      <c r="B1020" s="120" t="s">
        <v>1875</v>
      </c>
      <c r="C1020" s="121" t="s">
        <v>1876</v>
      </c>
      <c r="D1020" s="122">
        <v>0</v>
      </c>
    </row>
    <row r="1021" spans="2:4" x14ac:dyDescent="0.2">
      <c r="B1021" s="120" t="s">
        <v>1877</v>
      </c>
      <c r="C1021" s="121" t="s">
        <v>1878</v>
      </c>
      <c r="D1021" s="122">
        <v>0.74</v>
      </c>
    </row>
    <row r="1022" spans="2:4" x14ac:dyDescent="0.2">
      <c r="B1022" s="120" t="s">
        <v>4267</v>
      </c>
      <c r="C1022" s="121" t="s">
        <v>4268</v>
      </c>
      <c r="D1022" s="122">
        <v>2.57</v>
      </c>
    </row>
    <row r="1023" spans="2:4" x14ac:dyDescent="0.2">
      <c r="B1023" s="120" t="s">
        <v>4269</v>
      </c>
      <c r="C1023" s="121" t="s">
        <v>4270</v>
      </c>
      <c r="D1023" s="122">
        <v>4.28</v>
      </c>
    </row>
    <row r="1024" spans="2:4" x14ac:dyDescent="0.2">
      <c r="B1024" s="120" t="s">
        <v>1879</v>
      </c>
      <c r="C1024" s="121" t="s">
        <v>1880</v>
      </c>
      <c r="D1024" s="122">
        <v>0</v>
      </c>
    </row>
    <row r="1025" spans="2:4" x14ac:dyDescent="0.2">
      <c r="B1025" s="120" t="s">
        <v>1881</v>
      </c>
      <c r="C1025" s="121" t="s">
        <v>1882</v>
      </c>
      <c r="D1025" s="122">
        <v>6.66</v>
      </c>
    </row>
    <row r="1026" spans="2:4" x14ac:dyDescent="0.2">
      <c r="B1026" s="120" t="s">
        <v>4271</v>
      </c>
      <c r="C1026" s="121" t="s">
        <v>4272</v>
      </c>
      <c r="D1026" s="122">
        <v>2.36</v>
      </c>
    </row>
    <row r="1027" spans="2:4" x14ac:dyDescent="0.2">
      <c r="B1027" s="120" t="s">
        <v>1883</v>
      </c>
      <c r="C1027" s="121" t="s">
        <v>1884</v>
      </c>
      <c r="D1027" s="122">
        <v>1.04</v>
      </c>
    </row>
    <row r="1028" spans="2:4" x14ac:dyDescent="0.2">
      <c r="B1028" s="120" t="s">
        <v>1885</v>
      </c>
      <c r="C1028" s="121" t="s">
        <v>1886</v>
      </c>
      <c r="D1028" s="122">
        <v>1.08</v>
      </c>
    </row>
    <row r="1029" spans="2:4" x14ac:dyDescent="0.2">
      <c r="B1029" s="120" t="s">
        <v>1887</v>
      </c>
      <c r="C1029" s="121" t="s">
        <v>1888</v>
      </c>
      <c r="D1029" s="122">
        <v>0.63</v>
      </c>
    </row>
    <row r="1030" spans="2:4" x14ac:dyDescent="0.2">
      <c r="B1030" s="120" t="s">
        <v>4273</v>
      </c>
      <c r="C1030" s="121" t="s">
        <v>4274</v>
      </c>
      <c r="D1030" s="122">
        <v>1.41</v>
      </c>
    </row>
    <row r="1031" spans="2:4" x14ac:dyDescent="0.2">
      <c r="B1031" s="120" t="s">
        <v>1889</v>
      </c>
      <c r="C1031" s="121" t="s">
        <v>1890</v>
      </c>
      <c r="D1031" s="122">
        <v>3.8</v>
      </c>
    </row>
    <row r="1032" spans="2:4" x14ac:dyDescent="0.2">
      <c r="B1032" s="120" t="s">
        <v>1891</v>
      </c>
      <c r="C1032" s="121" t="s">
        <v>1892</v>
      </c>
      <c r="D1032" s="122">
        <v>2.89</v>
      </c>
    </row>
    <row r="1033" spans="2:4" x14ac:dyDescent="0.2">
      <c r="B1033" s="120" t="s">
        <v>4275</v>
      </c>
      <c r="C1033" s="121" t="s">
        <v>4276</v>
      </c>
      <c r="D1033" s="122">
        <v>5.56</v>
      </c>
    </row>
    <row r="1034" spans="2:4" x14ac:dyDescent="0.2">
      <c r="B1034" s="120" t="s">
        <v>1893</v>
      </c>
      <c r="C1034" s="121" t="s">
        <v>1894</v>
      </c>
      <c r="D1034" s="122">
        <v>3.19</v>
      </c>
    </row>
    <row r="1035" spans="2:4" x14ac:dyDescent="0.2">
      <c r="B1035" s="120" t="s">
        <v>4277</v>
      </c>
      <c r="C1035" s="121" t="s">
        <v>4278</v>
      </c>
      <c r="D1035" s="122">
        <v>0</v>
      </c>
    </row>
    <row r="1036" spans="2:4" x14ac:dyDescent="0.2">
      <c r="B1036" s="120" t="s">
        <v>1895</v>
      </c>
      <c r="C1036" s="121" t="s">
        <v>1896</v>
      </c>
      <c r="D1036" s="122">
        <v>2.69</v>
      </c>
    </row>
    <row r="1037" spans="2:4" x14ac:dyDescent="0.2">
      <c r="B1037" s="120" t="s">
        <v>1897</v>
      </c>
      <c r="C1037" s="121" t="s">
        <v>1898</v>
      </c>
      <c r="D1037" s="122">
        <v>1.36</v>
      </c>
    </row>
    <row r="1038" spans="2:4" x14ac:dyDescent="0.2">
      <c r="B1038" s="120" t="s">
        <v>1899</v>
      </c>
      <c r="C1038" s="121" t="s">
        <v>1900</v>
      </c>
      <c r="D1038" s="122">
        <v>6.93</v>
      </c>
    </row>
    <row r="1039" spans="2:4" x14ac:dyDescent="0.2">
      <c r="B1039" s="120" t="s">
        <v>1901</v>
      </c>
      <c r="C1039" s="121" t="s">
        <v>1902</v>
      </c>
      <c r="D1039" s="122">
        <v>2.58</v>
      </c>
    </row>
    <row r="1040" spans="2:4" x14ac:dyDescent="0.2">
      <c r="B1040" s="120" t="s">
        <v>4279</v>
      </c>
      <c r="C1040" s="121" t="s">
        <v>4280</v>
      </c>
      <c r="D1040" s="122">
        <v>0.57999999999999996</v>
      </c>
    </row>
    <row r="1041" spans="2:4" x14ac:dyDescent="0.2">
      <c r="B1041" s="120" t="s">
        <v>1903</v>
      </c>
      <c r="C1041" s="121" t="s">
        <v>1904</v>
      </c>
      <c r="D1041" s="122">
        <v>4.5999999999999996</v>
      </c>
    </row>
    <row r="1042" spans="2:4" x14ac:dyDescent="0.2">
      <c r="B1042" s="120" t="s">
        <v>1905</v>
      </c>
      <c r="C1042" s="121" t="s">
        <v>1906</v>
      </c>
      <c r="D1042" s="122">
        <v>3.58</v>
      </c>
    </row>
    <row r="1043" spans="2:4" x14ac:dyDescent="0.2">
      <c r="B1043" s="120" t="s">
        <v>1907</v>
      </c>
      <c r="C1043" s="121" t="s">
        <v>1908</v>
      </c>
      <c r="D1043" s="122">
        <v>2.99</v>
      </c>
    </row>
    <row r="1044" spans="2:4" x14ac:dyDescent="0.2">
      <c r="B1044" s="120" t="s">
        <v>1909</v>
      </c>
      <c r="C1044" s="121" t="s">
        <v>1910</v>
      </c>
      <c r="D1044" s="122">
        <v>3.75</v>
      </c>
    </row>
    <row r="1045" spans="2:4" x14ac:dyDescent="0.2">
      <c r="B1045" s="120" t="s">
        <v>1911</v>
      </c>
      <c r="C1045" s="121" t="s">
        <v>1912</v>
      </c>
      <c r="D1045" s="122">
        <v>5.56</v>
      </c>
    </row>
    <row r="1046" spans="2:4" x14ac:dyDescent="0.2">
      <c r="B1046" s="120" t="s">
        <v>1913</v>
      </c>
      <c r="C1046" s="121" t="s">
        <v>1914</v>
      </c>
      <c r="D1046" s="122">
        <v>1.26</v>
      </c>
    </row>
    <row r="1047" spans="2:4" x14ac:dyDescent="0.2">
      <c r="B1047" s="120" t="s">
        <v>4281</v>
      </c>
      <c r="C1047" s="121" t="s">
        <v>4282</v>
      </c>
      <c r="D1047" s="122">
        <v>3.99</v>
      </c>
    </row>
    <row r="1048" spans="2:4" x14ac:dyDescent="0.2">
      <c r="B1048" s="120" t="s">
        <v>4283</v>
      </c>
      <c r="C1048" s="121" t="s">
        <v>4284</v>
      </c>
      <c r="D1048" s="122">
        <v>2.74</v>
      </c>
    </row>
    <row r="1049" spans="2:4" x14ac:dyDescent="0.2">
      <c r="B1049" s="120" t="s">
        <v>1915</v>
      </c>
      <c r="C1049" s="121" t="s">
        <v>1916</v>
      </c>
      <c r="D1049" s="122">
        <v>2.2000000000000002</v>
      </c>
    </row>
    <row r="1050" spans="2:4" x14ac:dyDescent="0.2">
      <c r="B1050" s="120" t="s">
        <v>1917</v>
      </c>
      <c r="C1050" s="121" t="s">
        <v>1918</v>
      </c>
      <c r="D1050" s="122">
        <v>0</v>
      </c>
    </row>
    <row r="1051" spans="2:4" x14ac:dyDescent="0.2">
      <c r="B1051" s="120" t="s">
        <v>1919</v>
      </c>
      <c r="C1051" s="121" t="s">
        <v>1920</v>
      </c>
      <c r="D1051" s="122">
        <v>0</v>
      </c>
    </row>
    <row r="1052" spans="2:4" x14ac:dyDescent="0.2">
      <c r="B1052" s="120" t="s">
        <v>1921</v>
      </c>
      <c r="C1052" s="121" t="s">
        <v>1922</v>
      </c>
      <c r="D1052" s="122">
        <v>4.16</v>
      </c>
    </row>
    <row r="1053" spans="2:4" x14ac:dyDescent="0.2">
      <c r="B1053" s="120" t="s">
        <v>1923</v>
      </c>
      <c r="C1053" s="121" t="s">
        <v>1924</v>
      </c>
      <c r="D1053" s="122">
        <v>0</v>
      </c>
    </row>
    <row r="1054" spans="2:4" x14ac:dyDescent="0.2">
      <c r="B1054" s="120" t="s">
        <v>1925</v>
      </c>
      <c r="C1054" s="121" t="s">
        <v>1926</v>
      </c>
      <c r="D1054" s="122">
        <v>0</v>
      </c>
    </row>
    <row r="1055" spans="2:4" x14ac:dyDescent="0.2">
      <c r="B1055" s="120" t="s">
        <v>1927</v>
      </c>
      <c r="C1055" s="121" t="s">
        <v>1928</v>
      </c>
      <c r="D1055" s="122">
        <v>0.1</v>
      </c>
    </row>
    <row r="1056" spans="2:4" x14ac:dyDescent="0.2">
      <c r="B1056" s="120" t="s">
        <v>1929</v>
      </c>
      <c r="C1056" s="121" t="s">
        <v>1930</v>
      </c>
      <c r="D1056" s="122">
        <v>6.75</v>
      </c>
    </row>
    <row r="1057" spans="2:4" x14ac:dyDescent="0.2">
      <c r="B1057" s="120" t="s">
        <v>1931</v>
      </c>
      <c r="C1057" s="121" t="s">
        <v>1932</v>
      </c>
      <c r="D1057" s="122">
        <v>5.69</v>
      </c>
    </row>
    <row r="1058" spans="2:4" x14ac:dyDescent="0.2">
      <c r="B1058" s="120" t="s">
        <v>1933</v>
      </c>
      <c r="C1058" s="121" t="s">
        <v>1934</v>
      </c>
      <c r="D1058" s="122">
        <v>2.4</v>
      </c>
    </row>
    <row r="1059" spans="2:4" x14ac:dyDescent="0.2">
      <c r="B1059" s="120" t="s">
        <v>1935</v>
      </c>
      <c r="C1059" s="121" t="s">
        <v>1936</v>
      </c>
      <c r="D1059" s="122">
        <v>1.56</v>
      </c>
    </row>
    <row r="1060" spans="2:4" x14ac:dyDescent="0.2">
      <c r="B1060" s="120" t="s">
        <v>4285</v>
      </c>
      <c r="C1060" s="121" t="s">
        <v>4286</v>
      </c>
      <c r="D1060" s="122">
        <v>5.53</v>
      </c>
    </row>
    <row r="1061" spans="2:4" x14ac:dyDescent="0.2">
      <c r="B1061" s="120" t="s">
        <v>4287</v>
      </c>
      <c r="C1061" s="121" t="s">
        <v>4288</v>
      </c>
      <c r="D1061" s="122">
        <v>11.24</v>
      </c>
    </row>
    <row r="1062" spans="2:4" x14ac:dyDescent="0.2">
      <c r="B1062" s="120" t="s">
        <v>1937</v>
      </c>
      <c r="C1062" s="121" t="s">
        <v>1938</v>
      </c>
      <c r="D1062" s="122">
        <v>0</v>
      </c>
    </row>
    <row r="1063" spans="2:4" x14ac:dyDescent="0.2">
      <c r="B1063" s="120" t="s">
        <v>1937</v>
      </c>
      <c r="C1063" s="121" t="s">
        <v>4289</v>
      </c>
      <c r="D1063" s="122">
        <v>2.39</v>
      </c>
    </row>
    <row r="1064" spans="2:4" x14ac:dyDescent="0.2">
      <c r="B1064" s="120" t="s">
        <v>1939</v>
      </c>
      <c r="C1064" s="121" t="s">
        <v>1940</v>
      </c>
      <c r="D1064" s="122">
        <v>1.72</v>
      </c>
    </row>
    <row r="1065" spans="2:4" x14ac:dyDescent="0.2">
      <c r="B1065" s="120" t="s">
        <v>1941</v>
      </c>
      <c r="C1065" s="121" t="s">
        <v>1942</v>
      </c>
      <c r="D1065" s="122">
        <v>0.34</v>
      </c>
    </row>
    <row r="1066" spans="2:4" x14ac:dyDescent="0.2">
      <c r="B1066" s="120" t="s">
        <v>1943</v>
      </c>
      <c r="C1066" s="121" t="s">
        <v>1944</v>
      </c>
      <c r="D1066" s="122">
        <v>1.93</v>
      </c>
    </row>
    <row r="1067" spans="2:4" x14ac:dyDescent="0.2">
      <c r="B1067" s="120" t="s">
        <v>4290</v>
      </c>
      <c r="C1067" s="121" t="s">
        <v>4291</v>
      </c>
      <c r="D1067" s="122">
        <v>4.8899999999999997</v>
      </c>
    </row>
    <row r="1068" spans="2:4" x14ac:dyDescent="0.2">
      <c r="B1068" s="120" t="s">
        <v>1945</v>
      </c>
      <c r="C1068" s="121" t="s">
        <v>1946</v>
      </c>
      <c r="D1068" s="122">
        <v>0</v>
      </c>
    </row>
    <row r="1069" spans="2:4" x14ac:dyDescent="0.2">
      <c r="B1069" s="120" t="s">
        <v>1947</v>
      </c>
      <c r="C1069" s="121" t="s">
        <v>1948</v>
      </c>
      <c r="D1069" s="122">
        <v>3.28</v>
      </c>
    </row>
    <row r="1070" spans="2:4" x14ac:dyDescent="0.2">
      <c r="B1070" s="120" t="s">
        <v>1949</v>
      </c>
      <c r="C1070" s="121" t="s">
        <v>1950</v>
      </c>
      <c r="D1070" s="122">
        <v>3.05</v>
      </c>
    </row>
    <row r="1071" spans="2:4" x14ac:dyDescent="0.2">
      <c r="B1071" s="120" t="s">
        <v>1951</v>
      </c>
      <c r="C1071" s="121" t="s">
        <v>1952</v>
      </c>
      <c r="D1071" s="122">
        <v>4.78</v>
      </c>
    </row>
    <row r="1072" spans="2:4" x14ac:dyDescent="0.2">
      <c r="B1072" s="120" t="s">
        <v>1953</v>
      </c>
      <c r="C1072" s="121" t="s">
        <v>1954</v>
      </c>
      <c r="D1072" s="122">
        <v>1.29</v>
      </c>
    </row>
    <row r="1073" spans="2:4" x14ac:dyDescent="0.2">
      <c r="B1073" s="120" t="s">
        <v>1955</v>
      </c>
      <c r="C1073" s="121" t="s">
        <v>1956</v>
      </c>
      <c r="D1073" s="122">
        <v>4.4400000000000004</v>
      </c>
    </row>
    <row r="1074" spans="2:4" x14ac:dyDescent="0.2">
      <c r="B1074" s="120" t="s">
        <v>1957</v>
      </c>
      <c r="C1074" s="121" t="s">
        <v>1958</v>
      </c>
      <c r="D1074" s="122">
        <v>0</v>
      </c>
    </row>
    <row r="1075" spans="2:4" x14ac:dyDescent="0.2">
      <c r="B1075" s="120" t="s">
        <v>4292</v>
      </c>
      <c r="C1075" s="121" t="s">
        <v>4293</v>
      </c>
      <c r="D1075" s="122">
        <v>2.5299999999999998</v>
      </c>
    </row>
    <row r="1076" spans="2:4" x14ac:dyDescent="0.2">
      <c r="B1076" s="120" t="s">
        <v>1959</v>
      </c>
      <c r="C1076" s="121" t="s">
        <v>1960</v>
      </c>
      <c r="D1076" s="122">
        <v>2.64</v>
      </c>
    </row>
    <row r="1077" spans="2:4" x14ac:dyDescent="0.2">
      <c r="B1077" s="120" t="s">
        <v>1961</v>
      </c>
      <c r="C1077" s="121" t="s">
        <v>1962</v>
      </c>
      <c r="D1077" s="122">
        <v>2.0499999999999998</v>
      </c>
    </row>
    <row r="1078" spans="2:4" x14ac:dyDescent="0.2">
      <c r="B1078" s="120" t="s">
        <v>4294</v>
      </c>
      <c r="C1078" s="121" t="s">
        <v>4295</v>
      </c>
      <c r="D1078" s="122">
        <v>0</v>
      </c>
    </row>
    <row r="1079" spans="2:4" x14ac:dyDescent="0.2">
      <c r="B1079" s="120" t="s">
        <v>1963</v>
      </c>
      <c r="C1079" s="121" t="s">
        <v>1964</v>
      </c>
      <c r="D1079" s="122">
        <v>0.69</v>
      </c>
    </row>
    <row r="1080" spans="2:4" x14ac:dyDescent="0.2">
      <c r="B1080" s="120" t="s">
        <v>1965</v>
      </c>
      <c r="C1080" s="121" t="s">
        <v>1966</v>
      </c>
      <c r="D1080" s="122">
        <v>2.97</v>
      </c>
    </row>
    <row r="1081" spans="2:4" x14ac:dyDescent="0.2">
      <c r="B1081" s="120" t="s">
        <v>1967</v>
      </c>
      <c r="C1081" s="121" t="s">
        <v>1968</v>
      </c>
      <c r="D1081" s="122">
        <v>2.96</v>
      </c>
    </row>
    <row r="1082" spans="2:4" x14ac:dyDescent="0.2">
      <c r="B1082" s="120" t="s">
        <v>4296</v>
      </c>
      <c r="C1082" s="121" t="s">
        <v>4297</v>
      </c>
      <c r="D1082" s="122">
        <v>2.65</v>
      </c>
    </row>
    <row r="1083" spans="2:4" x14ac:dyDescent="0.2">
      <c r="B1083" s="120" t="s">
        <v>1969</v>
      </c>
      <c r="C1083" s="121" t="s">
        <v>14</v>
      </c>
      <c r="D1083" s="122">
        <v>2.4900000000000002</v>
      </c>
    </row>
    <row r="1084" spans="2:4" x14ac:dyDescent="0.2">
      <c r="B1084" s="120" t="s">
        <v>1970</v>
      </c>
      <c r="C1084" s="121" t="s">
        <v>1971</v>
      </c>
      <c r="D1084" s="122">
        <v>2.4700000000000002</v>
      </c>
    </row>
    <row r="1085" spans="2:4" x14ac:dyDescent="0.2">
      <c r="B1085" s="120" t="s">
        <v>4298</v>
      </c>
      <c r="C1085" s="121" t="s">
        <v>4299</v>
      </c>
      <c r="D1085" s="122">
        <v>0</v>
      </c>
    </row>
    <row r="1086" spans="2:4" x14ac:dyDescent="0.2">
      <c r="B1086" s="120" t="s">
        <v>4300</v>
      </c>
      <c r="C1086" s="121" t="s">
        <v>4301</v>
      </c>
      <c r="D1086" s="122">
        <v>0.92</v>
      </c>
    </row>
    <row r="1087" spans="2:4" x14ac:dyDescent="0.2">
      <c r="B1087" s="120" t="s">
        <v>1972</v>
      </c>
      <c r="C1087" s="121" t="s">
        <v>1973</v>
      </c>
      <c r="D1087" s="122">
        <v>5.47</v>
      </c>
    </row>
    <row r="1088" spans="2:4" x14ac:dyDescent="0.2">
      <c r="B1088" s="120" t="s">
        <v>1974</v>
      </c>
      <c r="C1088" s="121" t="s">
        <v>1975</v>
      </c>
      <c r="D1088" s="122">
        <v>1.0900000000000001</v>
      </c>
    </row>
    <row r="1089" spans="2:4" x14ac:dyDescent="0.2">
      <c r="B1089" s="120" t="s">
        <v>1976</v>
      </c>
      <c r="C1089" s="121" t="s">
        <v>1977</v>
      </c>
      <c r="D1089" s="122">
        <v>3.46</v>
      </c>
    </row>
    <row r="1090" spans="2:4" x14ac:dyDescent="0.2">
      <c r="B1090" s="120" t="s">
        <v>1978</v>
      </c>
      <c r="C1090" s="121" t="s">
        <v>1979</v>
      </c>
      <c r="D1090" s="122">
        <v>1.67</v>
      </c>
    </row>
    <row r="1091" spans="2:4" x14ac:dyDescent="0.2">
      <c r="B1091" s="120" t="s">
        <v>1980</v>
      </c>
      <c r="C1091" s="121" t="s">
        <v>1981</v>
      </c>
      <c r="D1091" s="122">
        <v>2.2799999999999998</v>
      </c>
    </row>
    <row r="1092" spans="2:4" x14ac:dyDescent="0.2">
      <c r="B1092" s="120" t="s">
        <v>4302</v>
      </c>
      <c r="C1092" s="121" t="s">
        <v>4303</v>
      </c>
      <c r="D1092" s="122">
        <v>3.79</v>
      </c>
    </row>
    <row r="1093" spans="2:4" x14ac:dyDescent="0.2">
      <c r="B1093" s="120" t="s">
        <v>1982</v>
      </c>
      <c r="C1093" s="121" t="s">
        <v>1983</v>
      </c>
      <c r="D1093" s="122">
        <v>2.2599999999999998</v>
      </c>
    </row>
    <row r="1094" spans="2:4" x14ac:dyDescent="0.2">
      <c r="B1094" s="120" t="s">
        <v>1984</v>
      </c>
      <c r="C1094" s="121" t="s">
        <v>1985</v>
      </c>
      <c r="D1094" s="122">
        <v>1.99</v>
      </c>
    </row>
    <row r="1095" spans="2:4" x14ac:dyDescent="0.2">
      <c r="B1095" s="120" t="s">
        <v>1986</v>
      </c>
      <c r="C1095" s="121" t="s">
        <v>1987</v>
      </c>
      <c r="D1095" s="122">
        <v>0.49</v>
      </c>
    </row>
    <row r="1096" spans="2:4" x14ac:dyDescent="0.2">
      <c r="B1096" s="120" t="s">
        <v>1988</v>
      </c>
      <c r="C1096" s="121" t="s">
        <v>1989</v>
      </c>
      <c r="D1096" s="122">
        <v>0.92</v>
      </c>
    </row>
    <row r="1097" spans="2:4" x14ac:dyDescent="0.2">
      <c r="B1097" s="120" t="s">
        <v>1990</v>
      </c>
      <c r="C1097" s="121" t="s">
        <v>1991</v>
      </c>
      <c r="D1097" s="122">
        <v>4.8</v>
      </c>
    </row>
    <row r="1098" spans="2:4" x14ac:dyDescent="0.2">
      <c r="B1098" s="120" t="s">
        <v>4304</v>
      </c>
      <c r="C1098" s="121" t="s">
        <v>4305</v>
      </c>
      <c r="D1098" s="122">
        <v>1.81</v>
      </c>
    </row>
    <row r="1099" spans="2:4" x14ac:dyDescent="0.2">
      <c r="B1099" s="120" t="s">
        <v>1992</v>
      </c>
      <c r="C1099" s="121" t="s">
        <v>1993</v>
      </c>
      <c r="D1099" s="122">
        <v>0</v>
      </c>
    </row>
    <row r="1100" spans="2:4" x14ac:dyDescent="0.2">
      <c r="B1100" s="120" t="s">
        <v>1994</v>
      </c>
      <c r="C1100" s="121" t="s">
        <v>1995</v>
      </c>
      <c r="D1100" s="122">
        <v>5.32</v>
      </c>
    </row>
    <row r="1101" spans="2:4" x14ac:dyDescent="0.2">
      <c r="B1101" s="120" t="s">
        <v>1996</v>
      </c>
      <c r="C1101" s="121" t="s">
        <v>1997</v>
      </c>
      <c r="D1101" s="122">
        <v>6.36</v>
      </c>
    </row>
    <row r="1102" spans="2:4" x14ac:dyDescent="0.2">
      <c r="B1102" s="120" t="s">
        <v>1998</v>
      </c>
      <c r="C1102" s="121" t="s">
        <v>4306</v>
      </c>
      <c r="D1102" s="122">
        <v>0</v>
      </c>
    </row>
    <row r="1103" spans="2:4" x14ac:dyDescent="0.2">
      <c r="B1103" s="120" t="s">
        <v>1998</v>
      </c>
      <c r="C1103" s="121" t="s">
        <v>1999</v>
      </c>
      <c r="D1103" s="122">
        <v>0</v>
      </c>
    </row>
    <row r="1104" spans="2:4" x14ac:dyDescent="0.2">
      <c r="B1104" s="120" t="s">
        <v>2000</v>
      </c>
      <c r="C1104" s="121" t="s">
        <v>2001</v>
      </c>
      <c r="D1104" s="122">
        <v>0</v>
      </c>
    </row>
    <row r="1105" spans="2:4" x14ac:dyDescent="0.2">
      <c r="B1105" s="120" t="s">
        <v>2000</v>
      </c>
      <c r="C1105" s="121" t="s">
        <v>4307</v>
      </c>
      <c r="D1105" s="122">
        <v>0</v>
      </c>
    </row>
    <row r="1106" spans="2:4" x14ac:dyDescent="0.2">
      <c r="B1106" s="120" t="s">
        <v>2000</v>
      </c>
      <c r="C1106" s="121" t="s">
        <v>4308</v>
      </c>
      <c r="D1106" s="122">
        <v>0</v>
      </c>
    </row>
    <row r="1107" spans="2:4" x14ac:dyDescent="0.2">
      <c r="B1107" s="120" t="s">
        <v>2002</v>
      </c>
      <c r="C1107" s="121" t="s">
        <v>2003</v>
      </c>
      <c r="D1107" s="122">
        <v>1.58</v>
      </c>
    </row>
    <row r="1108" spans="2:4" x14ac:dyDescent="0.2">
      <c r="B1108" s="120" t="s">
        <v>2004</v>
      </c>
      <c r="C1108" s="121" t="s">
        <v>2005</v>
      </c>
      <c r="D1108" s="122">
        <v>2.52</v>
      </c>
    </row>
    <row r="1109" spans="2:4" x14ac:dyDescent="0.2">
      <c r="B1109" s="120" t="s">
        <v>2006</v>
      </c>
      <c r="C1109" s="121" t="s">
        <v>2007</v>
      </c>
      <c r="D1109" s="122">
        <v>2.1800000000000002</v>
      </c>
    </row>
    <row r="1110" spans="2:4" x14ac:dyDescent="0.2">
      <c r="B1110" s="120" t="s">
        <v>2008</v>
      </c>
      <c r="C1110" s="121" t="s">
        <v>2009</v>
      </c>
      <c r="D1110" s="122">
        <v>3.92</v>
      </c>
    </row>
    <row r="1111" spans="2:4" x14ac:dyDescent="0.2">
      <c r="B1111" s="120" t="s">
        <v>4309</v>
      </c>
      <c r="C1111" s="121" t="s">
        <v>4310</v>
      </c>
      <c r="D1111" s="122">
        <v>0</v>
      </c>
    </row>
    <row r="1112" spans="2:4" x14ac:dyDescent="0.2">
      <c r="B1112" s="120" t="s">
        <v>2010</v>
      </c>
      <c r="C1112" s="121" t="s">
        <v>2011</v>
      </c>
      <c r="D1112" s="122">
        <v>0.3</v>
      </c>
    </row>
    <row r="1113" spans="2:4" x14ac:dyDescent="0.2">
      <c r="B1113" s="120" t="s">
        <v>2010</v>
      </c>
      <c r="C1113" s="121" t="s">
        <v>4311</v>
      </c>
      <c r="D1113" s="122">
        <v>0.37</v>
      </c>
    </row>
    <row r="1114" spans="2:4" x14ac:dyDescent="0.2">
      <c r="B1114" s="120" t="s">
        <v>4312</v>
      </c>
      <c r="C1114" s="121" t="s">
        <v>4313</v>
      </c>
      <c r="D1114" s="122">
        <v>0</v>
      </c>
    </row>
    <row r="1115" spans="2:4" x14ac:dyDescent="0.2">
      <c r="B1115" s="120" t="s">
        <v>2012</v>
      </c>
      <c r="C1115" s="121" t="s">
        <v>2013</v>
      </c>
      <c r="D1115" s="122">
        <v>0.71</v>
      </c>
    </row>
    <row r="1116" spans="2:4" x14ac:dyDescent="0.2">
      <c r="B1116" s="120" t="s">
        <v>2014</v>
      </c>
      <c r="C1116" s="121" t="s">
        <v>2015</v>
      </c>
      <c r="D1116" s="122">
        <v>1.1100000000000001</v>
      </c>
    </row>
    <row r="1117" spans="2:4" x14ac:dyDescent="0.2">
      <c r="B1117" s="120" t="s">
        <v>4314</v>
      </c>
      <c r="C1117" s="121" t="s">
        <v>4315</v>
      </c>
      <c r="D1117" s="122">
        <v>3.44</v>
      </c>
    </row>
    <row r="1118" spans="2:4" x14ac:dyDescent="0.2">
      <c r="B1118" s="120" t="s">
        <v>4316</v>
      </c>
      <c r="C1118" s="121" t="s">
        <v>4317</v>
      </c>
      <c r="D1118" s="122">
        <v>0</v>
      </c>
    </row>
    <row r="1119" spans="2:4" x14ac:dyDescent="0.2">
      <c r="B1119" s="120" t="s">
        <v>2016</v>
      </c>
      <c r="C1119" s="121" t="s">
        <v>2017</v>
      </c>
      <c r="D1119" s="122">
        <v>0</v>
      </c>
    </row>
    <row r="1120" spans="2:4" x14ac:dyDescent="0.2">
      <c r="B1120" s="120" t="s">
        <v>2018</v>
      </c>
      <c r="C1120" s="121" t="s">
        <v>2019</v>
      </c>
      <c r="D1120" s="122">
        <v>0</v>
      </c>
    </row>
    <row r="1121" spans="2:4" x14ac:dyDescent="0.2">
      <c r="B1121" s="120" t="s">
        <v>2020</v>
      </c>
      <c r="C1121" s="121" t="s">
        <v>2021</v>
      </c>
      <c r="D1121" s="122">
        <v>1.42</v>
      </c>
    </row>
    <row r="1122" spans="2:4" x14ac:dyDescent="0.2">
      <c r="B1122" s="120" t="s">
        <v>2022</v>
      </c>
      <c r="C1122" s="121" t="s">
        <v>2023</v>
      </c>
      <c r="D1122" s="122">
        <v>1.29</v>
      </c>
    </row>
    <row r="1123" spans="2:4" x14ac:dyDescent="0.2">
      <c r="B1123" s="120" t="s">
        <v>2000</v>
      </c>
      <c r="C1123" s="121" t="s">
        <v>2024</v>
      </c>
      <c r="D1123" s="122">
        <v>0</v>
      </c>
    </row>
    <row r="1124" spans="2:4" x14ac:dyDescent="0.2">
      <c r="B1124" s="120" t="s">
        <v>2000</v>
      </c>
      <c r="C1124" s="121" t="s">
        <v>4318</v>
      </c>
      <c r="D1124" s="122">
        <v>0</v>
      </c>
    </row>
    <row r="1125" spans="2:4" x14ac:dyDescent="0.2">
      <c r="B1125" s="120" t="s">
        <v>2025</v>
      </c>
      <c r="C1125" s="121" t="s">
        <v>2026</v>
      </c>
      <c r="D1125" s="122">
        <v>0</v>
      </c>
    </row>
    <row r="1126" spans="2:4" x14ac:dyDescent="0.2">
      <c r="B1126" s="120" t="s">
        <v>2027</v>
      </c>
      <c r="C1126" s="121" t="s">
        <v>2028</v>
      </c>
      <c r="D1126" s="122">
        <v>0</v>
      </c>
    </row>
    <row r="1127" spans="2:4" x14ac:dyDescent="0.2">
      <c r="B1127" s="120" t="s">
        <v>2029</v>
      </c>
      <c r="C1127" s="121" t="s">
        <v>2030</v>
      </c>
      <c r="D1127" s="122">
        <v>0</v>
      </c>
    </row>
    <row r="1128" spans="2:4" x14ac:dyDescent="0.2">
      <c r="B1128" s="120" t="s">
        <v>2031</v>
      </c>
      <c r="C1128" s="121" t="s">
        <v>2032</v>
      </c>
      <c r="D1128" s="122">
        <v>0</v>
      </c>
    </row>
    <row r="1129" spans="2:4" x14ac:dyDescent="0.2">
      <c r="B1129" s="120" t="s">
        <v>4319</v>
      </c>
      <c r="C1129" s="121" t="s">
        <v>4320</v>
      </c>
      <c r="D1129" s="122">
        <v>0</v>
      </c>
    </row>
    <row r="1130" spans="2:4" x14ac:dyDescent="0.2">
      <c r="B1130" s="120" t="s">
        <v>2033</v>
      </c>
      <c r="C1130" s="121" t="s">
        <v>2034</v>
      </c>
      <c r="D1130" s="122">
        <v>0</v>
      </c>
    </row>
    <row r="1131" spans="2:4" x14ac:dyDescent="0.2">
      <c r="B1131" s="120" t="s">
        <v>2035</v>
      </c>
      <c r="C1131" s="121" t="s">
        <v>2036</v>
      </c>
      <c r="D1131" s="122">
        <v>2.2200000000000002</v>
      </c>
    </row>
    <row r="1132" spans="2:4" x14ac:dyDescent="0.2">
      <c r="B1132" s="120" t="s">
        <v>2037</v>
      </c>
      <c r="C1132" s="121" t="s">
        <v>2038</v>
      </c>
      <c r="D1132" s="122">
        <v>4.17</v>
      </c>
    </row>
    <row r="1133" spans="2:4" x14ac:dyDescent="0.2">
      <c r="B1133" s="120" t="s">
        <v>2039</v>
      </c>
      <c r="C1133" s="121" t="s">
        <v>2040</v>
      </c>
      <c r="D1133" s="122">
        <v>2.27</v>
      </c>
    </row>
    <row r="1134" spans="2:4" x14ac:dyDescent="0.2">
      <c r="B1134" s="120" t="s">
        <v>2041</v>
      </c>
      <c r="C1134" s="121" t="s">
        <v>2042</v>
      </c>
      <c r="D1134" s="122">
        <v>0</v>
      </c>
    </row>
    <row r="1135" spans="2:4" x14ac:dyDescent="0.2">
      <c r="B1135" s="120" t="s">
        <v>2043</v>
      </c>
      <c r="C1135" s="121" t="s">
        <v>2044</v>
      </c>
      <c r="D1135" s="122">
        <v>2.44</v>
      </c>
    </row>
    <row r="1136" spans="2:4" x14ac:dyDescent="0.2">
      <c r="B1136" s="120" t="s">
        <v>2045</v>
      </c>
      <c r="C1136" s="121" t="s">
        <v>2046</v>
      </c>
      <c r="D1136" s="122">
        <v>0</v>
      </c>
    </row>
    <row r="1137" spans="2:4" x14ac:dyDescent="0.2">
      <c r="B1137" s="120" t="s">
        <v>4321</v>
      </c>
      <c r="C1137" s="121" t="s">
        <v>4322</v>
      </c>
      <c r="D1137" s="122">
        <v>0.4</v>
      </c>
    </row>
    <row r="1138" spans="2:4" x14ac:dyDescent="0.2">
      <c r="B1138" s="120" t="s">
        <v>2047</v>
      </c>
      <c r="C1138" s="121" t="s">
        <v>2048</v>
      </c>
      <c r="D1138" s="122">
        <v>2.67</v>
      </c>
    </row>
    <row r="1139" spans="2:4" x14ac:dyDescent="0.2">
      <c r="B1139" s="120" t="s">
        <v>2049</v>
      </c>
      <c r="C1139" s="121" t="s">
        <v>2050</v>
      </c>
      <c r="D1139" s="122">
        <v>7.86</v>
      </c>
    </row>
    <row r="1140" spans="2:4" x14ac:dyDescent="0.2">
      <c r="B1140" s="120" t="s">
        <v>2051</v>
      </c>
      <c r="C1140" s="121" t="s">
        <v>2052</v>
      </c>
      <c r="D1140" s="122">
        <v>0</v>
      </c>
    </row>
    <row r="1141" spans="2:4" x14ac:dyDescent="0.2">
      <c r="B1141" s="120" t="s">
        <v>2053</v>
      </c>
      <c r="C1141" s="121" t="s">
        <v>2054</v>
      </c>
      <c r="D1141" s="122">
        <v>1.79</v>
      </c>
    </row>
    <row r="1142" spans="2:4" x14ac:dyDescent="0.2">
      <c r="B1142" s="120" t="s">
        <v>2055</v>
      </c>
      <c r="C1142" s="121" t="s">
        <v>2056</v>
      </c>
      <c r="D1142" s="122">
        <v>0</v>
      </c>
    </row>
    <row r="1143" spans="2:4" x14ac:dyDescent="0.2">
      <c r="B1143" s="120" t="s">
        <v>2057</v>
      </c>
      <c r="C1143" s="121" t="s">
        <v>2058</v>
      </c>
      <c r="D1143" s="122">
        <v>1.98</v>
      </c>
    </row>
    <row r="1144" spans="2:4" x14ac:dyDescent="0.2">
      <c r="B1144" s="120" t="s">
        <v>2059</v>
      </c>
      <c r="C1144" s="121" t="s">
        <v>2060</v>
      </c>
      <c r="D1144" s="122">
        <v>0</v>
      </c>
    </row>
    <row r="1145" spans="2:4" x14ac:dyDescent="0.2">
      <c r="B1145" s="120" t="s">
        <v>2061</v>
      </c>
      <c r="C1145" s="121" t="s">
        <v>2062</v>
      </c>
      <c r="D1145" s="122">
        <v>1.19</v>
      </c>
    </row>
    <row r="1146" spans="2:4" x14ac:dyDescent="0.2">
      <c r="B1146" s="120" t="s">
        <v>2063</v>
      </c>
      <c r="C1146" s="121" t="s">
        <v>2064</v>
      </c>
      <c r="D1146" s="122">
        <v>3.23</v>
      </c>
    </row>
    <row r="1147" spans="2:4" x14ac:dyDescent="0.2">
      <c r="B1147" s="120" t="s">
        <v>2065</v>
      </c>
      <c r="C1147" s="121" t="s">
        <v>2066</v>
      </c>
      <c r="D1147" s="122">
        <v>2.15</v>
      </c>
    </row>
    <row r="1148" spans="2:4" x14ac:dyDescent="0.2">
      <c r="B1148" s="120" t="s">
        <v>4323</v>
      </c>
      <c r="C1148" s="121" t="s">
        <v>4324</v>
      </c>
      <c r="D1148" s="122">
        <v>3.36</v>
      </c>
    </row>
    <row r="1149" spans="2:4" x14ac:dyDescent="0.2">
      <c r="B1149" s="120" t="s">
        <v>2067</v>
      </c>
      <c r="C1149" s="121" t="s">
        <v>2068</v>
      </c>
      <c r="D1149" s="122">
        <v>1.87</v>
      </c>
    </row>
    <row r="1150" spans="2:4" x14ac:dyDescent="0.2">
      <c r="B1150" s="120" t="s">
        <v>2069</v>
      </c>
      <c r="C1150" s="121" t="s">
        <v>2070</v>
      </c>
      <c r="D1150" s="122">
        <v>1.24</v>
      </c>
    </row>
    <row r="1151" spans="2:4" x14ac:dyDescent="0.2">
      <c r="B1151" s="120" t="s">
        <v>2071</v>
      </c>
      <c r="C1151" s="121" t="s">
        <v>2072</v>
      </c>
      <c r="D1151" s="122">
        <v>3.82</v>
      </c>
    </row>
    <row r="1152" spans="2:4" x14ac:dyDescent="0.2">
      <c r="B1152" s="120" t="s">
        <v>2073</v>
      </c>
      <c r="C1152" s="121" t="s">
        <v>2074</v>
      </c>
      <c r="D1152" s="122">
        <v>0.65</v>
      </c>
    </row>
    <row r="1153" spans="2:4" x14ac:dyDescent="0.2">
      <c r="B1153" s="120" t="s">
        <v>1509</v>
      </c>
      <c r="C1153" s="121" t="s">
        <v>4325</v>
      </c>
      <c r="D1153" s="122">
        <v>0</v>
      </c>
    </row>
    <row r="1154" spans="2:4" x14ac:dyDescent="0.2">
      <c r="B1154" s="120" t="s">
        <v>1509</v>
      </c>
      <c r="C1154" s="121" t="s">
        <v>4326</v>
      </c>
      <c r="D1154" s="122">
        <v>0</v>
      </c>
    </row>
    <row r="1155" spans="2:4" x14ac:dyDescent="0.2">
      <c r="B1155" s="120" t="s">
        <v>1509</v>
      </c>
      <c r="C1155" s="121" t="s">
        <v>2075</v>
      </c>
      <c r="D1155" s="122">
        <v>0</v>
      </c>
    </row>
    <row r="1156" spans="2:4" x14ac:dyDescent="0.2">
      <c r="B1156" s="120" t="s">
        <v>2076</v>
      </c>
      <c r="C1156" s="121" t="s">
        <v>2077</v>
      </c>
      <c r="D1156" s="122">
        <v>0.45</v>
      </c>
    </row>
    <row r="1157" spans="2:4" x14ac:dyDescent="0.2">
      <c r="B1157" s="120" t="s">
        <v>4327</v>
      </c>
      <c r="C1157" s="121" t="s">
        <v>4328</v>
      </c>
      <c r="D1157" s="122">
        <v>3.85</v>
      </c>
    </row>
    <row r="1158" spans="2:4" x14ac:dyDescent="0.2">
      <c r="B1158" s="120" t="s">
        <v>15</v>
      </c>
      <c r="C1158" s="121" t="s">
        <v>16</v>
      </c>
      <c r="D1158" s="122">
        <v>0</v>
      </c>
    </row>
    <row r="1159" spans="2:4" x14ac:dyDescent="0.2">
      <c r="B1159" s="120" t="s">
        <v>4329</v>
      </c>
      <c r="C1159" s="121" t="s">
        <v>4330</v>
      </c>
      <c r="D1159" s="122">
        <v>1.8</v>
      </c>
    </row>
    <row r="1160" spans="2:4" x14ac:dyDescent="0.2">
      <c r="B1160" s="120" t="s">
        <v>2078</v>
      </c>
      <c r="C1160" s="121" t="s">
        <v>2079</v>
      </c>
      <c r="D1160" s="122">
        <v>1.32</v>
      </c>
    </row>
    <row r="1161" spans="2:4" x14ac:dyDescent="0.2">
      <c r="B1161" s="120" t="s">
        <v>2080</v>
      </c>
      <c r="C1161" s="121" t="s">
        <v>2081</v>
      </c>
      <c r="D1161" s="122">
        <v>1.72</v>
      </c>
    </row>
    <row r="1162" spans="2:4" x14ac:dyDescent="0.2">
      <c r="B1162" s="120" t="s">
        <v>2082</v>
      </c>
      <c r="C1162" s="121" t="s">
        <v>2083</v>
      </c>
      <c r="D1162" s="122">
        <v>5.47</v>
      </c>
    </row>
    <row r="1163" spans="2:4" x14ac:dyDescent="0.2">
      <c r="B1163" s="120" t="s">
        <v>2084</v>
      </c>
      <c r="C1163" s="121" t="s">
        <v>2085</v>
      </c>
      <c r="D1163" s="122">
        <v>1.0900000000000001</v>
      </c>
    </row>
    <row r="1164" spans="2:4" x14ac:dyDescent="0.2">
      <c r="B1164" s="120" t="s">
        <v>2086</v>
      </c>
      <c r="C1164" s="121" t="s">
        <v>2087</v>
      </c>
      <c r="D1164" s="122">
        <v>4.76</v>
      </c>
    </row>
    <row r="1165" spans="2:4" x14ac:dyDescent="0.2">
      <c r="B1165" s="120" t="s">
        <v>4331</v>
      </c>
      <c r="C1165" s="121" t="s">
        <v>4332</v>
      </c>
      <c r="D1165" s="122">
        <v>0</v>
      </c>
    </row>
    <row r="1166" spans="2:4" x14ac:dyDescent="0.2">
      <c r="B1166" s="120" t="s">
        <v>2088</v>
      </c>
      <c r="C1166" s="121" t="s">
        <v>2089</v>
      </c>
      <c r="D1166" s="122">
        <v>4.12</v>
      </c>
    </row>
    <row r="1167" spans="2:4" x14ac:dyDescent="0.2">
      <c r="B1167" s="120" t="s">
        <v>4333</v>
      </c>
      <c r="C1167" s="121" t="s">
        <v>4334</v>
      </c>
      <c r="D1167" s="122">
        <v>0</v>
      </c>
    </row>
    <row r="1168" spans="2:4" x14ac:dyDescent="0.2">
      <c r="B1168" s="120" t="s">
        <v>2090</v>
      </c>
      <c r="C1168" s="121" t="s">
        <v>2091</v>
      </c>
      <c r="D1168" s="122">
        <v>0</v>
      </c>
    </row>
    <row r="1169" spans="2:4" x14ac:dyDescent="0.2">
      <c r="B1169" s="120" t="s">
        <v>2092</v>
      </c>
      <c r="C1169" s="121" t="s">
        <v>2093</v>
      </c>
      <c r="D1169" s="122">
        <v>9.8000000000000007</v>
      </c>
    </row>
    <row r="1170" spans="2:4" x14ac:dyDescent="0.2">
      <c r="B1170" s="120" t="s">
        <v>2094</v>
      </c>
      <c r="C1170" s="121" t="s">
        <v>2095</v>
      </c>
      <c r="D1170" s="122">
        <v>0.49</v>
      </c>
    </row>
    <row r="1171" spans="2:4" x14ac:dyDescent="0.2">
      <c r="B1171" s="120" t="s">
        <v>2096</v>
      </c>
      <c r="C1171" s="121" t="s">
        <v>2097</v>
      </c>
      <c r="D1171" s="122">
        <v>2.98</v>
      </c>
    </row>
    <row r="1172" spans="2:4" x14ac:dyDescent="0.2">
      <c r="B1172" s="120" t="s">
        <v>2098</v>
      </c>
      <c r="C1172" s="121" t="s">
        <v>2099</v>
      </c>
      <c r="D1172" s="122">
        <v>9.25</v>
      </c>
    </row>
    <row r="1173" spans="2:4" x14ac:dyDescent="0.2">
      <c r="B1173" s="120" t="s">
        <v>4335</v>
      </c>
      <c r="C1173" s="121" t="s">
        <v>4336</v>
      </c>
      <c r="D1173" s="122">
        <v>6.49</v>
      </c>
    </row>
    <row r="1174" spans="2:4" x14ac:dyDescent="0.2">
      <c r="B1174" s="120" t="s">
        <v>2100</v>
      </c>
      <c r="C1174" s="121" t="s">
        <v>2101</v>
      </c>
      <c r="D1174" s="122">
        <v>2.54</v>
      </c>
    </row>
    <row r="1175" spans="2:4" x14ac:dyDescent="0.2">
      <c r="B1175" s="120" t="s">
        <v>2102</v>
      </c>
      <c r="C1175" s="121" t="s">
        <v>2103</v>
      </c>
      <c r="D1175" s="122">
        <v>0</v>
      </c>
    </row>
    <row r="1176" spans="2:4" x14ac:dyDescent="0.2">
      <c r="B1176" s="120" t="s">
        <v>2104</v>
      </c>
      <c r="C1176" s="121" t="s">
        <v>2105</v>
      </c>
      <c r="D1176" s="122">
        <v>1.51</v>
      </c>
    </row>
    <row r="1177" spans="2:4" x14ac:dyDescent="0.2">
      <c r="B1177" s="120" t="s">
        <v>4337</v>
      </c>
      <c r="C1177" s="121" t="s">
        <v>4338</v>
      </c>
      <c r="D1177" s="122">
        <v>3.65</v>
      </c>
    </row>
    <row r="1178" spans="2:4" x14ac:dyDescent="0.2">
      <c r="B1178" s="120" t="s">
        <v>2106</v>
      </c>
      <c r="C1178" s="121" t="s">
        <v>2107</v>
      </c>
      <c r="D1178" s="122">
        <v>1.18</v>
      </c>
    </row>
    <row r="1179" spans="2:4" x14ac:dyDescent="0.2">
      <c r="B1179" s="120" t="s">
        <v>2108</v>
      </c>
      <c r="C1179" s="121" t="s">
        <v>2109</v>
      </c>
      <c r="D1179" s="122">
        <v>0</v>
      </c>
    </row>
    <row r="1180" spans="2:4" x14ac:dyDescent="0.2">
      <c r="B1180" s="120" t="s">
        <v>2110</v>
      </c>
      <c r="C1180" s="121" t="s">
        <v>2111</v>
      </c>
      <c r="D1180" s="122">
        <v>0</v>
      </c>
    </row>
    <row r="1181" spans="2:4" x14ac:dyDescent="0.2">
      <c r="B1181" s="120" t="s">
        <v>4339</v>
      </c>
      <c r="C1181" s="121" t="s">
        <v>4340</v>
      </c>
      <c r="D1181" s="122">
        <v>1.64</v>
      </c>
    </row>
    <row r="1182" spans="2:4" x14ac:dyDescent="0.2">
      <c r="B1182" s="120" t="s">
        <v>4341</v>
      </c>
      <c r="C1182" s="121" t="s">
        <v>4342</v>
      </c>
      <c r="D1182" s="122">
        <v>2.77</v>
      </c>
    </row>
    <row r="1183" spans="2:4" x14ac:dyDescent="0.2">
      <c r="B1183" s="120" t="s">
        <v>2112</v>
      </c>
      <c r="C1183" s="121" t="s">
        <v>2113</v>
      </c>
      <c r="D1183" s="122">
        <v>12.12</v>
      </c>
    </row>
    <row r="1184" spans="2:4" x14ac:dyDescent="0.2">
      <c r="B1184" s="120" t="s">
        <v>2114</v>
      </c>
      <c r="C1184" s="121" t="s">
        <v>2115</v>
      </c>
      <c r="D1184" s="122">
        <v>2.2200000000000002</v>
      </c>
    </row>
    <row r="1185" spans="2:4" x14ac:dyDescent="0.2">
      <c r="B1185" s="120" t="s">
        <v>2116</v>
      </c>
      <c r="C1185" s="121" t="s">
        <v>2117</v>
      </c>
      <c r="D1185" s="122">
        <v>1.62</v>
      </c>
    </row>
    <row r="1186" spans="2:4" x14ac:dyDescent="0.2">
      <c r="B1186" s="120" t="s">
        <v>2118</v>
      </c>
      <c r="C1186" s="121" t="s">
        <v>2119</v>
      </c>
      <c r="D1186" s="122">
        <v>1.1200000000000001</v>
      </c>
    </row>
    <row r="1187" spans="2:4" x14ac:dyDescent="0.2">
      <c r="B1187" s="120" t="s">
        <v>2120</v>
      </c>
      <c r="C1187" s="121" t="s">
        <v>2121</v>
      </c>
      <c r="D1187" s="122">
        <v>0.93</v>
      </c>
    </row>
    <row r="1188" spans="2:4" x14ac:dyDescent="0.2">
      <c r="B1188" s="120" t="s">
        <v>2122</v>
      </c>
      <c r="C1188" s="121" t="s">
        <v>2123</v>
      </c>
      <c r="D1188" s="122">
        <v>4.53</v>
      </c>
    </row>
    <row r="1189" spans="2:4" x14ac:dyDescent="0.2">
      <c r="B1189" s="120" t="s">
        <v>2124</v>
      </c>
      <c r="C1189" s="121" t="s">
        <v>2125</v>
      </c>
      <c r="D1189" s="122">
        <v>0</v>
      </c>
    </row>
    <row r="1190" spans="2:4" x14ac:dyDescent="0.2">
      <c r="B1190" s="120" t="s">
        <v>2126</v>
      </c>
      <c r="C1190" s="121" t="s">
        <v>2127</v>
      </c>
      <c r="D1190" s="122">
        <v>0</v>
      </c>
    </row>
    <row r="1191" spans="2:4" x14ac:dyDescent="0.2">
      <c r="B1191" s="120" t="s">
        <v>4343</v>
      </c>
      <c r="C1191" s="121" t="s">
        <v>4344</v>
      </c>
      <c r="D1191" s="122">
        <v>0</v>
      </c>
    </row>
    <row r="1192" spans="2:4" x14ac:dyDescent="0.2">
      <c r="B1192" s="120" t="s">
        <v>4345</v>
      </c>
      <c r="C1192" s="121" t="s">
        <v>4346</v>
      </c>
      <c r="D1192" s="122">
        <v>0</v>
      </c>
    </row>
    <row r="1193" spans="2:4" x14ac:dyDescent="0.2">
      <c r="B1193" s="120" t="s">
        <v>4347</v>
      </c>
      <c r="C1193" s="121" t="s">
        <v>4348</v>
      </c>
      <c r="D1193" s="122">
        <v>0</v>
      </c>
    </row>
    <row r="1194" spans="2:4" x14ac:dyDescent="0.2">
      <c r="B1194" s="120" t="s">
        <v>2128</v>
      </c>
      <c r="C1194" s="121" t="s">
        <v>2129</v>
      </c>
      <c r="D1194" s="122">
        <v>1.9</v>
      </c>
    </row>
    <row r="1195" spans="2:4" x14ac:dyDescent="0.2">
      <c r="B1195" s="120" t="s">
        <v>2130</v>
      </c>
      <c r="C1195" s="121" t="s">
        <v>2131</v>
      </c>
      <c r="D1195" s="122">
        <v>0</v>
      </c>
    </row>
    <row r="1196" spans="2:4" x14ac:dyDescent="0.2">
      <c r="B1196" s="120" t="s">
        <v>2132</v>
      </c>
      <c r="C1196" s="121" t="s">
        <v>2133</v>
      </c>
      <c r="D1196" s="122">
        <v>1.94</v>
      </c>
    </row>
    <row r="1197" spans="2:4" x14ac:dyDescent="0.2">
      <c r="B1197" s="120" t="s">
        <v>2134</v>
      </c>
      <c r="C1197" s="121" t="s">
        <v>2135</v>
      </c>
      <c r="D1197" s="122">
        <v>2.89</v>
      </c>
    </row>
    <row r="1198" spans="2:4" x14ac:dyDescent="0.2">
      <c r="B1198" s="120" t="s">
        <v>2136</v>
      </c>
      <c r="C1198" s="121" t="s">
        <v>2137</v>
      </c>
      <c r="D1198" s="122">
        <v>0</v>
      </c>
    </row>
    <row r="1199" spans="2:4" x14ac:dyDescent="0.2">
      <c r="B1199" s="120" t="s">
        <v>4349</v>
      </c>
      <c r="C1199" s="121" t="s">
        <v>4350</v>
      </c>
      <c r="D1199" s="122">
        <v>1.56</v>
      </c>
    </row>
    <row r="1200" spans="2:4" x14ac:dyDescent="0.2">
      <c r="B1200" s="120" t="s">
        <v>2138</v>
      </c>
      <c r="C1200" s="121" t="s">
        <v>2139</v>
      </c>
      <c r="D1200" s="122">
        <v>0</v>
      </c>
    </row>
    <row r="1201" spans="2:4" x14ac:dyDescent="0.2">
      <c r="B1201" s="120" t="s">
        <v>4351</v>
      </c>
      <c r="C1201" s="121" t="s">
        <v>4352</v>
      </c>
      <c r="D1201" s="122">
        <v>2.15</v>
      </c>
    </row>
    <row r="1202" spans="2:4" x14ac:dyDescent="0.2">
      <c r="B1202" s="120" t="s">
        <v>2140</v>
      </c>
      <c r="C1202" s="121" t="s">
        <v>2141</v>
      </c>
      <c r="D1202" s="122">
        <v>3.71</v>
      </c>
    </row>
    <row r="1203" spans="2:4" x14ac:dyDescent="0.2">
      <c r="B1203" s="120" t="s">
        <v>2142</v>
      </c>
      <c r="C1203" s="121" t="s">
        <v>2143</v>
      </c>
      <c r="D1203" s="122">
        <v>10.72</v>
      </c>
    </row>
    <row r="1204" spans="2:4" x14ac:dyDescent="0.2">
      <c r="B1204" s="120" t="s">
        <v>2144</v>
      </c>
      <c r="C1204" s="121" t="s">
        <v>2145</v>
      </c>
      <c r="D1204" s="122">
        <v>4.1100000000000003</v>
      </c>
    </row>
    <row r="1205" spans="2:4" x14ac:dyDescent="0.2">
      <c r="B1205" s="120" t="s">
        <v>2146</v>
      </c>
      <c r="C1205" s="121" t="s">
        <v>2147</v>
      </c>
      <c r="D1205" s="122">
        <v>3.32</v>
      </c>
    </row>
    <row r="1206" spans="2:4" x14ac:dyDescent="0.2">
      <c r="B1206" s="120" t="s">
        <v>4353</v>
      </c>
      <c r="C1206" s="121" t="s">
        <v>4354</v>
      </c>
      <c r="D1206" s="122">
        <v>7.78</v>
      </c>
    </row>
    <row r="1207" spans="2:4" x14ac:dyDescent="0.2">
      <c r="B1207" s="120" t="s">
        <v>2148</v>
      </c>
      <c r="C1207" s="121" t="s">
        <v>2149</v>
      </c>
      <c r="D1207" s="122">
        <v>2.77</v>
      </c>
    </row>
    <row r="1208" spans="2:4" x14ac:dyDescent="0.2">
      <c r="B1208" s="120" t="s">
        <v>2150</v>
      </c>
      <c r="C1208" s="121" t="s">
        <v>2151</v>
      </c>
      <c r="D1208" s="122">
        <v>2.88</v>
      </c>
    </row>
    <row r="1209" spans="2:4" x14ac:dyDescent="0.2">
      <c r="B1209" s="120" t="s">
        <v>2152</v>
      </c>
      <c r="C1209" s="121" t="s">
        <v>2153</v>
      </c>
      <c r="D1209" s="122">
        <v>1.8</v>
      </c>
    </row>
    <row r="1210" spans="2:4" x14ac:dyDescent="0.2">
      <c r="B1210" s="120" t="s">
        <v>2154</v>
      </c>
      <c r="C1210" s="121" t="s">
        <v>2155</v>
      </c>
      <c r="D1210" s="122">
        <v>0</v>
      </c>
    </row>
    <row r="1211" spans="2:4" x14ac:dyDescent="0.2">
      <c r="B1211" s="120" t="s">
        <v>4355</v>
      </c>
      <c r="C1211" s="121" t="s">
        <v>4356</v>
      </c>
      <c r="D1211" s="122">
        <v>4.13</v>
      </c>
    </row>
    <row r="1212" spans="2:4" x14ac:dyDescent="0.2">
      <c r="B1212" s="120" t="s">
        <v>2156</v>
      </c>
      <c r="C1212" s="121" t="s">
        <v>2157</v>
      </c>
      <c r="D1212" s="122">
        <v>0</v>
      </c>
    </row>
    <row r="1213" spans="2:4" x14ac:dyDescent="0.2">
      <c r="B1213" s="120" t="s">
        <v>2158</v>
      </c>
      <c r="C1213" s="121" t="s">
        <v>2159</v>
      </c>
      <c r="D1213" s="122">
        <v>0</v>
      </c>
    </row>
    <row r="1214" spans="2:4" x14ac:dyDescent="0.2">
      <c r="B1214" s="120" t="s">
        <v>2160</v>
      </c>
      <c r="C1214" s="121" t="s">
        <v>2161</v>
      </c>
      <c r="D1214" s="122">
        <v>10.15</v>
      </c>
    </row>
    <row r="1215" spans="2:4" x14ac:dyDescent="0.2">
      <c r="B1215" s="120" t="s">
        <v>2162</v>
      </c>
      <c r="C1215" s="121" t="s">
        <v>2163</v>
      </c>
      <c r="D1215" s="122">
        <v>0</v>
      </c>
    </row>
    <row r="1216" spans="2:4" x14ac:dyDescent="0.2">
      <c r="B1216" s="120" t="s">
        <v>4357</v>
      </c>
      <c r="C1216" s="121" t="s">
        <v>4358</v>
      </c>
      <c r="D1216" s="122">
        <v>1.35</v>
      </c>
    </row>
    <row r="1217" spans="2:4" x14ac:dyDescent="0.2">
      <c r="B1217" s="120" t="s">
        <v>4359</v>
      </c>
      <c r="C1217" s="121" t="s">
        <v>4360</v>
      </c>
      <c r="D1217" s="122">
        <v>1.1000000000000001</v>
      </c>
    </row>
    <row r="1218" spans="2:4" x14ac:dyDescent="0.2">
      <c r="B1218" s="120" t="s">
        <v>4361</v>
      </c>
      <c r="C1218" s="121" t="s">
        <v>4362</v>
      </c>
      <c r="D1218" s="122">
        <v>3.68</v>
      </c>
    </row>
    <row r="1219" spans="2:4" x14ac:dyDescent="0.2">
      <c r="B1219" s="120" t="s">
        <v>2164</v>
      </c>
      <c r="C1219" s="121" t="s">
        <v>2165</v>
      </c>
      <c r="D1219" s="122">
        <v>1.42</v>
      </c>
    </row>
    <row r="1220" spans="2:4" x14ac:dyDescent="0.2">
      <c r="B1220" s="120" t="s">
        <v>4363</v>
      </c>
      <c r="C1220" s="121" t="s">
        <v>4364</v>
      </c>
      <c r="D1220" s="122">
        <v>0</v>
      </c>
    </row>
    <row r="1221" spans="2:4" x14ac:dyDescent="0.2">
      <c r="B1221" s="120" t="s">
        <v>2166</v>
      </c>
      <c r="C1221" s="121" t="s">
        <v>2167</v>
      </c>
      <c r="D1221" s="122">
        <v>0</v>
      </c>
    </row>
    <row r="1222" spans="2:4" x14ac:dyDescent="0.2">
      <c r="B1222" s="120" t="s">
        <v>2168</v>
      </c>
      <c r="C1222" s="121" t="s">
        <v>2169</v>
      </c>
      <c r="D1222" s="122">
        <v>0.86</v>
      </c>
    </row>
    <row r="1223" spans="2:4" x14ac:dyDescent="0.2">
      <c r="B1223" s="120" t="s">
        <v>4365</v>
      </c>
      <c r="C1223" s="121" t="s">
        <v>4366</v>
      </c>
      <c r="D1223" s="122">
        <v>2.39</v>
      </c>
    </row>
    <row r="1224" spans="2:4" x14ac:dyDescent="0.2">
      <c r="B1224" s="120" t="s">
        <v>2170</v>
      </c>
      <c r="C1224" s="121" t="s">
        <v>2171</v>
      </c>
      <c r="D1224" s="122">
        <v>0.6</v>
      </c>
    </row>
    <row r="1225" spans="2:4" x14ac:dyDescent="0.2">
      <c r="B1225" s="120" t="s">
        <v>2172</v>
      </c>
      <c r="C1225" s="121" t="s">
        <v>2173</v>
      </c>
      <c r="D1225" s="122">
        <v>3.14</v>
      </c>
    </row>
    <row r="1226" spans="2:4" x14ac:dyDescent="0.2">
      <c r="B1226" s="120" t="s">
        <v>4367</v>
      </c>
      <c r="C1226" s="121" t="s">
        <v>4368</v>
      </c>
      <c r="D1226" s="122">
        <v>3.51</v>
      </c>
    </row>
    <row r="1227" spans="2:4" x14ac:dyDescent="0.2">
      <c r="B1227" s="120" t="s">
        <v>2174</v>
      </c>
      <c r="C1227" s="121" t="s">
        <v>2175</v>
      </c>
      <c r="D1227" s="122">
        <v>0.83</v>
      </c>
    </row>
    <row r="1228" spans="2:4" x14ac:dyDescent="0.2">
      <c r="B1228" s="120" t="s">
        <v>2176</v>
      </c>
      <c r="C1228" s="121" t="s">
        <v>2177</v>
      </c>
      <c r="D1228" s="122">
        <v>0</v>
      </c>
    </row>
    <row r="1229" spans="2:4" x14ac:dyDescent="0.2">
      <c r="B1229" s="120" t="s">
        <v>4369</v>
      </c>
      <c r="C1229" s="121" t="s">
        <v>4370</v>
      </c>
      <c r="D1229" s="122">
        <v>0</v>
      </c>
    </row>
    <row r="1230" spans="2:4" x14ac:dyDescent="0.2">
      <c r="B1230" s="120" t="s">
        <v>2178</v>
      </c>
      <c r="C1230" s="121" t="s">
        <v>2179</v>
      </c>
      <c r="D1230" s="122">
        <v>1.8</v>
      </c>
    </row>
    <row r="1231" spans="2:4" x14ac:dyDescent="0.2">
      <c r="B1231" s="120" t="s">
        <v>2180</v>
      </c>
      <c r="C1231" s="121" t="s">
        <v>2181</v>
      </c>
      <c r="D1231" s="122">
        <v>3.45</v>
      </c>
    </row>
    <row r="1232" spans="2:4" x14ac:dyDescent="0.2">
      <c r="B1232" s="120" t="s">
        <v>2182</v>
      </c>
      <c r="C1232" s="121" t="s">
        <v>2183</v>
      </c>
      <c r="D1232" s="122">
        <v>6.01</v>
      </c>
    </row>
    <row r="1233" spans="2:4" x14ac:dyDescent="0.2">
      <c r="B1233" s="120" t="s">
        <v>2184</v>
      </c>
      <c r="C1233" s="121" t="s">
        <v>2185</v>
      </c>
      <c r="D1233" s="122">
        <v>1.28</v>
      </c>
    </row>
    <row r="1234" spans="2:4" x14ac:dyDescent="0.2">
      <c r="B1234" s="120" t="s">
        <v>4371</v>
      </c>
      <c r="C1234" s="121" t="s">
        <v>4372</v>
      </c>
      <c r="D1234" s="122">
        <v>1.1499999999999999</v>
      </c>
    </row>
    <row r="1235" spans="2:4" x14ac:dyDescent="0.2">
      <c r="B1235" s="120" t="s">
        <v>2186</v>
      </c>
      <c r="C1235" s="121" t="s">
        <v>2187</v>
      </c>
      <c r="D1235" s="122">
        <v>0</v>
      </c>
    </row>
    <row r="1236" spans="2:4" x14ac:dyDescent="0.2">
      <c r="B1236" s="120" t="s">
        <v>2188</v>
      </c>
      <c r="C1236" s="121" t="s">
        <v>2189</v>
      </c>
      <c r="D1236" s="122">
        <v>8.23</v>
      </c>
    </row>
    <row r="1237" spans="2:4" x14ac:dyDescent="0.2">
      <c r="B1237" s="120" t="s">
        <v>2190</v>
      </c>
      <c r="C1237" s="121" t="s">
        <v>4373</v>
      </c>
      <c r="D1237" s="122">
        <v>1.1499999999999999</v>
      </c>
    </row>
    <row r="1238" spans="2:4" x14ac:dyDescent="0.2">
      <c r="B1238" s="120" t="s">
        <v>2192</v>
      </c>
      <c r="C1238" s="121" t="s">
        <v>2193</v>
      </c>
      <c r="D1238" s="122">
        <v>0</v>
      </c>
    </row>
    <row r="1239" spans="2:4" x14ac:dyDescent="0.2">
      <c r="B1239" s="120" t="s">
        <v>2194</v>
      </c>
      <c r="C1239" s="121" t="s">
        <v>2195</v>
      </c>
      <c r="D1239" s="122">
        <v>0</v>
      </c>
    </row>
    <row r="1240" spans="2:4" x14ac:dyDescent="0.2">
      <c r="B1240" s="120" t="s">
        <v>2196</v>
      </c>
      <c r="C1240" s="121" t="s">
        <v>2197</v>
      </c>
      <c r="D1240" s="122">
        <v>2.81</v>
      </c>
    </row>
    <row r="1241" spans="2:4" x14ac:dyDescent="0.2">
      <c r="B1241" s="120" t="s">
        <v>2198</v>
      </c>
      <c r="C1241" s="121" t="s">
        <v>2199</v>
      </c>
      <c r="D1241" s="122">
        <v>0.33</v>
      </c>
    </row>
    <row r="1242" spans="2:4" x14ac:dyDescent="0.2">
      <c r="B1242" s="120" t="s">
        <v>4374</v>
      </c>
      <c r="C1242" s="121" t="s">
        <v>4375</v>
      </c>
      <c r="D1242" s="122">
        <v>0</v>
      </c>
    </row>
    <row r="1243" spans="2:4" x14ac:dyDescent="0.2">
      <c r="B1243" s="120" t="s">
        <v>4376</v>
      </c>
      <c r="C1243" s="121" t="s">
        <v>4377</v>
      </c>
      <c r="D1243" s="122">
        <v>0.71</v>
      </c>
    </row>
    <row r="1244" spans="2:4" x14ac:dyDescent="0.2">
      <c r="B1244" s="120" t="s">
        <v>2200</v>
      </c>
      <c r="C1244" s="121" t="s">
        <v>2201</v>
      </c>
      <c r="D1244" s="122">
        <v>0.97</v>
      </c>
    </row>
    <row r="1245" spans="2:4" x14ac:dyDescent="0.2">
      <c r="B1245" s="120" t="s">
        <v>2202</v>
      </c>
      <c r="C1245" s="121" t="s">
        <v>2203</v>
      </c>
      <c r="D1245" s="122">
        <v>3.85</v>
      </c>
    </row>
    <row r="1246" spans="2:4" x14ac:dyDescent="0.2">
      <c r="B1246" s="120" t="s">
        <v>2204</v>
      </c>
      <c r="C1246" s="121" t="s">
        <v>2205</v>
      </c>
      <c r="D1246" s="122">
        <v>8.8800000000000008</v>
      </c>
    </row>
    <row r="1247" spans="2:4" x14ac:dyDescent="0.2">
      <c r="B1247" s="120" t="s">
        <v>2206</v>
      </c>
      <c r="C1247" s="121" t="s">
        <v>2207</v>
      </c>
      <c r="D1247" s="122">
        <v>5.46</v>
      </c>
    </row>
    <row r="1248" spans="2:4" x14ac:dyDescent="0.2">
      <c r="B1248" s="120" t="s">
        <v>2208</v>
      </c>
      <c r="C1248" s="121" t="s">
        <v>2209</v>
      </c>
      <c r="D1248" s="122">
        <v>1.04</v>
      </c>
    </row>
    <row r="1249" spans="2:4" x14ac:dyDescent="0.2">
      <c r="B1249" s="120" t="s">
        <v>4378</v>
      </c>
      <c r="C1249" s="121" t="s">
        <v>4379</v>
      </c>
      <c r="D1249" s="122">
        <v>4.0999999999999996</v>
      </c>
    </row>
    <row r="1250" spans="2:4" x14ac:dyDescent="0.2">
      <c r="B1250" s="120" t="s">
        <v>2210</v>
      </c>
      <c r="C1250" s="121" t="s">
        <v>2211</v>
      </c>
      <c r="D1250" s="122">
        <v>0</v>
      </c>
    </row>
    <row r="1251" spans="2:4" x14ac:dyDescent="0.2">
      <c r="B1251" s="120" t="s">
        <v>2212</v>
      </c>
      <c r="C1251" s="121" t="s">
        <v>2213</v>
      </c>
      <c r="D1251" s="122">
        <v>2.58</v>
      </c>
    </row>
    <row r="1252" spans="2:4" x14ac:dyDescent="0.2">
      <c r="B1252" s="120" t="s">
        <v>2214</v>
      </c>
      <c r="C1252" s="121" t="s">
        <v>2215</v>
      </c>
      <c r="D1252" s="122">
        <v>0</v>
      </c>
    </row>
    <row r="1253" spans="2:4" x14ac:dyDescent="0.2">
      <c r="B1253" s="120" t="s">
        <v>2216</v>
      </c>
      <c r="C1253" s="121" t="s">
        <v>2217</v>
      </c>
      <c r="D1253" s="122">
        <v>1.52</v>
      </c>
    </row>
    <row r="1254" spans="2:4" x14ac:dyDescent="0.2">
      <c r="B1254" s="120" t="s">
        <v>2218</v>
      </c>
      <c r="C1254" s="121" t="s">
        <v>2219</v>
      </c>
      <c r="D1254" s="122">
        <v>0</v>
      </c>
    </row>
    <row r="1255" spans="2:4" x14ac:dyDescent="0.2">
      <c r="B1255" s="120" t="s">
        <v>2220</v>
      </c>
      <c r="C1255" s="121" t="s">
        <v>2221</v>
      </c>
      <c r="D1255" s="122">
        <v>0.97</v>
      </c>
    </row>
    <row r="1256" spans="2:4" x14ac:dyDescent="0.2">
      <c r="B1256" s="120" t="s">
        <v>2222</v>
      </c>
      <c r="C1256" s="121" t="s">
        <v>2223</v>
      </c>
      <c r="D1256" s="122">
        <v>7.83</v>
      </c>
    </row>
    <row r="1257" spans="2:4" x14ac:dyDescent="0.2">
      <c r="B1257" s="120" t="s">
        <v>2224</v>
      </c>
      <c r="C1257" s="121" t="s">
        <v>2225</v>
      </c>
      <c r="D1257" s="122">
        <v>3.21</v>
      </c>
    </row>
    <row r="1258" spans="2:4" x14ac:dyDescent="0.2">
      <c r="B1258" s="120" t="s">
        <v>2226</v>
      </c>
      <c r="C1258" s="121" t="s">
        <v>2227</v>
      </c>
      <c r="D1258" s="122">
        <v>1.56</v>
      </c>
    </row>
    <row r="1259" spans="2:4" x14ac:dyDescent="0.2">
      <c r="B1259" s="120" t="s">
        <v>2228</v>
      </c>
      <c r="C1259" s="121" t="s">
        <v>2229</v>
      </c>
      <c r="D1259" s="122">
        <v>2.94</v>
      </c>
    </row>
    <row r="1260" spans="2:4" x14ac:dyDescent="0.2">
      <c r="B1260" s="120" t="s">
        <v>4380</v>
      </c>
      <c r="C1260" s="121" t="s">
        <v>4381</v>
      </c>
      <c r="D1260" s="122">
        <v>4.63</v>
      </c>
    </row>
    <row r="1261" spans="2:4" x14ac:dyDescent="0.2">
      <c r="B1261" s="120" t="s">
        <v>2230</v>
      </c>
      <c r="C1261" s="121" t="s">
        <v>2231</v>
      </c>
      <c r="D1261" s="122">
        <v>1.2</v>
      </c>
    </row>
    <row r="1262" spans="2:4" x14ac:dyDescent="0.2">
      <c r="B1262" s="120" t="s">
        <v>2232</v>
      </c>
      <c r="C1262" s="121" t="s">
        <v>2233</v>
      </c>
      <c r="D1262" s="122">
        <v>1.32</v>
      </c>
    </row>
    <row r="1263" spans="2:4" x14ac:dyDescent="0.2">
      <c r="B1263" s="120" t="s">
        <v>2234</v>
      </c>
      <c r="C1263" s="121" t="s">
        <v>2235</v>
      </c>
      <c r="D1263" s="122">
        <v>0</v>
      </c>
    </row>
    <row r="1264" spans="2:4" x14ac:dyDescent="0.2">
      <c r="B1264" s="120" t="s">
        <v>2236</v>
      </c>
      <c r="C1264" s="121" t="s">
        <v>2237</v>
      </c>
      <c r="D1264" s="122">
        <v>1.37</v>
      </c>
    </row>
    <row r="1265" spans="2:4" x14ac:dyDescent="0.2">
      <c r="B1265" s="120" t="s">
        <v>2238</v>
      </c>
      <c r="C1265" s="121" t="s">
        <v>2239</v>
      </c>
      <c r="D1265" s="122">
        <v>4.32</v>
      </c>
    </row>
    <row r="1266" spans="2:4" x14ac:dyDescent="0.2">
      <c r="B1266" s="120" t="s">
        <v>2240</v>
      </c>
      <c r="C1266" s="121" t="s">
        <v>2241</v>
      </c>
      <c r="D1266" s="122">
        <v>1.1299999999999999</v>
      </c>
    </row>
    <row r="1267" spans="2:4" x14ac:dyDescent="0.2">
      <c r="B1267" s="120" t="s">
        <v>2242</v>
      </c>
      <c r="C1267" s="121" t="s">
        <v>2243</v>
      </c>
      <c r="D1267" s="122">
        <v>2.56</v>
      </c>
    </row>
    <row r="1268" spans="2:4" x14ac:dyDescent="0.2">
      <c r="B1268" s="120" t="s">
        <v>2244</v>
      </c>
      <c r="C1268" s="121" t="s">
        <v>2245</v>
      </c>
      <c r="D1268" s="122">
        <v>0</v>
      </c>
    </row>
    <row r="1269" spans="2:4" x14ac:dyDescent="0.2">
      <c r="B1269" s="120" t="s">
        <v>2246</v>
      </c>
      <c r="C1269" s="121" t="s">
        <v>2247</v>
      </c>
      <c r="D1269" s="122">
        <v>0</v>
      </c>
    </row>
    <row r="1270" spans="2:4" x14ac:dyDescent="0.2">
      <c r="B1270" s="120" t="s">
        <v>2248</v>
      </c>
      <c r="C1270" s="121" t="s">
        <v>2249</v>
      </c>
      <c r="D1270" s="122">
        <v>1.84</v>
      </c>
    </row>
    <row r="1271" spans="2:4" x14ac:dyDescent="0.2">
      <c r="B1271" s="120" t="s">
        <v>2250</v>
      </c>
      <c r="C1271" s="121" t="s">
        <v>2251</v>
      </c>
      <c r="D1271" s="122">
        <v>3.88</v>
      </c>
    </row>
    <row r="1272" spans="2:4" x14ac:dyDescent="0.2">
      <c r="B1272" s="120" t="s">
        <v>2252</v>
      </c>
      <c r="C1272" s="121" t="s">
        <v>2253</v>
      </c>
      <c r="D1272" s="122">
        <v>2.99</v>
      </c>
    </row>
    <row r="1273" spans="2:4" x14ac:dyDescent="0.2">
      <c r="B1273" s="120" t="s">
        <v>4382</v>
      </c>
      <c r="C1273" s="121" t="s">
        <v>4383</v>
      </c>
      <c r="D1273" s="122">
        <v>2.66</v>
      </c>
    </row>
    <row r="1274" spans="2:4" x14ac:dyDescent="0.2">
      <c r="B1274" s="120" t="s">
        <v>4384</v>
      </c>
      <c r="C1274" s="121" t="s">
        <v>4385</v>
      </c>
      <c r="D1274" s="122">
        <v>0.86</v>
      </c>
    </row>
    <row r="1275" spans="2:4" x14ac:dyDescent="0.2">
      <c r="B1275" s="120" t="s">
        <v>2254</v>
      </c>
      <c r="C1275" s="121" t="s">
        <v>2255</v>
      </c>
      <c r="D1275" s="122">
        <v>0</v>
      </c>
    </row>
    <row r="1276" spans="2:4" x14ac:dyDescent="0.2">
      <c r="B1276" s="120" t="s">
        <v>2256</v>
      </c>
      <c r="C1276" s="121" t="s">
        <v>2257</v>
      </c>
      <c r="D1276" s="122">
        <v>0</v>
      </c>
    </row>
    <row r="1277" spans="2:4" x14ac:dyDescent="0.2">
      <c r="B1277" s="120" t="s">
        <v>4386</v>
      </c>
      <c r="C1277" s="121" t="s">
        <v>4387</v>
      </c>
      <c r="D1277" s="122">
        <v>2.46</v>
      </c>
    </row>
    <row r="1278" spans="2:4" x14ac:dyDescent="0.2">
      <c r="B1278" s="120" t="s">
        <v>2258</v>
      </c>
      <c r="C1278" s="121" t="s">
        <v>2259</v>
      </c>
      <c r="D1278" s="122">
        <v>3.19</v>
      </c>
    </row>
    <row r="1279" spans="2:4" x14ac:dyDescent="0.2">
      <c r="B1279" s="120" t="s">
        <v>2260</v>
      </c>
      <c r="C1279" s="121" t="s">
        <v>2261</v>
      </c>
      <c r="D1279" s="122">
        <v>4.33</v>
      </c>
    </row>
    <row r="1280" spans="2:4" x14ac:dyDescent="0.2">
      <c r="B1280" s="120" t="s">
        <v>4388</v>
      </c>
      <c r="C1280" s="121" t="s">
        <v>4389</v>
      </c>
      <c r="D1280" s="122">
        <v>2.79</v>
      </c>
    </row>
    <row r="1281" spans="2:4" x14ac:dyDescent="0.2">
      <c r="B1281" s="120" t="s">
        <v>4390</v>
      </c>
      <c r="C1281" s="121" t="s">
        <v>4391</v>
      </c>
      <c r="D1281" s="122">
        <v>4.49</v>
      </c>
    </row>
    <row r="1282" spans="2:4" x14ac:dyDescent="0.2">
      <c r="B1282" s="120" t="s">
        <v>2262</v>
      </c>
      <c r="C1282" s="121" t="s">
        <v>2263</v>
      </c>
      <c r="D1282" s="122">
        <v>1.1299999999999999</v>
      </c>
    </row>
    <row r="1283" spans="2:4" x14ac:dyDescent="0.2">
      <c r="B1283" s="120" t="s">
        <v>2264</v>
      </c>
      <c r="C1283" s="121" t="s">
        <v>2265</v>
      </c>
      <c r="D1283" s="122">
        <v>3.37</v>
      </c>
    </row>
    <row r="1284" spans="2:4" x14ac:dyDescent="0.2">
      <c r="B1284" s="120" t="s">
        <v>2266</v>
      </c>
      <c r="C1284" s="121" t="s">
        <v>2267</v>
      </c>
      <c r="D1284" s="122">
        <v>0</v>
      </c>
    </row>
    <row r="1285" spans="2:4" x14ac:dyDescent="0.2">
      <c r="B1285" s="120" t="s">
        <v>2268</v>
      </c>
      <c r="C1285" s="121" t="s">
        <v>2269</v>
      </c>
      <c r="D1285" s="122">
        <v>2.8</v>
      </c>
    </row>
    <row r="1286" spans="2:4" x14ac:dyDescent="0.2">
      <c r="B1286" s="120" t="s">
        <v>2270</v>
      </c>
      <c r="C1286" s="121" t="s">
        <v>2271</v>
      </c>
      <c r="D1286" s="122">
        <v>5.61</v>
      </c>
    </row>
    <row r="1287" spans="2:4" x14ac:dyDescent="0.2">
      <c r="B1287" s="120" t="s">
        <v>4392</v>
      </c>
      <c r="C1287" s="121" t="s">
        <v>4393</v>
      </c>
      <c r="D1287" s="122">
        <v>2.34</v>
      </c>
    </row>
    <row r="1288" spans="2:4" x14ac:dyDescent="0.2">
      <c r="B1288" s="120" t="s">
        <v>2272</v>
      </c>
      <c r="C1288" s="121" t="s">
        <v>2273</v>
      </c>
      <c r="D1288" s="122">
        <v>4.84</v>
      </c>
    </row>
    <row r="1289" spans="2:4" x14ac:dyDescent="0.2">
      <c r="B1289" s="120" t="s">
        <v>2274</v>
      </c>
      <c r="C1289" s="121" t="s">
        <v>2275</v>
      </c>
      <c r="D1289" s="122">
        <v>0</v>
      </c>
    </row>
    <row r="1290" spans="2:4" x14ac:dyDescent="0.2">
      <c r="B1290" s="120" t="s">
        <v>2276</v>
      </c>
      <c r="C1290" s="121" t="s">
        <v>2277</v>
      </c>
      <c r="D1290" s="122">
        <v>2.0699999999999998</v>
      </c>
    </row>
    <row r="1291" spans="2:4" x14ac:dyDescent="0.2">
      <c r="B1291" s="120" t="s">
        <v>2278</v>
      </c>
      <c r="C1291" s="121" t="s">
        <v>2279</v>
      </c>
      <c r="D1291" s="122">
        <v>0</v>
      </c>
    </row>
    <row r="1292" spans="2:4" x14ac:dyDescent="0.2">
      <c r="B1292" s="120" t="s">
        <v>4394</v>
      </c>
      <c r="C1292" s="121" t="s">
        <v>4395</v>
      </c>
      <c r="D1292" s="122">
        <v>1.03</v>
      </c>
    </row>
    <row r="1293" spans="2:4" x14ac:dyDescent="0.2">
      <c r="B1293" s="120" t="s">
        <v>2280</v>
      </c>
      <c r="C1293" s="121" t="s">
        <v>2281</v>
      </c>
      <c r="D1293" s="122">
        <v>0</v>
      </c>
    </row>
    <row r="1294" spans="2:4" x14ac:dyDescent="0.2">
      <c r="B1294" s="120" t="s">
        <v>2282</v>
      </c>
      <c r="C1294" s="121" t="s">
        <v>2283</v>
      </c>
      <c r="D1294" s="122">
        <v>0</v>
      </c>
    </row>
    <row r="1295" spans="2:4" x14ac:dyDescent="0.2">
      <c r="B1295" s="120" t="s">
        <v>2284</v>
      </c>
      <c r="C1295" s="121" t="s">
        <v>2285</v>
      </c>
      <c r="D1295" s="122">
        <v>1.87</v>
      </c>
    </row>
    <row r="1296" spans="2:4" x14ac:dyDescent="0.2">
      <c r="B1296" s="120" t="s">
        <v>4396</v>
      </c>
      <c r="C1296" s="121" t="s">
        <v>4397</v>
      </c>
      <c r="D1296" s="122">
        <v>2.4700000000000002</v>
      </c>
    </row>
    <row r="1297" spans="2:4" x14ac:dyDescent="0.2">
      <c r="B1297" s="120" t="s">
        <v>4398</v>
      </c>
      <c r="C1297" s="121" t="s">
        <v>4399</v>
      </c>
      <c r="D1297" s="122">
        <v>2.86</v>
      </c>
    </row>
    <row r="1298" spans="2:4" x14ac:dyDescent="0.2">
      <c r="B1298" s="120" t="s">
        <v>2286</v>
      </c>
      <c r="C1298" s="121" t="s">
        <v>2287</v>
      </c>
      <c r="D1298" s="122">
        <v>1.06</v>
      </c>
    </row>
    <row r="1299" spans="2:4" x14ac:dyDescent="0.2">
      <c r="B1299" s="120" t="s">
        <v>4400</v>
      </c>
      <c r="C1299" s="121" t="s">
        <v>4401</v>
      </c>
      <c r="D1299" s="122">
        <v>2.3199999999999998</v>
      </c>
    </row>
    <row r="1300" spans="2:4" x14ac:dyDescent="0.2">
      <c r="B1300" s="120" t="s">
        <v>2288</v>
      </c>
      <c r="C1300" s="121" t="s">
        <v>2289</v>
      </c>
      <c r="D1300" s="122">
        <v>2.2200000000000002</v>
      </c>
    </row>
    <row r="1301" spans="2:4" x14ac:dyDescent="0.2">
      <c r="B1301" s="120" t="s">
        <v>2290</v>
      </c>
      <c r="C1301" s="121" t="s">
        <v>2291</v>
      </c>
      <c r="D1301" s="122">
        <v>1.41</v>
      </c>
    </row>
    <row r="1302" spans="2:4" x14ac:dyDescent="0.2">
      <c r="B1302" s="120" t="s">
        <v>2292</v>
      </c>
      <c r="C1302" s="121" t="s">
        <v>2293</v>
      </c>
      <c r="D1302" s="122">
        <v>0</v>
      </c>
    </row>
    <row r="1303" spans="2:4" x14ac:dyDescent="0.2">
      <c r="B1303" s="120" t="s">
        <v>4402</v>
      </c>
      <c r="C1303" s="121" t="s">
        <v>4403</v>
      </c>
      <c r="D1303" s="122">
        <v>1.64</v>
      </c>
    </row>
    <row r="1304" spans="2:4" x14ac:dyDescent="0.2">
      <c r="B1304" s="120" t="s">
        <v>2296</v>
      </c>
      <c r="C1304" s="121" t="s">
        <v>2297</v>
      </c>
      <c r="D1304" s="122">
        <v>0</v>
      </c>
    </row>
    <row r="1305" spans="2:4" x14ac:dyDescent="0.2">
      <c r="B1305" s="120" t="s">
        <v>2298</v>
      </c>
      <c r="C1305" s="121" t="s">
        <v>2299</v>
      </c>
      <c r="D1305" s="122">
        <v>0</v>
      </c>
    </row>
    <row r="1306" spans="2:4" x14ac:dyDescent="0.2">
      <c r="B1306" s="120" t="s">
        <v>2300</v>
      </c>
      <c r="C1306" s="121" t="s">
        <v>2301</v>
      </c>
      <c r="D1306" s="122">
        <v>3.68</v>
      </c>
    </row>
    <row r="1307" spans="2:4" x14ac:dyDescent="0.2">
      <c r="B1307" s="120" t="s">
        <v>2302</v>
      </c>
      <c r="C1307" s="121" t="s">
        <v>2303</v>
      </c>
      <c r="D1307" s="122">
        <v>0</v>
      </c>
    </row>
    <row r="1308" spans="2:4" x14ac:dyDescent="0.2">
      <c r="B1308" s="120" t="s">
        <v>2304</v>
      </c>
      <c r="C1308" s="121" t="s">
        <v>2305</v>
      </c>
      <c r="D1308" s="122">
        <v>7.55</v>
      </c>
    </row>
    <row r="1309" spans="2:4" x14ac:dyDescent="0.2">
      <c r="B1309" s="120" t="s">
        <v>2306</v>
      </c>
      <c r="C1309" s="121" t="s">
        <v>2307</v>
      </c>
      <c r="D1309" s="122">
        <v>5.01</v>
      </c>
    </row>
    <row r="1310" spans="2:4" x14ac:dyDescent="0.2">
      <c r="B1310" s="120" t="s">
        <v>2308</v>
      </c>
      <c r="C1310" s="121" t="s">
        <v>2309</v>
      </c>
      <c r="D1310" s="122">
        <v>0</v>
      </c>
    </row>
    <row r="1311" spans="2:4" x14ac:dyDescent="0.2">
      <c r="B1311" s="120" t="s">
        <v>2310</v>
      </c>
      <c r="C1311" s="121" t="s">
        <v>2311</v>
      </c>
      <c r="D1311" s="122">
        <v>5.0599999999999996</v>
      </c>
    </row>
    <row r="1312" spans="2:4" x14ac:dyDescent="0.2">
      <c r="B1312" s="120" t="s">
        <v>2312</v>
      </c>
      <c r="C1312" s="121" t="s">
        <v>2313</v>
      </c>
      <c r="D1312" s="122">
        <v>3.02</v>
      </c>
    </row>
    <row r="1313" spans="2:4" x14ac:dyDescent="0.2">
      <c r="B1313" s="120" t="s">
        <v>2314</v>
      </c>
      <c r="C1313" s="121" t="s">
        <v>2315</v>
      </c>
      <c r="D1313" s="122">
        <v>2.71</v>
      </c>
    </row>
    <row r="1314" spans="2:4" x14ac:dyDescent="0.2">
      <c r="B1314" s="120" t="s">
        <v>2316</v>
      </c>
      <c r="C1314" s="121" t="s">
        <v>2317</v>
      </c>
      <c r="D1314" s="122">
        <v>0</v>
      </c>
    </row>
    <row r="1315" spans="2:4" x14ac:dyDescent="0.2">
      <c r="B1315" s="120" t="s">
        <v>4404</v>
      </c>
      <c r="C1315" s="121" t="s">
        <v>4405</v>
      </c>
      <c r="D1315" s="122">
        <v>8.24</v>
      </c>
    </row>
    <row r="1316" spans="2:4" x14ac:dyDescent="0.2">
      <c r="B1316" s="120" t="s">
        <v>2318</v>
      </c>
      <c r="C1316" s="121" t="s">
        <v>2319</v>
      </c>
      <c r="D1316" s="122">
        <v>2.96</v>
      </c>
    </row>
    <row r="1317" spans="2:4" x14ac:dyDescent="0.2">
      <c r="B1317" s="120" t="s">
        <v>2320</v>
      </c>
      <c r="C1317" s="121" t="s">
        <v>2321</v>
      </c>
      <c r="D1317" s="122">
        <v>0</v>
      </c>
    </row>
    <row r="1318" spans="2:4" x14ac:dyDescent="0.2">
      <c r="B1318" s="120" t="s">
        <v>2322</v>
      </c>
      <c r="C1318" s="121" t="s">
        <v>2323</v>
      </c>
      <c r="D1318" s="122">
        <v>0.6</v>
      </c>
    </row>
    <row r="1319" spans="2:4" x14ac:dyDescent="0.2">
      <c r="B1319" s="120" t="s">
        <v>2324</v>
      </c>
      <c r="C1319" s="121" t="s">
        <v>2325</v>
      </c>
      <c r="D1319" s="122">
        <v>2.82</v>
      </c>
    </row>
    <row r="1320" spans="2:4" x14ac:dyDescent="0.2">
      <c r="B1320" s="120" t="s">
        <v>2326</v>
      </c>
      <c r="C1320" s="121" t="s">
        <v>2327</v>
      </c>
      <c r="D1320" s="122">
        <v>1.02</v>
      </c>
    </row>
    <row r="1321" spans="2:4" x14ac:dyDescent="0.2">
      <c r="B1321" s="120" t="s">
        <v>2328</v>
      </c>
      <c r="C1321" s="121" t="s">
        <v>2329</v>
      </c>
      <c r="D1321" s="122">
        <v>0</v>
      </c>
    </row>
    <row r="1322" spans="2:4" x14ac:dyDescent="0.2">
      <c r="B1322" s="120" t="s">
        <v>2330</v>
      </c>
      <c r="C1322" s="121" t="s">
        <v>2331</v>
      </c>
      <c r="D1322" s="122">
        <v>6.26</v>
      </c>
    </row>
    <row r="1323" spans="2:4" x14ac:dyDescent="0.2">
      <c r="B1323" s="120" t="s">
        <v>2332</v>
      </c>
      <c r="C1323" s="121" t="s">
        <v>2333</v>
      </c>
      <c r="D1323" s="122">
        <v>13.41</v>
      </c>
    </row>
    <row r="1324" spans="2:4" x14ac:dyDescent="0.2">
      <c r="B1324" s="120" t="s">
        <v>2334</v>
      </c>
      <c r="C1324" s="121" t="s">
        <v>2335</v>
      </c>
      <c r="D1324" s="122">
        <v>0.52</v>
      </c>
    </row>
    <row r="1325" spans="2:4" x14ac:dyDescent="0.2">
      <c r="B1325" s="120" t="s">
        <v>2336</v>
      </c>
      <c r="C1325" s="121" t="s">
        <v>2337</v>
      </c>
      <c r="D1325" s="122">
        <v>1.06</v>
      </c>
    </row>
    <row r="1326" spans="2:4" x14ac:dyDescent="0.2">
      <c r="B1326" s="120" t="s">
        <v>2338</v>
      </c>
      <c r="C1326" s="121" t="s">
        <v>2339</v>
      </c>
      <c r="D1326" s="122">
        <v>1.25</v>
      </c>
    </row>
    <row r="1327" spans="2:4" x14ac:dyDescent="0.2">
      <c r="B1327" s="120" t="s">
        <v>4406</v>
      </c>
      <c r="C1327" s="121" t="s">
        <v>4407</v>
      </c>
      <c r="D1327" s="122">
        <v>3.47</v>
      </c>
    </row>
    <row r="1328" spans="2:4" x14ac:dyDescent="0.2">
      <c r="B1328" s="120" t="s">
        <v>2340</v>
      </c>
      <c r="C1328" s="121" t="s">
        <v>2341</v>
      </c>
      <c r="D1328" s="122">
        <v>3.7</v>
      </c>
    </row>
    <row r="1329" spans="2:4" x14ac:dyDescent="0.2">
      <c r="B1329" s="120" t="s">
        <v>2342</v>
      </c>
      <c r="C1329" s="121" t="s">
        <v>2343</v>
      </c>
      <c r="D1329" s="122">
        <v>1.43</v>
      </c>
    </row>
    <row r="1330" spans="2:4" x14ac:dyDescent="0.2">
      <c r="B1330" s="120" t="s">
        <v>2344</v>
      </c>
      <c r="C1330" s="121" t="s">
        <v>2345</v>
      </c>
      <c r="D1330" s="122">
        <v>0.86</v>
      </c>
    </row>
    <row r="1331" spans="2:4" x14ac:dyDescent="0.2">
      <c r="B1331" s="120" t="s">
        <v>2346</v>
      </c>
      <c r="C1331" s="121" t="s">
        <v>2347</v>
      </c>
      <c r="D1331" s="122">
        <v>0</v>
      </c>
    </row>
    <row r="1332" spans="2:4" x14ac:dyDescent="0.2">
      <c r="B1332" s="120" t="s">
        <v>2348</v>
      </c>
      <c r="C1332" s="121" t="s">
        <v>2349</v>
      </c>
      <c r="D1332" s="122">
        <v>0.89</v>
      </c>
    </row>
    <row r="1333" spans="2:4" x14ac:dyDescent="0.2">
      <c r="B1333" s="120" t="s">
        <v>2350</v>
      </c>
      <c r="C1333" s="121" t="s">
        <v>2351</v>
      </c>
      <c r="D1333" s="122">
        <v>0</v>
      </c>
    </row>
    <row r="1334" spans="2:4" x14ac:dyDescent="0.2">
      <c r="B1334" s="120" t="s">
        <v>2352</v>
      </c>
      <c r="C1334" s="121" t="s">
        <v>2353</v>
      </c>
      <c r="D1334" s="122">
        <v>0</v>
      </c>
    </row>
    <row r="1335" spans="2:4" x14ac:dyDescent="0.2">
      <c r="B1335" s="120" t="s">
        <v>4408</v>
      </c>
      <c r="C1335" s="121" t="s">
        <v>4409</v>
      </c>
      <c r="D1335" s="122">
        <v>3.99</v>
      </c>
    </row>
    <row r="1336" spans="2:4" x14ac:dyDescent="0.2">
      <c r="B1336" s="120" t="s">
        <v>4410</v>
      </c>
      <c r="C1336" s="121" t="s">
        <v>4411</v>
      </c>
      <c r="D1336" s="122">
        <v>3.11</v>
      </c>
    </row>
    <row r="1337" spans="2:4" x14ac:dyDescent="0.2">
      <c r="B1337" s="120" t="s">
        <v>4412</v>
      </c>
      <c r="C1337" s="121" t="s">
        <v>4413</v>
      </c>
      <c r="D1337" s="122">
        <v>0.21</v>
      </c>
    </row>
    <row r="1338" spans="2:4" x14ac:dyDescent="0.2">
      <c r="B1338" s="120" t="s">
        <v>4414</v>
      </c>
      <c r="C1338" s="121" t="s">
        <v>4415</v>
      </c>
      <c r="D1338" s="122">
        <v>7.3</v>
      </c>
    </row>
    <row r="1339" spans="2:4" x14ac:dyDescent="0.2">
      <c r="B1339" s="120" t="s">
        <v>2354</v>
      </c>
      <c r="C1339" s="121" t="s">
        <v>2355</v>
      </c>
      <c r="D1339" s="122">
        <v>0.31</v>
      </c>
    </row>
    <row r="1340" spans="2:4" x14ac:dyDescent="0.2">
      <c r="B1340" s="120" t="s">
        <v>2356</v>
      </c>
      <c r="C1340" s="121" t="s">
        <v>2357</v>
      </c>
      <c r="D1340" s="122">
        <v>0.69</v>
      </c>
    </row>
    <row r="1341" spans="2:4" x14ac:dyDescent="0.2">
      <c r="B1341" s="120" t="s">
        <v>2358</v>
      </c>
      <c r="C1341" s="121" t="s">
        <v>2359</v>
      </c>
      <c r="D1341" s="122">
        <v>13.15</v>
      </c>
    </row>
    <row r="1342" spans="2:4" x14ac:dyDescent="0.2">
      <c r="B1342" s="120" t="s">
        <v>2360</v>
      </c>
      <c r="C1342" s="121" t="s">
        <v>2361</v>
      </c>
      <c r="D1342" s="122">
        <v>8.4</v>
      </c>
    </row>
    <row r="1343" spans="2:4" x14ac:dyDescent="0.2">
      <c r="B1343" s="120" t="s">
        <v>2362</v>
      </c>
      <c r="C1343" s="121" t="s">
        <v>2363</v>
      </c>
      <c r="D1343" s="122">
        <v>6.3</v>
      </c>
    </row>
    <row r="1344" spans="2:4" x14ac:dyDescent="0.2">
      <c r="B1344" s="120" t="s">
        <v>2364</v>
      </c>
      <c r="C1344" s="121" t="s">
        <v>2365</v>
      </c>
      <c r="D1344" s="122">
        <v>2.08</v>
      </c>
    </row>
    <row r="1345" spans="2:4" x14ac:dyDescent="0.2">
      <c r="B1345" s="120" t="s">
        <v>2366</v>
      </c>
      <c r="C1345" s="121" t="s">
        <v>2367</v>
      </c>
      <c r="D1345" s="122">
        <v>1.21</v>
      </c>
    </row>
    <row r="1346" spans="2:4" x14ac:dyDescent="0.2">
      <c r="B1346" s="120" t="s">
        <v>2368</v>
      </c>
      <c r="C1346" s="121" t="s">
        <v>2369</v>
      </c>
      <c r="D1346" s="122">
        <v>1.89</v>
      </c>
    </row>
    <row r="1347" spans="2:4" x14ac:dyDescent="0.2">
      <c r="B1347" s="120" t="s">
        <v>2370</v>
      </c>
      <c r="C1347" s="121" t="s">
        <v>2371</v>
      </c>
      <c r="D1347" s="122">
        <v>3.55</v>
      </c>
    </row>
    <row r="1348" spans="2:4" x14ac:dyDescent="0.2">
      <c r="B1348" s="120" t="s">
        <v>2372</v>
      </c>
      <c r="C1348" s="121" t="s">
        <v>2373</v>
      </c>
      <c r="D1348" s="122">
        <v>2.35</v>
      </c>
    </row>
    <row r="1349" spans="2:4" x14ac:dyDescent="0.2">
      <c r="B1349" s="120" t="s">
        <v>2374</v>
      </c>
      <c r="C1349" s="121" t="s">
        <v>2375</v>
      </c>
      <c r="D1349" s="122">
        <v>0.82</v>
      </c>
    </row>
    <row r="1350" spans="2:4" x14ac:dyDescent="0.2">
      <c r="B1350" s="120" t="s">
        <v>2376</v>
      </c>
      <c r="C1350" s="121" t="s">
        <v>2377</v>
      </c>
      <c r="D1350" s="122">
        <v>1.54</v>
      </c>
    </row>
    <row r="1351" spans="2:4" x14ac:dyDescent="0.2">
      <c r="B1351" s="120" t="s">
        <v>2378</v>
      </c>
      <c r="C1351" s="121" t="s">
        <v>2379</v>
      </c>
      <c r="D1351" s="122">
        <v>4.08</v>
      </c>
    </row>
    <row r="1352" spans="2:4" x14ac:dyDescent="0.2">
      <c r="B1352" s="120" t="s">
        <v>2380</v>
      </c>
      <c r="C1352" s="121" t="s">
        <v>2381</v>
      </c>
      <c r="D1352" s="122">
        <v>0</v>
      </c>
    </row>
    <row r="1353" spans="2:4" x14ac:dyDescent="0.2">
      <c r="B1353" s="120" t="s">
        <v>2382</v>
      </c>
      <c r="C1353" s="121" t="s">
        <v>2383</v>
      </c>
      <c r="D1353" s="122">
        <v>3.34</v>
      </c>
    </row>
    <row r="1354" spans="2:4" x14ac:dyDescent="0.2">
      <c r="B1354" s="120" t="s">
        <v>2384</v>
      </c>
      <c r="C1354" s="121" t="s">
        <v>2385</v>
      </c>
      <c r="D1354" s="122">
        <v>2.97</v>
      </c>
    </row>
    <row r="1355" spans="2:4" x14ac:dyDescent="0.2">
      <c r="B1355" s="120" t="s">
        <v>2386</v>
      </c>
      <c r="C1355" s="121" t="s">
        <v>2387</v>
      </c>
      <c r="D1355" s="122">
        <v>3.45</v>
      </c>
    </row>
    <row r="1356" spans="2:4" x14ac:dyDescent="0.2">
      <c r="B1356" s="120" t="s">
        <v>2388</v>
      </c>
      <c r="C1356" s="121" t="s">
        <v>2389</v>
      </c>
      <c r="D1356" s="122">
        <v>0</v>
      </c>
    </row>
    <row r="1357" spans="2:4" x14ac:dyDescent="0.2">
      <c r="B1357" s="120" t="s">
        <v>2390</v>
      </c>
      <c r="C1357" s="121" t="s">
        <v>2391</v>
      </c>
      <c r="D1357" s="122">
        <v>3.04</v>
      </c>
    </row>
    <row r="1358" spans="2:4" x14ac:dyDescent="0.2">
      <c r="B1358" s="120" t="s">
        <v>2392</v>
      </c>
      <c r="C1358" s="121" t="s">
        <v>2393</v>
      </c>
      <c r="D1358" s="122">
        <v>0</v>
      </c>
    </row>
    <row r="1359" spans="2:4" x14ac:dyDescent="0.2">
      <c r="B1359" s="120" t="s">
        <v>2394</v>
      </c>
      <c r="C1359" s="121" t="s">
        <v>2395</v>
      </c>
      <c r="D1359" s="122">
        <v>0</v>
      </c>
    </row>
    <row r="1360" spans="2:4" x14ac:dyDescent="0.2">
      <c r="B1360" s="120" t="s">
        <v>2396</v>
      </c>
      <c r="C1360" s="121" t="s">
        <v>2397</v>
      </c>
      <c r="D1360" s="122">
        <v>0.37</v>
      </c>
    </row>
    <row r="1361" spans="2:4" x14ac:dyDescent="0.2">
      <c r="B1361" s="120" t="s">
        <v>2398</v>
      </c>
      <c r="C1361" s="121" t="s">
        <v>2399</v>
      </c>
      <c r="D1361" s="122">
        <v>1.2</v>
      </c>
    </row>
    <row r="1362" spans="2:4" x14ac:dyDescent="0.2">
      <c r="B1362" s="120" t="s">
        <v>2400</v>
      </c>
      <c r="C1362" s="121" t="s">
        <v>2401</v>
      </c>
      <c r="D1362" s="122">
        <v>0</v>
      </c>
    </row>
    <row r="1363" spans="2:4" x14ac:dyDescent="0.2">
      <c r="B1363" s="120" t="s">
        <v>2402</v>
      </c>
      <c r="C1363" s="121" t="s">
        <v>2403</v>
      </c>
      <c r="D1363" s="122">
        <v>2.12</v>
      </c>
    </row>
    <row r="1364" spans="2:4" x14ac:dyDescent="0.2">
      <c r="B1364" s="120" t="s">
        <v>2404</v>
      </c>
      <c r="C1364" s="121" t="s">
        <v>2405</v>
      </c>
      <c r="D1364" s="122">
        <v>3.2</v>
      </c>
    </row>
    <row r="1365" spans="2:4" x14ac:dyDescent="0.2">
      <c r="B1365" s="120" t="s">
        <v>2406</v>
      </c>
      <c r="C1365" s="121" t="s">
        <v>2407</v>
      </c>
      <c r="D1365" s="122">
        <v>1.18</v>
      </c>
    </row>
    <row r="1366" spans="2:4" x14ac:dyDescent="0.2">
      <c r="B1366" s="120" t="s">
        <v>2408</v>
      </c>
      <c r="C1366" s="121" t="s">
        <v>2409</v>
      </c>
      <c r="D1366" s="122">
        <v>3.08</v>
      </c>
    </row>
    <row r="1367" spans="2:4" x14ac:dyDescent="0.2">
      <c r="B1367" s="120" t="s">
        <v>2410</v>
      </c>
      <c r="C1367" s="121" t="s">
        <v>2411</v>
      </c>
      <c r="D1367" s="122">
        <v>5.2</v>
      </c>
    </row>
    <row r="1368" spans="2:4" x14ac:dyDescent="0.2">
      <c r="B1368" s="120" t="s">
        <v>2412</v>
      </c>
      <c r="C1368" s="121" t="s">
        <v>4416</v>
      </c>
      <c r="D1368" s="122">
        <v>1.4</v>
      </c>
    </row>
    <row r="1369" spans="2:4" x14ac:dyDescent="0.2">
      <c r="B1369" s="120" t="s">
        <v>2412</v>
      </c>
      <c r="C1369" s="121" t="s">
        <v>2413</v>
      </c>
      <c r="D1369" s="122">
        <v>1.43</v>
      </c>
    </row>
    <row r="1370" spans="2:4" x14ac:dyDescent="0.2">
      <c r="B1370" s="120" t="s">
        <v>2414</v>
      </c>
      <c r="C1370" s="121" t="s">
        <v>2415</v>
      </c>
      <c r="D1370" s="122">
        <v>3.27</v>
      </c>
    </row>
    <row r="1371" spans="2:4" x14ac:dyDescent="0.2">
      <c r="B1371" s="120" t="s">
        <v>2416</v>
      </c>
      <c r="C1371" s="121" t="s">
        <v>2417</v>
      </c>
      <c r="D1371" s="122">
        <v>1.43</v>
      </c>
    </row>
    <row r="1372" spans="2:4" x14ac:dyDescent="0.2">
      <c r="B1372" s="120" t="s">
        <v>2418</v>
      </c>
      <c r="C1372" s="121" t="s">
        <v>2419</v>
      </c>
      <c r="D1372" s="122">
        <v>1.74</v>
      </c>
    </row>
    <row r="1373" spans="2:4" x14ac:dyDescent="0.2">
      <c r="B1373" s="120" t="s">
        <v>2420</v>
      </c>
      <c r="C1373" s="121" t="s">
        <v>2421</v>
      </c>
      <c r="D1373" s="122">
        <v>5.45</v>
      </c>
    </row>
    <row r="1374" spans="2:4" x14ac:dyDescent="0.2">
      <c r="B1374" s="120" t="s">
        <v>2422</v>
      </c>
      <c r="C1374" s="121" t="s">
        <v>2423</v>
      </c>
      <c r="D1374" s="122">
        <v>0.69</v>
      </c>
    </row>
    <row r="1375" spans="2:4" x14ac:dyDescent="0.2">
      <c r="B1375" s="120" t="s">
        <v>2424</v>
      </c>
      <c r="C1375" s="121" t="s">
        <v>2425</v>
      </c>
      <c r="D1375" s="122">
        <v>3.58</v>
      </c>
    </row>
    <row r="1376" spans="2:4" x14ac:dyDescent="0.2">
      <c r="B1376" s="120" t="s">
        <v>2426</v>
      </c>
      <c r="C1376" s="121" t="s">
        <v>2427</v>
      </c>
      <c r="D1376" s="122">
        <v>7.84</v>
      </c>
    </row>
    <row r="1377" spans="2:4" x14ac:dyDescent="0.2">
      <c r="B1377" s="120" t="s">
        <v>2428</v>
      </c>
      <c r="C1377" s="121" t="s">
        <v>2429</v>
      </c>
      <c r="D1377" s="122">
        <v>0</v>
      </c>
    </row>
    <row r="1378" spans="2:4" x14ac:dyDescent="0.2">
      <c r="B1378" s="120" t="s">
        <v>4417</v>
      </c>
      <c r="C1378" s="121" t="s">
        <v>4418</v>
      </c>
      <c r="D1378" s="122">
        <v>0</v>
      </c>
    </row>
    <row r="1379" spans="2:4" x14ac:dyDescent="0.2">
      <c r="B1379" s="120" t="s">
        <v>2430</v>
      </c>
      <c r="C1379" s="121" t="s">
        <v>2431</v>
      </c>
      <c r="D1379" s="122">
        <v>1.44</v>
      </c>
    </row>
    <row r="1380" spans="2:4" x14ac:dyDescent="0.2">
      <c r="B1380" s="120" t="s">
        <v>4419</v>
      </c>
      <c r="C1380" s="121" t="s">
        <v>4420</v>
      </c>
      <c r="D1380" s="122">
        <v>0</v>
      </c>
    </row>
    <row r="1381" spans="2:4" x14ac:dyDescent="0.2">
      <c r="B1381" s="120" t="s">
        <v>2432</v>
      </c>
      <c r="C1381" s="121" t="s">
        <v>2433</v>
      </c>
      <c r="D1381" s="122">
        <v>3.78</v>
      </c>
    </row>
    <row r="1382" spans="2:4" x14ac:dyDescent="0.2">
      <c r="B1382" s="120" t="s">
        <v>2434</v>
      </c>
      <c r="C1382" s="121" t="s">
        <v>2435</v>
      </c>
      <c r="D1382" s="122">
        <v>0.4</v>
      </c>
    </row>
    <row r="1383" spans="2:4" x14ac:dyDescent="0.2">
      <c r="B1383" s="120" t="s">
        <v>2436</v>
      </c>
      <c r="C1383" s="121" t="s">
        <v>2437</v>
      </c>
      <c r="D1383" s="122">
        <v>0</v>
      </c>
    </row>
    <row r="1384" spans="2:4" x14ac:dyDescent="0.2">
      <c r="B1384" s="120" t="s">
        <v>2438</v>
      </c>
      <c r="C1384" s="121" t="s">
        <v>2439</v>
      </c>
      <c r="D1384" s="122">
        <v>3.79</v>
      </c>
    </row>
    <row r="1385" spans="2:4" x14ac:dyDescent="0.2">
      <c r="B1385" s="120" t="s">
        <v>2440</v>
      </c>
      <c r="C1385" s="121" t="s">
        <v>2441</v>
      </c>
      <c r="D1385" s="122">
        <v>3.25</v>
      </c>
    </row>
    <row r="1386" spans="2:4" x14ac:dyDescent="0.2">
      <c r="B1386" s="120" t="s">
        <v>2442</v>
      </c>
      <c r="C1386" s="121" t="s">
        <v>2443</v>
      </c>
      <c r="D1386" s="122">
        <v>2.12</v>
      </c>
    </row>
    <row r="1387" spans="2:4" x14ac:dyDescent="0.2">
      <c r="B1387" s="120" t="s">
        <v>4421</v>
      </c>
      <c r="C1387" s="121" t="s">
        <v>4422</v>
      </c>
      <c r="D1387" s="122">
        <v>5.74</v>
      </c>
    </row>
    <row r="1388" spans="2:4" x14ac:dyDescent="0.2">
      <c r="B1388" s="120" t="s">
        <v>2444</v>
      </c>
      <c r="C1388" s="121" t="s">
        <v>2445</v>
      </c>
      <c r="D1388" s="122">
        <v>6.45</v>
      </c>
    </row>
    <row r="1389" spans="2:4" x14ac:dyDescent="0.2">
      <c r="B1389" s="120" t="s">
        <v>4423</v>
      </c>
      <c r="C1389" s="121" t="s">
        <v>4424</v>
      </c>
      <c r="D1389" s="122">
        <v>0</v>
      </c>
    </row>
    <row r="1390" spans="2:4" x14ac:dyDescent="0.2">
      <c r="B1390" s="120" t="s">
        <v>2446</v>
      </c>
      <c r="C1390" s="121" t="s">
        <v>2447</v>
      </c>
      <c r="D1390" s="122">
        <v>4.7</v>
      </c>
    </row>
    <row r="1391" spans="2:4" x14ac:dyDescent="0.2">
      <c r="B1391" s="120" t="s">
        <v>2448</v>
      </c>
      <c r="C1391" s="121" t="s">
        <v>2449</v>
      </c>
      <c r="D1391" s="122">
        <v>0</v>
      </c>
    </row>
    <row r="1392" spans="2:4" x14ac:dyDescent="0.2">
      <c r="B1392" s="120" t="s">
        <v>2450</v>
      </c>
      <c r="C1392" s="121" t="s">
        <v>2451</v>
      </c>
      <c r="D1392" s="122">
        <v>0.21</v>
      </c>
    </row>
    <row r="1393" spans="2:4" x14ac:dyDescent="0.2">
      <c r="B1393" s="120" t="s">
        <v>2452</v>
      </c>
      <c r="C1393" s="121" t="s">
        <v>2453</v>
      </c>
      <c r="D1393" s="122">
        <v>0.22</v>
      </c>
    </row>
    <row r="1394" spans="2:4" x14ac:dyDescent="0.2">
      <c r="B1394" s="120" t="s">
        <v>2454</v>
      </c>
      <c r="C1394" s="121" t="s">
        <v>2455</v>
      </c>
      <c r="D1394" s="122">
        <v>0</v>
      </c>
    </row>
    <row r="1395" spans="2:4" x14ac:dyDescent="0.2">
      <c r="B1395" s="120" t="s">
        <v>2456</v>
      </c>
      <c r="C1395" s="121" t="s">
        <v>2457</v>
      </c>
      <c r="D1395" s="122">
        <v>4.29</v>
      </c>
    </row>
    <row r="1396" spans="2:4" x14ac:dyDescent="0.2">
      <c r="B1396" s="120" t="s">
        <v>2458</v>
      </c>
      <c r="C1396" s="121" t="s">
        <v>17</v>
      </c>
      <c r="D1396" s="122">
        <v>3.34</v>
      </c>
    </row>
    <row r="1397" spans="2:4" x14ac:dyDescent="0.2">
      <c r="B1397" s="120" t="s">
        <v>2459</v>
      </c>
      <c r="C1397" s="121" t="s">
        <v>2460</v>
      </c>
      <c r="D1397" s="122">
        <v>0</v>
      </c>
    </row>
    <row r="1398" spans="2:4" x14ac:dyDescent="0.2">
      <c r="B1398" s="120" t="s">
        <v>2461</v>
      </c>
      <c r="C1398" s="121" t="s">
        <v>2462</v>
      </c>
      <c r="D1398" s="122">
        <v>2.67</v>
      </c>
    </row>
    <row r="1399" spans="2:4" x14ac:dyDescent="0.2">
      <c r="B1399" s="120" t="s">
        <v>2463</v>
      </c>
      <c r="C1399" s="121" t="s">
        <v>2464</v>
      </c>
      <c r="D1399" s="122">
        <v>0</v>
      </c>
    </row>
    <row r="1400" spans="2:4" x14ac:dyDescent="0.2">
      <c r="B1400" s="120" t="s">
        <v>2465</v>
      </c>
      <c r="C1400" s="121" t="s">
        <v>2466</v>
      </c>
      <c r="D1400" s="122">
        <v>0</v>
      </c>
    </row>
    <row r="1401" spans="2:4" x14ac:dyDescent="0.2">
      <c r="B1401" s="120" t="s">
        <v>2467</v>
      </c>
      <c r="C1401" s="121" t="s">
        <v>2468</v>
      </c>
      <c r="D1401" s="122">
        <v>2.95</v>
      </c>
    </row>
    <row r="1402" spans="2:4" x14ac:dyDescent="0.2">
      <c r="B1402" s="120" t="s">
        <v>2469</v>
      </c>
      <c r="C1402" s="121" t="s">
        <v>2470</v>
      </c>
      <c r="D1402" s="122">
        <v>0</v>
      </c>
    </row>
    <row r="1403" spans="2:4" x14ac:dyDescent="0.2">
      <c r="B1403" s="120" t="s">
        <v>4425</v>
      </c>
      <c r="C1403" s="121" t="s">
        <v>4426</v>
      </c>
      <c r="D1403" s="122">
        <v>0.49</v>
      </c>
    </row>
    <row r="1404" spans="2:4" x14ac:dyDescent="0.2">
      <c r="B1404" s="120" t="s">
        <v>4427</v>
      </c>
      <c r="C1404" s="121" t="s">
        <v>4428</v>
      </c>
      <c r="D1404" s="122">
        <v>0</v>
      </c>
    </row>
    <row r="1405" spans="2:4" x14ac:dyDescent="0.2">
      <c r="B1405" s="120" t="s">
        <v>2471</v>
      </c>
      <c r="C1405" s="121" t="s">
        <v>2472</v>
      </c>
      <c r="D1405" s="122">
        <v>0.6</v>
      </c>
    </row>
    <row r="1406" spans="2:4" x14ac:dyDescent="0.2">
      <c r="B1406" s="120" t="s">
        <v>2473</v>
      </c>
      <c r="C1406" s="121" t="s">
        <v>2474</v>
      </c>
      <c r="D1406" s="122">
        <v>4.59</v>
      </c>
    </row>
    <row r="1407" spans="2:4" x14ac:dyDescent="0.2">
      <c r="B1407" s="120" t="s">
        <v>4429</v>
      </c>
      <c r="C1407" s="121" t="s">
        <v>4430</v>
      </c>
      <c r="D1407" s="122">
        <v>10.42</v>
      </c>
    </row>
    <row r="1408" spans="2:4" x14ac:dyDescent="0.2">
      <c r="B1408" s="120" t="s">
        <v>2475</v>
      </c>
      <c r="C1408" s="121" t="s">
        <v>2476</v>
      </c>
      <c r="D1408" s="122">
        <v>1.8</v>
      </c>
    </row>
    <row r="1409" spans="2:4" x14ac:dyDescent="0.2">
      <c r="B1409" s="120" t="s">
        <v>4431</v>
      </c>
      <c r="C1409" s="121" t="s">
        <v>4432</v>
      </c>
      <c r="D1409" s="122">
        <v>3.48</v>
      </c>
    </row>
    <row r="1410" spans="2:4" x14ac:dyDescent="0.2">
      <c r="B1410" s="120" t="s">
        <v>2477</v>
      </c>
      <c r="C1410" s="121" t="s">
        <v>2478</v>
      </c>
      <c r="D1410" s="122">
        <v>3.52</v>
      </c>
    </row>
    <row r="1411" spans="2:4" x14ac:dyDescent="0.2">
      <c r="B1411" s="120" t="s">
        <v>4433</v>
      </c>
      <c r="C1411" s="121" t="s">
        <v>4434</v>
      </c>
      <c r="D1411" s="122">
        <v>2.5</v>
      </c>
    </row>
    <row r="1412" spans="2:4" x14ac:dyDescent="0.2">
      <c r="B1412" s="120" t="s">
        <v>2479</v>
      </c>
      <c r="C1412" s="121" t="s">
        <v>2480</v>
      </c>
      <c r="D1412" s="122">
        <v>0</v>
      </c>
    </row>
    <row r="1413" spans="2:4" x14ac:dyDescent="0.2">
      <c r="B1413" s="120" t="s">
        <v>4435</v>
      </c>
      <c r="C1413" s="121" t="s">
        <v>4436</v>
      </c>
      <c r="D1413" s="122">
        <v>0</v>
      </c>
    </row>
    <row r="1414" spans="2:4" x14ac:dyDescent="0.2">
      <c r="B1414" s="120" t="s">
        <v>2481</v>
      </c>
      <c r="C1414" s="121" t="s">
        <v>2482</v>
      </c>
      <c r="D1414" s="122">
        <v>1.44</v>
      </c>
    </row>
    <row r="1415" spans="2:4" x14ac:dyDescent="0.2">
      <c r="B1415" s="120" t="s">
        <v>2483</v>
      </c>
      <c r="C1415" s="121" t="s">
        <v>2484</v>
      </c>
      <c r="D1415" s="122">
        <v>1.69</v>
      </c>
    </row>
    <row r="1416" spans="2:4" x14ac:dyDescent="0.2">
      <c r="B1416" s="120" t="s">
        <v>2485</v>
      </c>
      <c r="C1416" s="121" t="s">
        <v>2486</v>
      </c>
      <c r="D1416" s="122">
        <v>5.14</v>
      </c>
    </row>
    <row r="1417" spans="2:4" x14ac:dyDescent="0.2">
      <c r="B1417" s="120" t="s">
        <v>2487</v>
      </c>
      <c r="C1417" s="121" t="s">
        <v>2488</v>
      </c>
      <c r="D1417" s="122">
        <v>4.05</v>
      </c>
    </row>
    <row r="1418" spans="2:4" x14ac:dyDescent="0.2">
      <c r="B1418" s="120" t="s">
        <v>2489</v>
      </c>
      <c r="C1418" s="121" t="s">
        <v>2490</v>
      </c>
      <c r="D1418" s="122">
        <v>6.91</v>
      </c>
    </row>
    <row r="1419" spans="2:4" x14ac:dyDescent="0.2">
      <c r="B1419" s="120" t="s">
        <v>2491</v>
      </c>
      <c r="C1419" s="121" t="s">
        <v>2492</v>
      </c>
      <c r="D1419" s="122">
        <v>3.53</v>
      </c>
    </row>
    <row r="1420" spans="2:4" x14ac:dyDescent="0.2">
      <c r="B1420" s="120" t="s">
        <v>2493</v>
      </c>
      <c r="C1420" s="121" t="s">
        <v>2494</v>
      </c>
      <c r="D1420" s="122">
        <v>6.7</v>
      </c>
    </row>
    <row r="1421" spans="2:4" x14ac:dyDescent="0.2">
      <c r="B1421" s="120" t="s">
        <v>2495</v>
      </c>
      <c r="C1421" s="121" t="s">
        <v>2496</v>
      </c>
      <c r="D1421" s="122">
        <v>0.83</v>
      </c>
    </row>
    <row r="1422" spans="2:4" x14ac:dyDescent="0.2">
      <c r="B1422" s="120" t="s">
        <v>2497</v>
      </c>
      <c r="C1422" s="121" t="s">
        <v>2498</v>
      </c>
      <c r="D1422" s="122">
        <v>3.68</v>
      </c>
    </row>
    <row r="1423" spans="2:4" x14ac:dyDescent="0.2">
      <c r="B1423" s="120" t="s">
        <v>2499</v>
      </c>
      <c r="C1423" s="121" t="s">
        <v>2500</v>
      </c>
      <c r="D1423" s="122">
        <v>6.53</v>
      </c>
    </row>
    <row r="1424" spans="2:4" x14ac:dyDescent="0.2">
      <c r="B1424" s="120" t="s">
        <v>2501</v>
      </c>
      <c r="C1424" s="121" t="s">
        <v>2502</v>
      </c>
      <c r="D1424" s="122">
        <v>3.49</v>
      </c>
    </row>
    <row r="1425" spans="2:4" x14ac:dyDescent="0.2">
      <c r="B1425" s="120" t="s">
        <v>2503</v>
      </c>
      <c r="C1425" s="121" t="s">
        <v>2504</v>
      </c>
      <c r="D1425" s="122">
        <v>6.44</v>
      </c>
    </row>
    <row r="1426" spans="2:4" x14ac:dyDescent="0.2">
      <c r="B1426" s="120" t="s">
        <v>2505</v>
      </c>
      <c r="C1426" s="121" t="s">
        <v>2506</v>
      </c>
      <c r="D1426" s="122">
        <v>0</v>
      </c>
    </row>
    <row r="1427" spans="2:4" x14ac:dyDescent="0.2">
      <c r="B1427" s="120" t="s">
        <v>2507</v>
      </c>
      <c r="C1427" s="121" t="s">
        <v>2508</v>
      </c>
      <c r="D1427" s="122">
        <v>0</v>
      </c>
    </row>
    <row r="1428" spans="2:4" x14ac:dyDescent="0.2">
      <c r="B1428" s="120" t="s">
        <v>2509</v>
      </c>
      <c r="C1428" s="121" t="s">
        <v>2510</v>
      </c>
      <c r="D1428" s="122">
        <v>0</v>
      </c>
    </row>
    <row r="1429" spans="2:4" x14ac:dyDescent="0.2">
      <c r="B1429" s="120" t="s">
        <v>2511</v>
      </c>
      <c r="C1429" s="121" t="s">
        <v>2512</v>
      </c>
      <c r="D1429" s="122">
        <v>3</v>
      </c>
    </row>
    <row r="1430" spans="2:4" x14ac:dyDescent="0.2">
      <c r="B1430" s="120" t="s">
        <v>2513</v>
      </c>
      <c r="C1430" s="121" t="s">
        <v>18</v>
      </c>
      <c r="D1430" s="122">
        <v>2.3199999999999998</v>
      </c>
    </row>
    <row r="1431" spans="2:4" x14ac:dyDescent="0.2">
      <c r="B1431" s="120" t="s">
        <v>2514</v>
      </c>
      <c r="C1431" s="121" t="s">
        <v>2515</v>
      </c>
      <c r="D1431" s="122">
        <v>4.8499999999999996</v>
      </c>
    </row>
    <row r="1432" spans="2:4" x14ac:dyDescent="0.2">
      <c r="B1432" s="120" t="s">
        <v>2516</v>
      </c>
      <c r="C1432" s="121" t="s">
        <v>2517</v>
      </c>
      <c r="D1432" s="122">
        <v>4.46</v>
      </c>
    </row>
    <row r="1433" spans="2:4" x14ac:dyDescent="0.2">
      <c r="B1433" s="120" t="s">
        <v>2518</v>
      </c>
      <c r="C1433" s="121" t="s">
        <v>2519</v>
      </c>
      <c r="D1433" s="122">
        <v>2.12</v>
      </c>
    </row>
    <row r="1434" spans="2:4" x14ac:dyDescent="0.2">
      <c r="B1434" s="120" t="s">
        <v>2518</v>
      </c>
      <c r="C1434" s="121" t="s">
        <v>4437</v>
      </c>
      <c r="D1434" s="122">
        <v>2.7</v>
      </c>
    </row>
    <row r="1435" spans="2:4" x14ac:dyDescent="0.2">
      <c r="B1435" s="120" t="s">
        <v>4438</v>
      </c>
      <c r="C1435" s="121" t="s">
        <v>4439</v>
      </c>
      <c r="D1435" s="122">
        <v>5.92</v>
      </c>
    </row>
    <row r="1436" spans="2:4" x14ac:dyDescent="0.2">
      <c r="B1436" s="120" t="s">
        <v>2520</v>
      </c>
      <c r="C1436" s="121" t="s">
        <v>2521</v>
      </c>
      <c r="D1436" s="122">
        <v>1.82</v>
      </c>
    </row>
    <row r="1437" spans="2:4" x14ac:dyDescent="0.2">
      <c r="B1437" s="120" t="s">
        <v>4440</v>
      </c>
      <c r="C1437" s="121" t="s">
        <v>4441</v>
      </c>
      <c r="D1437" s="122">
        <v>3.44</v>
      </c>
    </row>
    <row r="1438" spans="2:4" x14ac:dyDescent="0.2">
      <c r="B1438" s="120" t="s">
        <v>2522</v>
      </c>
      <c r="C1438" s="121" t="s">
        <v>2523</v>
      </c>
      <c r="D1438" s="122">
        <v>0</v>
      </c>
    </row>
    <row r="1439" spans="2:4" x14ac:dyDescent="0.2">
      <c r="B1439" s="120" t="s">
        <v>2524</v>
      </c>
      <c r="C1439" s="121" t="s">
        <v>2525</v>
      </c>
      <c r="D1439" s="122">
        <v>2.76</v>
      </c>
    </row>
    <row r="1440" spans="2:4" x14ac:dyDescent="0.2">
      <c r="B1440" s="120" t="s">
        <v>2526</v>
      </c>
      <c r="C1440" s="121" t="s">
        <v>2527</v>
      </c>
      <c r="D1440" s="122">
        <v>0</v>
      </c>
    </row>
    <row r="1441" spans="2:4" x14ac:dyDescent="0.2">
      <c r="B1441" s="120" t="s">
        <v>4440</v>
      </c>
      <c r="C1441" s="121" t="s">
        <v>4442</v>
      </c>
      <c r="D1441" s="122">
        <v>0</v>
      </c>
    </row>
    <row r="1442" spans="2:4" x14ac:dyDescent="0.2">
      <c r="B1442" s="120" t="s">
        <v>4443</v>
      </c>
      <c r="C1442" s="121" t="s">
        <v>4444</v>
      </c>
      <c r="D1442" s="122">
        <v>4.7699999999999996</v>
      </c>
    </row>
    <row r="1443" spans="2:4" x14ac:dyDescent="0.2">
      <c r="B1443" s="120" t="s">
        <v>2528</v>
      </c>
      <c r="C1443" s="121" t="s">
        <v>2529</v>
      </c>
      <c r="D1443" s="122">
        <v>0</v>
      </c>
    </row>
    <row r="1444" spans="2:4" x14ac:dyDescent="0.2">
      <c r="B1444" s="120" t="s">
        <v>2530</v>
      </c>
      <c r="C1444" s="121" t="s">
        <v>2531</v>
      </c>
      <c r="D1444" s="122">
        <v>1.03</v>
      </c>
    </row>
    <row r="1445" spans="2:4" x14ac:dyDescent="0.2">
      <c r="B1445" s="120" t="s">
        <v>4445</v>
      </c>
      <c r="C1445" s="121" t="s">
        <v>4446</v>
      </c>
      <c r="D1445" s="122">
        <v>1.2</v>
      </c>
    </row>
    <row r="1446" spans="2:4" x14ac:dyDescent="0.2">
      <c r="B1446" s="120" t="s">
        <v>2532</v>
      </c>
      <c r="C1446" s="121" t="s">
        <v>2533</v>
      </c>
      <c r="D1446" s="122">
        <v>0.65</v>
      </c>
    </row>
    <row r="1447" spans="2:4" x14ac:dyDescent="0.2">
      <c r="B1447" s="120" t="s">
        <v>2534</v>
      </c>
      <c r="C1447" s="121" t="s">
        <v>2535</v>
      </c>
      <c r="D1447" s="122">
        <v>5.43</v>
      </c>
    </row>
    <row r="1448" spans="2:4" x14ac:dyDescent="0.2">
      <c r="B1448" s="120" t="s">
        <v>2536</v>
      </c>
      <c r="C1448" s="121" t="s">
        <v>19</v>
      </c>
      <c r="D1448" s="122">
        <v>3.04</v>
      </c>
    </row>
    <row r="1449" spans="2:4" x14ac:dyDescent="0.2">
      <c r="B1449" s="120" t="s">
        <v>2537</v>
      </c>
      <c r="C1449" s="121" t="s">
        <v>2538</v>
      </c>
      <c r="D1449" s="122">
        <v>0.17</v>
      </c>
    </row>
    <row r="1450" spans="2:4" x14ac:dyDescent="0.2">
      <c r="B1450" s="120" t="s">
        <v>2539</v>
      </c>
      <c r="C1450" s="121" t="s">
        <v>2540</v>
      </c>
      <c r="D1450" s="122">
        <v>0</v>
      </c>
    </row>
    <row r="1451" spans="2:4" x14ac:dyDescent="0.2">
      <c r="B1451" s="120" t="s">
        <v>2541</v>
      </c>
      <c r="C1451" s="121" t="s">
        <v>2542</v>
      </c>
      <c r="D1451" s="122">
        <v>2.84</v>
      </c>
    </row>
    <row r="1452" spans="2:4" x14ac:dyDescent="0.2">
      <c r="B1452" s="120" t="s">
        <v>2543</v>
      </c>
      <c r="C1452" s="121" t="s">
        <v>2544</v>
      </c>
      <c r="D1452" s="122">
        <v>3.92</v>
      </c>
    </row>
    <row r="1453" spans="2:4" x14ac:dyDescent="0.2">
      <c r="B1453" s="120" t="s">
        <v>4447</v>
      </c>
      <c r="C1453" s="121" t="s">
        <v>4448</v>
      </c>
      <c r="D1453" s="122">
        <v>5.57</v>
      </c>
    </row>
    <row r="1454" spans="2:4" x14ac:dyDescent="0.2">
      <c r="B1454" s="120" t="s">
        <v>2545</v>
      </c>
      <c r="C1454" s="121" t="s">
        <v>2546</v>
      </c>
      <c r="D1454" s="122">
        <v>3.89</v>
      </c>
    </row>
    <row r="1455" spans="2:4" x14ac:dyDescent="0.2">
      <c r="B1455" s="120" t="s">
        <v>2547</v>
      </c>
      <c r="C1455" s="121" t="s">
        <v>2548</v>
      </c>
      <c r="D1455" s="122">
        <v>0</v>
      </c>
    </row>
    <row r="1456" spans="2:4" x14ac:dyDescent="0.2">
      <c r="B1456" s="120" t="s">
        <v>2549</v>
      </c>
      <c r="C1456" s="121" t="s">
        <v>2550</v>
      </c>
      <c r="D1456" s="122">
        <v>0</v>
      </c>
    </row>
    <row r="1457" spans="2:4" x14ac:dyDescent="0.2">
      <c r="B1457" s="120" t="s">
        <v>2551</v>
      </c>
      <c r="C1457" s="121" t="s">
        <v>2552</v>
      </c>
      <c r="D1457" s="122">
        <v>2.44</v>
      </c>
    </row>
    <row r="1458" spans="2:4" x14ac:dyDescent="0.2">
      <c r="B1458" s="120" t="s">
        <v>4449</v>
      </c>
      <c r="C1458" s="121" t="s">
        <v>4450</v>
      </c>
      <c r="D1458" s="122">
        <v>1.1399999999999999</v>
      </c>
    </row>
    <row r="1459" spans="2:4" x14ac:dyDescent="0.2">
      <c r="B1459" s="120" t="s">
        <v>2553</v>
      </c>
      <c r="C1459" s="121" t="s">
        <v>2554</v>
      </c>
      <c r="D1459" s="122">
        <v>0.53</v>
      </c>
    </row>
    <row r="1460" spans="2:4" x14ac:dyDescent="0.2">
      <c r="B1460" s="120" t="s">
        <v>2555</v>
      </c>
      <c r="C1460" s="121" t="s">
        <v>2556</v>
      </c>
      <c r="D1460" s="122">
        <v>3.06</v>
      </c>
    </row>
    <row r="1461" spans="2:4" x14ac:dyDescent="0.2">
      <c r="B1461" s="120" t="s">
        <v>4451</v>
      </c>
      <c r="C1461" s="121" t="s">
        <v>4452</v>
      </c>
      <c r="D1461" s="122">
        <v>5.41</v>
      </c>
    </row>
    <row r="1462" spans="2:4" x14ac:dyDescent="0.2">
      <c r="B1462" s="120" t="s">
        <v>2557</v>
      </c>
      <c r="C1462" s="121" t="s">
        <v>2558</v>
      </c>
      <c r="D1462" s="122">
        <v>1.99</v>
      </c>
    </row>
    <row r="1463" spans="2:4" x14ac:dyDescent="0.2">
      <c r="B1463" s="120" t="s">
        <v>2559</v>
      </c>
      <c r="C1463" s="121" t="s">
        <v>2560</v>
      </c>
      <c r="D1463" s="122">
        <v>1.7</v>
      </c>
    </row>
    <row r="1464" spans="2:4" x14ac:dyDescent="0.2">
      <c r="B1464" s="120" t="s">
        <v>2561</v>
      </c>
      <c r="C1464" s="121" t="s">
        <v>2562</v>
      </c>
      <c r="D1464" s="122">
        <v>4.24</v>
      </c>
    </row>
    <row r="1465" spans="2:4" x14ac:dyDescent="0.2">
      <c r="B1465" s="120" t="s">
        <v>2563</v>
      </c>
      <c r="C1465" s="121" t="s">
        <v>2564</v>
      </c>
      <c r="D1465" s="122">
        <v>1.23</v>
      </c>
    </row>
    <row r="1466" spans="2:4" x14ac:dyDescent="0.2">
      <c r="B1466" s="120" t="s">
        <v>2565</v>
      </c>
      <c r="C1466" s="121" t="s">
        <v>2566</v>
      </c>
      <c r="D1466" s="122">
        <v>2.77</v>
      </c>
    </row>
    <row r="1467" spans="2:4" x14ac:dyDescent="0.2">
      <c r="B1467" s="120" t="s">
        <v>2567</v>
      </c>
      <c r="C1467" s="121" t="s">
        <v>2568</v>
      </c>
      <c r="D1467" s="122">
        <v>0</v>
      </c>
    </row>
    <row r="1468" spans="2:4" x14ac:dyDescent="0.2">
      <c r="B1468" s="120" t="s">
        <v>4453</v>
      </c>
      <c r="C1468" s="121" t="s">
        <v>4454</v>
      </c>
      <c r="D1468" s="122">
        <v>0</v>
      </c>
    </row>
    <row r="1469" spans="2:4" x14ac:dyDescent="0.2">
      <c r="B1469" s="120" t="s">
        <v>4455</v>
      </c>
      <c r="C1469" s="121" t="s">
        <v>4456</v>
      </c>
      <c r="D1469" s="122">
        <v>6.92</v>
      </c>
    </row>
    <row r="1470" spans="2:4" x14ac:dyDescent="0.2">
      <c r="B1470" s="120" t="s">
        <v>2569</v>
      </c>
      <c r="C1470" s="121" t="s">
        <v>2570</v>
      </c>
      <c r="D1470" s="122">
        <v>3.07</v>
      </c>
    </row>
    <row r="1471" spans="2:4" x14ac:dyDescent="0.2">
      <c r="B1471" s="120" t="s">
        <v>2571</v>
      </c>
      <c r="C1471" s="121" t="s">
        <v>2572</v>
      </c>
      <c r="D1471" s="122">
        <v>0.32</v>
      </c>
    </row>
    <row r="1472" spans="2:4" x14ac:dyDescent="0.2">
      <c r="B1472" s="120" t="s">
        <v>4457</v>
      </c>
      <c r="C1472" s="121" t="s">
        <v>4458</v>
      </c>
      <c r="D1472" s="122">
        <v>2.74</v>
      </c>
    </row>
    <row r="1473" spans="2:4" x14ac:dyDescent="0.2">
      <c r="B1473" s="120" t="s">
        <v>2573</v>
      </c>
      <c r="C1473" s="121" t="s">
        <v>2574</v>
      </c>
      <c r="D1473" s="122">
        <v>0</v>
      </c>
    </row>
    <row r="1474" spans="2:4" x14ac:dyDescent="0.2">
      <c r="B1474" s="120" t="s">
        <v>2575</v>
      </c>
      <c r="C1474" s="121" t="s">
        <v>2576</v>
      </c>
      <c r="D1474" s="122">
        <v>2.5099999999999998</v>
      </c>
    </row>
    <row r="1475" spans="2:4" x14ac:dyDescent="0.2">
      <c r="B1475" s="120" t="s">
        <v>2577</v>
      </c>
      <c r="C1475" s="121" t="s">
        <v>2578</v>
      </c>
      <c r="D1475" s="122">
        <v>0</v>
      </c>
    </row>
    <row r="1476" spans="2:4" x14ac:dyDescent="0.2">
      <c r="B1476" s="120" t="s">
        <v>4459</v>
      </c>
      <c r="C1476" s="121" t="s">
        <v>4460</v>
      </c>
      <c r="D1476" s="122">
        <v>1.03</v>
      </c>
    </row>
    <row r="1477" spans="2:4" x14ac:dyDescent="0.2">
      <c r="B1477" s="120" t="s">
        <v>2579</v>
      </c>
      <c r="C1477" s="121" t="s">
        <v>2580</v>
      </c>
      <c r="D1477" s="122">
        <v>6.4</v>
      </c>
    </row>
    <row r="1478" spans="2:4" x14ac:dyDescent="0.2">
      <c r="B1478" s="120" t="s">
        <v>2581</v>
      </c>
      <c r="C1478" s="121" t="s">
        <v>2582</v>
      </c>
      <c r="D1478" s="122">
        <v>3.27</v>
      </c>
    </row>
    <row r="1479" spans="2:4" x14ac:dyDescent="0.2">
      <c r="B1479" s="120" t="s">
        <v>2583</v>
      </c>
      <c r="C1479" s="121" t="s">
        <v>2584</v>
      </c>
      <c r="D1479" s="122">
        <v>1.1499999999999999</v>
      </c>
    </row>
    <row r="1480" spans="2:4" x14ac:dyDescent="0.2">
      <c r="B1480" s="120" t="s">
        <v>4461</v>
      </c>
      <c r="C1480" s="121" t="s">
        <v>4462</v>
      </c>
      <c r="D1480" s="122">
        <v>1.48</v>
      </c>
    </row>
    <row r="1481" spans="2:4" x14ac:dyDescent="0.2">
      <c r="B1481" s="120" t="s">
        <v>2585</v>
      </c>
      <c r="C1481" s="121" t="s">
        <v>2586</v>
      </c>
      <c r="D1481" s="122">
        <v>2.25</v>
      </c>
    </row>
    <row r="1482" spans="2:4" x14ac:dyDescent="0.2">
      <c r="B1482" s="120" t="s">
        <v>2587</v>
      </c>
      <c r="C1482" s="121" t="s">
        <v>2588</v>
      </c>
      <c r="D1482" s="122">
        <v>1.97</v>
      </c>
    </row>
    <row r="1483" spans="2:4" x14ac:dyDescent="0.2">
      <c r="B1483" s="120" t="s">
        <v>2589</v>
      </c>
      <c r="C1483" s="121" t="s">
        <v>2590</v>
      </c>
      <c r="D1483" s="122">
        <v>3.04</v>
      </c>
    </row>
    <row r="1484" spans="2:4" x14ac:dyDescent="0.2">
      <c r="B1484" s="120" t="s">
        <v>2591</v>
      </c>
      <c r="C1484" s="121" t="s">
        <v>2592</v>
      </c>
      <c r="D1484" s="122">
        <v>0</v>
      </c>
    </row>
    <row r="1485" spans="2:4" x14ac:dyDescent="0.2">
      <c r="B1485" s="120" t="s">
        <v>2593</v>
      </c>
      <c r="C1485" s="121" t="s">
        <v>2594</v>
      </c>
      <c r="D1485" s="122">
        <v>1.1200000000000001</v>
      </c>
    </row>
    <row r="1486" spans="2:4" x14ac:dyDescent="0.2">
      <c r="B1486" s="120" t="s">
        <v>2595</v>
      </c>
      <c r="C1486" s="121" t="s">
        <v>2596</v>
      </c>
      <c r="D1486" s="122">
        <v>2.73</v>
      </c>
    </row>
    <row r="1487" spans="2:4" x14ac:dyDescent="0.2">
      <c r="B1487" s="120" t="s">
        <v>2597</v>
      </c>
      <c r="C1487" s="121" t="s">
        <v>2598</v>
      </c>
      <c r="D1487" s="122">
        <v>0</v>
      </c>
    </row>
    <row r="1488" spans="2:4" x14ac:dyDescent="0.2">
      <c r="B1488" s="120" t="s">
        <v>2599</v>
      </c>
      <c r="C1488" s="121" t="s">
        <v>2600</v>
      </c>
      <c r="D1488" s="122">
        <v>0</v>
      </c>
    </row>
    <row r="1489" spans="2:4" x14ac:dyDescent="0.2">
      <c r="B1489" s="120" t="s">
        <v>2601</v>
      </c>
      <c r="C1489" s="121" t="s">
        <v>2602</v>
      </c>
      <c r="D1489" s="122">
        <v>0</v>
      </c>
    </row>
    <row r="1490" spans="2:4" x14ac:dyDescent="0.2">
      <c r="B1490" s="120" t="s">
        <v>4463</v>
      </c>
      <c r="C1490" s="121" t="s">
        <v>4464</v>
      </c>
      <c r="D1490" s="122">
        <v>2.41</v>
      </c>
    </row>
    <row r="1491" spans="2:4" x14ac:dyDescent="0.2">
      <c r="B1491" s="120" t="s">
        <v>2603</v>
      </c>
      <c r="C1491" s="121" t="s">
        <v>2604</v>
      </c>
      <c r="D1491" s="122">
        <v>1.71</v>
      </c>
    </row>
    <row r="1492" spans="2:4" x14ac:dyDescent="0.2">
      <c r="B1492" s="120" t="s">
        <v>2605</v>
      </c>
      <c r="C1492" s="121" t="s">
        <v>2606</v>
      </c>
      <c r="D1492" s="122">
        <v>5.21</v>
      </c>
    </row>
    <row r="1493" spans="2:4" x14ac:dyDescent="0.2">
      <c r="B1493" s="120" t="s">
        <v>2607</v>
      </c>
      <c r="C1493" s="121" t="s">
        <v>2608</v>
      </c>
      <c r="D1493" s="122">
        <v>2.37</v>
      </c>
    </row>
    <row r="1494" spans="2:4" x14ac:dyDescent="0.2">
      <c r="B1494" s="120" t="s">
        <v>2609</v>
      </c>
      <c r="C1494" s="121" t="s">
        <v>2610</v>
      </c>
      <c r="D1494" s="122">
        <v>0</v>
      </c>
    </row>
    <row r="1495" spans="2:4" x14ac:dyDescent="0.2">
      <c r="B1495" s="120" t="s">
        <v>2611</v>
      </c>
      <c r="C1495" s="121" t="s">
        <v>2612</v>
      </c>
      <c r="D1495" s="122">
        <v>1.52</v>
      </c>
    </row>
    <row r="1496" spans="2:4" x14ac:dyDescent="0.2">
      <c r="B1496" s="120" t="s">
        <v>2613</v>
      </c>
      <c r="C1496" s="121" t="s">
        <v>2614</v>
      </c>
      <c r="D1496" s="122">
        <v>1.07</v>
      </c>
    </row>
    <row r="1497" spans="2:4" x14ac:dyDescent="0.2">
      <c r="B1497" s="120" t="s">
        <v>2615</v>
      </c>
      <c r="C1497" s="121" t="s">
        <v>2616</v>
      </c>
      <c r="D1497" s="122">
        <v>0.91</v>
      </c>
    </row>
    <row r="1498" spans="2:4" x14ac:dyDescent="0.2">
      <c r="B1498" s="120" t="s">
        <v>2617</v>
      </c>
      <c r="C1498" s="121" t="s">
        <v>2618</v>
      </c>
      <c r="D1498" s="122">
        <v>4.49</v>
      </c>
    </row>
    <row r="1499" spans="2:4" x14ac:dyDescent="0.2">
      <c r="B1499" s="120" t="s">
        <v>2619</v>
      </c>
      <c r="C1499" s="121" t="s">
        <v>2620</v>
      </c>
      <c r="D1499" s="122">
        <v>3.23</v>
      </c>
    </row>
    <row r="1500" spans="2:4" x14ac:dyDescent="0.2">
      <c r="B1500" s="120" t="s">
        <v>2621</v>
      </c>
      <c r="C1500" s="121" t="s">
        <v>2622</v>
      </c>
      <c r="D1500" s="122">
        <v>2.33</v>
      </c>
    </row>
    <row r="1501" spans="2:4" x14ac:dyDescent="0.2">
      <c r="B1501" s="120" t="s">
        <v>4465</v>
      </c>
      <c r="C1501" s="121" t="s">
        <v>4466</v>
      </c>
      <c r="D1501" s="122">
        <v>0</v>
      </c>
    </row>
    <row r="1502" spans="2:4" x14ac:dyDescent="0.2">
      <c r="B1502" s="120" t="s">
        <v>4467</v>
      </c>
      <c r="C1502" s="121" t="s">
        <v>4468</v>
      </c>
      <c r="D1502" s="122">
        <v>11.1</v>
      </c>
    </row>
    <row r="1503" spans="2:4" x14ac:dyDescent="0.2">
      <c r="B1503" s="120" t="s">
        <v>4469</v>
      </c>
      <c r="C1503" s="121" t="s">
        <v>4470</v>
      </c>
      <c r="D1503" s="122">
        <v>0</v>
      </c>
    </row>
    <row r="1504" spans="2:4" x14ac:dyDescent="0.2">
      <c r="B1504" s="120" t="s">
        <v>4471</v>
      </c>
      <c r="C1504" s="121" t="s">
        <v>4472</v>
      </c>
      <c r="D1504" s="122">
        <v>1.41</v>
      </c>
    </row>
    <row r="1505" spans="2:4" x14ac:dyDescent="0.2">
      <c r="B1505" s="120" t="s">
        <v>2623</v>
      </c>
      <c r="C1505" s="121" t="s">
        <v>2624</v>
      </c>
      <c r="D1505" s="122">
        <v>0</v>
      </c>
    </row>
    <row r="1506" spans="2:4" x14ac:dyDescent="0.2">
      <c r="B1506" s="120" t="s">
        <v>2625</v>
      </c>
      <c r="C1506" s="121" t="s">
        <v>2626</v>
      </c>
      <c r="D1506" s="122">
        <v>3.49</v>
      </c>
    </row>
    <row r="1507" spans="2:4" x14ac:dyDescent="0.2">
      <c r="B1507" s="120" t="s">
        <v>2627</v>
      </c>
      <c r="C1507" s="121" t="s">
        <v>2628</v>
      </c>
      <c r="D1507" s="122">
        <v>5.87</v>
      </c>
    </row>
    <row r="1508" spans="2:4" x14ac:dyDescent="0.2">
      <c r="B1508" s="120" t="s">
        <v>2629</v>
      </c>
      <c r="C1508" s="121" t="s">
        <v>2630</v>
      </c>
      <c r="D1508" s="122">
        <v>0</v>
      </c>
    </row>
    <row r="1509" spans="2:4" x14ac:dyDescent="0.2">
      <c r="B1509" s="120" t="s">
        <v>2631</v>
      </c>
      <c r="C1509" s="121" t="s">
        <v>2632</v>
      </c>
      <c r="D1509" s="122">
        <v>3.27</v>
      </c>
    </row>
    <row r="1510" spans="2:4" x14ac:dyDescent="0.2">
      <c r="B1510" s="120" t="s">
        <v>2633</v>
      </c>
      <c r="C1510" s="121" t="s">
        <v>2634</v>
      </c>
      <c r="D1510" s="122">
        <v>3.63</v>
      </c>
    </row>
    <row r="1511" spans="2:4" x14ac:dyDescent="0.2">
      <c r="B1511" s="120" t="s">
        <v>2635</v>
      </c>
      <c r="C1511" s="121" t="s">
        <v>2636</v>
      </c>
      <c r="D1511" s="122">
        <v>2.61</v>
      </c>
    </row>
    <row r="1512" spans="2:4" x14ac:dyDescent="0.2">
      <c r="B1512" s="120" t="s">
        <v>2637</v>
      </c>
      <c r="C1512" s="121" t="s">
        <v>2638</v>
      </c>
      <c r="D1512" s="122">
        <v>2.19</v>
      </c>
    </row>
    <row r="1513" spans="2:4" x14ac:dyDescent="0.2">
      <c r="B1513" s="120" t="s">
        <v>2639</v>
      </c>
      <c r="C1513" s="121" t="s">
        <v>2640</v>
      </c>
      <c r="D1513" s="122">
        <v>0.17</v>
      </c>
    </row>
    <row r="1514" spans="2:4" x14ac:dyDescent="0.2">
      <c r="B1514" s="120" t="s">
        <v>2641</v>
      </c>
      <c r="C1514" s="121" t="s">
        <v>2642</v>
      </c>
      <c r="D1514" s="122">
        <v>0</v>
      </c>
    </row>
    <row r="1515" spans="2:4" x14ac:dyDescent="0.2">
      <c r="B1515" s="120" t="s">
        <v>2643</v>
      </c>
      <c r="C1515" s="121" t="s">
        <v>2644</v>
      </c>
      <c r="D1515" s="122">
        <v>0.43</v>
      </c>
    </row>
    <row r="1516" spans="2:4" x14ac:dyDescent="0.2">
      <c r="B1516" s="120" t="s">
        <v>2645</v>
      </c>
      <c r="C1516" s="121" t="s">
        <v>2646</v>
      </c>
      <c r="D1516" s="122">
        <v>0.48</v>
      </c>
    </row>
    <row r="1517" spans="2:4" x14ac:dyDescent="0.2">
      <c r="B1517" s="120" t="s">
        <v>2647</v>
      </c>
      <c r="C1517" s="121" t="s">
        <v>2648</v>
      </c>
      <c r="D1517" s="122">
        <v>0</v>
      </c>
    </row>
    <row r="1518" spans="2:4" x14ac:dyDescent="0.2">
      <c r="B1518" s="120" t="s">
        <v>2649</v>
      </c>
      <c r="C1518" s="121" t="s">
        <v>2650</v>
      </c>
      <c r="D1518" s="122">
        <v>3.24</v>
      </c>
    </row>
    <row r="1519" spans="2:4" x14ac:dyDescent="0.2">
      <c r="B1519" s="120" t="s">
        <v>2651</v>
      </c>
      <c r="C1519" s="121" t="s">
        <v>2652</v>
      </c>
      <c r="D1519" s="122">
        <v>0</v>
      </c>
    </row>
    <row r="1520" spans="2:4" x14ac:dyDescent="0.2">
      <c r="B1520" s="120" t="s">
        <v>2653</v>
      </c>
      <c r="C1520" s="121" t="s">
        <v>2654</v>
      </c>
      <c r="D1520" s="122">
        <v>0</v>
      </c>
    </row>
    <row r="1521" spans="2:4" x14ac:dyDescent="0.2">
      <c r="B1521" s="120" t="s">
        <v>4473</v>
      </c>
      <c r="C1521" s="121" t="s">
        <v>4474</v>
      </c>
      <c r="D1521" s="122">
        <v>0.78</v>
      </c>
    </row>
    <row r="1522" spans="2:4" x14ac:dyDescent="0.2">
      <c r="B1522" s="120" t="s">
        <v>2655</v>
      </c>
      <c r="C1522" s="121" t="s">
        <v>2656</v>
      </c>
      <c r="D1522" s="122">
        <v>0</v>
      </c>
    </row>
    <row r="1523" spans="2:4" x14ac:dyDescent="0.2">
      <c r="B1523" s="120" t="s">
        <v>2655</v>
      </c>
      <c r="C1523" s="121" t="s">
        <v>4475</v>
      </c>
      <c r="D1523" s="122">
        <v>0</v>
      </c>
    </row>
    <row r="1524" spans="2:4" x14ac:dyDescent="0.2">
      <c r="B1524" s="120" t="s">
        <v>2657</v>
      </c>
      <c r="C1524" s="121" t="s">
        <v>2658</v>
      </c>
      <c r="D1524" s="122">
        <v>0</v>
      </c>
    </row>
    <row r="1525" spans="2:4" x14ac:dyDescent="0.2">
      <c r="B1525" s="120" t="s">
        <v>2659</v>
      </c>
      <c r="C1525" s="121" t="s">
        <v>2660</v>
      </c>
      <c r="D1525" s="122">
        <v>2.76</v>
      </c>
    </row>
    <row r="1526" spans="2:4" x14ac:dyDescent="0.2">
      <c r="B1526" s="120" t="s">
        <v>2661</v>
      </c>
      <c r="C1526" s="121" t="s">
        <v>2662</v>
      </c>
      <c r="D1526" s="122">
        <v>0</v>
      </c>
    </row>
    <row r="1527" spans="2:4" x14ac:dyDescent="0.2">
      <c r="B1527" s="120" t="s">
        <v>2663</v>
      </c>
      <c r="C1527" s="121" t="s">
        <v>2664</v>
      </c>
      <c r="D1527" s="122">
        <v>0</v>
      </c>
    </row>
    <row r="1528" spans="2:4" x14ac:dyDescent="0.2">
      <c r="B1528" s="120" t="s">
        <v>4476</v>
      </c>
      <c r="C1528" s="121" t="s">
        <v>4477</v>
      </c>
      <c r="D1528" s="122">
        <v>2.78</v>
      </c>
    </row>
    <row r="1529" spans="2:4" x14ac:dyDescent="0.2">
      <c r="B1529" s="120" t="s">
        <v>2665</v>
      </c>
      <c r="C1529" s="121" t="s">
        <v>2666</v>
      </c>
      <c r="D1529" s="122">
        <v>0</v>
      </c>
    </row>
    <row r="1530" spans="2:4" x14ac:dyDescent="0.2">
      <c r="B1530" s="120" t="s">
        <v>4478</v>
      </c>
      <c r="C1530" s="121" t="s">
        <v>4479</v>
      </c>
      <c r="D1530" s="122">
        <v>4.0199999999999996</v>
      </c>
    </row>
    <row r="1531" spans="2:4" x14ac:dyDescent="0.2">
      <c r="B1531" s="120" t="s">
        <v>2667</v>
      </c>
      <c r="C1531" s="121" t="s">
        <v>2668</v>
      </c>
      <c r="D1531" s="122">
        <v>2.09</v>
      </c>
    </row>
    <row r="1532" spans="2:4" x14ac:dyDescent="0.2">
      <c r="B1532" s="120" t="s">
        <v>2669</v>
      </c>
      <c r="C1532" s="121" t="s">
        <v>2670</v>
      </c>
      <c r="D1532" s="122">
        <v>1.65</v>
      </c>
    </row>
    <row r="1533" spans="2:4" x14ac:dyDescent="0.2">
      <c r="B1533" s="120" t="s">
        <v>2671</v>
      </c>
      <c r="C1533" s="121" t="s">
        <v>2672</v>
      </c>
      <c r="D1533" s="122">
        <v>2.11</v>
      </c>
    </row>
    <row r="1534" spans="2:4" x14ac:dyDescent="0.2">
      <c r="B1534" s="120" t="s">
        <v>2673</v>
      </c>
      <c r="C1534" s="121" t="s">
        <v>2674</v>
      </c>
      <c r="D1534" s="122">
        <v>1.52</v>
      </c>
    </row>
    <row r="1535" spans="2:4" x14ac:dyDescent="0.2">
      <c r="B1535" s="120" t="s">
        <v>4480</v>
      </c>
      <c r="C1535" s="121" t="s">
        <v>4481</v>
      </c>
      <c r="D1535" s="122">
        <v>0</v>
      </c>
    </row>
    <row r="1536" spans="2:4" x14ac:dyDescent="0.2">
      <c r="B1536" s="120" t="s">
        <v>4482</v>
      </c>
      <c r="C1536" s="121" t="s">
        <v>4483</v>
      </c>
      <c r="D1536" s="122">
        <v>0</v>
      </c>
    </row>
    <row r="1537" spans="2:4" x14ac:dyDescent="0.2">
      <c r="B1537" s="120" t="s">
        <v>2675</v>
      </c>
      <c r="C1537" s="121" t="s">
        <v>2676</v>
      </c>
      <c r="D1537" s="122">
        <v>2.98</v>
      </c>
    </row>
    <row r="1538" spans="2:4" x14ac:dyDescent="0.2">
      <c r="B1538" s="120" t="s">
        <v>2677</v>
      </c>
      <c r="C1538" s="121" t="s">
        <v>2678</v>
      </c>
      <c r="D1538" s="122">
        <v>2.79</v>
      </c>
    </row>
    <row r="1539" spans="2:4" x14ac:dyDescent="0.2">
      <c r="B1539" s="120" t="s">
        <v>2679</v>
      </c>
      <c r="C1539" s="121" t="s">
        <v>2680</v>
      </c>
      <c r="D1539" s="122">
        <v>0</v>
      </c>
    </row>
    <row r="1540" spans="2:4" x14ac:dyDescent="0.2">
      <c r="B1540" s="120" t="s">
        <v>2681</v>
      </c>
      <c r="C1540" s="121" t="s">
        <v>2682</v>
      </c>
      <c r="D1540" s="122">
        <v>0.04</v>
      </c>
    </row>
    <row r="1541" spans="2:4" x14ac:dyDescent="0.2">
      <c r="B1541" s="120" t="s">
        <v>2683</v>
      </c>
      <c r="C1541" s="121" t="s">
        <v>2684</v>
      </c>
      <c r="D1541" s="122">
        <v>5.47</v>
      </c>
    </row>
    <row r="1542" spans="2:4" x14ac:dyDescent="0.2">
      <c r="B1542" s="120" t="s">
        <v>2683</v>
      </c>
      <c r="C1542" s="121" t="s">
        <v>4484</v>
      </c>
      <c r="D1542" s="122">
        <v>6.41</v>
      </c>
    </row>
    <row r="1543" spans="2:4" x14ac:dyDescent="0.2">
      <c r="B1543" s="120" t="s">
        <v>2685</v>
      </c>
      <c r="C1543" s="121" t="s">
        <v>2686</v>
      </c>
      <c r="D1543" s="122">
        <v>1.17</v>
      </c>
    </row>
    <row r="1544" spans="2:4" x14ac:dyDescent="0.2">
      <c r="B1544" s="120" t="s">
        <v>2687</v>
      </c>
      <c r="C1544" s="121" t="s">
        <v>2688</v>
      </c>
      <c r="D1544" s="122">
        <v>0.67</v>
      </c>
    </row>
    <row r="1545" spans="2:4" x14ac:dyDescent="0.2">
      <c r="B1545" s="120" t="s">
        <v>2689</v>
      </c>
      <c r="C1545" s="121" t="s">
        <v>2690</v>
      </c>
      <c r="D1545" s="122">
        <v>2.12</v>
      </c>
    </row>
    <row r="1546" spans="2:4" x14ac:dyDescent="0.2">
      <c r="B1546" s="120" t="s">
        <v>2691</v>
      </c>
      <c r="C1546" s="121" t="s">
        <v>2692</v>
      </c>
      <c r="D1546" s="122">
        <v>3.45</v>
      </c>
    </row>
    <row r="1547" spans="2:4" x14ac:dyDescent="0.2">
      <c r="B1547" s="120" t="s">
        <v>2693</v>
      </c>
      <c r="C1547" s="121" t="s">
        <v>2694</v>
      </c>
      <c r="D1547" s="122">
        <v>0</v>
      </c>
    </row>
    <row r="1548" spans="2:4" x14ac:dyDescent="0.2">
      <c r="B1548" s="120" t="s">
        <v>4485</v>
      </c>
      <c r="C1548" s="121" t="s">
        <v>4486</v>
      </c>
      <c r="D1548" s="122">
        <v>1.41</v>
      </c>
    </row>
    <row r="1549" spans="2:4" x14ac:dyDescent="0.2">
      <c r="B1549" s="120" t="s">
        <v>4487</v>
      </c>
      <c r="C1549" s="121" t="s">
        <v>4488</v>
      </c>
      <c r="D1549" s="122">
        <v>1.47</v>
      </c>
    </row>
    <row r="1550" spans="2:4" x14ac:dyDescent="0.2">
      <c r="B1550" s="120" t="s">
        <v>2695</v>
      </c>
      <c r="C1550" s="121" t="s">
        <v>2696</v>
      </c>
      <c r="D1550" s="122">
        <v>5.77</v>
      </c>
    </row>
    <row r="1551" spans="2:4" x14ac:dyDescent="0.2">
      <c r="B1551" s="120" t="s">
        <v>2697</v>
      </c>
      <c r="C1551" s="121" t="s">
        <v>2698</v>
      </c>
      <c r="D1551" s="122">
        <v>1.68</v>
      </c>
    </row>
    <row r="1552" spans="2:4" x14ac:dyDescent="0.2">
      <c r="B1552" s="120" t="s">
        <v>2699</v>
      </c>
      <c r="C1552" s="121" t="s">
        <v>2700</v>
      </c>
      <c r="D1552" s="122">
        <v>3.88</v>
      </c>
    </row>
    <row r="1553" spans="2:4" x14ac:dyDescent="0.2">
      <c r="B1553" s="120" t="s">
        <v>2701</v>
      </c>
      <c r="C1553" s="121" t="s">
        <v>2702</v>
      </c>
      <c r="D1553" s="122">
        <v>1.76</v>
      </c>
    </row>
    <row r="1554" spans="2:4" x14ac:dyDescent="0.2">
      <c r="B1554" s="120" t="s">
        <v>2703</v>
      </c>
      <c r="C1554" s="121" t="s">
        <v>2704</v>
      </c>
      <c r="D1554" s="122">
        <v>0</v>
      </c>
    </row>
    <row r="1555" spans="2:4" x14ac:dyDescent="0.2">
      <c r="B1555" s="120" t="s">
        <v>2705</v>
      </c>
      <c r="C1555" s="121" t="s">
        <v>2706</v>
      </c>
      <c r="D1555" s="122">
        <v>0.83</v>
      </c>
    </row>
    <row r="1556" spans="2:4" x14ac:dyDescent="0.2">
      <c r="B1556" s="120" t="s">
        <v>2707</v>
      </c>
      <c r="C1556" s="121" t="s">
        <v>2708</v>
      </c>
      <c r="D1556" s="122">
        <v>0</v>
      </c>
    </row>
    <row r="1557" spans="2:4" x14ac:dyDescent="0.2">
      <c r="B1557" s="120" t="s">
        <v>2709</v>
      </c>
      <c r="C1557" s="121" t="s">
        <v>2710</v>
      </c>
      <c r="D1557" s="122">
        <v>1.9</v>
      </c>
    </row>
    <row r="1558" spans="2:4" x14ac:dyDescent="0.2">
      <c r="B1558" s="120" t="s">
        <v>2711</v>
      </c>
      <c r="C1558" s="121" t="s">
        <v>2712</v>
      </c>
      <c r="D1558" s="122">
        <v>2.25</v>
      </c>
    </row>
    <row r="1559" spans="2:4" x14ac:dyDescent="0.2">
      <c r="B1559" s="120" t="s">
        <v>2713</v>
      </c>
      <c r="C1559" s="121" t="s">
        <v>2714</v>
      </c>
      <c r="D1559" s="122">
        <v>4.38</v>
      </c>
    </row>
    <row r="1560" spans="2:4" x14ac:dyDescent="0.2">
      <c r="B1560" s="120" t="s">
        <v>2715</v>
      </c>
      <c r="C1560" s="121" t="s">
        <v>2716</v>
      </c>
      <c r="D1560" s="122">
        <v>1.88</v>
      </c>
    </row>
    <row r="1561" spans="2:4" x14ac:dyDescent="0.2">
      <c r="B1561" s="120" t="s">
        <v>2717</v>
      </c>
      <c r="C1561" s="121" t="s">
        <v>2718</v>
      </c>
      <c r="D1561" s="122">
        <v>0</v>
      </c>
    </row>
    <row r="1562" spans="2:4" x14ac:dyDescent="0.2">
      <c r="B1562" s="120" t="s">
        <v>2719</v>
      </c>
      <c r="C1562" s="121" t="s">
        <v>2720</v>
      </c>
      <c r="D1562" s="122">
        <v>5.72</v>
      </c>
    </row>
    <row r="1563" spans="2:4" x14ac:dyDescent="0.2">
      <c r="B1563" s="120" t="s">
        <v>2721</v>
      </c>
      <c r="C1563" s="121" t="s">
        <v>2722</v>
      </c>
      <c r="D1563" s="122">
        <v>1.62</v>
      </c>
    </row>
    <row r="1564" spans="2:4" x14ac:dyDescent="0.2">
      <c r="B1564" s="120" t="s">
        <v>4489</v>
      </c>
      <c r="C1564" s="121" t="s">
        <v>4490</v>
      </c>
      <c r="D1564" s="122">
        <v>0.42</v>
      </c>
    </row>
    <row r="1565" spans="2:4" x14ac:dyDescent="0.2">
      <c r="B1565" s="120" t="s">
        <v>2723</v>
      </c>
      <c r="C1565" s="121" t="s">
        <v>20</v>
      </c>
      <c r="D1565" s="122">
        <v>2.96</v>
      </c>
    </row>
    <row r="1566" spans="2:4" x14ac:dyDescent="0.2">
      <c r="B1566" s="120" t="s">
        <v>2724</v>
      </c>
      <c r="C1566" s="121" t="s">
        <v>2725</v>
      </c>
      <c r="D1566" s="122">
        <v>1</v>
      </c>
    </row>
    <row r="1567" spans="2:4" x14ac:dyDescent="0.2">
      <c r="B1567" s="120" t="s">
        <v>2726</v>
      </c>
      <c r="C1567" s="121" t="s">
        <v>2727</v>
      </c>
      <c r="D1567" s="122">
        <v>1.1599999999999999</v>
      </c>
    </row>
    <row r="1568" spans="2:4" x14ac:dyDescent="0.2">
      <c r="B1568" s="120" t="s">
        <v>2728</v>
      </c>
      <c r="C1568" s="121" t="s">
        <v>2729</v>
      </c>
      <c r="D1568" s="122">
        <v>0</v>
      </c>
    </row>
    <row r="1569" spans="2:4" x14ac:dyDescent="0.2">
      <c r="B1569" s="120" t="s">
        <v>2730</v>
      </c>
      <c r="C1569" s="121" t="s">
        <v>2731</v>
      </c>
      <c r="D1569" s="122">
        <v>5.0599999999999996</v>
      </c>
    </row>
    <row r="1570" spans="2:4" x14ac:dyDescent="0.2">
      <c r="B1570" s="120" t="s">
        <v>2732</v>
      </c>
      <c r="C1570" s="121" t="s">
        <v>2733</v>
      </c>
      <c r="D1570" s="122">
        <v>0.71</v>
      </c>
    </row>
    <row r="1571" spans="2:4" x14ac:dyDescent="0.2">
      <c r="B1571" s="120" t="s">
        <v>2734</v>
      </c>
      <c r="C1571" s="121" t="s">
        <v>2735</v>
      </c>
      <c r="D1571" s="122">
        <v>0</v>
      </c>
    </row>
    <row r="1572" spans="2:4" x14ac:dyDescent="0.2">
      <c r="B1572" s="120" t="s">
        <v>4491</v>
      </c>
      <c r="C1572" s="121" t="s">
        <v>4492</v>
      </c>
      <c r="D1572" s="122">
        <v>1.28</v>
      </c>
    </row>
    <row r="1573" spans="2:4" x14ac:dyDescent="0.2">
      <c r="B1573" s="120" t="s">
        <v>2736</v>
      </c>
      <c r="C1573" s="121" t="s">
        <v>2737</v>
      </c>
      <c r="D1573" s="122">
        <v>2.39</v>
      </c>
    </row>
    <row r="1574" spans="2:4" x14ac:dyDescent="0.2">
      <c r="B1574" s="120" t="s">
        <v>2738</v>
      </c>
      <c r="C1574" s="121" t="s">
        <v>2739</v>
      </c>
      <c r="D1574" s="122">
        <v>0</v>
      </c>
    </row>
    <row r="1575" spans="2:4" x14ac:dyDescent="0.2">
      <c r="B1575" s="120" t="s">
        <v>2740</v>
      </c>
      <c r="C1575" s="121" t="s">
        <v>2741</v>
      </c>
      <c r="D1575" s="122">
        <v>1.22</v>
      </c>
    </row>
    <row r="1576" spans="2:4" x14ac:dyDescent="0.2">
      <c r="B1576" s="120" t="s">
        <v>2742</v>
      </c>
      <c r="C1576" s="121" t="s">
        <v>2743</v>
      </c>
      <c r="D1576" s="122">
        <v>0</v>
      </c>
    </row>
    <row r="1577" spans="2:4" x14ac:dyDescent="0.2">
      <c r="B1577" s="120" t="s">
        <v>2744</v>
      </c>
      <c r="C1577" s="121" t="s">
        <v>2745</v>
      </c>
      <c r="D1577" s="122">
        <v>0.51</v>
      </c>
    </row>
    <row r="1578" spans="2:4" x14ac:dyDescent="0.2">
      <c r="B1578" s="120" t="s">
        <v>2746</v>
      </c>
      <c r="C1578" s="121" t="s">
        <v>2747</v>
      </c>
      <c r="D1578" s="122">
        <v>0.97</v>
      </c>
    </row>
    <row r="1579" spans="2:4" x14ac:dyDescent="0.2">
      <c r="B1579" s="120" t="s">
        <v>4493</v>
      </c>
      <c r="C1579" s="121" t="s">
        <v>4494</v>
      </c>
      <c r="D1579" s="122">
        <v>5.31</v>
      </c>
    </row>
    <row r="1580" spans="2:4" x14ac:dyDescent="0.2">
      <c r="B1580" s="120" t="s">
        <v>2748</v>
      </c>
      <c r="C1580" s="121" t="s">
        <v>2749</v>
      </c>
      <c r="D1580" s="122">
        <v>0</v>
      </c>
    </row>
    <row r="1581" spans="2:4" x14ac:dyDescent="0.2">
      <c r="B1581" s="120" t="s">
        <v>2750</v>
      </c>
      <c r="C1581" s="121" t="s">
        <v>2751</v>
      </c>
      <c r="D1581" s="122">
        <v>2.0499999999999998</v>
      </c>
    </row>
    <row r="1582" spans="2:4" x14ac:dyDescent="0.2">
      <c r="B1582" s="120" t="s">
        <v>2752</v>
      </c>
      <c r="C1582" s="121" t="s">
        <v>2753</v>
      </c>
      <c r="D1582" s="122">
        <v>2.19</v>
      </c>
    </row>
    <row r="1583" spans="2:4" x14ac:dyDescent="0.2">
      <c r="B1583" s="120" t="s">
        <v>2754</v>
      </c>
      <c r="C1583" s="121" t="s">
        <v>2755</v>
      </c>
      <c r="D1583" s="122">
        <v>1.71</v>
      </c>
    </row>
    <row r="1584" spans="2:4" x14ac:dyDescent="0.2">
      <c r="B1584" s="120" t="s">
        <v>4495</v>
      </c>
      <c r="C1584" s="121" t="s">
        <v>4496</v>
      </c>
      <c r="D1584" s="122">
        <v>1.82</v>
      </c>
    </row>
    <row r="1585" spans="2:4" x14ac:dyDescent="0.2">
      <c r="B1585" s="120" t="s">
        <v>2756</v>
      </c>
      <c r="C1585" s="121" t="s">
        <v>2757</v>
      </c>
      <c r="D1585" s="122">
        <v>1.93</v>
      </c>
    </row>
    <row r="1586" spans="2:4" x14ac:dyDescent="0.2">
      <c r="B1586" s="120" t="s">
        <v>2758</v>
      </c>
      <c r="C1586" s="121" t="s">
        <v>2759</v>
      </c>
      <c r="D1586" s="122">
        <v>0.57999999999999996</v>
      </c>
    </row>
    <row r="1587" spans="2:4" x14ac:dyDescent="0.2">
      <c r="B1587" s="120" t="s">
        <v>2760</v>
      </c>
      <c r="C1587" s="121" t="s">
        <v>2761</v>
      </c>
      <c r="D1587" s="122">
        <v>1.35</v>
      </c>
    </row>
    <row r="1588" spans="2:4" x14ac:dyDescent="0.2">
      <c r="B1588" s="120" t="s">
        <v>2762</v>
      </c>
      <c r="C1588" s="121" t="s">
        <v>2763</v>
      </c>
      <c r="D1588" s="122">
        <v>1.8</v>
      </c>
    </row>
    <row r="1589" spans="2:4" x14ac:dyDescent="0.2">
      <c r="B1589" s="120" t="s">
        <v>2764</v>
      </c>
      <c r="C1589" s="121" t="s">
        <v>2765</v>
      </c>
      <c r="D1589" s="122">
        <v>3.83</v>
      </c>
    </row>
    <row r="1590" spans="2:4" x14ac:dyDescent="0.2">
      <c r="B1590" s="120" t="s">
        <v>2766</v>
      </c>
      <c r="C1590" s="121" t="s">
        <v>2767</v>
      </c>
      <c r="D1590" s="122">
        <v>0</v>
      </c>
    </row>
    <row r="1591" spans="2:4" x14ac:dyDescent="0.2">
      <c r="B1591" s="120" t="s">
        <v>2768</v>
      </c>
      <c r="C1591" s="121" t="s">
        <v>2769</v>
      </c>
      <c r="D1591" s="122">
        <v>1.6</v>
      </c>
    </row>
    <row r="1592" spans="2:4" x14ac:dyDescent="0.2">
      <c r="B1592" s="120" t="s">
        <v>2770</v>
      </c>
      <c r="C1592" s="121" t="s">
        <v>2771</v>
      </c>
      <c r="D1592" s="122">
        <v>3.84</v>
      </c>
    </row>
    <row r="1593" spans="2:4" x14ac:dyDescent="0.2">
      <c r="B1593" s="120" t="s">
        <v>2772</v>
      </c>
      <c r="C1593" s="121" t="s">
        <v>2773</v>
      </c>
      <c r="D1593" s="122">
        <v>0</v>
      </c>
    </row>
    <row r="1594" spans="2:4" x14ac:dyDescent="0.2">
      <c r="B1594" s="120" t="s">
        <v>2774</v>
      </c>
      <c r="C1594" s="121" t="s">
        <v>2775</v>
      </c>
      <c r="D1594" s="122">
        <v>2.42</v>
      </c>
    </row>
    <row r="1595" spans="2:4" x14ac:dyDescent="0.2">
      <c r="B1595" s="120" t="s">
        <v>2776</v>
      </c>
      <c r="C1595" s="121" t="s">
        <v>2777</v>
      </c>
      <c r="D1595" s="122">
        <v>0.83</v>
      </c>
    </row>
    <row r="1596" spans="2:4" x14ac:dyDescent="0.2">
      <c r="B1596" s="120" t="s">
        <v>2778</v>
      </c>
      <c r="C1596" s="121" t="s">
        <v>2779</v>
      </c>
      <c r="D1596" s="122">
        <v>0.96</v>
      </c>
    </row>
    <row r="1597" spans="2:4" x14ac:dyDescent="0.2">
      <c r="B1597" s="120" t="s">
        <v>2780</v>
      </c>
      <c r="C1597" s="121" t="s">
        <v>2781</v>
      </c>
      <c r="D1597" s="122">
        <v>0</v>
      </c>
    </row>
    <row r="1598" spans="2:4" x14ac:dyDescent="0.2">
      <c r="B1598" s="120" t="s">
        <v>2782</v>
      </c>
      <c r="C1598" s="121" t="s">
        <v>2783</v>
      </c>
      <c r="D1598" s="122">
        <v>1.75</v>
      </c>
    </row>
    <row r="1599" spans="2:4" x14ac:dyDescent="0.2">
      <c r="B1599" s="120" t="s">
        <v>2784</v>
      </c>
      <c r="C1599" s="121" t="s">
        <v>2785</v>
      </c>
      <c r="D1599" s="122">
        <v>0</v>
      </c>
    </row>
    <row r="1600" spans="2:4" x14ac:dyDescent="0.2">
      <c r="B1600" s="120" t="s">
        <v>2786</v>
      </c>
      <c r="C1600" s="121" t="s">
        <v>2787</v>
      </c>
      <c r="D1600" s="122">
        <v>5.12</v>
      </c>
    </row>
    <row r="1601" spans="2:4" x14ac:dyDescent="0.2">
      <c r="B1601" s="120" t="s">
        <v>2788</v>
      </c>
      <c r="C1601" s="121" t="s">
        <v>2789</v>
      </c>
      <c r="D1601" s="122">
        <v>1.01</v>
      </c>
    </row>
    <row r="1602" spans="2:4" x14ac:dyDescent="0.2">
      <c r="B1602" s="120" t="s">
        <v>2790</v>
      </c>
      <c r="C1602" s="121" t="s">
        <v>2791</v>
      </c>
      <c r="D1602" s="122">
        <v>0</v>
      </c>
    </row>
    <row r="1603" spans="2:4" x14ac:dyDescent="0.2">
      <c r="B1603" s="120" t="s">
        <v>2792</v>
      </c>
      <c r="C1603" s="121" t="s">
        <v>2793</v>
      </c>
      <c r="D1603" s="122">
        <v>0</v>
      </c>
    </row>
    <row r="1604" spans="2:4" x14ac:dyDescent="0.2">
      <c r="B1604" s="120" t="s">
        <v>2794</v>
      </c>
      <c r="C1604" s="121" t="s">
        <v>2795</v>
      </c>
      <c r="D1604" s="122">
        <v>0</v>
      </c>
    </row>
    <row r="1605" spans="2:4" x14ac:dyDescent="0.2">
      <c r="B1605" s="120" t="s">
        <v>2796</v>
      </c>
      <c r="C1605" s="121" t="s">
        <v>2797</v>
      </c>
      <c r="D1605" s="122">
        <v>0</v>
      </c>
    </row>
    <row r="1606" spans="2:4" x14ac:dyDescent="0.2">
      <c r="B1606" s="120" t="s">
        <v>4497</v>
      </c>
      <c r="C1606" s="121" t="s">
        <v>4498</v>
      </c>
      <c r="D1606" s="122">
        <v>7.21</v>
      </c>
    </row>
    <row r="1607" spans="2:4" x14ac:dyDescent="0.2">
      <c r="B1607" s="120" t="s">
        <v>2798</v>
      </c>
      <c r="C1607" s="121" t="s">
        <v>2799</v>
      </c>
      <c r="D1607" s="122">
        <v>0.57999999999999996</v>
      </c>
    </row>
    <row r="1608" spans="2:4" x14ac:dyDescent="0.2">
      <c r="B1608" s="120" t="s">
        <v>2800</v>
      </c>
      <c r="C1608" s="121" t="s">
        <v>2801</v>
      </c>
      <c r="D1608" s="122">
        <v>1.83</v>
      </c>
    </row>
    <row r="1609" spans="2:4" x14ac:dyDescent="0.2">
      <c r="B1609" s="120" t="s">
        <v>4499</v>
      </c>
      <c r="C1609" s="121" t="s">
        <v>4500</v>
      </c>
      <c r="D1609" s="122">
        <v>2.2000000000000002</v>
      </c>
    </row>
    <row r="1610" spans="2:4" x14ac:dyDescent="0.2">
      <c r="B1610" s="120" t="s">
        <v>4501</v>
      </c>
      <c r="C1610" s="121" t="s">
        <v>4502</v>
      </c>
      <c r="D1610" s="122">
        <v>0</v>
      </c>
    </row>
    <row r="1611" spans="2:4" x14ac:dyDescent="0.2">
      <c r="B1611" s="120" t="s">
        <v>4503</v>
      </c>
      <c r="C1611" s="121" t="s">
        <v>4504</v>
      </c>
      <c r="D1611" s="122">
        <v>0</v>
      </c>
    </row>
    <row r="1612" spans="2:4" x14ac:dyDescent="0.2">
      <c r="B1612" s="120" t="s">
        <v>2802</v>
      </c>
      <c r="C1612" s="121" t="s">
        <v>2803</v>
      </c>
      <c r="D1612" s="122">
        <v>1.87</v>
      </c>
    </row>
    <row r="1613" spans="2:4" x14ac:dyDescent="0.2">
      <c r="B1613" s="120" t="s">
        <v>2804</v>
      </c>
      <c r="C1613" s="121" t="s">
        <v>2805</v>
      </c>
      <c r="D1613" s="122">
        <v>7.93</v>
      </c>
    </row>
    <row r="1614" spans="2:4" x14ac:dyDescent="0.2">
      <c r="B1614" s="120" t="s">
        <v>4505</v>
      </c>
      <c r="C1614" s="121" t="s">
        <v>4506</v>
      </c>
      <c r="D1614" s="122">
        <v>5.7</v>
      </c>
    </row>
    <row r="1615" spans="2:4" x14ac:dyDescent="0.2">
      <c r="B1615" s="120" t="s">
        <v>2806</v>
      </c>
      <c r="C1615" s="121" t="s">
        <v>2807</v>
      </c>
      <c r="D1615" s="122">
        <v>2.06</v>
      </c>
    </row>
    <row r="1616" spans="2:4" x14ac:dyDescent="0.2">
      <c r="B1616" s="120" t="s">
        <v>2808</v>
      </c>
      <c r="C1616" s="121" t="s">
        <v>2809</v>
      </c>
      <c r="D1616" s="122">
        <v>1.6</v>
      </c>
    </row>
    <row r="1617" spans="2:4" x14ac:dyDescent="0.2">
      <c r="B1617" s="120" t="s">
        <v>2810</v>
      </c>
      <c r="C1617" s="121" t="s">
        <v>2811</v>
      </c>
      <c r="D1617" s="122">
        <v>3.4</v>
      </c>
    </row>
    <row r="1618" spans="2:4" x14ac:dyDescent="0.2">
      <c r="B1618" s="120" t="s">
        <v>2812</v>
      </c>
      <c r="C1618" s="121" t="s">
        <v>2813</v>
      </c>
      <c r="D1618" s="122">
        <v>0</v>
      </c>
    </row>
    <row r="1619" spans="2:4" x14ac:dyDescent="0.2">
      <c r="B1619" s="120" t="s">
        <v>2814</v>
      </c>
      <c r="C1619" s="121" t="s">
        <v>2815</v>
      </c>
      <c r="D1619" s="122">
        <v>4.6399999999999997</v>
      </c>
    </row>
    <row r="1620" spans="2:4" x14ac:dyDescent="0.2">
      <c r="B1620" s="120" t="s">
        <v>2816</v>
      </c>
      <c r="C1620" s="121" t="s">
        <v>2817</v>
      </c>
      <c r="D1620" s="122">
        <v>5.64</v>
      </c>
    </row>
    <row r="1621" spans="2:4" x14ac:dyDescent="0.2">
      <c r="B1621" s="120" t="s">
        <v>2818</v>
      </c>
      <c r="C1621" s="121" t="s">
        <v>2819</v>
      </c>
      <c r="D1621" s="122">
        <v>1.59</v>
      </c>
    </row>
    <row r="1622" spans="2:4" x14ac:dyDescent="0.2">
      <c r="B1622" s="120" t="s">
        <v>4507</v>
      </c>
      <c r="C1622" s="121" t="s">
        <v>4508</v>
      </c>
      <c r="D1622" s="122">
        <v>5.21</v>
      </c>
    </row>
    <row r="1623" spans="2:4" x14ac:dyDescent="0.2">
      <c r="B1623" s="120" t="s">
        <v>2820</v>
      </c>
      <c r="C1623" s="121" t="s">
        <v>2821</v>
      </c>
      <c r="D1623" s="122">
        <v>1.53</v>
      </c>
    </row>
    <row r="1624" spans="2:4" x14ac:dyDescent="0.2">
      <c r="B1624" s="120" t="s">
        <v>2822</v>
      </c>
      <c r="C1624" s="121" t="s">
        <v>2823</v>
      </c>
      <c r="D1624" s="122">
        <v>3.71</v>
      </c>
    </row>
    <row r="1625" spans="2:4" x14ac:dyDescent="0.2">
      <c r="B1625" s="120" t="s">
        <v>2824</v>
      </c>
      <c r="C1625" s="121" t="s">
        <v>2825</v>
      </c>
      <c r="D1625" s="122">
        <v>3.35</v>
      </c>
    </row>
    <row r="1626" spans="2:4" x14ac:dyDescent="0.2">
      <c r="B1626" s="120" t="s">
        <v>2826</v>
      </c>
      <c r="C1626" s="121" t="s">
        <v>2827</v>
      </c>
      <c r="D1626" s="122">
        <v>2.23</v>
      </c>
    </row>
    <row r="1627" spans="2:4" x14ac:dyDescent="0.2">
      <c r="B1627" s="120" t="s">
        <v>4509</v>
      </c>
      <c r="C1627" s="121" t="s">
        <v>4510</v>
      </c>
      <c r="D1627" s="122">
        <v>2.29</v>
      </c>
    </row>
    <row r="1628" spans="2:4" x14ac:dyDescent="0.2">
      <c r="B1628" s="120" t="s">
        <v>4511</v>
      </c>
      <c r="C1628" s="121" t="s">
        <v>4512</v>
      </c>
      <c r="D1628" s="122">
        <v>2.37</v>
      </c>
    </row>
    <row r="1629" spans="2:4" x14ac:dyDescent="0.2">
      <c r="B1629" s="120" t="s">
        <v>2828</v>
      </c>
      <c r="C1629" s="121" t="s">
        <v>2829</v>
      </c>
      <c r="D1629" s="122">
        <v>0</v>
      </c>
    </row>
    <row r="1630" spans="2:4" x14ac:dyDescent="0.2">
      <c r="B1630" s="120" t="s">
        <v>4513</v>
      </c>
      <c r="C1630" s="121" t="s">
        <v>4514</v>
      </c>
      <c r="D1630" s="122">
        <v>0.22</v>
      </c>
    </row>
    <row r="1631" spans="2:4" x14ac:dyDescent="0.2">
      <c r="B1631" s="120" t="s">
        <v>2830</v>
      </c>
      <c r="C1631" s="121" t="s">
        <v>2831</v>
      </c>
      <c r="D1631" s="122">
        <v>0</v>
      </c>
    </row>
    <row r="1632" spans="2:4" x14ac:dyDescent="0.2">
      <c r="B1632" s="120" t="s">
        <v>2832</v>
      </c>
      <c r="C1632" s="121" t="s">
        <v>2833</v>
      </c>
      <c r="D1632" s="122">
        <v>1.55</v>
      </c>
    </row>
    <row r="1633" spans="2:4" x14ac:dyDescent="0.2">
      <c r="B1633" s="120" t="s">
        <v>2834</v>
      </c>
      <c r="C1633" s="121" t="s">
        <v>2835</v>
      </c>
      <c r="D1633" s="122">
        <v>0</v>
      </c>
    </row>
    <row r="1634" spans="2:4" x14ac:dyDescent="0.2">
      <c r="B1634" s="120" t="s">
        <v>2836</v>
      </c>
      <c r="C1634" s="121" t="s">
        <v>2837</v>
      </c>
      <c r="D1634" s="122">
        <v>1.1200000000000001</v>
      </c>
    </row>
    <row r="1635" spans="2:4" x14ac:dyDescent="0.2">
      <c r="B1635" s="129" t="s">
        <v>2838</v>
      </c>
      <c r="C1635" s="122" t="s">
        <v>2839</v>
      </c>
      <c r="D1635" s="122">
        <v>2.9</v>
      </c>
    </row>
    <row r="1636" spans="2:4" x14ac:dyDescent="0.2">
      <c r="B1636" s="129" t="s">
        <v>4515</v>
      </c>
      <c r="C1636" s="122" t="s">
        <v>4516</v>
      </c>
      <c r="D1636" s="122">
        <v>3.78</v>
      </c>
    </row>
    <row r="1637" spans="2:4" x14ac:dyDescent="0.2">
      <c r="B1637" s="129" t="s">
        <v>2840</v>
      </c>
      <c r="C1637" s="122" t="s">
        <v>2841</v>
      </c>
      <c r="D1637" s="122">
        <v>2.77</v>
      </c>
    </row>
    <row r="1638" spans="2:4" x14ac:dyDescent="0.2">
      <c r="B1638" s="129" t="s">
        <v>2842</v>
      </c>
      <c r="C1638" s="122" t="s">
        <v>2843</v>
      </c>
      <c r="D1638" s="122">
        <v>0</v>
      </c>
    </row>
    <row r="1639" spans="2:4" x14ac:dyDescent="0.2">
      <c r="B1639" s="129" t="s">
        <v>2844</v>
      </c>
      <c r="C1639" s="122" t="s">
        <v>2845</v>
      </c>
      <c r="D1639" s="122">
        <v>1.05</v>
      </c>
    </row>
    <row r="1640" spans="2:4" x14ac:dyDescent="0.2">
      <c r="B1640" s="129" t="s">
        <v>4517</v>
      </c>
      <c r="C1640" s="122" t="s">
        <v>4518</v>
      </c>
      <c r="D1640" s="122">
        <v>0.32</v>
      </c>
    </row>
    <row r="1641" spans="2:4" x14ac:dyDescent="0.2">
      <c r="B1641" s="129" t="s">
        <v>4519</v>
      </c>
      <c r="C1641" s="122" t="s">
        <v>4520</v>
      </c>
      <c r="D1641" s="122">
        <v>6.54</v>
      </c>
    </row>
    <row r="1642" spans="2:4" x14ac:dyDescent="0.2">
      <c r="B1642" s="129" t="s">
        <v>4521</v>
      </c>
      <c r="C1642" s="122" t="s">
        <v>4522</v>
      </c>
      <c r="D1642" s="122">
        <v>0</v>
      </c>
    </row>
    <row r="1643" spans="2:4" x14ac:dyDescent="0.2">
      <c r="B1643" s="129" t="s">
        <v>2846</v>
      </c>
      <c r="C1643" s="122" t="s">
        <v>2847</v>
      </c>
      <c r="D1643" s="122">
        <v>0</v>
      </c>
    </row>
    <row r="1644" spans="2:4" x14ac:dyDescent="0.2">
      <c r="B1644" s="129" t="s">
        <v>2848</v>
      </c>
      <c r="C1644" s="122" t="s">
        <v>2849</v>
      </c>
      <c r="D1644" s="122">
        <v>1.43</v>
      </c>
    </row>
    <row r="1645" spans="2:4" x14ac:dyDescent="0.2">
      <c r="B1645" s="129" t="s">
        <v>2850</v>
      </c>
      <c r="C1645" s="122" t="s">
        <v>2851</v>
      </c>
      <c r="D1645" s="122">
        <v>1.86</v>
      </c>
    </row>
    <row r="1646" spans="2:4" x14ac:dyDescent="0.2">
      <c r="B1646" s="129" t="s">
        <v>4523</v>
      </c>
      <c r="C1646" s="122" t="s">
        <v>4524</v>
      </c>
      <c r="D1646" s="122">
        <v>0.95</v>
      </c>
    </row>
    <row r="1647" spans="2:4" x14ac:dyDescent="0.2">
      <c r="B1647" s="129" t="s">
        <v>2852</v>
      </c>
      <c r="C1647" s="122" t="s">
        <v>2853</v>
      </c>
      <c r="D1647" s="122">
        <v>0</v>
      </c>
    </row>
    <row r="1648" spans="2:4" x14ac:dyDescent="0.2">
      <c r="B1648" s="129" t="s">
        <v>4525</v>
      </c>
      <c r="C1648" s="122" t="s">
        <v>4526</v>
      </c>
      <c r="D1648" s="122">
        <v>3.42</v>
      </c>
    </row>
    <row r="1649" spans="2:4" x14ac:dyDescent="0.2">
      <c r="B1649" s="129" t="s">
        <v>2854</v>
      </c>
      <c r="C1649" s="122" t="s">
        <v>2855</v>
      </c>
      <c r="D1649" s="122">
        <v>2.0299999999999998</v>
      </c>
    </row>
    <row r="1650" spans="2:4" x14ac:dyDescent="0.2">
      <c r="B1650" s="129" t="s">
        <v>2856</v>
      </c>
      <c r="C1650" s="122" t="s">
        <v>2857</v>
      </c>
      <c r="D1650" s="122">
        <v>1.21</v>
      </c>
    </row>
    <row r="1651" spans="2:4" x14ac:dyDescent="0.2">
      <c r="B1651" s="129" t="s">
        <v>2858</v>
      </c>
      <c r="C1651" s="122" t="s">
        <v>2859</v>
      </c>
      <c r="D1651" s="122">
        <v>2.98</v>
      </c>
    </row>
    <row r="1652" spans="2:4" x14ac:dyDescent="0.2">
      <c r="B1652" s="129" t="s">
        <v>2860</v>
      </c>
      <c r="C1652" s="122" t="s">
        <v>2861</v>
      </c>
      <c r="D1652" s="122">
        <v>10.73</v>
      </c>
    </row>
    <row r="1653" spans="2:4" x14ac:dyDescent="0.2">
      <c r="B1653" s="129" t="s">
        <v>2862</v>
      </c>
      <c r="C1653" s="122" t="s">
        <v>2863</v>
      </c>
      <c r="D1653" s="122">
        <v>8.4</v>
      </c>
    </row>
    <row r="1654" spans="2:4" x14ac:dyDescent="0.2">
      <c r="B1654" s="129" t="s">
        <v>4527</v>
      </c>
      <c r="C1654" s="122" t="s">
        <v>4528</v>
      </c>
      <c r="D1654" s="122">
        <v>1.37</v>
      </c>
    </row>
    <row r="1655" spans="2:4" x14ac:dyDescent="0.2">
      <c r="B1655" s="129" t="s">
        <v>4529</v>
      </c>
      <c r="C1655" s="122" t="s">
        <v>4530</v>
      </c>
      <c r="D1655" s="122">
        <v>3.61</v>
      </c>
    </row>
    <row r="1656" spans="2:4" x14ac:dyDescent="0.2">
      <c r="B1656" s="129" t="s">
        <v>2864</v>
      </c>
      <c r="C1656" s="122" t="s">
        <v>2865</v>
      </c>
      <c r="D1656" s="122">
        <v>0</v>
      </c>
    </row>
    <row r="1657" spans="2:4" x14ac:dyDescent="0.2">
      <c r="B1657" s="129" t="s">
        <v>2866</v>
      </c>
      <c r="C1657" s="122" t="s">
        <v>2867</v>
      </c>
      <c r="D1657" s="122">
        <v>1.44</v>
      </c>
    </row>
    <row r="1658" spans="2:4" x14ac:dyDescent="0.2">
      <c r="B1658" s="129" t="s">
        <v>2868</v>
      </c>
      <c r="C1658" s="122" t="s">
        <v>2869</v>
      </c>
      <c r="D1658" s="122">
        <v>0</v>
      </c>
    </row>
    <row r="1659" spans="2:4" x14ac:dyDescent="0.2">
      <c r="B1659" s="129" t="s">
        <v>4531</v>
      </c>
      <c r="C1659" s="122" t="s">
        <v>4532</v>
      </c>
      <c r="D1659" s="122">
        <v>2.2200000000000002</v>
      </c>
    </row>
    <row r="1660" spans="2:4" x14ac:dyDescent="0.2">
      <c r="B1660" s="129" t="s">
        <v>2870</v>
      </c>
      <c r="C1660" s="122" t="s">
        <v>2871</v>
      </c>
      <c r="D1660" s="122">
        <v>0.82</v>
      </c>
    </row>
    <row r="1661" spans="2:4" x14ac:dyDescent="0.2">
      <c r="B1661" s="129" t="s">
        <v>2872</v>
      </c>
      <c r="C1661" s="122" t="s">
        <v>2873</v>
      </c>
      <c r="D1661" s="122">
        <v>2.81</v>
      </c>
    </row>
    <row r="1662" spans="2:4" x14ac:dyDescent="0.2">
      <c r="B1662" s="129" t="s">
        <v>4533</v>
      </c>
      <c r="C1662" s="122" t="s">
        <v>4534</v>
      </c>
      <c r="D1662" s="122">
        <v>0</v>
      </c>
    </row>
    <row r="1663" spans="2:4" x14ac:dyDescent="0.2">
      <c r="B1663" s="129" t="s">
        <v>4535</v>
      </c>
      <c r="C1663" s="122" t="s">
        <v>4536</v>
      </c>
      <c r="D1663" s="122">
        <v>2.12</v>
      </c>
    </row>
    <row r="1664" spans="2:4" x14ac:dyDescent="0.2">
      <c r="B1664" s="129" t="s">
        <v>4537</v>
      </c>
      <c r="C1664" s="122" t="s">
        <v>4538</v>
      </c>
      <c r="D1664" s="122">
        <v>2.15</v>
      </c>
    </row>
    <row r="1665" spans="2:4" x14ac:dyDescent="0.2">
      <c r="B1665" s="129" t="s">
        <v>2874</v>
      </c>
      <c r="C1665" s="122" t="s">
        <v>2875</v>
      </c>
      <c r="D1665" s="122">
        <v>4.82</v>
      </c>
    </row>
    <row r="1666" spans="2:4" x14ac:dyDescent="0.2">
      <c r="B1666" s="129" t="s">
        <v>2876</v>
      </c>
      <c r="C1666" s="122" t="s">
        <v>2877</v>
      </c>
      <c r="D1666" s="122">
        <v>2.98</v>
      </c>
    </row>
    <row r="1667" spans="2:4" x14ac:dyDescent="0.2">
      <c r="B1667" s="129" t="s">
        <v>2878</v>
      </c>
      <c r="C1667" s="122" t="s">
        <v>2879</v>
      </c>
      <c r="D1667" s="122">
        <v>1.08</v>
      </c>
    </row>
    <row r="1668" spans="2:4" x14ac:dyDescent="0.2">
      <c r="B1668" s="129" t="s">
        <v>2880</v>
      </c>
      <c r="C1668" s="122" t="s">
        <v>2881</v>
      </c>
      <c r="D1668" s="122">
        <v>0</v>
      </c>
    </row>
    <row r="1669" spans="2:4" x14ac:dyDescent="0.2">
      <c r="B1669" s="129" t="s">
        <v>2882</v>
      </c>
      <c r="C1669" s="122" t="s">
        <v>2883</v>
      </c>
      <c r="D1669" s="122">
        <v>0.77</v>
      </c>
    </row>
    <row r="1670" spans="2:4" x14ac:dyDescent="0.2">
      <c r="B1670" s="129" t="s">
        <v>2884</v>
      </c>
      <c r="C1670" s="122" t="s">
        <v>2885</v>
      </c>
      <c r="D1670" s="122">
        <v>0</v>
      </c>
    </row>
    <row r="1671" spans="2:4" x14ac:dyDescent="0.2">
      <c r="B1671" s="129" t="s">
        <v>2886</v>
      </c>
      <c r="C1671" s="122" t="s">
        <v>2887</v>
      </c>
      <c r="D1671" s="122">
        <v>0</v>
      </c>
    </row>
    <row r="1672" spans="2:4" x14ac:dyDescent="0.2">
      <c r="B1672" s="129" t="s">
        <v>2888</v>
      </c>
      <c r="C1672" s="122" t="s">
        <v>2889</v>
      </c>
      <c r="D1672" s="122">
        <v>6.28</v>
      </c>
    </row>
    <row r="1673" spans="2:4" x14ac:dyDescent="0.2">
      <c r="B1673" s="129" t="s">
        <v>2892</v>
      </c>
      <c r="C1673" s="122" t="s">
        <v>2893</v>
      </c>
      <c r="D1673" s="122">
        <v>3.27</v>
      </c>
    </row>
    <row r="1674" spans="2:4" x14ac:dyDescent="0.2">
      <c r="B1674" s="129" t="s">
        <v>4539</v>
      </c>
      <c r="C1674" s="122" t="s">
        <v>4540</v>
      </c>
      <c r="D1674" s="122">
        <v>0</v>
      </c>
    </row>
    <row r="1675" spans="2:4" x14ac:dyDescent="0.2">
      <c r="B1675" s="129" t="s">
        <v>4541</v>
      </c>
      <c r="C1675" s="122" t="s">
        <v>4542</v>
      </c>
      <c r="D1675" s="122">
        <v>4.43</v>
      </c>
    </row>
    <row r="1676" spans="2:4" x14ac:dyDescent="0.2">
      <c r="B1676" s="129" t="s">
        <v>2894</v>
      </c>
      <c r="C1676" s="122" t="s">
        <v>2895</v>
      </c>
      <c r="D1676" s="122">
        <v>3.18</v>
      </c>
    </row>
    <row r="1677" spans="2:4" x14ac:dyDescent="0.2">
      <c r="B1677" s="129" t="s">
        <v>4543</v>
      </c>
      <c r="C1677" s="122" t="s">
        <v>4544</v>
      </c>
      <c r="D1677" s="122">
        <v>3.03</v>
      </c>
    </row>
    <row r="1678" spans="2:4" x14ac:dyDescent="0.2">
      <c r="B1678" s="129" t="s">
        <v>2896</v>
      </c>
      <c r="C1678" s="122" t="s">
        <v>2897</v>
      </c>
      <c r="D1678" s="122">
        <v>0.51</v>
      </c>
    </row>
    <row r="1679" spans="2:4" x14ac:dyDescent="0.2">
      <c r="B1679" s="129" t="s">
        <v>2898</v>
      </c>
      <c r="C1679" s="122" t="s">
        <v>2899</v>
      </c>
      <c r="D1679" s="122">
        <v>0</v>
      </c>
    </row>
    <row r="1680" spans="2:4" x14ac:dyDescent="0.2">
      <c r="B1680" s="129" t="s">
        <v>2900</v>
      </c>
      <c r="C1680" s="122" t="s">
        <v>2901</v>
      </c>
      <c r="D1680" s="122">
        <v>0.82</v>
      </c>
    </row>
    <row r="1681" spans="2:4" x14ac:dyDescent="0.2">
      <c r="B1681" s="129" t="s">
        <v>2902</v>
      </c>
      <c r="C1681" s="122" t="s">
        <v>2903</v>
      </c>
      <c r="D1681" s="122">
        <v>0</v>
      </c>
    </row>
    <row r="1682" spans="2:4" x14ac:dyDescent="0.2">
      <c r="B1682" s="129" t="s">
        <v>2904</v>
      </c>
      <c r="C1682" s="122" t="s">
        <v>2905</v>
      </c>
      <c r="D1682" s="122">
        <v>5.36</v>
      </c>
    </row>
    <row r="1683" spans="2:4" x14ac:dyDescent="0.2">
      <c r="B1683" s="129" t="s">
        <v>2906</v>
      </c>
      <c r="C1683" s="122" t="s">
        <v>2907</v>
      </c>
      <c r="D1683" s="122">
        <v>3.56</v>
      </c>
    </row>
    <row r="1684" spans="2:4" x14ac:dyDescent="0.2">
      <c r="B1684" s="129" t="s">
        <v>2908</v>
      </c>
      <c r="C1684" s="122" t="s">
        <v>2909</v>
      </c>
      <c r="D1684" s="122">
        <v>4.55</v>
      </c>
    </row>
    <row r="1685" spans="2:4" x14ac:dyDescent="0.2">
      <c r="B1685" s="129" t="s">
        <v>2910</v>
      </c>
      <c r="C1685" s="122" t="s">
        <v>2911</v>
      </c>
      <c r="D1685" s="122">
        <v>4.18</v>
      </c>
    </row>
    <row r="1686" spans="2:4" x14ac:dyDescent="0.2">
      <c r="B1686" s="129" t="s">
        <v>2912</v>
      </c>
      <c r="C1686" s="122" t="s">
        <v>2913</v>
      </c>
      <c r="D1686" s="122">
        <v>1.49</v>
      </c>
    </row>
    <row r="1687" spans="2:4" x14ac:dyDescent="0.2">
      <c r="B1687" s="129" t="s">
        <v>2914</v>
      </c>
      <c r="C1687" s="122" t="s">
        <v>2915</v>
      </c>
      <c r="D1687" s="122">
        <v>1.24</v>
      </c>
    </row>
    <row r="1688" spans="2:4" x14ac:dyDescent="0.2">
      <c r="B1688" s="129" t="s">
        <v>4545</v>
      </c>
      <c r="C1688" s="122" t="s">
        <v>4546</v>
      </c>
      <c r="D1688" s="122">
        <v>0</v>
      </c>
    </row>
    <row r="1689" spans="2:4" x14ac:dyDescent="0.2">
      <c r="B1689" s="129" t="s">
        <v>2916</v>
      </c>
      <c r="C1689" s="122" t="s">
        <v>2917</v>
      </c>
      <c r="D1689" s="122">
        <v>0</v>
      </c>
    </row>
    <row r="1690" spans="2:4" x14ac:dyDescent="0.2">
      <c r="B1690" s="129" t="s">
        <v>2918</v>
      </c>
      <c r="C1690" s="122" t="s">
        <v>2919</v>
      </c>
      <c r="D1690" s="122">
        <v>0.74</v>
      </c>
    </row>
    <row r="1691" spans="2:4" x14ac:dyDescent="0.2">
      <c r="B1691" s="129" t="s">
        <v>2920</v>
      </c>
      <c r="C1691" s="122" t="s">
        <v>2921</v>
      </c>
      <c r="D1691" s="122">
        <v>4.01</v>
      </c>
    </row>
    <row r="1692" spans="2:4" x14ac:dyDescent="0.2">
      <c r="B1692" s="129" t="s">
        <v>2922</v>
      </c>
      <c r="C1692" s="122" t="s">
        <v>2923</v>
      </c>
      <c r="D1692" s="122">
        <v>3.91</v>
      </c>
    </row>
    <row r="1693" spans="2:4" x14ac:dyDescent="0.2">
      <c r="B1693" s="129" t="s">
        <v>2924</v>
      </c>
      <c r="C1693" s="122" t="s">
        <v>2925</v>
      </c>
      <c r="D1693" s="122">
        <v>2.3199999999999998</v>
      </c>
    </row>
    <row r="1694" spans="2:4" x14ac:dyDescent="0.2">
      <c r="B1694" s="129" t="s">
        <v>4547</v>
      </c>
      <c r="C1694" s="122" t="s">
        <v>4548</v>
      </c>
      <c r="D1694" s="122">
        <v>0.56999999999999995</v>
      </c>
    </row>
    <row r="1695" spans="2:4" x14ac:dyDescent="0.2">
      <c r="B1695" s="129" t="s">
        <v>2926</v>
      </c>
      <c r="C1695" s="122" t="s">
        <v>2927</v>
      </c>
      <c r="D1695" s="122">
        <v>1.63</v>
      </c>
    </row>
    <row r="1696" spans="2:4" x14ac:dyDescent="0.2">
      <c r="B1696" s="129" t="s">
        <v>2928</v>
      </c>
      <c r="C1696" s="122" t="s">
        <v>2929</v>
      </c>
      <c r="D1696" s="122">
        <v>0</v>
      </c>
    </row>
    <row r="1697" spans="2:4" x14ac:dyDescent="0.2">
      <c r="B1697" s="129" t="s">
        <v>4549</v>
      </c>
      <c r="C1697" s="122" t="s">
        <v>4550</v>
      </c>
      <c r="D1697" s="122">
        <v>0.81</v>
      </c>
    </row>
    <row r="1698" spans="2:4" x14ac:dyDescent="0.2">
      <c r="B1698" s="129" t="s">
        <v>4551</v>
      </c>
      <c r="C1698" s="122" t="s">
        <v>4552</v>
      </c>
      <c r="D1698" s="122">
        <v>2.48</v>
      </c>
    </row>
    <row r="1699" spans="2:4" x14ac:dyDescent="0.2">
      <c r="B1699" s="129" t="s">
        <v>2930</v>
      </c>
      <c r="C1699" s="122" t="s">
        <v>2931</v>
      </c>
      <c r="D1699" s="122">
        <v>0</v>
      </c>
    </row>
    <row r="1700" spans="2:4" x14ac:dyDescent="0.2">
      <c r="B1700" s="129" t="s">
        <v>2932</v>
      </c>
      <c r="C1700" s="122" t="s">
        <v>2933</v>
      </c>
      <c r="D1700" s="122">
        <v>2.44</v>
      </c>
    </row>
    <row r="1701" spans="2:4" x14ac:dyDescent="0.2">
      <c r="B1701" s="129" t="s">
        <v>2934</v>
      </c>
      <c r="C1701" s="122" t="s">
        <v>2935</v>
      </c>
      <c r="D1701" s="122">
        <v>0</v>
      </c>
    </row>
    <row r="1702" spans="2:4" x14ac:dyDescent="0.2">
      <c r="B1702" s="129" t="s">
        <v>2936</v>
      </c>
      <c r="C1702" s="122" t="s">
        <v>2937</v>
      </c>
      <c r="D1702" s="122">
        <v>1.1000000000000001</v>
      </c>
    </row>
    <row r="1703" spans="2:4" x14ac:dyDescent="0.2">
      <c r="B1703" s="129" t="s">
        <v>2938</v>
      </c>
      <c r="C1703" s="122" t="s">
        <v>2939</v>
      </c>
      <c r="D1703" s="122">
        <v>0.45</v>
      </c>
    </row>
    <row r="1704" spans="2:4" x14ac:dyDescent="0.2">
      <c r="B1704" s="129" t="s">
        <v>4553</v>
      </c>
      <c r="C1704" s="122" t="s">
        <v>4554</v>
      </c>
      <c r="D1704" s="122">
        <v>2.0499999999999998</v>
      </c>
    </row>
    <row r="1705" spans="2:4" x14ac:dyDescent="0.2">
      <c r="B1705" s="129" t="s">
        <v>2940</v>
      </c>
      <c r="C1705" s="122" t="s">
        <v>2941</v>
      </c>
      <c r="D1705" s="122">
        <v>1.8</v>
      </c>
    </row>
    <row r="1706" spans="2:4" x14ac:dyDescent="0.2">
      <c r="B1706" s="129" t="s">
        <v>2942</v>
      </c>
      <c r="C1706" s="122" t="s">
        <v>2943</v>
      </c>
      <c r="D1706" s="122">
        <v>4.51</v>
      </c>
    </row>
    <row r="1707" spans="2:4" x14ac:dyDescent="0.2">
      <c r="B1707" s="129" t="s">
        <v>2944</v>
      </c>
      <c r="C1707" s="122" t="s">
        <v>2945</v>
      </c>
      <c r="D1707" s="122">
        <v>0</v>
      </c>
    </row>
    <row r="1708" spans="2:4" x14ac:dyDescent="0.2">
      <c r="B1708" s="129" t="s">
        <v>2946</v>
      </c>
      <c r="C1708" s="122" t="s">
        <v>2947</v>
      </c>
      <c r="D1708" s="122">
        <v>0</v>
      </c>
    </row>
    <row r="1709" spans="2:4" x14ac:dyDescent="0.2">
      <c r="B1709" s="129" t="s">
        <v>2948</v>
      </c>
      <c r="C1709" s="122" t="s">
        <v>2949</v>
      </c>
      <c r="D1709" s="122">
        <v>3.32</v>
      </c>
    </row>
    <row r="1710" spans="2:4" x14ac:dyDescent="0.2">
      <c r="B1710" s="129" t="s">
        <v>2950</v>
      </c>
      <c r="C1710" s="122" t="s">
        <v>2951</v>
      </c>
      <c r="D1710" s="122">
        <v>1.53</v>
      </c>
    </row>
    <row r="1711" spans="2:4" x14ac:dyDescent="0.2">
      <c r="B1711" s="129" t="s">
        <v>2952</v>
      </c>
      <c r="C1711" s="122" t="s">
        <v>2953</v>
      </c>
      <c r="D1711" s="122">
        <v>2.4900000000000002</v>
      </c>
    </row>
    <row r="1712" spans="2:4" x14ac:dyDescent="0.2">
      <c r="B1712" s="129" t="s">
        <v>4555</v>
      </c>
      <c r="C1712" s="122" t="s">
        <v>4556</v>
      </c>
      <c r="D1712" s="122">
        <v>4.6900000000000004</v>
      </c>
    </row>
    <row r="1713" spans="2:4" x14ac:dyDescent="0.2">
      <c r="B1713" s="129" t="s">
        <v>2954</v>
      </c>
      <c r="C1713" s="122" t="s">
        <v>2955</v>
      </c>
      <c r="D1713" s="122">
        <v>4.0599999999999996</v>
      </c>
    </row>
    <row r="1714" spans="2:4" x14ac:dyDescent="0.2">
      <c r="B1714" s="129" t="s">
        <v>4557</v>
      </c>
      <c r="C1714" s="122" t="s">
        <v>4558</v>
      </c>
      <c r="D1714" s="122">
        <v>3.05</v>
      </c>
    </row>
    <row r="1715" spans="2:4" x14ac:dyDescent="0.2">
      <c r="B1715" s="129" t="s">
        <v>2956</v>
      </c>
      <c r="C1715" s="122" t="s">
        <v>2957</v>
      </c>
      <c r="D1715" s="122">
        <v>1.1499999999999999</v>
      </c>
    </row>
    <row r="1716" spans="2:4" x14ac:dyDescent="0.2">
      <c r="B1716" s="129" t="s">
        <v>2958</v>
      </c>
      <c r="C1716" s="122" t="s">
        <v>2959</v>
      </c>
      <c r="D1716" s="122">
        <v>3.87</v>
      </c>
    </row>
    <row r="1717" spans="2:4" x14ac:dyDescent="0.2">
      <c r="B1717" s="129" t="s">
        <v>2960</v>
      </c>
      <c r="C1717" s="122" t="s">
        <v>2961</v>
      </c>
      <c r="D1717" s="122">
        <v>2.97</v>
      </c>
    </row>
    <row r="1718" spans="2:4" x14ac:dyDescent="0.2">
      <c r="B1718" s="129" t="s">
        <v>2962</v>
      </c>
      <c r="C1718" s="122" t="s">
        <v>2963</v>
      </c>
      <c r="D1718" s="122">
        <v>0.74</v>
      </c>
    </row>
    <row r="1719" spans="2:4" x14ac:dyDescent="0.2">
      <c r="B1719" s="129" t="s">
        <v>2964</v>
      </c>
      <c r="C1719" s="122" t="s">
        <v>2965</v>
      </c>
      <c r="D1719" s="122">
        <v>2.77</v>
      </c>
    </row>
    <row r="1720" spans="2:4" x14ac:dyDescent="0.2">
      <c r="B1720" s="129" t="s">
        <v>2966</v>
      </c>
      <c r="C1720" s="122" t="s">
        <v>2967</v>
      </c>
      <c r="D1720" s="122">
        <v>5.42</v>
      </c>
    </row>
    <row r="1721" spans="2:4" x14ac:dyDescent="0.2">
      <c r="B1721" s="129" t="s">
        <v>2968</v>
      </c>
      <c r="C1721" s="122" t="s">
        <v>2969</v>
      </c>
      <c r="D1721" s="122">
        <v>0.9</v>
      </c>
    </row>
    <row r="1722" spans="2:4" x14ac:dyDescent="0.2">
      <c r="B1722" s="129" t="s">
        <v>4559</v>
      </c>
      <c r="C1722" s="122" t="s">
        <v>4560</v>
      </c>
      <c r="D1722" s="122">
        <v>4.0999999999999996</v>
      </c>
    </row>
    <row r="1723" spans="2:4" x14ac:dyDescent="0.2">
      <c r="B1723" s="129" t="s">
        <v>2970</v>
      </c>
      <c r="C1723" s="122" t="s">
        <v>2971</v>
      </c>
      <c r="D1723" s="122">
        <v>0</v>
      </c>
    </row>
    <row r="1724" spans="2:4" x14ac:dyDescent="0.2">
      <c r="B1724" s="129" t="s">
        <v>2972</v>
      </c>
      <c r="C1724" s="122" t="s">
        <v>2973</v>
      </c>
      <c r="D1724" s="122">
        <v>0</v>
      </c>
    </row>
    <row r="1725" spans="2:4" x14ac:dyDescent="0.2">
      <c r="B1725" s="129" t="s">
        <v>2974</v>
      </c>
      <c r="C1725" s="122" t="s">
        <v>2975</v>
      </c>
      <c r="D1725" s="122">
        <v>0.57999999999999996</v>
      </c>
    </row>
    <row r="1726" spans="2:4" x14ac:dyDescent="0.2">
      <c r="B1726" s="129" t="s">
        <v>2976</v>
      </c>
      <c r="C1726" s="122" t="s">
        <v>2977</v>
      </c>
      <c r="D1726" s="122">
        <v>0</v>
      </c>
    </row>
    <row r="1727" spans="2:4" x14ac:dyDescent="0.2">
      <c r="B1727" s="129" t="s">
        <v>4561</v>
      </c>
      <c r="C1727" s="122" t="s">
        <v>4562</v>
      </c>
      <c r="D1727" s="122">
        <v>1.82</v>
      </c>
    </row>
    <row r="1728" spans="2:4" x14ac:dyDescent="0.2">
      <c r="B1728" s="129" t="s">
        <v>2978</v>
      </c>
      <c r="C1728" s="122" t="s">
        <v>2979</v>
      </c>
      <c r="D1728" s="122">
        <v>0</v>
      </c>
    </row>
    <row r="1729" spans="2:4" x14ac:dyDescent="0.2">
      <c r="B1729" s="129" t="s">
        <v>2980</v>
      </c>
      <c r="C1729" s="122" t="s">
        <v>2981</v>
      </c>
      <c r="D1729" s="122">
        <v>3.33</v>
      </c>
    </row>
    <row r="1730" spans="2:4" x14ac:dyDescent="0.2">
      <c r="B1730" s="129" t="s">
        <v>2982</v>
      </c>
      <c r="C1730" s="122" t="s">
        <v>2983</v>
      </c>
      <c r="D1730" s="122">
        <v>0</v>
      </c>
    </row>
    <row r="1731" spans="2:4" x14ac:dyDescent="0.2">
      <c r="B1731" s="129" t="s">
        <v>2984</v>
      </c>
      <c r="C1731" s="122" t="s">
        <v>2985</v>
      </c>
      <c r="D1731" s="122">
        <v>2.75</v>
      </c>
    </row>
    <row r="1732" spans="2:4" x14ac:dyDescent="0.2">
      <c r="B1732" s="129" t="s">
        <v>2986</v>
      </c>
      <c r="C1732" s="122" t="s">
        <v>2987</v>
      </c>
      <c r="D1732" s="122">
        <v>5.2</v>
      </c>
    </row>
    <row r="1733" spans="2:4" x14ac:dyDescent="0.2">
      <c r="B1733" s="129" t="s">
        <v>2988</v>
      </c>
      <c r="C1733" s="122" t="s">
        <v>2989</v>
      </c>
      <c r="D1733" s="122">
        <v>0</v>
      </c>
    </row>
    <row r="1734" spans="2:4" x14ac:dyDescent="0.2">
      <c r="B1734" s="129" t="s">
        <v>2990</v>
      </c>
      <c r="C1734" s="122" t="s">
        <v>2991</v>
      </c>
      <c r="D1734" s="122">
        <v>2.72</v>
      </c>
    </row>
    <row r="1735" spans="2:4" x14ac:dyDescent="0.2">
      <c r="B1735" s="129" t="s">
        <v>2992</v>
      </c>
      <c r="C1735" s="122" t="s">
        <v>2993</v>
      </c>
      <c r="D1735" s="122">
        <v>0</v>
      </c>
    </row>
    <row r="1736" spans="2:4" x14ac:dyDescent="0.2">
      <c r="B1736" s="129" t="s">
        <v>2994</v>
      </c>
      <c r="C1736" s="122" t="s">
        <v>2995</v>
      </c>
      <c r="D1736" s="122">
        <v>1.34</v>
      </c>
    </row>
    <row r="1737" spans="2:4" x14ac:dyDescent="0.2">
      <c r="B1737" s="129" t="s">
        <v>2996</v>
      </c>
      <c r="C1737" s="122" t="s">
        <v>2997</v>
      </c>
      <c r="D1737" s="122">
        <v>0.56999999999999995</v>
      </c>
    </row>
    <row r="1738" spans="2:4" x14ac:dyDescent="0.2">
      <c r="B1738" s="129" t="s">
        <v>2998</v>
      </c>
      <c r="C1738" s="122" t="s">
        <v>2999</v>
      </c>
      <c r="D1738" s="122">
        <v>10.93</v>
      </c>
    </row>
    <row r="1739" spans="2:4" x14ac:dyDescent="0.2">
      <c r="B1739" s="129" t="s">
        <v>3000</v>
      </c>
      <c r="C1739" s="122" t="s">
        <v>3001</v>
      </c>
      <c r="D1739" s="122">
        <v>3.19</v>
      </c>
    </row>
    <row r="1740" spans="2:4" x14ac:dyDescent="0.2">
      <c r="B1740" s="129" t="s">
        <v>4563</v>
      </c>
      <c r="C1740" s="122" t="s">
        <v>4564</v>
      </c>
      <c r="D1740" s="122">
        <v>0.72</v>
      </c>
    </row>
    <row r="1741" spans="2:4" x14ac:dyDescent="0.2">
      <c r="B1741" s="129" t="s">
        <v>3002</v>
      </c>
      <c r="C1741" s="122" t="s">
        <v>3003</v>
      </c>
      <c r="D1741" s="122">
        <v>0.8</v>
      </c>
    </row>
    <row r="1742" spans="2:4" x14ac:dyDescent="0.2">
      <c r="B1742" s="129" t="s">
        <v>4565</v>
      </c>
      <c r="C1742" s="122" t="s">
        <v>4566</v>
      </c>
      <c r="D1742" s="122">
        <v>0</v>
      </c>
    </row>
    <row r="1743" spans="2:4" x14ac:dyDescent="0.2">
      <c r="B1743" s="129" t="s">
        <v>3004</v>
      </c>
      <c r="C1743" s="122" t="s">
        <v>3005</v>
      </c>
      <c r="D1743" s="122">
        <v>3.36</v>
      </c>
    </row>
    <row r="1744" spans="2:4" x14ac:dyDescent="0.2">
      <c r="B1744" s="129" t="s">
        <v>4567</v>
      </c>
      <c r="C1744" s="122" t="s">
        <v>4568</v>
      </c>
      <c r="D1744" s="122">
        <v>3.34</v>
      </c>
    </row>
    <row r="1745" spans="2:4" x14ac:dyDescent="0.2">
      <c r="B1745" s="129" t="s">
        <v>3006</v>
      </c>
      <c r="C1745" s="122" t="s">
        <v>3007</v>
      </c>
      <c r="D1745" s="122">
        <v>0</v>
      </c>
    </row>
    <row r="1746" spans="2:4" x14ac:dyDescent="0.2">
      <c r="B1746" s="129" t="s">
        <v>3008</v>
      </c>
      <c r="C1746" s="122" t="s">
        <v>3009</v>
      </c>
      <c r="D1746" s="122">
        <v>4.7699999999999996</v>
      </c>
    </row>
    <row r="1747" spans="2:4" x14ac:dyDescent="0.2">
      <c r="B1747" s="129" t="s">
        <v>4569</v>
      </c>
      <c r="C1747" s="122" t="s">
        <v>4570</v>
      </c>
      <c r="D1747" s="122">
        <v>0</v>
      </c>
    </row>
    <row r="1748" spans="2:4" x14ac:dyDescent="0.2">
      <c r="B1748" s="129" t="s">
        <v>3010</v>
      </c>
      <c r="C1748" s="122" t="s">
        <v>3011</v>
      </c>
      <c r="D1748" s="122">
        <v>1.01</v>
      </c>
    </row>
    <row r="1749" spans="2:4" x14ac:dyDescent="0.2">
      <c r="B1749" s="129" t="s">
        <v>3012</v>
      </c>
      <c r="C1749" s="122" t="s">
        <v>3013</v>
      </c>
      <c r="D1749" s="122">
        <v>3.32</v>
      </c>
    </row>
    <row r="1750" spans="2:4" x14ac:dyDescent="0.2">
      <c r="B1750" s="129" t="s">
        <v>3014</v>
      </c>
      <c r="C1750" s="122" t="s">
        <v>3015</v>
      </c>
      <c r="D1750" s="122">
        <v>1.38</v>
      </c>
    </row>
    <row r="1751" spans="2:4" x14ac:dyDescent="0.2">
      <c r="B1751" s="129" t="s">
        <v>3016</v>
      </c>
      <c r="C1751" s="122" t="s">
        <v>3017</v>
      </c>
      <c r="D1751" s="122">
        <v>3.16</v>
      </c>
    </row>
    <row r="1752" spans="2:4" x14ac:dyDescent="0.2">
      <c r="B1752" s="129" t="s">
        <v>3018</v>
      </c>
      <c r="C1752" s="122" t="s">
        <v>3019</v>
      </c>
      <c r="D1752" s="122">
        <v>1.06</v>
      </c>
    </row>
    <row r="1753" spans="2:4" x14ac:dyDescent="0.2">
      <c r="B1753" s="129" t="s">
        <v>3020</v>
      </c>
      <c r="C1753" s="122" t="s">
        <v>3021</v>
      </c>
      <c r="D1753" s="122">
        <v>0</v>
      </c>
    </row>
    <row r="1754" spans="2:4" x14ac:dyDescent="0.2">
      <c r="B1754" s="129" t="s">
        <v>3022</v>
      </c>
      <c r="C1754" s="122" t="s">
        <v>3023</v>
      </c>
      <c r="D1754" s="122">
        <v>3.51</v>
      </c>
    </row>
    <row r="1755" spans="2:4" x14ac:dyDescent="0.2">
      <c r="B1755" s="129" t="s">
        <v>3024</v>
      </c>
      <c r="C1755" s="122" t="s">
        <v>3025</v>
      </c>
      <c r="D1755" s="122">
        <v>1.36</v>
      </c>
    </row>
    <row r="1756" spans="2:4" x14ac:dyDescent="0.2">
      <c r="B1756" s="129" t="s">
        <v>3026</v>
      </c>
      <c r="C1756" s="122" t="s">
        <v>3027</v>
      </c>
      <c r="D1756" s="122">
        <v>3.13</v>
      </c>
    </row>
    <row r="1757" spans="2:4" x14ac:dyDescent="0.2">
      <c r="B1757" s="129" t="s">
        <v>3028</v>
      </c>
      <c r="C1757" s="122" t="s">
        <v>3029</v>
      </c>
      <c r="D1757" s="122">
        <v>7.75</v>
      </c>
    </row>
    <row r="1758" spans="2:4" x14ac:dyDescent="0.2">
      <c r="B1758" s="129" t="s">
        <v>3030</v>
      </c>
      <c r="C1758" s="122" t="s">
        <v>3031</v>
      </c>
      <c r="D1758" s="122">
        <v>4.8099999999999996</v>
      </c>
    </row>
    <row r="1759" spans="2:4" x14ac:dyDescent="0.2">
      <c r="B1759" s="129" t="s">
        <v>3032</v>
      </c>
      <c r="C1759" s="122" t="s">
        <v>3033</v>
      </c>
      <c r="D1759" s="122">
        <v>1.46</v>
      </c>
    </row>
    <row r="1760" spans="2:4" x14ac:dyDescent="0.2">
      <c r="B1760" s="129" t="s">
        <v>3032</v>
      </c>
      <c r="C1760" s="122" t="s">
        <v>4571</v>
      </c>
      <c r="D1760" s="122">
        <v>1.31</v>
      </c>
    </row>
    <row r="1761" spans="2:4" x14ac:dyDescent="0.2">
      <c r="B1761" s="129" t="s">
        <v>3034</v>
      </c>
      <c r="C1761" s="122" t="s">
        <v>3035</v>
      </c>
      <c r="D1761" s="122">
        <v>3.98</v>
      </c>
    </row>
    <row r="1762" spans="2:4" x14ac:dyDescent="0.2">
      <c r="B1762" s="129" t="s">
        <v>3036</v>
      </c>
      <c r="C1762" s="122" t="s">
        <v>3037</v>
      </c>
      <c r="D1762" s="122">
        <v>0</v>
      </c>
    </row>
    <row r="1763" spans="2:4" x14ac:dyDescent="0.2">
      <c r="B1763" s="129" t="s">
        <v>3038</v>
      </c>
      <c r="C1763" s="122" t="s">
        <v>3039</v>
      </c>
      <c r="D1763" s="122">
        <v>1.93</v>
      </c>
    </row>
    <row r="1764" spans="2:4" x14ac:dyDescent="0.2">
      <c r="B1764" s="129" t="s">
        <v>3040</v>
      </c>
      <c r="C1764" s="122" t="s">
        <v>3041</v>
      </c>
      <c r="D1764" s="122">
        <v>2</v>
      </c>
    </row>
    <row r="1765" spans="2:4" x14ac:dyDescent="0.2">
      <c r="B1765" s="129" t="s">
        <v>3042</v>
      </c>
      <c r="C1765" s="122" t="s">
        <v>3043</v>
      </c>
      <c r="D1765" s="122">
        <v>10.34</v>
      </c>
    </row>
    <row r="1766" spans="2:4" x14ac:dyDescent="0.2">
      <c r="B1766" s="129" t="s">
        <v>3044</v>
      </c>
      <c r="C1766" s="122" t="s">
        <v>3045</v>
      </c>
      <c r="D1766" s="122">
        <v>2.5</v>
      </c>
    </row>
    <row r="1767" spans="2:4" x14ac:dyDescent="0.2">
      <c r="B1767" s="129" t="s">
        <v>4572</v>
      </c>
      <c r="C1767" s="122" t="s">
        <v>4573</v>
      </c>
      <c r="D1767" s="122">
        <v>0</v>
      </c>
    </row>
    <row r="1768" spans="2:4" x14ac:dyDescent="0.2">
      <c r="B1768" s="129" t="s">
        <v>4574</v>
      </c>
      <c r="C1768" s="122" t="s">
        <v>4575</v>
      </c>
      <c r="D1768" s="122">
        <v>1.35</v>
      </c>
    </row>
    <row r="1769" spans="2:4" x14ac:dyDescent="0.2">
      <c r="B1769" s="129" t="s">
        <v>3046</v>
      </c>
      <c r="C1769" s="122" t="s">
        <v>3047</v>
      </c>
      <c r="D1769" s="122">
        <v>1.5</v>
      </c>
    </row>
    <row r="1770" spans="2:4" x14ac:dyDescent="0.2">
      <c r="B1770" s="129" t="s">
        <v>4576</v>
      </c>
      <c r="C1770" s="122" t="s">
        <v>4577</v>
      </c>
      <c r="D1770" s="122">
        <v>0</v>
      </c>
    </row>
    <row r="1771" spans="2:4" x14ac:dyDescent="0.2">
      <c r="B1771" s="129" t="s">
        <v>4578</v>
      </c>
      <c r="C1771" s="122" t="s">
        <v>4579</v>
      </c>
      <c r="D1771" s="122">
        <v>0.8</v>
      </c>
    </row>
    <row r="1772" spans="2:4" x14ac:dyDescent="0.2">
      <c r="B1772" s="129" t="s">
        <v>3048</v>
      </c>
      <c r="C1772" s="122" t="s">
        <v>3049</v>
      </c>
      <c r="D1772" s="122">
        <v>0.75</v>
      </c>
    </row>
    <row r="1773" spans="2:4" x14ac:dyDescent="0.2">
      <c r="B1773" s="129" t="s">
        <v>4580</v>
      </c>
      <c r="C1773" s="122" t="s">
        <v>4581</v>
      </c>
      <c r="D1773" s="122">
        <v>8.84</v>
      </c>
    </row>
    <row r="1774" spans="2:4" x14ac:dyDescent="0.2">
      <c r="B1774" s="129" t="s">
        <v>4582</v>
      </c>
      <c r="C1774" s="122" t="s">
        <v>4583</v>
      </c>
      <c r="D1774" s="122">
        <v>1.72</v>
      </c>
    </row>
    <row r="1775" spans="2:4" x14ac:dyDescent="0.2">
      <c r="B1775" s="129" t="s">
        <v>3050</v>
      </c>
      <c r="C1775" s="122" t="s">
        <v>3051</v>
      </c>
      <c r="D1775" s="122">
        <v>0</v>
      </c>
    </row>
    <row r="1776" spans="2:4" x14ac:dyDescent="0.2">
      <c r="B1776" s="129" t="s">
        <v>3052</v>
      </c>
      <c r="C1776" s="122" t="s">
        <v>3053</v>
      </c>
      <c r="D1776" s="122">
        <v>1.96</v>
      </c>
    </row>
    <row r="1777" spans="2:4" x14ac:dyDescent="0.2">
      <c r="B1777" s="129" t="s">
        <v>3054</v>
      </c>
      <c r="C1777" s="122" t="s">
        <v>3055</v>
      </c>
      <c r="D1777" s="122">
        <v>2.21</v>
      </c>
    </row>
    <row r="1778" spans="2:4" x14ac:dyDescent="0.2">
      <c r="B1778" s="129" t="s">
        <v>3056</v>
      </c>
      <c r="C1778" s="122" t="s">
        <v>3057</v>
      </c>
      <c r="D1778" s="122">
        <v>3.25</v>
      </c>
    </row>
    <row r="1779" spans="2:4" x14ac:dyDescent="0.2">
      <c r="B1779" s="129" t="s">
        <v>4584</v>
      </c>
      <c r="C1779" s="122" t="s">
        <v>4585</v>
      </c>
      <c r="D1779" s="122">
        <v>0</v>
      </c>
    </row>
    <row r="1780" spans="2:4" x14ac:dyDescent="0.2">
      <c r="B1780" s="129" t="s">
        <v>3058</v>
      </c>
      <c r="C1780" s="122" t="s">
        <v>3059</v>
      </c>
      <c r="D1780" s="122">
        <v>2.38</v>
      </c>
    </row>
    <row r="1781" spans="2:4" x14ac:dyDescent="0.2">
      <c r="B1781" s="129" t="s">
        <v>3060</v>
      </c>
      <c r="C1781" s="122" t="s">
        <v>3061</v>
      </c>
      <c r="D1781" s="122">
        <v>2.6</v>
      </c>
    </row>
    <row r="1782" spans="2:4" x14ac:dyDescent="0.2">
      <c r="B1782" s="129" t="s">
        <v>4586</v>
      </c>
      <c r="C1782" s="122" t="s">
        <v>4587</v>
      </c>
      <c r="D1782" s="122">
        <v>0.68</v>
      </c>
    </row>
    <row r="1783" spans="2:4" x14ac:dyDescent="0.2">
      <c r="B1783" s="129" t="s">
        <v>3062</v>
      </c>
      <c r="C1783" s="122" t="s">
        <v>3063</v>
      </c>
      <c r="D1783" s="122">
        <v>0.94</v>
      </c>
    </row>
    <row r="1784" spans="2:4" x14ac:dyDescent="0.2">
      <c r="B1784" s="129" t="s">
        <v>3064</v>
      </c>
      <c r="C1784" s="122" t="s">
        <v>3065</v>
      </c>
      <c r="D1784" s="122">
        <v>1.26</v>
      </c>
    </row>
    <row r="1785" spans="2:4" x14ac:dyDescent="0.2">
      <c r="B1785" s="129" t="s">
        <v>3066</v>
      </c>
      <c r="C1785" s="122" t="s">
        <v>3067</v>
      </c>
      <c r="D1785" s="122">
        <v>0</v>
      </c>
    </row>
    <row r="1786" spans="2:4" x14ac:dyDescent="0.2">
      <c r="B1786" s="129" t="s">
        <v>3068</v>
      </c>
      <c r="C1786" s="122" t="s">
        <v>3069</v>
      </c>
      <c r="D1786" s="122">
        <v>1.99</v>
      </c>
    </row>
    <row r="1787" spans="2:4" x14ac:dyDescent="0.2">
      <c r="B1787" s="129" t="s">
        <v>4588</v>
      </c>
      <c r="C1787" s="122" t="s">
        <v>4589</v>
      </c>
      <c r="D1787" s="122">
        <v>3.31</v>
      </c>
    </row>
    <row r="1788" spans="2:4" x14ac:dyDescent="0.2">
      <c r="B1788" s="129" t="s">
        <v>3070</v>
      </c>
      <c r="C1788" s="122" t="s">
        <v>3071</v>
      </c>
      <c r="D1788" s="122">
        <v>1.33</v>
      </c>
    </row>
    <row r="1789" spans="2:4" x14ac:dyDescent="0.2">
      <c r="B1789" s="129" t="s">
        <v>3072</v>
      </c>
      <c r="C1789" s="122" t="s">
        <v>3073</v>
      </c>
      <c r="D1789" s="122">
        <v>5.38</v>
      </c>
    </row>
    <row r="1790" spans="2:4" x14ac:dyDescent="0.2">
      <c r="B1790" s="129" t="s">
        <v>3074</v>
      </c>
      <c r="C1790" s="122" t="s">
        <v>3075</v>
      </c>
      <c r="D1790" s="122">
        <v>3.5</v>
      </c>
    </row>
    <row r="1791" spans="2:4" x14ac:dyDescent="0.2">
      <c r="B1791" s="129" t="s">
        <v>3076</v>
      </c>
      <c r="C1791" s="122" t="s">
        <v>3077</v>
      </c>
      <c r="D1791" s="122">
        <v>0</v>
      </c>
    </row>
    <row r="1792" spans="2:4" x14ac:dyDescent="0.2">
      <c r="B1792" s="129" t="s">
        <v>3078</v>
      </c>
      <c r="C1792" s="122" t="s">
        <v>3079</v>
      </c>
      <c r="D1792" s="122">
        <v>4.05</v>
      </c>
    </row>
    <row r="1793" spans="2:4" x14ac:dyDescent="0.2">
      <c r="B1793" s="129" t="s">
        <v>3080</v>
      </c>
      <c r="C1793" s="122" t="s">
        <v>3081</v>
      </c>
      <c r="D1793" s="122">
        <v>0</v>
      </c>
    </row>
    <row r="1794" spans="2:4" x14ac:dyDescent="0.2">
      <c r="B1794" s="129" t="s">
        <v>3082</v>
      </c>
      <c r="C1794" s="122" t="s">
        <v>3083</v>
      </c>
      <c r="D1794" s="122">
        <v>5.19</v>
      </c>
    </row>
    <row r="1795" spans="2:4" x14ac:dyDescent="0.2">
      <c r="B1795" s="129" t="s">
        <v>3084</v>
      </c>
      <c r="C1795" s="122" t="s">
        <v>3085</v>
      </c>
      <c r="D1795" s="122">
        <v>0.26</v>
      </c>
    </row>
    <row r="1796" spans="2:4" x14ac:dyDescent="0.2">
      <c r="B1796" s="129" t="s">
        <v>4590</v>
      </c>
      <c r="C1796" s="122" t="s">
        <v>4591</v>
      </c>
      <c r="D1796" s="122">
        <v>0</v>
      </c>
    </row>
    <row r="1797" spans="2:4" x14ac:dyDescent="0.2">
      <c r="B1797" s="129" t="s">
        <v>3086</v>
      </c>
      <c r="C1797" s="122" t="s">
        <v>3087</v>
      </c>
      <c r="D1797" s="122">
        <v>3.92</v>
      </c>
    </row>
    <row r="1798" spans="2:4" x14ac:dyDescent="0.2">
      <c r="B1798" s="129" t="s">
        <v>3088</v>
      </c>
      <c r="C1798" s="122" t="s">
        <v>3089</v>
      </c>
      <c r="D1798" s="122">
        <v>0</v>
      </c>
    </row>
    <row r="1799" spans="2:4" x14ac:dyDescent="0.2">
      <c r="B1799" s="129" t="s">
        <v>3090</v>
      </c>
      <c r="C1799" s="122" t="s">
        <v>3091</v>
      </c>
      <c r="D1799" s="122">
        <v>0</v>
      </c>
    </row>
    <row r="1800" spans="2:4" x14ac:dyDescent="0.2">
      <c r="B1800" s="129" t="s">
        <v>3092</v>
      </c>
      <c r="C1800" s="122" t="s">
        <v>3093</v>
      </c>
      <c r="D1800" s="122">
        <v>0</v>
      </c>
    </row>
    <row r="1801" spans="2:4" x14ac:dyDescent="0.2">
      <c r="B1801" s="129" t="s">
        <v>3094</v>
      </c>
      <c r="C1801" s="122" t="s">
        <v>3095</v>
      </c>
      <c r="D1801" s="122">
        <v>0</v>
      </c>
    </row>
    <row r="1802" spans="2:4" x14ac:dyDescent="0.2">
      <c r="B1802" s="129" t="s">
        <v>3096</v>
      </c>
      <c r="C1802" s="122" t="s">
        <v>3097</v>
      </c>
      <c r="D1802" s="122">
        <v>0</v>
      </c>
    </row>
    <row r="1803" spans="2:4" x14ac:dyDescent="0.2">
      <c r="B1803" s="129" t="s">
        <v>3098</v>
      </c>
      <c r="C1803" s="122" t="s">
        <v>3099</v>
      </c>
      <c r="D1803" s="122">
        <v>0</v>
      </c>
    </row>
    <row r="1804" spans="2:4" x14ac:dyDescent="0.2">
      <c r="B1804" s="129" t="s">
        <v>3100</v>
      </c>
      <c r="C1804" s="122" t="s">
        <v>3101</v>
      </c>
      <c r="D1804" s="122">
        <v>0.64</v>
      </c>
    </row>
    <row r="1805" spans="2:4" x14ac:dyDescent="0.2">
      <c r="B1805" s="129" t="s">
        <v>3102</v>
      </c>
      <c r="C1805" s="122" t="s">
        <v>3103</v>
      </c>
      <c r="D1805" s="122">
        <v>0.87</v>
      </c>
    </row>
    <row r="1806" spans="2:4" x14ac:dyDescent="0.2">
      <c r="B1806" s="129" t="s">
        <v>3104</v>
      </c>
      <c r="C1806" s="122" t="s">
        <v>3105</v>
      </c>
      <c r="D1806" s="122">
        <v>4.6100000000000003</v>
      </c>
    </row>
    <row r="1807" spans="2:4" x14ac:dyDescent="0.2">
      <c r="B1807" s="129" t="s">
        <v>3106</v>
      </c>
      <c r="C1807" s="122" t="s">
        <v>3107</v>
      </c>
      <c r="D1807" s="122">
        <v>1.97</v>
      </c>
    </row>
    <row r="1808" spans="2:4" x14ac:dyDescent="0.2">
      <c r="B1808" s="129" t="s">
        <v>3108</v>
      </c>
      <c r="C1808" s="122" t="s">
        <v>3109</v>
      </c>
      <c r="D1808" s="122">
        <v>3.95</v>
      </c>
    </row>
    <row r="1809" spans="2:4" x14ac:dyDescent="0.2">
      <c r="B1809" s="129" t="s">
        <v>3110</v>
      </c>
      <c r="C1809" s="122" t="s">
        <v>3111</v>
      </c>
      <c r="D1809" s="122">
        <v>5.97</v>
      </c>
    </row>
    <row r="1810" spans="2:4" x14ac:dyDescent="0.2">
      <c r="B1810" s="129" t="s">
        <v>3112</v>
      </c>
      <c r="C1810" s="122" t="s">
        <v>3113</v>
      </c>
      <c r="D1810" s="122">
        <v>0.62</v>
      </c>
    </row>
    <row r="1811" spans="2:4" x14ac:dyDescent="0.2">
      <c r="B1811" s="129" t="s">
        <v>3114</v>
      </c>
      <c r="C1811" s="122" t="s">
        <v>3115</v>
      </c>
      <c r="D1811" s="122">
        <v>4.59</v>
      </c>
    </row>
    <row r="1812" spans="2:4" x14ac:dyDescent="0.2">
      <c r="B1812" s="129" t="s">
        <v>3116</v>
      </c>
      <c r="C1812" s="122" t="s">
        <v>3117</v>
      </c>
      <c r="D1812" s="122">
        <v>0</v>
      </c>
    </row>
    <row r="1813" spans="2:4" x14ac:dyDescent="0.2">
      <c r="B1813" s="129" t="s">
        <v>4592</v>
      </c>
      <c r="C1813" s="122" t="s">
        <v>4593</v>
      </c>
      <c r="D1813" s="122">
        <v>3.65</v>
      </c>
    </row>
    <row r="1814" spans="2:4" x14ac:dyDescent="0.2">
      <c r="B1814" s="129" t="s">
        <v>4594</v>
      </c>
      <c r="C1814" s="122" t="s">
        <v>4595</v>
      </c>
      <c r="D1814" s="122">
        <v>5.98</v>
      </c>
    </row>
    <row r="1815" spans="2:4" x14ac:dyDescent="0.2">
      <c r="B1815" s="129" t="s">
        <v>3118</v>
      </c>
      <c r="C1815" s="122" t="s">
        <v>3119</v>
      </c>
      <c r="D1815" s="122">
        <v>0.4</v>
      </c>
    </row>
    <row r="1816" spans="2:4" x14ac:dyDescent="0.2">
      <c r="B1816" s="129" t="s">
        <v>3120</v>
      </c>
      <c r="C1816" s="122" t="s">
        <v>3121</v>
      </c>
      <c r="D1816" s="122">
        <v>10.76</v>
      </c>
    </row>
    <row r="1817" spans="2:4" x14ac:dyDescent="0.2">
      <c r="B1817" s="129" t="s">
        <v>3122</v>
      </c>
      <c r="C1817" s="122" t="s">
        <v>3123</v>
      </c>
      <c r="D1817" s="122">
        <v>1.85</v>
      </c>
    </row>
    <row r="1818" spans="2:4" x14ac:dyDescent="0.2">
      <c r="B1818" s="129" t="s">
        <v>3124</v>
      </c>
      <c r="C1818" s="122" t="s">
        <v>3125</v>
      </c>
      <c r="D1818" s="122">
        <v>2.4700000000000002</v>
      </c>
    </row>
    <row r="1819" spans="2:4" x14ac:dyDescent="0.2">
      <c r="B1819" s="129" t="s">
        <v>3126</v>
      </c>
      <c r="C1819" s="122" t="s">
        <v>3127</v>
      </c>
      <c r="D1819" s="122">
        <v>1.82</v>
      </c>
    </row>
    <row r="1820" spans="2:4" x14ac:dyDescent="0.2">
      <c r="B1820" s="129" t="s">
        <v>4596</v>
      </c>
      <c r="C1820" s="122" t="s">
        <v>4597</v>
      </c>
      <c r="D1820" s="122">
        <v>1.27</v>
      </c>
    </row>
    <row r="1821" spans="2:4" x14ac:dyDescent="0.2">
      <c r="B1821" s="129" t="s">
        <v>3128</v>
      </c>
      <c r="C1821" s="122" t="s">
        <v>3129</v>
      </c>
      <c r="D1821" s="122">
        <v>0</v>
      </c>
    </row>
    <row r="1822" spans="2:4" x14ac:dyDescent="0.2">
      <c r="B1822" s="129" t="s">
        <v>3134</v>
      </c>
      <c r="C1822" s="122" t="s">
        <v>4598</v>
      </c>
      <c r="D1822" s="122">
        <v>4.1900000000000004</v>
      </c>
    </row>
    <row r="1823" spans="2:4" x14ac:dyDescent="0.2">
      <c r="B1823" s="129" t="s">
        <v>3130</v>
      </c>
      <c r="C1823" s="122" t="s">
        <v>3131</v>
      </c>
      <c r="D1823" s="122">
        <v>2.54</v>
      </c>
    </row>
    <row r="1824" spans="2:4" x14ac:dyDescent="0.2">
      <c r="B1824" s="129" t="s">
        <v>3132</v>
      </c>
      <c r="C1824" s="122" t="s">
        <v>3133</v>
      </c>
      <c r="D1824" s="122">
        <v>5.14</v>
      </c>
    </row>
    <row r="1825" spans="2:4" x14ac:dyDescent="0.2">
      <c r="B1825" s="129" t="s">
        <v>3134</v>
      </c>
      <c r="C1825" s="122" t="s">
        <v>3135</v>
      </c>
      <c r="D1825" s="122">
        <v>0</v>
      </c>
    </row>
    <row r="1826" spans="2:4" x14ac:dyDescent="0.2">
      <c r="B1826" s="129" t="s">
        <v>4599</v>
      </c>
      <c r="C1826" s="122" t="s">
        <v>4600</v>
      </c>
      <c r="D1826" s="122">
        <v>2.91</v>
      </c>
    </row>
    <row r="1827" spans="2:4" x14ac:dyDescent="0.2">
      <c r="B1827" s="129" t="s">
        <v>4601</v>
      </c>
      <c r="C1827" s="122" t="s">
        <v>4602</v>
      </c>
      <c r="D1827" s="122">
        <v>1.84</v>
      </c>
    </row>
    <row r="1828" spans="2:4" x14ac:dyDescent="0.2">
      <c r="B1828" s="129" t="s">
        <v>3136</v>
      </c>
      <c r="C1828" s="122" t="s">
        <v>3137</v>
      </c>
      <c r="D1828" s="122">
        <v>1.68</v>
      </c>
    </row>
    <row r="1829" spans="2:4" x14ac:dyDescent="0.2">
      <c r="B1829" s="129" t="s">
        <v>3138</v>
      </c>
      <c r="C1829" s="122" t="s">
        <v>3139</v>
      </c>
      <c r="D1829" s="122">
        <v>2.98</v>
      </c>
    </row>
    <row r="1830" spans="2:4" x14ac:dyDescent="0.2">
      <c r="B1830" s="129" t="s">
        <v>3140</v>
      </c>
      <c r="C1830" s="122" t="s">
        <v>3141</v>
      </c>
      <c r="D1830" s="122">
        <v>0.77</v>
      </c>
    </row>
    <row r="1831" spans="2:4" x14ac:dyDescent="0.2">
      <c r="B1831" s="129" t="s">
        <v>3142</v>
      </c>
      <c r="C1831" s="122" t="s">
        <v>3143</v>
      </c>
      <c r="D1831" s="122">
        <v>0.72</v>
      </c>
    </row>
    <row r="1832" spans="2:4" x14ac:dyDescent="0.2">
      <c r="B1832" s="129" t="s">
        <v>3144</v>
      </c>
      <c r="C1832" s="122" t="s">
        <v>3145</v>
      </c>
      <c r="D1832" s="122">
        <v>2.46</v>
      </c>
    </row>
    <row r="1833" spans="2:4" x14ac:dyDescent="0.2">
      <c r="B1833" s="129" t="s">
        <v>3146</v>
      </c>
      <c r="C1833" s="122" t="s">
        <v>3147</v>
      </c>
      <c r="D1833" s="122">
        <v>2.5299999999999998</v>
      </c>
    </row>
    <row r="1834" spans="2:4" x14ac:dyDescent="0.2">
      <c r="B1834" s="129" t="s">
        <v>4603</v>
      </c>
      <c r="C1834" s="122" t="s">
        <v>4604</v>
      </c>
      <c r="D1834" s="122">
        <v>2.1</v>
      </c>
    </row>
    <row r="1835" spans="2:4" x14ac:dyDescent="0.2">
      <c r="B1835" s="129" t="s">
        <v>3148</v>
      </c>
      <c r="C1835" s="122" t="s">
        <v>3149</v>
      </c>
      <c r="D1835" s="122">
        <v>3.98</v>
      </c>
    </row>
    <row r="1836" spans="2:4" x14ac:dyDescent="0.2">
      <c r="B1836" s="129" t="s">
        <v>3150</v>
      </c>
      <c r="C1836" s="122" t="s">
        <v>3151</v>
      </c>
      <c r="D1836" s="122">
        <v>4.08</v>
      </c>
    </row>
    <row r="1837" spans="2:4" x14ac:dyDescent="0.2">
      <c r="B1837" s="129" t="s">
        <v>4605</v>
      </c>
      <c r="C1837" s="122" t="s">
        <v>4606</v>
      </c>
      <c r="D1837" s="122">
        <v>2.2599999999999998</v>
      </c>
    </row>
    <row r="1838" spans="2:4" x14ac:dyDescent="0.2">
      <c r="B1838" s="129" t="s">
        <v>3152</v>
      </c>
      <c r="C1838" s="122" t="s">
        <v>3153</v>
      </c>
      <c r="D1838" s="122">
        <v>4.91</v>
      </c>
    </row>
    <row r="1839" spans="2:4" x14ac:dyDescent="0.2">
      <c r="B1839" s="129" t="s">
        <v>3154</v>
      </c>
      <c r="C1839" s="122" t="s">
        <v>3155</v>
      </c>
      <c r="D1839" s="122">
        <v>2.85</v>
      </c>
    </row>
    <row r="1840" spans="2:4" x14ac:dyDescent="0.2">
      <c r="B1840" s="129" t="s">
        <v>3156</v>
      </c>
      <c r="C1840" s="122" t="s">
        <v>3157</v>
      </c>
      <c r="D1840" s="122">
        <v>0</v>
      </c>
    </row>
    <row r="1841" spans="2:4" x14ac:dyDescent="0.2">
      <c r="B1841" s="129" t="s">
        <v>3158</v>
      </c>
      <c r="C1841" s="122" t="s">
        <v>3159</v>
      </c>
      <c r="D1841" s="122">
        <v>2.5299999999999998</v>
      </c>
    </row>
    <row r="1842" spans="2:4" x14ac:dyDescent="0.2">
      <c r="B1842" s="129" t="s">
        <v>4607</v>
      </c>
      <c r="C1842" s="122" t="s">
        <v>4608</v>
      </c>
      <c r="D1842" s="122">
        <v>0</v>
      </c>
    </row>
    <row r="1843" spans="2:4" x14ac:dyDescent="0.2">
      <c r="B1843" s="129" t="s">
        <v>3160</v>
      </c>
      <c r="C1843" s="122" t="s">
        <v>3161</v>
      </c>
      <c r="D1843" s="122">
        <v>0.26</v>
      </c>
    </row>
    <row r="1844" spans="2:4" x14ac:dyDescent="0.2">
      <c r="B1844" s="129" t="s">
        <v>3162</v>
      </c>
      <c r="C1844" s="122" t="s">
        <v>3163</v>
      </c>
      <c r="D1844" s="122">
        <v>0</v>
      </c>
    </row>
    <row r="1845" spans="2:4" x14ac:dyDescent="0.2">
      <c r="B1845" s="129" t="s">
        <v>4609</v>
      </c>
      <c r="C1845" s="122" t="s">
        <v>4610</v>
      </c>
      <c r="D1845" s="122">
        <v>3.05</v>
      </c>
    </row>
    <row r="1846" spans="2:4" x14ac:dyDescent="0.2">
      <c r="B1846" s="129" t="s">
        <v>3164</v>
      </c>
      <c r="C1846" s="122" t="s">
        <v>3165</v>
      </c>
      <c r="D1846" s="122">
        <v>0</v>
      </c>
    </row>
    <row r="1847" spans="2:4" x14ac:dyDescent="0.2">
      <c r="B1847" s="129" t="s">
        <v>3166</v>
      </c>
      <c r="C1847" s="122" t="s">
        <v>3167</v>
      </c>
      <c r="D1847" s="122">
        <v>0</v>
      </c>
    </row>
    <row r="1848" spans="2:4" x14ac:dyDescent="0.2">
      <c r="B1848" s="129" t="s">
        <v>3168</v>
      </c>
      <c r="C1848" s="122" t="s">
        <v>3169</v>
      </c>
      <c r="D1848" s="122">
        <v>2.57</v>
      </c>
    </row>
    <row r="1849" spans="2:4" x14ac:dyDescent="0.2">
      <c r="B1849" s="129" t="s">
        <v>3170</v>
      </c>
      <c r="C1849" s="122" t="s">
        <v>3171</v>
      </c>
      <c r="D1849" s="122">
        <v>1.1299999999999999</v>
      </c>
    </row>
    <row r="1850" spans="2:4" x14ac:dyDescent="0.2">
      <c r="B1850" s="129" t="s">
        <v>4611</v>
      </c>
      <c r="C1850" s="122" t="s">
        <v>4612</v>
      </c>
      <c r="D1850" s="122">
        <v>0.6</v>
      </c>
    </row>
    <row r="1851" spans="2:4" x14ac:dyDescent="0.2">
      <c r="B1851" s="129" t="s">
        <v>3172</v>
      </c>
      <c r="C1851" s="122" t="s">
        <v>3173</v>
      </c>
      <c r="D1851" s="122">
        <v>4.42</v>
      </c>
    </row>
    <row r="1852" spans="2:4" x14ac:dyDescent="0.2">
      <c r="B1852" s="129" t="s">
        <v>4613</v>
      </c>
      <c r="C1852" s="122" t="s">
        <v>4614</v>
      </c>
      <c r="D1852" s="122">
        <v>0.27</v>
      </c>
    </row>
    <row r="1853" spans="2:4" x14ac:dyDescent="0.2">
      <c r="B1853" s="129" t="s">
        <v>4615</v>
      </c>
      <c r="C1853" s="122" t="s">
        <v>4616</v>
      </c>
      <c r="D1853" s="122">
        <v>5.37</v>
      </c>
    </row>
    <row r="1854" spans="2:4" x14ac:dyDescent="0.2">
      <c r="B1854" s="129" t="s">
        <v>3174</v>
      </c>
      <c r="C1854" s="122" t="s">
        <v>3175</v>
      </c>
      <c r="D1854" s="122">
        <v>0</v>
      </c>
    </row>
    <row r="1855" spans="2:4" x14ac:dyDescent="0.2">
      <c r="B1855" s="129" t="s">
        <v>3176</v>
      </c>
      <c r="C1855" s="122" t="s">
        <v>3177</v>
      </c>
      <c r="D1855" s="122">
        <v>0</v>
      </c>
    </row>
    <row r="1856" spans="2:4" x14ac:dyDescent="0.2">
      <c r="B1856" s="129" t="s">
        <v>3178</v>
      </c>
      <c r="C1856" s="122" t="s">
        <v>3179</v>
      </c>
      <c r="D1856" s="122">
        <v>0</v>
      </c>
    </row>
    <row r="1857" spans="2:4" x14ac:dyDescent="0.2">
      <c r="B1857" s="129" t="s">
        <v>3180</v>
      </c>
      <c r="C1857" s="122" t="s">
        <v>3181</v>
      </c>
      <c r="D1857" s="122">
        <v>8.7799999999999994</v>
      </c>
    </row>
    <row r="1858" spans="2:4" x14ac:dyDescent="0.2">
      <c r="B1858" s="129" t="s">
        <v>3182</v>
      </c>
      <c r="C1858" s="122" t="s">
        <v>3183</v>
      </c>
      <c r="D1858" s="122">
        <v>2.16</v>
      </c>
    </row>
    <row r="1859" spans="2:4" x14ac:dyDescent="0.2">
      <c r="B1859" s="129" t="s">
        <v>3184</v>
      </c>
      <c r="C1859" s="122" t="s">
        <v>3185</v>
      </c>
      <c r="D1859" s="122">
        <v>0</v>
      </c>
    </row>
    <row r="1860" spans="2:4" x14ac:dyDescent="0.2">
      <c r="B1860" s="129" t="s">
        <v>3186</v>
      </c>
      <c r="C1860" s="122" t="s">
        <v>3187</v>
      </c>
      <c r="D1860" s="122">
        <v>0</v>
      </c>
    </row>
    <row r="1861" spans="2:4" x14ac:dyDescent="0.2">
      <c r="B1861" s="129" t="s">
        <v>3188</v>
      </c>
      <c r="C1861" s="122" t="s">
        <v>3189</v>
      </c>
      <c r="D1861" s="122">
        <v>1.87</v>
      </c>
    </row>
    <row r="1862" spans="2:4" x14ac:dyDescent="0.2">
      <c r="B1862" s="129" t="s">
        <v>3190</v>
      </c>
      <c r="C1862" s="122" t="s">
        <v>3191</v>
      </c>
      <c r="D1862" s="122">
        <v>2.66</v>
      </c>
    </row>
    <row r="1863" spans="2:4" x14ac:dyDescent="0.2">
      <c r="B1863" s="129" t="s">
        <v>3192</v>
      </c>
      <c r="C1863" s="122" t="s">
        <v>3193</v>
      </c>
      <c r="D1863" s="122">
        <v>3.09</v>
      </c>
    </row>
    <row r="1864" spans="2:4" x14ac:dyDescent="0.2">
      <c r="B1864" s="129" t="s">
        <v>3194</v>
      </c>
      <c r="C1864" s="122" t="s">
        <v>3195</v>
      </c>
      <c r="D1864" s="122">
        <v>0.37</v>
      </c>
    </row>
    <row r="1865" spans="2:4" x14ac:dyDescent="0.2">
      <c r="B1865" s="129" t="s">
        <v>4617</v>
      </c>
      <c r="C1865" s="122" t="s">
        <v>4618</v>
      </c>
      <c r="D1865" s="122">
        <v>1.1399999999999999</v>
      </c>
    </row>
    <row r="1866" spans="2:4" x14ac:dyDescent="0.2">
      <c r="B1866" s="129" t="s">
        <v>3196</v>
      </c>
      <c r="C1866" s="122" t="s">
        <v>3197</v>
      </c>
      <c r="D1866" s="122">
        <v>2.2400000000000002</v>
      </c>
    </row>
    <row r="1867" spans="2:4" x14ac:dyDescent="0.2">
      <c r="B1867" s="129" t="s">
        <v>3198</v>
      </c>
      <c r="C1867" s="122" t="s">
        <v>3199</v>
      </c>
      <c r="D1867" s="122">
        <v>1.35</v>
      </c>
    </row>
    <row r="1868" spans="2:4" x14ac:dyDescent="0.2">
      <c r="B1868" s="129" t="s">
        <v>3200</v>
      </c>
      <c r="C1868" s="122" t="s">
        <v>3201</v>
      </c>
      <c r="D1868" s="122">
        <v>5.16</v>
      </c>
    </row>
    <row r="1869" spans="2:4" x14ac:dyDescent="0.2">
      <c r="B1869" s="129" t="s">
        <v>3202</v>
      </c>
      <c r="C1869" s="122" t="s">
        <v>3203</v>
      </c>
      <c r="D1869" s="122">
        <v>3.49</v>
      </c>
    </row>
    <row r="1870" spans="2:4" x14ac:dyDescent="0.2">
      <c r="B1870" s="129" t="s">
        <v>3204</v>
      </c>
      <c r="C1870" s="122" t="s">
        <v>3205</v>
      </c>
      <c r="D1870" s="122">
        <v>1.55</v>
      </c>
    </row>
    <row r="1871" spans="2:4" x14ac:dyDescent="0.2">
      <c r="B1871" s="129" t="s">
        <v>3206</v>
      </c>
      <c r="C1871" s="122" t="s">
        <v>3207</v>
      </c>
      <c r="D1871" s="122">
        <v>0</v>
      </c>
    </row>
    <row r="1872" spans="2:4" x14ac:dyDescent="0.2">
      <c r="B1872" s="129" t="s">
        <v>4619</v>
      </c>
      <c r="C1872" s="122" t="s">
        <v>4620</v>
      </c>
      <c r="D1872" s="122">
        <v>0.94</v>
      </c>
    </row>
    <row r="1873" spans="2:4" x14ac:dyDescent="0.2">
      <c r="B1873" s="129" t="s">
        <v>3208</v>
      </c>
      <c r="C1873" s="122" t="s">
        <v>3209</v>
      </c>
      <c r="D1873" s="122">
        <v>0</v>
      </c>
    </row>
    <row r="1874" spans="2:4" x14ac:dyDescent="0.2">
      <c r="B1874" s="129" t="s">
        <v>3210</v>
      </c>
      <c r="C1874" s="122" t="s">
        <v>3211</v>
      </c>
      <c r="D1874" s="122">
        <v>2.2999999999999998</v>
      </c>
    </row>
    <row r="1875" spans="2:4" x14ac:dyDescent="0.2">
      <c r="B1875" s="129" t="s">
        <v>3212</v>
      </c>
      <c r="C1875" s="122" t="s">
        <v>3213</v>
      </c>
      <c r="D1875" s="122">
        <v>1.72</v>
      </c>
    </row>
    <row r="1876" spans="2:4" x14ac:dyDescent="0.2">
      <c r="B1876" s="129" t="s">
        <v>3214</v>
      </c>
      <c r="C1876" s="122" t="s">
        <v>3215</v>
      </c>
      <c r="D1876" s="122">
        <v>1.0900000000000001</v>
      </c>
    </row>
    <row r="1877" spans="2:4" x14ac:dyDescent="0.2">
      <c r="B1877" s="129" t="s">
        <v>4621</v>
      </c>
      <c r="C1877" s="122" t="s">
        <v>4622</v>
      </c>
      <c r="D1877" s="122">
        <v>1.57</v>
      </c>
    </row>
    <row r="1878" spans="2:4" x14ac:dyDescent="0.2">
      <c r="B1878" s="129" t="s">
        <v>3216</v>
      </c>
      <c r="C1878" s="122" t="s">
        <v>3217</v>
      </c>
      <c r="D1878" s="122">
        <v>1.25</v>
      </c>
    </row>
    <row r="1879" spans="2:4" x14ac:dyDescent="0.2">
      <c r="B1879" s="129" t="s">
        <v>3218</v>
      </c>
      <c r="C1879" s="122" t="s">
        <v>3219</v>
      </c>
      <c r="D1879" s="122">
        <v>0</v>
      </c>
    </row>
    <row r="1880" spans="2:4" x14ac:dyDescent="0.2">
      <c r="B1880" s="129" t="s">
        <v>3220</v>
      </c>
      <c r="C1880" s="122" t="s">
        <v>3221</v>
      </c>
      <c r="D1880" s="122">
        <v>1.35</v>
      </c>
    </row>
    <row r="1881" spans="2:4" x14ac:dyDescent="0.2">
      <c r="B1881" s="129" t="s">
        <v>3222</v>
      </c>
      <c r="C1881" s="122" t="s">
        <v>3223</v>
      </c>
      <c r="D1881" s="122">
        <v>0.71</v>
      </c>
    </row>
    <row r="1882" spans="2:4" x14ac:dyDescent="0.2">
      <c r="B1882" s="129" t="s">
        <v>3224</v>
      </c>
      <c r="C1882" s="122" t="s">
        <v>3225</v>
      </c>
      <c r="D1882" s="122">
        <v>0</v>
      </c>
    </row>
    <row r="1883" spans="2:4" x14ac:dyDescent="0.2">
      <c r="B1883" s="129" t="s">
        <v>4623</v>
      </c>
      <c r="C1883" s="122" t="s">
        <v>4624</v>
      </c>
      <c r="D1883" s="122">
        <v>1.56</v>
      </c>
    </row>
    <row r="1884" spans="2:4" x14ac:dyDescent="0.2">
      <c r="B1884" s="129" t="s">
        <v>3226</v>
      </c>
      <c r="C1884" s="122" t="s">
        <v>3227</v>
      </c>
      <c r="D1884" s="122">
        <v>0</v>
      </c>
    </row>
    <row r="1885" spans="2:4" x14ac:dyDescent="0.2">
      <c r="B1885" s="129" t="s">
        <v>3228</v>
      </c>
      <c r="C1885" s="122" t="s">
        <v>3229</v>
      </c>
      <c r="D1885" s="122">
        <v>4.57</v>
      </c>
    </row>
    <row r="1886" spans="2:4" x14ac:dyDescent="0.2">
      <c r="B1886" s="129" t="s">
        <v>4625</v>
      </c>
      <c r="C1886" s="122" t="s">
        <v>4626</v>
      </c>
      <c r="D1886" s="122">
        <v>5.08</v>
      </c>
    </row>
    <row r="1887" spans="2:4" x14ac:dyDescent="0.2">
      <c r="B1887" s="129" t="s">
        <v>3230</v>
      </c>
      <c r="C1887" s="122" t="s">
        <v>3231</v>
      </c>
      <c r="D1887" s="122">
        <v>0.75</v>
      </c>
    </row>
    <row r="1888" spans="2:4" x14ac:dyDescent="0.2">
      <c r="B1888" s="129" t="s">
        <v>3232</v>
      </c>
      <c r="C1888" s="122" t="s">
        <v>3233</v>
      </c>
      <c r="D1888" s="122">
        <v>0</v>
      </c>
    </row>
    <row r="1889" spans="2:4" x14ac:dyDescent="0.2">
      <c r="B1889" s="129" t="s">
        <v>4627</v>
      </c>
      <c r="C1889" s="122" t="s">
        <v>4628</v>
      </c>
      <c r="D1889" s="122">
        <v>0.8</v>
      </c>
    </row>
    <row r="1890" spans="2:4" x14ac:dyDescent="0.2">
      <c r="B1890" s="129" t="s">
        <v>3234</v>
      </c>
      <c r="C1890" s="122" t="s">
        <v>3235</v>
      </c>
      <c r="D1890" s="122">
        <v>0</v>
      </c>
    </row>
    <row r="1891" spans="2:4" x14ac:dyDescent="0.2">
      <c r="B1891" s="129" t="s">
        <v>3236</v>
      </c>
      <c r="C1891" s="122" t="s">
        <v>3237</v>
      </c>
      <c r="D1891" s="122">
        <v>11.91</v>
      </c>
    </row>
    <row r="1892" spans="2:4" x14ac:dyDescent="0.2">
      <c r="B1892" s="129" t="s">
        <v>4629</v>
      </c>
      <c r="C1892" s="122" t="s">
        <v>4630</v>
      </c>
      <c r="D1892" s="122">
        <v>4.37</v>
      </c>
    </row>
    <row r="1893" spans="2:4" x14ac:dyDescent="0.2">
      <c r="B1893" s="129" t="s">
        <v>3238</v>
      </c>
      <c r="C1893" s="122" t="s">
        <v>3239</v>
      </c>
      <c r="D1893" s="122">
        <v>0</v>
      </c>
    </row>
    <row r="1894" spans="2:4" x14ac:dyDescent="0.2">
      <c r="B1894" s="129" t="s">
        <v>3240</v>
      </c>
      <c r="C1894" s="122" t="s">
        <v>3241</v>
      </c>
      <c r="D1894" s="122">
        <v>6.26</v>
      </c>
    </row>
    <row r="1895" spans="2:4" x14ac:dyDescent="0.2">
      <c r="B1895" s="129" t="s">
        <v>3242</v>
      </c>
      <c r="C1895" s="122" t="s">
        <v>3243</v>
      </c>
      <c r="D1895" s="122">
        <v>2.4300000000000002</v>
      </c>
    </row>
    <row r="1896" spans="2:4" x14ac:dyDescent="0.2">
      <c r="B1896" s="129" t="s">
        <v>3244</v>
      </c>
      <c r="C1896" s="122" t="s">
        <v>3245</v>
      </c>
      <c r="D1896" s="122">
        <v>2.33</v>
      </c>
    </row>
    <row r="1897" spans="2:4" x14ac:dyDescent="0.2">
      <c r="B1897" s="129" t="s">
        <v>3246</v>
      </c>
      <c r="C1897" s="122" t="s">
        <v>3247</v>
      </c>
      <c r="D1897" s="122">
        <v>0.16</v>
      </c>
    </row>
    <row r="1898" spans="2:4" x14ac:dyDescent="0.2">
      <c r="B1898" s="129" t="s">
        <v>4631</v>
      </c>
      <c r="C1898" s="122" t="s">
        <v>4632</v>
      </c>
      <c r="D1898" s="122">
        <v>0</v>
      </c>
    </row>
    <row r="1899" spans="2:4" x14ac:dyDescent="0.2">
      <c r="B1899" s="129" t="s">
        <v>3248</v>
      </c>
      <c r="C1899" s="122" t="s">
        <v>3249</v>
      </c>
      <c r="D1899" s="122">
        <v>0</v>
      </c>
    </row>
    <row r="1900" spans="2:4" x14ac:dyDescent="0.2">
      <c r="B1900" s="129" t="s">
        <v>3250</v>
      </c>
      <c r="C1900" s="122" t="s">
        <v>4633</v>
      </c>
      <c r="D1900" s="122">
        <v>0</v>
      </c>
    </row>
    <row r="1901" spans="2:4" x14ac:dyDescent="0.2">
      <c r="B1901" s="129" t="s">
        <v>3250</v>
      </c>
      <c r="C1901" s="122" t="s">
        <v>3251</v>
      </c>
      <c r="D1901" s="122">
        <v>0</v>
      </c>
    </row>
    <row r="1902" spans="2:4" x14ac:dyDescent="0.2">
      <c r="B1902" s="129" t="s">
        <v>3252</v>
      </c>
      <c r="C1902" s="122" t="s">
        <v>3253</v>
      </c>
      <c r="D1902" s="122">
        <v>0</v>
      </c>
    </row>
    <row r="1903" spans="2:4" x14ac:dyDescent="0.2">
      <c r="B1903" s="129" t="s">
        <v>4634</v>
      </c>
      <c r="C1903" s="122" t="s">
        <v>4635</v>
      </c>
      <c r="D1903" s="122">
        <v>0</v>
      </c>
    </row>
    <row r="1904" spans="2:4" x14ac:dyDescent="0.2">
      <c r="B1904" s="129" t="s">
        <v>3254</v>
      </c>
      <c r="C1904" s="122" t="s">
        <v>3255</v>
      </c>
      <c r="D1904" s="122">
        <v>0</v>
      </c>
    </row>
    <row r="1905" spans="2:4" x14ac:dyDescent="0.2">
      <c r="B1905" s="129" t="s">
        <v>4636</v>
      </c>
      <c r="C1905" s="122" t="s">
        <v>4637</v>
      </c>
      <c r="D1905" s="122">
        <v>0</v>
      </c>
    </row>
    <row r="1906" spans="2:4" x14ac:dyDescent="0.2">
      <c r="B1906" s="129" t="s">
        <v>3256</v>
      </c>
      <c r="C1906" s="122" t="s">
        <v>3257</v>
      </c>
      <c r="D1906" s="122">
        <v>3.54</v>
      </c>
    </row>
    <row r="1907" spans="2:4" x14ac:dyDescent="0.2">
      <c r="B1907" s="129" t="s">
        <v>4638</v>
      </c>
      <c r="C1907" s="122" t="s">
        <v>4639</v>
      </c>
      <c r="D1907" s="122">
        <v>0</v>
      </c>
    </row>
    <row r="1908" spans="2:4" x14ac:dyDescent="0.2">
      <c r="B1908" s="129" t="s">
        <v>3258</v>
      </c>
      <c r="C1908" s="122" t="s">
        <v>3259</v>
      </c>
      <c r="D1908" s="122">
        <v>0</v>
      </c>
    </row>
    <row r="1909" spans="2:4" x14ac:dyDescent="0.2">
      <c r="B1909" s="129" t="s">
        <v>3260</v>
      </c>
      <c r="C1909" s="122" t="s">
        <v>3261</v>
      </c>
      <c r="D1909" s="122">
        <v>2.86</v>
      </c>
    </row>
    <row r="1910" spans="2:4" x14ac:dyDescent="0.2">
      <c r="B1910" s="129" t="s">
        <v>3262</v>
      </c>
      <c r="C1910" s="122" t="s">
        <v>3263</v>
      </c>
      <c r="D1910" s="122">
        <v>2.61</v>
      </c>
    </row>
    <row r="1911" spans="2:4" x14ac:dyDescent="0.2">
      <c r="B1911" s="129" t="s">
        <v>3264</v>
      </c>
      <c r="C1911" s="122" t="s">
        <v>3265</v>
      </c>
      <c r="D1911" s="122">
        <v>2.0299999999999998</v>
      </c>
    </row>
    <row r="1912" spans="2:4" x14ac:dyDescent="0.2">
      <c r="B1912" s="129" t="s">
        <v>3266</v>
      </c>
      <c r="C1912" s="122" t="s">
        <v>3267</v>
      </c>
      <c r="D1912" s="122">
        <v>0</v>
      </c>
    </row>
    <row r="1913" spans="2:4" x14ac:dyDescent="0.2">
      <c r="B1913" s="129" t="s">
        <v>3268</v>
      </c>
      <c r="C1913" s="122" t="s">
        <v>3269</v>
      </c>
      <c r="D1913" s="122">
        <v>0.53</v>
      </c>
    </row>
    <row r="1914" spans="2:4" x14ac:dyDescent="0.2">
      <c r="B1914" s="129" t="s">
        <v>3270</v>
      </c>
      <c r="C1914" s="122" t="s">
        <v>3271</v>
      </c>
      <c r="D1914" s="122">
        <v>1.01</v>
      </c>
    </row>
    <row r="1915" spans="2:4" x14ac:dyDescent="0.2">
      <c r="B1915" s="129" t="s">
        <v>3272</v>
      </c>
      <c r="C1915" s="122" t="s">
        <v>3273</v>
      </c>
      <c r="D1915" s="122">
        <v>3.02</v>
      </c>
    </row>
    <row r="1916" spans="2:4" x14ac:dyDescent="0.2">
      <c r="B1916" s="129" t="s">
        <v>3274</v>
      </c>
      <c r="C1916" s="122" t="s">
        <v>3275</v>
      </c>
      <c r="D1916" s="122">
        <v>0</v>
      </c>
    </row>
    <row r="1917" spans="2:4" x14ac:dyDescent="0.2">
      <c r="B1917" s="129" t="s">
        <v>3276</v>
      </c>
      <c r="C1917" s="122" t="s">
        <v>3277</v>
      </c>
      <c r="D1917" s="122">
        <v>1.83</v>
      </c>
    </row>
    <row r="1918" spans="2:4" x14ac:dyDescent="0.2">
      <c r="B1918" s="129" t="s">
        <v>4640</v>
      </c>
      <c r="C1918" s="122" t="s">
        <v>4641</v>
      </c>
      <c r="D1918" s="122">
        <v>3.08</v>
      </c>
    </row>
    <row r="1919" spans="2:4" x14ac:dyDescent="0.2">
      <c r="B1919" s="129" t="s">
        <v>3278</v>
      </c>
      <c r="C1919" s="122" t="s">
        <v>3279</v>
      </c>
      <c r="D1919" s="122">
        <v>4.99</v>
      </c>
    </row>
    <row r="1920" spans="2:4" x14ac:dyDescent="0.2">
      <c r="B1920" s="129" t="s">
        <v>3280</v>
      </c>
      <c r="C1920" s="122" t="s">
        <v>3281</v>
      </c>
      <c r="D1920" s="122">
        <v>2.63</v>
      </c>
    </row>
    <row r="1921" spans="2:4" x14ac:dyDescent="0.2">
      <c r="B1921" s="129" t="s">
        <v>3282</v>
      </c>
      <c r="C1921" s="122" t="s">
        <v>3283</v>
      </c>
      <c r="D1921" s="122">
        <v>0</v>
      </c>
    </row>
    <row r="1922" spans="2:4" x14ac:dyDescent="0.2">
      <c r="B1922" s="129" t="s">
        <v>3284</v>
      </c>
      <c r="C1922" s="122" t="s">
        <v>3285</v>
      </c>
      <c r="D1922" s="122">
        <v>0.23</v>
      </c>
    </row>
    <row r="1923" spans="2:4" x14ac:dyDescent="0.2">
      <c r="B1923" s="129" t="s">
        <v>3286</v>
      </c>
      <c r="C1923" s="122" t="s">
        <v>3287</v>
      </c>
      <c r="D1923" s="122">
        <v>1.85</v>
      </c>
    </row>
    <row r="1924" spans="2:4" x14ac:dyDescent="0.2">
      <c r="B1924" s="129" t="s">
        <v>4642</v>
      </c>
      <c r="C1924" s="122" t="s">
        <v>4643</v>
      </c>
      <c r="D1924" s="122">
        <v>0.62</v>
      </c>
    </row>
    <row r="1925" spans="2:4" x14ac:dyDescent="0.2">
      <c r="B1925" s="129" t="s">
        <v>3288</v>
      </c>
      <c r="C1925" s="122" t="s">
        <v>3289</v>
      </c>
      <c r="D1925" s="122">
        <v>3.87</v>
      </c>
    </row>
    <row r="1926" spans="2:4" x14ac:dyDescent="0.2">
      <c r="B1926" s="129" t="s">
        <v>3290</v>
      </c>
      <c r="C1926" s="122" t="s">
        <v>3291</v>
      </c>
      <c r="D1926" s="122">
        <v>2.33</v>
      </c>
    </row>
    <row r="1927" spans="2:4" x14ac:dyDescent="0.2">
      <c r="B1927" s="129" t="s">
        <v>3292</v>
      </c>
      <c r="C1927" s="122" t="s">
        <v>3293</v>
      </c>
      <c r="D1927" s="122">
        <v>0</v>
      </c>
    </row>
    <row r="1928" spans="2:4" x14ac:dyDescent="0.2">
      <c r="B1928" s="129" t="s">
        <v>3294</v>
      </c>
      <c r="C1928" s="122" t="s">
        <v>3295</v>
      </c>
      <c r="D1928" s="122">
        <v>4.26</v>
      </c>
    </row>
    <row r="1929" spans="2:4" x14ac:dyDescent="0.2">
      <c r="B1929" s="129" t="s">
        <v>3296</v>
      </c>
      <c r="C1929" s="122" t="s">
        <v>3297</v>
      </c>
      <c r="D1929" s="122">
        <v>3.18</v>
      </c>
    </row>
    <row r="1930" spans="2:4" x14ac:dyDescent="0.2">
      <c r="B1930" s="129" t="s">
        <v>3298</v>
      </c>
      <c r="C1930" s="122" t="s">
        <v>3299</v>
      </c>
      <c r="D1930" s="122">
        <v>0</v>
      </c>
    </row>
    <row r="1931" spans="2:4" x14ac:dyDescent="0.2">
      <c r="B1931" s="129" t="s">
        <v>3300</v>
      </c>
      <c r="C1931" s="122" t="s">
        <v>3301</v>
      </c>
      <c r="D1931" s="122">
        <v>2.67</v>
      </c>
    </row>
    <row r="1932" spans="2:4" x14ac:dyDescent="0.2">
      <c r="B1932" s="129" t="s">
        <v>3302</v>
      </c>
      <c r="C1932" s="122" t="s">
        <v>3303</v>
      </c>
      <c r="D1932" s="122">
        <v>0</v>
      </c>
    </row>
    <row r="1933" spans="2:4" x14ac:dyDescent="0.2">
      <c r="B1933" s="129" t="s">
        <v>3304</v>
      </c>
      <c r="C1933" s="122" t="s">
        <v>3305</v>
      </c>
      <c r="D1933" s="122">
        <v>0</v>
      </c>
    </row>
    <row r="1934" spans="2:4" x14ac:dyDescent="0.2">
      <c r="B1934" s="129" t="s">
        <v>3306</v>
      </c>
      <c r="C1934" s="122" t="s">
        <v>3307</v>
      </c>
      <c r="D1934" s="122">
        <v>0</v>
      </c>
    </row>
    <row r="1935" spans="2:4" x14ac:dyDescent="0.2">
      <c r="B1935" s="129" t="s">
        <v>3308</v>
      </c>
      <c r="C1935" s="122" t="s">
        <v>3309</v>
      </c>
      <c r="D1935" s="122">
        <v>0</v>
      </c>
    </row>
    <row r="1936" spans="2:4" x14ac:dyDescent="0.2">
      <c r="B1936" s="129" t="s">
        <v>3310</v>
      </c>
      <c r="C1936" s="122" t="s">
        <v>3311</v>
      </c>
      <c r="D1936" s="122">
        <v>2.17</v>
      </c>
    </row>
    <row r="1937" spans="2:4" x14ac:dyDescent="0.2">
      <c r="B1937" s="129" t="s">
        <v>4644</v>
      </c>
      <c r="C1937" s="122" t="s">
        <v>4645</v>
      </c>
      <c r="D1937" s="122">
        <v>6.3</v>
      </c>
    </row>
    <row r="1938" spans="2:4" x14ac:dyDescent="0.2">
      <c r="B1938" s="129" t="s">
        <v>3312</v>
      </c>
      <c r="C1938" s="122" t="s">
        <v>3313</v>
      </c>
      <c r="D1938" s="122">
        <v>0.56999999999999995</v>
      </c>
    </row>
    <row r="1939" spans="2:4" x14ac:dyDescent="0.2">
      <c r="B1939" s="129" t="s">
        <v>3314</v>
      </c>
      <c r="C1939" s="122" t="s">
        <v>3315</v>
      </c>
      <c r="D1939" s="122">
        <v>1.66</v>
      </c>
    </row>
    <row r="1940" spans="2:4" x14ac:dyDescent="0.2">
      <c r="B1940" s="129" t="s">
        <v>3316</v>
      </c>
      <c r="C1940" s="122" t="s">
        <v>3317</v>
      </c>
      <c r="D1940" s="122">
        <v>0</v>
      </c>
    </row>
    <row r="1941" spans="2:4" x14ac:dyDescent="0.2">
      <c r="B1941" s="129" t="s">
        <v>3318</v>
      </c>
      <c r="C1941" s="122" t="s">
        <v>3319</v>
      </c>
      <c r="D1941" s="122">
        <v>0</v>
      </c>
    </row>
    <row r="1942" spans="2:4" x14ac:dyDescent="0.2">
      <c r="B1942" s="129" t="s">
        <v>4646</v>
      </c>
      <c r="C1942" s="122" t="s">
        <v>4647</v>
      </c>
      <c r="D1942" s="122">
        <v>2.94</v>
      </c>
    </row>
    <row r="1943" spans="2:4" x14ac:dyDescent="0.2">
      <c r="B1943" s="129" t="s">
        <v>4648</v>
      </c>
      <c r="C1943" s="122" t="s">
        <v>4649</v>
      </c>
      <c r="D1943" s="122">
        <v>1.96</v>
      </c>
    </row>
    <row r="1944" spans="2:4" x14ac:dyDescent="0.2">
      <c r="B1944" s="129" t="s">
        <v>3320</v>
      </c>
      <c r="C1944" s="122" t="s">
        <v>3321</v>
      </c>
      <c r="D1944" s="122">
        <v>0</v>
      </c>
    </row>
    <row r="1945" spans="2:4" x14ac:dyDescent="0.2">
      <c r="B1945" s="129" t="s">
        <v>3322</v>
      </c>
      <c r="C1945" s="122" t="s">
        <v>3323</v>
      </c>
      <c r="D1945" s="122">
        <v>3.2</v>
      </c>
    </row>
    <row r="1946" spans="2:4" x14ac:dyDescent="0.2">
      <c r="B1946" s="129" t="s">
        <v>3324</v>
      </c>
      <c r="C1946" s="122" t="s">
        <v>3325</v>
      </c>
      <c r="D1946" s="122">
        <v>9.0399999999999991</v>
      </c>
    </row>
    <row r="1947" spans="2:4" x14ac:dyDescent="0.2">
      <c r="B1947" s="129" t="s">
        <v>3326</v>
      </c>
      <c r="C1947" s="122" t="s">
        <v>3327</v>
      </c>
      <c r="D1947" s="122">
        <v>5.61</v>
      </c>
    </row>
    <row r="1948" spans="2:4" x14ac:dyDescent="0.2">
      <c r="B1948" s="129" t="s">
        <v>3328</v>
      </c>
      <c r="C1948" s="122" t="s">
        <v>3329</v>
      </c>
      <c r="D1948" s="122">
        <v>2.0099999999999998</v>
      </c>
    </row>
    <row r="1949" spans="2:4" x14ac:dyDescent="0.2">
      <c r="B1949" s="129" t="s">
        <v>4650</v>
      </c>
      <c r="C1949" s="122" t="s">
        <v>4651</v>
      </c>
      <c r="D1949" s="122">
        <v>2.11</v>
      </c>
    </row>
    <row r="1950" spans="2:4" x14ac:dyDescent="0.2">
      <c r="B1950" s="129" t="s">
        <v>3332</v>
      </c>
      <c r="C1950" s="122" t="s">
        <v>4652</v>
      </c>
      <c r="D1950" s="122">
        <v>3.01</v>
      </c>
    </row>
    <row r="1951" spans="2:4" x14ac:dyDescent="0.2">
      <c r="B1951" s="129" t="s">
        <v>4653</v>
      </c>
      <c r="C1951" s="122" t="s">
        <v>4654</v>
      </c>
      <c r="D1951" s="122">
        <v>1.49</v>
      </c>
    </row>
    <row r="1952" spans="2:4" x14ac:dyDescent="0.2">
      <c r="B1952" s="129" t="s">
        <v>3332</v>
      </c>
      <c r="C1952" s="122" t="s">
        <v>3333</v>
      </c>
      <c r="D1952" s="122">
        <v>3.21</v>
      </c>
    </row>
    <row r="1953" spans="2:4" x14ac:dyDescent="0.2">
      <c r="B1953" s="129" t="s">
        <v>3334</v>
      </c>
      <c r="C1953" s="122" t="s">
        <v>3335</v>
      </c>
      <c r="D1953" s="122">
        <v>0</v>
      </c>
    </row>
    <row r="1954" spans="2:4" x14ac:dyDescent="0.2">
      <c r="B1954" s="129" t="s">
        <v>3336</v>
      </c>
      <c r="C1954" s="122" t="s">
        <v>3337</v>
      </c>
      <c r="D1954" s="122">
        <v>5.01</v>
      </c>
    </row>
    <row r="1955" spans="2:4" x14ac:dyDescent="0.2">
      <c r="B1955" s="129" t="s">
        <v>3338</v>
      </c>
      <c r="C1955" s="122" t="s">
        <v>3339</v>
      </c>
      <c r="D1955" s="122">
        <v>0</v>
      </c>
    </row>
    <row r="1956" spans="2:4" x14ac:dyDescent="0.2">
      <c r="B1956" s="129" t="s">
        <v>3340</v>
      </c>
      <c r="C1956" s="122" t="s">
        <v>3341</v>
      </c>
      <c r="D1956" s="122">
        <v>5</v>
      </c>
    </row>
    <row r="1957" spans="2:4" x14ac:dyDescent="0.2">
      <c r="B1957" s="129" t="s">
        <v>3342</v>
      </c>
      <c r="C1957" s="122" t="s">
        <v>3343</v>
      </c>
      <c r="D1957" s="122">
        <v>4</v>
      </c>
    </row>
    <row r="1958" spans="2:4" x14ac:dyDescent="0.2">
      <c r="B1958" s="129" t="s">
        <v>3344</v>
      </c>
      <c r="C1958" s="122" t="s">
        <v>3345</v>
      </c>
      <c r="D1958" s="122">
        <v>0</v>
      </c>
    </row>
    <row r="1959" spans="2:4" x14ac:dyDescent="0.2">
      <c r="B1959" s="129" t="s">
        <v>3346</v>
      </c>
      <c r="C1959" s="122" t="s">
        <v>3347</v>
      </c>
      <c r="D1959" s="122">
        <v>3.51</v>
      </c>
    </row>
    <row r="1960" spans="2:4" x14ac:dyDescent="0.2">
      <c r="B1960" s="129" t="s">
        <v>3348</v>
      </c>
      <c r="C1960" s="122" t="s">
        <v>3349</v>
      </c>
      <c r="D1960" s="122">
        <v>4.3499999999999996</v>
      </c>
    </row>
    <row r="1961" spans="2:4" x14ac:dyDescent="0.2">
      <c r="B1961" s="129" t="s">
        <v>3350</v>
      </c>
      <c r="C1961" s="122" t="s">
        <v>3351</v>
      </c>
      <c r="D1961" s="122">
        <v>3.14</v>
      </c>
    </row>
    <row r="1962" spans="2:4" x14ac:dyDescent="0.2">
      <c r="B1962" s="129" t="s">
        <v>3352</v>
      </c>
      <c r="C1962" s="122" t="s">
        <v>3353</v>
      </c>
      <c r="D1962" s="122">
        <v>5.88</v>
      </c>
    </row>
    <row r="1963" spans="2:4" x14ac:dyDescent="0.2">
      <c r="B1963" s="129" t="s">
        <v>3354</v>
      </c>
      <c r="C1963" s="122" t="s">
        <v>3355</v>
      </c>
      <c r="D1963" s="122">
        <v>4.01</v>
      </c>
    </row>
    <row r="1964" spans="2:4" x14ac:dyDescent="0.2">
      <c r="B1964" s="129" t="s">
        <v>3356</v>
      </c>
      <c r="C1964" s="122" t="s">
        <v>3357</v>
      </c>
      <c r="D1964" s="122">
        <v>0.83</v>
      </c>
    </row>
    <row r="1965" spans="2:4" x14ac:dyDescent="0.2">
      <c r="B1965" s="129" t="s">
        <v>3360</v>
      </c>
      <c r="C1965" s="122" t="s">
        <v>3361</v>
      </c>
      <c r="D1965" s="122">
        <v>0</v>
      </c>
    </row>
    <row r="1966" spans="2:4" x14ac:dyDescent="0.2">
      <c r="B1966" s="129" t="s">
        <v>3362</v>
      </c>
      <c r="C1966" s="122" t="s">
        <v>3363</v>
      </c>
      <c r="D1966" s="122">
        <v>4.22</v>
      </c>
    </row>
    <row r="1967" spans="2:4" x14ac:dyDescent="0.2">
      <c r="B1967" s="129" t="s">
        <v>3364</v>
      </c>
      <c r="C1967" s="122" t="s">
        <v>3365</v>
      </c>
      <c r="D1967" s="122">
        <v>6.29</v>
      </c>
    </row>
    <row r="1968" spans="2:4" x14ac:dyDescent="0.2">
      <c r="B1968" s="129" t="s">
        <v>4655</v>
      </c>
      <c r="C1968" s="122" t="s">
        <v>4656</v>
      </c>
      <c r="D1968" s="122">
        <v>3.78</v>
      </c>
    </row>
    <row r="1969" spans="2:4" x14ac:dyDescent="0.2">
      <c r="B1969" s="129" t="s">
        <v>3366</v>
      </c>
      <c r="C1969" s="122" t="s">
        <v>3367</v>
      </c>
      <c r="D1969" s="122">
        <v>4.58</v>
      </c>
    </row>
    <row r="1970" spans="2:4" x14ac:dyDescent="0.2">
      <c r="B1970" s="129" t="s">
        <v>4657</v>
      </c>
      <c r="C1970" s="122" t="s">
        <v>4658</v>
      </c>
      <c r="D1970" s="122">
        <v>3.17</v>
      </c>
    </row>
    <row r="1971" spans="2:4" x14ac:dyDescent="0.2">
      <c r="B1971" s="129" t="s">
        <v>3368</v>
      </c>
      <c r="C1971" s="122" t="s">
        <v>3369</v>
      </c>
      <c r="D1971" s="122">
        <v>1.95</v>
      </c>
    </row>
    <row r="1972" spans="2:4" x14ac:dyDescent="0.2">
      <c r="B1972" s="129" t="s">
        <v>3370</v>
      </c>
      <c r="C1972" s="122" t="s">
        <v>3371</v>
      </c>
      <c r="D1972" s="122">
        <v>1.0900000000000001</v>
      </c>
    </row>
    <row r="1973" spans="2:4" x14ac:dyDescent="0.2">
      <c r="B1973" s="129" t="s">
        <v>3372</v>
      </c>
      <c r="C1973" s="122" t="s">
        <v>3373</v>
      </c>
      <c r="D1973" s="122">
        <v>0</v>
      </c>
    </row>
    <row r="1974" spans="2:4" x14ac:dyDescent="0.2">
      <c r="B1974" s="129" t="s">
        <v>3374</v>
      </c>
      <c r="C1974" s="122" t="s">
        <v>3375</v>
      </c>
      <c r="D1974" s="122">
        <v>0.63</v>
      </c>
    </row>
    <row r="1975" spans="2:4" x14ac:dyDescent="0.2">
      <c r="B1975" s="129" t="s">
        <v>3376</v>
      </c>
      <c r="C1975" s="122" t="s">
        <v>3377</v>
      </c>
      <c r="D1975" s="122">
        <v>0</v>
      </c>
    </row>
    <row r="1976" spans="2:4" x14ac:dyDescent="0.2">
      <c r="B1976" s="129" t="s">
        <v>3378</v>
      </c>
      <c r="C1976" s="122" t="s">
        <v>3379</v>
      </c>
      <c r="D1976" s="122">
        <v>0</v>
      </c>
    </row>
    <row r="1977" spans="2:4" x14ac:dyDescent="0.2">
      <c r="B1977" s="129" t="s">
        <v>3380</v>
      </c>
      <c r="C1977" s="122" t="s">
        <v>3381</v>
      </c>
      <c r="D1977" s="122">
        <v>0</v>
      </c>
    </row>
    <row r="1978" spans="2:4" x14ac:dyDescent="0.2">
      <c r="B1978" s="129" t="s">
        <v>3382</v>
      </c>
      <c r="C1978" s="122" t="s">
        <v>3383</v>
      </c>
      <c r="D1978" s="122">
        <v>0.61</v>
      </c>
    </row>
    <row r="1979" spans="2:4" x14ac:dyDescent="0.2">
      <c r="B1979" s="129" t="s">
        <v>3384</v>
      </c>
      <c r="C1979" s="122" t="s">
        <v>3385</v>
      </c>
      <c r="D1979" s="122">
        <v>1.84</v>
      </c>
    </row>
    <row r="1980" spans="2:4" x14ac:dyDescent="0.2">
      <c r="B1980" s="129" t="s">
        <v>4659</v>
      </c>
      <c r="C1980" s="122" t="s">
        <v>4660</v>
      </c>
      <c r="D1980" s="122">
        <v>2.27</v>
      </c>
    </row>
    <row r="1981" spans="2:4" x14ac:dyDescent="0.2">
      <c r="B1981" s="129" t="s">
        <v>3386</v>
      </c>
      <c r="C1981" s="122" t="s">
        <v>3387</v>
      </c>
      <c r="D1981" s="122">
        <v>4.3899999999999997</v>
      </c>
    </row>
    <row r="1982" spans="2:4" x14ac:dyDescent="0.2">
      <c r="B1982" s="129" t="s">
        <v>3388</v>
      </c>
      <c r="C1982" s="122" t="s">
        <v>3389</v>
      </c>
      <c r="D1982" s="122">
        <v>1.92</v>
      </c>
    </row>
    <row r="1983" spans="2:4" x14ac:dyDescent="0.2">
      <c r="B1983" s="129" t="s">
        <v>3390</v>
      </c>
      <c r="C1983" s="122" t="s">
        <v>3391</v>
      </c>
      <c r="D1983" s="122">
        <v>1.94</v>
      </c>
    </row>
    <row r="1984" spans="2:4" x14ac:dyDescent="0.2">
      <c r="B1984" s="129" t="s">
        <v>4661</v>
      </c>
      <c r="C1984" s="122" t="s">
        <v>4662</v>
      </c>
      <c r="D1984" s="122">
        <v>0.86</v>
      </c>
    </row>
    <row r="1985" spans="2:4" x14ac:dyDescent="0.2">
      <c r="B1985" s="129" t="s">
        <v>4663</v>
      </c>
      <c r="C1985" s="122" t="s">
        <v>4664</v>
      </c>
      <c r="D1985" s="122">
        <v>2.64</v>
      </c>
    </row>
    <row r="1986" spans="2:4" x14ac:dyDescent="0.2">
      <c r="B1986" s="129" t="s">
        <v>3392</v>
      </c>
      <c r="C1986" s="122" t="s">
        <v>3393</v>
      </c>
      <c r="D1986" s="122">
        <v>4</v>
      </c>
    </row>
    <row r="1987" spans="2:4" x14ac:dyDescent="0.2">
      <c r="B1987" s="129" t="s">
        <v>3394</v>
      </c>
      <c r="C1987" s="122" t="s">
        <v>3395</v>
      </c>
      <c r="D1987" s="122">
        <v>0</v>
      </c>
    </row>
    <row r="1988" spans="2:4" x14ac:dyDescent="0.2">
      <c r="B1988" s="129" t="s">
        <v>3396</v>
      </c>
      <c r="C1988" s="122" t="s">
        <v>3397</v>
      </c>
      <c r="D1988" s="122">
        <v>0.65</v>
      </c>
    </row>
    <row r="1989" spans="2:4" x14ac:dyDescent="0.2">
      <c r="B1989" s="129" t="s">
        <v>3398</v>
      </c>
      <c r="C1989" s="122" t="s">
        <v>3399</v>
      </c>
      <c r="D1989" s="122">
        <v>2.17</v>
      </c>
    </row>
    <row r="1990" spans="2:4" x14ac:dyDescent="0.2">
      <c r="B1990" s="129" t="s">
        <v>3400</v>
      </c>
      <c r="C1990" s="122" t="s">
        <v>3401</v>
      </c>
      <c r="D1990" s="122">
        <v>0</v>
      </c>
    </row>
    <row r="1991" spans="2:4" x14ac:dyDescent="0.2">
      <c r="B1991" s="129" t="s">
        <v>3402</v>
      </c>
      <c r="C1991" s="122" t="s">
        <v>3403</v>
      </c>
      <c r="D1991" s="122">
        <v>0</v>
      </c>
    </row>
    <row r="1992" spans="2:4" x14ac:dyDescent="0.2">
      <c r="B1992" s="129" t="s">
        <v>4665</v>
      </c>
      <c r="C1992" s="122" t="s">
        <v>4666</v>
      </c>
      <c r="D1992" s="122">
        <v>3.33</v>
      </c>
    </row>
    <row r="1993" spans="2:4" x14ac:dyDescent="0.2">
      <c r="B1993" s="129" t="s">
        <v>3404</v>
      </c>
      <c r="C1993" s="122" t="s">
        <v>3405</v>
      </c>
      <c r="D1993" s="122">
        <v>0</v>
      </c>
    </row>
    <row r="1994" spans="2:4" x14ac:dyDescent="0.2">
      <c r="B1994" s="129" t="s">
        <v>3406</v>
      </c>
      <c r="C1994" s="122" t="s">
        <v>3407</v>
      </c>
      <c r="D1994" s="122">
        <v>6.43</v>
      </c>
    </row>
    <row r="1995" spans="2:4" x14ac:dyDescent="0.2">
      <c r="B1995" s="129" t="s">
        <v>3408</v>
      </c>
      <c r="C1995" s="122" t="s">
        <v>3409</v>
      </c>
      <c r="D1995" s="122">
        <v>3.31</v>
      </c>
    </row>
    <row r="1996" spans="2:4" x14ac:dyDescent="0.2">
      <c r="B1996" s="129" t="s">
        <v>4667</v>
      </c>
      <c r="C1996" s="122" t="s">
        <v>4668</v>
      </c>
      <c r="D1996" s="122">
        <v>0.08</v>
      </c>
    </row>
    <row r="1997" spans="2:4" x14ac:dyDescent="0.2">
      <c r="B1997" s="129" t="s">
        <v>3410</v>
      </c>
      <c r="C1997" s="122" t="s">
        <v>3411</v>
      </c>
      <c r="D1997" s="122">
        <v>0</v>
      </c>
    </row>
    <row r="1998" spans="2:4" x14ac:dyDescent="0.2">
      <c r="B1998" s="129" t="s">
        <v>3412</v>
      </c>
      <c r="C1998" s="122" t="s">
        <v>3413</v>
      </c>
      <c r="D1998" s="122">
        <v>0.71</v>
      </c>
    </row>
    <row r="1999" spans="2:4" x14ac:dyDescent="0.2">
      <c r="B1999" s="129" t="s">
        <v>3414</v>
      </c>
      <c r="C1999" s="122" t="s">
        <v>3415</v>
      </c>
      <c r="D1999" s="122">
        <v>0</v>
      </c>
    </row>
    <row r="2000" spans="2:4" x14ac:dyDescent="0.2">
      <c r="B2000" s="129" t="s">
        <v>3416</v>
      </c>
      <c r="C2000" s="122" t="s">
        <v>3417</v>
      </c>
      <c r="D2000" s="122">
        <v>3.3</v>
      </c>
    </row>
    <row r="2001" spans="2:4" x14ac:dyDescent="0.2">
      <c r="B2001" s="129" t="s">
        <v>3418</v>
      </c>
      <c r="C2001" s="122" t="s">
        <v>3419</v>
      </c>
      <c r="D2001" s="122">
        <v>2.52</v>
      </c>
    </row>
    <row r="2002" spans="2:4" x14ac:dyDescent="0.2">
      <c r="B2002" s="129" t="s">
        <v>3420</v>
      </c>
      <c r="C2002" s="122" t="s">
        <v>3421</v>
      </c>
      <c r="D2002" s="122">
        <v>3.76</v>
      </c>
    </row>
    <row r="2003" spans="2:4" x14ac:dyDescent="0.2">
      <c r="B2003" s="129" t="s">
        <v>4669</v>
      </c>
      <c r="C2003" s="122" t="s">
        <v>4670</v>
      </c>
      <c r="D2003" s="122">
        <v>4</v>
      </c>
    </row>
    <row r="2004" spans="2:4" x14ac:dyDescent="0.2">
      <c r="B2004" s="129" t="s">
        <v>3422</v>
      </c>
      <c r="C2004" s="122" t="s">
        <v>3423</v>
      </c>
      <c r="D2004" s="122">
        <v>3.92</v>
      </c>
    </row>
    <row r="2005" spans="2:4" x14ac:dyDescent="0.2">
      <c r="B2005" s="129" t="s">
        <v>3424</v>
      </c>
      <c r="C2005" s="122" t="s">
        <v>3425</v>
      </c>
      <c r="D2005" s="122">
        <v>1.93</v>
      </c>
    </row>
    <row r="2006" spans="2:4" x14ac:dyDescent="0.2">
      <c r="B2006" s="129" t="s">
        <v>3426</v>
      </c>
      <c r="C2006" s="122" t="s">
        <v>3427</v>
      </c>
      <c r="D2006" s="122">
        <v>9.36</v>
      </c>
    </row>
    <row r="2007" spans="2:4" x14ac:dyDescent="0.2">
      <c r="B2007" s="129" t="s">
        <v>3428</v>
      </c>
      <c r="C2007" s="122" t="s">
        <v>3429</v>
      </c>
      <c r="D2007" s="122">
        <v>0</v>
      </c>
    </row>
    <row r="2008" spans="2:4" x14ac:dyDescent="0.2">
      <c r="B2008" s="129" t="s">
        <v>3430</v>
      </c>
      <c r="C2008" s="122" t="s">
        <v>3431</v>
      </c>
      <c r="D2008" s="122">
        <v>4.58</v>
      </c>
    </row>
    <row r="2009" spans="2:4" x14ac:dyDescent="0.2">
      <c r="B2009" s="129" t="s">
        <v>3432</v>
      </c>
      <c r="C2009" s="122" t="s">
        <v>3433</v>
      </c>
      <c r="D2009" s="122">
        <v>4.1900000000000004</v>
      </c>
    </row>
    <row r="2010" spans="2:4" x14ac:dyDescent="0.2">
      <c r="B2010" s="129" t="s">
        <v>3434</v>
      </c>
      <c r="C2010" s="122" t="s">
        <v>3435</v>
      </c>
      <c r="D2010" s="122">
        <v>2.1800000000000002</v>
      </c>
    </row>
    <row r="2011" spans="2:4" x14ac:dyDescent="0.2">
      <c r="B2011" s="129" t="s">
        <v>3436</v>
      </c>
      <c r="C2011" s="122" t="s">
        <v>3437</v>
      </c>
      <c r="D2011" s="122">
        <v>3.23</v>
      </c>
    </row>
    <row r="2012" spans="2:4" x14ac:dyDescent="0.2">
      <c r="B2012" s="129" t="s">
        <v>3438</v>
      </c>
      <c r="C2012" s="122" t="s">
        <v>3439</v>
      </c>
      <c r="D2012" s="122">
        <v>0</v>
      </c>
    </row>
    <row r="2013" spans="2:4" x14ac:dyDescent="0.2">
      <c r="B2013" s="129" t="s">
        <v>3440</v>
      </c>
      <c r="C2013" s="122" t="s">
        <v>3441</v>
      </c>
      <c r="D2013" s="122">
        <v>0.28000000000000003</v>
      </c>
    </row>
    <row r="2014" spans="2:4" x14ac:dyDescent="0.2">
      <c r="B2014" s="129" t="s">
        <v>3442</v>
      </c>
      <c r="C2014" s="122" t="s">
        <v>3443</v>
      </c>
      <c r="D2014" s="122">
        <v>0</v>
      </c>
    </row>
    <row r="2015" spans="2:4" x14ac:dyDescent="0.2">
      <c r="B2015" s="129" t="s">
        <v>3444</v>
      </c>
      <c r="C2015" s="122" t="s">
        <v>3445</v>
      </c>
      <c r="D2015" s="122">
        <v>1.45</v>
      </c>
    </row>
    <row r="2016" spans="2:4" x14ac:dyDescent="0.2">
      <c r="B2016" s="129" t="s">
        <v>3446</v>
      </c>
      <c r="C2016" s="122" t="s">
        <v>3447</v>
      </c>
      <c r="D2016" s="122">
        <v>1.61</v>
      </c>
    </row>
    <row r="2017" spans="2:4" x14ac:dyDescent="0.2">
      <c r="B2017" s="129" t="s">
        <v>4671</v>
      </c>
      <c r="C2017" s="122" t="s">
        <v>4672</v>
      </c>
      <c r="D2017" s="122">
        <v>1.39</v>
      </c>
    </row>
    <row r="2018" spans="2:4" x14ac:dyDescent="0.2">
      <c r="B2018" s="129" t="s">
        <v>3448</v>
      </c>
      <c r="C2018" s="122" t="s">
        <v>3449</v>
      </c>
      <c r="D2018" s="122">
        <v>1.32</v>
      </c>
    </row>
    <row r="2019" spans="2:4" x14ac:dyDescent="0.2">
      <c r="B2019" s="129" t="s">
        <v>4673</v>
      </c>
      <c r="C2019" s="122" t="s">
        <v>4674</v>
      </c>
      <c r="D2019" s="122">
        <v>2.25</v>
      </c>
    </row>
    <row r="2020" spans="2:4" x14ac:dyDescent="0.2">
      <c r="B2020" s="129" t="s">
        <v>3450</v>
      </c>
      <c r="C2020" s="122" t="s">
        <v>3451</v>
      </c>
      <c r="D2020" s="122">
        <v>1.78</v>
      </c>
    </row>
    <row r="2021" spans="2:4" x14ac:dyDescent="0.2">
      <c r="B2021" s="129" t="s">
        <v>3452</v>
      </c>
      <c r="C2021" s="122" t="s">
        <v>3453</v>
      </c>
      <c r="D2021" s="122">
        <v>6.15</v>
      </c>
    </row>
    <row r="2022" spans="2:4" x14ac:dyDescent="0.2">
      <c r="B2022" s="129" t="s">
        <v>3454</v>
      </c>
      <c r="C2022" s="122" t="s">
        <v>3455</v>
      </c>
      <c r="D2022" s="122">
        <v>1.77</v>
      </c>
    </row>
    <row r="2023" spans="2:4" x14ac:dyDescent="0.2">
      <c r="B2023" s="129" t="s">
        <v>3456</v>
      </c>
      <c r="C2023" s="122" t="s">
        <v>21</v>
      </c>
      <c r="D2023" s="122">
        <v>1.81</v>
      </c>
    </row>
    <row r="2024" spans="2:4" x14ac:dyDescent="0.2">
      <c r="B2024" s="129" t="s">
        <v>4675</v>
      </c>
      <c r="C2024" s="122" t="s">
        <v>4676</v>
      </c>
      <c r="D2024" s="122">
        <v>1.92</v>
      </c>
    </row>
    <row r="2025" spans="2:4" x14ac:dyDescent="0.2">
      <c r="B2025" s="129" t="s">
        <v>3457</v>
      </c>
      <c r="C2025" s="122" t="s">
        <v>3458</v>
      </c>
      <c r="D2025" s="122">
        <v>0</v>
      </c>
    </row>
    <row r="2026" spans="2:4" x14ac:dyDescent="0.2">
      <c r="B2026" s="129" t="s">
        <v>4677</v>
      </c>
      <c r="C2026" s="122" t="s">
        <v>4678</v>
      </c>
      <c r="D2026" s="122">
        <v>3.12</v>
      </c>
    </row>
    <row r="2027" spans="2:4" x14ac:dyDescent="0.2">
      <c r="B2027" s="129" t="s">
        <v>4679</v>
      </c>
      <c r="C2027" s="122" t="s">
        <v>4680</v>
      </c>
      <c r="D2027" s="122">
        <v>0</v>
      </c>
    </row>
    <row r="2028" spans="2:4" x14ac:dyDescent="0.2">
      <c r="B2028" s="129" t="s">
        <v>3459</v>
      </c>
      <c r="C2028" s="122" t="s">
        <v>3460</v>
      </c>
      <c r="D2028" s="122">
        <v>4.59</v>
      </c>
    </row>
    <row r="2029" spans="2:4" x14ac:dyDescent="0.2">
      <c r="B2029" s="129" t="s">
        <v>3461</v>
      </c>
      <c r="C2029" s="122" t="s">
        <v>3462</v>
      </c>
      <c r="D2029" s="122">
        <v>1.31</v>
      </c>
    </row>
    <row r="2030" spans="2:4" x14ac:dyDescent="0.2">
      <c r="B2030" s="129" t="s">
        <v>3463</v>
      </c>
      <c r="C2030" s="122" t="s">
        <v>3464</v>
      </c>
      <c r="D2030" s="122">
        <v>7.55</v>
      </c>
    </row>
    <row r="2031" spans="2:4" x14ac:dyDescent="0.2">
      <c r="B2031" s="129" t="s">
        <v>3465</v>
      </c>
      <c r="C2031" s="122" t="s">
        <v>3466</v>
      </c>
      <c r="D2031" s="122">
        <v>0</v>
      </c>
    </row>
    <row r="2032" spans="2:4" x14ac:dyDescent="0.2">
      <c r="B2032" s="129" t="s">
        <v>3467</v>
      </c>
      <c r="C2032" s="122" t="s">
        <v>3468</v>
      </c>
      <c r="D2032" s="122">
        <v>0.61</v>
      </c>
    </row>
    <row r="2033" spans="2:4" x14ac:dyDescent="0.2">
      <c r="B2033" s="129" t="s">
        <v>3469</v>
      </c>
      <c r="C2033" s="122" t="s">
        <v>3470</v>
      </c>
      <c r="D2033" s="122">
        <v>5.51</v>
      </c>
    </row>
    <row r="2034" spans="2:4" x14ac:dyDescent="0.2">
      <c r="B2034" s="129" t="s">
        <v>3471</v>
      </c>
      <c r="C2034" s="122" t="s">
        <v>3472</v>
      </c>
      <c r="D2034" s="122">
        <v>5.07</v>
      </c>
    </row>
    <row r="2035" spans="2:4" x14ac:dyDescent="0.2">
      <c r="B2035" s="129" t="s">
        <v>4681</v>
      </c>
      <c r="C2035" s="122" t="s">
        <v>4682</v>
      </c>
      <c r="D2035" s="122">
        <v>2.79</v>
      </c>
    </row>
    <row r="2036" spans="2:4" x14ac:dyDescent="0.2">
      <c r="B2036" s="129" t="s">
        <v>3473</v>
      </c>
      <c r="C2036" s="122" t="s">
        <v>3474</v>
      </c>
      <c r="D2036" s="122">
        <v>2.95</v>
      </c>
    </row>
    <row r="2037" spans="2:4" x14ac:dyDescent="0.2">
      <c r="B2037" s="129" t="s">
        <v>3475</v>
      </c>
      <c r="C2037" s="122" t="s">
        <v>3476</v>
      </c>
      <c r="D2037" s="122">
        <v>3.89</v>
      </c>
    </row>
    <row r="2038" spans="2:4" x14ac:dyDescent="0.2">
      <c r="B2038" s="129" t="s">
        <v>3475</v>
      </c>
      <c r="C2038" s="122" t="s">
        <v>4683</v>
      </c>
      <c r="D2038" s="122">
        <v>3.76</v>
      </c>
    </row>
    <row r="2039" spans="2:4" x14ac:dyDescent="0.2">
      <c r="B2039" s="129" t="s">
        <v>3477</v>
      </c>
      <c r="C2039" s="122" t="s">
        <v>3478</v>
      </c>
      <c r="D2039" s="122">
        <v>0.42</v>
      </c>
    </row>
    <row r="2040" spans="2:4" x14ac:dyDescent="0.2">
      <c r="B2040" s="129" t="s">
        <v>3479</v>
      </c>
      <c r="C2040" s="122" t="s">
        <v>3480</v>
      </c>
      <c r="D2040" s="122">
        <v>1.52</v>
      </c>
    </row>
    <row r="2041" spans="2:4" x14ac:dyDescent="0.2">
      <c r="B2041" s="129" t="s">
        <v>4684</v>
      </c>
      <c r="C2041" s="122" t="s">
        <v>4685</v>
      </c>
      <c r="D2041" s="122">
        <v>1.05</v>
      </c>
    </row>
    <row r="2042" spans="2:4" x14ac:dyDescent="0.2">
      <c r="B2042" s="129" t="s">
        <v>4686</v>
      </c>
      <c r="C2042" s="122" t="s">
        <v>4687</v>
      </c>
      <c r="D2042" s="122">
        <v>0.09</v>
      </c>
    </row>
    <row r="2043" spans="2:4" x14ac:dyDescent="0.2">
      <c r="B2043" s="129" t="s">
        <v>3481</v>
      </c>
      <c r="C2043" s="122" t="s">
        <v>3482</v>
      </c>
      <c r="D2043" s="122">
        <v>2.11</v>
      </c>
    </row>
    <row r="2044" spans="2:4" x14ac:dyDescent="0.2">
      <c r="B2044" s="129" t="s">
        <v>3483</v>
      </c>
      <c r="C2044" s="122" t="s">
        <v>3484</v>
      </c>
      <c r="D2044" s="122">
        <v>0.97</v>
      </c>
    </row>
    <row r="2045" spans="2:4" x14ac:dyDescent="0.2">
      <c r="B2045" s="129" t="s">
        <v>3485</v>
      </c>
      <c r="C2045" s="122" t="s">
        <v>3486</v>
      </c>
      <c r="D2045" s="122">
        <v>3.55</v>
      </c>
    </row>
    <row r="2046" spans="2:4" x14ac:dyDescent="0.2">
      <c r="B2046" s="129" t="s">
        <v>3487</v>
      </c>
      <c r="C2046" s="122" t="s">
        <v>3488</v>
      </c>
      <c r="D2046" s="122">
        <v>0</v>
      </c>
    </row>
    <row r="2047" spans="2:4" x14ac:dyDescent="0.2">
      <c r="B2047" s="129" t="s">
        <v>3489</v>
      </c>
      <c r="C2047" s="122" t="s">
        <v>3490</v>
      </c>
      <c r="D2047" s="122">
        <v>0.6</v>
      </c>
    </row>
    <row r="2048" spans="2:4" x14ac:dyDescent="0.2">
      <c r="B2048" s="129" t="s">
        <v>3491</v>
      </c>
      <c r="C2048" s="122" t="s">
        <v>3492</v>
      </c>
      <c r="D2048" s="122">
        <v>0.65</v>
      </c>
    </row>
    <row r="2049" spans="2:4" x14ac:dyDescent="0.2">
      <c r="B2049" s="129" t="s">
        <v>4688</v>
      </c>
      <c r="C2049" s="122" t="s">
        <v>4689</v>
      </c>
      <c r="D2049" s="122">
        <v>0</v>
      </c>
    </row>
    <row r="2050" spans="2:4" x14ac:dyDescent="0.2">
      <c r="B2050" s="129" t="s">
        <v>4690</v>
      </c>
      <c r="C2050" s="122" t="s">
        <v>4691</v>
      </c>
      <c r="D2050" s="122">
        <v>5.88</v>
      </c>
    </row>
    <row r="2051" spans="2:4" x14ac:dyDescent="0.2">
      <c r="B2051" s="129" t="s">
        <v>3493</v>
      </c>
      <c r="C2051" s="122" t="s">
        <v>3494</v>
      </c>
      <c r="D2051" s="122">
        <v>4.92</v>
      </c>
    </row>
    <row r="2052" spans="2:4" x14ac:dyDescent="0.2">
      <c r="B2052" s="129" t="s">
        <v>3495</v>
      </c>
      <c r="C2052" s="122" t="s">
        <v>3496</v>
      </c>
      <c r="D2052" s="122">
        <v>3.87</v>
      </c>
    </row>
    <row r="2053" spans="2:4" x14ac:dyDescent="0.2">
      <c r="B2053" s="129" t="s">
        <v>4692</v>
      </c>
      <c r="C2053" s="122" t="s">
        <v>4693</v>
      </c>
      <c r="D2053" s="122">
        <v>0</v>
      </c>
    </row>
    <row r="2054" spans="2:4" x14ac:dyDescent="0.2">
      <c r="B2054" s="129" t="s">
        <v>3497</v>
      </c>
      <c r="C2054" s="122" t="s">
        <v>3498</v>
      </c>
      <c r="D2054" s="122">
        <v>3.68</v>
      </c>
    </row>
    <row r="2055" spans="2:4" x14ac:dyDescent="0.2">
      <c r="B2055" s="129" t="s">
        <v>4694</v>
      </c>
      <c r="C2055" s="122" t="s">
        <v>4695</v>
      </c>
      <c r="D2055" s="122">
        <v>0.1</v>
      </c>
    </row>
    <row r="2056" spans="2:4" x14ac:dyDescent="0.2">
      <c r="B2056" s="129" t="s">
        <v>3499</v>
      </c>
      <c r="C2056" s="122" t="s">
        <v>3500</v>
      </c>
      <c r="D2056" s="122">
        <v>1.58</v>
      </c>
    </row>
    <row r="2057" spans="2:4" x14ac:dyDescent="0.2">
      <c r="B2057" s="129" t="s">
        <v>3501</v>
      </c>
      <c r="C2057" s="122" t="s">
        <v>3502</v>
      </c>
      <c r="D2057" s="122">
        <v>2.5099999999999998</v>
      </c>
    </row>
    <row r="2058" spans="2:4" x14ac:dyDescent="0.2">
      <c r="B2058" s="129" t="s">
        <v>4696</v>
      </c>
      <c r="C2058" s="122" t="s">
        <v>4697</v>
      </c>
      <c r="D2058" s="122">
        <v>2.04</v>
      </c>
    </row>
    <row r="2059" spans="2:4" x14ac:dyDescent="0.2">
      <c r="B2059" s="129" t="s">
        <v>4698</v>
      </c>
      <c r="C2059" s="122" t="s">
        <v>4699</v>
      </c>
      <c r="D2059" s="122">
        <v>1.95</v>
      </c>
    </row>
    <row r="2060" spans="2:4" x14ac:dyDescent="0.2">
      <c r="B2060" s="129" t="s">
        <v>3503</v>
      </c>
      <c r="C2060" s="122" t="s">
        <v>3504</v>
      </c>
      <c r="D2060" s="122">
        <v>1.53</v>
      </c>
    </row>
    <row r="2061" spans="2:4" x14ac:dyDescent="0.2">
      <c r="B2061" s="129" t="s">
        <v>4700</v>
      </c>
      <c r="C2061" s="122" t="s">
        <v>4701</v>
      </c>
      <c r="D2061" s="122">
        <v>2.9</v>
      </c>
    </row>
    <row r="2062" spans="2:4" x14ac:dyDescent="0.2">
      <c r="B2062" s="129" t="s">
        <v>4702</v>
      </c>
      <c r="C2062" s="122" t="s">
        <v>4703</v>
      </c>
      <c r="D2062" s="122">
        <v>1.26</v>
      </c>
    </row>
    <row r="2063" spans="2:4" x14ac:dyDescent="0.2">
      <c r="B2063" s="129" t="s">
        <v>3505</v>
      </c>
      <c r="C2063" s="122" t="s">
        <v>3506</v>
      </c>
      <c r="D2063" s="122">
        <v>1.34</v>
      </c>
    </row>
    <row r="2064" spans="2:4" x14ac:dyDescent="0.2">
      <c r="B2064" s="129" t="s">
        <v>3507</v>
      </c>
      <c r="C2064" s="122" t="s">
        <v>22</v>
      </c>
      <c r="D2064" s="122">
        <v>4.83</v>
      </c>
    </row>
    <row r="2065" spans="2:4" x14ac:dyDescent="0.2">
      <c r="B2065" s="129" t="s">
        <v>3508</v>
      </c>
      <c r="C2065" s="122" t="s">
        <v>3509</v>
      </c>
      <c r="D2065" s="122">
        <v>0</v>
      </c>
    </row>
    <row r="2066" spans="2:4" x14ac:dyDescent="0.2">
      <c r="B2066" s="129" t="s">
        <v>3510</v>
      </c>
      <c r="C2066" s="122" t="s">
        <v>3511</v>
      </c>
      <c r="D2066" s="122">
        <v>0.68</v>
      </c>
    </row>
    <row r="2067" spans="2:4" x14ac:dyDescent="0.2">
      <c r="B2067" s="129" t="s">
        <v>3512</v>
      </c>
      <c r="C2067" s="122" t="s">
        <v>3513</v>
      </c>
      <c r="D2067" s="122">
        <v>3.37</v>
      </c>
    </row>
    <row r="2068" spans="2:4" x14ac:dyDescent="0.2">
      <c r="B2068" s="129" t="s">
        <v>4704</v>
      </c>
      <c r="C2068" s="122" t="s">
        <v>4705</v>
      </c>
      <c r="D2068" s="122">
        <v>0</v>
      </c>
    </row>
    <row r="2069" spans="2:4" x14ac:dyDescent="0.2">
      <c r="B2069" s="129" t="s">
        <v>3514</v>
      </c>
      <c r="C2069" s="122" t="s">
        <v>3515</v>
      </c>
      <c r="D2069" s="122">
        <v>1.24</v>
      </c>
    </row>
    <row r="2070" spans="2:4" x14ac:dyDescent="0.2">
      <c r="B2070" s="129" t="s">
        <v>3516</v>
      </c>
      <c r="C2070" s="122" t="s">
        <v>3517</v>
      </c>
      <c r="D2070" s="122">
        <v>0</v>
      </c>
    </row>
    <row r="2071" spans="2:4" x14ac:dyDescent="0.2">
      <c r="B2071" s="129" t="s">
        <v>3518</v>
      </c>
      <c r="C2071" s="122" t="s">
        <v>3519</v>
      </c>
      <c r="D2071" s="122">
        <v>4.05</v>
      </c>
    </row>
    <row r="2072" spans="2:4" x14ac:dyDescent="0.2">
      <c r="B2072" s="129" t="s">
        <v>3520</v>
      </c>
      <c r="C2072" s="122" t="s">
        <v>3521</v>
      </c>
      <c r="D2072" s="122">
        <v>0</v>
      </c>
    </row>
    <row r="2073" spans="2:4" x14ac:dyDescent="0.2">
      <c r="B2073" s="129" t="s">
        <v>4706</v>
      </c>
      <c r="C2073" s="122" t="s">
        <v>4707</v>
      </c>
      <c r="D2073" s="122">
        <v>1.31</v>
      </c>
    </row>
    <row r="2074" spans="2:4" x14ac:dyDescent="0.2">
      <c r="B2074" s="129" t="s">
        <v>4708</v>
      </c>
      <c r="C2074" s="122" t="s">
        <v>4709</v>
      </c>
      <c r="D2074" s="122">
        <v>0.98</v>
      </c>
    </row>
    <row r="2075" spans="2:4" x14ac:dyDescent="0.2">
      <c r="B2075" s="129" t="s">
        <v>3522</v>
      </c>
      <c r="C2075" s="122" t="s">
        <v>3523</v>
      </c>
      <c r="D2075" s="122">
        <v>0</v>
      </c>
    </row>
    <row r="2076" spans="2:4" x14ac:dyDescent="0.2">
      <c r="B2076" s="129" t="s">
        <v>3524</v>
      </c>
      <c r="C2076" s="122" t="s">
        <v>3525</v>
      </c>
      <c r="D2076" s="122">
        <v>1.52</v>
      </c>
    </row>
    <row r="2077" spans="2:4" x14ac:dyDescent="0.2">
      <c r="B2077" s="129" t="s">
        <v>4710</v>
      </c>
      <c r="C2077" s="122" t="s">
        <v>4711</v>
      </c>
      <c r="D2077" s="122">
        <v>3.36</v>
      </c>
    </row>
    <row r="2078" spans="2:4" x14ac:dyDescent="0.2">
      <c r="B2078" s="129" t="s">
        <v>3526</v>
      </c>
      <c r="C2078" s="122" t="s">
        <v>3527</v>
      </c>
      <c r="D2078" s="122">
        <v>1.5</v>
      </c>
    </row>
    <row r="2079" spans="2:4" x14ac:dyDescent="0.2">
      <c r="B2079" s="129" t="s">
        <v>3528</v>
      </c>
      <c r="C2079" s="122" t="s">
        <v>3529</v>
      </c>
      <c r="D2079" s="122">
        <v>1.07</v>
      </c>
    </row>
    <row r="2080" spans="2:4" x14ac:dyDescent="0.2">
      <c r="B2080" s="129" t="s">
        <v>3530</v>
      </c>
      <c r="C2080" s="122" t="s">
        <v>3531</v>
      </c>
      <c r="D2080" s="122">
        <v>0</v>
      </c>
    </row>
    <row r="2081" spans="2:4" x14ac:dyDescent="0.2">
      <c r="B2081" s="129" t="s">
        <v>4712</v>
      </c>
      <c r="C2081" s="122" t="s">
        <v>4713</v>
      </c>
      <c r="D2081" s="122">
        <v>6.45</v>
      </c>
    </row>
    <row r="2082" spans="2:4" x14ac:dyDescent="0.2">
      <c r="B2082" s="129" t="s">
        <v>4714</v>
      </c>
      <c r="C2082" s="122" t="s">
        <v>4715</v>
      </c>
      <c r="D2082" s="122">
        <v>0</v>
      </c>
    </row>
    <row r="2083" spans="2:4" x14ac:dyDescent="0.2">
      <c r="B2083" s="129" t="s">
        <v>3532</v>
      </c>
      <c r="C2083" s="122" t="s">
        <v>3533</v>
      </c>
      <c r="D2083" s="122">
        <v>0</v>
      </c>
    </row>
    <row r="2084" spans="2:4" x14ac:dyDescent="0.2">
      <c r="B2084" s="129" t="s">
        <v>3534</v>
      </c>
      <c r="C2084" s="122" t="s">
        <v>3535</v>
      </c>
      <c r="D2084" s="122">
        <v>0.68</v>
      </c>
    </row>
    <row r="2085" spans="2:4" x14ac:dyDescent="0.2">
      <c r="B2085" s="129" t="s">
        <v>3536</v>
      </c>
      <c r="C2085" s="122" t="s">
        <v>3537</v>
      </c>
      <c r="D2085" s="122">
        <v>0</v>
      </c>
    </row>
    <row r="2086" spans="2:4" x14ac:dyDescent="0.2">
      <c r="B2086" s="129" t="s">
        <v>3538</v>
      </c>
      <c r="C2086" s="122" t="s">
        <v>3539</v>
      </c>
      <c r="D2086" s="122">
        <v>0</v>
      </c>
    </row>
    <row r="2087" spans="2:4" x14ac:dyDescent="0.2">
      <c r="B2087" s="129" t="s">
        <v>4714</v>
      </c>
      <c r="C2087" s="122" t="s">
        <v>4716</v>
      </c>
      <c r="D2087" s="122">
        <v>0</v>
      </c>
    </row>
    <row r="2088" spans="2:4" x14ac:dyDescent="0.2">
      <c r="B2088" s="129" t="s">
        <v>3540</v>
      </c>
      <c r="C2088" s="122" t="s">
        <v>3541</v>
      </c>
      <c r="D2088" s="122">
        <v>3.06</v>
      </c>
    </row>
    <row r="2089" spans="2:4" x14ac:dyDescent="0.2">
      <c r="B2089" s="129" t="s">
        <v>4717</v>
      </c>
      <c r="C2089" s="122" t="s">
        <v>4718</v>
      </c>
      <c r="D2089" s="122">
        <v>0</v>
      </c>
    </row>
    <row r="2090" spans="2:4" x14ac:dyDescent="0.2">
      <c r="B2090" s="129" t="s">
        <v>4719</v>
      </c>
      <c r="C2090" s="122" t="s">
        <v>4720</v>
      </c>
      <c r="D2090" s="122">
        <v>0</v>
      </c>
    </row>
    <row r="2091" spans="2:4" x14ac:dyDescent="0.2">
      <c r="B2091" s="129" t="s">
        <v>3542</v>
      </c>
      <c r="C2091" s="122" t="s">
        <v>3543</v>
      </c>
      <c r="D2091" s="122">
        <v>0</v>
      </c>
    </row>
    <row r="2092" spans="2:4" x14ac:dyDescent="0.2">
      <c r="B2092" s="129" t="s">
        <v>3544</v>
      </c>
      <c r="C2092" s="122" t="s">
        <v>3545</v>
      </c>
      <c r="D2092" s="122">
        <v>1</v>
      </c>
    </row>
    <row r="2093" spans="2:4" x14ac:dyDescent="0.2">
      <c r="B2093" s="129" t="s">
        <v>3546</v>
      </c>
      <c r="C2093" s="122" t="s">
        <v>3547</v>
      </c>
      <c r="D2093" s="122">
        <v>0</v>
      </c>
    </row>
    <row r="2094" spans="2:4" x14ac:dyDescent="0.2">
      <c r="B2094" s="129" t="s">
        <v>3548</v>
      </c>
      <c r="C2094" s="122" t="s">
        <v>3549</v>
      </c>
      <c r="D2094" s="122">
        <v>0</v>
      </c>
    </row>
    <row r="2095" spans="2:4" x14ac:dyDescent="0.2">
      <c r="B2095" s="129" t="s">
        <v>3550</v>
      </c>
      <c r="C2095" s="122" t="s">
        <v>3551</v>
      </c>
      <c r="D2095" s="122">
        <v>0</v>
      </c>
    </row>
    <row r="2096" spans="2:4" x14ac:dyDescent="0.2">
      <c r="B2096" s="129" t="s">
        <v>3552</v>
      </c>
      <c r="C2096" s="122" t="s">
        <v>3553</v>
      </c>
      <c r="D2096" s="122">
        <v>0.52</v>
      </c>
    </row>
    <row r="2097" spans="2:4" x14ac:dyDescent="0.2">
      <c r="B2097" s="129" t="s">
        <v>3554</v>
      </c>
      <c r="C2097" s="122" t="s">
        <v>3555</v>
      </c>
      <c r="D2097" s="122">
        <v>4.17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B8EF6-B35C-4F2E-AFB6-BBAC7CFF9790}">
  <dimension ref="B2:G2097"/>
  <sheetViews>
    <sheetView zoomScale="160" zoomScaleNormal="160" workbookViewId="0">
      <selection activeCell="J31" sqref="J31"/>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16384" width="9.1640625" style="6"/>
  </cols>
  <sheetData>
    <row r="2" spans="2:7" ht="16" thickBot="1" x14ac:dyDescent="0.25"/>
    <row r="3" spans="2:7" x14ac:dyDescent="0.2">
      <c r="B3" s="116" t="s">
        <v>307</v>
      </c>
      <c r="C3" s="117" t="s">
        <v>308</v>
      </c>
      <c r="D3" s="117" t="s">
        <v>4729</v>
      </c>
      <c r="E3" s="117" t="s">
        <v>4730</v>
      </c>
      <c r="G3" s="6" t="s">
        <v>4731</v>
      </c>
    </row>
    <row r="4" spans="2:7" x14ac:dyDescent="0.2">
      <c r="B4" s="120" t="s">
        <v>309</v>
      </c>
      <c r="C4" s="121" t="s">
        <v>310</v>
      </c>
      <c r="D4" s="122">
        <v>19.14</v>
      </c>
      <c r="E4" s="122">
        <v>0.06</v>
      </c>
      <c r="G4" s="6" t="s">
        <v>4732</v>
      </c>
    </row>
    <row r="5" spans="2:7" x14ac:dyDescent="0.2">
      <c r="B5" s="120" t="s">
        <v>311</v>
      </c>
      <c r="C5" s="121" t="s">
        <v>312</v>
      </c>
      <c r="D5" s="122">
        <v>1.64</v>
      </c>
      <c r="E5" s="122">
        <v>0.02</v>
      </c>
      <c r="G5" s="6" t="s">
        <v>4733</v>
      </c>
    </row>
    <row r="6" spans="2:7" x14ac:dyDescent="0.2">
      <c r="B6" s="120" t="s">
        <v>3807</v>
      </c>
      <c r="C6" s="121" t="s">
        <v>3808</v>
      </c>
      <c r="D6" s="122"/>
      <c r="E6" s="122"/>
    </row>
    <row r="7" spans="2:7" x14ac:dyDescent="0.2">
      <c r="B7" s="120" t="s">
        <v>313</v>
      </c>
      <c r="C7" s="121" t="s">
        <v>314</v>
      </c>
      <c r="D7" s="122">
        <v>16.100000000000001</v>
      </c>
      <c r="E7" s="122">
        <v>0.22</v>
      </c>
      <c r="G7" s="6" t="s">
        <v>4734</v>
      </c>
    </row>
    <row r="8" spans="2:7" x14ac:dyDescent="0.2">
      <c r="B8" s="120" t="s">
        <v>3809</v>
      </c>
      <c r="C8" s="121" t="s">
        <v>3810</v>
      </c>
      <c r="D8" s="122"/>
      <c r="E8" s="122">
        <v>0.09</v>
      </c>
      <c r="G8" s="6" t="s">
        <v>4735</v>
      </c>
    </row>
    <row r="9" spans="2:7" x14ac:dyDescent="0.2">
      <c r="B9" s="120" t="s">
        <v>315</v>
      </c>
      <c r="C9" s="121" t="s">
        <v>316</v>
      </c>
      <c r="D9" s="122">
        <v>4.55</v>
      </c>
      <c r="E9" s="122">
        <v>0.03</v>
      </c>
    </row>
    <row r="10" spans="2:7" x14ac:dyDescent="0.2">
      <c r="B10" s="120" t="s">
        <v>317</v>
      </c>
      <c r="C10" s="121" t="s">
        <v>318</v>
      </c>
      <c r="D10" s="122">
        <v>6.56</v>
      </c>
      <c r="E10" s="122">
        <v>0.05</v>
      </c>
    </row>
    <row r="11" spans="2:7" x14ac:dyDescent="0.2">
      <c r="B11" s="120" t="s">
        <v>319</v>
      </c>
      <c r="C11" s="121" t="s">
        <v>320</v>
      </c>
      <c r="D11" s="122">
        <v>5.66</v>
      </c>
      <c r="E11" s="122">
        <v>0.04</v>
      </c>
    </row>
    <row r="12" spans="2:7" x14ac:dyDescent="0.2">
      <c r="B12" s="120" t="s">
        <v>321</v>
      </c>
      <c r="C12" s="121" t="s">
        <v>322</v>
      </c>
      <c r="D12" s="122">
        <v>21.5</v>
      </c>
      <c r="E12" s="122">
        <v>0.22</v>
      </c>
    </row>
    <row r="13" spans="2:7" x14ac:dyDescent="0.2">
      <c r="B13" s="120" t="s">
        <v>323</v>
      </c>
      <c r="C13" s="121" t="s">
        <v>324</v>
      </c>
      <c r="D13" s="122">
        <v>3.38</v>
      </c>
      <c r="E13" s="122">
        <v>7.0000000000000007E-2</v>
      </c>
    </row>
    <row r="14" spans="2:7" x14ac:dyDescent="0.2">
      <c r="B14" s="120" t="s">
        <v>325</v>
      </c>
      <c r="C14" s="121" t="s">
        <v>326</v>
      </c>
      <c r="D14" s="122">
        <v>8.92</v>
      </c>
      <c r="E14" s="122">
        <v>0.08</v>
      </c>
    </row>
    <row r="15" spans="2:7" x14ac:dyDescent="0.2">
      <c r="B15" s="120" t="s">
        <v>327</v>
      </c>
      <c r="C15" s="121" t="s">
        <v>328</v>
      </c>
      <c r="D15" s="122">
        <v>38.86</v>
      </c>
      <c r="E15" s="122">
        <v>0.17</v>
      </c>
    </row>
    <row r="16" spans="2:7" x14ac:dyDescent="0.2">
      <c r="B16" s="120" t="s">
        <v>329</v>
      </c>
      <c r="C16" s="121" t="s">
        <v>330</v>
      </c>
      <c r="D16" s="122">
        <v>0.83</v>
      </c>
      <c r="E16" s="122">
        <v>0.01</v>
      </c>
    </row>
    <row r="17" spans="2:5" x14ac:dyDescent="0.2">
      <c r="B17" s="120" t="s">
        <v>333</v>
      </c>
      <c r="C17" s="121" t="s">
        <v>334</v>
      </c>
      <c r="D17" s="122">
        <v>23.28</v>
      </c>
      <c r="E17" s="122">
        <v>0.23</v>
      </c>
    </row>
    <row r="18" spans="2:5" x14ac:dyDescent="0.2">
      <c r="B18" s="120" t="s">
        <v>335</v>
      </c>
      <c r="C18" s="121" t="s">
        <v>336</v>
      </c>
      <c r="D18" s="122">
        <v>22.3</v>
      </c>
      <c r="E18" s="122">
        <v>0.34</v>
      </c>
    </row>
    <row r="19" spans="2:5" x14ac:dyDescent="0.2">
      <c r="B19" s="120" t="s">
        <v>337</v>
      </c>
      <c r="C19" s="121" t="s">
        <v>338</v>
      </c>
      <c r="D19" s="122">
        <v>17.38</v>
      </c>
      <c r="E19" s="122">
        <v>0.08</v>
      </c>
    </row>
    <row r="20" spans="2:5" x14ac:dyDescent="0.2">
      <c r="B20" s="120" t="s">
        <v>339</v>
      </c>
      <c r="C20" s="121" t="s">
        <v>340</v>
      </c>
      <c r="D20" s="122">
        <v>-101.45</v>
      </c>
      <c r="E20" s="122">
        <v>-1.1000000000000001</v>
      </c>
    </row>
    <row r="21" spans="2:5" x14ac:dyDescent="0.2">
      <c r="B21" s="120" t="s">
        <v>341</v>
      </c>
      <c r="C21" s="121" t="s">
        <v>342</v>
      </c>
      <c r="D21" s="122">
        <v>-13.86</v>
      </c>
      <c r="E21" s="122">
        <v>-1.02</v>
      </c>
    </row>
    <row r="22" spans="2:5" x14ac:dyDescent="0.2">
      <c r="B22" s="120" t="s">
        <v>343</v>
      </c>
      <c r="C22" s="121" t="s">
        <v>344</v>
      </c>
      <c r="D22" s="122">
        <v>7.85</v>
      </c>
      <c r="E22" s="122">
        <v>0.13</v>
      </c>
    </row>
    <row r="23" spans="2:5" x14ac:dyDescent="0.2">
      <c r="B23" s="120" t="s">
        <v>3811</v>
      </c>
      <c r="C23" s="121" t="s">
        <v>3812</v>
      </c>
      <c r="D23" s="122">
        <v>4.6399999999999997</v>
      </c>
      <c r="E23" s="122">
        <v>0.01</v>
      </c>
    </row>
    <row r="24" spans="2:5" x14ac:dyDescent="0.2">
      <c r="B24" s="120" t="s">
        <v>3813</v>
      </c>
      <c r="C24" s="121" t="s">
        <v>3814</v>
      </c>
      <c r="D24" s="122"/>
      <c r="E24" s="122">
        <v>0.24</v>
      </c>
    </row>
    <row r="25" spans="2:5" x14ac:dyDescent="0.2">
      <c r="B25" s="120" t="s">
        <v>345</v>
      </c>
      <c r="C25" s="121" t="s">
        <v>346</v>
      </c>
      <c r="D25" s="122">
        <v>17.29</v>
      </c>
      <c r="E25" s="122">
        <v>0.14000000000000001</v>
      </c>
    </row>
    <row r="26" spans="2:5" x14ac:dyDescent="0.2">
      <c r="B26" s="120" t="s">
        <v>3815</v>
      </c>
      <c r="C26" s="121" t="s">
        <v>3816</v>
      </c>
      <c r="D26" s="122">
        <v>0.35</v>
      </c>
      <c r="E26" s="122">
        <v>0</v>
      </c>
    </row>
    <row r="27" spans="2:5" x14ac:dyDescent="0.2">
      <c r="B27" s="120" t="s">
        <v>347</v>
      </c>
      <c r="C27" s="121" t="s">
        <v>348</v>
      </c>
      <c r="D27" s="122">
        <v>10.16</v>
      </c>
      <c r="E27" s="122">
        <v>7.0000000000000007E-2</v>
      </c>
    </row>
    <row r="28" spans="2:5" x14ac:dyDescent="0.2">
      <c r="B28" s="120" t="s">
        <v>349</v>
      </c>
      <c r="C28" s="121" t="s">
        <v>350</v>
      </c>
      <c r="D28" s="122">
        <v>2.2000000000000002</v>
      </c>
      <c r="E28" s="122">
        <v>0.01</v>
      </c>
    </row>
    <row r="29" spans="2:5" x14ac:dyDescent="0.2">
      <c r="B29" s="120" t="s">
        <v>351</v>
      </c>
      <c r="C29" s="121" t="s">
        <v>352</v>
      </c>
      <c r="D29" s="122">
        <v>11.06</v>
      </c>
      <c r="E29" s="122"/>
    </row>
    <row r="30" spans="2:5" x14ac:dyDescent="0.2">
      <c r="B30" s="120" t="s">
        <v>3817</v>
      </c>
      <c r="C30" s="121" t="s">
        <v>3818</v>
      </c>
      <c r="D30" s="122"/>
      <c r="E30" s="122"/>
    </row>
    <row r="31" spans="2:5" x14ac:dyDescent="0.2">
      <c r="B31" s="120" t="s">
        <v>353</v>
      </c>
      <c r="C31" s="121" t="s">
        <v>354</v>
      </c>
      <c r="D31" s="122">
        <v>34.35</v>
      </c>
      <c r="E31" s="122">
        <v>0.28999999999999998</v>
      </c>
    </row>
    <row r="32" spans="2:5" x14ac:dyDescent="0.2">
      <c r="B32" s="120" t="s">
        <v>355</v>
      </c>
      <c r="C32" s="121" t="s">
        <v>356</v>
      </c>
      <c r="D32" s="122">
        <v>39.76</v>
      </c>
      <c r="E32" s="122">
        <v>0.39</v>
      </c>
    </row>
    <row r="33" spans="2:5" x14ac:dyDescent="0.2">
      <c r="B33" s="120" t="s">
        <v>357</v>
      </c>
      <c r="C33" s="121" t="s">
        <v>358</v>
      </c>
      <c r="D33" s="122">
        <v>8.16</v>
      </c>
      <c r="E33" s="122">
        <v>0.08</v>
      </c>
    </row>
    <row r="34" spans="2:5" x14ac:dyDescent="0.2">
      <c r="B34" s="120" t="s">
        <v>359</v>
      </c>
      <c r="C34" s="121" t="s">
        <v>360</v>
      </c>
      <c r="D34" s="122">
        <v>33.520000000000003</v>
      </c>
      <c r="E34" s="122">
        <v>0.24</v>
      </c>
    </row>
    <row r="35" spans="2:5" x14ac:dyDescent="0.2">
      <c r="B35" s="120" t="s">
        <v>361</v>
      </c>
      <c r="C35" s="121" t="s">
        <v>362</v>
      </c>
      <c r="D35" s="122">
        <v>2.56</v>
      </c>
      <c r="E35" s="122">
        <v>0.03</v>
      </c>
    </row>
    <row r="36" spans="2:5" x14ac:dyDescent="0.2">
      <c r="B36" s="120" t="s">
        <v>363</v>
      </c>
      <c r="C36" s="121" t="s">
        <v>364</v>
      </c>
      <c r="D36" s="122">
        <v>16.82</v>
      </c>
      <c r="E36" s="122">
        <v>0.16</v>
      </c>
    </row>
    <row r="37" spans="2:5" x14ac:dyDescent="0.2">
      <c r="B37" s="120" t="s">
        <v>3819</v>
      </c>
      <c r="C37" s="121" t="s">
        <v>3820</v>
      </c>
      <c r="D37" s="122"/>
      <c r="E37" s="122"/>
    </row>
    <row r="38" spans="2:5" x14ac:dyDescent="0.2">
      <c r="B38" s="120" t="s">
        <v>365</v>
      </c>
      <c r="C38" s="121" t="s">
        <v>366</v>
      </c>
      <c r="D38" s="122">
        <v>3.12</v>
      </c>
      <c r="E38" s="122">
        <v>0.03</v>
      </c>
    </row>
    <row r="39" spans="2:5" x14ac:dyDescent="0.2">
      <c r="B39" s="120" t="s">
        <v>3821</v>
      </c>
      <c r="C39" s="121" t="s">
        <v>3822</v>
      </c>
      <c r="D39" s="122">
        <v>3.14</v>
      </c>
      <c r="E39" s="122">
        <v>0.04</v>
      </c>
    </row>
    <row r="40" spans="2:5" x14ac:dyDescent="0.2">
      <c r="B40" s="120" t="s">
        <v>367</v>
      </c>
      <c r="C40" s="121" t="s">
        <v>368</v>
      </c>
      <c r="D40" s="122">
        <v>16.829999999999998</v>
      </c>
      <c r="E40" s="122">
        <v>0.12</v>
      </c>
    </row>
    <row r="41" spans="2:5" x14ac:dyDescent="0.2">
      <c r="B41" s="120" t="s">
        <v>369</v>
      </c>
      <c r="C41" s="121" t="s">
        <v>370</v>
      </c>
      <c r="D41" s="122">
        <v>13.98</v>
      </c>
      <c r="E41" s="122">
        <v>-0.03</v>
      </c>
    </row>
    <row r="42" spans="2:5" x14ac:dyDescent="0.2">
      <c r="B42" s="120" t="s">
        <v>371</v>
      </c>
      <c r="C42" s="121" t="s">
        <v>372</v>
      </c>
      <c r="D42" s="122">
        <v>-1.5</v>
      </c>
      <c r="E42" s="122">
        <v>-0.13</v>
      </c>
    </row>
    <row r="43" spans="2:5" x14ac:dyDescent="0.2">
      <c r="B43" s="120" t="s">
        <v>373</v>
      </c>
      <c r="C43" s="121" t="s">
        <v>374</v>
      </c>
      <c r="D43" s="122">
        <v>13.29</v>
      </c>
      <c r="E43" s="122">
        <v>0.13</v>
      </c>
    </row>
    <row r="44" spans="2:5" x14ac:dyDescent="0.2">
      <c r="B44" s="120" t="s">
        <v>375</v>
      </c>
      <c r="C44" s="121" t="s">
        <v>376</v>
      </c>
      <c r="D44" s="122"/>
      <c r="E44" s="122">
        <v>0.02</v>
      </c>
    </row>
    <row r="45" spans="2:5" x14ac:dyDescent="0.2">
      <c r="B45" s="120" t="s">
        <v>377</v>
      </c>
      <c r="C45" s="121" t="s">
        <v>378</v>
      </c>
      <c r="D45" s="122">
        <v>4.24</v>
      </c>
      <c r="E45" s="122">
        <v>-0.15</v>
      </c>
    </row>
    <row r="46" spans="2:5" x14ac:dyDescent="0.2">
      <c r="B46" s="120" t="s">
        <v>379</v>
      </c>
      <c r="C46" s="121" t="s">
        <v>380</v>
      </c>
      <c r="D46" s="122">
        <v>13.02</v>
      </c>
      <c r="E46" s="122">
        <v>0.12</v>
      </c>
    </row>
    <row r="47" spans="2:5" x14ac:dyDescent="0.2">
      <c r="B47" s="120" t="s">
        <v>381</v>
      </c>
      <c r="C47" s="121" t="s">
        <v>382</v>
      </c>
      <c r="D47" s="122">
        <v>21.79</v>
      </c>
      <c r="E47" s="122">
        <v>0.21</v>
      </c>
    </row>
    <row r="48" spans="2:5" x14ac:dyDescent="0.2">
      <c r="B48" s="120" t="s">
        <v>383</v>
      </c>
      <c r="C48" s="121" t="s">
        <v>384</v>
      </c>
      <c r="D48" s="122">
        <v>10.029999999999999</v>
      </c>
      <c r="E48" s="122">
        <v>0.11</v>
      </c>
    </row>
    <row r="49" spans="2:5" x14ac:dyDescent="0.2">
      <c r="B49" s="120" t="s">
        <v>3823</v>
      </c>
      <c r="C49" s="121" t="s">
        <v>3824</v>
      </c>
      <c r="D49" s="122"/>
      <c r="E49" s="122">
        <v>0.05</v>
      </c>
    </row>
    <row r="50" spans="2:5" x14ac:dyDescent="0.2">
      <c r="B50" s="120" t="s">
        <v>385</v>
      </c>
      <c r="C50" s="121" t="s">
        <v>386</v>
      </c>
      <c r="D50" s="122">
        <v>9.92</v>
      </c>
      <c r="E50" s="122">
        <v>7.0000000000000007E-2</v>
      </c>
    </row>
    <row r="51" spans="2:5" x14ac:dyDescent="0.2">
      <c r="B51" s="120" t="s">
        <v>387</v>
      </c>
      <c r="C51" s="121" t="s">
        <v>388</v>
      </c>
      <c r="D51" s="122">
        <v>14.7</v>
      </c>
      <c r="E51" s="122">
        <v>0.13</v>
      </c>
    </row>
    <row r="52" spans="2:5" x14ac:dyDescent="0.2">
      <c r="B52" s="120" t="s">
        <v>389</v>
      </c>
      <c r="C52" s="121" t="s">
        <v>390</v>
      </c>
      <c r="D52" s="122">
        <v>1.1499999999999999</v>
      </c>
      <c r="E52" s="122">
        <v>0.02</v>
      </c>
    </row>
    <row r="53" spans="2:5" x14ac:dyDescent="0.2">
      <c r="B53" s="120" t="s">
        <v>391</v>
      </c>
      <c r="C53" s="121" t="s">
        <v>392</v>
      </c>
      <c r="D53" s="122">
        <v>4.1500000000000004</v>
      </c>
      <c r="E53" s="122">
        <v>0.03</v>
      </c>
    </row>
    <row r="54" spans="2:5" x14ac:dyDescent="0.2">
      <c r="B54" s="120" t="s">
        <v>393</v>
      </c>
      <c r="C54" s="121" t="s">
        <v>394</v>
      </c>
      <c r="D54" s="122">
        <v>7.02</v>
      </c>
      <c r="E54" s="122">
        <v>7.0000000000000007E-2</v>
      </c>
    </row>
    <row r="55" spans="2:5" x14ac:dyDescent="0.2">
      <c r="B55" s="120" t="s">
        <v>3825</v>
      </c>
      <c r="C55" s="121" t="s">
        <v>3826</v>
      </c>
      <c r="D55" s="122"/>
      <c r="E55" s="122"/>
    </row>
    <row r="56" spans="2:5" x14ac:dyDescent="0.2">
      <c r="B56" s="120" t="s">
        <v>395</v>
      </c>
      <c r="C56" s="121" t="s">
        <v>396</v>
      </c>
      <c r="D56" s="122">
        <v>35.770000000000003</v>
      </c>
      <c r="E56" s="122">
        <v>-0.32</v>
      </c>
    </row>
    <row r="57" spans="2:5" x14ac:dyDescent="0.2">
      <c r="B57" s="120" t="s">
        <v>397</v>
      </c>
      <c r="C57" s="121" t="s">
        <v>398</v>
      </c>
      <c r="D57" s="122">
        <v>164.75</v>
      </c>
      <c r="E57" s="122">
        <v>0.17</v>
      </c>
    </row>
    <row r="58" spans="2:5" x14ac:dyDescent="0.2">
      <c r="B58" s="120" t="s">
        <v>3827</v>
      </c>
      <c r="C58" s="121" t="s">
        <v>3828</v>
      </c>
      <c r="D58" s="122">
        <v>50.79</v>
      </c>
      <c r="E58" s="122">
        <v>0.52</v>
      </c>
    </row>
    <row r="59" spans="2:5" x14ac:dyDescent="0.2">
      <c r="B59" s="120" t="s">
        <v>3829</v>
      </c>
      <c r="C59" s="121" t="s">
        <v>3830</v>
      </c>
      <c r="D59" s="122"/>
      <c r="E59" s="122">
        <v>0.14000000000000001</v>
      </c>
    </row>
    <row r="60" spans="2:5" x14ac:dyDescent="0.2">
      <c r="B60" s="120" t="s">
        <v>399</v>
      </c>
      <c r="C60" s="121" t="s">
        <v>400</v>
      </c>
      <c r="D60" s="122">
        <v>9.7799999999999994</v>
      </c>
      <c r="E60" s="122">
        <v>0.09</v>
      </c>
    </row>
    <row r="61" spans="2:5" x14ac:dyDescent="0.2">
      <c r="B61" s="120" t="s">
        <v>401</v>
      </c>
      <c r="C61" s="121" t="s">
        <v>402</v>
      </c>
      <c r="D61" s="122"/>
      <c r="E61" s="122">
        <v>0.23</v>
      </c>
    </row>
    <row r="62" spans="2:5" x14ac:dyDescent="0.2">
      <c r="B62" s="120" t="s">
        <v>3831</v>
      </c>
      <c r="C62" s="121" t="s">
        <v>3832</v>
      </c>
      <c r="D62" s="122">
        <v>2.84</v>
      </c>
      <c r="E62" s="122">
        <v>0.02</v>
      </c>
    </row>
    <row r="63" spans="2:5" x14ac:dyDescent="0.2">
      <c r="B63" s="120" t="s">
        <v>403</v>
      </c>
      <c r="C63" s="121" t="s">
        <v>404</v>
      </c>
      <c r="D63" s="122">
        <v>6.94</v>
      </c>
      <c r="E63" s="122">
        <v>7.0000000000000007E-2</v>
      </c>
    </row>
    <row r="64" spans="2:5" x14ac:dyDescent="0.2">
      <c r="B64" s="120" t="s">
        <v>405</v>
      </c>
      <c r="C64" s="121" t="s">
        <v>406</v>
      </c>
      <c r="D64" s="122">
        <v>3.66</v>
      </c>
      <c r="E64" s="122">
        <v>0</v>
      </c>
    </row>
    <row r="65" spans="2:5" x14ac:dyDescent="0.2">
      <c r="B65" s="120" t="s">
        <v>407</v>
      </c>
      <c r="C65" s="121" t="s">
        <v>408</v>
      </c>
      <c r="D65" s="122"/>
      <c r="E65" s="122">
        <v>0.1</v>
      </c>
    </row>
    <row r="66" spans="2:5" x14ac:dyDescent="0.2">
      <c r="B66" s="120" t="s">
        <v>409</v>
      </c>
      <c r="C66" s="121" t="s">
        <v>410</v>
      </c>
      <c r="D66" s="122">
        <v>5.39</v>
      </c>
      <c r="E66" s="122">
        <v>0.06</v>
      </c>
    </row>
    <row r="67" spans="2:5" x14ac:dyDescent="0.2">
      <c r="B67" s="120" t="s">
        <v>411</v>
      </c>
      <c r="C67" s="121" t="s">
        <v>412</v>
      </c>
      <c r="D67" s="122">
        <v>98.61</v>
      </c>
      <c r="E67" s="122">
        <v>0.69</v>
      </c>
    </row>
    <row r="68" spans="2:5" x14ac:dyDescent="0.2">
      <c r="B68" s="120" t="s">
        <v>413</v>
      </c>
      <c r="C68" s="121" t="s">
        <v>414</v>
      </c>
      <c r="D68" s="122">
        <v>4.29</v>
      </c>
      <c r="E68" s="122">
        <v>0.03</v>
      </c>
    </row>
    <row r="69" spans="2:5" x14ac:dyDescent="0.2">
      <c r="B69" s="120" t="s">
        <v>415</v>
      </c>
      <c r="C69" s="121" t="s">
        <v>416</v>
      </c>
      <c r="D69" s="122">
        <v>9.64</v>
      </c>
      <c r="E69" s="122">
        <v>0.09</v>
      </c>
    </row>
    <row r="70" spans="2:5" x14ac:dyDescent="0.2">
      <c r="B70" s="120" t="s">
        <v>3833</v>
      </c>
      <c r="C70" s="121" t="s">
        <v>3834</v>
      </c>
      <c r="D70" s="122"/>
      <c r="E70" s="122">
        <v>0.03</v>
      </c>
    </row>
    <row r="71" spans="2:5" x14ac:dyDescent="0.2">
      <c r="B71" s="120" t="s">
        <v>417</v>
      </c>
      <c r="C71" s="121" t="s">
        <v>418</v>
      </c>
      <c r="D71" s="122"/>
      <c r="E71" s="122"/>
    </row>
    <row r="72" spans="2:5" x14ac:dyDescent="0.2">
      <c r="B72" s="120" t="s">
        <v>419</v>
      </c>
      <c r="C72" s="121" t="s">
        <v>420</v>
      </c>
      <c r="D72" s="122">
        <v>7.21</v>
      </c>
      <c r="E72" s="122">
        <v>7.0000000000000007E-2</v>
      </c>
    </row>
    <row r="73" spans="2:5" x14ac:dyDescent="0.2">
      <c r="B73" s="120" t="s">
        <v>421</v>
      </c>
      <c r="C73" s="121" t="s">
        <v>422</v>
      </c>
      <c r="D73" s="122">
        <v>24.72</v>
      </c>
      <c r="E73" s="122">
        <v>0.11</v>
      </c>
    </row>
    <row r="74" spans="2:5" x14ac:dyDescent="0.2">
      <c r="B74" s="120" t="s">
        <v>3835</v>
      </c>
      <c r="C74" s="121" t="s">
        <v>3836</v>
      </c>
      <c r="D74" s="122">
        <v>26.83</v>
      </c>
      <c r="E74" s="122">
        <v>0.14000000000000001</v>
      </c>
    </row>
    <row r="75" spans="2:5" x14ac:dyDescent="0.2">
      <c r="B75" s="120" t="s">
        <v>423</v>
      </c>
      <c r="C75" s="121" t="s">
        <v>424</v>
      </c>
      <c r="D75" s="122">
        <v>5.51</v>
      </c>
      <c r="E75" s="122">
        <v>0.72</v>
      </c>
    </row>
    <row r="76" spans="2:5" x14ac:dyDescent="0.2">
      <c r="B76" s="120" t="s">
        <v>425</v>
      </c>
      <c r="C76" s="121" t="s">
        <v>426</v>
      </c>
      <c r="D76" s="122">
        <v>33.15</v>
      </c>
      <c r="E76" s="122">
        <v>0.3</v>
      </c>
    </row>
    <row r="77" spans="2:5" x14ac:dyDescent="0.2">
      <c r="B77" s="120" t="s">
        <v>427</v>
      </c>
      <c r="C77" s="121" t="s">
        <v>428</v>
      </c>
      <c r="D77" s="122">
        <v>17.57</v>
      </c>
      <c r="E77" s="122">
        <v>0.21</v>
      </c>
    </row>
    <row r="78" spans="2:5" x14ac:dyDescent="0.2">
      <c r="B78" s="120" t="s">
        <v>429</v>
      </c>
      <c r="C78" s="121" t="s">
        <v>430</v>
      </c>
      <c r="D78" s="122">
        <v>13.73</v>
      </c>
      <c r="E78" s="122">
        <v>0.12</v>
      </c>
    </row>
    <row r="79" spans="2:5" x14ac:dyDescent="0.2">
      <c r="B79" s="120" t="s">
        <v>3837</v>
      </c>
      <c r="C79" s="121" t="s">
        <v>3838</v>
      </c>
      <c r="D79" s="122">
        <v>11.62</v>
      </c>
      <c r="E79" s="122">
        <v>0.11</v>
      </c>
    </row>
    <row r="80" spans="2:5" x14ac:dyDescent="0.2">
      <c r="B80" s="120" t="s">
        <v>431</v>
      </c>
      <c r="C80" s="121" t="s">
        <v>432</v>
      </c>
      <c r="D80" s="122">
        <v>19.059999999999999</v>
      </c>
      <c r="E80" s="122">
        <v>0.2</v>
      </c>
    </row>
    <row r="81" spans="2:5" x14ac:dyDescent="0.2">
      <c r="B81" s="120" t="s">
        <v>433</v>
      </c>
      <c r="C81" s="121" t="s">
        <v>434</v>
      </c>
      <c r="D81" s="122">
        <v>7.36</v>
      </c>
      <c r="E81" s="122">
        <v>0.05</v>
      </c>
    </row>
    <row r="82" spans="2:5" x14ac:dyDescent="0.2">
      <c r="B82" s="120" t="s">
        <v>435</v>
      </c>
      <c r="C82" s="121" t="s">
        <v>436</v>
      </c>
      <c r="D82" s="122">
        <v>5.08</v>
      </c>
      <c r="E82" s="122">
        <v>-0.13</v>
      </c>
    </row>
    <row r="83" spans="2:5" x14ac:dyDescent="0.2">
      <c r="B83" s="120" t="s">
        <v>437</v>
      </c>
      <c r="C83" s="121" t="s">
        <v>438</v>
      </c>
      <c r="D83" s="122">
        <v>6.5</v>
      </c>
      <c r="E83" s="122">
        <v>0.06</v>
      </c>
    </row>
    <row r="84" spans="2:5" x14ac:dyDescent="0.2">
      <c r="B84" s="120" t="s">
        <v>439</v>
      </c>
      <c r="C84" s="121" t="s">
        <v>440</v>
      </c>
      <c r="D84" s="122">
        <v>15.61</v>
      </c>
      <c r="E84" s="122">
        <v>0.16</v>
      </c>
    </row>
    <row r="85" spans="2:5" x14ac:dyDescent="0.2">
      <c r="B85" s="120" t="s">
        <v>441</v>
      </c>
      <c r="C85" s="121" t="s">
        <v>442</v>
      </c>
      <c r="D85" s="122"/>
      <c r="E85" s="122"/>
    </row>
    <row r="86" spans="2:5" x14ac:dyDescent="0.2">
      <c r="B86" s="120" t="s">
        <v>443</v>
      </c>
      <c r="C86" s="121" t="s">
        <v>444</v>
      </c>
      <c r="D86" s="122"/>
      <c r="E86" s="122"/>
    </row>
    <row r="87" spans="2:5" x14ac:dyDescent="0.2">
      <c r="B87" s="120" t="s">
        <v>445</v>
      </c>
      <c r="C87" s="121" t="s">
        <v>446</v>
      </c>
      <c r="D87" s="122">
        <v>24.31</v>
      </c>
      <c r="E87" s="122">
        <v>0.22</v>
      </c>
    </row>
    <row r="88" spans="2:5" x14ac:dyDescent="0.2">
      <c r="B88" s="120" t="s">
        <v>3839</v>
      </c>
      <c r="C88" s="121" t="s">
        <v>3840</v>
      </c>
      <c r="D88" s="122">
        <v>5.19</v>
      </c>
      <c r="E88" s="122">
        <v>0.05</v>
      </c>
    </row>
    <row r="89" spans="2:5" x14ac:dyDescent="0.2">
      <c r="B89" s="120" t="s">
        <v>447</v>
      </c>
      <c r="C89" s="121" t="s">
        <v>448</v>
      </c>
      <c r="D89" s="122">
        <v>-681.41</v>
      </c>
      <c r="E89" s="122">
        <v>-10.17</v>
      </c>
    </row>
    <row r="90" spans="2:5" x14ac:dyDescent="0.2">
      <c r="B90" s="120" t="s">
        <v>3841</v>
      </c>
      <c r="C90" s="121" t="s">
        <v>3842</v>
      </c>
      <c r="D90" s="122">
        <v>17.25</v>
      </c>
      <c r="E90" s="122">
        <v>0.17</v>
      </c>
    </row>
    <row r="91" spans="2:5" x14ac:dyDescent="0.2">
      <c r="B91" s="120" t="s">
        <v>3843</v>
      </c>
      <c r="C91" s="121" t="s">
        <v>3844</v>
      </c>
      <c r="D91" s="122"/>
      <c r="E91" s="122">
        <v>0.08</v>
      </c>
    </row>
    <row r="92" spans="2:5" x14ac:dyDescent="0.2">
      <c r="B92" s="120" t="s">
        <v>449</v>
      </c>
      <c r="C92" s="121" t="s">
        <v>450</v>
      </c>
      <c r="D92" s="122">
        <v>24.06</v>
      </c>
      <c r="E92" s="122">
        <v>0.24</v>
      </c>
    </row>
    <row r="93" spans="2:5" x14ac:dyDescent="0.2">
      <c r="B93" s="120" t="s">
        <v>451</v>
      </c>
      <c r="C93" s="121" t="s">
        <v>452</v>
      </c>
      <c r="D93" s="122">
        <v>5.47</v>
      </c>
      <c r="E93" s="122">
        <v>0.02</v>
      </c>
    </row>
    <row r="94" spans="2:5" x14ac:dyDescent="0.2">
      <c r="B94" s="120" t="s">
        <v>453</v>
      </c>
      <c r="C94" s="121" t="s">
        <v>454</v>
      </c>
      <c r="D94" s="122">
        <v>46.61</v>
      </c>
      <c r="E94" s="122">
        <v>0.02</v>
      </c>
    </row>
    <row r="95" spans="2:5" x14ac:dyDescent="0.2">
      <c r="B95" s="120" t="s">
        <v>455</v>
      </c>
      <c r="C95" s="121" t="s">
        <v>456</v>
      </c>
      <c r="D95" s="122">
        <v>35.19</v>
      </c>
      <c r="E95" s="122">
        <v>0.47</v>
      </c>
    </row>
    <row r="96" spans="2:5" x14ac:dyDescent="0.2">
      <c r="B96" s="120" t="s">
        <v>457</v>
      </c>
      <c r="C96" s="121" t="s">
        <v>458</v>
      </c>
      <c r="D96" s="122"/>
      <c r="E96" s="122">
        <v>0.2</v>
      </c>
    </row>
    <row r="97" spans="2:5" x14ac:dyDescent="0.2">
      <c r="B97" s="120" t="s">
        <v>459</v>
      </c>
      <c r="C97" s="121" t="s">
        <v>460</v>
      </c>
      <c r="D97" s="122">
        <v>20.76</v>
      </c>
      <c r="E97" s="122">
        <v>0.19</v>
      </c>
    </row>
    <row r="98" spans="2:5" x14ac:dyDescent="0.2">
      <c r="B98" s="120" t="s">
        <v>3845</v>
      </c>
      <c r="C98" s="121" t="s">
        <v>3846</v>
      </c>
      <c r="D98" s="122">
        <v>4.92</v>
      </c>
      <c r="E98" s="122">
        <v>0.05</v>
      </c>
    </row>
    <row r="99" spans="2:5" x14ac:dyDescent="0.2">
      <c r="B99" s="120" t="s">
        <v>461</v>
      </c>
      <c r="C99" s="121" t="s">
        <v>462</v>
      </c>
      <c r="D99" s="122">
        <v>6.66</v>
      </c>
      <c r="E99" s="122">
        <v>0.05</v>
      </c>
    </row>
    <row r="100" spans="2:5" x14ac:dyDescent="0.2">
      <c r="B100" s="120" t="s">
        <v>3847</v>
      </c>
      <c r="C100" s="121" t="s">
        <v>3848</v>
      </c>
      <c r="D100" s="122">
        <v>9.89</v>
      </c>
      <c r="E100" s="122">
        <v>0.1</v>
      </c>
    </row>
    <row r="101" spans="2:5" x14ac:dyDescent="0.2">
      <c r="B101" s="120" t="s">
        <v>463</v>
      </c>
      <c r="C101" s="121" t="s">
        <v>464</v>
      </c>
      <c r="D101" s="122">
        <v>17.079999999999998</v>
      </c>
      <c r="E101" s="122">
        <v>0.16</v>
      </c>
    </row>
    <row r="102" spans="2:5" x14ac:dyDescent="0.2">
      <c r="B102" s="120" t="s">
        <v>465</v>
      </c>
      <c r="C102" s="121" t="s">
        <v>466</v>
      </c>
      <c r="D102" s="122">
        <v>7.56</v>
      </c>
      <c r="E102" s="122">
        <v>7.0000000000000007E-2</v>
      </c>
    </row>
    <row r="103" spans="2:5" x14ac:dyDescent="0.2">
      <c r="B103" s="120" t="s">
        <v>467</v>
      </c>
      <c r="C103" s="121" t="s">
        <v>468</v>
      </c>
      <c r="D103" s="122">
        <v>30.81</v>
      </c>
      <c r="E103" s="122">
        <v>0.1</v>
      </c>
    </row>
    <row r="104" spans="2:5" x14ac:dyDescent="0.2">
      <c r="B104" s="120" t="s">
        <v>469</v>
      </c>
      <c r="C104" s="121" t="s">
        <v>470</v>
      </c>
      <c r="D104" s="122">
        <v>39.18</v>
      </c>
      <c r="E104" s="122">
        <v>0.35</v>
      </c>
    </row>
    <row r="105" spans="2:5" x14ac:dyDescent="0.2">
      <c r="B105" s="120" t="s">
        <v>471</v>
      </c>
      <c r="C105" s="121" t="s">
        <v>472</v>
      </c>
      <c r="D105" s="122">
        <v>10.02</v>
      </c>
      <c r="E105" s="122">
        <v>0.1</v>
      </c>
    </row>
    <row r="106" spans="2:5" x14ac:dyDescent="0.2">
      <c r="B106" s="120" t="s">
        <v>473</v>
      </c>
      <c r="C106" s="121" t="s">
        <v>474</v>
      </c>
      <c r="D106" s="122">
        <v>0.72</v>
      </c>
      <c r="E106" s="122">
        <v>0.08</v>
      </c>
    </row>
    <row r="107" spans="2:5" x14ac:dyDescent="0.2">
      <c r="B107" s="120" t="s">
        <v>475</v>
      </c>
      <c r="C107" s="121" t="s">
        <v>476</v>
      </c>
      <c r="D107" s="122">
        <v>16.96</v>
      </c>
      <c r="E107" s="122">
        <v>0.16</v>
      </c>
    </row>
    <row r="108" spans="2:5" x14ac:dyDescent="0.2">
      <c r="B108" s="120" t="s">
        <v>477</v>
      </c>
      <c r="C108" s="121" t="s">
        <v>478</v>
      </c>
      <c r="D108" s="122">
        <v>-18.97</v>
      </c>
      <c r="E108" s="122">
        <v>-0.51</v>
      </c>
    </row>
    <row r="109" spans="2:5" x14ac:dyDescent="0.2">
      <c r="B109" s="120" t="s">
        <v>3849</v>
      </c>
      <c r="C109" s="121" t="s">
        <v>3850</v>
      </c>
      <c r="D109" s="122">
        <v>2.02</v>
      </c>
      <c r="E109" s="122">
        <v>7.0000000000000007E-2</v>
      </c>
    </row>
    <row r="110" spans="2:5" x14ac:dyDescent="0.2">
      <c r="B110" s="120" t="s">
        <v>479</v>
      </c>
      <c r="C110" s="121" t="s">
        <v>480</v>
      </c>
      <c r="D110" s="122">
        <v>19.3</v>
      </c>
      <c r="E110" s="122">
        <v>0.17</v>
      </c>
    </row>
    <row r="111" spans="2:5" x14ac:dyDescent="0.2">
      <c r="B111" s="120" t="s">
        <v>481</v>
      </c>
      <c r="C111" s="121" t="s">
        <v>482</v>
      </c>
      <c r="D111" s="122">
        <v>38.42</v>
      </c>
      <c r="E111" s="122">
        <v>0.27</v>
      </c>
    </row>
    <row r="112" spans="2:5" x14ac:dyDescent="0.2">
      <c r="B112" s="120" t="s">
        <v>483</v>
      </c>
      <c r="C112" s="121" t="s">
        <v>484</v>
      </c>
      <c r="D112" s="122">
        <v>6.15</v>
      </c>
      <c r="E112" s="122">
        <v>0.05</v>
      </c>
    </row>
    <row r="113" spans="2:5" x14ac:dyDescent="0.2">
      <c r="B113" s="120" t="s">
        <v>485</v>
      </c>
      <c r="C113" s="121" t="s">
        <v>10</v>
      </c>
      <c r="D113" s="122">
        <v>4.8</v>
      </c>
      <c r="E113" s="122">
        <v>0.04</v>
      </c>
    </row>
    <row r="114" spans="2:5" x14ac:dyDescent="0.2">
      <c r="B114" s="120" t="s">
        <v>486</v>
      </c>
      <c r="C114" s="121" t="s">
        <v>487</v>
      </c>
      <c r="D114" s="122">
        <v>1.97</v>
      </c>
      <c r="E114" s="122">
        <v>0.02</v>
      </c>
    </row>
    <row r="115" spans="2:5" x14ac:dyDescent="0.2">
      <c r="B115" s="120" t="s">
        <v>3851</v>
      </c>
      <c r="C115" s="121" t="s">
        <v>3852</v>
      </c>
      <c r="D115" s="122">
        <v>6.57</v>
      </c>
      <c r="E115" s="122">
        <v>0.05</v>
      </c>
    </row>
    <row r="116" spans="2:5" x14ac:dyDescent="0.2">
      <c r="B116" s="120" t="s">
        <v>488</v>
      </c>
      <c r="C116" s="121" t="s">
        <v>489</v>
      </c>
      <c r="D116" s="122">
        <v>31.31</v>
      </c>
      <c r="E116" s="122">
        <v>0.15</v>
      </c>
    </row>
    <row r="117" spans="2:5" x14ac:dyDescent="0.2">
      <c r="B117" s="120" t="s">
        <v>490</v>
      </c>
      <c r="C117" s="121" t="s">
        <v>491</v>
      </c>
      <c r="D117" s="122">
        <v>9.89</v>
      </c>
      <c r="E117" s="122">
        <v>7.0000000000000007E-2</v>
      </c>
    </row>
    <row r="118" spans="2:5" x14ac:dyDescent="0.2">
      <c r="B118" s="120" t="s">
        <v>492</v>
      </c>
      <c r="C118" s="121" t="s">
        <v>493</v>
      </c>
      <c r="D118" s="122"/>
      <c r="E118" s="122">
        <v>0.17</v>
      </c>
    </row>
    <row r="119" spans="2:5" x14ac:dyDescent="0.2">
      <c r="B119" s="120" t="s">
        <v>494</v>
      </c>
      <c r="C119" s="121" t="s">
        <v>495</v>
      </c>
      <c r="D119" s="122">
        <v>38.79</v>
      </c>
      <c r="E119" s="122">
        <v>0.32</v>
      </c>
    </row>
    <row r="120" spans="2:5" x14ac:dyDescent="0.2">
      <c r="B120" s="120" t="s">
        <v>496</v>
      </c>
      <c r="C120" s="121" t="s">
        <v>497</v>
      </c>
      <c r="D120" s="122">
        <v>4.6399999999999997</v>
      </c>
      <c r="E120" s="122">
        <v>0.04</v>
      </c>
    </row>
    <row r="121" spans="2:5" x14ac:dyDescent="0.2">
      <c r="B121" s="120" t="s">
        <v>498</v>
      </c>
      <c r="C121" s="121" t="s">
        <v>499</v>
      </c>
      <c r="D121" s="122"/>
      <c r="E121" s="122">
        <v>0.18</v>
      </c>
    </row>
    <row r="122" spans="2:5" x14ac:dyDescent="0.2">
      <c r="B122" s="120" t="s">
        <v>500</v>
      </c>
      <c r="C122" s="121" t="s">
        <v>501</v>
      </c>
      <c r="D122" s="122">
        <v>19.420000000000002</v>
      </c>
      <c r="E122" s="122">
        <v>0.11</v>
      </c>
    </row>
    <row r="123" spans="2:5" x14ac:dyDescent="0.2">
      <c r="B123" s="120" t="s">
        <v>502</v>
      </c>
      <c r="C123" s="121" t="s">
        <v>503</v>
      </c>
      <c r="D123" s="122">
        <v>13.71</v>
      </c>
      <c r="E123" s="122">
        <v>0.14000000000000001</v>
      </c>
    </row>
    <row r="124" spans="2:5" x14ac:dyDescent="0.2">
      <c r="B124" s="120" t="s">
        <v>504</v>
      </c>
      <c r="C124" s="121" t="s">
        <v>505</v>
      </c>
      <c r="D124" s="122">
        <v>6.33</v>
      </c>
      <c r="E124" s="122">
        <v>0.01</v>
      </c>
    </row>
    <row r="125" spans="2:5" x14ac:dyDescent="0.2">
      <c r="B125" s="120" t="s">
        <v>506</v>
      </c>
      <c r="C125" s="121" t="s">
        <v>507</v>
      </c>
      <c r="D125" s="122">
        <v>19.68</v>
      </c>
      <c r="E125" s="122">
        <v>0.17</v>
      </c>
    </row>
    <row r="126" spans="2:5" x14ac:dyDescent="0.2">
      <c r="B126" s="120" t="s">
        <v>508</v>
      </c>
      <c r="C126" s="121" t="s">
        <v>509</v>
      </c>
      <c r="D126" s="122"/>
      <c r="E126" s="122"/>
    </row>
    <row r="127" spans="2:5" x14ac:dyDescent="0.2">
      <c r="B127" s="120" t="s">
        <v>510</v>
      </c>
      <c r="C127" s="121" t="s">
        <v>511</v>
      </c>
      <c r="D127" s="122">
        <v>14.33</v>
      </c>
      <c r="E127" s="122">
        <v>0.15</v>
      </c>
    </row>
    <row r="128" spans="2:5" x14ac:dyDescent="0.2">
      <c r="B128" s="120" t="s">
        <v>3853</v>
      </c>
      <c r="C128" s="121" t="s">
        <v>3854</v>
      </c>
      <c r="D128" s="122">
        <v>15.44</v>
      </c>
      <c r="E128" s="122">
        <v>0.16</v>
      </c>
    </row>
    <row r="129" spans="2:5" x14ac:dyDescent="0.2">
      <c r="B129" s="120" t="s">
        <v>512</v>
      </c>
      <c r="C129" s="121" t="s">
        <v>513</v>
      </c>
      <c r="D129" s="122">
        <v>40.65</v>
      </c>
      <c r="E129" s="122">
        <v>-0.01</v>
      </c>
    </row>
    <row r="130" spans="2:5" x14ac:dyDescent="0.2">
      <c r="B130" s="120" t="s">
        <v>514</v>
      </c>
      <c r="C130" s="121" t="s">
        <v>515</v>
      </c>
      <c r="D130" s="122">
        <v>17.34</v>
      </c>
      <c r="E130" s="122">
        <v>0.11</v>
      </c>
    </row>
    <row r="131" spans="2:5" x14ac:dyDescent="0.2">
      <c r="B131" s="120" t="s">
        <v>516</v>
      </c>
      <c r="C131" s="121" t="s">
        <v>517</v>
      </c>
      <c r="D131" s="122">
        <v>-14.15</v>
      </c>
      <c r="E131" s="122">
        <v>-0.22</v>
      </c>
    </row>
    <row r="132" spans="2:5" x14ac:dyDescent="0.2">
      <c r="B132" s="120" t="s">
        <v>518</v>
      </c>
      <c r="C132" s="121" t="s">
        <v>519</v>
      </c>
      <c r="D132" s="122">
        <v>9.0500000000000007</v>
      </c>
      <c r="E132" s="122">
        <v>7.0000000000000007E-2</v>
      </c>
    </row>
    <row r="133" spans="2:5" x14ac:dyDescent="0.2">
      <c r="B133" s="120" t="s">
        <v>520</v>
      </c>
      <c r="C133" s="121" t="s">
        <v>521</v>
      </c>
      <c r="D133" s="122">
        <v>16.739999999999998</v>
      </c>
      <c r="E133" s="122">
        <v>0.11</v>
      </c>
    </row>
    <row r="134" spans="2:5" x14ac:dyDescent="0.2">
      <c r="B134" s="120" t="s">
        <v>522</v>
      </c>
      <c r="C134" s="121" t="s">
        <v>523</v>
      </c>
      <c r="D134" s="122">
        <v>54.5</v>
      </c>
      <c r="E134" s="122">
        <v>0.64</v>
      </c>
    </row>
    <row r="135" spans="2:5" x14ac:dyDescent="0.2">
      <c r="B135" s="120" t="s">
        <v>524</v>
      </c>
      <c r="C135" s="121" t="s">
        <v>525</v>
      </c>
      <c r="D135" s="122">
        <v>28.05</v>
      </c>
      <c r="E135" s="122">
        <v>0.28999999999999998</v>
      </c>
    </row>
    <row r="136" spans="2:5" x14ac:dyDescent="0.2">
      <c r="B136" s="120" t="s">
        <v>526</v>
      </c>
      <c r="C136" s="121" t="s">
        <v>527</v>
      </c>
      <c r="D136" s="122">
        <v>24.97</v>
      </c>
      <c r="E136" s="122">
        <v>0.06</v>
      </c>
    </row>
    <row r="137" spans="2:5" x14ac:dyDescent="0.2">
      <c r="B137" s="120" t="s">
        <v>528</v>
      </c>
      <c r="C137" s="121" t="s">
        <v>529</v>
      </c>
      <c r="D137" s="122"/>
      <c r="E137" s="122">
        <v>-3.1</v>
      </c>
    </row>
    <row r="138" spans="2:5" x14ac:dyDescent="0.2">
      <c r="B138" s="120" t="s">
        <v>3855</v>
      </c>
      <c r="C138" s="121" t="s">
        <v>3856</v>
      </c>
      <c r="D138" s="122">
        <v>85.41</v>
      </c>
      <c r="E138" s="122">
        <v>0.76</v>
      </c>
    </row>
    <row r="139" spans="2:5" x14ac:dyDescent="0.2">
      <c r="B139" s="120" t="s">
        <v>530</v>
      </c>
      <c r="C139" s="121" t="s">
        <v>531</v>
      </c>
      <c r="D139" s="122">
        <v>7.48</v>
      </c>
      <c r="E139" s="122">
        <v>0.08</v>
      </c>
    </row>
    <row r="140" spans="2:5" x14ac:dyDescent="0.2">
      <c r="B140" s="120" t="s">
        <v>532</v>
      </c>
      <c r="C140" s="121" t="s">
        <v>533</v>
      </c>
      <c r="D140" s="122">
        <v>3.52</v>
      </c>
      <c r="E140" s="122">
        <v>0.04</v>
      </c>
    </row>
    <row r="141" spans="2:5" x14ac:dyDescent="0.2">
      <c r="B141" s="120" t="s">
        <v>534</v>
      </c>
      <c r="C141" s="121" t="s">
        <v>535</v>
      </c>
      <c r="D141" s="122">
        <v>5.62</v>
      </c>
      <c r="E141" s="122">
        <v>0.05</v>
      </c>
    </row>
    <row r="142" spans="2:5" x14ac:dyDescent="0.2">
      <c r="B142" s="120" t="s">
        <v>536</v>
      </c>
      <c r="C142" s="121" t="s">
        <v>537</v>
      </c>
      <c r="D142" s="122">
        <v>2.39</v>
      </c>
      <c r="E142" s="122">
        <v>0.02</v>
      </c>
    </row>
    <row r="143" spans="2:5" x14ac:dyDescent="0.2">
      <c r="B143" s="120" t="s">
        <v>538</v>
      </c>
      <c r="C143" s="121" t="s">
        <v>539</v>
      </c>
      <c r="D143" s="122">
        <v>10.91</v>
      </c>
      <c r="E143" s="122">
        <v>0.03</v>
      </c>
    </row>
    <row r="144" spans="2:5" x14ac:dyDescent="0.2">
      <c r="B144" s="120" t="s">
        <v>540</v>
      </c>
      <c r="C144" s="121" t="s">
        <v>541</v>
      </c>
      <c r="D144" s="122">
        <v>28.59</v>
      </c>
      <c r="E144" s="122">
        <v>0.22</v>
      </c>
    </row>
    <row r="145" spans="2:5" x14ac:dyDescent="0.2">
      <c r="B145" s="120" t="s">
        <v>542</v>
      </c>
      <c r="C145" s="121" t="s">
        <v>543</v>
      </c>
      <c r="D145" s="122"/>
      <c r="E145" s="122">
        <v>7.0000000000000007E-2</v>
      </c>
    </row>
    <row r="146" spans="2:5" x14ac:dyDescent="0.2">
      <c r="B146" s="120" t="s">
        <v>544</v>
      </c>
      <c r="C146" s="121" t="s">
        <v>545</v>
      </c>
      <c r="D146" s="122">
        <v>2.73</v>
      </c>
      <c r="E146" s="122">
        <v>0.03</v>
      </c>
    </row>
    <row r="147" spans="2:5" x14ac:dyDescent="0.2">
      <c r="B147" s="120" t="s">
        <v>3857</v>
      </c>
      <c r="C147" s="121" t="s">
        <v>3858</v>
      </c>
      <c r="D147" s="122">
        <v>6.13</v>
      </c>
      <c r="E147" s="122">
        <v>0.06</v>
      </c>
    </row>
    <row r="148" spans="2:5" x14ac:dyDescent="0.2">
      <c r="B148" s="120" t="s">
        <v>546</v>
      </c>
      <c r="C148" s="121" t="s">
        <v>547</v>
      </c>
      <c r="D148" s="122">
        <v>6.32</v>
      </c>
      <c r="E148" s="122">
        <v>0.05</v>
      </c>
    </row>
    <row r="149" spans="2:5" x14ac:dyDescent="0.2">
      <c r="B149" s="120" t="s">
        <v>548</v>
      </c>
      <c r="C149" s="121" t="s">
        <v>549</v>
      </c>
      <c r="D149" s="122">
        <v>6.02</v>
      </c>
      <c r="E149" s="122">
        <v>0.03</v>
      </c>
    </row>
    <row r="150" spans="2:5" x14ac:dyDescent="0.2">
      <c r="B150" s="120" t="s">
        <v>550</v>
      </c>
      <c r="C150" s="121" t="s">
        <v>551</v>
      </c>
      <c r="D150" s="122">
        <v>18.100000000000001</v>
      </c>
      <c r="E150" s="122">
        <v>0.18</v>
      </c>
    </row>
    <row r="151" spans="2:5" x14ac:dyDescent="0.2">
      <c r="B151" s="120" t="s">
        <v>3859</v>
      </c>
      <c r="C151" s="121" t="s">
        <v>3860</v>
      </c>
      <c r="D151" s="122">
        <v>24.99</v>
      </c>
      <c r="E151" s="122">
        <v>0.19</v>
      </c>
    </row>
    <row r="152" spans="2:5" x14ac:dyDescent="0.2">
      <c r="B152" s="120" t="s">
        <v>552</v>
      </c>
      <c r="C152" s="121" t="s">
        <v>553</v>
      </c>
      <c r="D152" s="122">
        <v>23.08</v>
      </c>
      <c r="E152" s="122">
        <v>0.24</v>
      </c>
    </row>
    <row r="153" spans="2:5" x14ac:dyDescent="0.2">
      <c r="B153" s="120" t="s">
        <v>554</v>
      </c>
      <c r="C153" s="121" t="s">
        <v>555</v>
      </c>
      <c r="D153" s="122">
        <v>-932.52</v>
      </c>
      <c r="E153" s="122">
        <v>-12.3</v>
      </c>
    </row>
    <row r="154" spans="2:5" x14ac:dyDescent="0.2">
      <c r="B154" s="120" t="s">
        <v>556</v>
      </c>
      <c r="C154" s="121" t="s">
        <v>557</v>
      </c>
      <c r="D154" s="122">
        <v>34.549999999999997</v>
      </c>
      <c r="E154" s="122">
        <v>0.32</v>
      </c>
    </row>
    <row r="155" spans="2:5" x14ac:dyDescent="0.2">
      <c r="B155" s="120" t="s">
        <v>558</v>
      </c>
      <c r="C155" s="121" t="s">
        <v>559</v>
      </c>
      <c r="D155" s="122">
        <v>4.0999999999999996</v>
      </c>
      <c r="E155" s="122">
        <v>7.0000000000000007E-2</v>
      </c>
    </row>
    <row r="156" spans="2:5" x14ac:dyDescent="0.2">
      <c r="B156" s="120" t="s">
        <v>3861</v>
      </c>
      <c r="C156" s="121" t="s">
        <v>3862</v>
      </c>
      <c r="D156" s="122"/>
      <c r="E156" s="122">
        <v>0.04</v>
      </c>
    </row>
    <row r="157" spans="2:5" x14ac:dyDescent="0.2">
      <c r="B157" s="120" t="s">
        <v>3863</v>
      </c>
      <c r="C157" s="121" t="s">
        <v>3864</v>
      </c>
      <c r="D157" s="122"/>
      <c r="E157" s="122">
        <v>0.56000000000000005</v>
      </c>
    </row>
    <row r="158" spans="2:5" x14ac:dyDescent="0.2">
      <c r="B158" s="120" t="s">
        <v>560</v>
      </c>
      <c r="C158" s="121" t="s">
        <v>561</v>
      </c>
      <c r="D158" s="122">
        <v>19.87</v>
      </c>
      <c r="E158" s="122">
        <v>0.2</v>
      </c>
    </row>
    <row r="159" spans="2:5" x14ac:dyDescent="0.2">
      <c r="B159" s="120" t="s">
        <v>562</v>
      </c>
      <c r="C159" s="121" t="s">
        <v>563</v>
      </c>
      <c r="D159" s="122">
        <v>26.74</v>
      </c>
      <c r="E159" s="122">
        <v>0.16</v>
      </c>
    </row>
    <row r="160" spans="2:5" x14ac:dyDescent="0.2">
      <c r="B160" s="120" t="s">
        <v>564</v>
      </c>
      <c r="C160" s="121" t="s">
        <v>565</v>
      </c>
      <c r="D160" s="122">
        <v>42.14</v>
      </c>
      <c r="E160" s="122">
        <v>0.4</v>
      </c>
    </row>
    <row r="161" spans="2:5" x14ac:dyDescent="0.2">
      <c r="B161" s="120" t="s">
        <v>566</v>
      </c>
      <c r="C161" s="121" t="s">
        <v>567</v>
      </c>
      <c r="D161" s="122">
        <v>17.100000000000001</v>
      </c>
      <c r="E161" s="122">
        <v>1.1100000000000001</v>
      </c>
    </row>
    <row r="162" spans="2:5" x14ac:dyDescent="0.2">
      <c r="B162" s="120" t="s">
        <v>568</v>
      </c>
      <c r="C162" s="121" t="s">
        <v>569</v>
      </c>
      <c r="D162" s="122">
        <v>17.170000000000002</v>
      </c>
      <c r="E162" s="122">
        <v>0.19</v>
      </c>
    </row>
    <row r="163" spans="2:5" x14ac:dyDescent="0.2">
      <c r="B163" s="120" t="s">
        <v>570</v>
      </c>
      <c r="C163" s="121" t="s">
        <v>571</v>
      </c>
      <c r="D163" s="122">
        <v>9.56</v>
      </c>
      <c r="E163" s="122">
        <v>7.0000000000000007E-2</v>
      </c>
    </row>
    <row r="164" spans="2:5" x14ac:dyDescent="0.2">
      <c r="B164" s="120" t="s">
        <v>572</v>
      </c>
      <c r="C164" s="121" t="s">
        <v>573</v>
      </c>
      <c r="D164" s="122">
        <v>4.5</v>
      </c>
      <c r="E164" s="122">
        <v>0</v>
      </c>
    </row>
    <row r="165" spans="2:5" x14ac:dyDescent="0.2">
      <c r="B165" s="120" t="s">
        <v>574</v>
      </c>
      <c r="C165" s="121" t="s">
        <v>575</v>
      </c>
      <c r="D165" s="122">
        <v>27.72</v>
      </c>
      <c r="E165" s="122">
        <v>0.24</v>
      </c>
    </row>
    <row r="166" spans="2:5" x14ac:dyDescent="0.2">
      <c r="B166" s="120" t="s">
        <v>576</v>
      </c>
      <c r="C166" s="121" t="s">
        <v>577</v>
      </c>
      <c r="D166" s="122"/>
      <c r="E166" s="122">
        <v>0.03</v>
      </c>
    </row>
    <row r="167" spans="2:5" x14ac:dyDescent="0.2">
      <c r="B167" s="120" t="s">
        <v>578</v>
      </c>
      <c r="C167" s="121" t="s">
        <v>579</v>
      </c>
      <c r="D167" s="122">
        <v>33.31</v>
      </c>
      <c r="E167" s="122">
        <v>0.23</v>
      </c>
    </row>
    <row r="168" spans="2:5" x14ac:dyDescent="0.2">
      <c r="B168" s="120" t="s">
        <v>580</v>
      </c>
      <c r="C168" s="121" t="s">
        <v>581</v>
      </c>
      <c r="D168" s="122"/>
      <c r="E168" s="122">
        <v>0.19</v>
      </c>
    </row>
    <row r="169" spans="2:5" x14ac:dyDescent="0.2">
      <c r="B169" s="120" t="s">
        <v>582</v>
      </c>
      <c r="C169" s="121" t="s">
        <v>583</v>
      </c>
      <c r="D169" s="122">
        <v>5.29</v>
      </c>
      <c r="E169" s="122">
        <v>-0.16</v>
      </c>
    </row>
    <row r="170" spans="2:5" x14ac:dyDescent="0.2">
      <c r="B170" s="120" t="s">
        <v>584</v>
      </c>
      <c r="C170" s="121" t="s">
        <v>585</v>
      </c>
      <c r="D170" s="122">
        <v>8.4700000000000006</v>
      </c>
      <c r="E170" s="122">
        <v>0.1</v>
      </c>
    </row>
    <row r="171" spans="2:5" x14ac:dyDescent="0.2">
      <c r="B171" s="120" t="s">
        <v>586</v>
      </c>
      <c r="C171" s="121" t="s">
        <v>587</v>
      </c>
      <c r="D171" s="122">
        <v>14.64</v>
      </c>
      <c r="E171" s="122">
        <v>0.09</v>
      </c>
    </row>
    <row r="172" spans="2:5" x14ac:dyDescent="0.2">
      <c r="B172" s="120" t="s">
        <v>588</v>
      </c>
      <c r="C172" s="121" t="s">
        <v>589</v>
      </c>
      <c r="D172" s="122">
        <v>41.83</v>
      </c>
      <c r="E172" s="122">
        <v>0.43</v>
      </c>
    </row>
    <row r="173" spans="2:5" x14ac:dyDescent="0.2">
      <c r="B173" s="120" t="s">
        <v>590</v>
      </c>
      <c r="C173" s="121" t="s">
        <v>591</v>
      </c>
      <c r="D173" s="122">
        <v>43.15</v>
      </c>
      <c r="E173" s="122">
        <v>0.59</v>
      </c>
    </row>
    <row r="174" spans="2:5" x14ac:dyDescent="0.2">
      <c r="B174" s="120" t="s">
        <v>3865</v>
      </c>
      <c r="C174" s="121" t="s">
        <v>3866</v>
      </c>
      <c r="D174" s="122">
        <v>16.96</v>
      </c>
      <c r="E174" s="122">
        <v>0.17</v>
      </c>
    </row>
    <row r="175" spans="2:5" x14ac:dyDescent="0.2">
      <c r="B175" s="120" t="s">
        <v>592</v>
      </c>
      <c r="C175" s="121" t="s">
        <v>593</v>
      </c>
      <c r="D175" s="122">
        <v>-7.53</v>
      </c>
      <c r="E175" s="122">
        <v>-0.28000000000000003</v>
      </c>
    </row>
    <row r="176" spans="2:5" x14ac:dyDescent="0.2">
      <c r="B176" s="120" t="s">
        <v>594</v>
      </c>
      <c r="C176" s="121" t="s">
        <v>595</v>
      </c>
      <c r="D176" s="122">
        <v>2.33</v>
      </c>
      <c r="E176" s="122">
        <v>0.01</v>
      </c>
    </row>
    <row r="177" spans="2:5" x14ac:dyDescent="0.2">
      <c r="B177" s="120" t="s">
        <v>3867</v>
      </c>
      <c r="C177" s="121" t="s">
        <v>3868</v>
      </c>
      <c r="D177" s="122"/>
      <c r="E177" s="122"/>
    </row>
    <row r="178" spans="2:5" x14ac:dyDescent="0.2">
      <c r="B178" s="120" t="s">
        <v>596</v>
      </c>
      <c r="C178" s="121" t="s">
        <v>597</v>
      </c>
      <c r="D178" s="122"/>
      <c r="E178" s="122">
        <v>0.09</v>
      </c>
    </row>
    <row r="179" spans="2:5" x14ac:dyDescent="0.2">
      <c r="B179" s="120" t="s">
        <v>598</v>
      </c>
      <c r="C179" s="121" t="s">
        <v>599</v>
      </c>
      <c r="D179" s="122">
        <v>7.56</v>
      </c>
      <c r="E179" s="122">
        <v>7.0000000000000007E-2</v>
      </c>
    </row>
    <row r="180" spans="2:5" x14ac:dyDescent="0.2">
      <c r="B180" s="120" t="s">
        <v>3869</v>
      </c>
      <c r="C180" s="121" t="s">
        <v>3870</v>
      </c>
      <c r="D180" s="122"/>
      <c r="E180" s="122">
        <v>397.13</v>
      </c>
    </row>
    <row r="181" spans="2:5" x14ac:dyDescent="0.2">
      <c r="B181" s="120" t="s">
        <v>600</v>
      </c>
      <c r="C181" s="121" t="s">
        <v>601</v>
      </c>
      <c r="D181" s="122">
        <v>21.21</v>
      </c>
      <c r="E181" s="122">
        <v>0.19</v>
      </c>
    </row>
    <row r="182" spans="2:5" x14ac:dyDescent="0.2">
      <c r="B182" s="120" t="s">
        <v>602</v>
      </c>
      <c r="C182" s="121" t="s">
        <v>603</v>
      </c>
      <c r="D182" s="122">
        <v>17.68</v>
      </c>
      <c r="E182" s="122">
        <v>0.16</v>
      </c>
    </row>
    <row r="183" spans="2:5" x14ac:dyDescent="0.2">
      <c r="B183" s="120" t="s">
        <v>604</v>
      </c>
      <c r="C183" s="121" t="s">
        <v>605</v>
      </c>
      <c r="D183" s="122">
        <v>15.91</v>
      </c>
      <c r="E183" s="122">
        <v>0.15</v>
      </c>
    </row>
    <row r="184" spans="2:5" x14ac:dyDescent="0.2">
      <c r="B184" s="120" t="s">
        <v>606</v>
      </c>
      <c r="C184" s="121" t="s">
        <v>607</v>
      </c>
      <c r="D184" s="122"/>
      <c r="E184" s="122">
        <v>0.03</v>
      </c>
    </row>
    <row r="185" spans="2:5" x14ac:dyDescent="0.2">
      <c r="B185" s="120" t="s">
        <v>608</v>
      </c>
      <c r="C185" s="121" t="s">
        <v>609</v>
      </c>
      <c r="D185" s="122">
        <v>15.84</v>
      </c>
      <c r="E185" s="122">
        <v>0.17</v>
      </c>
    </row>
    <row r="186" spans="2:5" x14ac:dyDescent="0.2">
      <c r="B186" s="120" t="s">
        <v>610</v>
      </c>
      <c r="C186" s="121" t="s">
        <v>611</v>
      </c>
      <c r="D186" s="122">
        <v>3.98</v>
      </c>
      <c r="E186" s="122">
        <v>0.01</v>
      </c>
    </row>
    <row r="187" spans="2:5" x14ac:dyDescent="0.2">
      <c r="B187" s="120" t="s">
        <v>612</v>
      </c>
      <c r="C187" s="121" t="s">
        <v>613</v>
      </c>
      <c r="D187" s="122">
        <v>7.89</v>
      </c>
      <c r="E187" s="122">
        <v>0.04</v>
      </c>
    </row>
    <row r="188" spans="2:5" x14ac:dyDescent="0.2">
      <c r="B188" s="120" t="s">
        <v>614</v>
      </c>
      <c r="C188" s="121" t="s">
        <v>615</v>
      </c>
      <c r="D188" s="122">
        <v>10.01</v>
      </c>
      <c r="E188" s="122"/>
    </row>
    <row r="189" spans="2:5" x14ac:dyDescent="0.2">
      <c r="B189" s="120" t="s">
        <v>616</v>
      </c>
      <c r="C189" s="121" t="s">
        <v>617</v>
      </c>
      <c r="D189" s="122">
        <v>3.17</v>
      </c>
      <c r="E189" s="122">
        <v>0.14000000000000001</v>
      </c>
    </row>
    <row r="190" spans="2:5" x14ac:dyDescent="0.2">
      <c r="B190" s="120" t="s">
        <v>618</v>
      </c>
      <c r="C190" s="121" t="s">
        <v>619</v>
      </c>
      <c r="D190" s="122">
        <v>21.23</v>
      </c>
      <c r="E190" s="122">
        <v>0.1</v>
      </c>
    </row>
    <row r="191" spans="2:5" x14ac:dyDescent="0.2">
      <c r="B191" s="120" t="s">
        <v>620</v>
      </c>
      <c r="C191" s="121" t="s">
        <v>621</v>
      </c>
      <c r="D191" s="122">
        <v>13.52</v>
      </c>
      <c r="E191" s="122"/>
    </row>
    <row r="192" spans="2:5" x14ac:dyDescent="0.2">
      <c r="B192" s="120" t="s">
        <v>622</v>
      </c>
      <c r="C192" s="121" t="s">
        <v>623</v>
      </c>
      <c r="D192" s="122">
        <v>48.34</v>
      </c>
      <c r="E192" s="122">
        <v>0.44</v>
      </c>
    </row>
    <row r="193" spans="2:5" x14ac:dyDescent="0.2">
      <c r="B193" s="120" t="s">
        <v>624</v>
      </c>
      <c r="C193" s="121" t="s">
        <v>625</v>
      </c>
      <c r="D193" s="122">
        <v>7.34</v>
      </c>
      <c r="E193" s="122">
        <v>0.06</v>
      </c>
    </row>
    <row r="194" spans="2:5" x14ac:dyDescent="0.2">
      <c r="B194" s="120" t="s">
        <v>626</v>
      </c>
      <c r="C194" s="121" t="s">
        <v>627</v>
      </c>
      <c r="D194" s="122">
        <v>7.28</v>
      </c>
      <c r="E194" s="122">
        <v>0.05</v>
      </c>
    </row>
    <row r="195" spans="2:5" x14ac:dyDescent="0.2">
      <c r="B195" s="120" t="s">
        <v>628</v>
      </c>
      <c r="C195" s="121" t="s">
        <v>629</v>
      </c>
      <c r="D195" s="122">
        <v>9.4499999999999993</v>
      </c>
      <c r="E195" s="122">
        <v>0.1</v>
      </c>
    </row>
    <row r="196" spans="2:5" x14ac:dyDescent="0.2">
      <c r="B196" s="120" t="s">
        <v>630</v>
      </c>
      <c r="C196" s="121" t="s">
        <v>631</v>
      </c>
      <c r="D196" s="122">
        <v>26.98</v>
      </c>
      <c r="E196" s="122">
        <v>0.23</v>
      </c>
    </row>
    <row r="197" spans="2:5" x14ac:dyDescent="0.2">
      <c r="B197" s="120" t="s">
        <v>632</v>
      </c>
      <c r="C197" s="121" t="s">
        <v>633</v>
      </c>
      <c r="D197" s="122">
        <v>31.77</v>
      </c>
      <c r="E197" s="122">
        <v>0.25</v>
      </c>
    </row>
    <row r="198" spans="2:5" x14ac:dyDescent="0.2">
      <c r="B198" s="120" t="s">
        <v>3871</v>
      </c>
      <c r="C198" s="121" t="s">
        <v>3872</v>
      </c>
      <c r="D198" s="122"/>
      <c r="E198" s="122"/>
    </row>
    <row r="199" spans="2:5" x14ac:dyDescent="0.2">
      <c r="B199" s="120" t="s">
        <v>634</v>
      </c>
      <c r="C199" s="121" t="s">
        <v>635</v>
      </c>
      <c r="D199" s="122"/>
      <c r="E199" s="122">
        <v>0.05</v>
      </c>
    </row>
    <row r="200" spans="2:5" x14ac:dyDescent="0.2">
      <c r="B200" s="120" t="s">
        <v>636</v>
      </c>
      <c r="C200" s="121" t="s">
        <v>637</v>
      </c>
      <c r="D200" s="122">
        <v>5.93</v>
      </c>
      <c r="E200" s="122">
        <v>0.06</v>
      </c>
    </row>
    <row r="201" spans="2:5" x14ac:dyDescent="0.2">
      <c r="B201" s="120" t="s">
        <v>3873</v>
      </c>
      <c r="C201" s="121" t="s">
        <v>3874</v>
      </c>
      <c r="D201" s="122">
        <v>4.8600000000000003</v>
      </c>
      <c r="E201" s="122">
        <v>0.06</v>
      </c>
    </row>
    <row r="202" spans="2:5" x14ac:dyDescent="0.2">
      <c r="B202" s="120" t="s">
        <v>638</v>
      </c>
      <c r="C202" s="121" t="s">
        <v>639</v>
      </c>
      <c r="D202" s="122">
        <v>4.8600000000000003</v>
      </c>
      <c r="E202" s="122">
        <v>7.0000000000000007E-2</v>
      </c>
    </row>
    <row r="203" spans="2:5" x14ac:dyDescent="0.2">
      <c r="B203" s="120" t="s">
        <v>640</v>
      </c>
      <c r="C203" s="121" t="s">
        <v>641</v>
      </c>
      <c r="D203" s="122">
        <v>30.38</v>
      </c>
      <c r="E203" s="122">
        <v>0.26</v>
      </c>
    </row>
    <row r="204" spans="2:5" x14ac:dyDescent="0.2">
      <c r="B204" s="120" t="s">
        <v>642</v>
      </c>
      <c r="C204" s="121" t="s">
        <v>643</v>
      </c>
      <c r="D204" s="122">
        <v>6.09</v>
      </c>
      <c r="E204" s="122">
        <v>0.08</v>
      </c>
    </row>
    <row r="205" spans="2:5" x14ac:dyDescent="0.2">
      <c r="B205" s="120" t="s">
        <v>644</v>
      </c>
      <c r="C205" s="121" t="s">
        <v>645</v>
      </c>
      <c r="D205" s="122">
        <v>15.52</v>
      </c>
      <c r="E205" s="122">
        <v>0.15</v>
      </c>
    </row>
    <row r="206" spans="2:5" x14ac:dyDescent="0.2">
      <c r="B206" s="120" t="s">
        <v>646</v>
      </c>
      <c r="C206" s="121" t="s">
        <v>647</v>
      </c>
      <c r="D206" s="122">
        <v>11.35</v>
      </c>
      <c r="E206" s="122">
        <v>0.04</v>
      </c>
    </row>
    <row r="207" spans="2:5" x14ac:dyDescent="0.2">
      <c r="B207" s="120" t="s">
        <v>648</v>
      </c>
      <c r="C207" s="121" t="s">
        <v>649</v>
      </c>
      <c r="D207" s="122">
        <v>11.8</v>
      </c>
      <c r="E207" s="122">
        <v>0.1</v>
      </c>
    </row>
    <row r="208" spans="2:5" x14ac:dyDescent="0.2">
      <c r="B208" s="120" t="s">
        <v>650</v>
      </c>
      <c r="C208" s="121" t="s">
        <v>651</v>
      </c>
      <c r="D208" s="122"/>
      <c r="E208" s="122">
        <v>0.05</v>
      </c>
    </row>
    <row r="209" spans="2:5" x14ac:dyDescent="0.2">
      <c r="B209" s="120" t="s">
        <v>652</v>
      </c>
      <c r="C209" s="121" t="s">
        <v>653</v>
      </c>
      <c r="D209" s="122">
        <v>17.670000000000002</v>
      </c>
      <c r="E209" s="122">
        <v>0.16</v>
      </c>
    </row>
    <row r="210" spans="2:5" x14ac:dyDescent="0.2">
      <c r="B210" s="120" t="s">
        <v>652</v>
      </c>
      <c r="C210" s="121" t="s">
        <v>3875</v>
      </c>
      <c r="D210" s="122">
        <v>17.670000000000002</v>
      </c>
      <c r="E210" s="122">
        <v>0.16</v>
      </c>
    </row>
    <row r="211" spans="2:5" x14ac:dyDescent="0.2">
      <c r="B211" s="120" t="s">
        <v>3876</v>
      </c>
      <c r="C211" s="121" t="s">
        <v>3877</v>
      </c>
      <c r="D211" s="122"/>
      <c r="E211" s="122"/>
    </row>
    <row r="212" spans="2:5" x14ac:dyDescent="0.2">
      <c r="B212" s="120" t="s">
        <v>654</v>
      </c>
      <c r="C212" s="121" t="s">
        <v>655</v>
      </c>
      <c r="D212" s="122"/>
      <c r="E212" s="122">
        <v>0.19</v>
      </c>
    </row>
    <row r="213" spans="2:5" x14ac:dyDescent="0.2">
      <c r="B213" s="120" t="s">
        <v>3878</v>
      </c>
      <c r="C213" s="121" t="s">
        <v>3879</v>
      </c>
      <c r="D213" s="122">
        <v>73.62</v>
      </c>
      <c r="E213" s="122">
        <v>0.73</v>
      </c>
    </row>
    <row r="214" spans="2:5" x14ac:dyDescent="0.2">
      <c r="B214" s="120" t="s">
        <v>656</v>
      </c>
      <c r="C214" s="121" t="s">
        <v>657</v>
      </c>
      <c r="D214" s="122">
        <v>28.65</v>
      </c>
      <c r="E214" s="122">
        <v>0.25</v>
      </c>
    </row>
    <row r="215" spans="2:5" x14ac:dyDescent="0.2">
      <c r="B215" s="120" t="s">
        <v>3880</v>
      </c>
      <c r="C215" s="121" t="s">
        <v>3881</v>
      </c>
      <c r="D215" s="122">
        <v>1.95</v>
      </c>
      <c r="E215" s="122">
        <v>0</v>
      </c>
    </row>
    <row r="216" spans="2:5" x14ac:dyDescent="0.2">
      <c r="B216" s="120" t="s">
        <v>658</v>
      </c>
      <c r="C216" s="121" t="s">
        <v>659</v>
      </c>
      <c r="D216" s="122">
        <v>23.08</v>
      </c>
      <c r="E216" s="122">
        <v>0.31</v>
      </c>
    </row>
    <row r="217" spans="2:5" x14ac:dyDescent="0.2">
      <c r="B217" s="120" t="s">
        <v>660</v>
      </c>
      <c r="C217" s="121" t="s">
        <v>661</v>
      </c>
      <c r="D217" s="122">
        <v>3.65</v>
      </c>
      <c r="E217" s="122">
        <v>0.03</v>
      </c>
    </row>
    <row r="218" spans="2:5" x14ac:dyDescent="0.2">
      <c r="B218" s="120" t="s">
        <v>662</v>
      </c>
      <c r="C218" s="121" t="s">
        <v>663</v>
      </c>
      <c r="D218" s="122">
        <v>8.26</v>
      </c>
      <c r="E218" s="122">
        <v>0.05</v>
      </c>
    </row>
    <row r="219" spans="2:5" x14ac:dyDescent="0.2">
      <c r="B219" s="120" t="s">
        <v>664</v>
      </c>
      <c r="C219" s="121" t="s">
        <v>665</v>
      </c>
      <c r="D219" s="122"/>
      <c r="E219" s="122">
        <v>1.33</v>
      </c>
    </row>
    <row r="220" spans="2:5" x14ac:dyDescent="0.2">
      <c r="B220" s="120" t="s">
        <v>666</v>
      </c>
      <c r="C220" s="121" t="s">
        <v>667</v>
      </c>
      <c r="D220" s="122">
        <v>13.51</v>
      </c>
      <c r="E220" s="122">
        <v>0.12</v>
      </c>
    </row>
    <row r="221" spans="2:5" x14ac:dyDescent="0.2">
      <c r="B221" s="120" t="s">
        <v>668</v>
      </c>
      <c r="C221" s="121" t="s">
        <v>669</v>
      </c>
      <c r="D221" s="122">
        <v>33.56</v>
      </c>
      <c r="E221" s="122">
        <v>0.24</v>
      </c>
    </row>
    <row r="222" spans="2:5" x14ac:dyDescent="0.2">
      <c r="B222" s="120" t="s">
        <v>3882</v>
      </c>
      <c r="C222" s="121" t="s">
        <v>3883</v>
      </c>
      <c r="D222" s="122"/>
      <c r="E222" s="122">
        <v>0.28000000000000003</v>
      </c>
    </row>
    <row r="223" spans="2:5" x14ac:dyDescent="0.2">
      <c r="B223" s="120" t="s">
        <v>670</v>
      </c>
      <c r="C223" s="121" t="s">
        <v>671</v>
      </c>
      <c r="D223" s="122"/>
      <c r="E223" s="122">
        <v>0.04</v>
      </c>
    </row>
    <row r="224" spans="2:5" x14ac:dyDescent="0.2">
      <c r="B224" s="120" t="s">
        <v>3884</v>
      </c>
      <c r="C224" s="121" t="s">
        <v>3885</v>
      </c>
      <c r="D224" s="122"/>
      <c r="E224" s="122"/>
    </row>
    <row r="225" spans="2:5" x14ac:dyDescent="0.2">
      <c r="B225" s="120" t="s">
        <v>672</v>
      </c>
      <c r="C225" s="121" t="s">
        <v>673</v>
      </c>
      <c r="D225" s="122">
        <v>5.15</v>
      </c>
      <c r="E225" s="122">
        <v>-0.01</v>
      </c>
    </row>
    <row r="226" spans="2:5" x14ac:dyDescent="0.2">
      <c r="B226" s="120" t="s">
        <v>674</v>
      </c>
      <c r="C226" s="121" t="s">
        <v>675</v>
      </c>
      <c r="D226" s="122">
        <v>15.35</v>
      </c>
      <c r="E226" s="122">
        <v>0.12</v>
      </c>
    </row>
    <row r="227" spans="2:5" x14ac:dyDescent="0.2">
      <c r="B227" s="120" t="s">
        <v>676</v>
      </c>
      <c r="C227" s="121" t="s">
        <v>677</v>
      </c>
      <c r="D227" s="122">
        <v>15.95</v>
      </c>
      <c r="E227" s="122">
        <v>0.1</v>
      </c>
    </row>
    <row r="228" spans="2:5" x14ac:dyDescent="0.2">
      <c r="B228" s="120" t="s">
        <v>3886</v>
      </c>
      <c r="C228" s="121" t="s">
        <v>3887</v>
      </c>
      <c r="D228" s="122">
        <v>11.91</v>
      </c>
      <c r="E228" s="122">
        <v>0.1</v>
      </c>
    </row>
    <row r="229" spans="2:5" x14ac:dyDescent="0.2">
      <c r="B229" s="120" t="s">
        <v>678</v>
      </c>
      <c r="C229" s="121" t="s">
        <v>679</v>
      </c>
      <c r="D229" s="122">
        <v>18.399999999999999</v>
      </c>
      <c r="E229" s="122">
        <v>0.02</v>
      </c>
    </row>
    <row r="230" spans="2:5" x14ac:dyDescent="0.2">
      <c r="B230" s="120" t="s">
        <v>680</v>
      </c>
      <c r="C230" s="121" t="s">
        <v>681</v>
      </c>
      <c r="D230" s="122">
        <v>23.74</v>
      </c>
      <c r="E230" s="122">
        <v>0.12</v>
      </c>
    </row>
    <row r="231" spans="2:5" x14ac:dyDescent="0.2">
      <c r="B231" s="120" t="s">
        <v>3888</v>
      </c>
      <c r="C231" s="121" t="s">
        <v>3889</v>
      </c>
      <c r="D231" s="122">
        <v>9.16</v>
      </c>
      <c r="E231" s="122">
        <v>0.02</v>
      </c>
    </row>
    <row r="232" spans="2:5" x14ac:dyDescent="0.2">
      <c r="B232" s="120" t="s">
        <v>682</v>
      </c>
      <c r="C232" s="121" t="s">
        <v>683</v>
      </c>
      <c r="D232" s="122">
        <v>5.78</v>
      </c>
      <c r="E232" s="122">
        <v>0.06</v>
      </c>
    </row>
    <row r="233" spans="2:5" x14ac:dyDescent="0.2">
      <c r="B233" s="120" t="s">
        <v>684</v>
      </c>
      <c r="C233" s="121" t="s">
        <v>685</v>
      </c>
      <c r="D233" s="122">
        <v>24.7</v>
      </c>
      <c r="E233" s="122">
        <v>0.25</v>
      </c>
    </row>
    <row r="234" spans="2:5" x14ac:dyDescent="0.2">
      <c r="B234" s="120" t="s">
        <v>686</v>
      </c>
      <c r="C234" s="121" t="s">
        <v>687</v>
      </c>
      <c r="D234" s="122">
        <v>24.7</v>
      </c>
      <c r="E234" s="122">
        <v>0.25</v>
      </c>
    </row>
    <row r="235" spans="2:5" x14ac:dyDescent="0.2">
      <c r="B235" s="120" t="s">
        <v>688</v>
      </c>
      <c r="C235" s="121" t="s">
        <v>689</v>
      </c>
      <c r="D235" s="122">
        <v>10.220000000000001</v>
      </c>
      <c r="E235" s="122">
        <v>0.08</v>
      </c>
    </row>
    <row r="236" spans="2:5" x14ac:dyDescent="0.2">
      <c r="B236" s="120" t="s">
        <v>690</v>
      </c>
      <c r="C236" s="121" t="s">
        <v>691</v>
      </c>
      <c r="D236" s="122">
        <v>1.55</v>
      </c>
      <c r="E236" s="122">
        <v>0.01</v>
      </c>
    </row>
    <row r="237" spans="2:5" x14ac:dyDescent="0.2">
      <c r="B237" s="120" t="s">
        <v>692</v>
      </c>
      <c r="C237" s="121" t="s">
        <v>693</v>
      </c>
      <c r="D237" s="122">
        <v>-153.32</v>
      </c>
      <c r="E237" s="122">
        <v>-3.4</v>
      </c>
    </row>
    <row r="238" spans="2:5" x14ac:dyDescent="0.2">
      <c r="B238" s="120" t="s">
        <v>694</v>
      </c>
      <c r="C238" s="121" t="s">
        <v>695</v>
      </c>
      <c r="D238" s="122">
        <v>17.82</v>
      </c>
      <c r="E238" s="122">
        <v>-0.49</v>
      </c>
    </row>
    <row r="239" spans="2:5" x14ac:dyDescent="0.2">
      <c r="B239" s="120" t="s">
        <v>696</v>
      </c>
      <c r="C239" s="121" t="s">
        <v>697</v>
      </c>
      <c r="D239" s="122">
        <v>11.65</v>
      </c>
      <c r="E239" s="122">
        <v>0.1</v>
      </c>
    </row>
    <row r="240" spans="2:5" x14ac:dyDescent="0.2">
      <c r="B240" s="120" t="s">
        <v>698</v>
      </c>
      <c r="C240" s="121" t="s">
        <v>699</v>
      </c>
      <c r="D240" s="122">
        <v>1.61</v>
      </c>
      <c r="E240" s="122">
        <v>0.01</v>
      </c>
    </row>
    <row r="241" spans="2:5" x14ac:dyDescent="0.2">
      <c r="B241" s="120" t="s">
        <v>3890</v>
      </c>
      <c r="C241" s="121" t="s">
        <v>3891</v>
      </c>
      <c r="D241" s="122"/>
      <c r="E241" s="122">
        <v>0.41</v>
      </c>
    </row>
    <row r="242" spans="2:5" x14ac:dyDescent="0.2">
      <c r="B242" s="120" t="s">
        <v>700</v>
      </c>
      <c r="C242" s="121" t="s">
        <v>701</v>
      </c>
      <c r="D242" s="122"/>
      <c r="E242" s="122"/>
    </row>
    <row r="243" spans="2:5" x14ac:dyDescent="0.2">
      <c r="B243" s="120" t="s">
        <v>702</v>
      </c>
      <c r="C243" s="121" t="s">
        <v>703</v>
      </c>
      <c r="D243" s="122"/>
      <c r="E243" s="122">
        <v>0.19</v>
      </c>
    </row>
    <row r="244" spans="2:5" x14ac:dyDescent="0.2">
      <c r="B244" s="120" t="s">
        <v>704</v>
      </c>
      <c r="C244" s="121" t="s">
        <v>705</v>
      </c>
      <c r="D244" s="122">
        <v>14.96</v>
      </c>
      <c r="E244" s="122">
        <v>0.27</v>
      </c>
    </row>
    <row r="245" spans="2:5" x14ac:dyDescent="0.2">
      <c r="B245" s="120" t="s">
        <v>706</v>
      </c>
      <c r="C245" s="121" t="s">
        <v>707</v>
      </c>
      <c r="D245" s="122">
        <v>42.72</v>
      </c>
      <c r="E245" s="122">
        <v>0.33</v>
      </c>
    </row>
    <row r="246" spans="2:5" x14ac:dyDescent="0.2">
      <c r="B246" s="120" t="s">
        <v>708</v>
      </c>
      <c r="C246" s="121" t="s">
        <v>709</v>
      </c>
      <c r="D246" s="122">
        <v>-14.22</v>
      </c>
      <c r="E246" s="122">
        <v>-0.13</v>
      </c>
    </row>
    <row r="247" spans="2:5" x14ac:dyDescent="0.2">
      <c r="B247" s="120" t="s">
        <v>710</v>
      </c>
      <c r="C247" s="121" t="s">
        <v>711</v>
      </c>
      <c r="D247" s="122">
        <v>8.25</v>
      </c>
      <c r="E247" s="122">
        <v>0.16</v>
      </c>
    </row>
    <row r="248" spans="2:5" x14ac:dyDescent="0.2">
      <c r="B248" s="120" t="s">
        <v>710</v>
      </c>
      <c r="C248" s="121" t="s">
        <v>3892</v>
      </c>
      <c r="D248" s="122">
        <v>8.25</v>
      </c>
      <c r="E248" s="122">
        <v>0.16</v>
      </c>
    </row>
    <row r="249" spans="2:5" x14ac:dyDescent="0.2">
      <c r="B249" s="120" t="s">
        <v>712</v>
      </c>
      <c r="C249" s="121" t="s">
        <v>713</v>
      </c>
      <c r="D249" s="122">
        <v>3.32</v>
      </c>
      <c r="E249" s="122">
        <v>7.0000000000000007E-2</v>
      </c>
    </row>
    <row r="250" spans="2:5" x14ac:dyDescent="0.2">
      <c r="B250" s="120" t="s">
        <v>714</v>
      </c>
      <c r="C250" s="121" t="s">
        <v>715</v>
      </c>
      <c r="D250" s="122">
        <v>1.58</v>
      </c>
      <c r="E250" s="122">
        <v>0.01</v>
      </c>
    </row>
    <row r="251" spans="2:5" x14ac:dyDescent="0.2">
      <c r="B251" s="120" t="s">
        <v>716</v>
      </c>
      <c r="C251" s="121" t="s">
        <v>717</v>
      </c>
      <c r="D251" s="122">
        <v>25.58</v>
      </c>
      <c r="E251" s="122">
        <v>0.22</v>
      </c>
    </row>
    <row r="252" spans="2:5" x14ac:dyDescent="0.2">
      <c r="B252" s="120" t="s">
        <v>718</v>
      </c>
      <c r="C252" s="121" t="s">
        <v>719</v>
      </c>
      <c r="D252" s="122"/>
      <c r="E252" s="122">
        <v>0.22</v>
      </c>
    </row>
    <row r="253" spans="2:5" x14ac:dyDescent="0.2">
      <c r="B253" s="120" t="s">
        <v>720</v>
      </c>
      <c r="C253" s="121" t="s">
        <v>721</v>
      </c>
      <c r="D253" s="122"/>
      <c r="E253" s="122">
        <v>0.21</v>
      </c>
    </row>
    <row r="254" spans="2:5" x14ac:dyDescent="0.2">
      <c r="B254" s="120" t="s">
        <v>722</v>
      </c>
      <c r="C254" s="121" t="s">
        <v>723</v>
      </c>
      <c r="D254" s="122">
        <v>11.55</v>
      </c>
      <c r="E254" s="122">
        <v>0.15</v>
      </c>
    </row>
    <row r="255" spans="2:5" x14ac:dyDescent="0.2">
      <c r="B255" s="120" t="s">
        <v>3893</v>
      </c>
      <c r="C255" s="121" t="s">
        <v>3894</v>
      </c>
      <c r="D255" s="122">
        <v>13.65</v>
      </c>
      <c r="E255" s="122">
        <v>0.16</v>
      </c>
    </row>
    <row r="256" spans="2:5" x14ac:dyDescent="0.2">
      <c r="B256" s="120" t="s">
        <v>724</v>
      </c>
      <c r="C256" s="121" t="s">
        <v>725</v>
      </c>
      <c r="D256" s="122">
        <v>24.81</v>
      </c>
      <c r="E256" s="122">
        <v>0.15</v>
      </c>
    </row>
    <row r="257" spans="2:5" x14ac:dyDescent="0.2">
      <c r="B257" s="120" t="s">
        <v>726</v>
      </c>
      <c r="C257" s="121" t="s">
        <v>727</v>
      </c>
      <c r="D257" s="122">
        <v>29.75</v>
      </c>
      <c r="E257" s="122">
        <v>0.28000000000000003</v>
      </c>
    </row>
    <row r="258" spans="2:5" x14ac:dyDescent="0.2">
      <c r="B258" s="120" t="s">
        <v>728</v>
      </c>
      <c r="C258" s="121" t="s">
        <v>729</v>
      </c>
      <c r="D258" s="122">
        <v>26.23</v>
      </c>
      <c r="E258" s="122">
        <v>0.25</v>
      </c>
    </row>
    <row r="259" spans="2:5" x14ac:dyDescent="0.2">
      <c r="B259" s="120" t="s">
        <v>730</v>
      </c>
      <c r="C259" s="121" t="s">
        <v>731</v>
      </c>
      <c r="D259" s="122">
        <v>28.07</v>
      </c>
      <c r="E259" s="122">
        <v>0.21</v>
      </c>
    </row>
    <row r="260" spans="2:5" x14ac:dyDescent="0.2">
      <c r="B260" s="120" t="s">
        <v>732</v>
      </c>
      <c r="C260" s="121" t="s">
        <v>733</v>
      </c>
      <c r="D260" s="122">
        <v>6.71</v>
      </c>
      <c r="E260" s="122">
        <v>0.06</v>
      </c>
    </row>
    <row r="261" spans="2:5" x14ac:dyDescent="0.2">
      <c r="B261" s="120" t="s">
        <v>734</v>
      </c>
      <c r="C261" s="121" t="s">
        <v>735</v>
      </c>
      <c r="D261" s="122">
        <v>30.58</v>
      </c>
      <c r="E261" s="122">
        <v>0.3</v>
      </c>
    </row>
    <row r="262" spans="2:5" x14ac:dyDescent="0.2">
      <c r="B262" s="120" t="s">
        <v>736</v>
      </c>
      <c r="C262" s="121" t="s">
        <v>737</v>
      </c>
      <c r="D262" s="122">
        <v>13.3</v>
      </c>
      <c r="E262" s="122">
        <v>0.05</v>
      </c>
    </row>
    <row r="263" spans="2:5" x14ac:dyDescent="0.2">
      <c r="B263" s="120" t="s">
        <v>738</v>
      </c>
      <c r="C263" s="121" t="s">
        <v>739</v>
      </c>
      <c r="D263" s="122">
        <v>6.7</v>
      </c>
      <c r="E263" s="122">
        <v>0.04</v>
      </c>
    </row>
    <row r="264" spans="2:5" x14ac:dyDescent="0.2">
      <c r="B264" s="120" t="s">
        <v>740</v>
      </c>
      <c r="C264" s="121" t="s">
        <v>741</v>
      </c>
      <c r="D264" s="122">
        <v>-1158.04</v>
      </c>
      <c r="E264" s="122">
        <v>-10.18</v>
      </c>
    </row>
    <row r="265" spans="2:5" x14ac:dyDescent="0.2">
      <c r="B265" s="120" t="s">
        <v>3895</v>
      </c>
      <c r="C265" s="121" t="s">
        <v>3896</v>
      </c>
      <c r="D265" s="122"/>
      <c r="E265" s="122"/>
    </row>
    <row r="266" spans="2:5" x14ac:dyDescent="0.2">
      <c r="B266" s="120" t="s">
        <v>3897</v>
      </c>
      <c r="C266" s="121" t="s">
        <v>3898</v>
      </c>
      <c r="D266" s="122"/>
      <c r="E266" s="122"/>
    </row>
    <row r="267" spans="2:5" x14ac:dyDescent="0.2">
      <c r="B267" s="120" t="s">
        <v>742</v>
      </c>
      <c r="C267" s="121" t="s">
        <v>743</v>
      </c>
      <c r="D267" s="122">
        <v>24.38</v>
      </c>
      <c r="E267" s="122">
        <v>0.17</v>
      </c>
    </row>
    <row r="268" spans="2:5" x14ac:dyDescent="0.2">
      <c r="B268" s="120" t="s">
        <v>744</v>
      </c>
      <c r="C268" s="121" t="s">
        <v>745</v>
      </c>
      <c r="D268" s="122">
        <v>3.68</v>
      </c>
      <c r="E268" s="122">
        <v>-0.05</v>
      </c>
    </row>
    <row r="269" spans="2:5" x14ac:dyDescent="0.2">
      <c r="B269" s="120" t="s">
        <v>746</v>
      </c>
      <c r="C269" s="121" t="s">
        <v>747</v>
      </c>
      <c r="D269" s="122"/>
      <c r="E269" s="122">
        <v>0.06</v>
      </c>
    </row>
    <row r="270" spans="2:5" x14ac:dyDescent="0.2">
      <c r="B270" s="120" t="s">
        <v>748</v>
      </c>
      <c r="C270" s="121" t="s">
        <v>749</v>
      </c>
      <c r="D270" s="122">
        <v>29.62</v>
      </c>
      <c r="E270" s="122">
        <v>0.22</v>
      </c>
    </row>
    <row r="271" spans="2:5" x14ac:dyDescent="0.2">
      <c r="B271" s="120" t="s">
        <v>750</v>
      </c>
      <c r="C271" s="121" t="s">
        <v>751</v>
      </c>
      <c r="D271" s="122">
        <v>18.54</v>
      </c>
      <c r="E271" s="122">
        <v>0.18</v>
      </c>
    </row>
    <row r="272" spans="2:5" x14ac:dyDescent="0.2">
      <c r="B272" s="120" t="s">
        <v>752</v>
      </c>
      <c r="C272" s="121" t="s">
        <v>753</v>
      </c>
      <c r="D272" s="122">
        <v>29.07</v>
      </c>
      <c r="E272" s="122">
        <v>0.21</v>
      </c>
    </row>
    <row r="273" spans="2:5" x14ac:dyDescent="0.2">
      <c r="B273" s="120" t="s">
        <v>754</v>
      </c>
      <c r="C273" s="121" t="s">
        <v>755</v>
      </c>
      <c r="D273" s="122">
        <v>3.64</v>
      </c>
      <c r="E273" s="122">
        <v>0.04</v>
      </c>
    </row>
    <row r="274" spans="2:5" x14ac:dyDescent="0.2">
      <c r="B274" s="120" t="s">
        <v>756</v>
      </c>
      <c r="C274" s="121" t="s">
        <v>757</v>
      </c>
      <c r="D274" s="122">
        <v>33.89</v>
      </c>
      <c r="E274" s="122">
        <v>0.31</v>
      </c>
    </row>
    <row r="275" spans="2:5" x14ac:dyDescent="0.2">
      <c r="B275" s="120" t="s">
        <v>758</v>
      </c>
      <c r="C275" s="121" t="s">
        <v>759</v>
      </c>
      <c r="D275" s="122">
        <v>28.11</v>
      </c>
      <c r="E275" s="122">
        <v>0.24</v>
      </c>
    </row>
    <row r="276" spans="2:5" x14ac:dyDescent="0.2">
      <c r="B276" s="120" t="s">
        <v>3899</v>
      </c>
      <c r="C276" s="121" t="s">
        <v>3900</v>
      </c>
      <c r="D276" s="122">
        <v>7.88</v>
      </c>
      <c r="E276" s="122">
        <v>0.08</v>
      </c>
    </row>
    <row r="277" spans="2:5" x14ac:dyDescent="0.2">
      <c r="B277" s="120" t="s">
        <v>760</v>
      </c>
      <c r="C277" s="121" t="s">
        <v>761</v>
      </c>
      <c r="D277" s="122">
        <v>3.62</v>
      </c>
      <c r="E277" s="122">
        <v>0.04</v>
      </c>
    </row>
    <row r="278" spans="2:5" x14ac:dyDescent="0.2">
      <c r="B278" s="120" t="s">
        <v>762</v>
      </c>
      <c r="C278" s="121" t="s">
        <v>763</v>
      </c>
      <c r="D278" s="122">
        <v>4.18</v>
      </c>
      <c r="E278" s="122">
        <v>0.03</v>
      </c>
    </row>
    <row r="279" spans="2:5" x14ac:dyDescent="0.2">
      <c r="B279" s="120" t="s">
        <v>764</v>
      </c>
      <c r="C279" s="121" t="s">
        <v>765</v>
      </c>
      <c r="D279" s="122">
        <v>10.44</v>
      </c>
      <c r="E279" s="122">
        <v>-0.01</v>
      </c>
    </row>
    <row r="280" spans="2:5" x14ac:dyDescent="0.2">
      <c r="B280" s="120" t="s">
        <v>766</v>
      </c>
      <c r="C280" s="121" t="s">
        <v>767</v>
      </c>
      <c r="D280" s="122">
        <v>-4268.74</v>
      </c>
      <c r="E280" s="122">
        <v>-5.32</v>
      </c>
    </row>
    <row r="281" spans="2:5" x14ac:dyDescent="0.2">
      <c r="B281" s="120" t="s">
        <v>768</v>
      </c>
      <c r="C281" s="121" t="s">
        <v>769</v>
      </c>
      <c r="D281" s="122">
        <v>24.9</v>
      </c>
      <c r="E281" s="122">
        <v>0.23</v>
      </c>
    </row>
    <row r="282" spans="2:5" x14ac:dyDescent="0.2">
      <c r="B282" s="120" t="s">
        <v>3901</v>
      </c>
      <c r="C282" s="121" t="s">
        <v>3902</v>
      </c>
      <c r="D282" s="122">
        <v>21.13</v>
      </c>
      <c r="E282" s="122">
        <v>0.13</v>
      </c>
    </row>
    <row r="283" spans="2:5" x14ac:dyDescent="0.2">
      <c r="B283" s="120" t="s">
        <v>770</v>
      </c>
      <c r="C283" s="121" t="s">
        <v>771</v>
      </c>
      <c r="D283" s="122">
        <v>12.69</v>
      </c>
      <c r="E283" s="122">
        <v>0.11</v>
      </c>
    </row>
    <row r="284" spans="2:5" x14ac:dyDescent="0.2">
      <c r="B284" s="120" t="s">
        <v>772</v>
      </c>
      <c r="C284" s="121" t="s">
        <v>773</v>
      </c>
      <c r="D284" s="122">
        <v>6.5</v>
      </c>
      <c r="E284" s="122">
        <v>0.08</v>
      </c>
    </row>
    <row r="285" spans="2:5" x14ac:dyDescent="0.2">
      <c r="B285" s="120" t="s">
        <v>774</v>
      </c>
      <c r="C285" s="121" t="s">
        <v>775</v>
      </c>
      <c r="D285" s="122">
        <v>-2.2999999999999998</v>
      </c>
      <c r="E285" s="122">
        <v>-0.13</v>
      </c>
    </row>
    <row r="286" spans="2:5" x14ac:dyDescent="0.2">
      <c r="B286" s="120" t="s">
        <v>776</v>
      </c>
      <c r="C286" s="121" t="s">
        <v>3903</v>
      </c>
      <c r="D286" s="122">
        <v>9.66</v>
      </c>
      <c r="E286" s="122">
        <v>0.02</v>
      </c>
    </row>
    <row r="287" spans="2:5" x14ac:dyDescent="0.2">
      <c r="B287" s="120" t="s">
        <v>776</v>
      </c>
      <c r="C287" s="121" t="s">
        <v>777</v>
      </c>
      <c r="D287" s="122">
        <v>9.66</v>
      </c>
      <c r="E287" s="122">
        <v>0.02</v>
      </c>
    </row>
    <row r="288" spans="2:5" x14ac:dyDescent="0.2">
      <c r="B288" s="120" t="s">
        <v>778</v>
      </c>
      <c r="C288" s="121" t="s">
        <v>779</v>
      </c>
      <c r="D288" s="122">
        <v>3.18</v>
      </c>
      <c r="E288" s="122">
        <v>0.04</v>
      </c>
    </row>
    <row r="289" spans="2:5" x14ac:dyDescent="0.2">
      <c r="B289" s="120" t="s">
        <v>780</v>
      </c>
      <c r="C289" s="121" t="s">
        <v>781</v>
      </c>
      <c r="D289" s="122">
        <v>12.1</v>
      </c>
      <c r="E289" s="122">
        <v>0.09</v>
      </c>
    </row>
    <row r="290" spans="2:5" x14ac:dyDescent="0.2">
      <c r="B290" s="120" t="s">
        <v>782</v>
      </c>
      <c r="C290" s="121" t="s">
        <v>783</v>
      </c>
      <c r="D290" s="122">
        <v>17.28</v>
      </c>
      <c r="E290" s="122">
        <v>0.17</v>
      </c>
    </row>
    <row r="291" spans="2:5" x14ac:dyDescent="0.2">
      <c r="B291" s="120" t="s">
        <v>3904</v>
      </c>
      <c r="C291" s="121" t="s">
        <v>3905</v>
      </c>
      <c r="D291" s="122">
        <v>7.47</v>
      </c>
      <c r="E291" s="122">
        <v>0.08</v>
      </c>
    </row>
    <row r="292" spans="2:5" x14ac:dyDescent="0.2">
      <c r="B292" s="120" t="s">
        <v>784</v>
      </c>
      <c r="C292" s="121" t="s">
        <v>785</v>
      </c>
      <c r="D292" s="122">
        <v>30.07</v>
      </c>
      <c r="E292" s="122">
        <v>0.3</v>
      </c>
    </row>
    <row r="293" spans="2:5" x14ac:dyDescent="0.2">
      <c r="B293" s="120" t="s">
        <v>786</v>
      </c>
      <c r="C293" s="121" t="s">
        <v>787</v>
      </c>
      <c r="D293" s="122">
        <v>33.54</v>
      </c>
      <c r="E293" s="122">
        <v>0.25</v>
      </c>
    </row>
    <row r="294" spans="2:5" x14ac:dyDescent="0.2">
      <c r="B294" s="120" t="s">
        <v>788</v>
      </c>
      <c r="C294" s="121" t="s">
        <v>789</v>
      </c>
      <c r="D294" s="122">
        <v>22.46</v>
      </c>
      <c r="E294" s="122">
        <v>0.14000000000000001</v>
      </c>
    </row>
    <row r="295" spans="2:5" x14ac:dyDescent="0.2">
      <c r="B295" s="120" t="s">
        <v>792</v>
      </c>
      <c r="C295" s="121" t="s">
        <v>793</v>
      </c>
      <c r="D295" s="122">
        <v>24.4</v>
      </c>
      <c r="E295" s="122">
        <v>0.15</v>
      </c>
    </row>
    <row r="296" spans="2:5" x14ac:dyDescent="0.2">
      <c r="B296" s="120" t="s">
        <v>794</v>
      </c>
      <c r="C296" s="121" t="s">
        <v>795</v>
      </c>
      <c r="D296" s="122">
        <v>20.62</v>
      </c>
      <c r="E296" s="122">
        <v>0.17</v>
      </c>
    </row>
    <row r="297" spans="2:5" x14ac:dyDescent="0.2">
      <c r="B297" s="120" t="s">
        <v>796</v>
      </c>
      <c r="C297" s="121" t="s">
        <v>797</v>
      </c>
      <c r="D297" s="122"/>
      <c r="E297" s="122">
        <v>0.16</v>
      </c>
    </row>
    <row r="298" spans="2:5" x14ac:dyDescent="0.2">
      <c r="B298" s="120" t="s">
        <v>798</v>
      </c>
      <c r="C298" s="121" t="s">
        <v>799</v>
      </c>
      <c r="D298" s="122">
        <v>12.78</v>
      </c>
      <c r="E298" s="122">
        <v>0.02</v>
      </c>
    </row>
    <row r="299" spans="2:5" x14ac:dyDescent="0.2">
      <c r="B299" s="120" t="s">
        <v>800</v>
      </c>
      <c r="C299" s="121" t="s">
        <v>801</v>
      </c>
      <c r="D299" s="122"/>
      <c r="E299" s="122">
        <v>0.25</v>
      </c>
    </row>
    <row r="300" spans="2:5" x14ac:dyDescent="0.2">
      <c r="B300" s="120" t="s">
        <v>3906</v>
      </c>
      <c r="C300" s="121" t="s">
        <v>3907</v>
      </c>
      <c r="D300" s="122"/>
      <c r="E300" s="122">
        <v>-0.32</v>
      </c>
    </row>
    <row r="301" spans="2:5" x14ac:dyDescent="0.2">
      <c r="B301" s="120" t="s">
        <v>802</v>
      </c>
      <c r="C301" s="121" t="s">
        <v>803</v>
      </c>
      <c r="D301" s="122"/>
      <c r="E301" s="122">
        <v>0.1</v>
      </c>
    </row>
    <row r="302" spans="2:5" x14ac:dyDescent="0.2">
      <c r="B302" s="120" t="s">
        <v>3908</v>
      </c>
      <c r="C302" s="121" t="s">
        <v>3909</v>
      </c>
      <c r="D302" s="122"/>
      <c r="E302" s="122">
        <v>0.08</v>
      </c>
    </row>
    <row r="303" spans="2:5" x14ac:dyDescent="0.2">
      <c r="B303" s="120" t="s">
        <v>804</v>
      </c>
      <c r="C303" s="121" t="s">
        <v>805</v>
      </c>
      <c r="D303" s="122">
        <v>15.11</v>
      </c>
      <c r="E303" s="122">
        <v>0.08</v>
      </c>
    </row>
    <row r="304" spans="2:5" x14ac:dyDescent="0.2">
      <c r="B304" s="120" t="s">
        <v>806</v>
      </c>
      <c r="C304" s="121" t="s">
        <v>807</v>
      </c>
      <c r="D304" s="122"/>
      <c r="E304" s="122">
        <v>0.13</v>
      </c>
    </row>
    <row r="305" spans="2:5" x14ac:dyDescent="0.2">
      <c r="B305" s="120" t="s">
        <v>808</v>
      </c>
      <c r="C305" s="121" t="s">
        <v>809</v>
      </c>
      <c r="D305" s="122">
        <v>6.56</v>
      </c>
      <c r="E305" s="122">
        <v>0.06</v>
      </c>
    </row>
    <row r="306" spans="2:5" x14ac:dyDescent="0.2">
      <c r="B306" s="120" t="s">
        <v>810</v>
      </c>
      <c r="C306" s="121" t="s">
        <v>811</v>
      </c>
      <c r="D306" s="122">
        <v>4.49</v>
      </c>
      <c r="E306" s="122">
        <v>-0.01</v>
      </c>
    </row>
    <row r="307" spans="2:5" x14ac:dyDescent="0.2">
      <c r="B307" s="120" t="s">
        <v>812</v>
      </c>
      <c r="C307" s="121" t="s">
        <v>813</v>
      </c>
      <c r="D307" s="122"/>
      <c r="E307" s="122"/>
    </row>
    <row r="308" spans="2:5" x14ac:dyDescent="0.2">
      <c r="B308" s="120" t="s">
        <v>814</v>
      </c>
      <c r="C308" s="121" t="s">
        <v>815</v>
      </c>
      <c r="D308" s="122">
        <v>8.61</v>
      </c>
      <c r="E308" s="122">
        <v>0.09</v>
      </c>
    </row>
    <row r="309" spans="2:5" x14ac:dyDescent="0.2">
      <c r="B309" s="120" t="s">
        <v>816</v>
      </c>
      <c r="C309" s="121" t="s">
        <v>817</v>
      </c>
      <c r="D309" s="122">
        <v>13.53</v>
      </c>
      <c r="E309" s="122">
        <v>0.13</v>
      </c>
    </row>
    <row r="310" spans="2:5" x14ac:dyDescent="0.2">
      <c r="B310" s="120" t="s">
        <v>818</v>
      </c>
      <c r="C310" s="121" t="s">
        <v>819</v>
      </c>
      <c r="D310" s="122">
        <v>33.36</v>
      </c>
      <c r="E310" s="122">
        <v>0.23</v>
      </c>
    </row>
    <row r="311" spans="2:5" x14ac:dyDescent="0.2">
      <c r="B311" s="120" t="s">
        <v>3910</v>
      </c>
      <c r="C311" s="121" t="s">
        <v>3911</v>
      </c>
      <c r="D311" s="122"/>
      <c r="E311" s="122"/>
    </row>
    <row r="312" spans="2:5" x14ac:dyDescent="0.2">
      <c r="B312" s="120" t="s">
        <v>820</v>
      </c>
      <c r="C312" s="121" t="s">
        <v>821</v>
      </c>
      <c r="D312" s="122">
        <v>82.17</v>
      </c>
      <c r="E312" s="122">
        <v>0.72</v>
      </c>
    </row>
    <row r="313" spans="2:5" x14ac:dyDescent="0.2">
      <c r="B313" s="120" t="s">
        <v>822</v>
      </c>
      <c r="C313" s="121" t="s">
        <v>823</v>
      </c>
      <c r="D313" s="122">
        <v>20.49</v>
      </c>
      <c r="E313" s="122">
        <v>0.21</v>
      </c>
    </row>
    <row r="314" spans="2:5" x14ac:dyDescent="0.2">
      <c r="B314" s="120" t="s">
        <v>3912</v>
      </c>
      <c r="C314" s="121" t="s">
        <v>3913</v>
      </c>
      <c r="D314" s="122"/>
      <c r="E314" s="122">
        <v>-0.34</v>
      </c>
    </row>
    <row r="315" spans="2:5" x14ac:dyDescent="0.2">
      <c r="B315" s="120" t="s">
        <v>824</v>
      </c>
      <c r="C315" s="121" t="s">
        <v>825</v>
      </c>
      <c r="D315" s="122"/>
      <c r="E315" s="122">
        <v>0.04</v>
      </c>
    </row>
    <row r="316" spans="2:5" x14ac:dyDescent="0.2">
      <c r="B316" s="120" t="s">
        <v>3914</v>
      </c>
      <c r="C316" s="121" t="s">
        <v>3915</v>
      </c>
      <c r="D316" s="122"/>
      <c r="E316" s="122"/>
    </row>
    <row r="317" spans="2:5" x14ac:dyDescent="0.2">
      <c r="B317" s="120" t="s">
        <v>826</v>
      </c>
      <c r="C317" s="121" t="s">
        <v>827</v>
      </c>
      <c r="D317" s="122">
        <v>24.85</v>
      </c>
      <c r="E317" s="122">
        <v>0.19</v>
      </c>
    </row>
    <row r="318" spans="2:5" x14ac:dyDescent="0.2">
      <c r="B318" s="120" t="s">
        <v>828</v>
      </c>
      <c r="C318" s="121" t="s">
        <v>829</v>
      </c>
      <c r="D318" s="122"/>
      <c r="E318" s="122">
        <v>0.08</v>
      </c>
    </row>
    <row r="319" spans="2:5" x14ac:dyDescent="0.2">
      <c r="B319" s="120" t="s">
        <v>830</v>
      </c>
      <c r="C319" s="121" t="s">
        <v>831</v>
      </c>
      <c r="D319" s="122">
        <v>14.72</v>
      </c>
      <c r="E319" s="122">
        <v>0.15</v>
      </c>
    </row>
    <row r="320" spans="2:5" x14ac:dyDescent="0.2">
      <c r="B320" s="120" t="s">
        <v>832</v>
      </c>
      <c r="C320" s="121" t="s">
        <v>833</v>
      </c>
      <c r="D320" s="122">
        <v>44.38</v>
      </c>
      <c r="E320" s="122">
        <v>0.45</v>
      </c>
    </row>
    <row r="321" spans="2:5" x14ac:dyDescent="0.2">
      <c r="B321" s="120" t="s">
        <v>834</v>
      </c>
      <c r="C321" s="121" t="s">
        <v>835</v>
      </c>
      <c r="D321" s="122">
        <v>5.33</v>
      </c>
      <c r="E321" s="122">
        <v>0.05</v>
      </c>
    </row>
    <row r="322" spans="2:5" x14ac:dyDescent="0.2">
      <c r="B322" s="120" t="s">
        <v>836</v>
      </c>
      <c r="C322" s="121" t="s">
        <v>837</v>
      </c>
      <c r="D322" s="122">
        <v>9.68</v>
      </c>
      <c r="E322" s="122">
        <v>0.1</v>
      </c>
    </row>
    <row r="323" spans="2:5" x14ac:dyDescent="0.2">
      <c r="B323" s="120" t="s">
        <v>838</v>
      </c>
      <c r="C323" s="121" t="s">
        <v>839</v>
      </c>
      <c r="D323" s="122">
        <v>9.3699999999999992</v>
      </c>
      <c r="E323" s="122">
        <v>7.0000000000000007E-2</v>
      </c>
    </row>
    <row r="324" spans="2:5" x14ac:dyDescent="0.2">
      <c r="B324" s="120" t="s">
        <v>840</v>
      </c>
      <c r="C324" s="121" t="s">
        <v>841</v>
      </c>
      <c r="D324" s="122">
        <v>1.0900000000000001</v>
      </c>
      <c r="E324" s="122">
        <v>0.01</v>
      </c>
    </row>
    <row r="325" spans="2:5" x14ac:dyDescent="0.2">
      <c r="B325" s="120" t="s">
        <v>842</v>
      </c>
      <c r="C325" s="121" t="s">
        <v>843</v>
      </c>
      <c r="D325" s="122">
        <v>4.88</v>
      </c>
      <c r="E325" s="122">
        <v>0.06</v>
      </c>
    </row>
    <row r="326" spans="2:5" x14ac:dyDescent="0.2">
      <c r="B326" s="120" t="s">
        <v>3916</v>
      </c>
      <c r="C326" s="121" t="s">
        <v>3917</v>
      </c>
      <c r="D326" s="122"/>
      <c r="E326" s="122"/>
    </row>
    <row r="327" spans="2:5" x14ac:dyDescent="0.2">
      <c r="B327" s="120" t="s">
        <v>844</v>
      </c>
      <c r="C327" s="121" t="s">
        <v>845</v>
      </c>
      <c r="D327" s="122">
        <v>8.77</v>
      </c>
      <c r="E327" s="122">
        <v>0.14000000000000001</v>
      </c>
    </row>
    <row r="328" spans="2:5" x14ac:dyDescent="0.2">
      <c r="B328" s="120" t="s">
        <v>846</v>
      </c>
      <c r="C328" s="121" t="s">
        <v>847</v>
      </c>
      <c r="D328" s="122">
        <v>2.34</v>
      </c>
      <c r="E328" s="122">
        <v>0.02</v>
      </c>
    </row>
    <row r="329" spans="2:5" x14ac:dyDescent="0.2">
      <c r="B329" s="120" t="s">
        <v>848</v>
      </c>
      <c r="C329" s="121" t="s">
        <v>849</v>
      </c>
      <c r="D329" s="122">
        <v>11.73</v>
      </c>
      <c r="E329" s="122">
        <v>0.11</v>
      </c>
    </row>
    <row r="330" spans="2:5" x14ac:dyDescent="0.2">
      <c r="B330" s="120" t="s">
        <v>850</v>
      </c>
      <c r="C330" s="121" t="s">
        <v>851</v>
      </c>
      <c r="D330" s="122">
        <v>12.88</v>
      </c>
      <c r="E330" s="122">
        <v>0.12</v>
      </c>
    </row>
    <row r="331" spans="2:5" x14ac:dyDescent="0.2">
      <c r="B331" s="120" t="s">
        <v>852</v>
      </c>
      <c r="C331" s="121" t="s">
        <v>853</v>
      </c>
      <c r="D331" s="122">
        <v>1.83</v>
      </c>
      <c r="E331" s="122">
        <v>0.02</v>
      </c>
    </row>
    <row r="332" spans="2:5" x14ac:dyDescent="0.2">
      <c r="B332" s="120" t="s">
        <v>3918</v>
      </c>
      <c r="C332" s="121" t="s">
        <v>3919</v>
      </c>
      <c r="D332" s="122"/>
      <c r="E332" s="122">
        <v>0.05</v>
      </c>
    </row>
    <row r="333" spans="2:5" x14ac:dyDescent="0.2">
      <c r="B333" s="120" t="s">
        <v>854</v>
      </c>
      <c r="C333" s="121" t="s">
        <v>855</v>
      </c>
      <c r="D333" s="122">
        <v>46.27</v>
      </c>
      <c r="E333" s="122">
        <v>0.15</v>
      </c>
    </row>
    <row r="334" spans="2:5" x14ac:dyDescent="0.2">
      <c r="B334" s="120" t="s">
        <v>856</v>
      </c>
      <c r="C334" s="121" t="s">
        <v>857</v>
      </c>
      <c r="D334" s="122">
        <v>31.55</v>
      </c>
      <c r="E334" s="122">
        <v>0.27</v>
      </c>
    </row>
    <row r="335" spans="2:5" x14ac:dyDescent="0.2">
      <c r="B335" s="120" t="s">
        <v>858</v>
      </c>
      <c r="C335" s="121" t="s">
        <v>859</v>
      </c>
      <c r="D335" s="122">
        <v>5.49</v>
      </c>
      <c r="E335" s="122">
        <v>0.05</v>
      </c>
    </row>
    <row r="336" spans="2:5" x14ac:dyDescent="0.2">
      <c r="B336" s="120" t="s">
        <v>860</v>
      </c>
      <c r="C336" s="121" t="s">
        <v>861</v>
      </c>
      <c r="D336" s="122">
        <v>7.27</v>
      </c>
      <c r="E336" s="122"/>
    </row>
    <row r="337" spans="2:5" x14ac:dyDescent="0.2">
      <c r="B337" s="120" t="s">
        <v>862</v>
      </c>
      <c r="C337" s="121" t="s">
        <v>863</v>
      </c>
      <c r="D337" s="122">
        <v>13</v>
      </c>
      <c r="E337" s="122">
        <v>0.14000000000000001</v>
      </c>
    </row>
    <row r="338" spans="2:5" x14ac:dyDescent="0.2">
      <c r="B338" s="120" t="s">
        <v>862</v>
      </c>
      <c r="C338" s="121" t="s">
        <v>3920</v>
      </c>
      <c r="D338" s="122">
        <v>13</v>
      </c>
      <c r="E338" s="122">
        <v>0.14000000000000001</v>
      </c>
    </row>
    <row r="339" spans="2:5" x14ac:dyDescent="0.2">
      <c r="B339" s="120" t="s">
        <v>3921</v>
      </c>
      <c r="C339" s="121" t="s">
        <v>3922</v>
      </c>
      <c r="D339" s="122">
        <v>31.88</v>
      </c>
      <c r="E339" s="122">
        <v>0.31</v>
      </c>
    </row>
    <row r="340" spans="2:5" x14ac:dyDescent="0.2">
      <c r="B340" s="120" t="s">
        <v>864</v>
      </c>
      <c r="C340" s="121" t="s">
        <v>865</v>
      </c>
      <c r="D340" s="122">
        <v>30.52</v>
      </c>
      <c r="E340" s="122">
        <v>0.28999999999999998</v>
      </c>
    </row>
    <row r="341" spans="2:5" x14ac:dyDescent="0.2">
      <c r="B341" s="120" t="s">
        <v>3923</v>
      </c>
      <c r="C341" s="121" t="s">
        <v>3924</v>
      </c>
      <c r="D341" s="122"/>
      <c r="E341" s="122"/>
    </row>
    <row r="342" spans="2:5" x14ac:dyDescent="0.2">
      <c r="B342" s="120" t="s">
        <v>866</v>
      </c>
      <c r="C342" s="121" t="s">
        <v>867</v>
      </c>
      <c r="D342" s="122"/>
      <c r="E342" s="122"/>
    </row>
    <row r="343" spans="2:5" x14ac:dyDescent="0.2">
      <c r="B343" s="120" t="s">
        <v>868</v>
      </c>
      <c r="C343" s="121" t="s">
        <v>869</v>
      </c>
      <c r="D343" s="122">
        <v>9.6999999999999993</v>
      </c>
      <c r="E343" s="122">
        <v>0.08</v>
      </c>
    </row>
    <row r="344" spans="2:5" x14ac:dyDescent="0.2">
      <c r="B344" s="120" t="s">
        <v>870</v>
      </c>
      <c r="C344" s="121" t="s">
        <v>871</v>
      </c>
      <c r="D344" s="122"/>
      <c r="E344" s="122">
        <v>7.0000000000000007E-2</v>
      </c>
    </row>
    <row r="345" spans="2:5" x14ac:dyDescent="0.2">
      <c r="B345" s="120" t="s">
        <v>872</v>
      </c>
      <c r="C345" s="121" t="s">
        <v>873</v>
      </c>
      <c r="D345" s="122">
        <v>14.62</v>
      </c>
      <c r="E345" s="122">
        <v>0.12</v>
      </c>
    </row>
    <row r="346" spans="2:5" x14ac:dyDescent="0.2">
      <c r="B346" s="120" t="s">
        <v>874</v>
      </c>
      <c r="C346" s="121" t="s">
        <v>875</v>
      </c>
      <c r="D346" s="122">
        <v>8.31</v>
      </c>
      <c r="E346" s="122">
        <v>0.08</v>
      </c>
    </row>
    <row r="347" spans="2:5" x14ac:dyDescent="0.2">
      <c r="B347" s="120" t="s">
        <v>876</v>
      </c>
      <c r="C347" s="121" t="s">
        <v>877</v>
      </c>
      <c r="D347" s="122">
        <v>5.99</v>
      </c>
      <c r="E347" s="122">
        <v>0.04</v>
      </c>
    </row>
    <row r="348" spans="2:5" x14ac:dyDescent="0.2">
      <c r="B348" s="120" t="s">
        <v>878</v>
      </c>
      <c r="C348" s="121" t="s">
        <v>879</v>
      </c>
      <c r="D348" s="122">
        <v>14.95</v>
      </c>
      <c r="E348" s="122">
        <v>0.17</v>
      </c>
    </row>
    <row r="349" spans="2:5" x14ac:dyDescent="0.2">
      <c r="B349" s="120" t="s">
        <v>880</v>
      </c>
      <c r="C349" s="121" t="s">
        <v>881</v>
      </c>
      <c r="D349" s="122"/>
      <c r="E349" s="122">
        <v>0.06</v>
      </c>
    </row>
    <row r="350" spans="2:5" x14ac:dyDescent="0.2">
      <c r="B350" s="120" t="s">
        <v>882</v>
      </c>
      <c r="C350" s="121" t="s">
        <v>883</v>
      </c>
      <c r="D350" s="122">
        <v>20.12</v>
      </c>
      <c r="E350" s="122">
        <v>0.19</v>
      </c>
    </row>
    <row r="351" spans="2:5" x14ac:dyDescent="0.2">
      <c r="B351" s="120" t="s">
        <v>3925</v>
      </c>
      <c r="C351" s="121" t="s">
        <v>3926</v>
      </c>
      <c r="D351" s="122"/>
      <c r="E351" s="122">
        <v>0.13</v>
      </c>
    </row>
    <row r="352" spans="2:5" x14ac:dyDescent="0.2">
      <c r="B352" s="120" t="s">
        <v>3927</v>
      </c>
      <c r="C352" s="121" t="s">
        <v>3928</v>
      </c>
      <c r="D352" s="122"/>
      <c r="E352" s="122">
        <v>0.08</v>
      </c>
    </row>
    <row r="353" spans="2:5" x14ac:dyDescent="0.2">
      <c r="B353" s="120" t="s">
        <v>884</v>
      </c>
      <c r="C353" s="121" t="s">
        <v>885</v>
      </c>
      <c r="D353" s="122">
        <v>4.38</v>
      </c>
      <c r="E353" s="122">
        <v>7.0000000000000007E-2</v>
      </c>
    </row>
    <row r="354" spans="2:5" x14ac:dyDescent="0.2">
      <c r="B354" s="120" t="s">
        <v>886</v>
      </c>
      <c r="C354" s="121" t="s">
        <v>887</v>
      </c>
      <c r="D354" s="122">
        <v>8.64</v>
      </c>
      <c r="E354" s="122">
        <v>0.17</v>
      </c>
    </row>
    <row r="355" spans="2:5" x14ac:dyDescent="0.2">
      <c r="B355" s="120" t="s">
        <v>888</v>
      </c>
      <c r="C355" s="121" t="s">
        <v>889</v>
      </c>
      <c r="D355" s="122">
        <v>6.12</v>
      </c>
      <c r="E355" s="122">
        <v>-0.08</v>
      </c>
    </row>
    <row r="356" spans="2:5" x14ac:dyDescent="0.2">
      <c r="B356" s="120" t="s">
        <v>890</v>
      </c>
      <c r="C356" s="121" t="s">
        <v>891</v>
      </c>
      <c r="D356" s="122">
        <v>17.72</v>
      </c>
      <c r="E356" s="122">
        <v>0.13</v>
      </c>
    </row>
    <row r="357" spans="2:5" x14ac:dyDescent="0.2">
      <c r="B357" s="120" t="s">
        <v>892</v>
      </c>
      <c r="C357" s="121" t="s">
        <v>893</v>
      </c>
      <c r="D357" s="122">
        <v>21.09</v>
      </c>
      <c r="E357" s="122">
        <v>0.06</v>
      </c>
    </row>
    <row r="358" spans="2:5" x14ac:dyDescent="0.2">
      <c r="B358" s="120" t="s">
        <v>894</v>
      </c>
      <c r="C358" s="121" t="s">
        <v>895</v>
      </c>
      <c r="D358" s="122">
        <v>26.49</v>
      </c>
      <c r="E358" s="122">
        <v>0.16</v>
      </c>
    </row>
    <row r="359" spans="2:5" x14ac:dyDescent="0.2">
      <c r="B359" s="120" t="s">
        <v>896</v>
      </c>
      <c r="C359" s="121" t="s">
        <v>897</v>
      </c>
      <c r="D359" s="122">
        <v>4.9400000000000004</v>
      </c>
      <c r="E359" s="122">
        <v>0.04</v>
      </c>
    </row>
    <row r="360" spans="2:5" x14ac:dyDescent="0.2">
      <c r="B360" s="120" t="s">
        <v>898</v>
      </c>
      <c r="C360" s="121" t="s">
        <v>899</v>
      </c>
      <c r="D360" s="122">
        <v>20.05</v>
      </c>
      <c r="E360" s="122">
        <v>0.17</v>
      </c>
    </row>
    <row r="361" spans="2:5" x14ac:dyDescent="0.2">
      <c r="B361" s="120" t="s">
        <v>900</v>
      </c>
      <c r="C361" s="121" t="s">
        <v>901</v>
      </c>
      <c r="D361" s="122">
        <v>2.25</v>
      </c>
      <c r="E361" s="122">
        <v>0.02</v>
      </c>
    </row>
    <row r="362" spans="2:5" x14ac:dyDescent="0.2">
      <c r="B362" s="120" t="s">
        <v>902</v>
      </c>
      <c r="C362" s="121" t="s">
        <v>903</v>
      </c>
      <c r="D362" s="122">
        <v>44.44</v>
      </c>
      <c r="E362" s="122">
        <v>0.26</v>
      </c>
    </row>
    <row r="363" spans="2:5" x14ac:dyDescent="0.2">
      <c r="B363" s="120" t="s">
        <v>904</v>
      </c>
      <c r="C363" s="121" t="s">
        <v>905</v>
      </c>
      <c r="D363" s="122"/>
      <c r="E363" s="122">
        <v>0.28999999999999998</v>
      </c>
    </row>
    <row r="364" spans="2:5" x14ac:dyDescent="0.2">
      <c r="B364" s="120" t="s">
        <v>906</v>
      </c>
      <c r="C364" s="121" t="s">
        <v>907</v>
      </c>
      <c r="D364" s="122">
        <v>15.04</v>
      </c>
      <c r="E364" s="122">
        <v>0.12</v>
      </c>
    </row>
    <row r="365" spans="2:5" x14ac:dyDescent="0.2">
      <c r="B365" s="120" t="s">
        <v>908</v>
      </c>
      <c r="C365" s="121" t="s">
        <v>909</v>
      </c>
      <c r="D365" s="122">
        <v>9.0299999999999994</v>
      </c>
      <c r="E365" s="122">
        <v>7.0000000000000007E-2</v>
      </c>
    </row>
    <row r="366" spans="2:5" x14ac:dyDescent="0.2">
      <c r="B366" s="120" t="s">
        <v>910</v>
      </c>
      <c r="C366" s="121" t="s">
        <v>911</v>
      </c>
      <c r="D366" s="122">
        <v>28.4</v>
      </c>
      <c r="E366" s="122">
        <v>0.23</v>
      </c>
    </row>
    <row r="367" spans="2:5" x14ac:dyDescent="0.2">
      <c r="B367" s="120" t="s">
        <v>3929</v>
      </c>
      <c r="C367" s="121" t="s">
        <v>3930</v>
      </c>
      <c r="D367" s="122">
        <v>32.24</v>
      </c>
      <c r="E367" s="122">
        <v>0.32</v>
      </c>
    </row>
    <row r="368" spans="2:5" x14ac:dyDescent="0.2">
      <c r="B368" s="120" t="s">
        <v>3931</v>
      </c>
      <c r="C368" s="121" t="s">
        <v>3932</v>
      </c>
      <c r="D368" s="122"/>
      <c r="E368" s="122"/>
    </row>
    <row r="369" spans="2:5" x14ac:dyDescent="0.2">
      <c r="B369" s="120" t="s">
        <v>912</v>
      </c>
      <c r="C369" s="121" t="s">
        <v>913</v>
      </c>
      <c r="D369" s="122">
        <v>8.02</v>
      </c>
      <c r="E369" s="122">
        <v>0.04</v>
      </c>
    </row>
    <row r="370" spans="2:5" x14ac:dyDescent="0.2">
      <c r="B370" s="120" t="s">
        <v>914</v>
      </c>
      <c r="C370" s="121" t="s">
        <v>915</v>
      </c>
      <c r="D370" s="122">
        <v>-251.5</v>
      </c>
      <c r="E370" s="122">
        <v>-3.07</v>
      </c>
    </row>
    <row r="371" spans="2:5" x14ac:dyDescent="0.2">
      <c r="B371" s="120" t="s">
        <v>3933</v>
      </c>
      <c r="C371" s="121" t="s">
        <v>3934</v>
      </c>
      <c r="D371" s="122"/>
      <c r="E371" s="122">
        <v>0.06</v>
      </c>
    </row>
    <row r="372" spans="2:5" x14ac:dyDescent="0.2">
      <c r="B372" s="120" t="s">
        <v>916</v>
      </c>
      <c r="C372" s="121" t="s">
        <v>917</v>
      </c>
      <c r="D372" s="122">
        <v>27.61</v>
      </c>
      <c r="E372" s="122">
        <v>0.27</v>
      </c>
    </row>
    <row r="373" spans="2:5" x14ac:dyDescent="0.2">
      <c r="B373" s="120" t="s">
        <v>918</v>
      </c>
      <c r="C373" s="121" t="s">
        <v>919</v>
      </c>
      <c r="D373" s="122"/>
      <c r="E373" s="122">
        <v>0.06</v>
      </c>
    </row>
    <row r="374" spans="2:5" x14ac:dyDescent="0.2">
      <c r="B374" s="120" t="s">
        <v>3935</v>
      </c>
      <c r="C374" s="121" t="s">
        <v>3936</v>
      </c>
      <c r="D374" s="122">
        <v>21.37</v>
      </c>
      <c r="E374" s="122">
        <v>0.21</v>
      </c>
    </row>
    <row r="375" spans="2:5" x14ac:dyDescent="0.2">
      <c r="B375" s="120" t="s">
        <v>3937</v>
      </c>
      <c r="C375" s="121" t="s">
        <v>3938</v>
      </c>
      <c r="D375" s="122"/>
      <c r="E375" s="122"/>
    </row>
    <row r="376" spans="2:5" x14ac:dyDescent="0.2">
      <c r="B376" s="120" t="s">
        <v>920</v>
      </c>
      <c r="C376" s="121" t="s">
        <v>921</v>
      </c>
      <c r="D376" s="122">
        <v>14.37</v>
      </c>
      <c r="E376" s="122">
        <v>0.14000000000000001</v>
      </c>
    </row>
    <row r="377" spans="2:5" x14ac:dyDescent="0.2">
      <c r="B377" s="120" t="s">
        <v>922</v>
      </c>
      <c r="C377" s="121" t="s">
        <v>923</v>
      </c>
      <c r="D377" s="122">
        <v>14.45</v>
      </c>
      <c r="E377" s="122">
        <v>0.35</v>
      </c>
    </row>
    <row r="378" spans="2:5" x14ac:dyDescent="0.2">
      <c r="B378" s="120" t="s">
        <v>924</v>
      </c>
      <c r="C378" s="121" t="s">
        <v>925</v>
      </c>
      <c r="D378" s="122">
        <v>11.47</v>
      </c>
      <c r="E378" s="122">
        <v>0.12</v>
      </c>
    </row>
    <row r="379" spans="2:5" x14ac:dyDescent="0.2">
      <c r="B379" s="120" t="s">
        <v>3939</v>
      </c>
      <c r="C379" s="121" t="s">
        <v>3940</v>
      </c>
      <c r="D379" s="122"/>
      <c r="E379" s="122"/>
    </row>
    <row r="380" spans="2:5" x14ac:dyDescent="0.2">
      <c r="B380" s="120" t="s">
        <v>926</v>
      </c>
      <c r="C380" s="121" t="s">
        <v>927</v>
      </c>
      <c r="D380" s="122">
        <v>24.6</v>
      </c>
      <c r="E380" s="122">
        <v>-0.05</v>
      </c>
    </row>
    <row r="381" spans="2:5" x14ac:dyDescent="0.2">
      <c r="B381" s="120" t="s">
        <v>928</v>
      </c>
      <c r="C381" s="121" t="s">
        <v>929</v>
      </c>
      <c r="D381" s="122">
        <v>21.78</v>
      </c>
      <c r="E381" s="122">
        <v>0.21</v>
      </c>
    </row>
    <row r="382" spans="2:5" x14ac:dyDescent="0.2">
      <c r="B382" s="120" t="s">
        <v>930</v>
      </c>
      <c r="C382" s="121" t="s">
        <v>931</v>
      </c>
      <c r="D382" s="122">
        <v>46</v>
      </c>
      <c r="E382" s="122">
        <v>0.43</v>
      </c>
    </row>
    <row r="383" spans="2:5" x14ac:dyDescent="0.2">
      <c r="B383" s="120" t="s">
        <v>932</v>
      </c>
      <c r="C383" s="121" t="s">
        <v>933</v>
      </c>
      <c r="D383" s="122"/>
      <c r="E383" s="122">
        <v>0.17</v>
      </c>
    </row>
    <row r="384" spans="2:5" x14ac:dyDescent="0.2">
      <c r="B384" s="120" t="s">
        <v>934</v>
      </c>
      <c r="C384" s="121" t="s">
        <v>935</v>
      </c>
      <c r="D384" s="122">
        <v>4.3099999999999996</v>
      </c>
      <c r="E384" s="122">
        <v>0.04</v>
      </c>
    </row>
    <row r="385" spans="2:5" x14ac:dyDescent="0.2">
      <c r="B385" s="120" t="s">
        <v>3941</v>
      </c>
      <c r="C385" s="121" t="s">
        <v>3942</v>
      </c>
      <c r="D385" s="122">
        <v>16.32</v>
      </c>
      <c r="E385" s="122">
        <v>0.18</v>
      </c>
    </row>
    <row r="386" spans="2:5" x14ac:dyDescent="0.2">
      <c r="B386" s="120" t="s">
        <v>936</v>
      </c>
      <c r="C386" s="121" t="s">
        <v>937</v>
      </c>
      <c r="D386" s="122">
        <v>3.04</v>
      </c>
      <c r="E386" s="122">
        <v>0.03</v>
      </c>
    </row>
    <row r="387" spans="2:5" x14ac:dyDescent="0.2">
      <c r="B387" s="120" t="s">
        <v>938</v>
      </c>
      <c r="C387" s="121" t="s">
        <v>939</v>
      </c>
      <c r="D387" s="122"/>
      <c r="E387" s="122">
        <v>0.03</v>
      </c>
    </row>
    <row r="388" spans="2:5" x14ac:dyDescent="0.2">
      <c r="B388" s="120" t="s">
        <v>3943</v>
      </c>
      <c r="C388" s="121" t="s">
        <v>3944</v>
      </c>
      <c r="D388" s="122"/>
      <c r="E388" s="122"/>
    </row>
    <row r="389" spans="2:5" x14ac:dyDescent="0.2">
      <c r="B389" s="120" t="s">
        <v>940</v>
      </c>
      <c r="C389" s="121" t="s">
        <v>941</v>
      </c>
      <c r="D389" s="122">
        <v>5.08</v>
      </c>
      <c r="E389" s="122">
        <v>0.05</v>
      </c>
    </row>
    <row r="390" spans="2:5" x14ac:dyDescent="0.2">
      <c r="B390" s="120" t="s">
        <v>3945</v>
      </c>
      <c r="C390" s="121" t="s">
        <v>3946</v>
      </c>
      <c r="D390" s="122"/>
      <c r="E390" s="122">
        <v>0.04</v>
      </c>
    </row>
    <row r="391" spans="2:5" x14ac:dyDescent="0.2">
      <c r="B391" s="120" t="s">
        <v>942</v>
      </c>
      <c r="C391" s="121" t="s">
        <v>943</v>
      </c>
      <c r="D391" s="122">
        <v>22.85</v>
      </c>
      <c r="E391" s="122">
        <v>0.13</v>
      </c>
    </row>
    <row r="392" spans="2:5" x14ac:dyDescent="0.2">
      <c r="B392" s="120" t="s">
        <v>3947</v>
      </c>
      <c r="C392" s="121" t="s">
        <v>3948</v>
      </c>
      <c r="D392" s="122"/>
      <c r="E392" s="122"/>
    </row>
    <row r="393" spans="2:5" x14ac:dyDescent="0.2">
      <c r="B393" s="120" t="s">
        <v>944</v>
      </c>
      <c r="C393" s="121" t="s">
        <v>945</v>
      </c>
      <c r="D393" s="122"/>
      <c r="E393" s="122"/>
    </row>
    <row r="394" spans="2:5" x14ac:dyDescent="0.2">
      <c r="B394" s="120" t="s">
        <v>946</v>
      </c>
      <c r="C394" s="121" t="s">
        <v>947</v>
      </c>
      <c r="D394" s="122">
        <v>9.1999999999999993</v>
      </c>
      <c r="E394" s="122">
        <v>-0.11</v>
      </c>
    </row>
    <row r="395" spans="2:5" x14ac:dyDescent="0.2">
      <c r="B395" s="120" t="s">
        <v>3949</v>
      </c>
      <c r="C395" s="121" t="s">
        <v>3950</v>
      </c>
      <c r="D395" s="122">
        <v>7.26</v>
      </c>
      <c r="E395" s="122">
        <v>0.08</v>
      </c>
    </row>
    <row r="396" spans="2:5" x14ac:dyDescent="0.2">
      <c r="B396" s="120" t="s">
        <v>3951</v>
      </c>
      <c r="C396" s="121" t="s">
        <v>3952</v>
      </c>
      <c r="D396" s="122"/>
      <c r="E396" s="122"/>
    </row>
    <row r="397" spans="2:5" x14ac:dyDescent="0.2">
      <c r="B397" s="120" t="s">
        <v>948</v>
      </c>
      <c r="C397" s="121" t="s">
        <v>949</v>
      </c>
      <c r="D397" s="122">
        <v>82.3</v>
      </c>
      <c r="E397" s="122">
        <v>0.32</v>
      </c>
    </row>
    <row r="398" spans="2:5" x14ac:dyDescent="0.2">
      <c r="B398" s="120" t="s">
        <v>950</v>
      </c>
      <c r="C398" s="121" t="s">
        <v>951</v>
      </c>
      <c r="D398" s="122">
        <v>10.16</v>
      </c>
      <c r="E398" s="122">
        <v>0.05</v>
      </c>
    </row>
    <row r="399" spans="2:5" x14ac:dyDescent="0.2">
      <c r="B399" s="120" t="s">
        <v>3953</v>
      </c>
      <c r="C399" s="121" t="s">
        <v>3954</v>
      </c>
      <c r="D399" s="122">
        <v>26.2</v>
      </c>
      <c r="E399" s="122">
        <v>0.35</v>
      </c>
    </row>
    <row r="400" spans="2:5" x14ac:dyDescent="0.2">
      <c r="B400" s="120" t="s">
        <v>952</v>
      </c>
      <c r="C400" s="121" t="s">
        <v>953</v>
      </c>
      <c r="D400" s="122">
        <v>28.09</v>
      </c>
      <c r="E400" s="122">
        <v>0.14000000000000001</v>
      </c>
    </row>
    <row r="401" spans="2:5" x14ac:dyDescent="0.2">
      <c r="B401" s="120" t="s">
        <v>3955</v>
      </c>
      <c r="C401" s="121" t="s">
        <v>3956</v>
      </c>
      <c r="D401" s="122"/>
      <c r="E401" s="122">
        <v>7.0000000000000007E-2</v>
      </c>
    </row>
    <row r="402" spans="2:5" x14ac:dyDescent="0.2">
      <c r="B402" s="120" t="s">
        <v>954</v>
      </c>
      <c r="C402" s="121" t="s">
        <v>955</v>
      </c>
      <c r="D402" s="122">
        <v>23.67</v>
      </c>
      <c r="E402" s="122">
        <v>0.23</v>
      </c>
    </row>
    <row r="403" spans="2:5" x14ac:dyDescent="0.2">
      <c r="B403" s="120" t="s">
        <v>3957</v>
      </c>
      <c r="C403" s="121" t="s">
        <v>3958</v>
      </c>
      <c r="D403" s="122"/>
      <c r="E403" s="122">
        <v>0.14000000000000001</v>
      </c>
    </row>
    <row r="404" spans="2:5" x14ac:dyDescent="0.2">
      <c r="B404" s="120" t="s">
        <v>956</v>
      </c>
      <c r="C404" s="121" t="s">
        <v>957</v>
      </c>
      <c r="D404" s="122">
        <v>15.98</v>
      </c>
      <c r="E404" s="122">
        <v>0.15</v>
      </c>
    </row>
    <row r="405" spans="2:5" x14ac:dyDescent="0.2">
      <c r="B405" s="120" t="s">
        <v>958</v>
      </c>
      <c r="C405" s="121" t="s">
        <v>959</v>
      </c>
      <c r="D405" s="122">
        <v>11.62</v>
      </c>
      <c r="E405" s="122">
        <v>7.0000000000000007E-2</v>
      </c>
    </row>
    <row r="406" spans="2:5" x14ac:dyDescent="0.2">
      <c r="B406" s="120" t="s">
        <v>960</v>
      </c>
      <c r="C406" s="121" t="s">
        <v>961</v>
      </c>
      <c r="D406" s="122">
        <v>2.64</v>
      </c>
      <c r="E406" s="122">
        <v>0.02</v>
      </c>
    </row>
    <row r="407" spans="2:5" x14ac:dyDescent="0.2">
      <c r="B407" s="120" t="s">
        <v>3959</v>
      </c>
      <c r="C407" s="121" t="s">
        <v>3960</v>
      </c>
      <c r="D407" s="122">
        <v>33.04</v>
      </c>
      <c r="E407" s="122">
        <v>0.31</v>
      </c>
    </row>
    <row r="408" spans="2:5" x14ac:dyDescent="0.2">
      <c r="B408" s="120" t="s">
        <v>3961</v>
      </c>
      <c r="C408" s="121" t="s">
        <v>3962</v>
      </c>
      <c r="D408" s="122">
        <v>23.28</v>
      </c>
      <c r="E408" s="122">
        <v>0.23</v>
      </c>
    </row>
    <row r="409" spans="2:5" x14ac:dyDescent="0.2">
      <c r="B409" s="120" t="s">
        <v>962</v>
      </c>
      <c r="C409" s="121" t="s">
        <v>963</v>
      </c>
      <c r="D409" s="122"/>
      <c r="E409" s="122">
        <v>0.15</v>
      </c>
    </row>
    <row r="410" spans="2:5" x14ac:dyDescent="0.2">
      <c r="B410" s="120" t="s">
        <v>964</v>
      </c>
      <c r="C410" s="121" t="s">
        <v>965</v>
      </c>
      <c r="D410" s="122">
        <v>20.45</v>
      </c>
      <c r="E410" s="122">
        <v>0.21</v>
      </c>
    </row>
    <row r="411" spans="2:5" x14ac:dyDescent="0.2">
      <c r="B411" s="120" t="s">
        <v>966</v>
      </c>
      <c r="C411" s="121" t="s">
        <v>967</v>
      </c>
      <c r="D411" s="122">
        <v>13.2</v>
      </c>
      <c r="E411" s="122">
        <v>0.13</v>
      </c>
    </row>
    <row r="412" spans="2:5" x14ac:dyDescent="0.2">
      <c r="B412" s="120" t="s">
        <v>968</v>
      </c>
      <c r="C412" s="121" t="s">
        <v>969</v>
      </c>
      <c r="D412" s="122">
        <v>29.8</v>
      </c>
      <c r="E412" s="122">
        <v>0.21</v>
      </c>
    </row>
    <row r="413" spans="2:5" x14ac:dyDescent="0.2">
      <c r="B413" s="120" t="s">
        <v>970</v>
      </c>
      <c r="C413" s="121" t="s">
        <v>971</v>
      </c>
      <c r="D413" s="122">
        <v>37.01</v>
      </c>
      <c r="E413" s="122">
        <v>0.34</v>
      </c>
    </row>
    <row r="414" spans="2:5" x14ac:dyDescent="0.2">
      <c r="B414" s="120" t="s">
        <v>3963</v>
      </c>
      <c r="C414" s="121" t="s">
        <v>3964</v>
      </c>
      <c r="D414" s="122"/>
      <c r="E414" s="122"/>
    </row>
    <row r="415" spans="2:5" x14ac:dyDescent="0.2">
      <c r="B415" s="120" t="s">
        <v>972</v>
      </c>
      <c r="C415" s="121" t="s">
        <v>973</v>
      </c>
      <c r="D415" s="122">
        <v>12.59</v>
      </c>
      <c r="E415" s="122">
        <v>0.12</v>
      </c>
    </row>
    <row r="416" spans="2:5" x14ac:dyDescent="0.2">
      <c r="B416" s="120" t="s">
        <v>974</v>
      </c>
      <c r="C416" s="121" t="s">
        <v>975</v>
      </c>
      <c r="D416" s="122">
        <v>10.81</v>
      </c>
      <c r="E416" s="122"/>
    </row>
    <row r="417" spans="2:5" x14ac:dyDescent="0.2">
      <c r="B417" s="120" t="s">
        <v>976</v>
      </c>
      <c r="C417" s="121" t="s">
        <v>977</v>
      </c>
      <c r="D417" s="122">
        <v>50.74</v>
      </c>
      <c r="E417" s="122">
        <v>0.46</v>
      </c>
    </row>
    <row r="418" spans="2:5" x14ac:dyDescent="0.2">
      <c r="B418" s="120" t="s">
        <v>978</v>
      </c>
      <c r="C418" s="121" t="s">
        <v>979</v>
      </c>
      <c r="D418" s="122">
        <v>6.11</v>
      </c>
      <c r="E418" s="122">
        <v>0.04</v>
      </c>
    </row>
    <row r="419" spans="2:5" x14ac:dyDescent="0.2">
      <c r="B419" s="120" t="s">
        <v>3965</v>
      </c>
      <c r="C419" s="121" t="s">
        <v>3966</v>
      </c>
      <c r="D419" s="122"/>
      <c r="E419" s="122">
        <v>0.71</v>
      </c>
    </row>
    <row r="420" spans="2:5" x14ac:dyDescent="0.2">
      <c r="B420" s="120" t="s">
        <v>980</v>
      </c>
      <c r="C420" s="121" t="s">
        <v>981</v>
      </c>
      <c r="D420" s="122">
        <v>10.48</v>
      </c>
      <c r="E420" s="122">
        <v>0.09</v>
      </c>
    </row>
    <row r="421" spans="2:5" x14ac:dyDescent="0.2">
      <c r="B421" s="120" t="s">
        <v>982</v>
      </c>
      <c r="C421" s="121" t="s">
        <v>983</v>
      </c>
      <c r="D421" s="122"/>
      <c r="E421" s="122">
        <v>0.06</v>
      </c>
    </row>
    <row r="422" spans="2:5" x14ac:dyDescent="0.2">
      <c r="B422" s="120" t="s">
        <v>984</v>
      </c>
      <c r="C422" s="121" t="s">
        <v>985</v>
      </c>
      <c r="D422" s="122">
        <v>3.67</v>
      </c>
      <c r="E422" s="122">
        <v>0.03</v>
      </c>
    </row>
    <row r="423" spans="2:5" x14ac:dyDescent="0.2">
      <c r="B423" s="120" t="s">
        <v>986</v>
      </c>
      <c r="C423" s="121" t="s">
        <v>987</v>
      </c>
      <c r="D423" s="122">
        <v>8.4700000000000006</v>
      </c>
      <c r="E423" s="122">
        <v>0.1</v>
      </c>
    </row>
    <row r="424" spans="2:5" x14ac:dyDescent="0.2">
      <c r="B424" s="120" t="s">
        <v>3967</v>
      </c>
      <c r="C424" s="121" t="s">
        <v>3968</v>
      </c>
      <c r="D424" s="122"/>
      <c r="E424" s="122"/>
    </row>
    <row r="425" spans="2:5" x14ac:dyDescent="0.2">
      <c r="B425" s="120" t="s">
        <v>988</v>
      </c>
      <c r="C425" s="121" t="s">
        <v>989</v>
      </c>
      <c r="D425" s="122">
        <v>9.4700000000000006</v>
      </c>
      <c r="E425" s="122">
        <v>0.08</v>
      </c>
    </row>
    <row r="426" spans="2:5" x14ac:dyDescent="0.2">
      <c r="B426" s="120" t="s">
        <v>990</v>
      </c>
      <c r="C426" s="121" t="s">
        <v>991</v>
      </c>
      <c r="D426" s="122">
        <v>2.6</v>
      </c>
      <c r="E426" s="122">
        <v>0.01</v>
      </c>
    </row>
    <row r="427" spans="2:5" x14ac:dyDescent="0.2">
      <c r="B427" s="120" t="s">
        <v>992</v>
      </c>
      <c r="C427" s="121" t="s">
        <v>993</v>
      </c>
      <c r="D427" s="122">
        <v>4.04</v>
      </c>
      <c r="E427" s="122">
        <v>0.04</v>
      </c>
    </row>
    <row r="428" spans="2:5" x14ac:dyDescent="0.2">
      <c r="B428" s="120" t="s">
        <v>994</v>
      </c>
      <c r="C428" s="121" t="s">
        <v>995</v>
      </c>
      <c r="D428" s="122">
        <v>28.62</v>
      </c>
      <c r="E428" s="122">
        <v>0.31</v>
      </c>
    </row>
    <row r="429" spans="2:5" x14ac:dyDescent="0.2">
      <c r="B429" s="120" t="s">
        <v>996</v>
      </c>
      <c r="C429" s="121" t="s">
        <v>997</v>
      </c>
      <c r="D429" s="122">
        <v>6.31</v>
      </c>
      <c r="E429" s="122">
        <v>7.0000000000000007E-2</v>
      </c>
    </row>
    <row r="430" spans="2:5" x14ac:dyDescent="0.2">
      <c r="B430" s="120" t="s">
        <v>998</v>
      </c>
      <c r="C430" s="121" t="s">
        <v>999</v>
      </c>
      <c r="D430" s="122">
        <v>7.05</v>
      </c>
      <c r="E430" s="122">
        <v>0.03</v>
      </c>
    </row>
    <row r="431" spans="2:5" x14ac:dyDescent="0.2">
      <c r="B431" s="120" t="s">
        <v>1000</v>
      </c>
      <c r="C431" s="121" t="s">
        <v>1001</v>
      </c>
      <c r="D431" s="122">
        <v>13.1</v>
      </c>
      <c r="E431" s="122">
        <v>0.12</v>
      </c>
    </row>
    <row r="432" spans="2:5" x14ac:dyDescent="0.2">
      <c r="B432" s="120" t="s">
        <v>1002</v>
      </c>
      <c r="C432" s="121" t="s">
        <v>1003</v>
      </c>
      <c r="D432" s="122">
        <v>20.04</v>
      </c>
      <c r="E432" s="122">
        <v>0.19</v>
      </c>
    </row>
    <row r="433" spans="2:5" x14ac:dyDescent="0.2">
      <c r="B433" s="120" t="s">
        <v>1004</v>
      </c>
      <c r="C433" s="121" t="s">
        <v>1005</v>
      </c>
      <c r="D433" s="122">
        <v>32.950000000000003</v>
      </c>
      <c r="E433" s="122">
        <v>0.25</v>
      </c>
    </row>
    <row r="434" spans="2:5" x14ac:dyDescent="0.2">
      <c r="B434" s="120" t="s">
        <v>1006</v>
      </c>
      <c r="C434" s="121" t="s">
        <v>1007</v>
      </c>
      <c r="D434" s="122">
        <v>12.91</v>
      </c>
      <c r="E434" s="122">
        <v>0.13</v>
      </c>
    </row>
    <row r="435" spans="2:5" x14ac:dyDescent="0.2">
      <c r="B435" s="120" t="s">
        <v>1008</v>
      </c>
      <c r="C435" s="121" t="s">
        <v>1009</v>
      </c>
      <c r="D435" s="122"/>
      <c r="E435" s="122"/>
    </row>
    <row r="436" spans="2:5" x14ac:dyDescent="0.2">
      <c r="B436" s="120" t="s">
        <v>1010</v>
      </c>
      <c r="C436" s="121" t="s">
        <v>1011</v>
      </c>
      <c r="D436" s="122">
        <v>1.67</v>
      </c>
      <c r="E436" s="122">
        <v>0.03</v>
      </c>
    </row>
    <row r="437" spans="2:5" x14ac:dyDescent="0.2">
      <c r="B437" s="120" t="s">
        <v>1012</v>
      </c>
      <c r="C437" s="121" t="s">
        <v>1013</v>
      </c>
      <c r="D437" s="122">
        <v>10.64</v>
      </c>
      <c r="E437" s="122">
        <v>0.1</v>
      </c>
    </row>
    <row r="438" spans="2:5" x14ac:dyDescent="0.2">
      <c r="B438" s="120" t="s">
        <v>1014</v>
      </c>
      <c r="C438" s="121" t="s">
        <v>1015</v>
      </c>
      <c r="D438" s="122">
        <v>-6.29</v>
      </c>
      <c r="E438" s="122">
        <v>0</v>
      </c>
    </row>
    <row r="439" spans="2:5" x14ac:dyDescent="0.2">
      <c r="B439" s="120" t="s">
        <v>1016</v>
      </c>
      <c r="C439" s="121" t="s">
        <v>1017</v>
      </c>
      <c r="D439" s="122">
        <v>22.78</v>
      </c>
      <c r="E439" s="122">
        <v>0.06</v>
      </c>
    </row>
    <row r="440" spans="2:5" x14ac:dyDescent="0.2">
      <c r="B440" s="120" t="s">
        <v>1018</v>
      </c>
      <c r="C440" s="121" t="s">
        <v>1019</v>
      </c>
      <c r="D440" s="122">
        <v>13.33</v>
      </c>
      <c r="E440" s="122">
        <v>0.16</v>
      </c>
    </row>
    <row r="441" spans="2:5" x14ac:dyDescent="0.2">
      <c r="B441" s="120" t="s">
        <v>1020</v>
      </c>
      <c r="C441" s="121" t="s">
        <v>1021</v>
      </c>
      <c r="D441" s="122">
        <v>13.82</v>
      </c>
      <c r="E441" s="122">
        <v>0.14000000000000001</v>
      </c>
    </row>
    <row r="442" spans="2:5" x14ac:dyDescent="0.2">
      <c r="B442" s="120" t="s">
        <v>1022</v>
      </c>
      <c r="C442" s="121" t="s">
        <v>1023</v>
      </c>
      <c r="D442" s="122">
        <v>2.33</v>
      </c>
      <c r="E442" s="122"/>
    </row>
    <row r="443" spans="2:5" x14ac:dyDescent="0.2">
      <c r="B443" s="120" t="s">
        <v>1024</v>
      </c>
      <c r="C443" s="121" t="s">
        <v>1025</v>
      </c>
      <c r="D443" s="122">
        <v>5.64</v>
      </c>
      <c r="E443" s="122">
        <v>-0.44</v>
      </c>
    </row>
    <row r="444" spans="2:5" x14ac:dyDescent="0.2">
      <c r="B444" s="120" t="s">
        <v>1026</v>
      </c>
      <c r="C444" s="121" t="s">
        <v>1027</v>
      </c>
      <c r="D444" s="122">
        <v>5.0999999999999996</v>
      </c>
      <c r="E444" s="122">
        <v>-0.21</v>
      </c>
    </row>
    <row r="445" spans="2:5" x14ac:dyDescent="0.2">
      <c r="B445" s="120" t="s">
        <v>1028</v>
      </c>
      <c r="C445" s="121" t="s">
        <v>1029</v>
      </c>
      <c r="D445" s="122"/>
      <c r="E445" s="122">
        <v>0.12</v>
      </c>
    </row>
    <row r="446" spans="2:5" x14ac:dyDescent="0.2">
      <c r="B446" s="120" t="s">
        <v>1030</v>
      </c>
      <c r="C446" s="121" t="s">
        <v>1031</v>
      </c>
      <c r="D446" s="122">
        <v>29.18</v>
      </c>
      <c r="E446" s="122">
        <v>0.27</v>
      </c>
    </row>
    <row r="447" spans="2:5" x14ac:dyDescent="0.2">
      <c r="B447" s="120" t="s">
        <v>1032</v>
      </c>
      <c r="C447" s="121" t="s">
        <v>1033</v>
      </c>
      <c r="D447" s="122">
        <v>9.15</v>
      </c>
      <c r="E447" s="122">
        <v>0.03</v>
      </c>
    </row>
    <row r="448" spans="2:5" x14ac:dyDescent="0.2">
      <c r="B448" s="120" t="s">
        <v>1034</v>
      </c>
      <c r="C448" s="121" t="s">
        <v>1035</v>
      </c>
      <c r="D448" s="122">
        <v>8.43</v>
      </c>
      <c r="E448" s="122">
        <v>0.03</v>
      </c>
    </row>
    <row r="449" spans="2:5" x14ac:dyDescent="0.2">
      <c r="B449" s="120" t="s">
        <v>1036</v>
      </c>
      <c r="C449" s="121" t="s">
        <v>1037</v>
      </c>
      <c r="D449" s="122"/>
      <c r="E449" s="122">
        <v>0.02</v>
      </c>
    </row>
    <row r="450" spans="2:5" x14ac:dyDescent="0.2">
      <c r="B450" s="120" t="s">
        <v>3969</v>
      </c>
      <c r="C450" s="121" t="s">
        <v>3970</v>
      </c>
      <c r="D450" s="122">
        <v>8.4700000000000006</v>
      </c>
      <c r="E450" s="122">
        <v>7.0000000000000007E-2</v>
      </c>
    </row>
    <row r="451" spans="2:5" x14ac:dyDescent="0.2">
      <c r="B451" s="120" t="s">
        <v>1038</v>
      </c>
      <c r="C451" s="121" t="s">
        <v>1039</v>
      </c>
      <c r="D451" s="122">
        <v>12.95</v>
      </c>
      <c r="E451" s="122">
        <v>0.1</v>
      </c>
    </row>
    <row r="452" spans="2:5" x14ac:dyDescent="0.2">
      <c r="B452" s="120" t="s">
        <v>1040</v>
      </c>
      <c r="C452" s="121" t="s">
        <v>1041</v>
      </c>
      <c r="D452" s="122">
        <v>26.24</v>
      </c>
      <c r="E452" s="122">
        <v>0.28999999999999998</v>
      </c>
    </row>
    <row r="453" spans="2:5" x14ac:dyDescent="0.2">
      <c r="B453" s="120" t="s">
        <v>1042</v>
      </c>
      <c r="C453" s="121" t="s">
        <v>1043</v>
      </c>
      <c r="D453" s="122">
        <v>16.05</v>
      </c>
      <c r="E453" s="122">
        <v>0.16</v>
      </c>
    </row>
    <row r="454" spans="2:5" x14ac:dyDescent="0.2">
      <c r="B454" s="120" t="s">
        <v>1044</v>
      </c>
      <c r="C454" s="121" t="s">
        <v>1045</v>
      </c>
      <c r="D454" s="122"/>
      <c r="E454" s="122">
        <v>0.01</v>
      </c>
    </row>
    <row r="455" spans="2:5" x14ac:dyDescent="0.2">
      <c r="B455" s="120" t="s">
        <v>1046</v>
      </c>
      <c r="C455" s="121" t="s">
        <v>1047</v>
      </c>
      <c r="D455" s="122">
        <v>18.53</v>
      </c>
      <c r="E455" s="122">
        <v>0.2</v>
      </c>
    </row>
    <row r="456" spans="2:5" x14ac:dyDescent="0.2">
      <c r="B456" s="120" t="s">
        <v>1048</v>
      </c>
      <c r="C456" s="121" t="s">
        <v>1049</v>
      </c>
      <c r="D456" s="122">
        <v>11.38</v>
      </c>
      <c r="E456" s="122">
        <v>0.1</v>
      </c>
    </row>
    <row r="457" spans="2:5" x14ac:dyDescent="0.2">
      <c r="B457" s="120" t="s">
        <v>1050</v>
      </c>
      <c r="C457" s="121" t="s">
        <v>1051</v>
      </c>
      <c r="D457" s="122">
        <v>21.94</v>
      </c>
      <c r="E457" s="122">
        <v>0.22</v>
      </c>
    </row>
    <row r="458" spans="2:5" x14ac:dyDescent="0.2">
      <c r="B458" s="120" t="s">
        <v>1052</v>
      </c>
      <c r="C458" s="121" t="s">
        <v>1053</v>
      </c>
      <c r="D458" s="122">
        <v>5.72</v>
      </c>
      <c r="E458" s="122">
        <v>-0.35</v>
      </c>
    </row>
    <row r="459" spans="2:5" x14ac:dyDescent="0.2">
      <c r="B459" s="120" t="s">
        <v>3971</v>
      </c>
      <c r="C459" s="121" t="s">
        <v>3972</v>
      </c>
      <c r="D459" s="122"/>
      <c r="E459" s="122">
        <v>0.08</v>
      </c>
    </row>
    <row r="460" spans="2:5" x14ac:dyDescent="0.2">
      <c r="B460" s="120" t="s">
        <v>3973</v>
      </c>
      <c r="C460" s="121" t="s">
        <v>3974</v>
      </c>
      <c r="D460" s="122"/>
      <c r="E460" s="122">
        <v>0.03</v>
      </c>
    </row>
    <row r="461" spans="2:5" x14ac:dyDescent="0.2">
      <c r="B461" s="120" t="s">
        <v>1054</v>
      </c>
      <c r="C461" s="121" t="s">
        <v>1055</v>
      </c>
      <c r="D461" s="122">
        <v>8.3000000000000007</v>
      </c>
      <c r="E461" s="122">
        <v>0.08</v>
      </c>
    </row>
    <row r="462" spans="2:5" x14ac:dyDescent="0.2">
      <c r="B462" s="120" t="s">
        <v>1056</v>
      </c>
      <c r="C462" s="121" t="s">
        <v>1057</v>
      </c>
      <c r="D462" s="122">
        <v>12.21</v>
      </c>
      <c r="E462" s="122">
        <v>0.1</v>
      </c>
    </row>
    <row r="463" spans="2:5" x14ac:dyDescent="0.2">
      <c r="B463" s="120" t="s">
        <v>1058</v>
      </c>
      <c r="C463" s="121" t="s">
        <v>1059</v>
      </c>
      <c r="D463" s="122">
        <v>15.55</v>
      </c>
      <c r="E463" s="122">
        <v>0.08</v>
      </c>
    </row>
    <row r="464" spans="2:5" x14ac:dyDescent="0.2">
      <c r="B464" s="120" t="s">
        <v>1060</v>
      </c>
      <c r="C464" s="121" t="s">
        <v>1061</v>
      </c>
      <c r="D464" s="122">
        <v>1516.49</v>
      </c>
      <c r="E464" s="122">
        <v>-1.21</v>
      </c>
    </row>
    <row r="465" spans="2:5" x14ac:dyDescent="0.2">
      <c r="B465" s="120" t="s">
        <v>1062</v>
      </c>
      <c r="C465" s="121" t="s">
        <v>1063</v>
      </c>
      <c r="D465" s="122"/>
      <c r="E465" s="122">
        <v>0.05</v>
      </c>
    </row>
    <row r="466" spans="2:5" x14ac:dyDescent="0.2">
      <c r="B466" s="120" t="s">
        <v>1064</v>
      </c>
      <c r="C466" s="121" t="s">
        <v>1065</v>
      </c>
      <c r="D466" s="122"/>
      <c r="E466" s="122">
        <v>-0.01</v>
      </c>
    </row>
    <row r="467" spans="2:5" x14ac:dyDescent="0.2">
      <c r="B467" s="120" t="s">
        <v>1066</v>
      </c>
      <c r="C467" s="121" t="s">
        <v>1067</v>
      </c>
      <c r="D467" s="122">
        <v>14.17</v>
      </c>
      <c r="E467" s="122">
        <v>0.08</v>
      </c>
    </row>
    <row r="468" spans="2:5" x14ac:dyDescent="0.2">
      <c r="B468" s="120" t="s">
        <v>3975</v>
      </c>
      <c r="C468" s="121" t="s">
        <v>3976</v>
      </c>
      <c r="D468" s="122"/>
      <c r="E468" s="122"/>
    </row>
    <row r="469" spans="2:5" x14ac:dyDescent="0.2">
      <c r="B469" s="120" t="s">
        <v>3977</v>
      </c>
      <c r="C469" s="121" t="s">
        <v>3978</v>
      </c>
      <c r="D469" s="122"/>
      <c r="E469" s="122">
        <v>0.02</v>
      </c>
    </row>
    <row r="470" spans="2:5" x14ac:dyDescent="0.2">
      <c r="B470" s="120" t="s">
        <v>3979</v>
      </c>
      <c r="C470" s="121" t="s">
        <v>3980</v>
      </c>
      <c r="D470" s="122">
        <v>6.39</v>
      </c>
      <c r="E470" s="122">
        <v>7.0000000000000007E-2</v>
      </c>
    </row>
    <row r="471" spans="2:5" x14ac:dyDescent="0.2">
      <c r="B471" s="120" t="s">
        <v>1068</v>
      </c>
      <c r="C471" s="121" t="s">
        <v>1069</v>
      </c>
      <c r="D471" s="122">
        <v>11.61</v>
      </c>
      <c r="E471" s="122">
        <v>0.06</v>
      </c>
    </row>
    <row r="472" spans="2:5" x14ac:dyDescent="0.2">
      <c r="B472" s="120" t="s">
        <v>1070</v>
      </c>
      <c r="C472" s="121" t="s">
        <v>1071</v>
      </c>
      <c r="D472" s="122">
        <v>26.56</v>
      </c>
      <c r="E472" s="122">
        <v>0.22</v>
      </c>
    </row>
    <row r="473" spans="2:5" x14ac:dyDescent="0.2">
      <c r="B473" s="120" t="s">
        <v>1072</v>
      </c>
      <c r="C473" s="121" t="s">
        <v>1073</v>
      </c>
      <c r="D473" s="122">
        <v>30.68</v>
      </c>
      <c r="E473" s="122">
        <v>0.28000000000000003</v>
      </c>
    </row>
    <row r="474" spans="2:5" x14ac:dyDescent="0.2">
      <c r="B474" s="120" t="s">
        <v>1074</v>
      </c>
      <c r="C474" s="121" t="s">
        <v>1075</v>
      </c>
      <c r="D474" s="122">
        <v>27.46</v>
      </c>
      <c r="E474" s="122">
        <v>0.2</v>
      </c>
    </row>
    <row r="475" spans="2:5" x14ac:dyDescent="0.2">
      <c r="B475" s="120" t="s">
        <v>3981</v>
      </c>
      <c r="C475" s="121" t="s">
        <v>3982</v>
      </c>
      <c r="D475" s="122">
        <v>7.72</v>
      </c>
      <c r="E475" s="122">
        <v>7.0000000000000007E-2</v>
      </c>
    </row>
    <row r="476" spans="2:5" x14ac:dyDescent="0.2">
      <c r="B476" s="120" t="s">
        <v>1076</v>
      </c>
      <c r="C476" s="121" t="s">
        <v>1077</v>
      </c>
      <c r="D476" s="122">
        <v>9.26</v>
      </c>
      <c r="E476" s="122">
        <v>0.14000000000000001</v>
      </c>
    </row>
    <row r="477" spans="2:5" x14ac:dyDescent="0.2">
      <c r="B477" s="120" t="s">
        <v>1078</v>
      </c>
      <c r="C477" s="121" t="s">
        <v>1079</v>
      </c>
      <c r="D477" s="122"/>
      <c r="E477" s="122">
        <v>0.22</v>
      </c>
    </row>
    <row r="478" spans="2:5" x14ac:dyDescent="0.2">
      <c r="B478" s="120" t="s">
        <v>1080</v>
      </c>
      <c r="C478" s="121" t="s">
        <v>1081</v>
      </c>
      <c r="D478" s="122">
        <v>10.7</v>
      </c>
      <c r="E478" s="122">
        <v>-0.06</v>
      </c>
    </row>
    <row r="479" spans="2:5" x14ac:dyDescent="0.2">
      <c r="B479" s="120" t="s">
        <v>3983</v>
      </c>
      <c r="C479" s="121" t="s">
        <v>3984</v>
      </c>
      <c r="D479" s="122">
        <v>17.34</v>
      </c>
      <c r="E479" s="122">
        <v>0.17</v>
      </c>
    </row>
    <row r="480" spans="2:5" x14ac:dyDescent="0.2">
      <c r="B480" s="120" t="s">
        <v>1082</v>
      </c>
      <c r="C480" s="121" t="s">
        <v>1083</v>
      </c>
      <c r="D480" s="122">
        <v>27.87</v>
      </c>
      <c r="E480" s="122">
        <v>0.27</v>
      </c>
    </row>
    <row r="481" spans="2:5" x14ac:dyDescent="0.2">
      <c r="B481" s="120" t="s">
        <v>1084</v>
      </c>
      <c r="C481" s="121" t="s">
        <v>1085</v>
      </c>
      <c r="D481" s="122">
        <v>12.19</v>
      </c>
      <c r="E481" s="122">
        <v>0.13</v>
      </c>
    </row>
    <row r="482" spans="2:5" x14ac:dyDescent="0.2">
      <c r="B482" s="120" t="s">
        <v>1086</v>
      </c>
      <c r="C482" s="121" t="s">
        <v>1087</v>
      </c>
      <c r="D482" s="122">
        <v>6.35</v>
      </c>
      <c r="E482" s="122">
        <v>-7.0000000000000007E-2</v>
      </c>
    </row>
    <row r="483" spans="2:5" x14ac:dyDescent="0.2">
      <c r="B483" s="120" t="s">
        <v>1088</v>
      </c>
      <c r="C483" s="121" t="s">
        <v>1089</v>
      </c>
      <c r="D483" s="122">
        <v>11.12</v>
      </c>
      <c r="E483" s="122">
        <v>0.05</v>
      </c>
    </row>
    <row r="484" spans="2:5" x14ac:dyDescent="0.2">
      <c r="B484" s="120" t="s">
        <v>3985</v>
      </c>
      <c r="C484" s="121" t="s">
        <v>3986</v>
      </c>
      <c r="D484" s="122"/>
      <c r="E484" s="122">
        <v>0.09</v>
      </c>
    </row>
    <row r="485" spans="2:5" x14ac:dyDescent="0.2">
      <c r="B485" s="120" t="s">
        <v>1090</v>
      </c>
      <c r="C485" s="121" t="s">
        <v>1091</v>
      </c>
      <c r="D485" s="122">
        <v>15.76</v>
      </c>
      <c r="E485" s="122">
        <v>0.04</v>
      </c>
    </row>
    <row r="486" spans="2:5" x14ac:dyDescent="0.2">
      <c r="B486" s="120" t="s">
        <v>3987</v>
      </c>
      <c r="C486" s="121" t="s">
        <v>3988</v>
      </c>
      <c r="D486" s="122"/>
      <c r="E486" s="122">
        <v>0.09</v>
      </c>
    </row>
    <row r="487" spans="2:5" x14ac:dyDescent="0.2">
      <c r="B487" s="120" t="s">
        <v>1092</v>
      </c>
      <c r="C487" s="121" t="s">
        <v>1093</v>
      </c>
      <c r="D487" s="122">
        <v>14.6</v>
      </c>
      <c r="E487" s="122">
        <v>0.13</v>
      </c>
    </row>
    <row r="488" spans="2:5" x14ac:dyDescent="0.2">
      <c r="B488" s="120" t="s">
        <v>1094</v>
      </c>
      <c r="C488" s="121" t="s">
        <v>1095</v>
      </c>
      <c r="D488" s="122">
        <v>5.48</v>
      </c>
      <c r="E488" s="122">
        <v>7.0000000000000007E-2</v>
      </c>
    </row>
    <row r="489" spans="2:5" x14ac:dyDescent="0.2">
      <c r="B489" s="120" t="s">
        <v>3989</v>
      </c>
      <c r="C489" s="121" t="s">
        <v>3990</v>
      </c>
      <c r="D489" s="122"/>
      <c r="E489" s="122"/>
    </row>
    <row r="490" spans="2:5" x14ac:dyDescent="0.2">
      <c r="B490" s="120" t="s">
        <v>1096</v>
      </c>
      <c r="C490" s="121" t="s">
        <v>1097</v>
      </c>
      <c r="D490" s="122">
        <v>25.59</v>
      </c>
      <c r="E490" s="122">
        <v>0.19</v>
      </c>
    </row>
    <row r="491" spans="2:5" x14ac:dyDescent="0.2">
      <c r="B491" s="120" t="s">
        <v>1098</v>
      </c>
      <c r="C491" s="121" t="s">
        <v>1099</v>
      </c>
      <c r="D491" s="122">
        <v>29.33</v>
      </c>
      <c r="E491" s="122">
        <v>0.27</v>
      </c>
    </row>
    <row r="492" spans="2:5" x14ac:dyDescent="0.2">
      <c r="B492" s="120" t="s">
        <v>878</v>
      </c>
      <c r="C492" s="121" t="s">
        <v>3991</v>
      </c>
      <c r="D492" s="122">
        <v>14.95</v>
      </c>
      <c r="E492" s="122">
        <v>0.17</v>
      </c>
    </row>
    <row r="493" spans="2:5" x14ac:dyDescent="0.2">
      <c r="B493" s="120" t="s">
        <v>1100</v>
      </c>
      <c r="C493" s="121" t="s">
        <v>1101</v>
      </c>
      <c r="D493" s="122"/>
      <c r="E493" s="122">
        <v>0.04</v>
      </c>
    </row>
    <row r="494" spans="2:5" x14ac:dyDescent="0.2">
      <c r="B494" s="120" t="s">
        <v>1102</v>
      </c>
      <c r="C494" s="121" t="s">
        <v>1103</v>
      </c>
      <c r="D494" s="122">
        <v>11.11</v>
      </c>
      <c r="E494" s="122">
        <v>0.17</v>
      </c>
    </row>
    <row r="495" spans="2:5" x14ac:dyDescent="0.2">
      <c r="B495" s="120" t="s">
        <v>1104</v>
      </c>
      <c r="C495" s="121" t="s">
        <v>1105</v>
      </c>
      <c r="D495" s="122">
        <v>38.99</v>
      </c>
      <c r="E495" s="122">
        <v>0.38</v>
      </c>
    </row>
    <row r="496" spans="2:5" x14ac:dyDescent="0.2">
      <c r="B496" s="120" t="s">
        <v>1106</v>
      </c>
      <c r="C496" s="121" t="s">
        <v>1107</v>
      </c>
      <c r="D496" s="122">
        <v>-7.27</v>
      </c>
      <c r="E496" s="122">
        <v>-0.13</v>
      </c>
    </row>
    <row r="497" spans="2:5" x14ac:dyDescent="0.2">
      <c r="B497" s="120" t="s">
        <v>3992</v>
      </c>
      <c r="C497" s="121" t="s">
        <v>3993</v>
      </c>
      <c r="D497" s="122">
        <v>5.7</v>
      </c>
      <c r="E497" s="122">
        <v>0.04</v>
      </c>
    </row>
    <row r="498" spans="2:5" x14ac:dyDescent="0.2">
      <c r="B498" s="120" t="s">
        <v>1108</v>
      </c>
      <c r="C498" s="121" t="s">
        <v>1109</v>
      </c>
      <c r="D498" s="122">
        <v>-2.82</v>
      </c>
      <c r="E498" s="122">
        <v>-0.03</v>
      </c>
    </row>
    <row r="499" spans="2:5" x14ac:dyDescent="0.2">
      <c r="B499" s="120" t="s">
        <v>1110</v>
      </c>
      <c r="C499" s="121" t="s">
        <v>1111</v>
      </c>
      <c r="D499" s="122">
        <v>3.86</v>
      </c>
      <c r="E499" s="122">
        <v>0</v>
      </c>
    </row>
    <row r="500" spans="2:5" x14ac:dyDescent="0.2">
      <c r="B500" s="120" t="s">
        <v>1112</v>
      </c>
      <c r="C500" s="121" t="s">
        <v>1113</v>
      </c>
      <c r="D500" s="122">
        <v>9.32</v>
      </c>
      <c r="E500" s="122">
        <v>0.09</v>
      </c>
    </row>
    <row r="501" spans="2:5" x14ac:dyDescent="0.2">
      <c r="B501" s="120" t="s">
        <v>1114</v>
      </c>
      <c r="C501" s="121" t="s">
        <v>1115</v>
      </c>
      <c r="D501" s="122">
        <v>12.03</v>
      </c>
      <c r="E501" s="122">
        <v>0.11</v>
      </c>
    </row>
    <row r="502" spans="2:5" x14ac:dyDescent="0.2">
      <c r="B502" s="120" t="s">
        <v>1116</v>
      </c>
      <c r="C502" s="121" t="s">
        <v>1117</v>
      </c>
      <c r="D502" s="122">
        <v>-8.9</v>
      </c>
      <c r="E502" s="122">
        <v>0.05</v>
      </c>
    </row>
    <row r="503" spans="2:5" x14ac:dyDescent="0.2">
      <c r="B503" s="120" t="s">
        <v>1118</v>
      </c>
      <c r="C503" s="121" t="s">
        <v>1119</v>
      </c>
      <c r="D503" s="122">
        <v>3.9</v>
      </c>
      <c r="E503" s="122">
        <v>-0.02</v>
      </c>
    </row>
    <row r="504" spans="2:5" x14ac:dyDescent="0.2">
      <c r="B504" s="120" t="s">
        <v>3994</v>
      </c>
      <c r="C504" s="121" t="s">
        <v>3995</v>
      </c>
      <c r="D504" s="122"/>
      <c r="E504" s="122">
        <v>0.02</v>
      </c>
    </row>
    <row r="505" spans="2:5" x14ac:dyDescent="0.2">
      <c r="B505" s="120" t="s">
        <v>3996</v>
      </c>
      <c r="C505" s="121" t="s">
        <v>3997</v>
      </c>
      <c r="D505" s="122">
        <v>44.95</v>
      </c>
      <c r="E505" s="122">
        <v>0.42</v>
      </c>
    </row>
    <row r="506" spans="2:5" x14ac:dyDescent="0.2">
      <c r="B506" s="120" t="s">
        <v>1120</v>
      </c>
      <c r="C506" s="121" t="s">
        <v>1121</v>
      </c>
      <c r="D506" s="122">
        <v>1.4</v>
      </c>
      <c r="E506" s="122">
        <v>0.04</v>
      </c>
    </row>
    <row r="507" spans="2:5" x14ac:dyDescent="0.2">
      <c r="B507" s="120" t="s">
        <v>1122</v>
      </c>
      <c r="C507" s="121" t="s">
        <v>1123</v>
      </c>
      <c r="D507" s="122">
        <v>16.5</v>
      </c>
      <c r="E507" s="122">
        <v>0.55000000000000004</v>
      </c>
    </row>
    <row r="508" spans="2:5" x14ac:dyDescent="0.2">
      <c r="B508" s="120" t="s">
        <v>1124</v>
      </c>
      <c r="C508" s="121" t="s">
        <v>1125</v>
      </c>
      <c r="D508" s="122">
        <v>20.57</v>
      </c>
      <c r="E508" s="122">
        <v>0.14000000000000001</v>
      </c>
    </row>
    <row r="509" spans="2:5" x14ac:dyDescent="0.2">
      <c r="B509" s="120" t="s">
        <v>3998</v>
      </c>
      <c r="C509" s="121" t="s">
        <v>3999</v>
      </c>
      <c r="D509" s="122"/>
      <c r="E509" s="122"/>
    </row>
    <row r="510" spans="2:5" x14ac:dyDescent="0.2">
      <c r="B510" s="120" t="s">
        <v>1126</v>
      </c>
      <c r="C510" s="121" t="s">
        <v>1127</v>
      </c>
      <c r="D510" s="122">
        <v>24.65</v>
      </c>
      <c r="E510" s="122">
        <v>0.14000000000000001</v>
      </c>
    </row>
    <row r="511" spans="2:5" x14ac:dyDescent="0.2">
      <c r="B511" s="120" t="s">
        <v>1128</v>
      </c>
      <c r="C511" s="121" t="s">
        <v>1129</v>
      </c>
      <c r="D511" s="122"/>
      <c r="E511" s="122"/>
    </row>
    <row r="512" spans="2:5" x14ac:dyDescent="0.2">
      <c r="B512" s="120" t="s">
        <v>1130</v>
      </c>
      <c r="C512" s="121" t="s">
        <v>1131</v>
      </c>
      <c r="D512" s="122">
        <v>-4.46</v>
      </c>
      <c r="E512" s="122">
        <v>0.04</v>
      </c>
    </row>
    <row r="513" spans="2:5" x14ac:dyDescent="0.2">
      <c r="B513" s="120" t="s">
        <v>1132</v>
      </c>
      <c r="C513" s="121" t="s">
        <v>1133</v>
      </c>
      <c r="D513" s="122">
        <v>7.34</v>
      </c>
      <c r="E513" s="122">
        <v>0.06</v>
      </c>
    </row>
    <row r="514" spans="2:5" x14ac:dyDescent="0.2">
      <c r="B514" s="120" t="s">
        <v>1134</v>
      </c>
      <c r="C514" s="121" t="s">
        <v>1135</v>
      </c>
      <c r="D514" s="122">
        <v>19.41</v>
      </c>
      <c r="E514" s="122">
        <v>0.18</v>
      </c>
    </row>
    <row r="515" spans="2:5" x14ac:dyDescent="0.2">
      <c r="B515" s="120" t="s">
        <v>1136</v>
      </c>
      <c r="C515" s="121" t="s">
        <v>1137</v>
      </c>
      <c r="D515" s="122">
        <v>9.4</v>
      </c>
      <c r="E515" s="122">
        <v>0.09</v>
      </c>
    </row>
    <row r="516" spans="2:5" x14ac:dyDescent="0.2">
      <c r="B516" s="120" t="s">
        <v>1138</v>
      </c>
      <c r="C516" s="121" t="s">
        <v>1139</v>
      </c>
      <c r="D516" s="122"/>
      <c r="E516" s="122">
        <v>0.1</v>
      </c>
    </row>
    <row r="517" spans="2:5" x14ac:dyDescent="0.2">
      <c r="B517" s="120" t="s">
        <v>1140</v>
      </c>
      <c r="C517" s="121" t="s">
        <v>1141</v>
      </c>
      <c r="D517" s="122">
        <v>2.37</v>
      </c>
      <c r="E517" s="122">
        <v>0.03</v>
      </c>
    </row>
    <row r="518" spans="2:5" x14ac:dyDescent="0.2">
      <c r="B518" s="120" t="s">
        <v>1142</v>
      </c>
      <c r="C518" s="121" t="s">
        <v>1143</v>
      </c>
      <c r="D518" s="122">
        <v>23.89</v>
      </c>
      <c r="E518" s="122">
        <v>0.16</v>
      </c>
    </row>
    <row r="519" spans="2:5" x14ac:dyDescent="0.2">
      <c r="B519" s="120" t="s">
        <v>1144</v>
      </c>
      <c r="C519" s="121" t="s">
        <v>1145</v>
      </c>
      <c r="D519" s="122">
        <v>-13.07</v>
      </c>
      <c r="E519" s="122">
        <v>0.01</v>
      </c>
    </row>
    <row r="520" spans="2:5" x14ac:dyDescent="0.2">
      <c r="B520" s="120" t="s">
        <v>4000</v>
      </c>
      <c r="C520" s="121" t="s">
        <v>4001</v>
      </c>
      <c r="D520" s="122">
        <v>33.299999999999997</v>
      </c>
      <c r="E520" s="122">
        <v>0.26</v>
      </c>
    </row>
    <row r="521" spans="2:5" x14ac:dyDescent="0.2">
      <c r="B521" s="120" t="s">
        <v>1146</v>
      </c>
      <c r="C521" s="121" t="s">
        <v>1147</v>
      </c>
      <c r="D521" s="122">
        <v>38.64</v>
      </c>
      <c r="E521" s="122">
        <v>0.31</v>
      </c>
    </row>
    <row r="522" spans="2:5" x14ac:dyDescent="0.2">
      <c r="B522" s="120" t="s">
        <v>1148</v>
      </c>
      <c r="C522" s="121" t="s">
        <v>1149</v>
      </c>
      <c r="D522" s="122">
        <v>11.23</v>
      </c>
      <c r="E522" s="122">
        <v>-0.35</v>
      </c>
    </row>
    <row r="523" spans="2:5" x14ac:dyDescent="0.2">
      <c r="B523" s="120" t="s">
        <v>1150</v>
      </c>
      <c r="C523" s="121" t="s">
        <v>1151</v>
      </c>
      <c r="D523" s="122"/>
      <c r="E523" s="122"/>
    </row>
    <row r="524" spans="2:5" x14ac:dyDescent="0.2">
      <c r="B524" s="120" t="s">
        <v>1152</v>
      </c>
      <c r="C524" s="121" t="s">
        <v>1153</v>
      </c>
      <c r="D524" s="122">
        <v>10.119999999999999</v>
      </c>
      <c r="E524" s="122">
        <v>0.09</v>
      </c>
    </row>
    <row r="525" spans="2:5" x14ac:dyDescent="0.2">
      <c r="B525" s="120" t="s">
        <v>4002</v>
      </c>
      <c r="C525" s="121" t="s">
        <v>4003</v>
      </c>
      <c r="D525" s="122">
        <v>13.21</v>
      </c>
      <c r="E525" s="122">
        <v>0.14000000000000001</v>
      </c>
    </row>
    <row r="526" spans="2:5" x14ac:dyDescent="0.2">
      <c r="B526" s="120" t="s">
        <v>1154</v>
      </c>
      <c r="C526" s="121" t="s">
        <v>1155</v>
      </c>
      <c r="D526" s="122">
        <v>5.37</v>
      </c>
      <c r="E526" s="122">
        <v>0.03</v>
      </c>
    </row>
    <row r="527" spans="2:5" x14ac:dyDescent="0.2">
      <c r="B527" s="120" t="s">
        <v>1156</v>
      </c>
      <c r="C527" s="121" t="s">
        <v>1157</v>
      </c>
      <c r="D527" s="122">
        <v>9.7200000000000006</v>
      </c>
      <c r="E527" s="122">
        <v>0.04</v>
      </c>
    </row>
    <row r="528" spans="2:5" x14ac:dyDescent="0.2">
      <c r="B528" s="120" t="s">
        <v>1158</v>
      </c>
      <c r="C528" s="121" t="s">
        <v>1159</v>
      </c>
      <c r="D528" s="122">
        <v>4.38</v>
      </c>
      <c r="E528" s="122">
        <v>0.04</v>
      </c>
    </row>
    <row r="529" spans="2:5" x14ac:dyDescent="0.2">
      <c r="B529" s="120" t="s">
        <v>1160</v>
      </c>
      <c r="C529" s="121" t="s">
        <v>1161</v>
      </c>
      <c r="D529" s="122">
        <v>9.41</v>
      </c>
      <c r="E529" s="122">
        <v>0.06</v>
      </c>
    </row>
    <row r="530" spans="2:5" x14ac:dyDescent="0.2">
      <c r="B530" s="120" t="s">
        <v>1162</v>
      </c>
      <c r="C530" s="121" t="s">
        <v>1163</v>
      </c>
      <c r="D530" s="122">
        <v>13.23</v>
      </c>
      <c r="E530" s="122">
        <v>0.13</v>
      </c>
    </row>
    <row r="531" spans="2:5" x14ac:dyDescent="0.2">
      <c r="B531" s="120" t="s">
        <v>1164</v>
      </c>
      <c r="C531" s="121" t="s">
        <v>1165</v>
      </c>
      <c r="D531" s="122">
        <v>13.54</v>
      </c>
      <c r="E531" s="122">
        <v>0.13</v>
      </c>
    </row>
    <row r="532" spans="2:5" x14ac:dyDescent="0.2">
      <c r="B532" s="120" t="s">
        <v>1166</v>
      </c>
      <c r="C532" s="121" t="s">
        <v>1167</v>
      </c>
      <c r="D532" s="122">
        <v>6.02</v>
      </c>
      <c r="E532" s="122">
        <v>-0.03</v>
      </c>
    </row>
    <row r="533" spans="2:5" x14ac:dyDescent="0.2">
      <c r="B533" s="120" t="s">
        <v>1168</v>
      </c>
      <c r="C533" s="121" t="s">
        <v>1169</v>
      </c>
      <c r="D533" s="122"/>
      <c r="E533" s="122">
        <v>0.25</v>
      </c>
    </row>
    <row r="534" spans="2:5" x14ac:dyDescent="0.2">
      <c r="B534" s="120" t="s">
        <v>4004</v>
      </c>
      <c r="C534" s="121" t="s">
        <v>4005</v>
      </c>
      <c r="D534" s="122"/>
      <c r="E534" s="122">
        <v>0.01</v>
      </c>
    </row>
    <row r="535" spans="2:5" x14ac:dyDescent="0.2">
      <c r="B535" s="120" t="s">
        <v>1170</v>
      </c>
      <c r="C535" s="121" t="s">
        <v>1171</v>
      </c>
      <c r="D535" s="122">
        <v>25.6</v>
      </c>
      <c r="E535" s="122">
        <v>0.21</v>
      </c>
    </row>
    <row r="536" spans="2:5" x14ac:dyDescent="0.2">
      <c r="B536" s="120" t="s">
        <v>1172</v>
      </c>
      <c r="C536" s="121" t="s">
        <v>1173</v>
      </c>
      <c r="D536" s="122">
        <v>6.2</v>
      </c>
      <c r="E536" s="122">
        <v>0.06</v>
      </c>
    </row>
    <row r="537" spans="2:5" x14ac:dyDescent="0.2">
      <c r="B537" s="120" t="s">
        <v>1174</v>
      </c>
      <c r="C537" s="121" t="s">
        <v>1175</v>
      </c>
      <c r="D537" s="122">
        <v>10.67</v>
      </c>
      <c r="E537" s="122">
        <v>0.1</v>
      </c>
    </row>
    <row r="538" spans="2:5" x14ac:dyDescent="0.2">
      <c r="B538" s="120" t="s">
        <v>1176</v>
      </c>
      <c r="C538" s="121" t="s">
        <v>1177</v>
      </c>
      <c r="D538" s="122">
        <v>9.3000000000000007</v>
      </c>
      <c r="E538" s="122">
        <v>0.09</v>
      </c>
    </row>
    <row r="539" spans="2:5" x14ac:dyDescent="0.2">
      <c r="B539" s="120" t="s">
        <v>1178</v>
      </c>
      <c r="C539" s="121" t="s">
        <v>1179</v>
      </c>
      <c r="D539" s="122">
        <v>16.579999999999998</v>
      </c>
      <c r="E539" s="122">
        <v>0.13</v>
      </c>
    </row>
    <row r="540" spans="2:5" x14ac:dyDescent="0.2">
      <c r="B540" s="120" t="s">
        <v>4006</v>
      </c>
      <c r="C540" s="121" t="s">
        <v>4007</v>
      </c>
      <c r="D540" s="122"/>
      <c r="E540" s="122"/>
    </row>
    <row r="541" spans="2:5" x14ac:dyDescent="0.2">
      <c r="B541" s="120" t="s">
        <v>4008</v>
      </c>
      <c r="C541" s="121" t="s">
        <v>4009</v>
      </c>
      <c r="D541" s="122"/>
      <c r="E541" s="122"/>
    </row>
    <row r="542" spans="2:5" x14ac:dyDescent="0.2">
      <c r="B542" s="120" t="s">
        <v>4010</v>
      </c>
      <c r="C542" s="121" t="s">
        <v>4011</v>
      </c>
      <c r="D542" s="122">
        <v>1.03</v>
      </c>
      <c r="E542" s="122">
        <v>0.01</v>
      </c>
    </row>
    <row r="543" spans="2:5" x14ac:dyDescent="0.2">
      <c r="B543" s="120" t="s">
        <v>1180</v>
      </c>
      <c r="C543" s="121" t="s">
        <v>1181</v>
      </c>
      <c r="D543" s="122">
        <v>15.55</v>
      </c>
      <c r="E543" s="122">
        <v>0.21</v>
      </c>
    </row>
    <row r="544" spans="2:5" x14ac:dyDescent="0.2">
      <c r="B544" s="120" t="s">
        <v>1182</v>
      </c>
      <c r="C544" s="121" t="s">
        <v>1183</v>
      </c>
      <c r="D544" s="122">
        <v>20.29</v>
      </c>
      <c r="E544" s="122">
        <v>0.06</v>
      </c>
    </row>
    <row r="545" spans="2:5" x14ac:dyDescent="0.2">
      <c r="B545" s="120" t="s">
        <v>4012</v>
      </c>
      <c r="C545" s="121" t="s">
        <v>4013</v>
      </c>
      <c r="D545" s="122">
        <v>20.29</v>
      </c>
      <c r="E545" s="122">
        <v>0.06</v>
      </c>
    </row>
    <row r="546" spans="2:5" x14ac:dyDescent="0.2">
      <c r="B546" s="120" t="s">
        <v>4012</v>
      </c>
      <c r="C546" s="121" t="s">
        <v>4014</v>
      </c>
      <c r="D546" s="122">
        <v>20.29</v>
      </c>
      <c r="E546" s="122">
        <v>0.06</v>
      </c>
    </row>
    <row r="547" spans="2:5" x14ac:dyDescent="0.2">
      <c r="B547" s="120" t="s">
        <v>1184</v>
      </c>
      <c r="C547" s="121" t="s">
        <v>1185</v>
      </c>
      <c r="D547" s="122">
        <v>10.88</v>
      </c>
      <c r="E547" s="122">
        <v>0.12</v>
      </c>
    </row>
    <row r="548" spans="2:5" x14ac:dyDescent="0.2">
      <c r="B548" s="120" t="s">
        <v>1186</v>
      </c>
      <c r="C548" s="121" t="s">
        <v>1187</v>
      </c>
      <c r="D548" s="122"/>
      <c r="E548" s="122"/>
    </row>
    <row r="549" spans="2:5" x14ac:dyDescent="0.2">
      <c r="B549" s="120" t="s">
        <v>1188</v>
      </c>
      <c r="C549" s="121" t="s">
        <v>1189</v>
      </c>
      <c r="D549" s="122"/>
      <c r="E549" s="122">
        <v>0.08</v>
      </c>
    </row>
    <row r="550" spans="2:5" x14ac:dyDescent="0.2">
      <c r="B550" s="120" t="s">
        <v>1190</v>
      </c>
      <c r="C550" s="121" t="s">
        <v>1191</v>
      </c>
      <c r="D550" s="122">
        <v>3.65</v>
      </c>
      <c r="E550" s="122">
        <v>0.04</v>
      </c>
    </row>
    <row r="551" spans="2:5" x14ac:dyDescent="0.2">
      <c r="B551" s="120" t="s">
        <v>4015</v>
      </c>
      <c r="C551" s="121" t="s">
        <v>4016</v>
      </c>
      <c r="D551" s="122">
        <v>3.82</v>
      </c>
      <c r="E551" s="122">
        <v>0.06</v>
      </c>
    </row>
    <row r="552" spans="2:5" x14ac:dyDescent="0.2">
      <c r="B552" s="120" t="s">
        <v>1192</v>
      </c>
      <c r="C552" s="121" t="s">
        <v>1193</v>
      </c>
      <c r="D552" s="122">
        <v>22.69</v>
      </c>
      <c r="E552" s="122">
        <v>0.1</v>
      </c>
    </row>
    <row r="553" spans="2:5" x14ac:dyDescent="0.2">
      <c r="B553" s="120" t="s">
        <v>4017</v>
      </c>
      <c r="C553" s="121" t="s">
        <v>4018</v>
      </c>
      <c r="D553" s="122">
        <v>15.85</v>
      </c>
      <c r="E553" s="122">
        <v>0.1</v>
      </c>
    </row>
    <row r="554" spans="2:5" x14ac:dyDescent="0.2">
      <c r="B554" s="120" t="s">
        <v>1194</v>
      </c>
      <c r="C554" s="121" t="s">
        <v>1195</v>
      </c>
      <c r="D554" s="122">
        <v>9.06</v>
      </c>
      <c r="E554" s="122">
        <v>0.11</v>
      </c>
    </row>
    <row r="555" spans="2:5" x14ac:dyDescent="0.2">
      <c r="B555" s="120" t="s">
        <v>1196</v>
      </c>
      <c r="C555" s="121" t="s">
        <v>1197</v>
      </c>
      <c r="D555" s="122">
        <v>5.14</v>
      </c>
      <c r="E555" s="122">
        <v>-7.0000000000000007E-2</v>
      </c>
    </row>
    <row r="556" spans="2:5" x14ac:dyDescent="0.2">
      <c r="B556" s="120" t="s">
        <v>1198</v>
      </c>
      <c r="C556" s="121" t="s">
        <v>1199</v>
      </c>
      <c r="D556" s="122"/>
      <c r="E556" s="122"/>
    </row>
    <row r="557" spans="2:5" x14ac:dyDescent="0.2">
      <c r="B557" s="120" t="s">
        <v>4019</v>
      </c>
      <c r="C557" s="121" t="s">
        <v>4020</v>
      </c>
      <c r="D557" s="122">
        <v>48.06</v>
      </c>
      <c r="E557" s="122">
        <v>0.34</v>
      </c>
    </row>
    <row r="558" spans="2:5" x14ac:dyDescent="0.2">
      <c r="B558" s="120" t="s">
        <v>4021</v>
      </c>
      <c r="C558" s="121" t="s">
        <v>4022</v>
      </c>
      <c r="D558" s="122">
        <v>27.36</v>
      </c>
      <c r="E558" s="122">
        <v>0.33</v>
      </c>
    </row>
    <row r="559" spans="2:5" x14ac:dyDescent="0.2">
      <c r="B559" s="120" t="s">
        <v>1200</v>
      </c>
      <c r="C559" s="121" t="s">
        <v>1201</v>
      </c>
      <c r="D559" s="122">
        <v>18.940000000000001</v>
      </c>
      <c r="E559" s="122">
        <v>0.17</v>
      </c>
    </row>
    <row r="560" spans="2:5" x14ac:dyDescent="0.2">
      <c r="B560" s="120" t="s">
        <v>4023</v>
      </c>
      <c r="C560" s="121" t="s">
        <v>4024</v>
      </c>
      <c r="D560" s="122"/>
      <c r="E560" s="122"/>
    </row>
    <row r="561" spans="2:5" x14ac:dyDescent="0.2">
      <c r="B561" s="120" t="s">
        <v>4025</v>
      </c>
      <c r="C561" s="121" t="s">
        <v>4026</v>
      </c>
      <c r="D561" s="122">
        <v>2.94</v>
      </c>
      <c r="E561" s="122">
        <v>-0.03</v>
      </c>
    </row>
    <row r="562" spans="2:5" x14ac:dyDescent="0.2">
      <c r="B562" s="120" t="s">
        <v>1202</v>
      </c>
      <c r="C562" s="121" t="s">
        <v>1203</v>
      </c>
      <c r="D562" s="122">
        <v>4.8499999999999996</v>
      </c>
      <c r="E562" s="122"/>
    </row>
    <row r="563" spans="2:5" x14ac:dyDescent="0.2">
      <c r="B563" s="120" t="s">
        <v>1204</v>
      </c>
      <c r="C563" s="121" t="s">
        <v>1205</v>
      </c>
      <c r="D563" s="122">
        <v>12.61</v>
      </c>
      <c r="E563" s="122">
        <v>0.13</v>
      </c>
    </row>
    <row r="564" spans="2:5" x14ac:dyDescent="0.2">
      <c r="B564" s="120" t="s">
        <v>1206</v>
      </c>
      <c r="C564" s="121" t="s">
        <v>1207</v>
      </c>
      <c r="D564" s="122">
        <v>3.17</v>
      </c>
      <c r="E564" s="122">
        <v>-0.61</v>
      </c>
    </row>
    <row r="565" spans="2:5" x14ac:dyDescent="0.2">
      <c r="B565" s="120" t="s">
        <v>1208</v>
      </c>
      <c r="C565" s="121" t="s">
        <v>1209</v>
      </c>
      <c r="D565" s="122">
        <v>5.46</v>
      </c>
      <c r="E565" s="122">
        <v>0.04</v>
      </c>
    </row>
    <row r="566" spans="2:5" x14ac:dyDescent="0.2">
      <c r="B566" s="120" t="s">
        <v>1210</v>
      </c>
      <c r="C566" s="121" t="s">
        <v>1211</v>
      </c>
      <c r="D566" s="122">
        <v>11.65</v>
      </c>
      <c r="E566" s="122">
        <v>0.08</v>
      </c>
    </row>
    <row r="567" spans="2:5" x14ac:dyDescent="0.2">
      <c r="B567" s="120" t="s">
        <v>4027</v>
      </c>
      <c r="C567" s="121" t="s">
        <v>4028</v>
      </c>
      <c r="D567" s="122"/>
      <c r="E567" s="122">
        <v>7.0000000000000007E-2</v>
      </c>
    </row>
    <row r="568" spans="2:5" x14ac:dyDescent="0.2">
      <c r="B568" s="120" t="s">
        <v>1212</v>
      </c>
      <c r="C568" s="121" t="s">
        <v>1213</v>
      </c>
      <c r="D568" s="122">
        <v>14.48</v>
      </c>
      <c r="E568" s="122">
        <v>0.09</v>
      </c>
    </row>
    <row r="569" spans="2:5" x14ac:dyDescent="0.2">
      <c r="B569" s="120" t="s">
        <v>4029</v>
      </c>
      <c r="C569" s="121" t="s">
        <v>4030</v>
      </c>
      <c r="D569" s="122"/>
      <c r="E569" s="122"/>
    </row>
    <row r="570" spans="2:5" x14ac:dyDescent="0.2">
      <c r="B570" s="120" t="s">
        <v>1214</v>
      </c>
      <c r="C570" s="121" t="s">
        <v>1215</v>
      </c>
      <c r="D570" s="122">
        <v>3.44</v>
      </c>
      <c r="E570" s="122">
        <v>0.03</v>
      </c>
    </row>
    <row r="571" spans="2:5" x14ac:dyDescent="0.2">
      <c r="B571" s="120" t="s">
        <v>1216</v>
      </c>
      <c r="C571" s="121" t="s">
        <v>1217</v>
      </c>
      <c r="D571" s="122">
        <v>10.83</v>
      </c>
      <c r="E571" s="122">
        <v>0.11</v>
      </c>
    </row>
    <row r="572" spans="2:5" x14ac:dyDescent="0.2">
      <c r="B572" s="120" t="s">
        <v>1218</v>
      </c>
      <c r="C572" s="121" t="s">
        <v>1219</v>
      </c>
      <c r="D572" s="122">
        <v>27.57</v>
      </c>
      <c r="E572" s="122">
        <v>0.4</v>
      </c>
    </row>
    <row r="573" spans="2:5" x14ac:dyDescent="0.2">
      <c r="B573" s="120" t="s">
        <v>1220</v>
      </c>
      <c r="C573" s="121" t="s">
        <v>1221</v>
      </c>
      <c r="D573" s="122">
        <v>8.5299999999999994</v>
      </c>
      <c r="E573" s="122">
        <v>0.08</v>
      </c>
    </row>
    <row r="574" spans="2:5" x14ac:dyDescent="0.2">
      <c r="B574" s="120" t="s">
        <v>1222</v>
      </c>
      <c r="C574" s="121" t="s">
        <v>1223</v>
      </c>
      <c r="D574" s="122">
        <v>20.03</v>
      </c>
      <c r="E574" s="122">
        <v>0.19</v>
      </c>
    </row>
    <row r="575" spans="2:5" x14ac:dyDescent="0.2">
      <c r="B575" s="120" t="s">
        <v>1224</v>
      </c>
      <c r="C575" s="121" t="s">
        <v>1225</v>
      </c>
      <c r="D575" s="122">
        <v>5.27</v>
      </c>
      <c r="E575" s="122">
        <v>0.05</v>
      </c>
    </row>
    <row r="576" spans="2:5" x14ac:dyDescent="0.2">
      <c r="B576" s="120" t="s">
        <v>4031</v>
      </c>
      <c r="C576" s="121" t="s">
        <v>4032</v>
      </c>
      <c r="D576" s="122">
        <v>6.7</v>
      </c>
      <c r="E576" s="122">
        <v>0.09</v>
      </c>
    </row>
    <row r="577" spans="2:5" x14ac:dyDescent="0.2">
      <c r="B577" s="120" t="s">
        <v>1226</v>
      </c>
      <c r="C577" s="121" t="s">
        <v>1227</v>
      </c>
      <c r="D577" s="122">
        <v>10.58</v>
      </c>
      <c r="E577" s="122">
        <v>0.11</v>
      </c>
    </row>
    <row r="578" spans="2:5" x14ac:dyDescent="0.2">
      <c r="B578" s="120" t="s">
        <v>4033</v>
      </c>
      <c r="C578" s="121" t="s">
        <v>4034</v>
      </c>
      <c r="D578" s="122"/>
      <c r="E578" s="122"/>
    </row>
    <row r="579" spans="2:5" x14ac:dyDescent="0.2">
      <c r="B579" s="120" t="s">
        <v>4035</v>
      </c>
      <c r="C579" s="121" t="s">
        <v>4036</v>
      </c>
      <c r="D579" s="122"/>
      <c r="E579" s="122"/>
    </row>
    <row r="580" spans="2:5" x14ac:dyDescent="0.2">
      <c r="B580" s="120" t="s">
        <v>1228</v>
      </c>
      <c r="C580" s="121" t="s">
        <v>1229</v>
      </c>
      <c r="D580" s="122">
        <v>8.1</v>
      </c>
      <c r="E580" s="122">
        <v>0.08</v>
      </c>
    </row>
    <row r="581" spans="2:5" x14ac:dyDescent="0.2">
      <c r="B581" s="120" t="s">
        <v>1230</v>
      </c>
      <c r="C581" s="121" t="s">
        <v>1231</v>
      </c>
      <c r="D581" s="122">
        <v>5.9</v>
      </c>
      <c r="E581" s="122">
        <v>0.03</v>
      </c>
    </row>
    <row r="582" spans="2:5" x14ac:dyDescent="0.2">
      <c r="B582" s="120" t="s">
        <v>4037</v>
      </c>
      <c r="C582" s="121" t="s">
        <v>4038</v>
      </c>
      <c r="D582" s="122">
        <v>4.51</v>
      </c>
      <c r="E582" s="122">
        <v>0.01</v>
      </c>
    </row>
    <row r="583" spans="2:5" x14ac:dyDescent="0.2">
      <c r="B583" s="120" t="s">
        <v>1232</v>
      </c>
      <c r="C583" s="121" t="s">
        <v>1233</v>
      </c>
      <c r="D583" s="122">
        <v>14.19</v>
      </c>
      <c r="E583" s="122">
        <v>0.11</v>
      </c>
    </row>
    <row r="584" spans="2:5" x14ac:dyDescent="0.2">
      <c r="B584" s="120" t="s">
        <v>1234</v>
      </c>
      <c r="C584" s="121" t="s">
        <v>1235</v>
      </c>
      <c r="D584" s="122">
        <v>5.3</v>
      </c>
      <c r="E584" s="122">
        <v>0.01</v>
      </c>
    </row>
    <row r="585" spans="2:5" x14ac:dyDescent="0.2">
      <c r="B585" s="120" t="s">
        <v>1236</v>
      </c>
      <c r="C585" s="121" t="s">
        <v>1237</v>
      </c>
      <c r="D585" s="122"/>
      <c r="E585" s="122">
        <v>0.17</v>
      </c>
    </row>
    <row r="586" spans="2:5" x14ac:dyDescent="0.2">
      <c r="B586" s="120" t="s">
        <v>1238</v>
      </c>
      <c r="C586" s="121" t="s">
        <v>1239</v>
      </c>
      <c r="D586" s="122">
        <v>7.14</v>
      </c>
      <c r="E586" s="122">
        <v>0.28999999999999998</v>
      </c>
    </row>
    <row r="587" spans="2:5" x14ac:dyDescent="0.2">
      <c r="B587" s="120" t="s">
        <v>4039</v>
      </c>
      <c r="C587" s="121" t="s">
        <v>4040</v>
      </c>
      <c r="D587" s="122"/>
      <c r="E587" s="122"/>
    </row>
    <row r="588" spans="2:5" x14ac:dyDescent="0.2">
      <c r="B588" s="120" t="s">
        <v>4041</v>
      </c>
      <c r="C588" s="121" t="s">
        <v>4042</v>
      </c>
      <c r="D588" s="122"/>
      <c r="E588" s="122"/>
    </row>
    <row r="589" spans="2:5" x14ac:dyDescent="0.2">
      <c r="B589" s="120" t="s">
        <v>1240</v>
      </c>
      <c r="C589" s="121" t="s">
        <v>1241</v>
      </c>
      <c r="D589" s="122"/>
      <c r="E589" s="122"/>
    </row>
    <row r="590" spans="2:5" x14ac:dyDescent="0.2">
      <c r="B590" s="120" t="s">
        <v>1242</v>
      </c>
      <c r="C590" s="121" t="s">
        <v>1243</v>
      </c>
      <c r="D590" s="122">
        <v>11.09</v>
      </c>
      <c r="E590" s="122">
        <v>0.06</v>
      </c>
    </row>
    <row r="591" spans="2:5" x14ac:dyDescent="0.2">
      <c r="B591" s="120" t="s">
        <v>1244</v>
      </c>
      <c r="C591" s="121" t="s">
        <v>1245</v>
      </c>
      <c r="D591" s="122">
        <v>5.5</v>
      </c>
      <c r="E591" s="122">
        <v>-0.12</v>
      </c>
    </row>
    <row r="592" spans="2:5" x14ac:dyDescent="0.2">
      <c r="B592" s="120" t="s">
        <v>1246</v>
      </c>
      <c r="C592" s="121" t="s">
        <v>1247</v>
      </c>
      <c r="D592" s="122">
        <v>5.69</v>
      </c>
      <c r="E592" s="122">
        <v>0.05</v>
      </c>
    </row>
    <row r="593" spans="2:5" x14ac:dyDescent="0.2">
      <c r="B593" s="120" t="s">
        <v>1248</v>
      </c>
      <c r="C593" s="121" t="s">
        <v>1249</v>
      </c>
      <c r="D593" s="122">
        <v>27.37</v>
      </c>
      <c r="E593" s="122">
        <v>0.21</v>
      </c>
    </row>
    <row r="594" spans="2:5" x14ac:dyDescent="0.2">
      <c r="B594" s="120" t="s">
        <v>4043</v>
      </c>
      <c r="C594" s="121" t="s">
        <v>4044</v>
      </c>
      <c r="D594" s="122">
        <v>5.1100000000000003</v>
      </c>
      <c r="E594" s="122">
        <v>0.05</v>
      </c>
    </row>
    <row r="595" spans="2:5" x14ac:dyDescent="0.2">
      <c r="B595" s="120" t="s">
        <v>1250</v>
      </c>
      <c r="C595" s="121" t="s">
        <v>1251</v>
      </c>
      <c r="D595" s="122">
        <v>42.4</v>
      </c>
      <c r="E595" s="122">
        <v>0.45</v>
      </c>
    </row>
    <row r="596" spans="2:5" x14ac:dyDescent="0.2">
      <c r="B596" s="120" t="s">
        <v>1252</v>
      </c>
      <c r="C596" s="121" t="s">
        <v>1253</v>
      </c>
      <c r="D596" s="122">
        <v>23.4</v>
      </c>
      <c r="E596" s="122">
        <v>0.24</v>
      </c>
    </row>
    <row r="597" spans="2:5" x14ac:dyDescent="0.2">
      <c r="B597" s="120" t="s">
        <v>1254</v>
      </c>
      <c r="C597" s="121" t="s">
        <v>1255</v>
      </c>
      <c r="D597" s="122">
        <v>22.99</v>
      </c>
      <c r="E597" s="122">
        <v>0.23</v>
      </c>
    </row>
    <row r="598" spans="2:5" x14ac:dyDescent="0.2">
      <c r="B598" s="120" t="s">
        <v>4045</v>
      </c>
      <c r="C598" s="121" t="s">
        <v>4046</v>
      </c>
      <c r="D598" s="122"/>
      <c r="E598" s="122">
        <v>0.48</v>
      </c>
    </row>
    <row r="599" spans="2:5" x14ac:dyDescent="0.2">
      <c r="B599" s="120" t="s">
        <v>4047</v>
      </c>
      <c r="C599" s="121" t="s">
        <v>4048</v>
      </c>
      <c r="D599" s="122"/>
      <c r="E599" s="122">
        <v>0.48</v>
      </c>
    </row>
    <row r="600" spans="2:5" x14ac:dyDescent="0.2">
      <c r="B600" s="120" t="s">
        <v>1256</v>
      </c>
      <c r="C600" s="121" t="s">
        <v>1257</v>
      </c>
      <c r="D600" s="122">
        <v>16.440000000000001</v>
      </c>
      <c r="E600" s="122">
        <v>0.84</v>
      </c>
    </row>
    <row r="601" spans="2:5" x14ac:dyDescent="0.2">
      <c r="B601" s="120" t="s">
        <v>1258</v>
      </c>
      <c r="C601" s="121" t="s">
        <v>1259</v>
      </c>
      <c r="D601" s="122">
        <v>13.31</v>
      </c>
      <c r="E601" s="122">
        <v>0.18</v>
      </c>
    </row>
    <row r="602" spans="2:5" x14ac:dyDescent="0.2">
      <c r="B602" s="120" t="s">
        <v>1260</v>
      </c>
      <c r="C602" s="121" t="s">
        <v>1261</v>
      </c>
      <c r="D602" s="122"/>
      <c r="E602" s="122">
        <v>0.02</v>
      </c>
    </row>
    <row r="603" spans="2:5" x14ac:dyDescent="0.2">
      <c r="B603" s="120" t="s">
        <v>1262</v>
      </c>
      <c r="C603" s="121" t="s">
        <v>1263</v>
      </c>
      <c r="D603" s="122">
        <v>10.92</v>
      </c>
      <c r="E603" s="122">
        <v>0.1</v>
      </c>
    </row>
    <row r="604" spans="2:5" x14ac:dyDescent="0.2">
      <c r="B604" s="120" t="s">
        <v>1264</v>
      </c>
      <c r="C604" s="121" t="s">
        <v>1265</v>
      </c>
      <c r="D604" s="122">
        <v>10.92</v>
      </c>
      <c r="E604" s="122">
        <v>0.11</v>
      </c>
    </row>
    <row r="605" spans="2:5" x14ac:dyDescent="0.2">
      <c r="B605" s="120" t="s">
        <v>4049</v>
      </c>
      <c r="C605" s="121" t="s">
        <v>4050</v>
      </c>
      <c r="D605" s="122"/>
      <c r="E605" s="122">
        <v>0.19</v>
      </c>
    </row>
    <row r="606" spans="2:5" x14ac:dyDescent="0.2">
      <c r="B606" s="120" t="s">
        <v>4051</v>
      </c>
      <c r="C606" s="121" t="s">
        <v>4052</v>
      </c>
      <c r="D606" s="122">
        <v>4.72</v>
      </c>
      <c r="E606" s="122">
        <v>0.03</v>
      </c>
    </row>
    <row r="607" spans="2:5" x14ac:dyDescent="0.2">
      <c r="B607" s="120" t="s">
        <v>1266</v>
      </c>
      <c r="C607" s="121" t="s">
        <v>1267</v>
      </c>
      <c r="D607" s="122">
        <v>11.7</v>
      </c>
      <c r="E607" s="122">
        <v>0.08</v>
      </c>
    </row>
    <row r="608" spans="2:5" x14ac:dyDescent="0.2">
      <c r="B608" s="120" t="s">
        <v>1268</v>
      </c>
      <c r="C608" s="121" t="s">
        <v>1269</v>
      </c>
      <c r="D608" s="122">
        <v>12.73</v>
      </c>
      <c r="E608" s="122">
        <v>0.09</v>
      </c>
    </row>
    <row r="609" spans="2:5" x14ac:dyDescent="0.2">
      <c r="B609" s="120" t="s">
        <v>4053</v>
      </c>
      <c r="C609" s="121" t="s">
        <v>4054</v>
      </c>
      <c r="D609" s="122"/>
      <c r="E609" s="122"/>
    </row>
    <row r="610" spans="2:5" x14ac:dyDescent="0.2">
      <c r="B610" s="120" t="s">
        <v>4055</v>
      </c>
      <c r="C610" s="121" t="s">
        <v>4056</v>
      </c>
      <c r="D610" s="122"/>
      <c r="E610" s="122"/>
    </row>
    <row r="611" spans="2:5" x14ac:dyDescent="0.2">
      <c r="B611" s="120" t="s">
        <v>1270</v>
      </c>
      <c r="C611" s="121" t="s">
        <v>1271</v>
      </c>
      <c r="D611" s="122">
        <v>19.32</v>
      </c>
      <c r="E611" s="122">
        <v>0.09</v>
      </c>
    </row>
    <row r="612" spans="2:5" x14ac:dyDescent="0.2">
      <c r="B612" s="120" t="s">
        <v>4057</v>
      </c>
      <c r="C612" s="121" t="s">
        <v>4058</v>
      </c>
      <c r="D612" s="122">
        <v>25.87</v>
      </c>
      <c r="E612" s="122">
        <v>0.26</v>
      </c>
    </row>
    <row r="613" spans="2:5" x14ac:dyDescent="0.2">
      <c r="B613" s="120" t="s">
        <v>1272</v>
      </c>
      <c r="C613" s="121" t="s">
        <v>1273</v>
      </c>
      <c r="D613" s="122">
        <v>28.9</v>
      </c>
      <c r="E613" s="122">
        <v>0.28999999999999998</v>
      </c>
    </row>
    <row r="614" spans="2:5" x14ac:dyDescent="0.2">
      <c r="B614" s="120" t="s">
        <v>1274</v>
      </c>
      <c r="C614" s="121" t="s">
        <v>1275</v>
      </c>
      <c r="D614" s="122">
        <v>8.64</v>
      </c>
      <c r="E614" s="122">
        <v>7.0000000000000007E-2</v>
      </c>
    </row>
    <row r="615" spans="2:5" x14ac:dyDescent="0.2">
      <c r="B615" s="120" t="s">
        <v>1276</v>
      </c>
      <c r="C615" s="121" t="s">
        <v>1277</v>
      </c>
      <c r="D615" s="122">
        <v>12.37</v>
      </c>
      <c r="E615" s="122">
        <v>-0.02</v>
      </c>
    </row>
    <row r="616" spans="2:5" x14ac:dyDescent="0.2">
      <c r="B616" s="120" t="s">
        <v>1278</v>
      </c>
      <c r="C616" s="121" t="s">
        <v>1279</v>
      </c>
      <c r="D616" s="122"/>
      <c r="E616" s="122">
        <v>0.06</v>
      </c>
    </row>
    <row r="617" spans="2:5" x14ac:dyDescent="0.2">
      <c r="B617" s="120" t="s">
        <v>1280</v>
      </c>
      <c r="C617" s="121" t="s">
        <v>1281</v>
      </c>
      <c r="D617" s="122">
        <v>8.77</v>
      </c>
      <c r="E617" s="122">
        <v>0.09</v>
      </c>
    </row>
    <row r="618" spans="2:5" x14ac:dyDescent="0.2">
      <c r="B618" s="120" t="s">
        <v>1282</v>
      </c>
      <c r="C618" s="121" t="s">
        <v>1283</v>
      </c>
      <c r="D618" s="122">
        <v>13.29</v>
      </c>
      <c r="E618" s="122">
        <v>0.12</v>
      </c>
    </row>
    <row r="619" spans="2:5" x14ac:dyDescent="0.2">
      <c r="B619" s="120" t="s">
        <v>1284</v>
      </c>
      <c r="C619" s="121" t="s">
        <v>1285</v>
      </c>
      <c r="D619" s="122">
        <v>13.25</v>
      </c>
      <c r="E619" s="122">
        <v>0.03</v>
      </c>
    </row>
    <row r="620" spans="2:5" x14ac:dyDescent="0.2">
      <c r="B620" s="120" t="s">
        <v>4059</v>
      </c>
      <c r="C620" s="121" t="s">
        <v>4060</v>
      </c>
      <c r="D620" s="122">
        <v>10.16</v>
      </c>
      <c r="E620" s="122">
        <v>0.1</v>
      </c>
    </row>
    <row r="621" spans="2:5" x14ac:dyDescent="0.2">
      <c r="B621" s="120" t="s">
        <v>4061</v>
      </c>
      <c r="C621" s="121" t="s">
        <v>4062</v>
      </c>
      <c r="D621" s="122"/>
      <c r="E621" s="122">
        <v>0.1</v>
      </c>
    </row>
    <row r="622" spans="2:5" x14ac:dyDescent="0.2">
      <c r="B622" s="120" t="s">
        <v>1286</v>
      </c>
      <c r="C622" s="121" t="s">
        <v>1287</v>
      </c>
      <c r="D622" s="122">
        <v>27.02</v>
      </c>
      <c r="E622" s="122">
        <v>0.22</v>
      </c>
    </row>
    <row r="623" spans="2:5" x14ac:dyDescent="0.2">
      <c r="B623" s="120" t="s">
        <v>1288</v>
      </c>
      <c r="C623" s="121" t="s">
        <v>1289</v>
      </c>
      <c r="D623" s="122">
        <v>3.13</v>
      </c>
      <c r="E623" s="122">
        <v>0.03</v>
      </c>
    </row>
    <row r="624" spans="2:5" x14ac:dyDescent="0.2">
      <c r="B624" s="120" t="s">
        <v>4063</v>
      </c>
      <c r="C624" s="121" t="s">
        <v>4064</v>
      </c>
      <c r="D624" s="122"/>
      <c r="E624" s="122"/>
    </row>
    <row r="625" spans="2:5" x14ac:dyDescent="0.2">
      <c r="B625" s="120" t="s">
        <v>1290</v>
      </c>
      <c r="C625" s="121" t="s">
        <v>1291</v>
      </c>
      <c r="D625" s="122">
        <v>3.6</v>
      </c>
      <c r="E625" s="122">
        <v>0.03</v>
      </c>
    </row>
    <row r="626" spans="2:5" x14ac:dyDescent="0.2">
      <c r="B626" s="120" t="s">
        <v>1292</v>
      </c>
      <c r="C626" s="121" t="s">
        <v>1293</v>
      </c>
      <c r="D626" s="122">
        <v>10.9</v>
      </c>
      <c r="E626" s="122">
        <v>0.11</v>
      </c>
    </row>
    <row r="627" spans="2:5" x14ac:dyDescent="0.2">
      <c r="B627" s="120" t="s">
        <v>1294</v>
      </c>
      <c r="C627" s="121" t="s">
        <v>1295</v>
      </c>
      <c r="D627" s="122">
        <v>11.68</v>
      </c>
      <c r="E627" s="122">
        <v>0.13</v>
      </c>
    </row>
    <row r="628" spans="2:5" x14ac:dyDescent="0.2">
      <c r="B628" s="120" t="s">
        <v>1296</v>
      </c>
      <c r="C628" s="121" t="s">
        <v>1297</v>
      </c>
      <c r="D628" s="122">
        <v>10.76</v>
      </c>
      <c r="E628" s="122">
        <v>0.06</v>
      </c>
    </row>
    <row r="629" spans="2:5" x14ac:dyDescent="0.2">
      <c r="B629" s="120" t="s">
        <v>1298</v>
      </c>
      <c r="C629" s="121" t="s">
        <v>1299</v>
      </c>
      <c r="D629" s="122">
        <v>16.37</v>
      </c>
      <c r="E629" s="122">
        <v>0.15</v>
      </c>
    </row>
    <row r="630" spans="2:5" x14ac:dyDescent="0.2">
      <c r="B630" s="120" t="s">
        <v>4065</v>
      </c>
      <c r="C630" s="121" t="s">
        <v>4066</v>
      </c>
      <c r="D630" s="122"/>
      <c r="E630" s="122">
        <v>0.34</v>
      </c>
    </row>
    <row r="631" spans="2:5" x14ac:dyDescent="0.2">
      <c r="B631" s="120" t="s">
        <v>4067</v>
      </c>
      <c r="C631" s="121" t="s">
        <v>4068</v>
      </c>
      <c r="D631" s="122"/>
      <c r="E631" s="122">
        <v>0.02</v>
      </c>
    </row>
    <row r="632" spans="2:5" x14ac:dyDescent="0.2">
      <c r="B632" s="120" t="s">
        <v>1300</v>
      </c>
      <c r="C632" s="121" t="s">
        <v>1301</v>
      </c>
      <c r="D632" s="122">
        <v>9.2799999999999994</v>
      </c>
      <c r="E632" s="122">
        <v>0.09</v>
      </c>
    </row>
    <row r="633" spans="2:5" x14ac:dyDescent="0.2">
      <c r="B633" s="120" t="s">
        <v>4069</v>
      </c>
      <c r="C633" s="121" t="s">
        <v>4070</v>
      </c>
      <c r="D633" s="122">
        <v>17.34</v>
      </c>
      <c r="E633" s="122">
        <v>0.15</v>
      </c>
    </row>
    <row r="634" spans="2:5" x14ac:dyDescent="0.2">
      <c r="B634" s="120" t="s">
        <v>4071</v>
      </c>
      <c r="C634" s="121" t="s">
        <v>4072</v>
      </c>
      <c r="D634" s="122">
        <v>6.29</v>
      </c>
      <c r="E634" s="122">
        <v>0.06</v>
      </c>
    </row>
    <row r="635" spans="2:5" x14ac:dyDescent="0.2">
      <c r="B635" s="120" t="s">
        <v>1302</v>
      </c>
      <c r="C635" s="121" t="s">
        <v>1303</v>
      </c>
      <c r="D635" s="122">
        <v>-0.11</v>
      </c>
      <c r="E635" s="122">
        <v>0</v>
      </c>
    </row>
    <row r="636" spans="2:5" x14ac:dyDescent="0.2">
      <c r="B636" s="120" t="s">
        <v>1304</v>
      </c>
      <c r="C636" s="121" t="s">
        <v>1305</v>
      </c>
      <c r="D636" s="122">
        <v>10.49</v>
      </c>
      <c r="E636" s="122">
        <v>-0.04</v>
      </c>
    </row>
    <row r="637" spans="2:5" x14ac:dyDescent="0.2">
      <c r="B637" s="120" t="s">
        <v>1306</v>
      </c>
      <c r="C637" s="121" t="s">
        <v>1307</v>
      </c>
      <c r="D637" s="122">
        <v>16.13</v>
      </c>
      <c r="E637" s="122">
        <v>0.16</v>
      </c>
    </row>
    <row r="638" spans="2:5" x14ac:dyDescent="0.2">
      <c r="B638" s="120" t="s">
        <v>4073</v>
      </c>
      <c r="C638" s="121" t="s">
        <v>4074</v>
      </c>
      <c r="D638" s="122"/>
      <c r="E638" s="122"/>
    </row>
    <row r="639" spans="2:5" x14ac:dyDescent="0.2">
      <c r="B639" s="120" t="s">
        <v>1308</v>
      </c>
      <c r="C639" s="121" t="s">
        <v>1309</v>
      </c>
      <c r="D639" s="122">
        <v>11.71</v>
      </c>
      <c r="E639" s="122">
        <v>0.01</v>
      </c>
    </row>
    <row r="640" spans="2:5" x14ac:dyDescent="0.2">
      <c r="B640" s="120" t="s">
        <v>4075</v>
      </c>
      <c r="C640" s="121" t="s">
        <v>4076</v>
      </c>
      <c r="D640" s="122">
        <v>23.57</v>
      </c>
      <c r="E640" s="122">
        <v>0.2</v>
      </c>
    </row>
    <row r="641" spans="2:5" x14ac:dyDescent="0.2">
      <c r="B641" s="120" t="s">
        <v>1310</v>
      </c>
      <c r="C641" s="121" t="s">
        <v>1311</v>
      </c>
      <c r="D641" s="122">
        <v>17.59</v>
      </c>
      <c r="E641" s="122">
        <v>0.2</v>
      </c>
    </row>
    <row r="642" spans="2:5" x14ac:dyDescent="0.2">
      <c r="B642" s="120" t="s">
        <v>1312</v>
      </c>
      <c r="C642" s="121" t="s">
        <v>1313</v>
      </c>
      <c r="D642" s="122">
        <v>3.76</v>
      </c>
      <c r="E642" s="122">
        <v>0.11</v>
      </c>
    </row>
    <row r="643" spans="2:5" x14ac:dyDescent="0.2">
      <c r="B643" s="120" t="s">
        <v>1314</v>
      </c>
      <c r="C643" s="121" t="s">
        <v>1315</v>
      </c>
      <c r="D643" s="122">
        <v>13.88</v>
      </c>
      <c r="E643" s="122">
        <v>0.13</v>
      </c>
    </row>
    <row r="644" spans="2:5" x14ac:dyDescent="0.2">
      <c r="B644" s="120" t="s">
        <v>1316</v>
      </c>
      <c r="C644" s="121" t="s">
        <v>1317</v>
      </c>
      <c r="D644" s="122">
        <v>13.68</v>
      </c>
      <c r="E644" s="122">
        <v>0.11</v>
      </c>
    </row>
    <row r="645" spans="2:5" x14ac:dyDescent="0.2">
      <c r="B645" s="120" t="s">
        <v>1318</v>
      </c>
      <c r="C645" s="121" t="s">
        <v>1319</v>
      </c>
      <c r="D645" s="122">
        <v>48.33</v>
      </c>
      <c r="E645" s="122">
        <v>0.38</v>
      </c>
    </row>
    <row r="646" spans="2:5" x14ac:dyDescent="0.2">
      <c r="B646" s="120" t="s">
        <v>1320</v>
      </c>
      <c r="C646" s="121" t="s">
        <v>1321</v>
      </c>
      <c r="D646" s="122">
        <v>303.77999999999997</v>
      </c>
      <c r="E646" s="122">
        <v>1.38</v>
      </c>
    </row>
    <row r="647" spans="2:5" x14ac:dyDescent="0.2">
      <c r="B647" s="120" t="s">
        <v>1322</v>
      </c>
      <c r="C647" s="121" t="s">
        <v>1323</v>
      </c>
      <c r="D647" s="122">
        <v>20.38</v>
      </c>
      <c r="E647" s="122"/>
    </row>
    <row r="648" spans="2:5" x14ac:dyDescent="0.2">
      <c r="B648" s="120" t="s">
        <v>1324</v>
      </c>
      <c r="C648" s="121" t="s">
        <v>1325</v>
      </c>
      <c r="D648" s="122">
        <v>9.2899999999999991</v>
      </c>
      <c r="E648" s="122">
        <v>7.0000000000000007E-2</v>
      </c>
    </row>
    <row r="649" spans="2:5" x14ac:dyDescent="0.2">
      <c r="B649" s="120" t="s">
        <v>1326</v>
      </c>
      <c r="C649" s="121" t="s">
        <v>1327</v>
      </c>
      <c r="D649" s="122">
        <v>53.83</v>
      </c>
      <c r="E649" s="122">
        <v>0.45</v>
      </c>
    </row>
    <row r="650" spans="2:5" x14ac:dyDescent="0.2">
      <c r="B650" s="120" t="s">
        <v>1328</v>
      </c>
      <c r="C650" s="121" t="s">
        <v>1329</v>
      </c>
      <c r="D650" s="122">
        <v>8.24</v>
      </c>
      <c r="E650" s="122">
        <v>0.09</v>
      </c>
    </row>
    <row r="651" spans="2:5" x14ac:dyDescent="0.2">
      <c r="B651" s="120" t="s">
        <v>1330</v>
      </c>
      <c r="C651" s="121" t="s">
        <v>1331</v>
      </c>
      <c r="D651" s="122">
        <v>28.27</v>
      </c>
      <c r="E651" s="122">
        <v>0.26</v>
      </c>
    </row>
    <row r="652" spans="2:5" x14ac:dyDescent="0.2">
      <c r="B652" s="120" t="s">
        <v>4077</v>
      </c>
      <c r="C652" s="121" t="s">
        <v>4078</v>
      </c>
      <c r="D652" s="122"/>
      <c r="E652" s="122">
        <v>0.06</v>
      </c>
    </row>
    <row r="653" spans="2:5" x14ac:dyDescent="0.2">
      <c r="B653" s="120" t="s">
        <v>1334</v>
      </c>
      <c r="C653" s="121" t="s">
        <v>1335</v>
      </c>
      <c r="D653" s="122">
        <v>4.0999999999999996</v>
      </c>
      <c r="E653" s="122">
        <v>0.05</v>
      </c>
    </row>
    <row r="654" spans="2:5" x14ac:dyDescent="0.2">
      <c r="B654" s="120" t="s">
        <v>1336</v>
      </c>
      <c r="C654" s="121" t="s">
        <v>1337</v>
      </c>
      <c r="D654" s="122">
        <v>2.5299999999999998</v>
      </c>
      <c r="E654" s="122">
        <v>-0.03</v>
      </c>
    </row>
    <row r="655" spans="2:5" x14ac:dyDescent="0.2">
      <c r="B655" s="120" t="s">
        <v>4079</v>
      </c>
      <c r="C655" s="121" t="s">
        <v>4080</v>
      </c>
      <c r="D655" s="122">
        <v>12.58</v>
      </c>
      <c r="E655" s="122">
        <v>0.12</v>
      </c>
    </row>
    <row r="656" spans="2:5" x14ac:dyDescent="0.2">
      <c r="B656" s="120" t="s">
        <v>1338</v>
      </c>
      <c r="C656" s="121" t="s">
        <v>1339</v>
      </c>
      <c r="D656" s="122">
        <v>-1.8</v>
      </c>
      <c r="E656" s="122">
        <v>-0.04</v>
      </c>
    </row>
    <row r="657" spans="2:5" x14ac:dyDescent="0.2">
      <c r="B657" s="120" t="s">
        <v>1340</v>
      </c>
      <c r="C657" s="121" t="s">
        <v>1341</v>
      </c>
      <c r="D657" s="122">
        <v>12.47</v>
      </c>
      <c r="E657" s="122">
        <v>0.12</v>
      </c>
    </row>
    <row r="658" spans="2:5" x14ac:dyDescent="0.2">
      <c r="B658" s="120" t="s">
        <v>1342</v>
      </c>
      <c r="C658" s="121" t="s">
        <v>1343</v>
      </c>
      <c r="D658" s="122">
        <v>10.19</v>
      </c>
      <c r="E658" s="122">
        <v>0.1</v>
      </c>
    </row>
    <row r="659" spans="2:5" x14ac:dyDescent="0.2">
      <c r="B659" s="120" t="s">
        <v>4081</v>
      </c>
      <c r="C659" s="121" t="s">
        <v>4082</v>
      </c>
      <c r="D659" s="122">
        <v>8.23</v>
      </c>
      <c r="E659" s="122">
        <v>-0.18</v>
      </c>
    </row>
    <row r="660" spans="2:5" x14ac:dyDescent="0.2">
      <c r="B660" s="120" t="s">
        <v>4083</v>
      </c>
      <c r="C660" s="121" t="s">
        <v>4084</v>
      </c>
      <c r="D660" s="122"/>
      <c r="E660" s="122">
        <v>0.1</v>
      </c>
    </row>
    <row r="661" spans="2:5" x14ac:dyDescent="0.2">
      <c r="B661" s="120" t="s">
        <v>4085</v>
      </c>
      <c r="C661" s="121" t="s">
        <v>4086</v>
      </c>
      <c r="D661" s="122">
        <v>6.94</v>
      </c>
      <c r="E661" s="122">
        <v>0.06</v>
      </c>
    </row>
    <row r="662" spans="2:5" x14ac:dyDescent="0.2">
      <c r="B662" s="120" t="s">
        <v>1344</v>
      </c>
      <c r="C662" s="121" t="s">
        <v>1345</v>
      </c>
      <c r="D662" s="122">
        <v>65.33</v>
      </c>
      <c r="E662" s="122">
        <v>0.65</v>
      </c>
    </row>
    <row r="663" spans="2:5" x14ac:dyDescent="0.2">
      <c r="B663" s="120" t="s">
        <v>1346</v>
      </c>
      <c r="C663" s="121" t="s">
        <v>1347</v>
      </c>
      <c r="D663" s="122">
        <v>28.83</v>
      </c>
      <c r="E663" s="122">
        <v>0.28000000000000003</v>
      </c>
    </row>
    <row r="664" spans="2:5" x14ac:dyDescent="0.2">
      <c r="B664" s="120" t="s">
        <v>1348</v>
      </c>
      <c r="C664" s="121" t="s">
        <v>1349</v>
      </c>
      <c r="D664" s="122">
        <v>-39.590000000000003</v>
      </c>
      <c r="E664" s="122">
        <v>-0.38</v>
      </c>
    </row>
    <row r="665" spans="2:5" x14ac:dyDescent="0.2">
      <c r="B665" s="120" t="s">
        <v>1350</v>
      </c>
      <c r="C665" s="121" t="s">
        <v>1351</v>
      </c>
      <c r="D665" s="122">
        <v>5.16</v>
      </c>
      <c r="E665" s="122">
        <v>0.03</v>
      </c>
    </row>
    <row r="666" spans="2:5" x14ac:dyDescent="0.2">
      <c r="B666" s="120" t="s">
        <v>1352</v>
      </c>
      <c r="C666" s="121" t="s">
        <v>1353</v>
      </c>
      <c r="D666" s="122">
        <v>38.58</v>
      </c>
      <c r="E666" s="122">
        <v>0.37</v>
      </c>
    </row>
    <row r="667" spans="2:5" x14ac:dyDescent="0.2">
      <c r="B667" s="120" t="s">
        <v>1354</v>
      </c>
      <c r="C667" s="121" t="s">
        <v>1355</v>
      </c>
      <c r="D667" s="122">
        <v>11.24</v>
      </c>
      <c r="E667" s="122">
        <v>0.1</v>
      </c>
    </row>
    <row r="668" spans="2:5" x14ac:dyDescent="0.2">
      <c r="B668" s="120" t="s">
        <v>1356</v>
      </c>
      <c r="C668" s="121" t="s">
        <v>1357</v>
      </c>
      <c r="D668" s="122">
        <v>11.37</v>
      </c>
      <c r="E668" s="122">
        <v>0.08</v>
      </c>
    </row>
    <row r="669" spans="2:5" x14ac:dyDescent="0.2">
      <c r="B669" s="120" t="s">
        <v>1358</v>
      </c>
      <c r="C669" s="121" t="s">
        <v>1359</v>
      </c>
      <c r="D669" s="122">
        <v>35.4</v>
      </c>
      <c r="E669" s="122">
        <v>0.15</v>
      </c>
    </row>
    <row r="670" spans="2:5" x14ac:dyDescent="0.2">
      <c r="B670" s="120" t="s">
        <v>1360</v>
      </c>
      <c r="C670" s="121" t="s">
        <v>1361</v>
      </c>
      <c r="D670" s="122">
        <v>15.83</v>
      </c>
      <c r="E670" s="122">
        <v>0.13</v>
      </c>
    </row>
    <row r="671" spans="2:5" x14ac:dyDescent="0.2">
      <c r="B671" s="120" t="s">
        <v>1362</v>
      </c>
      <c r="C671" s="121" t="s">
        <v>1363</v>
      </c>
      <c r="D671" s="122"/>
      <c r="E671" s="122">
        <v>0.26</v>
      </c>
    </row>
    <row r="672" spans="2:5" x14ac:dyDescent="0.2">
      <c r="B672" s="120" t="s">
        <v>1364</v>
      </c>
      <c r="C672" s="121" t="s">
        <v>11</v>
      </c>
      <c r="D672" s="122">
        <v>23.1</v>
      </c>
      <c r="E672" s="122">
        <v>0.22</v>
      </c>
    </row>
    <row r="673" spans="2:5" x14ac:dyDescent="0.2">
      <c r="B673" s="120" t="s">
        <v>1365</v>
      </c>
      <c r="C673" s="121" t="s">
        <v>1366</v>
      </c>
      <c r="D673" s="122">
        <v>20.82</v>
      </c>
      <c r="E673" s="122">
        <v>0.18</v>
      </c>
    </row>
    <row r="674" spans="2:5" x14ac:dyDescent="0.2">
      <c r="B674" s="120" t="s">
        <v>1367</v>
      </c>
      <c r="C674" s="121" t="s">
        <v>1368</v>
      </c>
      <c r="D674" s="122">
        <v>12</v>
      </c>
      <c r="E674" s="122">
        <v>0.13</v>
      </c>
    </row>
    <row r="675" spans="2:5" x14ac:dyDescent="0.2">
      <c r="B675" s="120" t="s">
        <v>4087</v>
      </c>
      <c r="C675" s="121" t="s">
        <v>4088</v>
      </c>
      <c r="D675" s="122"/>
      <c r="E675" s="122"/>
    </row>
    <row r="676" spans="2:5" x14ac:dyDescent="0.2">
      <c r="B676" s="120" t="s">
        <v>1369</v>
      </c>
      <c r="C676" s="121" t="s">
        <v>1370</v>
      </c>
      <c r="D676" s="122">
        <v>15.96</v>
      </c>
      <c r="E676" s="122">
        <v>0.22</v>
      </c>
    </row>
    <row r="677" spans="2:5" x14ac:dyDescent="0.2">
      <c r="B677" s="120" t="s">
        <v>1371</v>
      </c>
      <c r="C677" s="121" t="s">
        <v>1372</v>
      </c>
      <c r="D677" s="122">
        <v>26.51</v>
      </c>
      <c r="E677" s="122">
        <v>0.19</v>
      </c>
    </row>
    <row r="678" spans="2:5" x14ac:dyDescent="0.2">
      <c r="B678" s="120" t="s">
        <v>1373</v>
      </c>
      <c r="C678" s="121" t="s">
        <v>1374</v>
      </c>
      <c r="D678" s="122">
        <v>42.53</v>
      </c>
      <c r="E678" s="122">
        <v>0.38</v>
      </c>
    </row>
    <row r="679" spans="2:5" x14ac:dyDescent="0.2">
      <c r="B679" s="120" t="s">
        <v>4089</v>
      </c>
      <c r="C679" s="121" t="s">
        <v>4090</v>
      </c>
      <c r="D679" s="122"/>
      <c r="E679" s="122"/>
    </row>
    <row r="680" spans="2:5" x14ac:dyDescent="0.2">
      <c r="B680" s="120" t="s">
        <v>4091</v>
      </c>
      <c r="C680" s="121" t="s">
        <v>4092</v>
      </c>
      <c r="D680" s="122"/>
      <c r="E680" s="122"/>
    </row>
    <row r="681" spans="2:5" x14ac:dyDescent="0.2">
      <c r="B681" s="120" t="s">
        <v>4093</v>
      </c>
      <c r="C681" s="121" t="s">
        <v>4094</v>
      </c>
      <c r="D681" s="122"/>
      <c r="E681" s="122"/>
    </row>
    <row r="682" spans="2:5" x14ac:dyDescent="0.2">
      <c r="B682" s="120" t="s">
        <v>1375</v>
      </c>
      <c r="C682" s="121" t="s">
        <v>1376</v>
      </c>
      <c r="D682" s="122">
        <v>-34.090000000000003</v>
      </c>
      <c r="E682" s="122">
        <v>-0.39</v>
      </c>
    </row>
    <row r="683" spans="2:5" x14ac:dyDescent="0.2">
      <c r="B683" s="120" t="s">
        <v>1377</v>
      </c>
      <c r="C683" s="121" t="s">
        <v>1378</v>
      </c>
      <c r="D683" s="122">
        <v>8.02</v>
      </c>
      <c r="E683" s="122">
        <v>0.06</v>
      </c>
    </row>
    <row r="684" spans="2:5" x14ac:dyDescent="0.2">
      <c r="B684" s="120" t="s">
        <v>1379</v>
      </c>
      <c r="C684" s="121" t="s">
        <v>1380</v>
      </c>
      <c r="D684" s="122">
        <v>44.75</v>
      </c>
      <c r="E684" s="122">
        <v>0.81</v>
      </c>
    </row>
    <row r="685" spans="2:5" x14ac:dyDescent="0.2">
      <c r="B685" s="120" t="s">
        <v>1381</v>
      </c>
      <c r="C685" s="121" t="s">
        <v>1382</v>
      </c>
      <c r="D685" s="122">
        <v>16.07</v>
      </c>
      <c r="E685" s="122">
        <v>0.05</v>
      </c>
    </row>
    <row r="686" spans="2:5" x14ac:dyDescent="0.2">
      <c r="B686" s="120" t="s">
        <v>1383</v>
      </c>
      <c r="C686" s="121" t="s">
        <v>1384</v>
      </c>
      <c r="D686" s="122">
        <v>7.57</v>
      </c>
      <c r="E686" s="122">
        <v>0.08</v>
      </c>
    </row>
    <row r="687" spans="2:5" x14ac:dyDescent="0.2">
      <c r="B687" s="120" t="s">
        <v>1385</v>
      </c>
      <c r="C687" s="121" t="s">
        <v>1386</v>
      </c>
      <c r="D687" s="122">
        <v>8.57</v>
      </c>
      <c r="E687" s="122">
        <v>0.04</v>
      </c>
    </row>
    <row r="688" spans="2:5" x14ac:dyDescent="0.2">
      <c r="B688" s="120" t="s">
        <v>1387</v>
      </c>
      <c r="C688" s="121" t="s">
        <v>1388</v>
      </c>
      <c r="D688" s="122"/>
      <c r="E688" s="122">
        <v>0.14000000000000001</v>
      </c>
    </row>
    <row r="689" spans="2:5" x14ac:dyDescent="0.2">
      <c r="B689" s="120" t="s">
        <v>1389</v>
      </c>
      <c r="C689" s="121" t="s">
        <v>1390</v>
      </c>
      <c r="D689" s="122">
        <v>21</v>
      </c>
      <c r="E689" s="122">
        <v>0.19</v>
      </c>
    </row>
    <row r="690" spans="2:5" x14ac:dyDescent="0.2">
      <c r="B690" s="120" t="s">
        <v>1391</v>
      </c>
      <c r="C690" s="121" t="s">
        <v>1392</v>
      </c>
      <c r="D690" s="122">
        <v>37.299999999999997</v>
      </c>
      <c r="E690" s="122">
        <v>0.35</v>
      </c>
    </row>
    <row r="691" spans="2:5" x14ac:dyDescent="0.2">
      <c r="B691" s="120" t="s">
        <v>4095</v>
      </c>
      <c r="C691" s="121" t="s">
        <v>4096</v>
      </c>
      <c r="D691" s="122"/>
      <c r="E691" s="122">
        <v>0.28000000000000003</v>
      </c>
    </row>
    <row r="692" spans="2:5" x14ac:dyDescent="0.2">
      <c r="B692" s="120" t="s">
        <v>4097</v>
      </c>
      <c r="C692" s="121" t="s">
        <v>4098</v>
      </c>
      <c r="D692" s="122"/>
      <c r="E692" s="122"/>
    </row>
    <row r="693" spans="2:5" x14ac:dyDescent="0.2">
      <c r="B693" s="120" t="s">
        <v>1393</v>
      </c>
      <c r="C693" s="121" t="s">
        <v>1394</v>
      </c>
      <c r="D693" s="122">
        <v>3.7</v>
      </c>
      <c r="E693" s="122">
        <v>0.02</v>
      </c>
    </row>
    <row r="694" spans="2:5" x14ac:dyDescent="0.2">
      <c r="B694" s="120" t="s">
        <v>1395</v>
      </c>
      <c r="C694" s="121" t="s">
        <v>1396</v>
      </c>
      <c r="D694" s="122">
        <v>9.86</v>
      </c>
      <c r="E694" s="122">
        <v>0.08</v>
      </c>
    </row>
    <row r="695" spans="2:5" x14ac:dyDescent="0.2">
      <c r="B695" s="120" t="s">
        <v>1397</v>
      </c>
      <c r="C695" s="121" t="s">
        <v>1398</v>
      </c>
      <c r="D695" s="122">
        <v>26.9</v>
      </c>
      <c r="E695" s="122">
        <v>0.39</v>
      </c>
    </row>
    <row r="696" spans="2:5" x14ac:dyDescent="0.2">
      <c r="B696" s="120" t="s">
        <v>1399</v>
      </c>
      <c r="C696" s="121" t="s">
        <v>1400</v>
      </c>
      <c r="D696" s="122">
        <v>20.350000000000001</v>
      </c>
      <c r="E696" s="122">
        <v>0.24</v>
      </c>
    </row>
    <row r="697" spans="2:5" x14ac:dyDescent="0.2">
      <c r="B697" s="120" t="s">
        <v>1401</v>
      </c>
      <c r="C697" s="121" t="s">
        <v>1402</v>
      </c>
      <c r="D697" s="122">
        <v>14.8</v>
      </c>
      <c r="E697" s="122">
        <v>0.15</v>
      </c>
    </row>
    <row r="698" spans="2:5" x14ac:dyDescent="0.2">
      <c r="B698" s="120" t="s">
        <v>1403</v>
      </c>
      <c r="C698" s="121" t="s">
        <v>1404</v>
      </c>
      <c r="D698" s="122">
        <v>27.26</v>
      </c>
      <c r="E698" s="122">
        <v>0.4</v>
      </c>
    </row>
    <row r="699" spans="2:5" x14ac:dyDescent="0.2">
      <c r="B699" s="120" t="s">
        <v>1405</v>
      </c>
      <c r="C699" s="121" t="s">
        <v>1406</v>
      </c>
      <c r="D699" s="122">
        <v>8.7100000000000009</v>
      </c>
      <c r="E699" s="122">
        <v>7.0000000000000007E-2</v>
      </c>
    </row>
    <row r="700" spans="2:5" x14ac:dyDescent="0.2">
      <c r="B700" s="120" t="s">
        <v>1407</v>
      </c>
      <c r="C700" s="121" t="s">
        <v>1408</v>
      </c>
      <c r="D700" s="122">
        <v>3.93</v>
      </c>
      <c r="E700" s="122">
        <v>0.03</v>
      </c>
    </row>
    <row r="701" spans="2:5" x14ac:dyDescent="0.2">
      <c r="B701" s="120" t="s">
        <v>1409</v>
      </c>
      <c r="C701" s="121" t="s">
        <v>1410</v>
      </c>
      <c r="D701" s="122">
        <v>8.91</v>
      </c>
      <c r="E701" s="122">
        <v>0.09</v>
      </c>
    </row>
    <row r="702" spans="2:5" x14ac:dyDescent="0.2">
      <c r="B702" s="120" t="s">
        <v>1411</v>
      </c>
      <c r="C702" s="121" t="s">
        <v>1412</v>
      </c>
      <c r="D702" s="122">
        <v>9.15</v>
      </c>
      <c r="E702" s="122">
        <v>7.0000000000000007E-2</v>
      </c>
    </row>
    <row r="703" spans="2:5" x14ac:dyDescent="0.2">
      <c r="B703" s="120" t="s">
        <v>4099</v>
      </c>
      <c r="C703" s="121" t="s">
        <v>4100</v>
      </c>
      <c r="D703" s="122">
        <v>26.31</v>
      </c>
      <c r="E703" s="122">
        <v>0.24</v>
      </c>
    </row>
    <row r="704" spans="2:5" x14ac:dyDescent="0.2">
      <c r="B704" s="120" t="s">
        <v>1413</v>
      </c>
      <c r="C704" s="121" t="s">
        <v>1414</v>
      </c>
      <c r="D704" s="122">
        <v>4.29</v>
      </c>
      <c r="E704" s="122">
        <v>0.14000000000000001</v>
      </c>
    </row>
    <row r="705" spans="2:5" x14ac:dyDescent="0.2">
      <c r="B705" s="120" t="s">
        <v>4101</v>
      </c>
      <c r="C705" s="121" t="s">
        <v>4102</v>
      </c>
      <c r="D705" s="122"/>
      <c r="E705" s="122"/>
    </row>
    <row r="706" spans="2:5" x14ac:dyDescent="0.2">
      <c r="B706" s="120" t="s">
        <v>1415</v>
      </c>
      <c r="C706" s="121" t="s">
        <v>1416</v>
      </c>
      <c r="D706" s="122">
        <v>26.29</v>
      </c>
      <c r="E706" s="122"/>
    </row>
    <row r="707" spans="2:5" x14ac:dyDescent="0.2">
      <c r="B707" s="120" t="s">
        <v>1417</v>
      </c>
      <c r="C707" s="121" t="s">
        <v>1418</v>
      </c>
      <c r="D707" s="122">
        <v>5.7</v>
      </c>
      <c r="E707" s="122">
        <v>0.01</v>
      </c>
    </row>
    <row r="708" spans="2:5" x14ac:dyDescent="0.2">
      <c r="B708" s="120" t="s">
        <v>1419</v>
      </c>
      <c r="C708" s="121" t="s">
        <v>1420</v>
      </c>
      <c r="D708" s="122">
        <v>12.58</v>
      </c>
      <c r="E708" s="122">
        <v>0.12</v>
      </c>
    </row>
    <row r="709" spans="2:5" x14ac:dyDescent="0.2">
      <c r="B709" s="120" t="s">
        <v>1421</v>
      </c>
      <c r="C709" s="121" t="s">
        <v>1422</v>
      </c>
      <c r="D709" s="122"/>
      <c r="E709" s="122"/>
    </row>
    <row r="710" spans="2:5" x14ac:dyDescent="0.2">
      <c r="B710" s="120" t="s">
        <v>1423</v>
      </c>
      <c r="C710" s="121" t="s">
        <v>1424</v>
      </c>
      <c r="D710" s="122">
        <v>1.84</v>
      </c>
      <c r="E710" s="122">
        <v>-0.28999999999999998</v>
      </c>
    </row>
    <row r="711" spans="2:5" x14ac:dyDescent="0.2">
      <c r="B711" s="120" t="s">
        <v>1425</v>
      </c>
      <c r="C711" s="121" t="s">
        <v>1426</v>
      </c>
      <c r="D711" s="122">
        <v>40.75</v>
      </c>
      <c r="E711" s="122">
        <v>0.38</v>
      </c>
    </row>
    <row r="712" spans="2:5" x14ac:dyDescent="0.2">
      <c r="B712" s="120" t="s">
        <v>1427</v>
      </c>
      <c r="C712" s="121" t="s">
        <v>1428</v>
      </c>
      <c r="D712" s="122">
        <v>29.19</v>
      </c>
      <c r="E712" s="122">
        <v>0.21</v>
      </c>
    </row>
    <row r="713" spans="2:5" x14ac:dyDescent="0.2">
      <c r="B713" s="120" t="s">
        <v>1429</v>
      </c>
      <c r="C713" s="121" t="s">
        <v>1430</v>
      </c>
      <c r="D713" s="122">
        <v>13.9</v>
      </c>
      <c r="E713" s="122">
        <v>-0.41</v>
      </c>
    </row>
    <row r="714" spans="2:5" x14ac:dyDescent="0.2">
      <c r="B714" s="120" t="s">
        <v>1431</v>
      </c>
      <c r="C714" s="121" t="s">
        <v>1432</v>
      </c>
      <c r="D714" s="122">
        <v>38.979999999999997</v>
      </c>
      <c r="E714" s="122">
        <v>0.32</v>
      </c>
    </row>
    <row r="715" spans="2:5" x14ac:dyDescent="0.2">
      <c r="B715" s="120" t="s">
        <v>1433</v>
      </c>
      <c r="C715" s="121" t="s">
        <v>1434</v>
      </c>
      <c r="D715" s="122">
        <v>27.37</v>
      </c>
      <c r="E715" s="122">
        <v>0.24</v>
      </c>
    </row>
    <row r="716" spans="2:5" x14ac:dyDescent="0.2">
      <c r="B716" s="120" t="s">
        <v>1435</v>
      </c>
      <c r="C716" s="121" t="s">
        <v>1436</v>
      </c>
      <c r="D716" s="122">
        <v>19.809999999999999</v>
      </c>
      <c r="E716" s="122">
        <v>0.14000000000000001</v>
      </c>
    </row>
    <row r="717" spans="2:5" x14ac:dyDescent="0.2">
      <c r="B717" s="120" t="s">
        <v>1437</v>
      </c>
      <c r="C717" s="121" t="s">
        <v>1438</v>
      </c>
      <c r="D717" s="122">
        <v>19.16</v>
      </c>
      <c r="E717" s="122">
        <v>0.19</v>
      </c>
    </row>
    <row r="718" spans="2:5" x14ac:dyDescent="0.2">
      <c r="B718" s="120" t="s">
        <v>4103</v>
      </c>
      <c r="C718" s="121" t="s">
        <v>4104</v>
      </c>
      <c r="D718" s="122"/>
      <c r="E718" s="122">
        <v>0.04</v>
      </c>
    </row>
    <row r="719" spans="2:5" x14ac:dyDescent="0.2">
      <c r="B719" s="120" t="s">
        <v>1439</v>
      </c>
      <c r="C719" s="121" t="s">
        <v>1440</v>
      </c>
      <c r="D719" s="122">
        <v>24.72</v>
      </c>
      <c r="E719" s="122">
        <v>0.1</v>
      </c>
    </row>
    <row r="720" spans="2:5" x14ac:dyDescent="0.2">
      <c r="B720" s="120" t="s">
        <v>1441</v>
      </c>
      <c r="C720" s="121" t="s">
        <v>1442</v>
      </c>
      <c r="D720" s="122">
        <v>21.97</v>
      </c>
      <c r="E720" s="122">
        <v>0.2</v>
      </c>
    </row>
    <row r="721" spans="2:5" x14ac:dyDescent="0.2">
      <c r="B721" s="120" t="s">
        <v>1443</v>
      </c>
      <c r="C721" s="121" t="s">
        <v>1444</v>
      </c>
      <c r="D721" s="122">
        <v>26.35</v>
      </c>
      <c r="E721" s="122">
        <v>0.28000000000000003</v>
      </c>
    </row>
    <row r="722" spans="2:5" x14ac:dyDescent="0.2">
      <c r="B722" s="120" t="s">
        <v>1445</v>
      </c>
      <c r="C722" s="121" t="s">
        <v>1446</v>
      </c>
      <c r="D722" s="122">
        <v>8.77</v>
      </c>
      <c r="E722" s="122">
        <v>0.1</v>
      </c>
    </row>
    <row r="723" spans="2:5" x14ac:dyDescent="0.2">
      <c r="B723" s="120" t="s">
        <v>1447</v>
      </c>
      <c r="C723" s="121" t="s">
        <v>1448</v>
      </c>
      <c r="D723" s="122">
        <v>16.77</v>
      </c>
      <c r="E723" s="122">
        <v>0</v>
      </c>
    </row>
    <row r="724" spans="2:5" x14ac:dyDescent="0.2">
      <c r="B724" s="120" t="s">
        <v>1449</v>
      </c>
      <c r="C724" s="121" t="s">
        <v>1450</v>
      </c>
      <c r="D724" s="122">
        <v>0.97</v>
      </c>
      <c r="E724" s="122">
        <v>0.03</v>
      </c>
    </row>
    <row r="725" spans="2:5" x14ac:dyDescent="0.2">
      <c r="B725" s="120" t="s">
        <v>1451</v>
      </c>
      <c r="C725" s="121" t="s">
        <v>1452</v>
      </c>
      <c r="D725" s="122">
        <v>6.64</v>
      </c>
      <c r="E725" s="122">
        <v>7.0000000000000007E-2</v>
      </c>
    </row>
    <row r="726" spans="2:5" x14ac:dyDescent="0.2">
      <c r="B726" s="120" t="s">
        <v>1453</v>
      </c>
      <c r="C726" s="121" t="s">
        <v>1454</v>
      </c>
      <c r="D726" s="122">
        <v>2.35</v>
      </c>
      <c r="E726" s="122">
        <v>0</v>
      </c>
    </row>
    <row r="727" spans="2:5" x14ac:dyDescent="0.2">
      <c r="B727" s="120" t="s">
        <v>1455</v>
      </c>
      <c r="C727" s="121" t="s">
        <v>1456</v>
      </c>
      <c r="D727" s="122">
        <v>17.45</v>
      </c>
      <c r="E727" s="122">
        <v>0.16</v>
      </c>
    </row>
    <row r="728" spans="2:5" x14ac:dyDescent="0.2">
      <c r="B728" s="120" t="s">
        <v>1457</v>
      </c>
      <c r="C728" s="121" t="s">
        <v>1458</v>
      </c>
      <c r="D728" s="122">
        <v>5.03</v>
      </c>
      <c r="E728" s="122">
        <v>0.04</v>
      </c>
    </row>
    <row r="729" spans="2:5" x14ac:dyDescent="0.2">
      <c r="B729" s="120" t="s">
        <v>1459</v>
      </c>
      <c r="C729" s="121" t="s">
        <v>1460</v>
      </c>
      <c r="D729" s="122">
        <v>6.96</v>
      </c>
      <c r="E729" s="122">
        <v>0.03</v>
      </c>
    </row>
    <row r="730" spans="2:5" x14ac:dyDescent="0.2">
      <c r="B730" s="120" t="s">
        <v>1461</v>
      </c>
      <c r="C730" s="121" t="s">
        <v>1462</v>
      </c>
      <c r="D730" s="122">
        <v>39.24</v>
      </c>
      <c r="E730" s="122">
        <v>0.33</v>
      </c>
    </row>
    <row r="731" spans="2:5" x14ac:dyDescent="0.2">
      <c r="B731" s="120" t="s">
        <v>1463</v>
      </c>
      <c r="C731" s="121" t="s">
        <v>1464</v>
      </c>
      <c r="D731" s="122">
        <v>17.440000000000001</v>
      </c>
      <c r="E731" s="122">
        <v>0.11</v>
      </c>
    </row>
    <row r="732" spans="2:5" x14ac:dyDescent="0.2">
      <c r="B732" s="120" t="s">
        <v>1465</v>
      </c>
      <c r="C732" s="121" t="s">
        <v>1466</v>
      </c>
      <c r="D732" s="122">
        <v>7.82</v>
      </c>
      <c r="E732" s="122">
        <v>0.12</v>
      </c>
    </row>
    <row r="733" spans="2:5" x14ac:dyDescent="0.2">
      <c r="B733" s="120" t="s">
        <v>1467</v>
      </c>
      <c r="C733" s="121" t="s">
        <v>1468</v>
      </c>
      <c r="D733" s="122">
        <v>4.63</v>
      </c>
      <c r="E733" s="122">
        <v>0.05</v>
      </c>
    </row>
    <row r="734" spans="2:5" x14ac:dyDescent="0.2">
      <c r="B734" s="120" t="s">
        <v>1469</v>
      </c>
      <c r="C734" s="121" t="s">
        <v>1470</v>
      </c>
      <c r="D734" s="122">
        <v>32</v>
      </c>
      <c r="E734" s="122">
        <v>0.26</v>
      </c>
    </row>
    <row r="735" spans="2:5" x14ac:dyDescent="0.2">
      <c r="B735" s="120" t="s">
        <v>1471</v>
      </c>
      <c r="C735" s="121" t="s">
        <v>1472</v>
      </c>
      <c r="D735" s="122">
        <v>5.97</v>
      </c>
      <c r="E735" s="122">
        <v>7.0000000000000007E-2</v>
      </c>
    </row>
    <row r="736" spans="2:5" x14ac:dyDescent="0.2">
      <c r="B736" s="120" t="s">
        <v>1473</v>
      </c>
      <c r="C736" s="121" t="s">
        <v>1474</v>
      </c>
      <c r="D736" s="122">
        <v>10.02</v>
      </c>
      <c r="E736" s="122">
        <v>0.08</v>
      </c>
    </row>
    <row r="737" spans="2:5" x14ac:dyDescent="0.2">
      <c r="B737" s="120" t="s">
        <v>1475</v>
      </c>
      <c r="C737" s="121" t="s">
        <v>1476</v>
      </c>
      <c r="D737" s="122"/>
      <c r="E737" s="122">
        <v>0.17</v>
      </c>
    </row>
    <row r="738" spans="2:5" x14ac:dyDescent="0.2">
      <c r="B738" s="120" t="s">
        <v>4105</v>
      </c>
      <c r="C738" s="121" t="s">
        <v>4106</v>
      </c>
      <c r="D738" s="122">
        <v>64.09</v>
      </c>
      <c r="E738" s="122">
        <v>0.13</v>
      </c>
    </row>
    <row r="739" spans="2:5" x14ac:dyDescent="0.2">
      <c r="B739" s="120" t="s">
        <v>1477</v>
      </c>
      <c r="C739" s="121" t="s">
        <v>1478</v>
      </c>
      <c r="D739" s="122">
        <v>34.15</v>
      </c>
      <c r="E739" s="122">
        <v>0.21</v>
      </c>
    </row>
    <row r="740" spans="2:5" x14ac:dyDescent="0.2">
      <c r="B740" s="120" t="s">
        <v>1479</v>
      </c>
      <c r="C740" s="121" t="s">
        <v>4107</v>
      </c>
      <c r="D740" s="122"/>
      <c r="E740" s="122">
        <v>0.14000000000000001</v>
      </c>
    </row>
    <row r="741" spans="2:5" x14ac:dyDescent="0.2">
      <c r="B741" s="120" t="s">
        <v>1479</v>
      </c>
      <c r="C741" s="121" t="s">
        <v>1480</v>
      </c>
      <c r="D741" s="122"/>
      <c r="E741" s="122">
        <v>0.14000000000000001</v>
      </c>
    </row>
    <row r="742" spans="2:5" x14ac:dyDescent="0.2">
      <c r="B742" s="120" t="s">
        <v>4108</v>
      </c>
      <c r="C742" s="121" t="s">
        <v>4109</v>
      </c>
      <c r="D742" s="122">
        <v>12.85</v>
      </c>
      <c r="E742" s="122">
        <v>0.11</v>
      </c>
    </row>
    <row r="743" spans="2:5" x14ac:dyDescent="0.2">
      <c r="B743" s="120" t="s">
        <v>1481</v>
      </c>
      <c r="C743" s="121" t="s">
        <v>1482</v>
      </c>
      <c r="D743" s="122">
        <v>35.11</v>
      </c>
      <c r="E743" s="122">
        <v>0.4</v>
      </c>
    </row>
    <row r="744" spans="2:5" x14ac:dyDescent="0.2">
      <c r="B744" s="120" t="s">
        <v>1483</v>
      </c>
      <c r="C744" s="121" t="s">
        <v>1484</v>
      </c>
      <c r="D744" s="122">
        <v>27.89</v>
      </c>
      <c r="E744" s="122">
        <v>0.24</v>
      </c>
    </row>
    <row r="745" spans="2:5" x14ac:dyDescent="0.2">
      <c r="B745" s="120" t="s">
        <v>4110</v>
      </c>
      <c r="C745" s="121" t="s">
        <v>4111</v>
      </c>
      <c r="D745" s="122">
        <v>3.82</v>
      </c>
      <c r="E745" s="122">
        <v>0.02</v>
      </c>
    </row>
    <row r="746" spans="2:5" x14ac:dyDescent="0.2">
      <c r="B746" s="120" t="s">
        <v>4112</v>
      </c>
      <c r="C746" s="121" t="s">
        <v>4113</v>
      </c>
      <c r="D746" s="122"/>
      <c r="E746" s="122">
        <v>-0.08</v>
      </c>
    </row>
    <row r="747" spans="2:5" x14ac:dyDescent="0.2">
      <c r="B747" s="120" t="s">
        <v>1485</v>
      </c>
      <c r="C747" s="121" t="s">
        <v>1486</v>
      </c>
      <c r="D747" s="122">
        <v>27.82</v>
      </c>
      <c r="E747" s="122">
        <v>0.26</v>
      </c>
    </row>
    <row r="748" spans="2:5" x14ac:dyDescent="0.2">
      <c r="B748" s="120" t="s">
        <v>4114</v>
      </c>
      <c r="C748" s="121" t="s">
        <v>4115</v>
      </c>
      <c r="D748" s="122">
        <v>52.92</v>
      </c>
      <c r="E748" s="122">
        <v>1.44</v>
      </c>
    </row>
    <row r="749" spans="2:5" x14ac:dyDescent="0.2">
      <c r="B749" s="120" t="s">
        <v>1487</v>
      </c>
      <c r="C749" s="121" t="s">
        <v>1488</v>
      </c>
      <c r="D749" s="122">
        <v>0.95</v>
      </c>
      <c r="E749" s="122">
        <v>0.06</v>
      </c>
    </row>
    <row r="750" spans="2:5" x14ac:dyDescent="0.2">
      <c r="B750" s="120" t="s">
        <v>4116</v>
      </c>
      <c r="C750" s="121" t="s">
        <v>4117</v>
      </c>
      <c r="D750" s="122">
        <v>5.98</v>
      </c>
      <c r="E750" s="122">
        <v>0.06</v>
      </c>
    </row>
    <row r="751" spans="2:5" x14ac:dyDescent="0.2">
      <c r="B751" s="120" t="s">
        <v>1489</v>
      </c>
      <c r="C751" s="121" t="s">
        <v>1490</v>
      </c>
      <c r="D751" s="122"/>
      <c r="E751" s="122"/>
    </row>
    <row r="752" spans="2:5" x14ac:dyDescent="0.2">
      <c r="B752" s="120" t="s">
        <v>1491</v>
      </c>
      <c r="C752" s="121" t="s">
        <v>1492</v>
      </c>
      <c r="D752" s="122">
        <v>5.23</v>
      </c>
      <c r="E752" s="122">
        <v>0.03</v>
      </c>
    </row>
    <row r="753" spans="2:5" x14ac:dyDescent="0.2">
      <c r="B753" s="120" t="s">
        <v>1493</v>
      </c>
      <c r="C753" s="121" t="s">
        <v>1494</v>
      </c>
      <c r="D753" s="122">
        <v>11.64</v>
      </c>
      <c r="E753" s="122">
        <v>0.1</v>
      </c>
    </row>
    <row r="754" spans="2:5" x14ac:dyDescent="0.2">
      <c r="B754" s="120" t="s">
        <v>1495</v>
      </c>
      <c r="C754" s="121" t="s">
        <v>1496</v>
      </c>
      <c r="D754" s="122">
        <v>2.37</v>
      </c>
      <c r="E754" s="122">
        <v>-0.15</v>
      </c>
    </row>
    <row r="755" spans="2:5" x14ac:dyDescent="0.2">
      <c r="B755" s="120" t="s">
        <v>1497</v>
      </c>
      <c r="C755" s="121" t="s">
        <v>1498</v>
      </c>
      <c r="D755" s="122">
        <v>18.63</v>
      </c>
      <c r="E755" s="122">
        <v>0.18</v>
      </c>
    </row>
    <row r="756" spans="2:5" x14ac:dyDescent="0.2">
      <c r="B756" s="120" t="s">
        <v>1499</v>
      </c>
      <c r="C756" s="121" t="s">
        <v>1500</v>
      </c>
      <c r="D756" s="122">
        <v>12.61</v>
      </c>
      <c r="E756" s="122">
        <v>0.14000000000000001</v>
      </c>
    </row>
    <row r="757" spans="2:5" x14ac:dyDescent="0.2">
      <c r="B757" s="120" t="s">
        <v>1501</v>
      </c>
      <c r="C757" s="121" t="s">
        <v>1502</v>
      </c>
      <c r="D757" s="122">
        <v>17.21</v>
      </c>
      <c r="E757" s="122">
        <v>0.45</v>
      </c>
    </row>
    <row r="758" spans="2:5" x14ac:dyDescent="0.2">
      <c r="B758" s="120" t="s">
        <v>1503</v>
      </c>
      <c r="C758" s="121" t="s">
        <v>1504</v>
      </c>
      <c r="D758" s="122">
        <v>5.1100000000000003</v>
      </c>
      <c r="E758" s="122">
        <v>0.05</v>
      </c>
    </row>
    <row r="759" spans="2:5" x14ac:dyDescent="0.2">
      <c r="B759" s="120" t="s">
        <v>1505</v>
      </c>
      <c r="C759" s="121" t="s">
        <v>1506</v>
      </c>
      <c r="D759" s="122">
        <v>5.34</v>
      </c>
      <c r="E759" s="122">
        <v>0.06</v>
      </c>
    </row>
    <row r="760" spans="2:5" x14ac:dyDescent="0.2">
      <c r="B760" s="120" t="s">
        <v>1507</v>
      </c>
      <c r="C760" s="121" t="s">
        <v>1508</v>
      </c>
      <c r="D760" s="122">
        <v>14.22</v>
      </c>
      <c r="E760" s="122">
        <v>0.09</v>
      </c>
    </row>
    <row r="761" spans="2:5" x14ac:dyDescent="0.2">
      <c r="B761" s="120" t="s">
        <v>4118</v>
      </c>
      <c r="C761" s="121" t="s">
        <v>4119</v>
      </c>
      <c r="D761" s="122"/>
      <c r="E761" s="122"/>
    </row>
    <row r="762" spans="2:5" x14ac:dyDescent="0.2">
      <c r="B762" s="120" t="s">
        <v>1509</v>
      </c>
      <c r="C762" s="121" t="s">
        <v>4120</v>
      </c>
      <c r="D762" s="122">
        <v>-18.41</v>
      </c>
      <c r="E762" s="122">
        <v>0.28999999999999998</v>
      </c>
    </row>
    <row r="763" spans="2:5" x14ac:dyDescent="0.2">
      <c r="B763" s="120" t="s">
        <v>4121</v>
      </c>
      <c r="C763" s="121" t="s">
        <v>4122</v>
      </c>
      <c r="D763" s="122">
        <v>-18.41</v>
      </c>
      <c r="E763" s="122">
        <v>0.28999999999999998</v>
      </c>
    </row>
    <row r="764" spans="2:5" x14ac:dyDescent="0.2">
      <c r="B764" s="120" t="s">
        <v>1509</v>
      </c>
      <c r="C764" s="121" t="s">
        <v>1510</v>
      </c>
      <c r="D764" s="122">
        <v>-18.41</v>
      </c>
      <c r="E764" s="122">
        <v>0.28999999999999998</v>
      </c>
    </row>
    <row r="765" spans="2:5" x14ac:dyDescent="0.2">
      <c r="B765" s="120" t="s">
        <v>4123</v>
      </c>
      <c r="C765" s="121" t="s">
        <v>4124</v>
      </c>
      <c r="D765" s="122"/>
      <c r="E765" s="122"/>
    </row>
    <row r="766" spans="2:5" x14ac:dyDescent="0.2">
      <c r="B766" s="120" t="s">
        <v>1511</v>
      </c>
      <c r="C766" s="121" t="s">
        <v>1512</v>
      </c>
      <c r="D766" s="122">
        <v>11.32</v>
      </c>
      <c r="E766" s="122">
        <v>0.09</v>
      </c>
    </row>
    <row r="767" spans="2:5" x14ac:dyDescent="0.2">
      <c r="B767" s="120" t="s">
        <v>1513</v>
      </c>
      <c r="C767" s="121" t="s">
        <v>1514</v>
      </c>
      <c r="D767" s="122">
        <v>34.74</v>
      </c>
      <c r="E767" s="122">
        <v>0.31</v>
      </c>
    </row>
    <row r="768" spans="2:5" x14ac:dyDescent="0.2">
      <c r="B768" s="120" t="s">
        <v>4125</v>
      </c>
      <c r="C768" s="121" t="s">
        <v>4126</v>
      </c>
      <c r="D768" s="122">
        <v>34.4</v>
      </c>
      <c r="E768" s="122">
        <v>0.19</v>
      </c>
    </row>
    <row r="769" spans="2:5" x14ac:dyDescent="0.2">
      <c r="B769" s="120" t="s">
        <v>1515</v>
      </c>
      <c r="C769" s="121" t="s">
        <v>1516</v>
      </c>
      <c r="D769" s="122"/>
      <c r="E769" s="122"/>
    </row>
    <row r="770" spans="2:5" x14ac:dyDescent="0.2">
      <c r="B770" s="120" t="s">
        <v>4127</v>
      </c>
      <c r="C770" s="121" t="s">
        <v>4128</v>
      </c>
      <c r="D770" s="122"/>
      <c r="E770" s="122"/>
    </row>
    <row r="771" spans="2:5" x14ac:dyDescent="0.2">
      <c r="B771" s="120" t="s">
        <v>1517</v>
      </c>
      <c r="C771" s="121" t="s">
        <v>1518</v>
      </c>
      <c r="D771" s="122">
        <v>8.68</v>
      </c>
      <c r="E771" s="122">
        <v>0.09</v>
      </c>
    </row>
    <row r="772" spans="2:5" x14ac:dyDescent="0.2">
      <c r="B772" s="120" t="s">
        <v>1519</v>
      </c>
      <c r="C772" s="121" t="s">
        <v>1520</v>
      </c>
      <c r="D772" s="122">
        <v>3.48</v>
      </c>
      <c r="E772" s="122">
        <v>0.03</v>
      </c>
    </row>
    <row r="773" spans="2:5" x14ac:dyDescent="0.2">
      <c r="B773" s="120" t="s">
        <v>1521</v>
      </c>
      <c r="C773" s="121" t="s">
        <v>1522</v>
      </c>
      <c r="D773" s="122">
        <v>14.74</v>
      </c>
      <c r="E773" s="122">
        <v>0.1</v>
      </c>
    </row>
    <row r="774" spans="2:5" x14ac:dyDescent="0.2">
      <c r="B774" s="120" t="s">
        <v>1523</v>
      </c>
      <c r="C774" s="121" t="s">
        <v>1524</v>
      </c>
      <c r="D774" s="122">
        <v>-13.62</v>
      </c>
      <c r="E774" s="122">
        <v>-0.16</v>
      </c>
    </row>
    <row r="775" spans="2:5" x14ac:dyDescent="0.2">
      <c r="B775" s="120" t="s">
        <v>1525</v>
      </c>
      <c r="C775" s="121" t="s">
        <v>12</v>
      </c>
      <c r="D775" s="122">
        <v>4.72</v>
      </c>
      <c r="E775" s="122">
        <v>-0.18</v>
      </c>
    </row>
    <row r="776" spans="2:5" x14ac:dyDescent="0.2">
      <c r="B776" s="120" t="s">
        <v>1526</v>
      </c>
      <c r="C776" s="121" t="s">
        <v>1527</v>
      </c>
      <c r="D776" s="122">
        <v>2.61</v>
      </c>
      <c r="E776" s="122">
        <v>0.02</v>
      </c>
    </row>
    <row r="777" spans="2:5" x14ac:dyDescent="0.2">
      <c r="B777" s="120" t="s">
        <v>1528</v>
      </c>
      <c r="C777" s="121" t="s">
        <v>1529</v>
      </c>
      <c r="D777" s="122"/>
      <c r="E777" s="122"/>
    </row>
    <row r="778" spans="2:5" x14ac:dyDescent="0.2">
      <c r="B778" s="120" t="s">
        <v>1530</v>
      </c>
      <c r="C778" s="121" t="s">
        <v>1531</v>
      </c>
      <c r="D778" s="122"/>
      <c r="E778" s="122">
        <v>0.12</v>
      </c>
    </row>
    <row r="779" spans="2:5" x14ac:dyDescent="0.2">
      <c r="B779" s="120" t="s">
        <v>4129</v>
      </c>
      <c r="C779" s="121" t="s">
        <v>4130</v>
      </c>
      <c r="D779" s="122">
        <v>20.51</v>
      </c>
      <c r="E779" s="122">
        <v>0.2</v>
      </c>
    </row>
    <row r="780" spans="2:5" x14ac:dyDescent="0.2">
      <c r="B780" s="120" t="s">
        <v>1532</v>
      </c>
      <c r="C780" s="121" t="s">
        <v>1533</v>
      </c>
      <c r="D780" s="122"/>
      <c r="E780" s="122">
        <v>-0.14000000000000001</v>
      </c>
    </row>
    <row r="781" spans="2:5" x14ac:dyDescent="0.2">
      <c r="B781" s="120" t="s">
        <v>1534</v>
      </c>
      <c r="C781" s="121" t="s">
        <v>1535</v>
      </c>
      <c r="D781" s="122"/>
      <c r="E781" s="122">
        <v>0.01</v>
      </c>
    </row>
    <row r="782" spans="2:5" x14ac:dyDescent="0.2">
      <c r="B782" s="120" t="s">
        <v>1536</v>
      </c>
      <c r="C782" s="121" t="s">
        <v>1537</v>
      </c>
      <c r="D782" s="122">
        <v>4.8099999999999996</v>
      </c>
      <c r="E782" s="122">
        <v>0.05</v>
      </c>
    </row>
    <row r="783" spans="2:5" x14ac:dyDescent="0.2">
      <c r="B783" s="120" t="s">
        <v>1538</v>
      </c>
      <c r="C783" s="121" t="s">
        <v>1539</v>
      </c>
      <c r="D783" s="122">
        <v>19.649999999999999</v>
      </c>
      <c r="E783" s="122">
        <v>0.21</v>
      </c>
    </row>
    <row r="784" spans="2:5" x14ac:dyDescent="0.2">
      <c r="B784" s="120" t="s">
        <v>1540</v>
      </c>
      <c r="C784" s="121" t="s">
        <v>1541</v>
      </c>
      <c r="D784" s="122">
        <v>-60.08</v>
      </c>
      <c r="E784" s="122">
        <v>-0.94</v>
      </c>
    </row>
    <row r="785" spans="2:5" x14ac:dyDescent="0.2">
      <c r="B785" s="120" t="s">
        <v>4131</v>
      </c>
      <c r="C785" s="121" t="s">
        <v>4132</v>
      </c>
      <c r="D785" s="122">
        <v>8.42</v>
      </c>
      <c r="E785" s="122">
        <v>0.1</v>
      </c>
    </row>
    <row r="786" spans="2:5" x14ac:dyDescent="0.2">
      <c r="B786" s="120" t="s">
        <v>1542</v>
      </c>
      <c r="C786" s="121" t="s">
        <v>1543</v>
      </c>
      <c r="D786" s="122">
        <v>10.76</v>
      </c>
      <c r="E786" s="122">
        <v>0.1</v>
      </c>
    </row>
    <row r="787" spans="2:5" x14ac:dyDescent="0.2">
      <c r="B787" s="120" t="s">
        <v>1544</v>
      </c>
      <c r="C787" s="121" t="s">
        <v>1545</v>
      </c>
      <c r="D787" s="122">
        <v>12.14</v>
      </c>
      <c r="E787" s="122">
        <v>0.12</v>
      </c>
    </row>
    <row r="788" spans="2:5" x14ac:dyDescent="0.2">
      <c r="B788" s="120" t="s">
        <v>1546</v>
      </c>
      <c r="C788" s="121" t="s">
        <v>1547</v>
      </c>
      <c r="D788" s="122">
        <v>39.65</v>
      </c>
      <c r="E788" s="122">
        <v>0.25</v>
      </c>
    </row>
    <row r="789" spans="2:5" x14ac:dyDescent="0.2">
      <c r="B789" s="120" t="s">
        <v>1548</v>
      </c>
      <c r="C789" s="121" t="s">
        <v>1549</v>
      </c>
      <c r="D789" s="122">
        <v>11.95</v>
      </c>
      <c r="E789" s="122">
        <v>0.1</v>
      </c>
    </row>
    <row r="790" spans="2:5" x14ac:dyDescent="0.2">
      <c r="B790" s="120" t="s">
        <v>1550</v>
      </c>
      <c r="C790" s="121" t="s">
        <v>1551</v>
      </c>
      <c r="D790" s="122"/>
      <c r="E790" s="122">
        <v>0.05</v>
      </c>
    </row>
    <row r="791" spans="2:5" x14ac:dyDescent="0.2">
      <c r="B791" s="120" t="s">
        <v>1552</v>
      </c>
      <c r="C791" s="121" t="s">
        <v>1553</v>
      </c>
      <c r="D791" s="122">
        <v>16.59</v>
      </c>
      <c r="E791" s="122">
        <v>0.16</v>
      </c>
    </row>
    <row r="792" spans="2:5" x14ac:dyDescent="0.2">
      <c r="B792" s="120" t="s">
        <v>1554</v>
      </c>
      <c r="C792" s="121" t="s">
        <v>1555</v>
      </c>
      <c r="D792" s="122"/>
      <c r="E792" s="122">
        <v>0.1</v>
      </c>
    </row>
    <row r="793" spans="2:5" x14ac:dyDescent="0.2">
      <c r="B793" s="120" t="s">
        <v>4133</v>
      </c>
      <c r="C793" s="121" t="s">
        <v>4134</v>
      </c>
      <c r="D793" s="122"/>
      <c r="E793" s="122"/>
    </row>
    <row r="794" spans="2:5" x14ac:dyDescent="0.2">
      <c r="B794" s="120" t="s">
        <v>1556</v>
      </c>
      <c r="C794" s="121" t="s">
        <v>1557</v>
      </c>
      <c r="D794" s="122">
        <v>-32.75</v>
      </c>
      <c r="E794" s="122">
        <v>-1.18</v>
      </c>
    </row>
    <row r="795" spans="2:5" x14ac:dyDescent="0.2">
      <c r="B795" s="120" t="s">
        <v>1558</v>
      </c>
      <c r="C795" s="121" t="s">
        <v>1559</v>
      </c>
      <c r="D795" s="122"/>
      <c r="E795" s="122">
        <v>0.02</v>
      </c>
    </row>
    <row r="796" spans="2:5" x14ac:dyDescent="0.2">
      <c r="B796" s="120" t="s">
        <v>1560</v>
      </c>
      <c r="C796" s="121" t="s">
        <v>1561</v>
      </c>
      <c r="D796" s="122">
        <v>12.76</v>
      </c>
      <c r="E796" s="122">
        <v>0.1</v>
      </c>
    </row>
    <row r="797" spans="2:5" x14ac:dyDescent="0.2">
      <c r="B797" s="120" t="s">
        <v>1562</v>
      </c>
      <c r="C797" s="121" t="s">
        <v>1563</v>
      </c>
      <c r="D797" s="122">
        <v>3.22</v>
      </c>
      <c r="E797" s="122">
        <v>0.04</v>
      </c>
    </row>
    <row r="798" spans="2:5" x14ac:dyDescent="0.2">
      <c r="B798" s="120" t="s">
        <v>1564</v>
      </c>
      <c r="C798" s="121" t="s">
        <v>1565</v>
      </c>
      <c r="D798" s="122">
        <v>-19.95</v>
      </c>
      <c r="E798" s="122">
        <v>-0.09</v>
      </c>
    </row>
    <row r="799" spans="2:5" x14ac:dyDescent="0.2">
      <c r="B799" s="120" t="s">
        <v>1566</v>
      </c>
      <c r="C799" s="121" t="s">
        <v>1567</v>
      </c>
      <c r="D799" s="122">
        <v>29.69</v>
      </c>
      <c r="E799" s="122">
        <v>0.32</v>
      </c>
    </row>
    <row r="800" spans="2:5" x14ac:dyDescent="0.2">
      <c r="B800" s="120" t="s">
        <v>1568</v>
      </c>
      <c r="C800" s="121" t="s">
        <v>1569</v>
      </c>
      <c r="D800" s="122">
        <v>14.97</v>
      </c>
      <c r="E800" s="122">
        <v>0.09</v>
      </c>
    </row>
    <row r="801" spans="2:5" x14ac:dyDescent="0.2">
      <c r="B801" s="120" t="s">
        <v>1570</v>
      </c>
      <c r="C801" s="121" t="s">
        <v>1571</v>
      </c>
      <c r="D801" s="122">
        <v>6.37</v>
      </c>
      <c r="E801" s="122">
        <v>0.05</v>
      </c>
    </row>
    <row r="802" spans="2:5" x14ac:dyDescent="0.2">
      <c r="B802" s="120" t="s">
        <v>1572</v>
      </c>
      <c r="C802" s="121" t="s">
        <v>1573</v>
      </c>
      <c r="D802" s="122">
        <v>21.7</v>
      </c>
      <c r="E802" s="122">
        <v>0.22</v>
      </c>
    </row>
    <row r="803" spans="2:5" x14ac:dyDescent="0.2">
      <c r="B803" s="120" t="s">
        <v>4135</v>
      </c>
      <c r="C803" s="121" t="s">
        <v>4136</v>
      </c>
      <c r="D803" s="122">
        <v>6.58</v>
      </c>
      <c r="E803" s="122">
        <v>-0.04</v>
      </c>
    </row>
    <row r="804" spans="2:5" x14ac:dyDescent="0.2">
      <c r="B804" s="120" t="s">
        <v>4137</v>
      </c>
      <c r="C804" s="121" t="s">
        <v>4138</v>
      </c>
      <c r="D804" s="122">
        <v>36.67</v>
      </c>
      <c r="E804" s="122">
        <v>0.49</v>
      </c>
    </row>
    <row r="805" spans="2:5" x14ac:dyDescent="0.2">
      <c r="B805" s="120" t="s">
        <v>1574</v>
      </c>
      <c r="C805" s="121" t="s">
        <v>1575</v>
      </c>
      <c r="D805" s="122">
        <v>11.53</v>
      </c>
      <c r="E805" s="122">
        <v>0.12</v>
      </c>
    </row>
    <row r="806" spans="2:5" x14ac:dyDescent="0.2">
      <c r="B806" s="120" t="s">
        <v>1576</v>
      </c>
      <c r="C806" s="121" t="s">
        <v>1577</v>
      </c>
      <c r="D806" s="122">
        <v>14.34</v>
      </c>
      <c r="E806" s="122">
        <v>0.11</v>
      </c>
    </row>
    <row r="807" spans="2:5" x14ac:dyDescent="0.2">
      <c r="B807" s="120" t="s">
        <v>1578</v>
      </c>
      <c r="C807" s="121" t="s">
        <v>1579</v>
      </c>
      <c r="D807" s="122">
        <v>23.28</v>
      </c>
      <c r="E807" s="122">
        <v>0.24</v>
      </c>
    </row>
    <row r="808" spans="2:5" x14ac:dyDescent="0.2">
      <c r="B808" s="120" t="s">
        <v>4139</v>
      </c>
      <c r="C808" s="121" t="s">
        <v>4140</v>
      </c>
      <c r="D808" s="122"/>
      <c r="E808" s="122"/>
    </row>
    <row r="809" spans="2:5" x14ac:dyDescent="0.2">
      <c r="B809" s="120" t="s">
        <v>1580</v>
      </c>
      <c r="C809" s="121" t="s">
        <v>1581</v>
      </c>
      <c r="D809" s="122">
        <v>6.28</v>
      </c>
      <c r="E809" s="122">
        <v>-0.21</v>
      </c>
    </row>
    <row r="810" spans="2:5" x14ac:dyDescent="0.2">
      <c r="B810" s="120" t="s">
        <v>1582</v>
      </c>
      <c r="C810" s="121" t="s">
        <v>4141</v>
      </c>
      <c r="D810" s="122">
        <v>30.31</v>
      </c>
      <c r="E810" s="122">
        <v>0.22</v>
      </c>
    </row>
    <row r="811" spans="2:5" x14ac:dyDescent="0.2">
      <c r="B811" s="120" t="s">
        <v>1582</v>
      </c>
      <c r="C811" s="121" t="s">
        <v>1583</v>
      </c>
      <c r="D811" s="122">
        <v>30.31</v>
      </c>
      <c r="E811" s="122">
        <v>0.22</v>
      </c>
    </row>
    <row r="812" spans="2:5" x14ac:dyDescent="0.2">
      <c r="B812" s="120" t="s">
        <v>1584</v>
      </c>
      <c r="C812" s="121" t="s">
        <v>13</v>
      </c>
      <c r="D812" s="122">
        <v>17.05</v>
      </c>
      <c r="E812" s="122">
        <v>0.17</v>
      </c>
    </row>
    <row r="813" spans="2:5" x14ac:dyDescent="0.2">
      <c r="B813" s="120" t="s">
        <v>1585</v>
      </c>
      <c r="C813" s="121" t="s">
        <v>1586</v>
      </c>
      <c r="D813" s="122">
        <v>4.3899999999999997</v>
      </c>
      <c r="E813" s="122">
        <v>0.04</v>
      </c>
    </row>
    <row r="814" spans="2:5" x14ac:dyDescent="0.2">
      <c r="B814" s="120" t="s">
        <v>4142</v>
      </c>
      <c r="C814" s="121" t="s">
        <v>4143</v>
      </c>
      <c r="D814" s="122"/>
      <c r="E814" s="122"/>
    </row>
    <row r="815" spans="2:5" x14ac:dyDescent="0.2">
      <c r="B815" s="120" t="s">
        <v>1587</v>
      </c>
      <c r="C815" s="121" t="s">
        <v>1588</v>
      </c>
      <c r="D815" s="122">
        <v>4.43</v>
      </c>
      <c r="E815" s="122">
        <v>0.04</v>
      </c>
    </row>
    <row r="816" spans="2:5" x14ac:dyDescent="0.2">
      <c r="B816" s="120" t="s">
        <v>1589</v>
      </c>
      <c r="C816" s="121" t="s">
        <v>1590</v>
      </c>
      <c r="D816" s="122">
        <v>22.2</v>
      </c>
      <c r="E816" s="122">
        <v>0.13</v>
      </c>
    </row>
    <row r="817" spans="2:5" x14ac:dyDescent="0.2">
      <c r="B817" s="120" t="s">
        <v>4144</v>
      </c>
      <c r="C817" s="121" t="s">
        <v>4145</v>
      </c>
      <c r="D817" s="122">
        <v>9.94</v>
      </c>
      <c r="E817" s="122">
        <v>0.09</v>
      </c>
    </row>
    <row r="818" spans="2:5" x14ac:dyDescent="0.2">
      <c r="B818" s="120" t="s">
        <v>1591</v>
      </c>
      <c r="C818" s="121" t="s">
        <v>1592</v>
      </c>
      <c r="D818" s="122">
        <v>5.3</v>
      </c>
      <c r="E818" s="122">
        <v>0.06</v>
      </c>
    </row>
    <row r="819" spans="2:5" x14ac:dyDescent="0.2">
      <c r="B819" s="120" t="s">
        <v>1593</v>
      </c>
      <c r="C819" s="121" t="s">
        <v>1594</v>
      </c>
      <c r="D819" s="122">
        <v>14.52</v>
      </c>
      <c r="E819" s="122">
        <v>0.09</v>
      </c>
    </row>
    <row r="820" spans="2:5" x14ac:dyDescent="0.2">
      <c r="B820" s="120" t="s">
        <v>1595</v>
      </c>
      <c r="C820" s="121" t="s">
        <v>1596</v>
      </c>
      <c r="D820" s="122">
        <v>14.15</v>
      </c>
      <c r="E820" s="122">
        <v>0.13</v>
      </c>
    </row>
    <row r="821" spans="2:5" x14ac:dyDescent="0.2">
      <c r="B821" s="120" t="s">
        <v>1597</v>
      </c>
      <c r="C821" s="121" t="s">
        <v>1598</v>
      </c>
      <c r="D821" s="122">
        <v>21.51</v>
      </c>
      <c r="E821" s="122">
        <v>0.21</v>
      </c>
    </row>
    <row r="822" spans="2:5" x14ac:dyDescent="0.2">
      <c r="B822" s="120" t="s">
        <v>1599</v>
      </c>
      <c r="C822" s="121" t="s">
        <v>1600</v>
      </c>
      <c r="D822" s="122">
        <v>9.52</v>
      </c>
      <c r="E822" s="122">
        <v>0.08</v>
      </c>
    </row>
    <row r="823" spans="2:5" x14ac:dyDescent="0.2">
      <c r="B823" s="120" t="s">
        <v>1601</v>
      </c>
      <c r="C823" s="121" t="s">
        <v>1602</v>
      </c>
      <c r="D823" s="122">
        <v>27.82</v>
      </c>
      <c r="E823" s="122">
        <v>0.28999999999999998</v>
      </c>
    </row>
    <row r="824" spans="2:5" x14ac:dyDescent="0.2">
      <c r="B824" s="120" t="s">
        <v>1603</v>
      </c>
      <c r="C824" s="121" t="s">
        <v>1604</v>
      </c>
      <c r="D824" s="122">
        <v>19.71</v>
      </c>
      <c r="E824" s="122">
        <v>0.12</v>
      </c>
    </row>
    <row r="825" spans="2:5" x14ac:dyDescent="0.2">
      <c r="B825" s="120" t="s">
        <v>4146</v>
      </c>
      <c r="C825" s="121" t="s">
        <v>4147</v>
      </c>
      <c r="D825" s="122"/>
      <c r="E825" s="122"/>
    </row>
    <row r="826" spans="2:5" x14ac:dyDescent="0.2">
      <c r="B826" s="120" t="s">
        <v>1605</v>
      </c>
      <c r="C826" s="121" t="s">
        <v>1606</v>
      </c>
      <c r="D826" s="122">
        <v>2.57</v>
      </c>
      <c r="E826" s="122">
        <v>0.04</v>
      </c>
    </row>
    <row r="827" spans="2:5" x14ac:dyDescent="0.2">
      <c r="B827" s="120" t="s">
        <v>4148</v>
      </c>
      <c r="C827" s="121" t="s">
        <v>4149</v>
      </c>
      <c r="D827" s="122"/>
      <c r="E827" s="122">
        <v>0.02</v>
      </c>
    </row>
    <row r="828" spans="2:5" x14ac:dyDescent="0.2">
      <c r="B828" s="120" t="s">
        <v>1607</v>
      </c>
      <c r="C828" s="121" t="s">
        <v>1608</v>
      </c>
      <c r="D828" s="122">
        <v>-101.45</v>
      </c>
      <c r="E828" s="122">
        <v>-23.17</v>
      </c>
    </row>
    <row r="829" spans="2:5" x14ac:dyDescent="0.2">
      <c r="B829" s="120" t="s">
        <v>1609</v>
      </c>
      <c r="C829" s="121" t="s">
        <v>1610</v>
      </c>
      <c r="D829" s="122">
        <v>10.24</v>
      </c>
      <c r="E829" s="122">
        <v>0.1</v>
      </c>
    </row>
    <row r="830" spans="2:5" x14ac:dyDescent="0.2">
      <c r="B830" s="120" t="s">
        <v>1611</v>
      </c>
      <c r="C830" s="121" t="s">
        <v>1612</v>
      </c>
      <c r="D830" s="122">
        <v>16.579999999999998</v>
      </c>
      <c r="E830" s="122">
        <v>0.03</v>
      </c>
    </row>
    <row r="831" spans="2:5" x14ac:dyDescent="0.2">
      <c r="B831" s="120" t="s">
        <v>1613</v>
      </c>
      <c r="C831" s="121" t="s">
        <v>1614</v>
      </c>
      <c r="D831" s="122">
        <v>8.67</v>
      </c>
      <c r="E831" s="122">
        <v>7.0000000000000007E-2</v>
      </c>
    </row>
    <row r="832" spans="2:5" x14ac:dyDescent="0.2">
      <c r="B832" s="120" t="s">
        <v>4150</v>
      </c>
      <c r="C832" s="121" t="s">
        <v>4151</v>
      </c>
      <c r="D832" s="122">
        <v>16.43</v>
      </c>
      <c r="E832" s="122">
        <v>0.16</v>
      </c>
    </row>
    <row r="833" spans="2:5" x14ac:dyDescent="0.2">
      <c r="B833" s="120" t="s">
        <v>1615</v>
      </c>
      <c r="C833" s="121" t="s">
        <v>1616</v>
      </c>
      <c r="D833" s="122">
        <v>4.9800000000000004</v>
      </c>
      <c r="E833" s="122">
        <v>0.17</v>
      </c>
    </row>
    <row r="834" spans="2:5" x14ac:dyDescent="0.2">
      <c r="B834" s="120" t="s">
        <v>1617</v>
      </c>
      <c r="C834" s="121" t="s">
        <v>1618</v>
      </c>
      <c r="D834" s="122">
        <v>14.04</v>
      </c>
      <c r="E834" s="122">
        <v>0.06</v>
      </c>
    </row>
    <row r="835" spans="2:5" x14ac:dyDescent="0.2">
      <c r="B835" s="120" t="s">
        <v>1619</v>
      </c>
      <c r="C835" s="121" t="s">
        <v>1620</v>
      </c>
      <c r="D835" s="122">
        <v>5.46</v>
      </c>
      <c r="E835" s="122">
        <v>7.0000000000000007E-2</v>
      </c>
    </row>
    <row r="836" spans="2:5" x14ac:dyDescent="0.2">
      <c r="B836" s="120" t="s">
        <v>1621</v>
      </c>
      <c r="C836" s="121" t="s">
        <v>1622</v>
      </c>
      <c r="D836" s="122">
        <v>11.59</v>
      </c>
      <c r="E836" s="122">
        <v>0.05</v>
      </c>
    </row>
    <row r="837" spans="2:5" x14ac:dyDescent="0.2">
      <c r="B837" s="120" t="s">
        <v>4152</v>
      </c>
      <c r="C837" s="121" t="s">
        <v>4153</v>
      </c>
      <c r="D837" s="122"/>
      <c r="E837" s="122"/>
    </row>
    <row r="838" spans="2:5" x14ac:dyDescent="0.2">
      <c r="B838" s="120" t="s">
        <v>1623</v>
      </c>
      <c r="C838" s="121" t="s">
        <v>1624</v>
      </c>
      <c r="D838" s="122">
        <v>30.9</v>
      </c>
      <c r="E838" s="122">
        <v>0.26</v>
      </c>
    </row>
    <row r="839" spans="2:5" x14ac:dyDescent="0.2">
      <c r="B839" s="120" t="s">
        <v>1625</v>
      </c>
      <c r="C839" s="121" t="s">
        <v>1626</v>
      </c>
      <c r="D839" s="122">
        <v>9.16</v>
      </c>
      <c r="E839" s="122">
        <v>0.08</v>
      </c>
    </row>
    <row r="840" spans="2:5" x14ac:dyDescent="0.2">
      <c r="B840" s="120" t="s">
        <v>1627</v>
      </c>
      <c r="C840" s="121" t="s">
        <v>1628</v>
      </c>
      <c r="D840" s="122">
        <v>7.42</v>
      </c>
      <c r="E840" s="122">
        <v>0.08</v>
      </c>
    </row>
    <row r="841" spans="2:5" x14ac:dyDescent="0.2">
      <c r="B841" s="120" t="s">
        <v>1629</v>
      </c>
      <c r="C841" s="121" t="s">
        <v>1630</v>
      </c>
      <c r="D841" s="122">
        <v>3.85</v>
      </c>
      <c r="E841" s="122">
        <v>0.04</v>
      </c>
    </row>
    <row r="842" spans="2:5" x14ac:dyDescent="0.2">
      <c r="B842" s="120" t="s">
        <v>4154</v>
      </c>
      <c r="C842" s="121" t="s">
        <v>4155</v>
      </c>
      <c r="D842" s="122"/>
      <c r="E842" s="122">
        <v>0.05</v>
      </c>
    </row>
    <row r="843" spans="2:5" x14ac:dyDescent="0.2">
      <c r="B843" s="120" t="s">
        <v>1631</v>
      </c>
      <c r="C843" s="121" t="s">
        <v>1632</v>
      </c>
      <c r="D843" s="122">
        <v>53.57</v>
      </c>
      <c r="E843" s="122">
        <v>0.56999999999999995</v>
      </c>
    </row>
    <row r="844" spans="2:5" x14ac:dyDescent="0.2">
      <c r="B844" s="120" t="s">
        <v>1633</v>
      </c>
      <c r="C844" s="121" t="s">
        <v>1634</v>
      </c>
      <c r="D844" s="122">
        <v>10.35</v>
      </c>
      <c r="E844" s="122">
        <v>0.1</v>
      </c>
    </row>
    <row r="845" spans="2:5" x14ac:dyDescent="0.2">
      <c r="B845" s="120" t="s">
        <v>1635</v>
      </c>
      <c r="C845" s="121" t="s">
        <v>1636</v>
      </c>
      <c r="D845" s="122">
        <v>17.98</v>
      </c>
      <c r="E845" s="122">
        <v>0.19</v>
      </c>
    </row>
    <row r="846" spans="2:5" x14ac:dyDescent="0.2">
      <c r="B846" s="120" t="s">
        <v>4156</v>
      </c>
      <c r="C846" s="121" t="s">
        <v>4157</v>
      </c>
      <c r="D846" s="122">
        <v>6.56</v>
      </c>
      <c r="E846" s="122">
        <v>0.06</v>
      </c>
    </row>
    <row r="847" spans="2:5" x14ac:dyDescent="0.2">
      <c r="B847" s="120" t="s">
        <v>1637</v>
      </c>
      <c r="C847" s="121" t="s">
        <v>1638</v>
      </c>
      <c r="D847" s="122">
        <v>10.25</v>
      </c>
      <c r="E847" s="122">
        <v>7.0000000000000007E-2</v>
      </c>
    </row>
    <row r="848" spans="2:5" x14ac:dyDescent="0.2">
      <c r="B848" s="120" t="s">
        <v>1639</v>
      </c>
      <c r="C848" s="121" t="s">
        <v>1640</v>
      </c>
      <c r="D848" s="122">
        <v>7.07</v>
      </c>
      <c r="E848" s="122">
        <v>7.0000000000000007E-2</v>
      </c>
    </row>
    <row r="849" spans="2:5" x14ac:dyDescent="0.2">
      <c r="B849" s="120" t="s">
        <v>1641</v>
      </c>
      <c r="C849" s="121" t="s">
        <v>1642</v>
      </c>
      <c r="D849" s="122"/>
      <c r="E849" s="122">
        <v>0.19</v>
      </c>
    </row>
    <row r="850" spans="2:5" x14ac:dyDescent="0.2">
      <c r="B850" s="120" t="s">
        <v>1643</v>
      </c>
      <c r="C850" s="121" t="s">
        <v>1644</v>
      </c>
      <c r="D850" s="122">
        <v>14.95</v>
      </c>
      <c r="E850" s="122">
        <v>0.15</v>
      </c>
    </row>
    <row r="851" spans="2:5" x14ac:dyDescent="0.2">
      <c r="B851" s="120" t="s">
        <v>1643</v>
      </c>
      <c r="C851" s="121" t="s">
        <v>4158</v>
      </c>
      <c r="D851" s="122">
        <v>14.95</v>
      </c>
      <c r="E851" s="122">
        <v>0.15</v>
      </c>
    </row>
    <row r="852" spans="2:5" x14ac:dyDescent="0.2">
      <c r="B852" s="120" t="s">
        <v>1645</v>
      </c>
      <c r="C852" s="121" t="s">
        <v>1646</v>
      </c>
      <c r="D852" s="122"/>
      <c r="E852" s="122">
        <v>0.04</v>
      </c>
    </row>
    <row r="853" spans="2:5" x14ac:dyDescent="0.2">
      <c r="B853" s="120" t="s">
        <v>1647</v>
      </c>
      <c r="C853" s="121" t="s">
        <v>1648</v>
      </c>
      <c r="D853" s="122">
        <v>13.52</v>
      </c>
      <c r="E853" s="122">
        <v>0.11</v>
      </c>
    </row>
    <row r="854" spans="2:5" x14ac:dyDescent="0.2">
      <c r="B854" s="120" t="s">
        <v>1649</v>
      </c>
      <c r="C854" s="121" t="s">
        <v>1650</v>
      </c>
      <c r="D854" s="122">
        <v>12.09</v>
      </c>
      <c r="E854" s="122">
        <v>0.12</v>
      </c>
    </row>
    <row r="855" spans="2:5" x14ac:dyDescent="0.2">
      <c r="B855" s="120" t="s">
        <v>1651</v>
      </c>
      <c r="C855" s="121" t="s">
        <v>1652</v>
      </c>
      <c r="D855" s="122">
        <v>0.73</v>
      </c>
      <c r="E855" s="122">
        <v>-0.04</v>
      </c>
    </row>
    <row r="856" spans="2:5" x14ac:dyDescent="0.2">
      <c r="B856" s="120" t="s">
        <v>1653</v>
      </c>
      <c r="C856" s="121" t="s">
        <v>1654</v>
      </c>
      <c r="D856" s="122">
        <v>6.8</v>
      </c>
      <c r="E856" s="122">
        <v>0.06</v>
      </c>
    </row>
    <row r="857" spans="2:5" x14ac:dyDescent="0.2">
      <c r="B857" s="120" t="s">
        <v>4159</v>
      </c>
      <c r="C857" s="121" t="s">
        <v>4160</v>
      </c>
      <c r="D857" s="122"/>
      <c r="E857" s="122">
        <v>4.91</v>
      </c>
    </row>
    <row r="858" spans="2:5" x14ac:dyDescent="0.2">
      <c r="B858" s="120" t="s">
        <v>1655</v>
      </c>
      <c r="C858" s="121" t="s">
        <v>1656</v>
      </c>
      <c r="D858" s="122">
        <v>7.03</v>
      </c>
      <c r="E858" s="122">
        <v>0.05</v>
      </c>
    </row>
    <row r="859" spans="2:5" x14ac:dyDescent="0.2">
      <c r="B859" s="120" t="s">
        <v>1657</v>
      </c>
      <c r="C859" s="121" t="s">
        <v>1658</v>
      </c>
      <c r="D859" s="122">
        <v>8.73</v>
      </c>
      <c r="E859" s="122">
        <v>0.1</v>
      </c>
    </row>
    <row r="860" spans="2:5" x14ac:dyDescent="0.2">
      <c r="B860" s="120" t="s">
        <v>1659</v>
      </c>
      <c r="C860" s="121" t="s">
        <v>1660</v>
      </c>
      <c r="D860" s="122">
        <v>8.0399999999999991</v>
      </c>
      <c r="E860" s="122">
        <v>0.1</v>
      </c>
    </row>
    <row r="861" spans="2:5" x14ac:dyDescent="0.2">
      <c r="B861" s="120" t="s">
        <v>1661</v>
      </c>
      <c r="C861" s="121" t="s">
        <v>1662</v>
      </c>
      <c r="D861" s="122">
        <v>2.56</v>
      </c>
      <c r="E861" s="122">
        <v>0.03</v>
      </c>
    </row>
    <row r="862" spans="2:5" x14ac:dyDescent="0.2">
      <c r="B862" s="120" t="s">
        <v>1663</v>
      </c>
      <c r="C862" s="121" t="s">
        <v>1664</v>
      </c>
      <c r="D862" s="122">
        <v>18.79</v>
      </c>
      <c r="E862" s="122">
        <v>0.24</v>
      </c>
    </row>
    <row r="863" spans="2:5" x14ac:dyDescent="0.2">
      <c r="B863" s="120" t="s">
        <v>1665</v>
      </c>
      <c r="C863" s="121" t="s">
        <v>1666</v>
      </c>
      <c r="D863" s="122"/>
      <c r="E863" s="122">
        <v>0.14000000000000001</v>
      </c>
    </row>
    <row r="864" spans="2:5" x14ac:dyDescent="0.2">
      <c r="B864" s="120" t="s">
        <v>1667</v>
      </c>
      <c r="C864" s="121" t="s">
        <v>1668</v>
      </c>
      <c r="D864" s="122"/>
      <c r="E864" s="122">
        <v>1.42</v>
      </c>
    </row>
    <row r="865" spans="2:5" x14ac:dyDescent="0.2">
      <c r="B865" s="120" t="s">
        <v>1669</v>
      </c>
      <c r="C865" s="121" t="s">
        <v>1670</v>
      </c>
      <c r="D865" s="122">
        <v>7.99</v>
      </c>
      <c r="E865" s="122">
        <v>0.06</v>
      </c>
    </row>
    <row r="866" spans="2:5" x14ac:dyDescent="0.2">
      <c r="B866" s="120" t="s">
        <v>1671</v>
      </c>
      <c r="C866" s="121" t="s">
        <v>1672</v>
      </c>
      <c r="D866" s="122">
        <v>17.670000000000002</v>
      </c>
      <c r="E866" s="122">
        <v>0.15</v>
      </c>
    </row>
    <row r="867" spans="2:5" x14ac:dyDescent="0.2">
      <c r="B867" s="120" t="s">
        <v>1673</v>
      </c>
      <c r="C867" s="121" t="s">
        <v>1674</v>
      </c>
      <c r="D867" s="122"/>
      <c r="E867" s="122">
        <v>0.14000000000000001</v>
      </c>
    </row>
    <row r="868" spans="2:5" x14ac:dyDescent="0.2">
      <c r="B868" s="120" t="s">
        <v>1675</v>
      </c>
      <c r="C868" s="121" t="s">
        <v>1676</v>
      </c>
      <c r="D868" s="122">
        <v>41.71</v>
      </c>
      <c r="E868" s="122">
        <v>0.13</v>
      </c>
    </row>
    <row r="869" spans="2:5" x14ac:dyDescent="0.2">
      <c r="B869" s="120" t="s">
        <v>4161</v>
      </c>
      <c r="C869" s="121" t="s">
        <v>4162</v>
      </c>
      <c r="D869" s="122"/>
      <c r="E869" s="122">
        <v>0.86</v>
      </c>
    </row>
    <row r="870" spans="2:5" x14ac:dyDescent="0.2">
      <c r="B870" s="120" t="s">
        <v>1677</v>
      </c>
      <c r="C870" s="121" t="s">
        <v>1678</v>
      </c>
      <c r="D870" s="122">
        <v>10.95</v>
      </c>
      <c r="E870" s="122">
        <v>0.09</v>
      </c>
    </row>
    <row r="871" spans="2:5" x14ac:dyDescent="0.2">
      <c r="B871" s="120" t="s">
        <v>4163</v>
      </c>
      <c r="C871" s="121" t="s">
        <v>4164</v>
      </c>
      <c r="D871" s="122">
        <v>7.02</v>
      </c>
      <c r="E871" s="122">
        <v>0.05</v>
      </c>
    </row>
    <row r="872" spans="2:5" x14ac:dyDescent="0.2">
      <c r="B872" s="120" t="s">
        <v>1679</v>
      </c>
      <c r="C872" s="121" t="s">
        <v>1680</v>
      </c>
      <c r="D872" s="122">
        <v>25.1</v>
      </c>
      <c r="E872" s="122">
        <v>0.22</v>
      </c>
    </row>
    <row r="873" spans="2:5" x14ac:dyDescent="0.2">
      <c r="B873" s="120" t="s">
        <v>1681</v>
      </c>
      <c r="C873" s="121" t="s">
        <v>1682</v>
      </c>
      <c r="D873" s="122">
        <v>3.38</v>
      </c>
      <c r="E873" s="122">
        <v>0.04</v>
      </c>
    </row>
    <row r="874" spans="2:5" x14ac:dyDescent="0.2">
      <c r="B874" s="120" t="s">
        <v>1683</v>
      </c>
      <c r="C874" s="121" t="s">
        <v>1684</v>
      </c>
      <c r="D874" s="122">
        <v>20.64</v>
      </c>
      <c r="E874" s="122">
        <v>0.09</v>
      </c>
    </row>
    <row r="875" spans="2:5" x14ac:dyDescent="0.2">
      <c r="B875" s="120" t="s">
        <v>4165</v>
      </c>
      <c r="C875" s="121" t="s">
        <v>4166</v>
      </c>
      <c r="D875" s="122"/>
      <c r="E875" s="122">
        <v>0.92</v>
      </c>
    </row>
    <row r="876" spans="2:5" x14ac:dyDescent="0.2">
      <c r="B876" s="120" t="s">
        <v>4167</v>
      </c>
      <c r="C876" s="121" t="s">
        <v>4168</v>
      </c>
      <c r="D876" s="122"/>
      <c r="E876" s="122">
        <v>0.53</v>
      </c>
    </row>
    <row r="877" spans="2:5" x14ac:dyDescent="0.2">
      <c r="B877" s="120" t="s">
        <v>4169</v>
      </c>
      <c r="C877" s="121" t="s">
        <v>4170</v>
      </c>
      <c r="D877" s="122">
        <v>5.42</v>
      </c>
      <c r="E877" s="122">
        <v>0.06</v>
      </c>
    </row>
    <row r="878" spans="2:5" x14ac:dyDescent="0.2">
      <c r="B878" s="120" t="s">
        <v>1685</v>
      </c>
      <c r="C878" s="121" t="s">
        <v>1686</v>
      </c>
      <c r="D878" s="122">
        <v>1.75</v>
      </c>
      <c r="E878" s="122">
        <v>0</v>
      </c>
    </row>
    <row r="879" spans="2:5" x14ac:dyDescent="0.2">
      <c r="B879" s="120" t="s">
        <v>1687</v>
      </c>
      <c r="C879" s="121" t="s">
        <v>1688</v>
      </c>
      <c r="D879" s="122">
        <v>21.36</v>
      </c>
      <c r="E879" s="122">
        <v>0.21</v>
      </c>
    </row>
    <row r="880" spans="2:5" x14ac:dyDescent="0.2">
      <c r="B880" s="120" t="s">
        <v>1689</v>
      </c>
      <c r="C880" s="121" t="s">
        <v>1690</v>
      </c>
      <c r="D880" s="122">
        <v>9.3000000000000007</v>
      </c>
      <c r="E880" s="122">
        <v>0.09</v>
      </c>
    </row>
    <row r="881" spans="2:5" x14ac:dyDescent="0.2">
      <c r="B881" s="120" t="s">
        <v>4171</v>
      </c>
      <c r="C881" s="121" t="s">
        <v>4172</v>
      </c>
      <c r="D881" s="122"/>
      <c r="E881" s="122">
        <v>0.24</v>
      </c>
    </row>
    <row r="882" spans="2:5" x14ac:dyDescent="0.2">
      <c r="B882" s="120" t="s">
        <v>1691</v>
      </c>
      <c r="C882" s="121" t="s">
        <v>1692</v>
      </c>
      <c r="D882" s="122">
        <v>19.39</v>
      </c>
      <c r="E882" s="122">
        <v>-0.03</v>
      </c>
    </row>
    <row r="883" spans="2:5" x14ac:dyDescent="0.2">
      <c r="B883" s="120" t="s">
        <v>1693</v>
      </c>
      <c r="C883" s="121" t="s">
        <v>1694</v>
      </c>
      <c r="D883" s="122">
        <v>45.17</v>
      </c>
      <c r="E883" s="122">
        <v>0.38</v>
      </c>
    </row>
    <row r="884" spans="2:5" x14ac:dyDescent="0.2">
      <c r="B884" s="120" t="s">
        <v>1695</v>
      </c>
      <c r="C884" s="121" t="s">
        <v>1696</v>
      </c>
      <c r="D884" s="122">
        <v>15.29</v>
      </c>
      <c r="E884" s="122">
        <v>0.16</v>
      </c>
    </row>
    <row r="885" spans="2:5" x14ac:dyDescent="0.2">
      <c r="B885" s="120" t="s">
        <v>1697</v>
      </c>
      <c r="C885" s="121" t="s">
        <v>1698</v>
      </c>
      <c r="D885" s="122">
        <v>6.11</v>
      </c>
      <c r="E885" s="122">
        <v>0.19</v>
      </c>
    </row>
    <row r="886" spans="2:5" x14ac:dyDescent="0.2">
      <c r="B886" s="120" t="s">
        <v>1699</v>
      </c>
      <c r="C886" s="121" t="s">
        <v>1700</v>
      </c>
      <c r="D886" s="122">
        <v>8.16</v>
      </c>
      <c r="E886" s="122">
        <v>0.06</v>
      </c>
    </row>
    <row r="887" spans="2:5" x14ac:dyDescent="0.2">
      <c r="B887" s="120" t="s">
        <v>1701</v>
      </c>
      <c r="C887" s="121" t="s">
        <v>1702</v>
      </c>
      <c r="D887" s="122">
        <v>0.8</v>
      </c>
      <c r="E887" s="122">
        <v>0.14000000000000001</v>
      </c>
    </row>
    <row r="888" spans="2:5" x14ac:dyDescent="0.2">
      <c r="B888" s="120" t="s">
        <v>1703</v>
      </c>
      <c r="C888" s="121" t="s">
        <v>1704</v>
      </c>
      <c r="D888" s="122">
        <v>5.75</v>
      </c>
      <c r="E888" s="122">
        <v>0.09</v>
      </c>
    </row>
    <row r="889" spans="2:5" x14ac:dyDescent="0.2">
      <c r="B889" s="120" t="s">
        <v>1705</v>
      </c>
      <c r="C889" s="121" t="s">
        <v>1706</v>
      </c>
      <c r="D889" s="122">
        <v>-9.1199999999999992</v>
      </c>
      <c r="E889" s="122">
        <v>0.08</v>
      </c>
    </row>
    <row r="890" spans="2:5" x14ac:dyDescent="0.2">
      <c r="B890" s="120" t="s">
        <v>1707</v>
      </c>
      <c r="C890" s="121" t="s">
        <v>1708</v>
      </c>
      <c r="D890" s="122">
        <v>28.18</v>
      </c>
      <c r="E890" s="122">
        <v>0.26</v>
      </c>
    </row>
    <row r="891" spans="2:5" x14ac:dyDescent="0.2">
      <c r="B891" s="120" t="s">
        <v>4173</v>
      </c>
      <c r="C891" s="121" t="s">
        <v>4174</v>
      </c>
      <c r="D891" s="122">
        <v>7.08</v>
      </c>
      <c r="E891" s="122">
        <v>0.15</v>
      </c>
    </row>
    <row r="892" spans="2:5" x14ac:dyDescent="0.2">
      <c r="B892" s="120" t="s">
        <v>1709</v>
      </c>
      <c r="C892" s="121" t="s">
        <v>1710</v>
      </c>
      <c r="D892" s="122">
        <v>14.46</v>
      </c>
      <c r="E892" s="122">
        <v>0.14000000000000001</v>
      </c>
    </row>
    <row r="893" spans="2:5" x14ac:dyDescent="0.2">
      <c r="B893" s="120" t="s">
        <v>1711</v>
      </c>
      <c r="C893" s="121" t="s">
        <v>1712</v>
      </c>
      <c r="D893" s="122">
        <v>11.78</v>
      </c>
      <c r="E893" s="122">
        <v>0.1</v>
      </c>
    </row>
    <row r="894" spans="2:5" x14ac:dyDescent="0.2">
      <c r="B894" s="120" t="s">
        <v>4175</v>
      </c>
      <c r="C894" s="121" t="s">
        <v>4176</v>
      </c>
      <c r="D894" s="122"/>
      <c r="E894" s="122">
        <v>0.05</v>
      </c>
    </row>
    <row r="895" spans="2:5" x14ac:dyDescent="0.2">
      <c r="B895" s="120" t="s">
        <v>1713</v>
      </c>
      <c r="C895" s="121" t="s">
        <v>1714</v>
      </c>
      <c r="D895" s="122"/>
      <c r="E895" s="122">
        <v>0.59</v>
      </c>
    </row>
    <row r="896" spans="2:5" x14ac:dyDescent="0.2">
      <c r="B896" s="120" t="s">
        <v>1715</v>
      </c>
      <c r="C896" s="121" t="s">
        <v>1716</v>
      </c>
      <c r="D896" s="122">
        <v>10.16</v>
      </c>
      <c r="E896" s="122">
        <v>0.11</v>
      </c>
    </row>
    <row r="897" spans="2:5" x14ac:dyDescent="0.2">
      <c r="B897" s="120" t="s">
        <v>1717</v>
      </c>
      <c r="C897" s="121" t="s">
        <v>1718</v>
      </c>
      <c r="D897" s="122">
        <v>25.59</v>
      </c>
      <c r="E897" s="122">
        <v>0.24</v>
      </c>
    </row>
    <row r="898" spans="2:5" x14ac:dyDescent="0.2">
      <c r="B898" s="120" t="s">
        <v>1719</v>
      </c>
      <c r="C898" s="121" t="s">
        <v>1720</v>
      </c>
      <c r="D898" s="122">
        <v>5.0199999999999996</v>
      </c>
      <c r="E898" s="122">
        <v>0.04</v>
      </c>
    </row>
    <row r="899" spans="2:5" x14ac:dyDescent="0.2">
      <c r="B899" s="120" t="s">
        <v>1721</v>
      </c>
      <c r="C899" s="121" t="s">
        <v>1722</v>
      </c>
      <c r="D899" s="122"/>
      <c r="E899" s="122">
        <v>0.26</v>
      </c>
    </row>
    <row r="900" spans="2:5" x14ac:dyDescent="0.2">
      <c r="B900" s="120" t="s">
        <v>1723</v>
      </c>
      <c r="C900" s="121" t="s">
        <v>1724</v>
      </c>
      <c r="D900" s="122">
        <v>19.829999999999998</v>
      </c>
      <c r="E900" s="122">
        <v>0.2</v>
      </c>
    </row>
    <row r="901" spans="2:5" x14ac:dyDescent="0.2">
      <c r="B901" s="120" t="s">
        <v>1725</v>
      </c>
      <c r="C901" s="121" t="s">
        <v>1726</v>
      </c>
      <c r="D901" s="122">
        <v>15.29</v>
      </c>
      <c r="E901" s="122">
        <v>0.15</v>
      </c>
    </row>
    <row r="902" spans="2:5" x14ac:dyDescent="0.2">
      <c r="B902" s="120" t="s">
        <v>1727</v>
      </c>
      <c r="C902" s="121" t="s">
        <v>1728</v>
      </c>
      <c r="D902" s="122">
        <v>32.46</v>
      </c>
      <c r="E902" s="122">
        <v>0.31</v>
      </c>
    </row>
    <row r="903" spans="2:5" x14ac:dyDescent="0.2">
      <c r="B903" s="120" t="s">
        <v>4177</v>
      </c>
      <c r="C903" s="121" t="s">
        <v>4178</v>
      </c>
      <c r="D903" s="122">
        <v>6.71</v>
      </c>
      <c r="E903" s="122">
        <v>7.0000000000000007E-2</v>
      </c>
    </row>
    <row r="904" spans="2:5" x14ac:dyDescent="0.2">
      <c r="B904" s="120" t="s">
        <v>1729</v>
      </c>
      <c r="C904" s="121" t="s">
        <v>1730</v>
      </c>
      <c r="D904" s="122">
        <v>3.43</v>
      </c>
      <c r="E904" s="122">
        <v>0.02</v>
      </c>
    </row>
    <row r="905" spans="2:5" x14ac:dyDescent="0.2">
      <c r="B905" s="120" t="s">
        <v>1731</v>
      </c>
      <c r="C905" s="121" t="s">
        <v>1732</v>
      </c>
      <c r="D905" s="122">
        <v>14.82</v>
      </c>
      <c r="E905" s="122">
        <v>7.0000000000000007E-2</v>
      </c>
    </row>
    <row r="906" spans="2:5" x14ac:dyDescent="0.2">
      <c r="B906" s="120" t="s">
        <v>1733</v>
      </c>
      <c r="C906" s="121" t="s">
        <v>1734</v>
      </c>
      <c r="D906" s="122">
        <v>9.3000000000000007</v>
      </c>
      <c r="E906" s="122">
        <v>0.08</v>
      </c>
    </row>
    <row r="907" spans="2:5" x14ac:dyDescent="0.2">
      <c r="B907" s="120" t="s">
        <v>1735</v>
      </c>
      <c r="C907" s="121" t="s">
        <v>1736</v>
      </c>
      <c r="D907" s="122">
        <v>9.6300000000000008</v>
      </c>
      <c r="E907" s="122">
        <v>-0.12</v>
      </c>
    </row>
    <row r="908" spans="2:5" x14ac:dyDescent="0.2">
      <c r="B908" s="120" t="s">
        <v>1737</v>
      </c>
      <c r="C908" s="121" t="s">
        <v>1738</v>
      </c>
      <c r="D908" s="122">
        <v>4.0199999999999996</v>
      </c>
      <c r="E908" s="122">
        <v>0.03</v>
      </c>
    </row>
    <row r="909" spans="2:5" x14ac:dyDescent="0.2">
      <c r="B909" s="120" t="s">
        <v>1739</v>
      </c>
      <c r="C909" s="121" t="s">
        <v>1740</v>
      </c>
      <c r="D909" s="122">
        <v>6.5</v>
      </c>
      <c r="E909" s="122">
        <v>0.04</v>
      </c>
    </row>
    <row r="910" spans="2:5" x14ac:dyDescent="0.2">
      <c r="B910" s="120" t="s">
        <v>4179</v>
      </c>
      <c r="C910" s="121" t="s">
        <v>4180</v>
      </c>
      <c r="D910" s="122">
        <v>9.17</v>
      </c>
      <c r="E910" s="122">
        <v>-0.42</v>
      </c>
    </row>
    <row r="911" spans="2:5" x14ac:dyDescent="0.2">
      <c r="B911" s="120" t="s">
        <v>1741</v>
      </c>
      <c r="C911" s="121" t="s">
        <v>1742</v>
      </c>
      <c r="D911" s="122">
        <v>5.94</v>
      </c>
      <c r="E911" s="122">
        <v>0.06</v>
      </c>
    </row>
    <row r="912" spans="2:5" x14ac:dyDescent="0.2">
      <c r="B912" s="120" t="s">
        <v>4181</v>
      </c>
      <c r="C912" s="121" t="s">
        <v>4182</v>
      </c>
      <c r="D912" s="122">
        <v>30.82</v>
      </c>
      <c r="E912" s="122">
        <v>0.25</v>
      </c>
    </row>
    <row r="913" spans="2:5" x14ac:dyDescent="0.2">
      <c r="B913" s="120" t="s">
        <v>1743</v>
      </c>
      <c r="C913" s="121" t="s">
        <v>1744</v>
      </c>
      <c r="D913" s="122"/>
      <c r="E913" s="122"/>
    </row>
    <row r="914" spans="2:5" x14ac:dyDescent="0.2">
      <c r="B914" s="120" t="s">
        <v>1745</v>
      </c>
      <c r="C914" s="121" t="s">
        <v>1746</v>
      </c>
      <c r="D914" s="122">
        <v>12.72</v>
      </c>
      <c r="E914" s="122">
        <v>0.13</v>
      </c>
    </row>
    <row r="915" spans="2:5" x14ac:dyDescent="0.2">
      <c r="B915" s="120" t="s">
        <v>4183</v>
      </c>
      <c r="C915" s="121" t="s">
        <v>4184</v>
      </c>
      <c r="D915" s="122"/>
      <c r="E915" s="122"/>
    </row>
    <row r="916" spans="2:5" x14ac:dyDescent="0.2">
      <c r="B916" s="120" t="s">
        <v>4185</v>
      </c>
      <c r="C916" s="121" t="s">
        <v>4186</v>
      </c>
      <c r="D916" s="122"/>
      <c r="E916" s="122"/>
    </row>
    <row r="917" spans="2:5" x14ac:dyDescent="0.2">
      <c r="B917" s="120" t="s">
        <v>4187</v>
      </c>
      <c r="C917" s="121" t="s">
        <v>4188</v>
      </c>
      <c r="D917" s="122">
        <v>37.229999999999997</v>
      </c>
      <c r="E917" s="122">
        <v>0.32</v>
      </c>
    </row>
    <row r="918" spans="2:5" x14ac:dyDescent="0.2">
      <c r="B918" s="120" t="s">
        <v>1747</v>
      </c>
      <c r="C918" s="121" t="s">
        <v>1748</v>
      </c>
      <c r="D918" s="122">
        <v>29.56</v>
      </c>
      <c r="E918" s="122">
        <v>-0.06</v>
      </c>
    </row>
    <row r="919" spans="2:5" x14ac:dyDescent="0.2">
      <c r="B919" s="120" t="s">
        <v>1749</v>
      </c>
      <c r="C919" s="121" t="s">
        <v>1750</v>
      </c>
      <c r="D919" s="122">
        <v>-21.58</v>
      </c>
      <c r="E919" s="122">
        <v>-0.28000000000000003</v>
      </c>
    </row>
    <row r="920" spans="2:5" x14ac:dyDescent="0.2">
      <c r="B920" s="120" t="s">
        <v>4189</v>
      </c>
      <c r="C920" s="121" t="s">
        <v>4190</v>
      </c>
      <c r="D920" s="122"/>
      <c r="E920" s="122"/>
    </row>
    <row r="921" spans="2:5" x14ac:dyDescent="0.2">
      <c r="B921" s="120" t="s">
        <v>1751</v>
      </c>
      <c r="C921" s="121" t="s">
        <v>1752</v>
      </c>
      <c r="D921" s="122">
        <v>9.8699999999999992</v>
      </c>
      <c r="E921" s="122">
        <v>0.15</v>
      </c>
    </row>
    <row r="922" spans="2:5" x14ac:dyDescent="0.2">
      <c r="B922" s="120" t="s">
        <v>1753</v>
      </c>
      <c r="C922" s="121" t="s">
        <v>1754</v>
      </c>
      <c r="D922" s="122">
        <v>15.18</v>
      </c>
      <c r="E922" s="122">
        <v>0.04</v>
      </c>
    </row>
    <row r="923" spans="2:5" x14ac:dyDescent="0.2">
      <c r="B923" s="120" t="s">
        <v>4191</v>
      </c>
      <c r="C923" s="121" t="s">
        <v>4192</v>
      </c>
      <c r="D923" s="122"/>
      <c r="E923" s="122"/>
    </row>
    <row r="924" spans="2:5" x14ac:dyDescent="0.2">
      <c r="B924" s="120" t="s">
        <v>4193</v>
      </c>
      <c r="C924" s="121" t="s">
        <v>4194</v>
      </c>
      <c r="D924" s="122"/>
      <c r="E924" s="122"/>
    </row>
    <row r="925" spans="2:5" x14ac:dyDescent="0.2">
      <c r="B925" s="120" t="s">
        <v>4195</v>
      </c>
      <c r="C925" s="121" t="s">
        <v>4196</v>
      </c>
      <c r="D925" s="122">
        <v>9.61</v>
      </c>
      <c r="E925" s="122">
        <v>0.09</v>
      </c>
    </row>
    <row r="926" spans="2:5" x14ac:dyDescent="0.2">
      <c r="B926" s="120" t="s">
        <v>1755</v>
      </c>
      <c r="C926" s="121" t="s">
        <v>1756</v>
      </c>
      <c r="D926" s="122">
        <v>34.020000000000003</v>
      </c>
      <c r="E926" s="122">
        <v>0.27</v>
      </c>
    </row>
    <row r="927" spans="2:5" x14ac:dyDescent="0.2">
      <c r="B927" s="120" t="s">
        <v>1757</v>
      </c>
      <c r="C927" s="121" t="s">
        <v>1758</v>
      </c>
      <c r="D927" s="122">
        <v>8.57</v>
      </c>
      <c r="E927" s="122">
        <v>7.0000000000000007E-2</v>
      </c>
    </row>
    <row r="928" spans="2:5" x14ac:dyDescent="0.2">
      <c r="B928" s="120" t="s">
        <v>1759</v>
      </c>
      <c r="C928" s="121" t="s">
        <v>1760</v>
      </c>
      <c r="D928" s="122">
        <v>15.91</v>
      </c>
      <c r="E928" s="122">
        <v>0.11</v>
      </c>
    </row>
    <row r="929" spans="2:5" x14ac:dyDescent="0.2">
      <c r="B929" s="120" t="s">
        <v>1761</v>
      </c>
      <c r="C929" s="121" t="s">
        <v>1762</v>
      </c>
      <c r="D929" s="122">
        <v>12.64</v>
      </c>
      <c r="E929" s="122">
        <v>0.05</v>
      </c>
    </row>
    <row r="930" spans="2:5" x14ac:dyDescent="0.2">
      <c r="B930" s="120" t="s">
        <v>4197</v>
      </c>
      <c r="C930" s="121" t="s">
        <v>4198</v>
      </c>
      <c r="D930" s="122">
        <v>9.68</v>
      </c>
      <c r="E930" s="122">
        <v>0.12</v>
      </c>
    </row>
    <row r="931" spans="2:5" x14ac:dyDescent="0.2">
      <c r="B931" s="120" t="s">
        <v>1763</v>
      </c>
      <c r="C931" s="121" t="s">
        <v>1764</v>
      </c>
      <c r="D931" s="122">
        <v>41.13</v>
      </c>
      <c r="E931" s="122">
        <v>0.32</v>
      </c>
    </row>
    <row r="932" spans="2:5" x14ac:dyDescent="0.2">
      <c r="B932" s="120" t="s">
        <v>1765</v>
      </c>
      <c r="C932" s="121" t="s">
        <v>1766</v>
      </c>
      <c r="D932" s="122">
        <v>9.94</v>
      </c>
      <c r="E932" s="122">
        <v>0.22</v>
      </c>
    </row>
    <row r="933" spans="2:5" x14ac:dyDescent="0.2">
      <c r="B933" s="120" t="s">
        <v>1767</v>
      </c>
      <c r="C933" s="121" t="s">
        <v>1768</v>
      </c>
      <c r="D933" s="122">
        <v>13.05</v>
      </c>
      <c r="E933" s="122">
        <v>0.12</v>
      </c>
    </row>
    <row r="934" spans="2:5" x14ac:dyDescent="0.2">
      <c r="B934" s="120" t="s">
        <v>1769</v>
      </c>
      <c r="C934" s="121" t="s">
        <v>1770</v>
      </c>
      <c r="D934" s="122">
        <v>13.81</v>
      </c>
      <c r="E934" s="122">
        <v>0.02</v>
      </c>
    </row>
    <row r="935" spans="2:5" x14ac:dyDescent="0.2">
      <c r="B935" s="120" t="s">
        <v>1771</v>
      </c>
      <c r="C935" s="121" t="s">
        <v>1772</v>
      </c>
      <c r="D935" s="122">
        <v>16.16</v>
      </c>
      <c r="E935" s="122">
        <v>0.17</v>
      </c>
    </row>
    <row r="936" spans="2:5" x14ac:dyDescent="0.2">
      <c r="B936" s="120" t="s">
        <v>4199</v>
      </c>
      <c r="C936" s="121" t="s">
        <v>4200</v>
      </c>
      <c r="D936" s="122">
        <v>40.51</v>
      </c>
      <c r="E936" s="122">
        <v>0.28000000000000003</v>
      </c>
    </row>
    <row r="937" spans="2:5" x14ac:dyDescent="0.2">
      <c r="B937" s="120" t="s">
        <v>1773</v>
      </c>
      <c r="C937" s="121" t="s">
        <v>1774</v>
      </c>
      <c r="D937" s="122">
        <v>13.32</v>
      </c>
      <c r="E937" s="122">
        <v>0.13</v>
      </c>
    </row>
    <row r="938" spans="2:5" x14ac:dyDescent="0.2">
      <c r="B938" s="120" t="s">
        <v>4201</v>
      </c>
      <c r="C938" s="121" t="s">
        <v>4202</v>
      </c>
      <c r="D938" s="122"/>
      <c r="E938" s="122"/>
    </row>
    <row r="939" spans="2:5" x14ac:dyDescent="0.2">
      <c r="B939" s="120" t="s">
        <v>1775</v>
      </c>
      <c r="C939" s="121" t="s">
        <v>1776</v>
      </c>
      <c r="D939" s="122">
        <v>17.78</v>
      </c>
      <c r="E939" s="122">
        <v>0.17</v>
      </c>
    </row>
    <row r="940" spans="2:5" x14ac:dyDescent="0.2">
      <c r="B940" s="120" t="s">
        <v>4203</v>
      </c>
      <c r="C940" s="121" t="s">
        <v>4204</v>
      </c>
      <c r="D940" s="122"/>
      <c r="E940" s="122"/>
    </row>
    <row r="941" spans="2:5" x14ac:dyDescent="0.2">
      <c r="B941" s="120" t="s">
        <v>4205</v>
      </c>
      <c r="C941" s="121" t="s">
        <v>4206</v>
      </c>
      <c r="D941" s="122">
        <v>-13.87</v>
      </c>
      <c r="E941" s="122">
        <v>0.13</v>
      </c>
    </row>
    <row r="942" spans="2:5" x14ac:dyDescent="0.2">
      <c r="B942" s="120" t="s">
        <v>1777</v>
      </c>
      <c r="C942" s="121" t="s">
        <v>1778</v>
      </c>
      <c r="D942" s="122">
        <v>17.420000000000002</v>
      </c>
      <c r="E942" s="122">
        <v>0.17</v>
      </c>
    </row>
    <row r="943" spans="2:5" x14ac:dyDescent="0.2">
      <c r="B943" s="120" t="s">
        <v>1779</v>
      </c>
      <c r="C943" s="121" t="s">
        <v>1780</v>
      </c>
      <c r="D943" s="122">
        <v>12.47</v>
      </c>
      <c r="E943" s="122">
        <v>0.08</v>
      </c>
    </row>
    <row r="944" spans="2:5" x14ac:dyDescent="0.2">
      <c r="B944" s="120" t="s">
        <v>1781</v>
      </c>
      <c r="C944" s="121" t="s">
        <v>1782</v>
      </c>
      <c r="D944" s="122">
        <v>14.32</v>
      </c>
      <c r="E944" s="122">
        <v>0.14000000000000001</v>
      </c>
    </row>
    <row r="945" spans="2:5" x14ac:dyDescent="0.2">
      <c r="B945" s="120" t="s">
        <v>4207</v>
      </c>
      <c r="C945" s="121" t="s">
        <v>4208</v>
      </c>
      <c r="D945" s="122"/>
      <c r="E945" s="122"/>
    </row>
    <row r="946" spans="2:5" x14ac:dyDescent="0.2">
      <c r="B946" s="120" t="s">
        <v>4209</v>
      </c>
      <c r="C946" s="121" t="s">
        <v>4210</v>
      </c>
      <c r="D946" s="122"/>
      <c r="E946" s="122"/>
    </row>
    <row r="947" spans="2:5" x14ac:dyDescent="0.2">
      <c r="B947" s="120" t="s">
        <v>1783</v>
      </c>
      <c r="C947" s="121" t="s">
        <v>1784</v>
      </c>
      <c r="D947" s="122"/>
      <c r="E947" s="122">
        <v>0.18</v>
      </c>
    </row>
    <row r="948" spans="2:5" x14ac:dyDescent="0.2">
      <c r="B948" s="120" t="s">
        <v>1785</v>
      </c>
      <c r="C948" s="121" t="s">
        <v>1786</v>
      </c>
      <c r="D948" s="122">
        <v>2.44</v>
      </c>
      <c r="E948" s="122">
        <v>0.03</v>
      </c>
    </row>
    <row r="949" spans="2:5" x14ac:dyDescent="0.2">
      <c r="B949" s="120" t="s">
        <v>4211</v>
      </c>
      <c r="C949" s="121" t="s">
        <v>4212</v>
      </c>
      <c r="D949" s="122"/>
      <c r="E949" s="122"/>
    </row>
    <row r="950" spans="2:5" x14ac:dyDescent="0.2">
      <c r="B950" s="120" t="s">
        <v>4213</v>
      </c>
      <c r="C950" s="121" t="s">
        <v>4214</v>
      </c>
      <c r="D950" s="122"/>
      <c r="E950" s="122"/>
    </row>
    <row r="951" spans="2:5" x14ac:dyDescent="0.2">
      <c r="B951" s="120" t="s">
        <v>4215</v>
      </c>
      <c r="C951" s="121" t="s">
        <v>4216</v>
      </c>
      <c r="D951" s="122"/>
      <c r="E951" s="122"/>
    </row>
    <row r="952" spans="2:5" x14ac:dyDescent="0.2">
      <c r="B952" s="120" t="s">
        <v>4217</v>
      </c>
      <c r="C952" s="121" t="s">
        <v>4218</v>
      </c>
      <c r="D952" s="122"/>
      <c r="E952" s="122"/>
    </row>
    <row r="953" spans="2:5" x14ac:dyDescent="0.2">
      <c r="B953" s="120" t="s">
        <v>4219</v>
      </c>
      <c r="C953" s="121" t="s">
        <v>4220</v>
      </c>
      <c r="D953" s="122"/>
      <c r="E953" s="122"/>
    </row>
    <row r="954" spans="2:5" x14ac:dyDescent="0.2">
      <c r="B954" s="120" t="s">
        <v>4221</v>
      </c>
      <c r="C954" s="121" t="s">
        <v>4222</v>
      </c>
      <c r="D954" s="122"/>
      <c r="E954" s="122"/>
    </row>
    <row r="955" spans="2:5" x14ac:dyDescent="0.2">
      <c r="B955" s="120" t="s">
        <v>1787</v>
      </c>
      <c r="C955" s="121" t="s">
        <v>1788</v>
      </c>
      <c r="D955" s="122"/>
      <c r="E955" s="122">
        <v>0.1</v>
      </c>
    </row>
    <row r="956" spans="2:5" x14ac:dyDescent="0.2">
      <c r="B956" s="120" t="s">
        <v>1789</v>
      </c>
      <c r="C956" s="121" t="s">
        <v>1790</v>
      </c>
      <c r="D956" s="122">
        <v>25.28</v>
      </c>
      <c r="E956" s="122">
        <v>0.25</v>
      </c>
    </row>
    <row r="957" spans="2:5" x14ac:dyDescent="0.2">
      <c r="B957" s="120" t="s">
        <v>4223</v>
      </c>
      <c r="C957" s="121" t="s">
        <v>4224</v>
      </c>
      <c r="D957" s="122">
        <v>6.25</v>
      </c>
      <c r="E957" s="122">
        <v>0.08</v>
      </c>
    </row>
    <row r="958" spans="2:5" x14ac:dyDescent="0.2">
      <c r="B958" s="120" t="s">
        <v>1791</v>
      </c>
      <c r="C958" s="121" t="s">
        <v>1792</v>
      </c>
      <c r="D958" s="122"/>
      <c r="E958" s="122">
        <v>0.05</v>
      </c>
    </row>
    <row r="959" spans="2:5" x14ac:dyDescent="0.2">
      <c r="B959" s="120" t="s">
        <v>1793</v>
      </c>
      <c r="C959" s="121" t="s">
        <v>1794</v>
      </c>
      <c r="D959" s="122"/>
      <c r="E959" s="122"/>
    </row>
    <row r="960" spans="2:5" x14ac:dyDescent="0.2">
      <c r="B960" s="120" t="s">
        <v>1795</v>
      </c>
      <c r="C960" s="121" t="s">
        <v>1796</v>
      </c>
      <c r="D960" s="122">
        <v>-78995.34</v>
      </c>
      <c r="E960" s="122">
        <v>-127.01</v>
      </c>
    </row>
    <row r="961" spans="2:5" x14ac:dyDescent="0.2">
      <c r="B961" s="120" t="s">
        <v>1797</v>
      </c>
      <c r="C961" s="121" t="s">
        <v>1798</v>
      </c>
      <c r="D961" s="122">
        <v>7.51</v>
      </c>
      <c r="E961" s="122">
        <v>7.0000000000000007E-2</v>
      </c>
    </row>
    <row r="962" spans="2:5" x14ac:dyDescent="0.2">
      <c r="B962" s="120" t="s">
        <v>1799</v>
      </c>
      <c r="C962" s="121" t="s">
        <v>1800</v>
      </c>
      <c r="D962" s="122"/>
      <c r="E962" s="122">
        <v>0.03</v>
      </c>
    </row>
    <row r="963" spans="2:5" x14ac:dyDescent="0.2">
      <c r="B963" s="120" t="s">
        <v>1801</v>
      </c>
      <c r="C963" s="121" t="s">
        <v>1802</v>
      </c>
      <c r="D963" s="122">
        <v>24.24</v>
      </c>
      <c r="E963" s="122">
        <v>0.06</v>
      </c>
    </row>
    <row r="964" spans="2:5" x14ac:dyDescent="0.2">
      <c r="B964" s="120" t="s">
        <v>1803</v>
      </c>
      <c r="C964" s="121" t="s">
        <v>1804</v>
      </c>
      <c r="D964" s="122">
        <v>23.52</v>
      </c>
      <c r="E964" s="122">
        <v>0.14000000000000001</v>
      </c>
    </row>
    <row r="965" spans="2:5" x14ac:dyDescent="0.2">
      <c r="B965" s="120" t="s">
        <v>1805</v>
      </c>
      <c r="C965" s="121" t="s">
        <v>1806</v>
      </c>
      <c r="D965" s="122">
        <v>18.98</v>
      </c>
      <c r="E965" s="122">
        <v>0.19</v>
      </c>
    </row>
    <row r="966" spans="2:5" x14ac:dyDescent="0.2">
      <c r="B966" s="120" t="s">
        <v>1807</v>
      </c>
      <c r="C966" s="121" t="s">
        <v>1808</v>
      </c>
      <c r="D966" s="122">
        <v>24.8</v>
      </c>
      <c r="E966" s="122">
        <v>0.26</v>
      </c>
    </row>
    <row r="967" spans="2:5" x14ac:dyDescent="0.2">
      <c r="B967" s="120" t="s">
        <v>4225</v>
      </c>
      <c r="C967" s="121" t="s">
        <v>4226</v>
      </c>
      <c r="D967" s="122"/>
      <c r="E967" s="122">
        <v>7.0000000000000007E-2</v>
      </c>
    </row>
    <row r="968" spans="2:5" x14ac:dyDescent="0.2">
      <c r="B968" s="120" t="s">
        <v>1809</v>
      </c>
      <c r="C968" s="121" t="s">
        <v>1810</v>
      </c>
      <c r="D968" s="122">
        <v>7.84</v>
      </c>
      <c r="E968" s="122">
        <v>7.0000000000000007E-2</v>
      </c>
    </row>
    <row r="969" spans="2:5" x14ac:dyDescent="0.2">
      <c r="B969" s="120" t="s">
        <v>1811</v>
      </c>
      <c r="C969" s="121" t="s">
        <v>1812</v>
      </c>
      <c r="D969" s="122">
        <v>30.18</v>
      </c>
      <c r="E969" s="122">
        <v>0.3</v>
      </c>
    </row>
    <row r="970" spans="2:5" x14ac:dyDescent="0.2">
      <c r="B970" s="120" t="s">
        <v>1813</v>
      </c>
      <c r="C970" s="121" t="s">
        <v>1814</v>
      </c>
      <c r="D970" s="122">
        <v>26.27</v>
      </c>
      <c r="E970" s="122">
        <v>0.23</v>
      </c>
    </row>
    <row r="971" spans="2:5" x14ac:dyDescent="0.2">
      <c r="B971" s="120" t="s">
        <v>1815</v>
      </c>
      <c r="C971" s="121" t="s">
        <v>1816</v>
      </c>
      <c r="D971" s="122">
        <v>6.74</v>
      </c>
      <c r="E971" s="122">
        <v>0</v>
      </c>
    </row>
    <row r="972" spans="2:5" x14ac:dyDescent="0.2">
      <c r="B972" s="120" t="s">
        <v>4227</v>
      </c>
      <c r="C972" s="121" t="s">
        <v>4228</v>
      </c>
      <c r="D972" s="122">
        <v>5.73</v>
      </c>
      <c r="E972" s="122">
        <v>0.06</v>
      </c>
    </row>
    <row r="973" spans="2:5" x14ac:dyDescent="0.2">
      <c r="B973" s="120" t="s">
        <v>1817</v>
      </c>
      <c r="C973" s="121" t="s">
        <v>1818</v>
      </c>
      <c r="D973" s="122">
        <v>59.03</v>
      </c>
      <c r="E973" s="122">
        <v>0.46</v>
      </c>
    </row>
    <row r="974" spans="2:5" x14ac:dyDescent="0.2">
      <c r="B974" s="120" t="s">
        <v>1819</v>
      </c>
      <c r="C974" s="121" t="s">
        <v>1820</v>
      </c>
      <c r="D974" s="122">
        <v>9.57</v>
      </c>
      <c r="E974" s="122">
        <v>0.09</v>
      </c>
    </row>
    <row r="975" spans="2:5" x14ac:dyDescent="0.2">
      <c r="B975" s="120" t="s">
        <v>1821</v>
      </c>
      <c r="C975" s="121" t="s">
        <v>1822</v>
      </c>
      <c r="D975" s="122">
        <v>8.5299999999999994</v>
      </c>
      <c r="E975" s="122">
        <v>0.06</v>
      </c>
    </row>
    <row r="976" spans="2:5" x14ac:dyDescent="0.2">
      <c r="B976" s="120" t="s">
        <v>1823</v>
      </c>
      <c r="C976" s="121" t="s">
        <v>1824</v>
      </c>
      <c r="D976" s="122">
        <v>22.67</v>
      </c>
      <c r="E976" s="122">
        <v>0.28000000000000003</v>
      </c>
    </row>
    <row r="977" spans="2:5" x14ac:dyDescent="0.2">
      <c r="B977" s="120" t="s">
        <v>1825</v>
      </c>
      <c r="C977" s="121" t="s">
        <v>1826</v>
      </c>
      <c r="D977" s="122"/>
      <c r="E977" s="122">
        <v>0.17</v>
      </c>
    </row>
    <row r="978" spans="2:5" x14ac:dyDescent="0.2">
      <c r="B978" s="120" t="s">
        <v>4229</v>
      </c>
      <c r="C978" s="121" t="s">
        <v>4230</v>
      </c>
      <c r="D978" s="122">
        <v>12.5</v>
      </c>
      <c r="E978" s="122">
        <v>0.1</v>
      </c>
    </row>
    <row r="979" spans="2:5" x14ac:dyDescent="0.2">
      <c r="B979" s="120" t="s">
        <v>1827</v>
      </c>
      <c r="C979" s="121" t="s">
        <v>1828</v>
      </c>
      <c r="D979" s="122">
        <v>-38.28</v>
      </c>
      <c r="E979" s="122">
        <v>-0.37</v>
      </c>
    </row>
    <row r="980" spans="2:5" x14ac:dyDescent="0.2">
      <c r="B980" s="120" t="s">
        <v>1829</v>
      </c>
      <c r="C980" s="121" t="s">
        <v>1830</v>
      </c>
      <c r="D980" s="122">
        <v>11.36</v>
      </c>
      <c r="E980" s="122">
        <v>0.02</v>
      </c>
    </row>
    <row r="981" spans="2:5" x14ac:dyDescent="0.2">
      <c r="B981" s="120" t="s">
        <v>1831</v>
      </c>
      <c r="C981" s="121" t="s">
        <v>1832</v>
      </c>
      <c r="D981" s="122">
        <v>9.32</v>
      </c>
      <c r="E981" s="122">
        <v>0.09</v>
      </c>
    </row>
    <row r="982" spans="2:5" x14ac:dyDescent="0.2">
      <c r="B982" s="120" t="s">
        <v>1835</v>
      </c>
      <c r="C982" s="121" t="s">
        <v>1836</v>
      </c>
      <c r="D982" s="122">
        <v>8.39</v>
      </c>
      <c r="E982" s="122">
        <v>0.09</v>
      </c>
    </row>
    <row r="983" spans="2:5" x14ac:dyDescent="0.2">
      <c r="B983" s="120" t="s">
        <v>1837</v>
      </c>
      <c r="C983" s="121" t="s">
        <v>1838</v>
      </c>
      <c r="D983" s="122">
        <v>31.56</v>
      </c>
      <c r="E983" s="122">
        <v>0.21</v>
      </c>
    </row>
    <row r="984" spans="2:5" x14ac:dyDescent="0.2">
      <c r="B984" s="120" t="s">
        <v>1839</v>
      </c>
      <c r="C984" s="121" t="s">
        <v>1840</v>
      </c>
      <c r="D984" s="122"/>
      <c r="E984" s="122"/>
    </row>
    <row r="985" spans="2:5" x14ac:dyDescent="0.2">
      <c r="B985" s="120" t="s">
        <v>1841</v>
      </c>
      <c r="C985" s="121" t="s">
        <v>1842</v>
      </c>
      <c r="D985" s="122">
        <v>34.4</v>
      </c>
      <c r="E985" s="122">
        <v>0.3</v>
      </c>
    </row>
    <row r="986" spans="2:5" x14ac:dyDescent="0.2">
      <c r="B986" s="120" t="s">
        <v>4231</v>
      </c>
      <c r="C986" s="121" t="s">
        <v>4232</v>
      </c>
      <c r="D986" s="122">
        <v>4.8</v>
      </c>
      <c r="E986" s="122">
        <v>0.05</v>
      </c>
    </row>
    <row r="987" spans="2:5" x14ac:dyDescent="0.2">
      <c r="B987" s="120" t="s">
        <v>1843</v>
      </c>
      <c r="C987" s="121" t="s">
        <v>1844</v>
      </c>
      <c r="D987" s="122">
        <v>9.1999999999999993</v>
      </c>
      <c r="E987" s="122">
        <v>0.03</v>
      </c>
    </row>
    <row r="988" spans="2:5" x14ac:dyDescent="0.2">
      <c r="B988" s="120" t="s">
        <v>4233</v>
      </c>
      <c r="C988" s="121" t="s">
        <v>4234</v>
      </c>
      <c r="D988" s="122">
        <v>13.41</v>
      </c>
      <c r="E988" s="122">
        <v>0.09</v>
      </c>
    </row>
    <row r="989" spans="2:5" x14ac:dyDescent="0.2">
      <c r="B989" s="120" t="s">
        <v>4235</v>
      </c>
      <c r="C989" s="121" t="s">
        <v>4236</v>
      </c>
      <c r="D989" s="122">
        <v>4.01</v>
      </c>
      <c r="E989" s="122">
        <v>0.04</v>
      </c>
    </row>
    <row r="990" spans="2:5" x14ac:dyDescent="0.2">
      <c r="B990" s="120" t="s">
        <v>1845</v>
      </c>
      <c r="C990" s="121" t="s">
        <v>1846</v>
      </c>
      <c r="D990" s="122">
        <v>5.86</v>
      </c>
      <c r="E990" s="122">
        <v>-0.04</v>
      </c>
    </row>
    <row r="991" spans="2:5" x14ac:dyDescent="0.2">
      <c r="B991" s="120" t="s">
        <v>1847</v>
      </c>
      <c r="C991" s="121" t="s">
        <v>1848</v>
      </c>
      <c r="D991" s="122">
        <v>11.15</v>
      </c>
      <c r="E991" s="122">
        <v>0.12</v>
      </c>
    </row>
    <row r="992" spans="2:5" x14ac:dyDescent="0.2">
      <c r="B992" s="120" t="s">
        <v>1849</v>
      </c>
      <c r="C992" s="121" t="s">
        <v>1850</v>
      </c>
      <c r="D992" s="122">
        <v>16.18</v>
      </c>
      <c r="E992" s="122">
        <v>0.15</v>
      </c>
    </row>
    <row r="993" spans="2:5" x14ac:dyDescent="0.2">
      <c r="B993" s="120" t="s">
        <v>4237</v>
      </c>
      <c r="C993" s="121" t="s">
        <v>4238</v>
      </c>
      <c r="D993" s="122"/>
      <c r="E993" s="122">
        <v>0.15</v>
      </c>
    </row>
    <row r="994" spans="2:5" x14ac:dyDescent="0.2">
      <c r="B994" s="120" t="s">
        <v>1851</v>
      </c>
      <c r="C994" s="121" t="s">
        <v>1852</v>
      </c>
      <c r="D994" s="122">
        <v>17.38</v>
      </c>
      <c r="E994" s="122">
        <v>0.17</v>
      </c>
    </row>
    <row r="995" spans="2:5" x14ac:dyDescent="0.2">
      <c r="B995" s="120" t="s">
        <v>4239</v>
      </c>
      <c r="C995" s="121" t="s">
        <v>4240</v>
      </c>
      <c r="D995" s="122"/>
      <c r="E995" s="122"/>
    </row>
    <row r="996" spans="2:5" x14ac:dyDescent="0.2">
      <c r="B996" s="120" t="s">
        <v>1853</v>
      </c>
      <c r="C996" s="121" t="s">
        <v>1854</v>
      </c>
      <c r="D996" s="122">
        <v>18.3</v>
      </c>
      <c r="E996" s="122">
        <v>0.17</v>
      </c>
    </row>
    <row r="997" spans="2:5" x14ac:dyDescent="0.2">
      <c r="B997" s="120" t="s">
        <v>4241</v>
      </c>
      <c r="C997" s="121" t="s">
        <v>4242</v>
      </c>
      <c r="D997" s="122"/>
      <c r="E997" s="122"/>
    </row>
    <row r="998" spans="2:5" x14ac:dyDescent="0.2">
      <c r="B998" s="120" t="s">
        <v>4243</v>
      </c>
      <c r="C998" s="121" t="s">
        <v>4244</v>
      </c>
      <c r="D998" s="122"/>
      <c r="E998" s="122"/>
    </row>
    <row r="999" spans="2:5" x14ac:dyDescent="0.2">
      <c r="B999" s="120" t="s">
        <v>4245</v>
      </c>
      <c r="C999" s="121" t="s">
        <v>4246</v>
      </c>
      <c r="D999" s="122"/>
      <c r="E999" s="122"/>
    </row>
    <row r="1000" spans="2:5" x14ac:dyDescent="0.2">
      <c r="B1000" s="120" t="s">
        <v>4247</v>
      </c>
      <c r="C1000" s="121" t="s">
        <v>4248</v>
      </c>
      <c r="D1000" s="122"/>
      <c r="E1000" s="122"/>
    </row>
    <row r="1001" spans="2:5" x14ac:dyDescent="0.2">
      <c r="B1001" s="120" t="s">
        <v>4249</v>
      </c>
      <c r="C1001" s="121" t="s">
        <v>4250</v>
      </c>
      <c r="D1001" s="122"/>
      <c r="E1001" s="122"/>
    </row>
    <row r="1002" spans="2:5" x14ac:dyDescent="0.2">
      <c r="B1002" s="120" t="s">
        <v>4251</v>
      </c>
      <c r="C1002" s="121" t="s">
        <v>4252</v>
      </c>
      <c r="D1002" s="122"/>
      <c r="E1002" s="122"/>
    </row>
    <row r="1003" spans="2:5" x14ac:dyDescent="0.2">
      <c r="B1003" s="120" t="s">
        <v>4253</v>
      </c>
      <c r="C1003" s="121" t="s">
        <v>4254</v>
      </c>
      <c r="D1003" s="122"/>
      <c r="E1003" s="122"/>
    </row>
    <row r="1004" spans="2:5" x14ac:dyDescent="0.2">
      <c r="B1004" s="120" t="s">
        <v>4255</v>
      </c>
      <c r="C1004" s="121" t="s">
        <v>4256</v>
      </c>
      <c r="D1004" s="122"/>
      <c r="E1004" s="122"/>
    </row>
    <row r="1005" spans="2:5" x14ac:dyDescent="0.2">
      <c r="B1005" s="120" t="s">
        <v>1855</v>
      </c>
      <c r="C1005" s="121" t="s">
        <v>1856</v>
      </c>
      <c r="D1005" s="122">
        <v>13.21</v>
      </c>
      <c r="E1005" s="122">
        <v>0.13</v>
      </c>
    </row>
    <row r="1006" spans="2:5" x14ac:dyDescent="0.2">
      <c r="B1006" s="120" t="s">
        <v>4257</v>
      </c>
      <c r="C1006" s="121" t="s">
        <v>4258</v>
      </c>
      <c r="D1006" s="122"/>
      <c r="E1006" s="122"/>
    </row>
    <row r="1007" spans="2:5" x14ac:dyDescent="0.2">
      <c r="B1007" s="120" t="s">
        <v>4259</v>
      </c>
      <c r="C1007" s="121" t="s">
        <v>4260</v>
      </c>
      <c r="D1007" s="122"/>
      <c r="E1007" s="122"/>
    </row>
    <row r="1008" spans="2:5" x14ac:dyDescent="0.2">
      <c r="B1008" s="120" t="s">
        <v>1857</v>
      </c>
      <c r="C1008" s="121" t="s">
        <v>1858</v>
      </c>
      <c r="D1008" s="122">
        <v>18.3</v>
      </c>
      <c r="E1008" s="122">
        <v>0.17</v>
      </c>
    </row>
    <row r="1009" spans="2:5" x14ac:dyDescent="0.2">
      <c r="B1009" s="120" t="s">
        <v>4261</v>
      </c>
      <c r="C1009" s="121" t="s">
        <v>4262</v>
      </c>
      <c r="D1009" s="122">
        <v>19.75</v>
      </c>
      <c r="E1009" s="122">
        <v>0.1</v>
      </c>
    </row>
    <row r="1010" spans="2:5" x14ac:dyDescent="0.2">
      <c r="B1010" s="120" t="s">
        <v>1859</v>
      </c>
      <c r="C1010" s="121" t="s">
        <v>1860</v>
      </c>
      <c r="D1010" s="122">
        <v>44.63</v>
      </c>
      <c r="E1010" s="122">
        <v>0.24</v>
      </c>
    </row>
    <row r="1011" spans="2:5" x14ac:dyDescent="0.2">
      <c r="B1011" s="120" t="s">
        <v>1861</v>
      </c>
      <c r="C1011" s="121" t="s">
        <v>1862</v>
      </c>
      <c r="D1011" s="122">
        <v>7.12</v>
      </c>
      <c r="E1011" s="122">
        <v>0.06</v>
      </c>
    </row>
    <row r="1012" spans="2:5" x14ac:dyDescent="0.2">
      <c r="B1012" s="120" t="s">
        <v>1863</v>
      </c>
      <c r="C1012" s="121" t="s">
        <v>1864</v>
      </c>
      <c r="D1012" s="122">
        <v>7.04</v>
      </c>
      <c r="E1012" s="122">
        <v>0.06</v>
      </c>
    </row>
    <row r="1013" spans="2:5" x14ac:dyDescent="0.2">
      <c r="B1013" s="120" t="s">
        <v>1865</v>
      </c>
      <c r="C1013" s="121" t="s">
        <v>1866</v>
      </c>
      <c r="D1013" s="122">
        <v>1.85</v>
      </c>
      <c r="E1013" s="122"/>
    </row>
    <row r="1014" spans="2:5" x14ac:dyDescent="0.2">
      <c r="B1014" s="120" t="s">
        <v>1867</v>
      </c>
      <c r="C1014" s="121" t="s">
        <v>1868</v>
      </c>
      <c r="D1014" s="122">
        <v>6.54</v>
      </c>
      <c r="E1014" s="122">
        <v>0.02</v>
      </c>
    </row>
    <row r="1015" spans="2:5" x14ac:dyDescent="0.2">
      <c r="B1015" s="120" t="s">
        <v>4263</v>
      </c>
      <c r="C1015" s="121" t="s">
        <v>4264</v>
      </c>
      <c r="D1015" s="122">
        <v>0.28000000000000003</v>
      </c>
      <c r="E1015" s="122">
        <v>0</v>
      </c>
    </row>
    <row r="1016" spans="2:5" x14ac:dyDescent="0.2">
      <c r="B1016" s="120" t="s">
        <v>1869</v>
      </c>
      <c r="C1016" s="121" t="s">
        <v>1870</v>
      </c>
      <c r="D1016" s="122">
        <v>8.14</v>
      </c>
      <c r="E1016" s="122">
        <v>0.05</v>
      </c>
    </row>
    <row r="1017" spans="2:5" x14ac:dyDescent="0.2">
      <c r="B1017" s="120" t="s">
        <v>4265</v>
      </c>
      <c r="C1017" s="121" t="s">
        <v>4266</v>
      </c>
      <c r="D1017" s="122"/>
      <c r="E1017" s="122">
        <v>7.0000000000000007E-2</v>
      </c>
    </row>
    <row r="1018" spans="2:5" x14ac:dyDescent="0.2">
      <c r="B1018" s="120" t="s">
        <v>1871</v>
      </c>
      <c r="C1018" s="121" t="s">
        <v>1872</v>
      </c>
      <c r="D1018" s="122">
        <v>7.49</v>
      </c>
      <c r="E1018" s="122">
        <v>7.0000000000000007E-2</v>
      </c>
    </row>
    <row r="1019" spans="2:5" x14ac:dyDescent="0.2">
      <c r="B1019" s="120" t="s">
        <v>1873</v>
      </c>
      <c r="C1019" s="121" t="s">
        <v>1874</v>
      </c>
      <c r="D1019" s="122">
        <v>25.77</v>
      </c>
      <c r="E1019" s="122">
        <v>0.11</v>
      </c>
    </row>
    <row r="1020" spans="2:5" x14ac:dyDescent="0.2">
      <c r="B1020" s="120" t="s">
        <v>1875</v>
      </c>
      <c r="C1020" s="121" t="s">
        <v>1876</v>
      </c>
      <c r="D1020" s="122">
        <v>1.73</v>
      </c>
      <c r="E1020" s="122">
        <v>-0.01</v>
      </c>
    </row>
    <row r="1021" spans="2:5" x14ac:dyDescent="0.2">
      <c r="B1021" s="120" t="s">
        <v>1877</v>
      </c>
      <c r="C1021" s="121" t="s">
        <v>1878</v>
      </c>
      <c r="D1021" s="122">
        <v>4.83</v>
      </c>
      <c r="E1021" s="122">
        <v>0.01</v>
      </c>
    </row>
    <row r="1022" spans="2:5" x14ac:dyDescent="0.2">
      <c r="B1022" s="120" t="s">
        <v>4267</v>
      </c>
      <c r="C1022" s="121" t="s">
        <v>4268</v>
      </c>
      <c r="D1022" s="122"/>
      <c r="E1022" s="122">
        <v>0.2</v>
      </c>
    </row>
    <row r="1023" spans="2:5" x14ac:dyDescent="0.2">
      <c r="B1023" s="120" t="s">
        <v>4269</v>
      </c>
      <c r="C1023" s="121" t="s">
        <v>4270</v>
      </c>
      <c r="D1023" s="122"/>
      <c r="E1023" s="122"/>
    </row>
    <row r="1024" spans="2:5" x14ac:dyDescent="0.2">
      <c r="B1024" s="120" t="s">
        <v>1879</v>
      </c>
      <c r="C1024" s="121" t="s">
        <v>1880</v>
      </c>
      <c r="D1024" s="122">
        <v>4.21</v>
      </c>
      <c r="E1024" s="122"/>
    </row>
    <row r="1025" spans="2:5" x14ac:dyDescent="0.2">
      <c r="B1025" s="120" t="s">
        <v>1881</v>
      </c>
      <c r="C1025" s="121" t="s">
        <v>1882</v>
      </c>
      <c r="D1025" s="122">
        <v>22.24</v>
      </c>
      <c r="E1025" s="122">
        <v>0.23</v>
      </c>
    </row>
    <row r="1026" spans="2:5" x14ac:dyDescent="0.2">
      <c r="B1026" s="120" t="s">
        <v>4271</v>
      </c>
      <c r="C1026" s="121" t="s">
        <v>4272</v>
      </c>
      <c r="D1026" s="122">
        <v>9.36</v>
      </c>
      <c r="E1026" s="122">
        <v>0.09</v>
      </c>
    </row>
    <row r="1027" spans="2:5" x14ac:dyDescent="0.2">
      <c r="B1027" s="120" t="s">
        <v>1883</v>
      </c>
      <c r="C1027" s="121" t="s">
        <v>1884</v>
      </c>
      <c r="D1027" s="122">
        <v>7.74</v>
      </c>
      <c r="E1027" s="122">
        <v>0.09</v>
      </c>
    </row>
    <row r="1028" spans="2:5" x14ac:dyDescent="0.2">
      <c r="B1028" s="120" t="s">
        <v>1885</v>
      </c>
      <c r="C1028" s="121" t="s">
        <v>1886</v>
      </c>
      <c r="D1028" s="122">
        <v>17.510000000000002</v>
      </c>
      <c r="E1028" s="122">
        <v>0.18</v>
      </c>
    </row>
    <row r="1029" spans="2:5" x14ac:dyDescent="0.2">
      <c r="B1029" s="120" t="s">
        <v>1887</v>
      </c>
      <c r="C1029" s="121" t="s">
        <v>1888</v>
      </c>
      <c r="D1029" s="122">
        <v>3.49</v>
      </c>
      <c r="E1029" s="122">
        <v>0.03</v>
      </c>
    </row>
    <row r="1030" spans="2:5" x14ac:dyDescent="0.2">
      <c r="B1030" s="120" t="s">
        <v>4273</v>
      </c>
      <c r="C1030" s="121" t="s">
        <v>4274</v>
      </c>
      <c r="D1030" s="122"/>
      <c r="E1030" s="122">
        <v>0.04</v>
      </c>
    </row>
    <row r="1031" spans="2:5" x14ac:dyDescent="0.2">
      <c r="B1031" s="120" t="s">
        <v>1889</v>
      </c>
      <c r="C1031" s="121" t="s">
        <v>1890</v>
      </c>
      <c r="D1031" s="122"/>
      <c r="E1031" s="122">
        <v>0.04</v>
      </c>
    </row>
    <row r="1032" spans="2:5" x14ac:dyDescent="0.2">
      <c r="B1032" s="120" t="s">
        <v>1891</v>
      </c>
      <c r="C1032" s="121" t="s">
        <v>1892</v>
      </c>
      <c r="D1032" s="122">
        <v>28.99</v>
      </c>
      <c r="E1032" s="122">
        <v>0.19</v>
      </c>
    </row>
    <row r="1033" spans="2:5" x14ac:dyDescent="0.2">
      <c r="B1033" s="120" t="s">
        <v>4275</v>
      </c>
      <c r="C1033" s="121" t="s">
        <v>4276</v>
      </c>
      <c r="D1033" s="122"/>
      <c r="E1033" s="122"/>
    </row>
    <row r="1034" spans="2:5" x14ac:dyDescent="0.2">
      <c r="B1034" s="120" t="s">
        <v>1893</v>
      </c>
      <c r="C1034" s="121" t="s">
        <v>1894</v>
      </c>
      <c r="D1034" s="122">
        <v>14.08</v>
      </c>
      <c r="E1034" s="122">
        <v>0.12</v>
      </c>
    </row>
    <row r="1035" spans="2:5" x14ac:dyDescent="0.2">
      <c r="B1035" s="120" t="s">
        <v>4277</v>
      </c>
      <c r="C1035" s="121" t="s">
        <v>4278</v>
      </c>
      <c r="D1035" s="122">
        <v>38.44</v>
      </c>
      <c r="E1035" s="122">
        <v>0.33</v>
      </c>
    </row>
    <row r="1036" spans="2:5" x14ac:dyDescent="0.2">
      <c r="B1036" s="120" t="s">
        <v>1895</v>
      </c>
      <c r="C1036" s="121" t="s">
        <v>1896</v>
      </c>
      <c r="D1036" s="122">
        <v>30.1</v>
      </c>
      <c r="E1036" s="122">
        <v>0.25</v>
      </c>
    </row>
    <row r="1037" spans="2:5" x14ac:dyDescent="0.2">
      <c r="B1037" s="120" t="s">
        <v>1897</v>
      </c>
      <c r="C1037" s="121" t="s">
        <v>1898</v>
      </c>
      <c r="D1037" s="122">
        <v>2.19</v>
      </c>
      <c r="E1037" s="122">
        <v>0.02</v>
      </c>
    </row>
    <row r="1038" spans="2:5" x14ac:dyDescent="0.2">
      <c r="B1038" s="120" t="s">
        <v>1899</v>
      </c>
      <c r="C1038" s="121" t="s">
        <v>1900</v>
      </c>
      <c r="D1038" s="122"/>
      <c r="E1038" s="122">
        <v>0.01</v>
      </c>
    </row>
    <row r="1039" spans="2:5" x14ac:dyDescent="0.2">
      <c r="B1039" s="120" t="s">
        <v>1901</v>
      </c>
      <c r="C1039" s="121" t="s">
        <v>1902</v>
      </c>
      <c r="D1039" s="122">
        <v>5.95</v>
      </c>
      <c r="E1039" s="122">
        <v>0.06</v>
      </c>
    </row>
    <row r="1040" spans="2:5" x14ac:dyDescent="0.2">
      <c r="B1040" s="120" t="s">
        <v>4279</v>
      </c>
      <c r="C1040" s="121" t="s">
        <v>4280</v>
      </c>
      <c r="D1040" s="122"/>
      <c r="E1040" s="122">
        <v>0.05</v>
      </c>
    </row>
    <row r="1041" spans="2:5" x14ac:dyDescent="0.2">
      <c r="B1041" s="120" t="s">
        <v>1903</v>
      </c>
      <c r="C1041" s="121" t="s">
        <v>1904</v>
      </c>
      <c r="D1041" s="122">
        <v>3.48</v>
      </c>
      <c r="E1041" s="122">
        <v>0.04</v>
      </c>
    </row>
    <row r="1042" spans="2:5" x14ac:dyDescent="0.2">
      <c r="B1042" s="120" t="s">
        <v>1905</v>
      </c>
      <c r="C1042" s="121" t="s">
        <v>1906</v>
      </c>
      <c r="D1042" s="122">
        <v>9.9600000000000009</v>
      </c>
      <c r="E1042" s="122">
        <v>0.1</v>
      </c>
    </row>
    <row r="1043" spans="2:5" x14ac:dyDescent="0.2">
      <c r="B1043" s="120" t="s">
        <v>1907</v>
      </c>
      <c r="C1043" s="121" t="s">
        <v>1908</v>
      </c>
      <c r="D1043" s="122">
        <v>8.6199999999999992</v>
      </c>
      <c r="E1043" s="122">
        <v>0.09</v>
      </c>
    </row>
    <row r="1044" spans="2:5" x14ac:dyDescent="0.2">
      <c r="B1044" s="120" t="s">
        <v>1909</v>
      </c>
      <c r="C1044" s="121" t="s">
        <v>1910</v>
      </c>
      <c r="D1044" s="122">
        <v>26.31</v>
      </c>
      <c r="E1044" s="122">
        <v>0.19</v>
      </c>
    </row>
    <row r="1045" spans="2:5" x14ac:dyDescent="0.2">
      <c r="B1045" s="120" t="s">
        <v>1911</v>
      </c>
      <c r="C1045" s="121" t="s">
        <v>1912</v>
      </c>
      <c r="D1045" s="122">
        <v>35.06</v>
      </c>
      <c r="E1045" s="122">
        <v>0.26</v>
      </c>
    </row>
    <row r="1046" spans="2:5" x14ac:dyDescent="0.2">
      <c r="B1046" s="120" t="s">
        <v>1913</v>
      </c>
      <c r="C1046" s="121" t="s">
        <v>1914</v>
      </c>
      <c r="D1046" s="122">
        <v>4.26</v>
      </c>
      <c r="E1046" s="122">
        <v>0.06</v>
      </c>
    </row>
    <row r="1047" spans="2:5" x14ac:dyDescent="0.2">
      <c r="B1047" s="120" t="s">
        <v>4281</v>
      </c>
      <c r="C1047" s="121" t="s">
        <v>4282</v>
      </c>
      <c r="D1047" s="122">
        <v>9.99</v>
      </c>
      <c r="E1047" s="122">
        <v>0.1</v>
      </c>
    </row>
    <row r="1048" spans="2:5" x14ac:dyDescent="0.2">
      <c r="B1048" s="120" t="s">
        <v>4283</v>
      </c>
      <c r="C1048" s="121" t="s">
        <v>4284</v>
      </c>
      <c r="D1048" s="122">
        <v>11.61</v>
      </c>
      <c r="E1048" s="122"/>
    </row>
    <row r="1049" spans="2:5" x14ac:dyDescent="0.2">
      <c r="B1049" s="120" t="s">
        <v>1915</v>
      </c>
      <c r="C1049" s="121" t="s">
        <v>1916</v>
      </c>
      <c r="D1049" s="122">
        <v>14.71</v>
      </c>
      <c r="E1049" s="122">
        <v>0.08</v>
      </c>
    </row>
    <row r="1050" spans="2:5" x14ac:dyDescent="0.2">
      <c r="B1050" s="120" t="s">
        <v>1917</v>
      </c>
      <c r="C1050" s="121" t="s">
        <v>1918</v>
      </c>
      <c r="D1050" s="122">
        <v>-2.0699999999999998</v>
      </c>
      <c r="E1050" s="122">
        <v>-0.02</v>
      </c>
    </row>
    <row r="1051" spans="2:5" x14ac:dyDescent="0.2">
      <c r="B1051" s="120" t="s">
        <v>1919</v>
      </c>
      <c r="C1051" s="121" t="s">
        <v>1920</v>
      </c>
      <c r="D1051" s="122">
        <v>6.06</v>
      </c>
      <c r="E1051" s="122">
        <v>0.03</v>
      </c>
    </row>
    <row r="1052" spans="2:5" x14ac:dyDescent="0.2">
      <c r="B1052" s="120" t="s">
        <v>1921</v>
      </c>
      <c r="C1052" s="121" t="s">
        <v>1922</v>
      </c>
      <c r="D1052" s="122">
        <v>28.97</v>
      </c>
      <c r="E1052" s="122">
        <v>0.25</v>
      </c>
    </row>
    <row r="1053" spans="2:5" x14ac:dyDescent="0.2">
      <c r="B1053" s="120" t="s">
        <v>1923</v>
      </c>
      <c r="C1053" s="121" t="s">
        <v>1924</v>
      </c>
      <c r="D1053" s="122">
        <v>19.899999999999999</v>
      </c>
      <c r="E1053" s="122">
        <v>0.04</v>
      </c>
    </row>
    <row r="1054" spans="2:5" x14ac:dyDescent="0.2">
      <c r="B1054" s="120" t="s">
        <v>1925</v>
      </c>
      <c r="C1054" s="121" t="s">
        <v>1926</v>
      </c>
      <c r="D1054" s="122">
        <v>4.05</v>
      </c>
      <c r="E1054" s="122">
        <v>-0.01</v>
      </c>
    </row>
    <row r="1055" spans="2:5" x14ac:dyDescent="0.2">
      <c r="B1055" s="120" t="s">
        <v>1927</v>
      </c>
      <c r="C1055" s="121" t="s">
        <v>1928</v>
      </c>
      <c r="D1055" s="122"/>
      <c r="E1055" s="122">
        <v>0.15</v>
      </c>
    </row>
    <row r="1056" spans="2:5" x14ac:dyDescent="0.2">
      <c r="B1056" s="120" t="s">
        <v>1929</v>
      </c>
      <c r="C1056" s="121" t="s">
        <v>1930</v>
      </c>
      <c r="D1056" s="122"/>
      <c r="E1056" s="122">
        <v>0.02</v>
      </c>
    </row>
    <row r="1057" spans="2:5" x14ac:dyDescent="0.2">
      <c r="B1057" s="120" t="s">
        <v>1931</v>
      </c>
      <c r="C1057" s="121" t="s">
        <v>1932</v>
      </c>
      <c r="D1057" s="122">
        <v>13.05</v>
      </c>
      <c r="E1057" s="122">
        <v>-0.39</v>
      </c>
    </row>
    <row r="1058" spans="2:5" x14ac:dyDescent="0.2">
      <c r="B1058" s="120" t="s">
        <v>1933</v>
      </c>
      <c r="C1058" s="121" t="s">
        <v>1934</v>
      </c>
      <c r="D1058" s="122">
        <v>3.59</v>
      </c>
      <c r="E1058" s="122">
        <v>0.04</v>
      </c>
    </row>
    <row r="1059" spans="2:5" x14ac:dyDescent="0.2">
      <c r="B1059" s="120" t="s">
        <v>1935</v>
      </c>
      <c r="C1059" s="121" t="s">
        <v>1936</v>
      </c>
      <c r="D1059" s="122">
        <v>5.14</v>
      </c>
      <c r="E1059" s="122">
        <v>0.05</v>
      </c>
    </row>
    <row r="1060" spans="2:5" x14ac:dyDescent="0.2">
      <c r="B1060" s="120" t="s">
        <v>4285</v>
      </c>
      <c r="C1060" s="121" t="s">
        <v>4286</v>
      </c>
      <c r="D1060" s="122">
        <v>34.08</v>
      </c>
      <c r="E1060" s="122">
        <v>0.43</v>
      </c>
    </row>
    <row r="1061" spans="2:5" x14ac:dyDescent="0.2">
      <c r="B1061" s="120" t="s">
        <v>4287</v>
      </c>
      <c r="C1061" s="121" t="s">
        <v>4288</v>
      </c>
      <c r="D1061" s="122"/>
      <c r="E1061" s="122">
        <v>0.21</v>
      </c>
    </row>
    <row r="1062" spans="2:5" x14ac:dyDescent="0.2">
      <c r="B1062" s="120" t="s">
        <v>1937</v>
      </c>
      <c r="C1062" s="121" t="s">
        <v>1938</v>
      </c>
      <c r="D1062" s="122"/>
      <c r="E1062" s="122"/>
    </row>
    <row r="1063" spans="2:5" x14ac:dyDescent="0.2">
      <c r="B1063" s="120" t="s">
        <v>1937</v>
      </c>
      <c r="C1063" s="121" t="s">
        <v>4289</v>
      </c>
      <c r="D1063" s="122"/>
      <c r="E1063" s="122">
        <v>0.05</v>
      </c>
    </row>
    <row r="1064" spans="2:5" x14ac:dyDescent="0.2">
      <c r="B1064" s="120" t="s">
        <v>1939</v>
      </c>
      <c r="C1064" s="121" t="s">
        <v>1940</v>
      </c>
      <c r="D1064" s="122">
        <v>69.78</v>
      </c>
      <c r="E1064" s="122">
        <v>0.47</v>
      </c>
    </row>
    <row r="1065" spans="2:5" x14ac:dyDescent="0.2">
      <c r="B1065" s="120" t="s">
        <v>1941</v>
      </c>
      <c r="C1065" s="121" t="s">
        <v>1942</v>
      </c>
      <c r="D1065" s="122">
        <v>35.61</v>
      </c>
      <c r="E1065" s="122">
        <v>0.3</v>
      </c>
    </row>
    <row r="1066" spans="2:5" x14ac:dyDescent="0.2">
      <c r="B1066" s="120" t="s">
        <v>1943</v>
      </c>
      <c r="C1066" s="121" t="s">
        <v>1944</v>
      </c>
      <c r="D1066" s="122">
        <v>29.07</v>
      </c>
      <c r="E1066" s="122">
        <v>0.26</v>
      </c>
    </row>
    <row r="1067" spans="2:5" x14ac:dyDescent="0.2">
      <c r="B1067" s="120" t="s">
        <v>4290</v>
      </c>
      <c r="C1067" s="121" t="s">
        <v>4291</v>
      </c>
      <c r="D1067" s="122">
        <v>-2.42</v>
      </c>
      <c r="E1067" s="122">
        <v>0.01</v>
      </c>
    </row>
    <row r="1068" spans="2:5" x14ac:dyDescent="0.2">
      <c r="B1068" s="120" t="s">
        <v>1945</v>
      </c>
      <c r="C1068" s="121" t="s">
        <v>1946</v>
      </c>
      <c r="D1068" s="122"/>
      <c r="E1068" s="122">
        <v>0.75</v>
      </c>
    </row>
    <row r="1069" spans="2:5" x14ac:dyDescent="0.2">
      <c r="B1069" s="120" t="s">
        <v>1947</v>
      </c>
      <c r="C1069" s="121" t="s">
        <v>1948</v>
      </c>
      <c r="D1069" s="122"/>
      <c r="E1069" s="122">
        <v>0.05</v>
      </c>
    </row>
    <row r="1070" spans="2:5" x14ac:dyDescent="0.2">
      <c r="B1070" s="120" t="s">
        <v>1949</v>
      </c>
      <c r="C1070" s="121" t="s">
        <v>1950</v>
      </c>
      <c r="D1070" s="122">
        <v>12.53</v>
      </c>
      <c r="E1070" s="122">
        <v>0.08</v>
      </c>
    </row>
    <row r="1071" spans="2:5" x14ac:dyDescent="0.2">
      <c r="B1071" s="120" t="s">
        <v>1951</v>
      </c>
      <c r="C1071" s="121" t="s">
        <v>1952</v>
      </c>
      <c r="D1071" s="122">
        <v>15.49</v>
      </c>
      <c r="E1071" s="122">
        <v>0.11</v>
      </c>
    </row>
    <row r="1072" spans="2:5" x14ac:dyDescent="0.2">
      <c r="B1072" s="120" t="s">
        <v>1953</v>
      </c>
      <c r="C1072" s="121" t="s">
        <v>1954</v>
      </c>
      <c r="D1072" s="122">
        <v>7.46</v>
      </c>
      <c r="E1072" s="122">
        <v>0.05</v>
      </c>
    </row>
    <row r="1073" spans="2:5" x14ac:dyDescent="0.2">
      <c r="B1073" s="120" t="s">
        <v>1955</v>
      </c>
      <c r="C1073" s="121" t="s">
        <v>1956</v>
      </c>
      <c r="D1073" s="122">
        <v>9.42</v>
      </c>
      <c r="E1073" s="122">
        <v>0.09</v>
      </c>
    </row>
    <row r="1074" spans="2:5" x14ac:dyDescent="0.2">
      <c r="B1074" s="120" t="s">
        <v>1957</v>
      </c>
      <c r="C1074" s="121" t="s">
        <v>1958</v>
      </c>
      <c r="D1074" s="122">
        <v>4.6399999999999997</v>
      </c>
      <c r="E1074" s="122">
        <v>0.05</v>
      </c>
    </row>
    <row r="1075" spans="2:5" x14ac:dyDescent="0.2">
      <c r="B1075" s="120" t="s">
        <v>4292</v>
      </c>
      <c r="C1075" s="121" t="s">
        <v>4293</v>
      </c>
      <c r="D1075" s="122"/>
      <c r="E1075" s="122">
        <v>0.08</v>
      </c>
    </row>
    <row r="1076" spans="2:5" x14ac:dyDescent="0.2">
      <c r="B1076" s="120" t="s">
        <v>1959</v>
      </c>
      <c r="C1076" s="121" t="s">
        <v>1960</v>
      </c>
      <c r="D1076" s="122">
        <v>4.21</v>
      </c>
      <c r="E1076" s="122">
        <v>0.04</v>
      </c>
    </row>
    <row r="1077" spans="2:5" x14ac:dyDescent="0.2">
      <c r="B1077" s="120" t="s">
        <v>1961</v>
      </c>
      <c r="C1077" s="121" t="s">
        <v>1962</v>
      </c>
      <c r="D1077" s="122">
        <v>13.02</v>
      </c>
      <c r="E1077" s="122">
        <v>0.13</v>
      </c>
    </row>
    <row r="1078" spans="2:5" x14ac:dyDescent="0.2">
      <c r="B1078" s="120" t="s">
        <v>4294</v>
      </c>
      <c r="C1078" s="121" t="s">
        <v>4295</v>
      </c>
      <c r="D1078" s="122"/>
      <c r="E1078" s="122"/>
    </row>
    <row r="1079" spans="2:5" x14ac:dyDescent="0.2">
      <c r="B1079" s="120" t="s">
        <v>1963</v>
      </c>
      <c r="C1079" s="121" t="s">
        <v>1964</v>
      </c>
      <c r="D1079" s="122">
        <v>9.15</v>
      </c>
      <c r="E1079" s="122">
        <v>0.08</v>
      </c>
    </row>
    <row r="1080" spans="2:5" x14ac:dyDescent="0.2">
      <c r="B1080" s="120" t="s">
        <v>1965</v>
      </c>
      <c r="C1080" s="121" t="s">
        <v>1966</v>
      </c>
      <c r="D1080" s="122">
        <v>27.18</v>
      </c>
      <c r="E1080" s="122">
        <v>0.2</v>
      </c>
    </row>
    <row r="1081" spans="2:5" x14ac:dyDescent="0.2">
      <c r="B1081" s="120" t="s">
        <v>1967</v>
      </c>
      <c r="C1081" s="121" t="s">
        <v>1968</v>
      </c>
      <c r="D1081" s="122">
        <v>6.21</v>
      </c>
      <c r="E1081" s="122">
        <v>7.0000000000000007E-2</v>
      </c>
    </row>
    <row r="1082" spans="2:5" x14ac:dyDescent="0.2">
      <c r="B1082" s="120" t="s">
        <v>4296</v>
      </c>
      <c r="C1082" s="121" t="s">
        <v>4297</v>
      </c>
      <c r="D1082" s="122">
        <v>11.4</v>
      </c>
      <c r="E1082" s="122">
        <v>0.16</v>
      </c>
    </row>
    <row r="1083" spans="2:5" x14ac:dyDescent="0.2">
      <c r="B1083" s="120" t="s">
        <v>1969</v>
      </c>
      <c r="C1083" s="121" t="s">
        <v>14</v>
      </c>
      <c r="D1083" s="122">
        <v>1.43</v>
      </c>
      <c r="E1083" s="122">
        <v>0.03</v>
      </c>
    </row>
    <row r="1084" spans="2:5" x14ac:dyDescent="0.2">
      <c r="B1084" s="120" t="s">
        <v>1970</v>
      </c>
      <c r="C1084" s="121" t="s">
        <v>1971</v>
      </c>
      <c r="D1084" s="122">
        <v>35.130000000000003</v>
      </c>
      <c r="E1084" s="122">
        <v>0.35</v>
      </c>
    </row>
    <row r="1085" spans="2:5" x14ac:dyDescent="0.2">
      <c r="B1085" s="120" t="s">
        <v>4298</v>
      </c>
      <c r="C1085" s="121" t="s">
        <v>4299</v>
      </c>
      <c r="D1085" s="122"/>
      <c r="E1085" s="122"/>
    </row>
    <row r="1086" spans="2:5" x14ac:dyDescent="0.2">
      <c r="B1086" s="120" t="s">
        <v>4300</v>
      </c>
      <c r="C1086" s="121" t="s">
        <v>4301</v>
      </c>
      <c r="D1086" s="122"/>
      <c r="E1086" s="122">
        <v>0.08</v>
      </c>
    </row>
    <row r="1087" spans="2:5" x14ac:dyDescent="0.2">
      <c r="B1087" s="120" t="s">
        <v>1972</v>
      </c>
      <c r="C1087" s="121" t="s">
        <v>1973</v>
      </c>
      <c r="D1087" s="122">
        <v>4.37</v>
      </c>
      <c r="E1087" s="122">
        <v>0.04</v>
      </c>
    </row>
    <row r="1088" spans="2:5" x14ac:dyDescent="0.2">
      <c r="B1088" s="120" t="s">
        <v>1974</v>
      </c>
      <c r="C1088" s="121" t="s">
        <v>1975</v>
      </c>
      <c r="D1088" s="122">
        <v>22.94</v>
      </c>
      <c r="E1088" s="122">
        <v>0.23</v>
      </c>
    </row>
    <row r="1089" spans="2:5" x14ac:dyDescent="0.2">
      <c r="B1089" s="120" t="s">
        <v>1976</v>
      </c>
      <c r="C1089" s="121" t="s">
        <v>1977</v>
      </c>
      <c r="D1089" s="122"/>
      <c r="E1089" s="122">
        <v>0.03</v>
      </c>
    </row>
    <row r="1090" spans="2:5" x14ac:dyDescent="0.2">
      <c r="B1090" s="120" t="s">
        <v>1978</v>
      </c>
      <c r="C1090" s="121" t="s">
        <v>1979</v>
      </c>
      <c r="D1090" s="122"/>
      <c r="E1090" s="122"/>
    </row>
    <row r="1091" spans="2:5" x14ac:dyDescent="0.2">
      <c r="B1091" s="120" t="s">
        <v>1980</v>
      </c>
      <c r="C1091" s="121" t="s">
        <v>1981</v>
      </c>
      <c r="D1091" s="122">
        <v>6.16</v>
      </c>
      <c r="E1091" s="122">
        <v>0.06</v>
      </c>
    </row>
    <row r="1092" spans="2:5" x14ac:dyDescent="0.2">
      <c r="B1092" s="120" t="s">
        <v>4302</v>
      </c>
      <c r="C1092" s="121" t="s">
        <v>4303</v>
      </c>
      <c r="D1092" s="122">
        <v>49.61</v>
      </c>
      <c r="E1092" s="122">
        <v>0.19</v>
      </c>
    </row>
    <row r="1093" spans="2:5" x14ac:dyDescent="0.2">
      <c r="B1093" s="120" t="s">
        <v>1982</v>
      </c>
      <c r="C1093" s="121" t="s">
        <v>1983</v>
      </c>
      <c r="D1093" s="122">
        <v>1.03</v>
      </c>
      <c r="E1093" s="122">
        <v>0.02</v>
      </c>
    </row>
    <row r="1094" spans="2:5" x14ac:dyDescent="0.2">
      <c r="B1094" s="120" t="s">
        <v>1984</v>
      </c>
      <c r="C1094" s="121" t="s">
        <v>1985</v>
      </c>
      <c r="D1094" s="122">
        <v>5.76</v>
      </c>
      <c r="E1094" s="122">
        <v>0.06</v>
      </c>
    </row>
    <row r="1095" spans="2:5" x14ac:dyDescent="0.2">
      <c r="B1095" s="120" t="s">
        <v>1986</v>
      </c>
      <c r="C1095" s="121" t="s">
        <v>1987</v>
      </c>
      <c r="D1095" s="122">
        <v>7.24</v>
      </c>
      <c r="E1095" s="122">
        <v>0.05</v>
      </c>
    </row>
    <row r="1096" spans="2:5" x14ac:dyDescent="0.2">
      <c r="B1096" s="120" t="s">
        <v>1988</v>
      </c>
      <c r="C1096" s="121" t="s">
        <v>1989</v>
      </c>
      <c r="D1096" s="122">
        <v>2.1</v>
      </c>
      <c r="E1096" s="122">
        <v>0.02</v>
      </c>
    </row>
    <row r="1097" spans="2:5" x14ac:dyDescent="0.2">
      <c r="B1097" s="120" t="s">
        <v>1990</v>
      </c>
      <c r="C1097" s="121" t="s">
        <v>1991</v>
      </c>
      <c r="D1097" s="122">
        <v>21.39</v>
      </c>
      <c r="E1097" s="122">
        <v>0.19</v>
      </c>
    </row>
    <row r="1098" spans="2:5" x14ac:dyDescent="0.2">
      <c r="B1098" s="120" t="s">
        <v>4304</v>
      </c>
      <c r="C1098" s="121" t="s">
        <v>4305</v>
      </c>
      <c r="D1098" s="122">
        <v>10.72</v>
      </c>
      <c r="E1098" s="122">
        <v>0.12</v>
      </c>
    </row>
    <row r="1099" spans="2:5" x14ac:dyDescent="0.2">
      <c r="B1099" s="120" t="s">
        <v>1992</v>
      </c>
      <c r="C1099" s="121" t="s">
        <v>1993</v>
      </c>
      <c r="D1099" s="122">
        <v>-0.61</v>
      </c>
      <c r="E1099" s="122">
        <v>0.11</v>
      </c>
    </row>
    <row r="1100" spans="2:5" x14ac:dyDescent="0.2">
      <c r="B1100" s="120" t="s">
        <v>1994</v>
      </c>
      <c r="C1100" s="121" t="s">
        <v>1995</v>
      </c>
      <c r="D1100" s="122">
        <v>16.600000000000001</v>
      </c>
      <c r="E1100" s="122">
        <v>0.18</v>
      </c>
    </row>
    <row r="1101" spans="2:5" x14ac:dyDescent="0.2">
      <c r="B1101" s="120" t="s">
        <v>1996</v>
      </c>
      <c r="C1101" s="121" t="s">
        <v>1997</v>
      </c>
      <c r="D1101" s="122">
        <v>5.69</v>
      </c>
      <c r="E1101" s="122">
        <v>0.05</v>
      </c>
    </row>
    <row r="1102" spans="2:5" x14ac:dyDescent="0.2">
      <c r="B1102" s="120" t="s">
        <v>1998</v>
      </c>
      <c r="C1102" s="121" t="s">
        <v>4306</v>
      </c>
      <c r="D1102" s="122">
        <v>504.89</v>
      </c>
      <c r="E1102" s="122">
        <v>3.14</v>
      </c>
    </row>
    <row r="1103" spans="2:5" x14ac:dyDescent="0.2">
      <c r="B1103" s="120" t="s">
        <v>1998</v>
      </c>
      <c r="C1103" s="121" t="s">
        <v>1999</v>
      </c>
      <c r="D1103" s="122">
        <v>504.89</v>
      </c>
      <c r="E1103" s="122">
        <v>3.14</v>
      </c>
    </row>
    <row r="1104" spans="2:5" x14ac:dyDescent="0.2">
      <c r="B1104" s="120" t="s">
        <v>2000</v>
      </c>
      <c r="C1104" s="121" t="s">
        <v>2001</v>
      </c>
      <c r="D1104" s="122">
        <v>-9.5299999999999994</v>
      </c>
      <c r="E1104" s="122">
        <v>0.06</v>
      </c>
    </row>
    <row r="1105" spans="2:5" x14ac:dyDescent="0.2">
      <c r="B1105" s="120" t="s">
        <v>2000</v>
      </c>
      <c r="C1105" s="121" t="s">
        <v>4307</v>
      </c>
      <c r="D1105" s="122">
        <v>-9.5299999999999994</v>
      </c>
      <c r="E1105" s="122">
        <v>0.06</v>
      </c>
    </row>
    <row r="1106" spans="2:5" x14ac:dyDescent="0.2">
      <c r="B1106" s="120" t="s">
        <v>2000</v>
      </c>
      <c r="C1106" s="121" t="s">
        <v>4308</v>
      </c>
      <c r="D1106" s="122">
        <v>-9.5299999999999994</v>
      </c>
      <c r="E1106" s="122">
        <v>0.06</v>
      </c>
    </row>
    <row r="1107" spans="2:5" x14ac:dyDescent="0.2">
      <c r="B1107" s="120" t="s">
        <v>2002</v>
      </c>
      <c r="C1107" s="121" t="s">
        <v>2003</v>
      </c>
      <c r="D1107" s="122">
        <v>6.41</v>
      </c>
      <c r="E1107" s="122">
        <v>0.06</v>
      </c>
    </row>
    <row r="1108" spans="2:5" x14ac:dyDescent="0.2">
      <c r="B1108" s="120" t="s">
        <v>2004</v>
      </c>
      <c r="C1108" s="121" t="s">
        <v>2005</v>
      </c>
      <c r="D1108" s="122">
        <v>5.0999999999999996</v>
      </c>
      <c r="E1108" s="122">
        <v>0.05</v>
      </c>
    </row>
    <row r="1109" spans="2:5" x14ac:dyDescent="0.2">
      <c r="B1109" s="120" t="s">
        <v>2006</v>
      </c>
      <c r="C1109" s="121" t="s">
        <v>2007</v>
      </c>
      <c r="D1109" s="122">
        <v>10.57</v>
      </c>
      <c r="E1109" s="122">
        <v>0.09</v>
      </c>
    </row>
    <row r="1110" spans="2:5" x14ac:dyDescent="0.2">
      <c r="B1110" s="120" t="s">
        <v>2008</v>
      </c>
      <c r="C1110" s="121" t="s">
        <v>2009</v>
      </c>
      <c r="D1110" s="122">
        <v>7.25</v>
      </c>
      <c r="E1110" s="122">
        <v>7.0000000000000007E-2</v>
      </c>
    </row>
    <row r="1111" spans="2:5" x14ac:dyDescent="0.2">
      <c r="B1111" s="120" t="s">
        <v>4309</v>
      </c>
      <c r="C1111" s="121" t="s">
        <v>4310</v>
      </c>
      <c r="D1111" s="122"/>
      <c r="E1111" s="122"/>
    </row>
    <row r="1112" spans="2:5" x14ac:dyDescent="0.2">
      <c r="B1112" s="120" t="s">
        <v>2010</v>
      </c>
      <c r="C1112" s="121" t="s">
        <v>2011</v>
      </c>
      <c r="D1112" s="122">
        <v>8.2200000000000006</v>
      </c>
      <c r="E1112" s="122">
        <v>0.08</v>
      </c>
    </row>
    <row r="1113" spans="2:5" x14ac:dyDescent="0.2">
      <c r="B1113" s="120" t="s">
        <v>2010</v>
      </c>
      <c r="C1113" s="121" t="s">
        <v>4311</v>
      </c>
      <c r="D1113" s="122">
        <v>8.2200000000000006</v>
      </c>
      <c r="E1113" s="122">
        <v>0.08</v>
      </c>
    </row>
    <row r="1114" spans="2:5" x14ac:dyDescent="0.2">
      <c r="B1114" s="120" t="s">
        <v>4312</v>
      </c>
      <c r="C1114" s="121" t="s">
        <v>4313</v>
      </c>
      <c r="D1114" s="122">
        <v>7.8</v>
      </c>
      <c r="E1114" s="122">
        <v>0.05</v>
      </c>
    </row>
    <row r="1115" spans="2:5" x14ac:dyDescent="0.2">
      <c r="B1115" s="120" t="s">
        <v>2012</v>
      </c>
      <c r="C1115" s="121" t="s">
        <v>2013</v>
      </c>
      <c r="D1115" s="122">
        <v>4.76</v>
      </c>
      <c r="E1115" s="122">
        <v>0.02</v>
      </c>
    </row>
    <row r="1116" spans="2:5" x14ac:dyDescent="0.2">
      <c r="B1116" s="120" t="s">
        <v>2014</v>
      </c>
      <c r="C1116" s="121" t="s">
        <v>2015</v>
      </c>
      <c r="D1116" s="122">
        <v>12.63</v>
      </c>
      <c r="E1116" s="122">
        <v>0.1</v>
      </c>
    </row>
    <row r="1117" spans="2:5" x14ac:dyDescent="0.2">
      <c r="B1117" s="120" t="s">
        <v>4314</v>
      </c>
      <c r="C1117" s="121" t="s">
        <v>4315</v>
      </c>
      <c r="D1117" s="122"/>
      <c r="E1117" s="122">
        <v>1.5</v>
      </c>
    </row>
    <row r="1118" spans="2:5" x14ac:dyDescent="0.2">
      <c r="B1118" s="120" t="s">
        <v>4316</v>
      </c>
      <c r="C1118" s="121" t="s">
        <v>4317</v>
      </c>
      <c r="D1118" s="122">
        <v>12.91</v>
      </c>
      <c r="E1118" s="122">
        <v>0.13</v>
      </c>
    </row>
    <row r="1119" spans="2:5" x14ac:dyDescent="0.2">
      <c r="B1119" s="120" t="s">
        <v>2016</v>
      </c>
      <c r="C1119" s="121" t="s">
        <v>2017</v>
      </c>
      <c r="D1119" s="122">
        <v>10.27</v>
      </c>
      <c r="E1119" s="122">
        <v>0.08</v>
      </c>
    </row>
    <row r="1120" spans="2:5" x14ac:dyDescent="0.2">
      <c r="B1120" s="120" t="s">
        <v>2018</v>
      </c>
      <c r="C1120" s="121" t="s">
        <v>2019</v>
      </c>
      <c r="D1120" s="122">
        <v>6.16</v>
      </c>
      <c r="E1120" s="122">
        <v>0.04</v>
      </c>
    </row>
    <row r="1121" spans="2:5" x14ac:dyDescent="0.2">
      <c r="B1121" s="120" t="s">
        <v>2020</v>
      </c>
      <c r="C1121" s="121" t="s">
        <v>2021</v>
      </c>
      <c r="D1121" s="122">
        <v>14.72</v>
      </c>
      <c r="E1121" s="122">
        <v>0.03</v>
      </c>
    </row>
    <row r="1122" spans="2:5" x14ac:dyDescent="0.2">
      <c r="B1122" s="120" t="s">
        <v>2022</v>
      </c>
      <c r="C1122" s="121" t="s">
        <v>2023</v>
      </c>
      <c r="D1122" s="122">
        <v>10.83</v>
      </c>
      <c r="E1122" s="122">
        <v>0.09</v>
      </c>
    </row>
    <row r="1123" spans="2:5" x14ac:dyDescent="0.2">
      <c r="B1123" s="120" t="s">
        <v>2000</v>
      </c>
      <c r="C1123" s="121" t="s">
        <v>2024</v>
      </c>
      <c r="D1123" s="122">
        <v>-10.96</v>
      </c>
      <c r="E1123" s="122"/>
    </row>
    <row r="1124" spans="2:5" x14ac:dyDescent="0.2">
      <c r="B1124" s="120" t="s">
        <v>2000</v>
      </c>
      <c r="C1124" s="121" t="s">
        <v>4318</v>
      </c>
      <c r="D1124" s="122">
        <v>-10.96</v>
      </c>
      <c r="E1124" s="122"/>
    </row>
    <row r="1125" spans="2:5" x14ac:dyDescent="0.2">
      <c r="B1125" s="120" t="s">
        <v>2025</v>
      </c>
      <c r="C1125" s="121" t="s">
        <v>2026</v>
      </c>
      <c r="D1125" s="122">
        <v>22.78</v>
      </c>
      <c r="E1125" s="122">
        <v>0.28999999999999998</v>
      </c>
    </row>
    <row r="1126" spans="2:5" x14ac:dyDescent="0.2">
      <c r="B1126" s="120" t="s">
        <v>2027</v>
      </c>
      <c r="C1126" s="121" t="s">
        <v>2028</v>
      </c>
      <c r="D1126" s="122">
        <v>7.45</v>
      </c>
      <c r="E1126" s="122">
        <v>7.0000000000000007E-2</v>
      </c>
    </row>
    <row r="1127" spans="2:5" x14ac:dyDescent="0.2">
      <c r="B1127" s="120" t="s">
        <v>2029</v>
      </c>
      <c r="C1127" s="121" t="s">
        <v>2030</v>
      </c>
      <c r="D1127" s="122">
        <v>20.28</v>
      </c>
      <c r="E1127" s="122">
        <v>-0.02</v>
      </c>
    </row>
    <row r="1128" spans="2:5" x14ac:dyDescent="0.2">
      <c r="B1128" s="120" t="s">
        <v>2031</v>
      </c>
      <c r="C1128" s="121" t="s">
        <v>2032</v>
      </c>
      <c r="D1128" s="122">
        <v>14.13</v>
      </c>
      <c r="E1128" s="122">
        <v>-0.17</v>
      </c>
    </row>
    <row r="1129" spans="2:5" x14ac:dyDescent="0.2">
      <c r="B1129" s="120" t="s">
        <v>4319</v>
      </c>
      <c r="C1129" s="121" t="s">
        <v>4320</v>
      </c>
      <c r="D1129" s="122"/>
      <c r="E1129" s="122">
        <v>-1.93</v>
      </c>
    </row>
    <row r="1130" spans="2:5" x14ac:dyDescent="0.2">
      <c r="B1130" s="120" t="s">
        <v>2033</v>
      </c>
      <c r="C1130" s="121" t="s">
        <v>2034</v>
      </c>
      <c r="D1130" s="122">
        <v>5.68</v>
      </c>
      <c r="E1130" s="122">
        <v>0.04</v>
      </c>
    </row>
    <row r="1131" spans="2:5" x14ac:dyDescent="0.2">
      <c r="B1131" s="120" t="s">
        <v>2035</v>
      </c>
      <c r="C1131" s="121" t="s">
        <v>2036</v>
      </c>
      <c r="D1131" s="122">
        <v>23.25</v>
      </c>
      <c r="E1131" s="122">
        <v>0.13</v>
      </c>
    </row>
    <row r="1132" spans="2:5" x14ac:dyDescent="0.2">
      <c r="B1132" s="120" t="s">
        <v>2037</v>
      </c>
      <c r="C1132" s="121" t="s">
        <v>2038</v>
      </c>
      <c r="D1132" s="122">
        <v>9.48</v>
      </c>
      <c r="E1132" s="122">
        <v>-0.01</v>
      </c>
    </row>
    <row r="1133" spans="2:5" x14ac:dyDescent="0.2">
      <c r="B1133" s="120" t="s">
        <v>2039</v>
      </c>
      <c r="C1133" s="121" t="s">
        <v>2040</v>
      </c>
      <c r="D1133" s="122">
        <v>10.18</v>
      </c>
      <c r="E1133" s="122">
        <v>0.09</v>
      </c>
    </row>
    <row r="1134" spans="2:5" x14ac:dyDescent="0.2">
      <c r="B1134" s="120" t="s">
        <v>2041</v>
      </c>
      <c r="C1134" s="121" t="s">
        <v>2042</v>
      </c>
      <c r="D1134" s="122">
        <v>-11.25</v>
      </c>
      <c r="E1134" s="122">
        <v>-0.02</v>
      </c>
    </row>
    <row r="1135" spans="2:5" x14ac:dyDescent="0.2">
      <c r="B1135" s="120" t="s">
        <v>2043</v>
      </c>
      <c r="C1135" s="121" t="s">
        <v>2044</v>
      </c>
      <c r="D1135" s="122">
        <v>11.05</v>
      </c>
      <c r="E1135" s="122">
        <v>0.1</v>
      </c>
    </row>
    <row r="1136" spans="2:5" x14ac:dyDescent="0.2">
      <c r="B1136" s="120" t="s">
        <v>2045</v>
      </c>
      <c r="C1136" s="121" t="s">
        <v>2046</v>
      </c>
      <c r="D1136" s="122">
        <v>1.82</v>
      </c>
      <c r="E1136" s="122">
        <v>0.06</v>
      </c>
    </row>
    <row r="1137" spans="2:5" x14ac:dyDescent="0.2">
      <c r="B1137" s="120" t="s">
        <v>4321</v>
      </c>
      <c r="C1137" s="121" t="s">
        <v>4322</v>
      </c>
      <c r="D1137" s="122"/>
      <c r="E1137" s="122">
        <v>7.0000000000000007E-2</v>
      </c>
    </row>
    <row r="1138" spans="2:5" x14ac:dyDescent="0.2">
      <c r="B1138" s="120" t="s">
        <v>2047</v>
      </c>
      <c r="C1138" s="121" t="s">
        <v>2048</v>
      </c>
      <c r="D1138" s="122">
        <v>14.39</v>
      </c>
      <c r="E1138" s="122">
        <v>0.15</v>
      </c>
    </row>
    <row r="1139" spans="2:5" x14ac:dyDescent="0.2">
      <c r="B1139" s="120" t="s">
        <v>2049</v>
      </c>
      <c r="C1139" s="121" t="s">
        <v>2050</v>
      </c>
      <c r="D1139" s="122">
        <v>1.32</v>
      </c>
      <c r="E1139" s="122">
        <v>0.01</v>
      </c>
    </row>
    <row r="1140" spans="2:5" x14ac:dyDescent="0.2">
      <c r="B1140" s="120" t="s">
        <v>2051</v>
      </c>
      <c r="C1140" s="121" t="s">
        <v>2052</v>
      </c>
      <c r="D1140" s="122">
        <v>12.29</v>
      </c>
      <c r="E1140" s="122">
        <v>0.09</v>
      </c>
    </row>
    <row r="1141" spans="2:5" x14ac:dyDescent="0.2">
      <c r="B1141" s="120" t="s">
        <v>2053</v>
      </c>
      <c r="C1141" s="121" t="s">
        <v>2054</v>
      </c>
      <c r="D1141" s="122">
        <v>21.41</v>
      </c>
      <c r="E1141" s="122">
        <v>0.06</v>
      </c>
    </row>
    <row r="1142" spans="2:5" x14ac:dyDescent="0.2">
      <c r="B1142" s="120" t="s">
        <v>2055</v>
      </c>
      <c r="C1142" s="121" t="s">
        <v>2056</v>
      </c>
      <c r="D1142" s="122">
        <v>36.97</v>
      </c>
      <c r="E1142" s="122">
        <v>0.27</v>
      </c>
    </row>
    <row r="1143" spans="2:5" x14ac:dyDescent="0.2">
      <c r="B1143" s="120" t="s">
        <v>2057</v>
      </c>
      <c r="C1143" s="121" t="s">
        <v>2058</v>
      </c>
      <c r="D1143" s="122">
        <v>5.77</v>
      </c>
      <c r="E1143" s="122">
        <v>0.03</v>
      </c>
    </row>
    <row r="1144" spans="2:5" x14ac:dyDescent="0.2">
      <c r="B1144" s="120" t="s">
        <v>2059</v>
      </c>
      <c r="C1144" s="121" t="s">
        <v>2060</v>
      </c>
      <c r="D1144" s="122">
        <v>-1.79</v>
      </c>
      <c r="E1144" s="122">
        <v>-0.01</v>
      </c>
    </row>
    <row r="1145" spans="2:5" x14ac:dyDescent="0.2">
      <c r="B1145" s="120" t="s">
        <v>2061</v>
      </c>
      <c r="C1145" s="121" t="s">
        <v>2062</v>
      </c>
      <c r="D1145" s="122">
        <v>10.62</v>
      </c>
      <c r="E1145" s="122">
        <v>0.08</v>
      </c>
    </row>
    <row r="1146" spans="2:5" x14ac:dyDescent="0.2">
      <c r="B1146" s="120" t="s">
        <v>2063</v>
      </c>
      <c r="C1146" s="121" t="s">
        <v>2064</v>
      </c>
      <c r="D1146" s="122">
        <v>28.68</v>
      </c>
      <c r="E1146" s="122">
        <v>0.68</v>
      </c>
    </row>
    <row r="1147" spans="2:5" x14ac:dyDescent="0.2">
      <c r="B1147" s="120" t="s">
        <v>2065</v>
      </c>
      <c r="C1147" s="121" t="s">
        <v>2066</v>
      </c>
      <c r="D1147" s="122">
        <v>7.11</v>
      </c>
      <c r="E1147" s="122">
        <v>0.14000000000000001</v>
      </c>
    </row>
    <row r="1148" spans="2:5" x14ac:dyDescent="0.2">
      <c r="B1148" s="120" t="s">
        <v>4323</v>
      </c>
      <c r="C1148" s="121" t="s">
        <v>4324</v>
      </c>
      <c r="D1148" s="122"/>
      <c r="E1148" s="122"/>
    </row>
    <row r="1149" spans="2:5" x14ac:dyDescent="0.2">
      <c r="B1149" s="120" t="s">
        <v>2067</v>
      </c>
      <c r="C1149" s="121" t="s">
        <v>2068</v>
      </c>
      <c r="D1149" s="122">
        <v>24.1</v>
      </c>
      <c r="E1149" s="122">
        <v>0.23</v>
      </c>
    </row>
    <row r="1150" spans="2:5" x14ac:dyDescent="0.2">
      <c r="B1150" s="120" t="s">
        <v>2069</v>
      </c>
      <c r="C1150" s="121" t="s">
        <v>2070</v>
      </c>
      <c r="D1150" s="122"/>
      <c r="E1150" s="122">
        <v>0.14000000000000001</v>
      </c>
    </row>
    <row r="1151" spans="2:5" x14ac:dyDescent="0.2">
      <c r="B1151" s="120" t="s">
        <v>2071</v>
      </c>
      <c r="C1151" s="121" t="s">
        <v>2072</v>
      </c>
      <c r="D1151" s="122">
        <v>37.08</v>
      </c>
      <c r="E1151" s="122">
        <v>0.38</v>
      </c>
    </row>
    <row r="1152" spans="2:5" x14ac:dyDescent="0.2">
      <c r="B1152" s="120" t="s">
        <v>2073</v>
      </c>
      <c r="C1152" s="121" t="s">
        <v>2074</v>
      </c>
      <c r="D1152" s="122">
        <v>5.82</v>
      </c>
      <c r="E1152" s="122">
        <v>0.06</v>
      </c>
    </row>
    <row r="1153" spans="2:5" x14ac:dyDescent="0.2">
      <c r="B1153" s="120" t="s">
        <v>1509</v>
      </c>
      <c r="C1153" s="121" t="s">
        <v>4325</v>
      </c>
      <c r="D1153" s="122">
        <v>8.06</v>
      </c>
      <c r="E1153" s="122">
        <v>0.12</v>
      </c>
    </row>
    <row r="1154" spans="2:5" x14ac:dyDescent="0.2">
      <c r="B1154" s="120" t="s">
        <v>1509</v>
      </c>
      <c r="C1154" s="121" t="s">
        <v>4326</v>
      </c>
      <c r="D1154" s="122">
        <v>8.06</v>
      </c>
      <c r="E1154" s="122"/>
    </row>
    <row r="1155" spans="2:5" x14ac:dyDescent="0.2">
      <c r="B1155" s="120" t="s">
        <v>1509</v>
      </c>
      <c r="C1155" s="121" t="s">
        <v>2075</v>
      </c>
      <c r="D1155" s="122">
        <v>8.06</v>
      </c>
      <c r="E1155" s="122"/>
    </row>
    <row r="1156" spans="2:5" x14ac:dyDescent="0.2">
      <c r="B1156" s="120" t="s">
        <v>2076</v>
      </c>
      <c r="C1156" s="121" t="s">
        <v>2077</v>
      </c>
      <c r="D1156" s="122">
        <v>0.81</v>
      </c>
      <c r="E1156" s="122">
        <v>0.02</v>
      </c>
    </row>
    <row r="1157" spans="2:5" x14ac:dyDescent="0.2">
      <c r="B1157" s="120" t="s">
        <v>4327</v>
      </c>
      <c r="C1157" s="121" t="s">
        <v>4328</v>
      </c>
      <c r="D1157" s="122">
        <v>7.99</v>
      </c>
      <c r="E1157" s="122">
        <v>0.08</v>
      </c>
    </row>
    <row r="1158" spans="2:5" x14ac:dyDescent="0.2">
      <c r="B1158" s="120" t="s">
        <v>15</v>
      </c>
      <c r="C1158" s="121" t="s">
        <v>16</v>
      </c>
      <c r="D1158" s="122">
        <v>15.81</v>
      </c>
      <c r="E1158" s="122">
        <v>0.15</v>
      </c>
    </row>
    <row r="1159" spans="2:5" x14ac:dyDescent="0.2">
      <c r="B1159" s="120" t="s">
        <v>4329</v>
      </c>
      <c r="C1159" s="121" t="s">
        <v>4330</v>
      </c>
      <c r="D1159" s="122">
        <v>5.07</v>
      </c>
      <c r="E1159" s="122">
        <v>0.11</v>
      </c>
    </row>
    <row r="1160" spans="2:5" x14ac:dyDescent="0.2">
      <c r="B1160" s="120" t="s">
        <v>2078</v>
      </c>
      <c r="C1160" s="121" t="s">
        <v>2079</v>
      </c>
      <c r="D1160" s="122">
        <v>10.72</v>
      </c>
      <c r="E1160" s="122">
        <v>0.11</v>
      </c>
    </row>
    <row r="1161" spans="2:5" x14ac:dyDescent="0.2">
      <c r="B1161" s="120" t="s">
        <v>2080</v>
      </c>
      <c r="C1161" s="121" t="s">
        <v>2081</v>
      </c>
      <c r="D1161" s="122"/>
      <c r="E1161" s="122">
        <v>0.14000000000000001</v>
      </c>
    </row>
    <row r="1162" spans="2:5" x14ac:dyDescent="0.2">
      <c r="B1162" s="120" t="s">
        <v>2082</v>
      </c>
      <c r="C1162" s="121" t="s">
        <v>2083</v>
      </c>
      <c r="D1162" s="122">
        <v>17.829999999999998</v>
      </c>
      <c r="E1162" s="122">
        <v>0.18</v>
      </c>
    </row>
    <row r="1163" spans="2:5" x14ac:dyDescent="0.2">
      <c r="B1163" s="120" t="s">
        <v>2084</v>
      </c>
      <c r="C1163" s="121" t="s">
        <v>2085</v>
      </c>
      <c r="D1163" s="122">
        <v>12.66</v>
      </c>
      <c r="E1163" s="122">
        <v>0.12</v>
      </c>
    </row>
    <row r="1164" spans="2:5" x14ac:dyDescent="0.2">
      <c r="B1164" s="120" t="s">
        <v>2086</v>
      </c>
      <c r="C1164" s="121" t="s">
        <v>2087</v>
      </c>
      <c r="D1164" s="122">
        <v>10.09</v>
      </c>
      <c r="E1164" s="122">
        <v>0.12</v>
      </c>
    </row>
    <row r="1165" spans="2:5" x14ac:dyDescent="0.2">
      <c r="B1165" s="120" t="s">
        <v>4331</v>
      </c>
      <c r="C1165" s="121" t="s">
        <v>4332</v>
      </c>
      <c r="D1165" s="122"/>
      <c r="E1165" s="122">
        <v>-0.42</v>
      </c>
    </row>
    <row r="1166" spans="2:5" x14ac:dyDescent="0.2">
      <c r="B1166" s="120" t="s">
        <v>2088</v>
      </c>
      <c r="C1166" s="121" t="s">
        <v>2089</v>
      </c>
      <c r="D1166" s="122">
        <v>43.4</v>
      </c>
      <c r="E1166" s="122">
        <v>0.23</v>
      </c>
    </row>
    <row r="1167" spans="2:5" x14ac:dyDescent="0.2">
      <c r="B1167" s="120" t="s">
        <v>4333</v>
      </c>
      <c r="C1167" s="121" t="s">
        <v>4334</v>
      </c>
      <c r="D1167" s="122">
        <v>0.55000000000000004</v>
      </c>
      <c r="E1167" s="122">
        <v>0</v>
      </c>
    </row>
    <row r="1168" spans="2:5" x14ac:dyDescent="0.2">
      <c r="B1168" s="120" t="s">
        <v>2090</v>
      </c>
      <c r="C1168" s="121" t="s">
        <v>2091</v>
      </c>
      <c r="D1168" s="122"/>
      <c r="E1168" s="122">
        <v>0.1</v>
      </c>
    </row>
    <row r="1169" spans="2:5" x14ac:dyDescent="0.2">
      <c r="B1169" s="120" t="s">
        <v>2092</v>
      </c>
      <c r="C1169" s="121" t="s">
        <v>2093</v>
      </c>
      <c r="D1169" s="122">
        <v>4.6500000000000004</v>
      </c>
      <c r="E1169" s="122">
        <v>0.04</v>
      </c>
    </row>
    <row r="1170" spans="2:5" x14ac:dyDescent="0.2">
      <c r="B1170" s="120" t="s">
        <v>2094</v>
      </c>
      <c r="C1170" s="121" t="s">
        <v>2095</v>
      </c>
      <c r="D1170" s="122">
        <v>46.08</v>
      </c>
      <c r="E1170" s="122">
        <v>0.39</v>
      </c>
    </row>
    <row r="1171" spans="2:5" x14ac:dyDescent="0.2">
      <c r="B1171" s="120" t="s">
        <v>2096</v>
      </c>
      <c r="C1171" s="121" t="s">
        <v>2097</v>
      </c>
      <c r="D1171" s="122">
        <v>14.89</v>
      </c>
      <c r="E1171" s="122">
        <v>0.14000000000000001</v>
      </c>
    </row>
    <row r="1172" spans="2:5" x14ac:dyDescent="0.2">
      <c r="B1172" s="120" t="s">
        <v>2098</v>
      </c>
      <c r="C1172" s="121" t="s">
        <v>2099</v>
      </c>
      <c r="D1172" s="122">
        <v>12.78</v>
      </c>
      <c r="E1172" s="122">
        <v>0.06</v>
      </c>
    </row>
    <row r="1173" spans="2:5" x14ac:dyDescent="0.2">
      <c r="B1173" s="120" t="s">
        <v>4335</v>
      </c>
      <c r="C1173" s="121" t="s">
        <v>4336</v>
      </c>
      <c r="D1173" s="122"/>
      <c r="E1173" s="122">
        <v>0</v>
      </c>
    </row>
    <row r="1174" spans="2:5" x14ac:dyDescent="0.2">
      <c r="B1174" s="120" t="s">
        <v>2100</v>
      </c>
      <c r="C1174" s="121" t="s">
        <v>2101</v>
      </c>
      <c r="D1174" s="122">
        <v>2.4500000000000002</v>
      </c>
      <c r="E1174" s="122">
        <v>0.03</v>
      </c>
    </row>
    <row r="1175" spans="2:5" x14ac:dyDescent="0.2">
      <c r="B1175" s="120" t="s">
        <v>2102</v>
      </c>
      <c r="C1175" s="121" t="s">
        <v>2103</v>
      </c>
      <c r="D1175" s="122">
        <v>19.79</v>
      </c>
      <c r="E1175" s="122">
        <v>0.19</v>
      </c>
    </row>
    <row r="1176" spans="2:5" x14ac:dyDescent="0.2">
      <c r="B1176" s="120" t="s">
        <v>2104</v>
      </c>
      <c r="C1176" s="121" t="s">
        <v>2105</v>
      </c>
      <c r="D1176" s="122">
        <v>10.18</v>
      </c>
      <c r="E1176" s="122">
        <v>0.09</v>
      </c>
    </row>
    <row r="1177" spans="2:5" x14ac:dyDescent="0.2">
      <c r="B1177" s="120" t="s">
        <v>4337</v>
      </c>
      <c r="C1177" s="121" t="s">
        <v>4338</v>
      </c>
      <c r="D1177" s="122">
        <v>3.55</v>
      </c>
      <c r="E1177" s="122"/>
    </row>
    <row r="1178" spans="2:5" x14ac:dyDescent="0.2">
      <c r="B1178" s="120" t="s">
        <v>2106</v>
      </c>
      <c r="C1178" s="121" t="s">
        <v>2107</v>
      </c>
      <c r="D1178" s="122">
        <v>9.26</v>
      </c>
      <c r="E1178" s="122">
        <v>0.09</v>
      </c>
    </row>
    <row r="1179" spans="2:5" x14ac:dyDescent="0.2">
      <c r="B1179" s="120" t="s">
        <v>2108</v>
      </c>
      <c r="C1179" s="121" t="s">
        <v>2109</v>
      </c>
      <c r="D1179" s="122">
        <v>19.54</v>
      </c>
      <c r="E1179" s="122">
        <v>0.23</v>
      </c>
    </row>
    <row r="1180" spans="2:5" x14ac:dyDescent="0.2">
      <c r="B1180" s="120" t="s">
        <v>2110</v>
      </c>
      <c r="C1180" s="121" t="s">
        <v>2111</v>
      </c>
      <c r="D1180" s="122">
        <v>-3.62</v>
      </c>
      <c r="E1180" s="122">
        <v>-0.12</v>
      </c>
    </row>
    <row r="1181" spans="2:5" x14ac:dyDescent="0.2">
      <c r="B1181" s="120" t="s">
        <v>4339</v>
      </c>
      <c r="C1181" s="121" t="s">
        <v>4340</v>
      </c>
      <c r="D1181" s="122"/>
      <c r="E1181" s="122"/>
    </row>
    <row r="1182" spans="2:5" x14ac:dyDescent="0.2">
      <c r="B1182" s="120" t="s">
        <v>4341</v>
      </c>
      <c r="C1182" s="121" t="s">
        <v>4342</v>
      </c>
      <c r="D1182" s="122"/>
      <c r="E1182" s="122"/>
    </row>
    <row r="1183" spans="2:5" x14ac:dyDescent="0.2">
      <c r="B1183" s="120" t="s">
        <v>2112</v>
      </c>
      <c r="C1183" s="121" t="s">
        <v>2113</v>
      </c>
      <c r="D1183" s="122">
        <v>12.57</v>
      </c>
      <c r="E1183" s="122">
        <v>0.02</v>
      </c>
    </row>
    <row r="1184" spans="2:5" x14ac:dyDescent="0.2">
      <c r="B1184" s="120" t="s">
        <v>2114</v>
      </c>
      <c r="C1184" s="121" t="s">
        <v>2115</v>
      </c>
      <c r="D1184" s="122">
        <v>29.17</v>
      </c>
      <c r="E1184" s="122">
        <v>0.28000000000000003</v>
      </c>
    </row>
    <row r="1185" spans="2:5" x14ac:dyDescent="0.2">
      <c r="B1185" s="120" t="s">
        <v>2116</v>
      </c>
      <c r="C1185" s="121" t="s">
        <v>2117</v>
      </c>
      <c r="D1185" s="122">
        <v>28.45</v>
      </c>
      <c r="E1185" s="122">
        <v>7.0000000000000007E-2</v>
      </c>
    </row>
    <row r="1186" spans="2:5" x14ac:dyDescent="0.2">
      <c r="B1186" s="120" t="s">
        <v>2118</v>
      </c>
      <c r="C1186" s="121" t="s">
        <v>2119</v>
      </c>
      <c r="D1186" s="122">
        <v>1.25</v>
      </c>
      <c r="E1186" s="122">
        <v>0</v>
      </c>
    </row>
    <row r="1187" spans="2:5" x14ac:dyDescent="0.2">
      <c r="B1187" s="120" t="s">
        <v>2120</v>
      </c>
      <c r="C1187" s="121" t="s">
        <v>2121</v>
      </c>
      <c r="D1187" s="122">
        <v>32.03</v>
      </c>
      <c r="E1187" s="122">
        <v>0.28999999999999998</v>
      </c>
    </row>
    <row r="1188" spans="2:5" x14ac:dyDescent="0.2">
      <c r="B1188" s="120" t="s">
        <v>2122</v>
      </c>
      <c r="C1188" s="121" t="s">
        <v>2123</v>
      </c>
      <c r="D1188" s="122">
        <v>3.75</v>
      </c>
      <c r="E1188" s="122">
        <v>0</v>
      </c>
    </row>
    <row r="1189" spans="2:5" x14ac:dyDescent="0.2">
      <c r="B1189" s="120" t="s">
        <v>2124</v>
      </c>
      <c r="C1189" s="121" t="s">
        <v>2125</v>
      </c>
      <c r="D1189" s="122">
        <v>-15.27</v>
      </c>
      <c r="E1189" s="122">
        <v>-0.37</v>
      </c>
    </row>
    <row r="1190" spans="2:5" x14ac:dyDescent="0.2">
      <c r="B1190" s="120" t="s">
        <v>2126</v>
      </c>
      <c r="C1190" s="121" t="s">
        <v>2127</v>
      </c>
      <c r="D1190" s="122">
        <v>5773.79</v>
      </c>
      <c r="E1190" s="122">
        <v>-20.059999999999999</v>
      </c>
    </row>
    <row r="1191" spans="2:5" x14ac:dyDescent="0.2">
      <c r="B1191" s="120" t="s">
        <v>4343</v>
      </c>
      <c r="C1191" s="121" t="s">
        <v>4344</v>
      </c>
      <c r="D1191" s="122"/>
      <c r="E1191" s="122"/>
    </row>
    <row r="1192" spans="2:5" x14ac:dyDescent="0.2">
      <c r="B1192" s="120" t="s">
        <v>4345</v>
      </c>
      <c r="C1192" s="121" t="s">
        <v>4346</v>
      </c>
      <c r="D1192" s="122"/>
      <c r="E1192" s="122">
        <v>0.14000000000000001</v>
      </c>
    </row>
    <row r="1193" spans="2:5" x14ac:dyDescent="0.2">
      <c r="B1193" s="120" t="s">
        <v>4347</v>
      </c>
      <c r="C1193" s="121" t="s">
        <v>4348</v>
      </c>
      <c r="D1193" s="122"/>
      <c r="E1193" s="122"/>
    </row>
    <row r="1194" spans="2:5" x14ac:dyDescent="0.2">
      <c r="B1194" s="120" t="s">
        <v>2128</v>
      </c>
      <c r="C1194" s="121" t="s">
        <v>2129</v>
      </c>
      <c r="D1194" s="122">
        <v>14.16</v>
      </c>
      <c r="E1194" s="122">
        <v>0.13</v>
      </c>
    </row>
    <row r="1195" spans="2:5" x14ac:dyDescent="0.2">
      <c r="B1195" s="120" t="s">
        <v>2130</v>
      </c>
      <c r="C1195" s="121" t="s">
        <v>2131</v>
      </c>
      <c r="D1195" s="122">
        <v>16.36</v>
      </c>
      <c r="E1195" s="122">
        <v>0.08</v>
      </c>
    </row>
    <row r="1196" spans="2:5" x14ac:dyDescent="0.2">
      <c r="B1196" s="120" t="s">
        <v>2132</v>
      </c>
      <c r="C1196" s="121" t="s">
        <v>2133</v>
      </c>
      <c r="D1196" s="122">
        <v>23.45</v>
      </c>
      <c r="E1196" s="122">
        <v>0.15</v>
      </c>
    </row>
    <row r="1197" spans="2:5" x14ac:dyDescent="0.2">
      <c r="B1197" s="120" t="s">
        <v>2134</v>
      </c>
      <c r="C1197" s="121" t="s">
        <v>2135</v>
      </c>
      <c r="D1197" s="122">
        <v>5.89</v>
      </c>
      <c r="E1197" s="122">
        <v>0.06</v>
      </c>
    </row>
    <row r="1198" spans="2:5" x14ac:dyDescent="0.2">
      <c r="B1198" s="120" t="s">
        <v>2136</v>
      </c>
      <c r="C1198" s="121" t="s">
        <v>2137</v>
      </c>
      <c r="D1198" s="122">
        <v>13.64</v>
      </c>
      <c r="E1198" s="122">
        <v>0.1</v>
      </c>
    </row>
    <row r="1199" spans="2:5" x14ac:dyDescent="0.2">
      <c r="B1199" s="120" t="s">
        <v>4349</v>
      </c>
      <c r="C1199" s="121" t="s">
        <v>4350</v>
      </c>
      <c r="D1199" s="122"/>
      <c r="E1199" s="122"/>
    </row>
    <row r="1200" spans="2:5" x14ac:dyDescent="0.2">
      <c r="B1200" s="120" t="s">
        <v>2138</v>
      </c>
      <c r="C1200" s="121" t="s">
        <v>2139</v>
      </c>
      <c r="D1200" s="122">
        <v>0.87</v>
      </c>
      <c r="E1200" s="122">
        <v>-0.03</v>
      </c>
    </row>
    <row r="1201" spans="2:5" x14ac:dyDescent="0.2">
      <c r="B1201" s="120" t="s">
        <v>4351</v>
      </c>
      <c r="C1201" s="121" t="s">
        <v>4352</v>
      </c>
      <c r="D1201" s="122"/>
      <c r="E1201" s="122">
        <v>0.14000000000000001</v>
      </c>
    </row>
    <row r="1202" spans="2:5" x14ac:dyDescent="0.2">
      <c r="B1202" s="120" t="s">
        <v>2140</v>
      </c>
      <c r="C1202" s="121" t="s">
        <v>2141</v>
      </c>
      <c r="D1202" s="122">
        <v>8.75</v>
      </c>
      <c r="E1202" s="122">
        <v>0.08</v>
      </c>
    </row>
    <row r="1203" spans="2:5" x14ac:dyDescent="0.2">
      <c r="B1203" s="120" t="s">
        <v>2142</v>
      </c>
      <c r="C1203" s="121" t="s">
        <v>2143</v>
      </c>
      <c r="D1203" s="122">
        <v>133.58000000000001</v>
      </c>
      <c r="E1203" s="122">
        <v>0.66</v>
      </c>
    </row>
    <row r="1204" spans="2:5" x14ac:dyDescent="0.2">
      <c r="B1204" s="120" t="s">
        <v>2144</v>
      </c>
      <c r="C1204" s="121" t="s">
        <v>2145</v>
      </c>
      <c r="D1204" s="122">
        <v>9.4600000000000009</v>
      </c>
      <c r="E1204" s="122">
        <v>0.12</v>
      </c>
    </row>
    <row r="1205" spans="2:5" x14ac:dyDescent="0.2">
      <c r="B1205" s="120" t="s">
        <v>2146</v>
      </c>
      <c r="C1205" s="121" t="s">
        <v>2147</v>
      </c>
      <c r="D1205" s="122">
        <v>14.6</v>
      </c>
      <c r="E1205" s="122">
        <v>0.02</v>
      </c>
    </row>
    <row r="1206" spans="2:5" x14ac:dyDescent="0.2">
      <c r="B1206" s="120" t="s">
        <v>4353</v>
      </c>
      <c r="C1206" s="121" t="s">
        <v>4354</v>
      </c>
      <c r="D1206" s="122"/>
      <c r="E1206" s="122"/>
    </row>
    <row r="1207" spans="2:5" x14ac:dyDescent="0.2">
      <c r="B1207" s="120" t="s">
        <v>2148</v>
      </c>
      <c r="C1207" s="121" t="s">
        <v>2149</v>
      </c>
      <c r="D1207" s="122">
        <v>5.23</v>
      </c>
      <c r="E1207" s="122">
        <v>0.06</v>
      </c>
    </row>
    <row r="1208" spans="2:5" x14ac:dyDescent="0.2">
      <c r="B1208" s="120" t="s">
        <v>2150</v>
      </c>
      <c r="C1208" s="121" t="s">
        <v>2151</v>
      </c>
      <c r="D1208" s="122"/>
      <c r="E1208" s="122">
        <v>0.08</v>
      </c>
    </row>
    <row r="1209" spans="2:5" x14ac:dyDescent="0.2">
      <c r="B1209" s="120" t="s">
        <v>2152</v>
      </c>
      <c r="C1209" s="121" t="s">
        <v>2153</v>
      </c>
      <c r="D1209" s="122">
        <v>3.28</v>
      </c>
      <c r="E1209" s="122">
        <v>0.04</v>
      </c>
    </row>
    <row r="1210" spans="2:5" x14ac:dyDescent="0.2">
      <c r="B1210" s="120" t="s">
        <v>2154</v>
      </c>
      <c r="C1210" s="121" t="s">
        <v>2155</v>
      </c>
      <c r="D1210" s="122">
        <v>14.28</v>
      </c>
      <c r="E1210" s="122">
        <v>0.28999999999999998</v>
      </c>
    </row>
    <row r="1211" spans="2:5" x14ac:dyDescent="0.2">
      <c r="B1211" s="120" t="s">
        <v>4355</v>
      </c>
      <c r="C1211" s="121" t="s">
        <v>4356</v>
      </c>
      <c r="D1211" s="122">
        <v>14.46</v>
      </c>
      <c r="E1211" s="122">
        <v>0.15</v>
      </c>
    </row>
    <row r="1212" spans="2:5" x14ac:dyDescent="0.2">
      <c r="B1212" s="120" t="s">
        <v>2156</v>
      </c>
      <c r="C1212" s="121" t="s">
        <v>2157</v>
      </c>
      <c r="D1212" s="122">
        <v>7.96</v>
      </c>
      <c r="E1212" s="122">
        <v>0.09</v>
      </c>
    </row>
    <row r="1213" spans="2:5" x14ac:dyDescent="0.2">
      <c r="B1213" s="120" t="s">
        <v>2158</v>
      </c>
      <c r="C1213" s="121" t="s">
        <v>2159</v>
      </c>
      <c r="D1213" s="122">
        <v>2.52</v>
      </c>
      <c r="E1213" s="122">
        <v>0.02</v>
      </c>
    </row>
    <row r="1214" spans="2:5" x14ac:dyDescent="0.2">
      <c r="B1214" s="120" t="s">
        <v>2160</v>
      </c>
      <c r="C1214" s="121" t="s">
        <v>2161</v>
      </c>
      <c r="D1214" s="122">
        <v>17.940000000000001</v>
      </c>
      <c r="E1214" s="122">
        <v>0.08</v>
      </c>
    </row>
    <row r="1215" spans="2:5" x14ac:dyDescent="0.2">
      <c r="B1215" s="120" t="s">
        <v>2162</v>
      </c>
      <c r="C1215" s="121" t="s">
        <v>2163</v>
      </c>
      <c r="D1215" s="122">
        <v>12.27</v>
      </c>
      <c r="E1215" s="122">
        <v>0.12</v>
      </c>
    </row>
    <row r="1216" spans="2:5" x14ac:dyDescent="0.2">
      <c r="B1216" s="120" t="s">
        <v>4357</v>
      </c>
      <c r="C1216" s="121" t="s">
        <v>4358</v>
      </c>
      <c r="D1216" s="122">
        <v>4.91</v>
      </c>
      <c r="E1216" s="122">
        <v>0.05</v>
      </c>
    </row>
    <row r="1217" spans="2:5" x14ac:dyDescent="0.2">
      <c r="B1217" s="120" t="s">
        <v>4359</v>
      </c>
      <c r="C1217" s="121" t="s">
        <v>4360</v>
      </c>
      <c r="D1217" s="122">
        <v>10.79</v>
      </c>
      <c r="E1217" s="122">
        <v>0.11</v>
      </c>
    </row>
    <row r="1218" spans="2:5" x14ac:dyDescent="0.2">
      <c r="B1218" s="120" t="s">
        <v>4361</v>
      </c>
      <c r="C1218" s="121" t="s">
        <v>4362</v>
      </c>
      <c r="D1218" s="122">
        <v>6.26</v>
      </c>
      <c r="E1218" s="122"/>
    </row>
    <row r="1219" spans="2:5" x14ac:dyDescent="0.2">
      <c r="B1219" s="120" t="s">
        <v>2164</v>
      </c>
      <c r="C1219" s="121" t="s">
        <v>2165</v>
      </c>
      <c r="D1219" s="122">
        <v>12.97</v>
      </c>
      <c r="E1219" s="122">
        <v>0.17</v>
      </c>
    </row>
    <row r="1220" spans="2:5" x14ac:dyDescent="0.2">
      <c r="B1220" s="120" t="s">
        <v>4363</v>
      </c>
      <c r="C1220" s="121" t="s">
        <v>4364</v>
      </c>
      <c r="D1220" s="122">
        <v>14.01</v>
      </c>
      <c r="E1220" s="122">
        <v>0.23</v>
      </c>
    </row>
    <row r="1221" spans="2:5" x14ac:dyDescent="0.2">
      <c r="B1221" s="120" t="s">
        <v>2166</v>
      </c>
      <c r="C1221" s="121" t="s">
        <v>2167</v>
      </c>
      <c r="D1221" s="122">
        <v>9.5299999999999994</v>
      </c>
      <c r="E1221" s="122">
        <v>-0.02</v>
      </c>
    </row>
    <row r="1222" spans="2:5" x14ac:dyDescent="0.2">
      <c r="B1222" s="120" t="s">
        <v>2168</v>
      </c>
      <c r="C1222" s="121" t="s">
        <v>2169</v>
      </c>
      <c r="D1222" s="122">
        <v>16.36</v>
      </c>
      <c r="E1222" s="122">
        <v>0.19</v>
      </c>
    </row>
    <row r="1223" spans="2:5" x14ac:dyDescent="0.2">
      <c r="B1223" s="120" t="s">
        <v>4365</v>
      </c>
      <c r="C1223" s="121" t="s">
        <v>4366</v>
      </c>
      <c r="D1223" s="122">
        <v>11.37</v>
      </c>
      <c r="E1223" s="122">
        <v>0.11</v>
      </c>
    </row>
    <row r="1224" spans="2:5" x14ac:dyDescent="0.2">
      <c r="B1224" s="120" t="s">
        <v>2170</v>
      </c>
      <c r="C1224" s="121" t="s">
        <v>2171</v>
      </c>
      <c r="D1224" s="122">
        <v>39.89</v>
      </c>
      <c r="E1224" s="122">
        <v>0.4</v>
      </c>
    </row>
    <row r="1225" spans="2:5" x14ac:dyDescent="0.2">
      <c r="B1225" s="120" t="s">
        <v>2172</v>
      </c>
      <c r="C1225" s="121" t="s">
        <v>2173</v>
      </c>
      <c r="D1225" s="122">
        <v>7.57</v>
      </c>
      <c r="E1225" s="122">
        <v>7.0000000000000007E-2</v>
      </c>
    </row>
    <row r="1226" spans="2:5" x14ac:dyDescent="0.2">
      <c r="B1226" s="120" t="s">
        <v>4367</v>
      </c>
      <c r="C1226" s="121" t="s">
        <v>4368</v>
      </c>
      <c r="D1226" s="122">
        <v>2.17</v>
      </c>
      <c r="E1226" s="122">
        <v>0.02</v>
      </c>
    </row>
    <row r="1227" spans="2:5" x14ac:dyDescent="0.2">
      <c r="B1227" s="120" t="s">
        <v>2174</v>
      </c>
      <c r="C1227" s="121" t="s">
        <v>2175</v>
      </c>
      <c r="D1227" s="122">
        <v>12.39</v>
      </c>
      <c r="E1227" s="122">
        <v>0.11</v>
      </c>
    </row>
    <row r="1228" spans="2:5" x14ac:dyDescent="0.2">
      <c r="B1228" s="120" t="s">
        <v>2176</v>
      </c>
      <c r="C1228" s="121" t="s">
        <v>2177</v>
      </c>
      <c r="D1228" s="122">
        <v>26.91</v>
      </c>
      <c r="E1228" s="122">
        <v>0.12</v>
      </c>
    </row>
    <row r="1229" spans="2:5" x14ac:dyDescent="0.2">
      <c r="B1229" s="120" t="s">
        <v>4369</v>
      </c>
      <c r="C1229" s="121" t="s">
        <v>4370</v>
      </c>
      <c r="D1229" s="122"/>
      <c r="E1229" s="122"/>
    </row>
    <row r="1230" spans="2:5" x14ac:dyDescent="0.2">
      <c r="B1230" s="120" t="s">
        <v>2178</v>
      </c>
      <c r="C1230" s="121" t="s">
        <v>2179</v>
      </c>
      <c r="D1230" s="122">
        <v>14.94</v>
      </c>
      <c r="E1230" s="122">
        <v>0.11</v>
      </c>
    </row>
    <row r="1231" spans="2:5" x14ac:dyDescent="0.2">
      <c r="B1231" s="120" t="s">
        <v>2180</v>
      </c>
      <c r="C1231" s="121" t="s">
        <v>2181</v>
      </c>
      <c r="D1231" s="122">
        <v>17.16</v>
      </c>
      <c r="E1231" s="122">
        <v>0.16</v>
      </c>
    </row>
    <row r="1232" spans="2:5" x14ac:dyDescent="0.2">
      <c r="B1232" s="120" t="s">
        <v>2182</v>
      </c>
      <c r="C1232" s="121" t="s">
        <v>2183</v>
      </c>
      <c r="D1232" s="122">
        <v>35.450000000000003</v>
      </c>
      <c r="E1232" s="122">
        <v>0.47</v>
      </c>
    </row>
    <row r="1233" spans="2:5" x14ac:dyDescent="0.2">
      <c r="B1233" s="120" t="s">
        <v>2184</v>
      </c>
      <c r="C1233" s="121" t="s">
        <v>2185</v>
      </c>
      <c r="D1233" s="122">
        <v>8.83</v>
      </c>
      <c r="E1233" s="122">
        <v>0.09</v>
      </c>
    </row>
    <row r="1234" spans="2:5" x14ac:dyDescent="0.2">
      <c r="B1234" s="120" t="s">
        <v>4371</v>
      </c>
      <c r="C1234" s="121" t="s">
        <v>4372</v>
      </c>
      <c r="D1234" s="122">
        <v>7.08</v>
      </c>
      <c r="E1234" s="122"/>
    </row>
    <row r="1235" spans="2:5" x14ac:dyDescent="0.2">
      <c r="B1235" s="120" t="s">
        <v>2186</v>
      </c>
      <c r="C1235" s="121" t="s">
        <v>2187</v>
      </c>
      <c r="D1235" s="122">
        <v>26.86</v>
      </c>
      <c r="E1235" s="122">
        <v>0.26</v>
      </c>
    </row>
    <row r="1236" spans="2:5" x14ac:dyDescent="0.2">
      <c r="B1236" s="120" t="s">
        <v>2188</v>
      </c>
      <c r="C1236" s="121" t="s">
        <v>2189</v>
      </c>
      <c r="D1236" s="122">
        <v>38.549999999999997</v>
      </c>
      <c r="E1236" s="122">
        <v>0.27</v>
      </c>
    </row>
    <row r="1237" spans="2:5" x14ac:dyDescent="0.2">
      <c r="B1237" s="120" t="s">
        <v>2190</v>
      </c>
      <c r="C1237" s="121" t="s">
        <v>4373</v>
      </c>
      <c r="D1237" s="122">
        <v>6.32</v>
      </c>
      <c r="E1237" s="122">
        <v>0.04</v>
      </c>
    </row>
    <row r="1238" spans="2:5" x14ac:dyDescent="0.2">
      <c r="B1238" s="120" t="s">
        <v>2192</v>
      </c>
      <c r="C1238" s="121" t="s">
        <v>2193</v>
      </c>
      <c r="D1238" s="122">
        <v>4.9400000000000004</v>
      </c>
      <c r="E1238" s="122">
        <v>0.04</v>
      </c>
    </row>
    <row r="1239" spans="2:5" x14ac:dyDescent="0.2">
      <c r="B1239" s="120" t="s">
        <v>2194</v>
      </c>
      <c r="C1239" s="121" t="s">
        <v>2195</v>
      </c>
      <c r="D1239" s="122">
        <v>24.59</v>
      </c>
      <c r="E1239" s="122">
        <v>0.21</v>
      </c>
    </row>
    <row r="1240" spans="2:5" x14ac:dyDescent="0.2">
      <c r="B1240" s="120" t="s">
        <v>2196</v>
      </c>
      <c r="C1240" s="121" t="s">
        <v>2197</v>
      </c>
      <c r="D1240" s="122"/>
      <c r="E1240" s="122">
        <v>0.11</v>
      </c>
    </row>
    <row r="1241" spans="2:5" x14ac:dyDescent="0.2">
      <c r="B1241" s="120" t="s">
        <v>2198</v>
      </c>
      <c r="C1241" s="121" t="s">
        <v>2199</v>
      </c>
      <c r="D1241" s="122"/>
      <c r="E1241" s="122">
        <v>0.09</v>
      </c>
    </row>
    <row r="1242" spans="2:5" x14ac:dyDescent="0.2">
      <c r="B1242" s="120" t="s">
        <v>4374</v>
      </c>
      <c r="C1242" s="121" t="s">
        <v>4375</v>
      </c>
      <c r="D1242" s="122">
        <v>-35.86</v>
      </c>
      <c r="E1242" s="122">
        <v>-0.74</v>
      </c>
    </row>
    <row r="1243" spans="2:5" x14ac:dyDescent="0.2">
      <c r="B1243" s="120" t="s">
        <v>4376</v>
      </c>
      <c r="C1243" s="121" t="s">
        <v>4377</v>
      </c>
      <c r="D1243" s="122">
        <v>15.75</v>
      </c>
      <c r="E1243" s="122">
        <v>0.18</v>
      </c>
    </row>
    <row r="1244" spans="2:5" x14ac:dyDescent="0.2">
      <c r="B1244" s="120" t="s">
        <v>2200</v>
      </c>
      <c r="C1244" s="121" t="s">
        <v>2201</v>
      </c>
      <c r="D1244" s="122">
        <v>7.71</v>
      </c>
      <c r="E1244" s="122">
        <v>0.05</v>
      </c>
    </row>
    <row r="1245" spans="2:5" x14ac:dyDescent="0.2">
      <c r="B1245" s="120" t="s">
        <v>2202</v>
      </c>
      <c r="C1245" s="121" t="s">
        <v>2203</v>
      </c>
      <c r="D1245" s="122">
        <v>3.01</v>
      </c>
      <c r="E1245" s="122">
        <v>0.03</v>
      </c>
    </row>
    <row r="1246" spans="2:5" x14ac:dyDescent="0.2">
      <c r="B1246" s="120" t="s">
        <v>2204</v>
      </c>
      <c r="C1246" s="121" t="s">
        <v>2205</v>
      </c>
      <c r="D1246" s="122">
        <v>28.78</v>
      </c>
      <c r="E1246" s="122">
        <v>0.28000000000000003</v>
      </c>
    </row>
    <row r="1247" spans="2:5" x14ac:dyDescent="0.2">
      <c r="B1247" s="120" t="s">
        <v>2206</v>
      </c>
      <c r="C1247" s="121" t="s">
        <v>2207</v>
      </c>
      <c r="D1247" s="122">
        <v>42.98</v>
      </c>
      <c r="E1247" s="122">
        <v>1.3</v>
      </c>
    </row>
    <row r="1248" spans="2:5" x14ac:dyDescent="0.2">
      <c r="B1248" s="120" t="s">
        <v>2208</v>
      </c>
      <c r="C1248" s="121" t="s">
        <v>2209</v>
      </c>
      <c r="D1248" s="122">
        <v>28.34</v>
      </c>
      <c r="E1248" s="122">
        <v>0.18</v>
      </c>
    </row>
    <row r="1249" spans="2:5" x14ac:dyDescent="0.2">
      <c r="B1249" s="120" t="s">
        <v>4378</v>
      </c>
      <c r="C1249" s="121" t="s">
        <v>4379</v>
      </c>
      <c r="D1249" s="122">
        <v>12.44</v>
      </c>
      <c r="E1249" s="122">
        <v>0.13</v>
      </c>
    </row>
    <row r="1250" spans="2:5" x14ac:dyDescent="0.2">
      <c r="B1250" s="120" t="s">
        <v>2210</v>
      </c>
      <c r="C1250" s="121" t="s">
        <v>2211</v>
      </c>
      <c r="D1250" s="122">
        <v>13.59</v>
      </c>
      <c r="E1250" s="122">
        <v>7.0000000000000007E-2</v>
      </c>
    </row>
    <row r="1251" spans="2:5" x14ac:dyDescent="0.2">
      <c r="B1251" s="120" t="s">
        <v>2212</v>
      </c>
      <c r="C1251" s="121" t="s">
        <v>2213</v>
      </c>
      <c r="D1251" s="122">
        <v>28.07</v>
      </c>
      <c r="E1251" s="122">
        <v>0.15</v>
      </c>
    </row>
    <row r="1252" spans="2:5" x14ac:dyDescent="0.2">
      <c r="B1252" s="120" t="s">
        <v>2214</v>
      </c>
      <c r="C1252" s="121" t="s">
        <v>2215</v>
      </c>
      <c r="D1252" s="122"/>
      <c r="E1252" s="122">
        <v>-2.85</v>
      </c>
    </row>
    <row r="1253" spans="2:5" x14ac:dyDescent="0.2">
      <c r="B1253" s="120" t="s">
        <v>2216</v>
      </c>
      <c r="C1253" s="121" t="s">
        <v>2217</v>
      </c>
      <c r="D1253" s="122">
        <v>12.64</v>
      </c>
      <c r="E1253" s="122">
        <v>0.17</v>
      </c>
    </row>
    <row r="1254" spans="2:5" x14ac:dyDescent="0.2">
      <c r="B1254" s="120" t="s">
        <v>2218</v>
      </c>
      <c r="C1254" s="121" t="s">
        <v>2219</v>
      </c>
      <c r="D1254" s="122">
        <v>-2697.86</v>
      </c>
      <c r="E1254" s="122">
        <v>-7.61</v>
      </c>
    </row>
    <row r="1255" spans="2:5" x14ac:dyDescent="0.2">
      <c r="B1255" s="120" t="s">
        <v>2220</v>
      </c>
      <c r="C1255" s="121" t="s">
        <v>2221</v>
      </c>
      <c r="D1255" s="122">
        <v>20.75</v>
      </c>
      <c r="E1255" s="122">
        <v>-0.06</v>
      </c>
    </row>
    <row r="1256" spans="2:5" x14ac:dyDescent="0.2">
      <c r="B1256" s="120" t="s">
        <v>2222</v>
      </c>
      <c r="C1256" s="121" t="s">
        <v>2223</v>
      </c>
      <c r="D1256" s="122"/>
      <c r="E1256" s="122">
        <v>0.01</v>
      </c>
    </row>
    <row r="1257" spans="2:5" x14ac:dyDescent="0.2">
      <c r="B1257" s="120" t="s">
        <v>2224</v>
      </c>
      <c r="C1257" s="121" t="s">
        <v>2225</v>
      </c>
      <c r="D1257" s="122">
        <v>20.7</v>
      </c>
      <c r="E1257" s="122">
        <v>0.17</v>
      </c>
    </row>
    <row r="1258" spans="2:5" x14ac:dyDescent="0.2">
      <c r="B1258" s="120" t="s">
        <v>2226</v>
      </c>
      <c r="C1258" s="121" t="s">
        <v>2227</v>
      </c>
      <c r="D1258" s="122">
        <v>13.67</v>
      </c>
      <c r="E1258" s="122">
        <v>0.09</v>
      </c>
    </row>
    <row r="1259" spans="2:5" x14ac:dyDescent="0.2">
      <c r="B1259" s="120" t="s">
        <v>2228</v>
      </c>
      <c r="C1259" s="121" t="s">
        <v>2229</v>
      </c>
      <c r="D1259" s="122">
        <v>3.62</v>
      </c>
      <c r="E1259" s="122"/>
    </row>
    <row r="1260" spans="2:5" x14ac:dyDescent="0.2">
      <c r="B1260" s="120" t="s">
        <v>4380</v>
      </c>
      <c r="C1260" s="121" t="s">
        <v>4381</v>
      </c>
      <c r="D1260" s="122">
        <v>3.39</v>
      </c>
      <c r="E1260" s="122">
        <v>0.04</v>
      </c>
    </row>
    <row r="1261" spans="2:5" x14ac:dyDescent="0.2">
      <c r="B1261" s="120" t="s">
        <v>2230</v>
      </c>
      <c r="C1261" s="121" t="s">
        <v>2231</v>
      </c>
      <c r="D1261" s="122">
        <v>34.17</v>
      </c>
      <c r="E1261" s="122">
        <v>0.35</v>
      </c>
    </row>
    <row r="1262" spans="2:5" x14ac:dyDescent="0.2">
      <c r="B1262" s="120" t="s">
        <v>2232</v>
      </c>
      <c r="C1262" s="121" t="s">
        <v>2233</v>
      </c>
      <c r="D1262" s="122">
        <v>29.27</v>
      </c>
      <c r="E1262" s="122">
        <v>0.31</v>
      </c>
    </row>
    <row r="1263" spans="2:5" x14ac:dyDescent="0.2">
      <c r="B1263" s="120" t="s">
        <v>2234</v>
      </c>
      <c r="C1263" s="121" t="s">
        <v>2235</v>
      </c>
      <c r="D1263" s="122">
        <v>0.7</v>
      </c>
      <c r="E1263" s="122">
        <v>0.01</v>
      </c>
    </row>
    <row r="1264" spans="2:5" x14ac:dyDescent="0.2">
      <c r="B1264" s="120" t="s">
        <v>2236</v>
      </c>
      <c r="C1264" s="121" t="s">
        <v>2237</v>
      </c>
      <c r="D1264" s="122">
        <v>17.22</v>
      </c>
      <c r="E1264" s="122">
        <v>0.13</v>
      </c>
    </row>
    <row r="1265" spans="2:5" x14ac:dyDescent="0.2">
      <c r="B1265" s="120" t="s">
        <v>2238</v>
      </c>
      <c r="C1265" s="121" t="s">
        <v>2239</v>
      </c>
      <c r="D1265" s="122">
        <v>8.82</v>
      </c>
      <c r="E1265" s="122"/>
    </row>
    <row r="1266" spans="2:5" x14ac:dyDescent="0.2">
      <c r="B1266" s="120" t="s">
        <v>2240</v>
      </c>
      <c r="C1266" s="121" t="s">
        <v>2241</v>
      </c>
      <c r="D1266" s="122">
        <v>4.88</v>
      </c>
      <c r="E1266" s="122">
        <v>7.0000000000000007E-2</v>
      </c>
    </row>
    <row r="1267" spans="2:5" x14ac:dyDescent="0.2">
      <c r="B1267" s="120" t="s">
        <v>2242</v>
      </c>
      <c r="C1267" s="121" t="s">
        <v>2243</v>
      </c>
      <c r="D1267" s="122">
        <v>33.270000000000003</v>
      </c>
      <c r="E1267" s="122">
        <v>0.3</v>
      </c>
    </row>
    <row r="1268" spans="2:5" x14ac:dyDescent="0.2">
      <c r="B1268" s="120" t="s">
        <v>2244</v>
      </c>
      <c r="C1268" s="121" t="s">
        <v>2245</v>
      </c>
      <c r="D1268" s="122">
        <v>28.79</v>
      </c>
      <c r="E1268" s="122">
        <v>0.28000000000000003</v>
      </c>
    </row>
    <row r="1269" spans="2:5" x14ac:dyDescent="0.2">
      <c r="B1269" s="120" t="s">
        <v>2246</v>
      </c>
      <c r="C1269" s="121" t="s">
        <v>2247</v>
      </c>
      <c r="D1269" s="122">
        <v>18.2</v>
      </c>
      <c r="E1269" s="122">
        <v>0.17</v>
      </c>
    </row>
    <row r="1270" spans="2:5" x14ac:dyDescent="0.2">
      <c r="B1270" s="120" t="s">
        <v>2248</v>
      </c>
      <c r="C1270" s="121" t="s">
        <v>2249</v>
      </c>
      <c r="D1270" s="122">
        <v>56.49</v>
      </c>
      <c r="E1270" s="122">
        <v>0.6</v>
      </c>
    </row>
    <row r="1271" spans="2:5" x14ac:dyDescent="0.2">
      <c r="B1271" s="120" t="s">
        <v>2250</v>
      </c>
      <c r="C1271" s="121" t="s">
        <v>2251</v>
      </c>
      <c r="D1271" s="122">
        <v>5.36</v>
      </c>
      <c r="E1271" s="122"/>
    </row>
    <row r="1272" spans="2:5" x14ac:dyDescent="0.2">
      <c r="B1272" s="120" t="s">
        <v>2252</v>
      </c>
      <c r="C1272" s="121" t="s">
        <v>2253</v>
      </c>
      <c r="D1272" s="122">
        <v>14.14</v>
      </c>
      <c r="E1272" s="122"/>
    </row>
    <row r="1273" spans="2:5" x14ac:dyDescent="0.2">
      <c r="B1273" s="120" t="s">
        <v>4382</v>
      </c>
      <c r="C1273" s="121" t="s">
        <v>4383</v>
      </c>
      <c r="D1273" s="122"/>
      <c r="E1273" s="122">
        <v>0.06</v>
      </c>
    </row>
    <row r="1274" spans="2:5" x14ac:dyDescent="0.2">
      <c r="B1274" s="120" t="s">
        <v>4384</v>
      </c>
      <c r="C1274" s="121" t="s">
        <v>4385</v>
      </c>
      <c r="D1274" s="122">
        <v>10.51</v>
      </c>
      <c r="E1274" s="122">
        <v>0.1</v>
      </c>
    </row>
    <row r="1275" spans="2:5" x14ac:dyDescent="0.2">
      <c r="B1275" s="120" t="s">
        <v>2254</v>
      </c>
      <c r="C1275" s="121" t="s">
        <v>2255</v>
      </c>
      <c r="D1275" s="122">
        <v>4.8099999999999996</v>
      </c>
      <c r="E1275" s="122">
        <v>0.04</v>
      </c>
    </row>
    <row r="1276" spans="2:5" x14ac:dyDescent="0.2">
      <c r="B1276" s="120" t="s">
        <v>2256</v>
      </c>
      <c r="C1276" s="121" t="s">
        <v>2257</v>
      </c>
      <c r="D1276" s="122">
        <v>40.74</v>
      </c>
      <c r="E1276" s="122"/>
    </row>
    <row r="1277" spans="2:5" x14ac:dyDescent="0.2">
      <c r="B1277" s="120" t="s">
        <v>4386</v>
      </c>
      <c r="C1277" s="121" t="s">
        <v>4387</v>
      </c>
      <c r="D1277" s="122"/>
      <c r="E1277" s="122"/>
    </row>
    <row r="1278" spans="2:5" x14ac:dyDescent="0.2">
      <c r="B1278" s="120" t="s">
        <v>2258</v>
      </c>
      <c r="C1278" s="121" t="s">
        <v>2259</v>
      </c>
      <c r="D1278" s="122">
        <v>16.38</v>
      </c>
      <c r="E1278" s="122">
        <v>0.13</v>
      </c>
    </row>
    <row r="1279" spans="2:5" x14ac:dyDescent="0.2">
      <c r="B1279" s="120" t="s">
        <v>2260</v>
      </c>
      <c r="C1279" s="121" t="s">
        <v>2261</v>
      </c>
      <c r="D1279" s="122">
        <v>6.65</v>
      </c>
      <c r="E1279" s="122">
        <v>0.16</v>
      </c>
    </row>
    <row r="1280" spans="2:5" x14ac:dyDescent="0.2">
      <c r="B1280" s="120" t="s">
        <v>4388</v>
      </c>
      <c r="C1280" s="121" t="s">
        <v>4389</v>
      </c>
      <c r="D1280" s="122">
        <v>4.6399999999999997</v>
      </c>
      <c r="E1280" s="122">
        <v>0.05</v>
      </c>
    </row>
    <row r="1281" spans="2:5" x14ac:dyDescent="0.2">
      <c r="B1281" s="120" t="s">
        <v>4390</v>
      </c>
      <c r="C1281" s="121" t="s">
        <v>4391</v>
      </c>
      <c r="D1281" s="122">
        <v>4.99</v>
      </c>
      <c r="E1281" s="122">
        <v>0.05</v>
      </c>
    </row>
    <row r="1282" spans="2:5" x14ac:dyDescent="0.2">
      <c r="B1282" s="120" t="s">
        <v>2262</v>
      </c>
      <c r="C1282" s="121" t="s">
        <v>2263</v>
      </c>
      <c r="D1282" s="122">
        <v>8.0500000000000007</v>
      </c>
      <c r="E1282" s="122">
        <v>7.0000000000000007E-2</v>
      </c>
    </row>
    <row r="1283" spans="2:5" x14ac:dyDescent="0.2">
      <c r="B1283" s="120" t="s">
        <v>2264</v>
      </c>
      <c r="C1283" s="121" t="s">
        <v>2265</v>
      </c>
      <c r="D1283" s="122">
        <v>29.26</v>
      </c>
      <c r="E1283" s="122">
        <v>0.36</v>
      </c>
    </row>
    <row r="1284" spans="2:5" x14ac:dyDescent="0.2">
      <c r="B1284" s="120" t="s">
        <v>2266</v>
      </c>
      <c r="C1284" s="121" t="s">
        <v>2267</v>
      </c>
      <c r="D1284" s="122">
        <v>20.13</v>
      </c>
      <c r="E1284" s="122">
        <v>0.03</v>
      </c>
    </row>
    <row r="1285" spans="2:5" x14ac:dyDescent="0.2">
      <c r="B1285" s="120" t="s">
        <v>2268</v>
      </c>
      <c r="C1285" s="121" t="s">
        <v>2269</v>
      </c>
      <c r="D1285" s="122">
        <v>2.0299999999999998</v>
      </c>
      <c r="E1285" s="122">
        <v>0.02</v>
      </c>
    </row>
    <row r="1286" spans="2:5" x14ac:dyDescent="0.2">
      <c r="B1286" s="120" t="s">
        <v>2270</v>
      </c>
      <c r="C1286" s="121" t="s">
        <v>2271</v>
      </c>
      <c r="D1286" s="122"/>
      <c r="E1286" s="122">
        <v>0.17</v>
      </c>
    </row>
    <row r="1287" spans="2:5" x14ac:dyDescent="0.2">
      <c r="B1287" s="120" t="s">
        <v>4392</v>
      </c>
      <c r="C1287" s="121" t="s">
        <v>4393</v>
      </c>
      <c r="D1287" s="122">
        <v>16</v>
      </c>
      <c r="E1287" s="122">
        <v>0.11</v>
      </c>
    </row>
    <row r="1288" spans="2:5" x14ac:dyDescent="0.2">
      <c r="B1288" s="120" t="s">
        <v>2272</v>
      </c>
      <c r="C1288" s="121" t="s">
        <v>2273</v>
      </c>
      <c r="D1288" s="122">
        <v>49.62</v>
      </c>
      <c r="E1288" s="122">
        <v>7.0000000000000007E-2</v>
      </c>
    </row>
    <row r="1289" spans="2:5" x14ac:dyDescent="0.2">
      <c r="B1289" s="120" t="s">
        <v>2274</v>
      </c>
      <c r="C1289" s="121" t="s">
        <v>2275</v>
      </c>
      <c r="D1289" s="122">
        <v>0.35</v>
      </c>
      <c r="E1289" s="122">
        <v>0.05</v>
      </c>
    </row>
    <row r="1290" spans="2:5" x14ac:dyDescent="0.2">
      <c r="B1290" s="120" t="s">
        <v>2276</v>
      </c>
      <c r="C1290" s="121" t="s">
        <v>2277</v>
      </c>
      <c r="D1290" s="122">
        <v>1.99</v>
      </c>
      <c r="E1290" s="122">
        <v>-0.01</v>
      </c>
    </row>
    <row r="1291" spans="2:5" x14ac:dyDescent="0.2">
      <c r="B1291" s="120" t="s">
        <v>2278</v>
      </c>
      <c r="C1291" s="121" t="s">
        <v>2279</v>
      </c>
      <c r="D1291" s="122">
        <v>18.38</v>
      </c>
      <c r="E1291" s="122">
        <v>0.16</v>
      </c>
    </row>
    <row r="1292" spans="2:5" x14ac:dyDescent="0.2">
      <c r="B1292" s="120" t="s">
        <v>4394</v>
      </c>
      <c r="C1292" s="121" t="s">
        <v>4395</v>
      </c>
      <c r="D1292" s="122"/>
      <c r="E1292" s="122">
        <v>0.15</v>
      </c>
    </row>
    <row r="1293" spans="2:5" x14ac:dyDescent="0.2">
      <c r="B1293" s="120" t="s">
        <v>2280</v>
      </c>
      <c r="C1293" s="121" t="s">
        <v>2281</v>
      </c>
      <c r="D1293" s="122">
        <v>6.08</v>
      </c>
      <c r="E1293" s="122">
        <v>-0.01</v>
      </c>
    </row>
    <row r="1294" spans="2:5" x14ac:dyDescent="0.2">
      <c r="B1294" s="120" t="s">
        <v>2282</v>
      </c>
      <c r="C1294" s="121" t="s">
        <v>2283</v>
      </c>
      <c r="D1294" s="122"/>
      <c r="E1294" s="122"/>
    </row>
    <row r="1295" spans="2:5" x14ac:dyDescent="0.2">
      <c r="B1295" s="120" t="s">
        <v>2284</v>
      </c>
      <c r="C1295" s="121" t="s">
        <v>2285</v>
      </c>
      <c r="D1295" s="122">
        <v>32.409999999999997</v>
      </c>
      <c r="E1295" s="122">
        <v>0.11</v>
      </c>
    </row>
    <row r="1296" spans="2:5" x14ac:dyDescent="0.2">
      <c r="B1296" s="120" t="s">
        <v>4396</v>
      </c>
      <c r="C1296" s="121" t="s">
        <v>4397</v>
      </c>
      <c r="D1296" s="122">
        <v>8.24</v>
      </c>
      <c r="E1296" s="122">
        <v>0.08</v>
      </c>
    </row>
    <row r="1297" spans="2:5" x14ac:dyDescent="0.2">
      <c r="B1297" s="120" t="s">
        <v>4398</v>
      </c>
      <c r="C1297" s="121" t="s">
        <v>4399</v>
      </c>
      <c r="D1297" s="122"/>
      <c r="E1297" s="122"/>
    </row>
    <row r="1298" spans="2:5" x14ac:dyDescent="0.2">
      <c r="B1298" s="120" t="s">
        <v>2286</v>
      </c>
      <c r="C1298" s="121" t="s">
        <v>2287</v>
      </c>
      <c r="D1298" s="122">
        <v>14.8</v>
      </c>
      <c r="E1298" s="122">
        <v>0.17</v>
      </c>
    </row>
    <row r="1299" spans="2:5" x14ac:dyDescent="0.2">
      <c r="B1299" s="120" t="s">
        <v>4400</v>
      </c>
      <c r="C1299" s="121" t="s">
        <v>4401</v>
      </c>
      <c r="D1299" s="122"/>
      <c r="E1299" s="122"/>
    </row>
    <row r="1300" spans="2:5" x14ac:dyDescent="0.2">
      <c r="B1300" s="120" t="s">
        <v>2288</v>
      </c>
      <c r="C1300" s="121" t="s">
        <v>2289</v>
      </c>
      <c r="D1300" s="122">
        <v>22.13</v>
      </c>
      <c r="E1300" s="122">
        <v>0.4</v>
      </c>
    </row>
    <row r="1301" spans="2:5" x14ac:dyDescent="0.2">
      <c r="B1301" s="120" t="s">
        <v>2290</v>
      </c>
      <c r="C1301" s="121" t="s">
        <v>2291</v>
      </c>
      <c r="D1301" s="122">
        <v>8.39</v>
      </c>
      <c r="E1301" s="122">
        <v>0.05</v>
      </c>
    </row>
    <row r="1302" spans="2:5" x14ac:dyDescent="0.2">
      <c r="B1302" s="120" t="s">
        <v>2292</v>
      </c>
      <c r="C1302" s="121" t="s">
        <v>2293</v>
      </c>
      <c r="D1302" s="122">
        <v>14.53</v>
      </c>
      <c r="E1302" s="122">
        <v>0.15</v>
      </c>
    </row>
    <row r="1303" spans="2:5" x14ac:dyDescent="0.2">
      <c r="B1303" s="120" t="s">
        <v>4402</v>
      </c>
      <c r="C1303" s="121" t="s">
        <v>4403</v>
      </c>
      <c r="D1303" s="122">
        <v>11.7</v>
      </c>
      <c r="E1303" s="122">
        <v>0.1</v>
      </c>
    </row>
    <row r="1304" spans="2:5" x14ac:dyDescent="0.2">
      <c r="B1304" s="120" t="s">
        <v>2296</v>
      </c>
      <c r="C1304" s="121" t="s">
        <v>2297</v>
      </c>
      <c r="D1304" s="122">
        <v>7.4</v>
      </c>
      <c r="E1304" s="122">
        <v>-0.09</v>
      </c>
    </row>
    <row r="1305" spans="2:5" x14ac:dyDescent="0.2">
      <c r="B1305" s="120" t="s">
        <v>2298</v>
      </c>
      <c r="C1305" s="121" t="s">
        <v>2299</v>
      </c>
      <c r="D1305" s="122"/>
      <c r="E1305" s="122">
        <v>-0.7</v>
      </c>
    </row>
    <row r="1306" spans="2:5" x14ac:dyDescent="0.2">
      <c r="B1306" s="120" t="s">
        <v>2300</v>
      </c>
      <c r="C1306" s="121" t="s">
        <v>2301</v>
      </c>
      <c r="D1306" s="122">
        <v>17.43</v>
      </c>
      <c r="E1306" s="122">
        <v>0.25</v>
      </c>
    </row>
    <row r="1307" spans="2:5" x14ac:dyDescent="0.2">
      <c r="B1307" s="120" t="s">
        <v>2302</v>
      </c>
      <c r="C1307" s="121" t="s">
        <v>2303</v>
      </c>
      <c r="D1307" s="122">
        <v>6.53</v>
      </c>
      <c r="E1307" s="122">
        <v>0.08</v>
      </c>
    </row>
    <row r="1308" spans="2:5" x14ac:dyDescent="0.2">
      <c r="B1308" s="120" t="s">
        <v>2304</v>
      </c>
      <c r="C1308" s="121" t="s">
        <v>2305</v>
      </c>
      <c r="D1308" s="122"/>
      <c r="E1308" s="122">
        <v>0.1</v>
      </c>
    </row>
    <row r="1309" spans="2:5" x14ac:dyDescent="0.2">
      <c r="B1309" s="120" t="s">
        <v>2306</v>
      </c>
      <c r="C1309" s="121" t="s">
        <v>2307</v>
      </c>
      <c r="D1309" s="122"/>
      <c r="E1309" s="122">
        <v>0.13</v>
      </c>
    </row>
    <row r="1310" spans="2:5" x14ac:dyDescent="0.2">
      <c r="B1310" s="120" t="s">
        <v>2308</v>
      </c>
      <c r="C1310" s="121" t="s">
        <v>2309</v>
      </c>
      <c r="D1310" s="122">
        <v>15.93</v>
      </c>
      <c r="E1310" s="122">
        <v>0.15</v>
      </c>
    </row>
    <row r="1311" spans="2:5" x14ac:dyDescent="0.2">
      <c r="B1311" s="120" t="s">
        <v>2310</v>
      </c>
      <c r="C1311" s="121" t="s">
        <v>2311</v>
      </c>
      <c r="D1311" s="122">
        <v>50.71</v>
      </c>
      <c r="E1311" s="122">
        <v>0.52</v>
      </c>
    </row>
    <row r="1312" spans="2:5" x14ac:dyDescent="0.2">
      <c r="B1312" s="120" t="s">
        <v>2312</v>
      </c>
      <c r="C1312" s="121" t="s">
        <v>2313</v>
      </c>
      <c r="D1312" s="122">
        <v>1.23</v>
      </c>
      <c r="E1312" s="122">
        <v>0.03</v>
      </c>
    </row>
    <row r="1313" spans="2:5" x14ac:dyDescent="0.2">
      <c r="B1313" s="120" t="s">
        <v>2314</v>
      </c>
      <c r="C1313" s="121" t="s">
        <v>2315</v>
      </c>
      <c r="D1313" s="122">
        <v>9.91</v>
      </c>
      <c r="E1313" s="122">
        <v>-0.01</v>
      </c>
    </row>
    <row r="1314" spans="2:5" x14ac:dyDescent="0.2">
      <c r="B1314" s="120" t="s">
        <v>2316</v>
      </c>
      <c r="C1314" s="121" t="s">
        <v>2317</v>
      </c>
      <c r="D1314" s="122">
        <v>20.96</v>
      </c>
      <c r="E1314" s="122">
        <v>0.11</v>
      </c>
    </row>
    <row r="1315" spans="2:5" x14ac:dyDescent="0.2">
      <c r="B1315" s="120" t="s">
        <v>4404</v>
      </c>
      <c r="C1315" s="121" t="s">
        <v>4405</v>
      </c>
      <c r="D1315" s="122"/>
      <c r="E1315" s="122">
        <v>0.26</v>
      </c>
    </row>
    <row r="1316" spans="2:5" x14ac:dyDescent="0.2">
      <c r="B1316" s="120" t="s">
        <v>2318</v>
      </c>
      <c r="C1316" s="121" t="s">
        <v>2319</v>
      </c>
      <c r="D1316" s="122">
        <v>8.4600000000000009</v>
      </c>
      <c r="E1316" s="122">
        <v>0.09</v>
      </c>
    </row>
    <row r="1317" spans="2:5" x14ac:dyDescent="0.2">
      <c r="B1317" s="120" t="s">
        <v>2320</v>
      </c>
      <c r="C1317" s="121" t="s">
        <v>2321</v>
      </c>
      <c r="D1317" s="122"/>
      <c r="E1317" s="122">
        <v>-1.94</v>
      </c>
    </row>
    <row r="1318" spans="2:5" x14ac:dyDescent="0.2">
      <c r="B1318" s="120" t="s">
        <v>2322</v>
      </c>
      <c r="C1318" s="121" t="s">
        <v>2323</v>
      </c>
      <c r="D1318" s="122">
        <v>5.13</v>
      </c>
      <c r="E1318" s="122">
        <v>7.0000000000000007E-2</v>
      </c>
    </row>
    <row r="1319" spans="2:5" x14ac:dyDescent="0.2">
      <c r="B1319" s="120" t="s">
        <v>2324</v>
      </c>
      <c r="C1319" s="121" t="s">
        <v>2325</v>
      </c>
      <c r="D1319" s="122">
        <v>4.3499999999999996</v>
      </c>
      <c r="E1319" s="122">
        <v>0.08</v>
      </c>
    </row>
    <row r="1320" spans="2:5" x14ac:dyDescent="0.2">
      <c r="B1320" s="120" t="s">
        <v>2326</v>
      </c>
      <c r="C1320" s="121" t="s">
        <v>2327</v>
      </c>
      <c r="D1320" s="122">
        <v>10.3</v>
      </c>
      <c r="E1320" s="122">
        <v>0.1</v>
      </c>
    </row>
    <row r="1321" spans="2:5" x14ac:dyDescent="0.2">
      <c r="B1321" s="120" t="s">
        <v>2328</v>
      </c>
      <c r="C1321" s="121" t="s">
        <v>2329</v>
      </c>
      <c r="D1321" s="122">
        <v>-354.9</v>
      </c>
      <c r="E1321" s="122">
        <v>0.56999999999999995</v>
      </c>
    </row>
    <row r="1322" spans="2:5" x14ac:dyDescent="0.2">
      <c r="B1322" s="120" t="s">
        <v>2330</v>
      </c>
      <c r="C1322" s="121" t="s">
        <v>2331</v>
      </c>
      <c r="D1322" s="122">
        <v>10.35</v>
      </c>
      <c r="E1322" s="122">
        <v>-0.11</v>
      </c>
    </row>
    <row r="1323" spans="2:5" x14ac:dyDescent="0.2">
      <c r="B1323" s="120" t="s">
        <v>2332</v>
      </c>
      <c r="C1323" s="121" t="s">
        <v>2333</v>
      </c>
      <c r="D1323" s="122">
        <v>162.4</v>
      </c>
      <c r="E1323" s="122">
        <v>0.04</v>
      </c>
    </row>
    <row r="1324" spans="2:5" x14ac:dyDescent="0.2">
      <c r="B1324" s="120" t="s">
        <v>2334</v>
      </c>
      <c r="C1324" s="121" t="s">
        <v>2335</v>
      </c>
      <c r="D1324" s="122"/>
      <c r="E1324" s="122"/>
    </row>
    <row r="1325" spans="2:5" x14ac:dyDescent="0.2">
      <c r="B1325" s="120" t="s">
        <v>2336</v>
      </c>
      <c r="C1325" s="121" t="s">
        <v>2337</v>
      </c>
      <c r="D1325" s="122">
        <v>-2.78</v>
      </c>
      <c r="E1325" s="122">
        <v>-0.09</v>
      </c>
    </row>
    <row r="1326" spans="2:5" x14ac:dyDescent="0.2">
      <c r="B1326" s="120" t="s">
        <v>2338</v>
      </c>
      <c r="C1326" s="121" t="s">
        <v>2339</v>
      </c>
      <c r="D1326" s="122"/>
      <c r="E1326" s="122">
        <v>0.14000000000000001</v>
      </c>
    </row>
    <row r="1327" spans="2:5" x14ac:dyDescent="0.2">
      <c r="B1327" s="120" t="s">
        <v>4406</v>
      </c>
      <c r="C1327" s="121" t="s">
        <v>4407</v>
      </c>
      <c r="D1327" s="122">
        <v>6.72</v>
      </c>
      <c r="E1327" s="122">
        <v>0.06</v>
      </c>
    </row>
    <row r="1328" spans="2:5" x14ac:dyDescent="0.2">
      <c r="B1328" s="120" t="s">
        <v>2340</v>
      </c>
      <c r="C1328" s="121" t="s">
        <v>2341</v>
      </c>
      <c r="D1328" s="122">
        <v>43.21</v>
      </c>
      <c r="E1328" s="122">
        <v>0.47</v>
      </c>
    </row>
    <row r="1329" spans="2:5" x14ac:dyDescent="0.2">
      <c r="B1329" s="120" t="s">
        <v>2342</v>
      </c>
      <c r="C1329" s="121" t="s">
        <v>2343</v>
      </c>
      <c r="D1329" s="122">
        <v>11.31</v>
      </c>
      <c r="E1329" s="122">
        <v>0.11</v>
      </c>
    </row>
    <row r="1330" spans="2:5" x14ac:dyDescent="0.2">
      <c r="B1330" s="120" t="s">
        <v>2344</v>
      </c>
      <c r="C1330" s="121" t="s">
        <v>2345</v>
      </c>
      <c r="D1330" s="122">
        <v>5.13</v>
      </c>
      <c r="E1330" s="122">
        <v>-0.02</v>
      </c>
    </row>
    <row r="1331" spans="2:5" x14ac:dyDescent="0.2">
      <c r="B1331" s="120" t="s">
        <v>2346</v>
      </c>
      <c r="C1331" s="121" t="s">
        <v>2347</v>
      </c>
      <c r="D1331" s="122">
        <v>9.6</v>
      </c>
      <c r="E1331" s="122">
        <v>0.08</v>
      </c>
    </row>
    <row r="1332" spans="2:5" x14ac:dyDescent="0.2">
      <c r="B1332" s="120" t="s">
        <v>2348</v>
      </c>
      <c r="C1332" s="121" t="s">
        <v>2349</v>
      </c>
      <c r="D1332" s="122">
        <v>-0.93</v>
      </c>
      <c r="E1332" s="122">
        <v>0</v>
      </c>
    </row>
    <row r="1333" spans="2:5" x14ac:dyDescent="0.2">
      <c r="B1333" s="120" t="s">
        <v>2350</v>
      </c>
      <c r="C1333" s="121" t="s">
        <v>2351</v>
      </c>
      <c r="D1333" s="122">
        <v>17.97</v>
      </c>
      <c r="E1333" s="122">
        <v>-0.01</v>
      </c>
    </row>
    <row r="1334" spans="2:5" x14ac:dyDescent="0.2">
      <c r="B1334" s="120" t="s">
        <v>2352</v>
      </c>
      <c r="C1334" s="121" t="s">
        <v>2353</v>
      </c>
      <c r="D1334" s="122"/>
      <c r="E1334" s="122"/>
    </row>
    <row r="1335" spans="2:5" x14ac:dyDescent="0.2">
      <c r="B1335" s="120" t="s">
        <v>4408</v>
      </c>
      <c r="C1335" s="121" t="s">
        <v>4409</v>
      </c>
      <c r="D1335" s="122">
        <v>3.04</v>
      </c>
      <c r="E1335" s="122">
        <v>0.04</v>
      </c>
    </row>
    <row r="1336" spans="2:5" x14ac:dyDescent="0.2">
      <c r="B1336" s="120" t="s">
        <v>4410</v>
      </c>
      <c r="C1336" s="121" t="s">
        <v>4411</v>
      </c>
      <c r="D1336" s="122">
        <v>4.92</v>
      </c>
      <c r="E1336" s="122">
        <v>0.06</v>
      </c>
    </row>
    <row r="1337" spans="2:5" x14ac:dyDescent="0.2">
      <c r="B1337" s="120" t="s">
        <v>4412</v>
      </c>
      <c r="C1337" s="121" t="s">
        <v>4413</v>
      </c>
      <c r="D1337" s="122"/>
      <c r="E1337" s="122">
        <v>2.1</v>
      </c>
    </row>
    <row r="1338" spans="2:5" x14ac:dyDescent="0.2">
      <c r="B1338" s="120" t="s">
        <v>4414</v>
      </c>
      <c r="C1338" s="121" t="s">
        <v>4415</v>
      </c>
      <c r="D1338" s="122">
        <v>28.15</v>
      </c>
      <c r="E1338" s="122">
        <v>0.28000000000000003</v>
      </c>
    </row>
    <row r="1339" spans="2:5" x14ac:dyDescent="0.2">
      <c r="B1339" s="120" t="s">
        <v>2354</v>
      </c>
      <c r="C1339" s="121" t="s">
        <v>2355</v>
      </c>
      <c r="D1339" s="122">
        <v>6.24</v>
      </c>
      <c r="E1339" s="122">
        <v>0.03</v>
      </c>
    </row>
    <row r="1340" spans="2:5" x14ac:dyDescent="0.2">
      <c r="B1340" s="120" t="s">
        <v>2356</v>
      </c>
      <c r="C1340" s="121" t="s">
        <v>2357</v>
      </c>
      <c r="D1340" s="122">
        <v>10.53</v>
      </c>
      <c r="E1340" s="122">
        <v>0.1</v>
      </c>
    </row>
    <row r="1341" spans="2:5" x14ac:dyDescent="0.2">
      <c r="B1341" s="120" t="s">
        <v>2358</v>
      </c>
      <c r="C1341" s="121" t="s">
        <v>2359</v>
      </c>
      <c r="D1341" s="122">
        <v>89.84</v>
      </c>
      <c r="E1341" s="122">
        <v>0.57999999999999996</v>
      </c>
    </row>
    <row r="1342" spans="2:5" x14ac:dyDescent="0.2">
      <c r="B1342" s="120" t="s">
        <v>2360</v>
      </c>
      <c r="C1342" s="121" t="s">
        <v>2361</v>
      </c>
      <c r="D1342" s="122">
        <v>8.83</v>
      </c>
      <c r="E1342" s="122">
        <v>0.1</v>
      </c>
    </row>
    <row r="1343" spans="2:5" x14ac:dyDescent="0.2">
      <c r="B1343" s="120" t="s">
        <v>2362</v>
      </c>
      <c r="C1343" s="121" t="s">
        <v>2363</v>
      </c>
      <c r="D1343" s="122">
        <v>2.56</v>
      </c>
      <c r="E1343" s="122">
        <v>0.03</v>
      </c>
    </row>
    <row r="1344" spans="2:5" x14ac:dyDescent="0.2">
      <c r="B1344" s="120" t="s">
        <v>2364</v>
      </c>
      <c r="C1344" s="121" t="s">
        <v>2365</v>
      </c>
      <c r="D1344" s="122">
        <v>24.15</v>
      </c>
      <c r="E1344" s="122">
        <v>0.23</v>
      </c>
    </row>
    <row r="1345" spans="2:5" x14ac:dyDescent="0.2">
      <c r="B1345" s="120" t="s">
        <v>2366</v>
      </c>
      <c r="C1345" s="121" t="s">
        <v>2367</v>
      </c>
      <c r="D1345" s="122">
        <v>4.5199999999999996</v>
      </c>
      <c r="E1345" s="122">
        <v>0.04</v>
      </c>
    </row>
    <row r="1346" spans="2:5" x14ac:dyDescent="0.2">
      <c r="B1346" s="120" t="s">
        <v>2368</v>
      </c>
      <c r="C1346" s="121" t="s">
        <v>2369</v>
      </c>
      <c r="D1346" s="122"/>
      <c r="E1346" s="122">
        <v>0.11</v>
      </c>
    </row>
    <row r="1347" spans="2:5" x14ac:dyDescent="0.2">
      <c r="B1347" s="120" t="s">
        <v>2370</v>
      </c>
      <c r="C1347" s="121" t="s">
        <v>2371</v>
      </c>
      <c r="D1347" s="122">
        <v>17.72</v>
      </c>
      <c r="E1347" s="122">
        <v>0.19</v>
      </c>
    </row>
    <row r="1348" spans="2:5" x14ac:dyDescent="0.2">
      <c r="B1348" s="120" t="s">
        <v>2372</v>
      </c>
      <c r="C1348" s="121" t="s">
        <v>2373</v>
      </c>
      <c r="D1348" s="122">
        <v>15.35</v>
      </c>
      <c r="E1348" s="122">
        <v>0.16</v>
      </c>
    </row>
    <row r="1349" spans="2:5" x14ac:dyDescent="0.2">
      <c r="B1349" s="120" t="s">
        <v>2374</v>
      </c>
      <c r="C1349" s="121" t="s">
        <v>2375</v>
      </c>
      <c r="D1349" s="122">
        <v>4.33</v>
      </c>
      <c r="E1349" s="122">
        <v>0.04</v>
      </c>
    </row>
    <row r="1350" spans="2:5" x14ac:dyDescent="0.2">
      <c r="B1350" s="120" t="s">
        <v>2376</v>
      </c>
      <c r="C1350" s="121" t="s">
        <v>2377</v>
      </c>
      <c r="D1350" s="122">
        <v>13.64</v>
      </c>
      <c r="E1350" s="122">
        <v>0.1</v>
      </c>
    </row>
    <row r="1351" spans="2:5" x14ac:dyDescent="0.2">
      <c r="B1351" s="120" t="s">
        <v>2378</v>
      </c>
      <c r="C1351" s="121" t="s">
        <v>2379</v>
      </c>
      <c r="D1351" s="122">
        <v>30.24</v>
      </c>
      <c r="E1351" s="122">
        <v>0.2</v>
      </c>
    </row>
    <row r="1352" spans="2:5" x14ac:dyDescent="0.2">
      <c r="B1352" s="120" t="s">
        <v>2380</v>
      </c>
      <c r="C1352" s="121" t="s">
        <v>2381</v>
      </c>
      <c r="D1352" s="122">
        <v>-22.07</v>
      </c>
      <c r="E1352" s="122">
        <v>-0.5</v>
      </c>
    </row>
    <row r="1353" spans="2:5" x14ac:dyDescent="0.2">
      <c r="B1353" s="120" t="s">
        <v>2382</v>
      </c>
      <c r="C1353" s="121" t="s">
        <v>2383</v>
      </c>
      <c r="D1353" s="122">
        <v>8.27</v>
      </c>
      <c r="E1353" s="122">
        <v>0.18</v>
      </c>
    </row>
    <row r="1354" spans="2:5" x14ac:dyDescent="0.2">
      <c r="B1354" s="120" t="s">
        <v>2384</v>
      </c>
      <c r="C1354" s="121" t="s">
        <v>2385</v>
      </c>
      <c r="D1354" s="122">
        <v>25.57</v>
      </c>
      <c r="E1354" s="122">
        <v>0.23</v>
      </c>
    </row>
    <row r="1355" spans="2:5" x14ac:dyDescent="0.2">
      <c r="B1355" s="120" t="s">
        <v>2386</v>
      </c>
      <c r="C1355" s="121" t="s">
        <v>2387</v>
      </c>
      <c r="D1355" s="122">
        <v>7.07</v>
      </c>
      <c r="E1355" s="122">
        <v>7.0000000000000007E-2</v>
      </c>
    </row>
    <row r="1356" spans="2:5" x14ac:dyDescent="0.2">
      <c r="B1356" s="120" t="s">
        <v>2388</v>
      </c>
      <c r="C1356" s="121" t="s">
        <v>2389</v>
      </c>
      <c r="D1356" s="122">
        <v>19.64</v>
      </c>
      <c r="E1356" s="122">
        <v>-0.08</v>
      </c>
    </row>
    <row r="1357" spans="2:5" x14ac:dyDescent="0.2">
      <c r="B1357" s="120" t="s">
        <v>2390</v>
      </c>
      <c r="C1357" s="121" t="s">
        <v>2391</v>
      </c>
      <c r="D1357" s="122">
        <v>8.99</v>
      </c>
      <c r="E1357" s="122">
        <v>0.09</v>
      </c>
    </row>
    <row r="1358" spans="2:5" x14ac:dyDescent="0.2">
      <c r="B1358" s="120" t="s">
        <v>2392</v>
      </c>
      <c r="C1358" s="121" t="s">
        <v>2393</v>
      </c>
      <c r="D1358" s="122">
        <v>11.19</v>
      </c>
      <c r="E1358" s="122">
        <v>0.01</v>
      </c>
    </row>
    <row r="1359" spans="2:5" x14ac:dyDescent="0.2">
      <c r="B1359" s="120" t="s">
        <v>2394</v>
      </c>
      <c r="C1359" s="121" t="s">
        <v>2395</v>
      </c>
      <c r="D1359" s="122">
        <v>-13.84</v>
      </c>
      <c r="E1359" s="122">
        <v>-0.26</v>
      </c>
    </row>
    <row r="1360" spans="2:5" x14ac:dyDescent="0.2">
      <c r="B1360" s="120" t="s">
        <v>2396</v>
      </c>
      <c r="C1360" s="121" t="s">
        <v>2397</v>
      </c>
      <c r="D1360" s="122">
        <v>28.98</v>
      </c>
      <c r="E1360" s="122">
        <v>0.35</v>
      </c>
    </row>
    <row r="1361" spans="2:5" x14ac:dyDescent="0.2">
      <c r="B1361" s="120" t="s">
        <v>2398</v>
      </c>
      <c r="C1361" s="121" t="s">
        <v>2399</v>
      </c>
      <c r="D1361" s="122">
        <v>32.159999999999997</v>
      </c>
      <c r="E1361" s="122">
        <v>0.33</v>
      </c>
    </row>
    <row r="1362" spans="2:5" x14ac:dyDescent="0.2">
      <c r="B1362" s="120" t="s">
        <v>2400</v>
      </c>
      <c r="C1362" s="121" t="s">
        <v>2401</v>
      </c>
      <c r="D1362" s="122">
        <v>11.54</v>
      </c>
      <c r="E1362" s="122">
        <v>0.11</v>
      </c>
    </row>
    <row r="1363" spans="2:5" x14ac:dyDescent="0.2">
      <c r="B1363" s="120" t="s">
        <v>2402</v>
      </c>
      <c r="C1363" s="121" t="s">
        <v>2403</v>
      </c>
      <c r="D1363" s="122">
        <v>24.23</v>
      </c>
      <c r="E1363" s="122">
        <v>0.24</v>
      </c>
    </row>
    <row r="1364" spans="2:5" x14ac:dyDescent="0.2">
      <c r="B1364" s="120" t="s">
        <v>2404</v>
      </c>
      <c r="C1364" s="121" t="s">
        <v>2405</v>
      </c>
      <c r="D1364" s="122">
        <v>13.99</v>
      </c>
      <c r="E1364" s="122">
        <v>0.1</v>
      </c>
    </row>
    <row r="1365" spans="2:5" x14ac:dyDescent="0.2">
      <c r="B1365" s="120" t="s">
        <v>2406</v>
      </c>
      <c r="C1365" s="121" t="s">
        <v>2407</v>
      </c>
      <c r="D1365" s="122">
        <v>22.31</v>
      </c>
      <c r="E1365" s="122">
        <v>0.22</v>
      </c>
    </row>
    <row r="1366" spans="2:5" x14ac:dyDescent="0.2">
      <c r="B1366" s="120" t="s">
        <v>2408</v>
      </c>
      <c r="C1366" s="121" t="s">
        <v>2409</v>
      </c>
      <c r="D1366" s="122">
        <v>15.55</v>
      </c>
      <c r="E1366" s="122">
        <v>0.17</v>
      </c>
    </row>
    <row r="1367" spans="2:5" x14ac:dyDescent="0.2">
      <c r="B1367" s="120" t="s">
        <v>2410</v>
      </c>
      <c r="C1367" s="121" t="s">
        <v>2411</v>
      </c>
      <c r="D1367" s="122">
        <v>8.5299999999999994</v>
      </c>
      <c r="E1367" s="122">
        <v>-0.8</v>
      </c>
    </row>
    <row r="1368" spans="2:5" x14ac:dyDescent="0.2">
      <c r="B1368" s="120" t="s">
        <v>2412</v>
      </c>
      <c r="C1368" s="121" t="s">
        <v>4416</v>
      </c>
      <c r="D1368" s="122">
        <v>2.68</v>
      </c>
      <c r="E1368" s="122">
        <v>0.02</v>
      </c>
    </row>
    <row r="1369" spans="2:5" x14ac:dyDescent="0.2">
      <c r="B1369" s="120" t="s">
        <v>2412</v>
      </c>
      <c r="C1369" s="121" t="s">
        <v>2413</v>
      </c>
      <c r="D1369" s="122">
        <v>2.68</v>
      </c>
      <c r="E1369" s="122">
        <v>0.02</v>
      </c>
    </row>
    <row r="1370" spans="2:5" x14ac:dyDescent="0.2">
      <c r="B1370" s="120" t="s">
        <v>2414</v>
      </c>
      <c r="C1370" s="121" t="s">
        <v>2415</v>
      </c>
      <c r="D1370" s="122"/>
      <c r="E1370" s="122">
        <v>0.15</v>
      </c>
    </row>
    <row r="1371" spans="2:5" x14ac:dyDescent="0.2">
      <c r="B1371" s="120" t="s">
        <v>2416</v>
      </c>
      <c r="C1371" s="121" t="s">
        <v>2417</v>
      </c>
      <c r="D1371" s="122">
        <v>27.61</v>
      </c>
      <c r="E1371" s="122">
        <v>0.23</v>
      </c>
    </row>
    <row r="1372" spans="2:5" x14ac:dyDescent="0.2">
      <c r="B1372" s="120" t="s">
        <v>2418</v>
      </c>
      <c r="C1372" s="121" t="s">
        <v>2419</v>
      </c>
      <c r="D1372" s="122">
        <v>14.23</v>
      </c>
      <c r="E1372" s="122">
        <v>0.14000000000000001</v>
      </c>
    </row>
    <row r="1373" spans="2:5" x14ac:dyDescent="0.2">
      <c r="B1373" s="120" t="s">
        <v>2420</v>
      </c>
      <c r="C1373" s="121" t="s">
        <v>2421</v>
      </c>
      <c r="D1373" s="122">
        <v>37.9</v>
      </c>
      <c r="E1373" s="122">
        <v>0.24</v>
      </c>
    </row>
    <row r="1374" spans="2:5" x14ac:dyDescent="0.2">
      <c r="B1374" s="120" t="s">
        <v>2422</v>
      </c>
      <c r="C1374" s="121" t="s">
        <v>2423</v>
      </c>
      <c r="D1374" s="122">
        <v>7.83</v>
      </c>
      <c r="E1374" s="122">
        <v>7.0000000000000007E-2</v>
      </c>
    </row>
    <row r="1375" spans="2:5" x14ac:dyDescent="0.2">
      <c r="B1375" s="120" t="s">
        <v>2424</v>
      </c>
      <c r="C1375" s="121" t="s">
        <v>2425</v>
      </c>
      <c r="D1375" s="122">
        <v>27.98</v>
      </c>
      <c r="E1375" s="122">
        <v>0.27</v>
      </c>
    </row>
    <row r="1376" spans="2:5" x14ac:dyDescent="0.2">
      <c r="B1376" s="120" t="s">
        <v>2426</v>
      </c>
      <c r="C1376" s="121" t="s">
        <v>2427</v>
      </c>
      <c r="D1376" s="122">
        <v>24.56</v>
      </c>
      <c r="E1376" s="122">
        <v>0.16</v>
      </c>
    </row>
    <row r="1377" spans="2:5" x14ac:dyDescent="0.2">
      <c r="B1377" s="120" t="s">
        <v>2428</v>
      </c>
      <c r="C1377" s="121" t="s">
        <v>2429</v>
      </c>
      <c r="D1377" s="122"/>
      <c r="E1377" s="122"/>
    </row>
    <row r="1378" spans="2:5" x14ac:dyDescent="0.2">
      <c r="B1378" s="120" t="s">
        <v>4417</v>
      </c>
      <c r="C1378" s="121" t="s">
        <v>4418</v>
      </c>
      <c r="D1378" s="122"/>
      <c r="E1378" s="122"/>
    </row>
    <row r="1379" spans="2:5" x14ac:dyDescent="0.2">
      <c r="B1379" s="120" t="s">
        <v>2430</v>
      </c>
      <c r="C1379" s="121" t="s">
        <v>2431</v>
      </c>
      <c r="D1379" s="122">
        <v>7.38</v>
      </c>
      <c r="E1379" s="122">
        <v>0.08</v>
      </c>
    </row>
    <row r="1380" spans="2:5" x14ac:dyDescent="0.2">
      <c r="B1380" s="120" t="s">
        <v>4419</v>
      </c>
      <c r="C1380" s="121" t="s">
        <v>4420</v>
      </c>
      <c r="D1380" s="122"/>
      <c r="E1380" s="122">
        <v>-0.03</v>
      </c>
    </row>
    <row r="1381" spans="2:5" x14ac:dyDescent="0.2">
      <c r="B1381" s="120" t="s">
        <v>2432</v>
      </c>
      <c r="C1381" s="121" t="s">
        <v>2433</v>
      </c>
      <c r="D1381" s="122">
        <v>1.91</v>
      </c>
      <c r="E1381" s="122">
        <v>0.01</v>
      </c>
    </row>
    <row r="1382" spans="2:5" x14ac:dyDescent="0.2">
      <c r="B1382" s="120" t="s">
        <v>2434</v>
      </c>
      <c r="C1382" s="121" t="s">
        <v>2435</v>
      </c>
      <c r="D1382" s="122">
        <v>15.48</v>
      </c>
      <c r="E1382" s="122">
        <v>0.15</v>
      </c>
    </row>
    <row r="1383" spans="2:5" x14ac:dyDescent="0.2">
      <c r="B1383" s="120" t="s">
        <v>2436</v>
      </c>
      <c r="C1383" s="121" t="s">
        <v>2437</v>
      </c>
      <c r="D1383" s="122"/>
      <c r="E1383" s="122"/>
    </row>
    <row r="1384" spans="2:5" x14ac:dyDescent="0.2">
      <c r="B1384" s="120" t="s">
        <v>2438</v>
      </c>
      <c r="C1384" s="121" t="s">
        <v>2439</v>
      </c>
      <c r="D1384" s="122">
        <v>27.67</v>
      </c>
      <c r="E1384" s="122">
        <v>0.13</v>
      </c>
    </row>
    <row r="1385" spans="2:5" x14ac:dyDescent="0.2">
      <c r="B1385" s="120" t="s">
        <v>2440</v>
      </c>
      <c r="C1385" s="121" t="s">
        <v>2441</v>
      </c>
      <c r="D1385" s="122">
        <v>18.39</v>
      </c>
      <c r="E1385" s="122">
        <v>0.19</v>
      </c>
    </row>
    <row r="1386" spans="2:5" x14ac:dyDescent="0.2">
      <c r="B1386" s="120" t="s">
        <v>2442</v>
      </c>
      <c r="C1386" s="121" t="s">
        <v>2443</v>
      </c>
      <c r="D1386" s="122">
        <v>10.83</v>
      </c>
      <c r="E1386" s="122">
        <v>0.11</v>
      </c>
    </row>
    <row r="1387" spans="2:5" x14ac:dyDescent="0.2">
      <c r="B1387" s="120" t="s">
        <v>4421</v>
      </c>
      <c r="C1387" s="121" t="s">
        <v>4422</v>
      </c>
      <c r="D1387" s="122"/>
      <c r="E1387" s="122">
        <v>0.18</v>
      </c>
    </row>
    <row r="1388" spans="2:5" x14ac:dyDescent="0.2">
      <c r="B1388" s="120" t="s">
        <v>2444</v>
      </c>
      <c r="C1388" s="121" t="s">
        <v>2445</v>
      </c>
      <c r="D1388" s="122">
        <v>29.38</v>
      </c>
      <c r="E1388" s="122">
        <v>0.32</v>
      </c>
    </row>
    <row r="1389" spans="2:5" x14ac:dyDescent="0.2">
      <c r="B1389" s="120" t="s">
        <v>4423</v>
      </c>
      <c r="C1389" s="121" t="s">
        <v>4424</v>
      </c>
      <c r="D1389" s="122">
        <v>124</v>
      </c>
      <c r="E1389" s="122">
        <v>1.24</v>
      </c>
    </row>
    <row r="1390" spans="2:5" x14ac:dyDescent="0.2">
      <c r="B1390" s="120" t="s">
        <v>2446</v>
      </c>
      <c r="C1390" s="121" t="s">
        <v>2447</v>
      </c>
      <c r="D1390" s="122">
        <v>10.67</v>
      </c>
      <c r="E1390" s="122">
        <v>0.09</v>
      </c>
    </row>
    <row r="1391" spans="2:5" x14ac:dyDescent="0.2">
      <c r="B1391" s="120" t="s">
        <v>2448</v>
      </c>
      <c r="C1391" s="121" t="s">
        <v>2449</v>
      </c>
      <c r="D1391" s="122">
        <v>-7.22</v>
      </c>
      <c r="E1391" s="122">
        <v>-0.31</v>
      </c>
    </row>
    <row r="1392" spans="2:5" x14ac:dyDescent="0.2">
      <c r="B1392" s="120" t="s">
        <v>2450</v>
      </c>
      <c r="C1392" s="121" t="s">
        <v>2451</v>
      </c>
      <c r="D1392" s="122">
        <v>17.16</v>
      </c>
      <c r="E1392" s="122">
        <v>0.17</v>
      </c>
    </row>
    <row r="1393" spans="2:5" x14ac:dyDescent="0.2">
      <c r="B1393" s="120" t="s">
        <v>2452</v>
      </c>
      <c r="C1393" s="121" t="s">
        <v>2453</v>
      </c>
      <c r="D1393" s="122">
        <v>33.08</v>
      </c>
      <c r="E1393" s="122">
        <v>0.24</v>
      </c>
    </row>
    <row r="1394" spans="2:5" x14ac:dyDescent="0.2">
      <c r="B1394" s="120" t="s">
        <v>2454</v>
      </c>
      <c r="C1394" s="121" t="s">
        <v>2455</v>
      </c>
      <c r="D1394" s="122">
        <v>9.09</v>
      </c>
      <c r="E1394" s="122">
        <v>0.11</v>
      </c>
    </row>
    <row r="1395" spans="2:5" x14ac:dyDescent="0.2">
      <c r="B1395" s="120" t="s">
        <v>2456</v>
      </c>
      <c r="C1395" s="121" t="s">
        <v>2457</v>
      </c>
      <c r="D1395" s="122">
        <v>3.34</v>
      </c>
      <c r="E1395" s="122">
        <v>0.05</v>
      </c>
    </row>
    <row r="1396" spans="2:5" x14ac:dyDescent="0.2">
      <c r="B1396" s="120" t="s">
        <v>2458</v>
      </c>
      <c r="C1396" s="121" t="s">
        <v>17</v>
      </c>
      <c r="D1396" s="122">
        <v>8.76</v>
      </c>
      <c r="E1396" s="122">
        <v>0.09</v>
      </c>
    </row>
    <row r="1397" spans="2:5" x14ac:dyDescent="0.2">
      <c r="B1397" s="120" t="s">
        <v>2459</v>
      </c>
      <c r="C1397" s="121" t="s">
        <v>2460</v>
      </c>
      <c r="D1397" s="122">
        <v>13.07</v>
      </c>
      <c r="E1397" s="122">
        <v>0.05</v>
      </c>
    </row>
    <row r="1398" spans="2:5" x14ac:dyDescent="0.2">
      <c r="B1398" s="120" t="s">
        <v>2461</v>
      </c>
      <c r="C1398" s="121" t="s">
        <v>2462</v>
      </c>
      <c r="D1398" s="122">
        <v>25.28</v>
      </c>
      <c r="E1398" s="122">
        <v>0.11</v>
      </c>
    </row>
    <row r="1399" spans="2:5" x14ac:dyDescent="0.2">
      <c r="B1399" s="120" t="s">
        <v>2463</v>
      </c>
      <c r="C1399" s="121" t="s">
        <v>2464</v>
      </c>
      <c r="D1399" s="122">
        <v>6.68</v>
      </c>
      <c r="E1399" s="122">
        <v>7.0000000000000007E-2</v>
      </c>
    </row>
    <row r="1400" spans="2:5" x14ac:dyDescent="0.2">
      <c r="B1400" s="120" t="s">
        <v>2465</v>
      </c>
      <c r="C1400" s="121" t="s">
        <v>2466</v>
      </c>
      <c r="D1400" s="122">
        <v>14.17</v>
      </c>
      <c r="E1400" s="122">
        <v>0.11</v>
      </c>
    </row>
    <row r="1401" spans="2:5" x14ac:dyDescent="0.2">
      <c r="B1401" s="120" t="s">
        <v>2467</v>
      </c>
      <c r="C1401" s="121" t="s">
        <v>2468</v>
      </c>
      <c r="D1401" s="122">
        <v>29.21</v>
      </c>
      <c r="E1401" s="122">
        <v>0.23</v>
      </c>
    </row>
    <row r="1402" spans="2:5" x14ac:dyDescent="0.2">
      <c r="B1402" s="120" t="s">
        <v>2469</v>
      </c>
      <c r="C1402" s="121" t="s">
        <v>2470</v>
      </c>
      <c r="D1402" s="122">
        <v>-397.68</v>
      </c>
      <c r="E1402" s="122">
        <v>-1.22</v>
      </c>
    </row>
    <row r="1403" spans="2:5" x14ac:dyDescent="0.2">
      <c r="B1403" s="120" t="s">
        <v>4425</v>
      </c>
      <c r="C1403" s="121" t="s">
        <v>4426</v>
      </c>
      <c r="D1403" s="122">
        <v>1.32</v>
      </c>
      <c r="E1403" s="122">
        <v>-0.03</v>
      </c>
    </row>
    <row r="1404" spans="2:5" x14ac:dyDescent="0.2">
      <c r="B1404" s="120" t="s">
        <v>4427</v>
      </c>
      <c r="C1404" s="121" t="s">
        <v>4428</v>
      </c>
      <c r="D1404" s="122">
        <v>17.899999999999999</v>
      </c>
      <c r="E1404" s="122">
        <v>0.18</v>
      </c>
    </row>
    <row r="1405" spans="2:5" x14ac:dyDescent="0.2">
      <c r="B1405" s="120" t="s">
        <v>2471</v>
      </c>
      <c r="C1405" s="121" t="s">
        <v>2472</v>
      </c>
      <c r="D1405" s="122">
        <v>11.96</v>
      </c>
      <c r="E1405" s="122">
        <v>0.14000000000000001</v>
      </c>
    </row>
    <row r="1406" spans="2:5" x14ac:dyDescent="0.2">
      <c r="B1406" s="120" t="s">
        <v>2473</v>
      </c>
      <c r="C1406" s="121" t="s">
        <v>2474</v>
      </c>
      <c r="D1406" s="122"/>
      <c r="E1406" s="122">
        <v>0.05</v>
      </c>
    </row>
    <row r="1407" spans="2:5" x14ac:dyDescent="0.2">
      <c r="B1407" s="120" t="s">
        <v>4429</v>
      </c>
      <c r="C1407" s="121" t="s">
        <v>4430</v>
      </c>
      <c r="D1407" s="122"/>
      <c r="E1407" s="122">
        <v>0.63</v>
      </c>
    </row>
    <row r="1408" spans="2:5" x14ac:dyDescent="0.2">
      <c r="B1408" s="120" t="s">
        <v>2475</v>
      </c>
      <c r="C1408" s="121" t="s">
        <v>2476</v>
      </c>
      <c r="D1408" s="122">
        <v>33</v>
      </c>
      <c r="E1408" s="122">
        <v>0.28000000000000003</v>
      </c>
    </row>
    <row r="1409" spans="2:5" x14ac:dyDescent="0.2">
      <c r="B1409" s="120" t="s">
        <v>4431</v>
      </c>
      <c r="C1409" s="121" t="s">
        <v>4432</v>
      </c>
      <c r="D1409" s="122">
        <v>8.86</v>
      </c>
      <c r="E1409" s="122">
        <v>0.06</v>
      </c>
    </row>
    <row r="1410" spans="2:5" x14ac:dyDescent="0.2">
      <c r="B1410" s="120" t="s">
        <v>2477</v>
      </c>
      <c r="C1410" s="121" t="s">
        <v>2478</v>
      </c>
      <c r="D1410" s="122">
        <v>17.54</v>
      </c>
      <c r="E1410" s="122">
        <v>0.34</v>
      </c>
    </row>
    <row r="1411" spans="2:5" x14ac:dyDescent="0.2">
      <c r="B1411" s="120" t="s">
        <v>4433</v>
      </c>
      <c r="C1411" s="121" t="s">
        <v>4434</v>
      </c>
      <c r="D1411" s="122">
        <v>8.48</v>
      </c>
      <c r="E1411" s="122">
        <v>0.08</v>
      </c>
    </row>
    <row r="1412" spans="2:5" x14ac:dyDescent="0.2">
      <c r="B1412" s="120" t="s">
        <v>2479</v>
      </c>
      <c r="C1412" s="121" t="s">
        <v>2480</v>
      </c>
      <c r="D1412" s="122">
        <v>13.69</v>
      </c>
      <c r="E1412" s="122">
        <v>0.14000000000000001</v>
      </c>
    </row>
    <row r="1413" spans="2:5" x14ac:dyDescent="0.2">
      <c r="B1413" s="120" t="s">
        <v>4435</v>
      </c>
      <c r="C1413" s="121" t="s">
        <v>4436</v>
      </c>
      <c r="D1413" s="122">
        <v>2.1</v>
      </c>
      <c r="E1413" s="122">
        <v>0.03</v>
      </c>
    </row>
    <row r="1414" spans="2:5" x14ac:dyDescent="0.2">
      <c r="B1414" s="120" t="s">
        <v>2481</v>
      </c>
      <c r="C1414" s="121" t="s">
        <v>2482</v>
      </c>
      <c r="D1414" s="122">
        <v>6.9</v>
      </c>
      <c r="E1414" s="122">
        <v>0.06</v>
      </c>
    </row>
    <row r="1415" spans="2:5" x14ac:dyDescent="0.2">
      <c r="B1415" s="120" t="s">
        <v>2483</v>
      </c>
      <c r="C1415" s="121" t="s">
        <v>2484</v>
      </c>
      <c r="D1415" s="122">
        <v>25.96</v>
      </c>
      <c r="E1415" s="122">
        <v>0.1</v>
      </c>
    </row>
    <row r="1416" spans="2:5" x14ac:dyDescent="0.2">
      <c r="B1416" s="120" t="s">
        <v>2485</v>
      </c>
      <c r="C1416" s="121" t="s">
        <v>2486</v>
      </c>
      <c r="D1416" s="122">
        <v>9.4499999999999993</v>
      </c>
      <c r="E1416" s="122">
        <v>7.0000000000000007E-2</v>
      </c>
    </row>
    <row r="1417" spans="2:5" x14ac:dyDescent="0.2">
      <c r="B1417" s="120" t="s">
        <v>2487</v>
      </c>
      <c r="C1417" s="121" t="s">
        <v>2488</v>
      </c>
      <c r="D1417" s="122"/>
      <c r="E1417" s="122"/>
    </row>
    <row r="1418" spans="2:5" x14ac:dyDescent="0.2">
      <c r="B1418" s="120" t="s">
        <v>2489</v>
      </c>
      <c r="C1418" s="121" t="s">
        <v>2490</v>
      </c>
      <c r="D1418" s="122">
        <v>18.64</v>
      </c>
      <c r="E1418" s="122">
        <v>0.86</v>
      </c>
    </row>
    <row r="1419" spans="2:5" x14ac:dyDescent="0.2">
      <c r="B1419" s="120" t="s">
        <v>2491</v>
      </c>
      <c r="C1419" s="121" t="s">
        <v>2492</v>
      </c>
      <c r="D1419" s="122">
        <v>40.97</v>
      </c>
      <c r="E1419" s="122">
        <v>0.35</v>
      </c>
    </row>
    <row r="1420" spans="2:5" x14ac:dyDescent="0.2">
      <c r="B1420" s="120" t="s">
        <v>2493</v>
      </c>
      <c r="C1420" s="121" t="s">
        <v>2494</v>
      </c>
      <c r="D1420" s="122">
        <v>6.38</v>
      </c>
      <c r="E1420" s="122">
        <v>7.0000000000000007E-2</v>
      </c>
    </row>
    <row r="1421" spans="2:5" x14ac:dyDescent="0.2">
      <c r="B1421" s="120" t="s">
        <v>2495</v>
      </c>
      <c r="C1421" s="121" t="s">
        <v>2496</v>
      </c>
      <c r="D1421" s="122">
        <v>1.26</v>
      </c>
      <c r="E1421" s="122">
        <v>0.01</v>
      </c>
    </row>
    <row r="1422" spans="2:5" x14ac:dyDescent="0.2">
      <c r="B1422" s="120" t="s">
        <v>2497</v>
      </c>
      <c r="C1422" s="121" t="s">
        <v>2498</v>
      </c>
      <c r="D1422" s="122">
        <v>35.5</v>
      </c>
      <c r="E1422" s="122">
        <v>0.36</v>
      </c>
    </row>
    <row r="1423" spans="2:5" x14ac:dyDescent="0.2">
      <c r="B1423" s="120" t="s">
        <v>2499</v>
      </c>
      <c r="C1423" s="121" t="s">
        <v>2500</v>
      </c>
      <c r="D1423" s="122">
        <v>39.659999999999997</v>
      </c>
      <c r="E1423" s="122">
        <v>0.36</v>
      </c>
    </row>
    <row r="1424" spans="2:5" x14ac:dyDescent="0.2">
      <c r="B1424" s="120" t="s">
        <v>2501</v>
      </c>
      <c r="C1424" s="121" t="s">
        <v>2502</v>
      </c>
      <c r="D1424" s="122">
        <v>1.95</v>
      </c>
      <c r="E1424" s="122">
        <v>0.02</v>
      </c>
    </row>
    <row r="1425" spans="2:5" x14ac:dyDescent="0.2">
      <c r="B1425" s="120" t="s">
        <v>2503</v>
      </c>
      <c r="C1425" s="121" t="s">
        <v>2504</v>
      </c>
      <c r="D1425" s="122">
        <v>1.47</v>
      </c>
      <c r="E1425" s="122">
        <v>0.01</v>
      </c>
    </row>
    <row r="1426" spans="2:5" x14ac:dyDescent="0.2">
      <c r="B1426" s="120" t="s">
        <v>2505</v>
      </c>
      <c r="C1426" s="121" t="s">
        <v>2506</v>
      </c>
      <c r="D1426" s="122">
        <v>25.41</v>
      </c>
      <c r="E1426" s="122">
        <v>0.22</v>
      </c>
    </row>
    <row r="1427" spans="2:5" x14ac:dyDescent="0.2">
      <c r="B1427" s="120" t="s">
        <v>2507</v>
      </c>
      <c r="C1427" s="121" t="s">
        <v>2508</v>
      </c>
      <c r="D1427" s="122">
        <v>18.600000000000001</v>
      </c>
      <c r="E1427" s="122">
        <v>-0.03</v>
      </c>
    </row>
    <row r="1428" spans="2:5" x14ac:dyDescent="0.2">
      <c r="B1428" s="120" t="s">
        <v>2509</v>
      </c>
      <c r="C1428" s="121" t="s">
        <v>2510</v>
      </c>
      <c r="D1428" s="122">
        <v>27.42</v>
      </c>
      <c r="E1428" s="122">
        <v>0.24</v>
      </c>
    </row>
    <row r="1429" spans="2:5" x14ac:dyDescent="0.2">
      <c r="B1429" s="120" t="s">
        <v>2511</v>
      </c>
      <c r="C1429" s="121" t="s">
        <v>2512</v>
      </c>
      <c r="D1429" s="122">
        <v>27.25</v>
      </c>
      <c r="E1429" s="122">
        <v>0.27</v>
      </c>
    </row>
    <row r="1430" spans="2:5" x14ac:dyDescent="0.2">
      <c r="B1430" s="120" t="s">
        <v>2513</v>
      </c>
      <c r="C1430" s="121" t="s">
        <v>18</v>
      </c>
      <c r="D1430" s="122">
        <v>44.54</v>
      </c>
      <c r="E1430" s="122">
        <v>0.38</v>
      </c>
    </row>
    <row r="1431" spans="2:5" x14ac:dyDescent="0.2">
      <c r="B1431" s="120" t="s">
        <v>2514</v>
      </c>
      <c r="C1431" s="121" t="s">
        <v>2515</v>
      </c>
      <c r="D1431" s="122">
        <v>22.2</v>
      </c>
      <c r="E1431" s="122">
        <v>0.17</v>
      </c>
    </row>
    <row r="1432" spans="2:5" x14ac:dyDescent="0.2">
      <c r="B1432" s="120" t="s">
        <v>2516</v>
      </c>
      <c r="C1432" s="121" t="s">
        <v>2517</v>
      </c>
      <c r="D1432" s="122">
        <v>30.37</v>
      </c>
      <c r="E1432" s="122">
        <v>0.24</v>
      </c>
    </row>
    <row r="1433" spans="2:5" x14ac:dyDescent="0.2">
      <c r="B1433" s="120" t="s">
        <v>2518</v>
      </c>
      <c r="C1433" s="121" t="s">
        <v>2519</v>
      </c>
      <c r="D1433" s="122">
        <v>10.81</v>
      </c>
      <c r="E1433" s="122">
        <v>0.08</v>
      </c>
    </row>
    <row r="1434" spans="2:5" x14ac:dyDescent="0.2">
      <c r="B1434" s="120" t="s">
        <v>2518</v>
      </c>
      <c r="C1434" s="121" t="s">
        <v>4437</v>
      </c>
      <c r="D1434" s="122">
        <v>10.81</v>
      </c>
      <c r="E1434" s="122">
        <v>0.08</v>
      </c>
    </row>
    <row r="1435" spans="2:5" x14ac:dyDescent="0.2">
      <c r="B1435" s="120" t="s">
        <v>4438</v>
      </c>
      <c r="C1435" s="121" t="s">
        <v>4439</v>
      </c>
      <c r="D1435" s="122"/>
      <c r="E1435" s="122"/>
    </row>
    <row r="1436" spans="2:5" x14ac:dyDescent="0.2">
      <c r="B1436" s="120" t="s">
        <v>2520</v>
      </c>
      <c r="C1436" s="121" t="s">
        <v>2521</v>
      </c>
      <c r="D1436" s="122">
        <v>9.99</v>
      </c>
      <c r="E1436" s="122">
        <v>0.09</v>
      </c>
    </row>
    <row r="1437" spans="2:5" x14ac:dyDescent="0.2">
      <c r="B1437" s="120" t="s">
        <v>4440</v>
      </c>
      <c r="C1437" s="121" t="s">
        <v>4441</v>
      </c>
      <c r="D1437" s="122"/>
      <c r="E1437" s="122">
        <v>0.02</v>
      </c>
    </row>
    <row r="1438" spans="2:5" x14ac:dyDescent="0.2">
      <c r="B1438" s="120" t="s">
        <v>2522</v>
      </c>
      <c r="C1438" s="121" t="s">
        <v>2523</v>
      </c>
      <c r="D1438" s="122">
        <v>12.99</v>
      </c>
      <c r="E1438" s="122">
        <v>-0.41</v>
      </c>
    </row>
    <row r="1439" spans="2:5" x14ac:dyDescent="0.2">
      <c r="B1439" s="120" t="s">
        <v>2524</v>
      </c>
      <c r="C1439" s="121" t="s">
        <v>2525</v>
      </c>
      <c r="D1439" s="122">
        <v>3.51</v>
      </c>
      <c r="E1439" s="122">
        <v>0.04</v>
      </c>
    </row>
    <row r="1440" spans="2:5" x14ac:dyDescent="0.2">
      <c r="B1440" s="120" t="s">
        <v>2526</v>
      </c>
      <c r="C1440" s="121" t="s">
        <v>2527</v>
      </c>
      <c r="D1440" s="122">
        <v>16.41</v>
      </c>
      <c r="E1440" s="122">
        <v>0.12</v>
      </c>
    </row>
    <row r="1441" spans="2:5" x14ac:dyDescent="0.2">
      <c r="B1441" s="120" t="s">
        <v>4440</v>
      </c>
      <c r="C1441" s="121" t="s">
        <v>4442</v>
      </c>
      <c r="D1441" s="122"/>
      <c r="E1441" s="122"/>
    </row>
    <row r="1442" spans="2:5" x14ac:dyDescent="0.2">
      <c r="B1442" s="120" t="s">
        <v>4443</v>
      </c>
      <c r="C1442" s="121" t="s">
        <v>4444</v>
      </c>
      <c r="D1442" s="122"/>
      <c r="E1442" s="122"/>
    </row>
    <row r="1443" spans="2:5" x14ac:dyDescent="0.2">
      <c r="B1443" s="120" t="s">
        <v>2528</v>
      </c>
      <c r="C1443" s="121" t="s">
        <v>2529</v>
      </c>
      <c r="D1443" s="122">
        <v>-23.11</v>
      </c>
      <c r="E1443" s="122">
        <v>-0.78</v>
      </c>
    </row>
    <row r="1444" spans="2:5" x14ac:dyDescent="0.2">
      <c r="B1444" s="120" t="s">
        <v>2530</v>
      </c>
      <c r="C1444" s="121" t="s">
        <v>2531</v>
      </c>
      <c r="D1444" s="122"/>
      <c r="E1444" s="122">
        <v>0.16</v>
      </c>
    </row>
    <row r="1445" spans="2:5" x14ac:dyDescent="0.2">
      <c r="B1445" s="120" t="s">
        <v>4445</v>
      </c>
      <c r="C1445" s="121" t="s">
        <v>4446</v>
      </c>
      <c r="D1445" s="122"/>
      <c r="E1445" s="122">
        <v>0.11</v>
      </c>
    </row>
    <row r="1446" spans="2:5" x14ac:dyDescent="0.2">
      <c r="B1446" s="120" t="s">
        <v>2532</v>
      </c>
      <c r="C1446" s="121" t="s">
        <v>2533</v>
      </c>
      <c r="D1446" s="122">
        <v>19.100000000000001</v>
      </c>
      <c r="E1446" s="122">
        <v>0.2</v>
      </c>
    </row>
    <row r="1447" spans="2:5" x14ac:dyDescent="0.2">
      <c r="B1447" s="120" t="s">
        <v>2534</v>
      </c>
      <c r="C1447" s="121" t="s">
        <v>2535</v>
      </c>
      <c r="D1447" s="122">
        <v>-0.25</v>
      </c>
      <c r="E1447" s="122">
        <v>0.02</v>
      </c>
    </row>
    <row r="1448" spans="2:5" x14ac:dyDescent="0.2">
      <c r="B1448" s="120" t="s">
        <v>2536</v>
      </c>
      <c r="C1448" s="121" t="s">
        <v>19</v>
      </c>
      <c r="D1448" s="122">
        <v>15.81</v>
      </c>
      <c r="E1448" s="122">
        <v>0.15</v>
      </c>
    </row>
    <row r="1449" spans="2:5" x14ac:dyDescent="0.2">
      <c r="B1449" s="120" t="s">
        <v>2537</v>
      </c>
      <c r="C1449" s="121" t="s">
        <v>2538</v>
      </c>
      <c r="D1449" s="122">
        <v>0.06</v>
      </c>
      <c r="E1449" s="122">
        <v>0.01</v>
      </c>
    </row>
    <row r="1450" spans="2:5" x14ac:dyDescent="0.2">
      <c r="B1450" s="120" t="s">
        <v>2539</v>
      </c>
      <c r="C1450" s="121" t="s">
        <v>2540</v>
      </c>
      <c r="D1450" s="122">
        <v>5.91</v>
      </c>
      <c r="E1450" s="122">
        <v>0.01</v>
      </c>
    </row>
    <row r="1451" spans="2:5" x14ac:dyDescent="0.2">
      <c r="B1451" s="120" t="s">
        <v>2541</v>
      </c>
      <c r="C1451" s="121" t="s">
        <v>2542</v>
      </c>
      <c r="D1451" s="122">
        <v>12.14</v>
      </c>
      <c r="E1451" s="122">
        <v>0.19</v>
      </c>
    </row>
    <row r="1452" spans="2:5" x14ac:dyDescent="0.2">
      <c r="B1452" s="120" t="s">
        <v>2543</v>
      </c>
      <c r="C1452" s="121" t="s">
        <v>2544</v>
      </c>
      <c r="D1452" s="122">
        <v>33.31</v>
      </c>
      <c r="E1452" s="122">
        <v>0.21</v>
      </c>
    </row>
    <row r="1453" spans="2:5" x14ac:dyDescent="0.2">
      <c r="B1453" s="120" t="s">
        <v>4447</v>
      </c>
      <c r="C1453" s="121" t="s">
        <v>4448</v>
      </c>
      <c r="D1453" s="122"/>
      <c r="E1453" s="122"/>
    </row>
    <row r="1454" spans="2:5" x14ac:dyDescent="0.2">
      <c r="B1454" s="120" t="s">
        <v>2545</v>
      </c>
      <c r="C1454" s="121" t="s">
        <v>2546</v>
      </c>
      <c r="D1454" s="122">
        <v>10.24</v>
      </c>
      <c r="E1454" s="122">
        <v>0.11</v>
      </c>
    </row>
    <row r="1455" spans="2:5" x14ac:dyDescent="0.2">
      <c r="B1455" s="120" t="s">
        <v>2547</v>
      </c>
      <c r="C1455" s="121" t="s">
        <v>2548</v>
      </c>
      <c r="D1455" s="122">
        <v>0.98</v>
      </c>
      <c r="E1455" s="122">
        <v>0.01</v>
      </c>
    </row>
    <row r="1456" spans="2:5" x14ac:dyDescent="0.2">
      <c r="B1456" s="120" t="s">
        <v>2549</v>
      </c>
      <c r="C1456" s="121" t="s">
        <v>2550</v>
      </c>
      <c r="D1456" s="122">
        <v>12.4</v>
      </c>
      <c r="E1456" s="122">
        <v>-0.14000000000000001</v>
      </c>
    </row>
    <row r="1457" spans="2:5" x14ac:dyDescent="0.2">
      <c r="B1457" s="120" t="s">
        <v>2551</v>
      </c>
      <c r="C1457" s="121" t="s">
        <v>2552</v>
      </c>
      <c r="D1457" s="122">
        <v>17.55</v>
      </c>
      <c r="E1457" s="122">
        <v>0.06</v>
      </c>
    </row>
    <row r="1458" spans="2:5" x14ac:dyDescent="0.2">
      <c r="B1458" s="120" t="s">
        <v>4449</v>
      </c>
      <c r="C1458" s="121" t="s">
        <v>4450</v>
      </c>
      <c r="D1458" s="122"/>
      <c r="E1458" s="122"/>
    </row>
    <row r="1459" spans="2:5" x14ac:dyDescent="0.2">
      <c r="B1459" s="120" t="s">
        <v>2553</v>
      </c>
      <c r="C1459" s="121" t="s">
        <v>2554</v>
      </c>
      <c r="D1459" s="122">
        <v>9.25</v>
      </c>
      <c r="E1459" s="122">
        <v>0.08</v>
      </c>
    </row>
    <row r="1460" spans="2:5" x14ac:dyDescent="0.2">
      <c r="B1460" s="120" t="s">
        <v>2555</v>
      </c>
      <c r="C1460" s="121" t="s">
        <v>2556</v>
      </c>
      <c r="D1460" s="122">
        <v>6.77</v>
      </c>
      <c r="E1460" s="122">
        <v>0.01</v>
      </c>
    </row>
    <row r="1461" spans="2:5" x14ac:dyDescent="0.2">
      <c r="B1461" s="120" t="s">
        <v>4451</v>
      </c>
      <c r="C1461" s="121" t="s">
        <v>4452</v>
      </c>
      <c r="D1461" s="122"/>
      <c r="E1461" s="122"/>
    </row>
    <row r="1462" spans="2:5" x14ac:dyDescent="0.2">
      <c r="B1462" s="120" t="s">
        <v>2557</v>
      </c>
      <c r="C1462" s="121" t="s">
        <v>2558</v>
      </c>
      <c r="D1462" s="122">
        <v>10.9</v>
      </c>
      <c r="E1462" s="122">
        <v>0.11</v>
      </c>
    </row>
    <row r="1463" spans="2:5" x14ac:dyDescent="0.2">
      <c r="B1463" s="120" t="s">
        <v>2559</v>
      </c>
      <c r="C1463" s="121" t="s">
        <v>2560</v>
      </c>
      <c r="D1463" s="122">
        <v>8.9499999999999993</v>
      </c>
      <c r="E1463" s="122">
        <v>0.06</v>
      </c>
    </row>
    <row r="1464" spans="2:5" x14ac:dyDescent="0.2">
      <c r="B1464" s="120" t="s">
        <v>2561</v>
      </c>
      <c r="C1464" s="121" t="s">
        <v>2562</v>
      </c>
      <c r="D1464" s="122">
        <v>15.22</v>
      </c>
      <c r="E1464" s="122">
        <v>0.11</v>
      </c>
    </row>
    <row r="1465" spans="2:5" x14ac:dyDescent="0.2">
      <c r="B1465" s="120" t="s">
        <v>2563</v>
      </c>
      <c r="C1465" s="121" t="s">
        <v>2564</v>
      </c>
      <c r="D1465" s="122">
        <v>9.98</v>
      </c>
      <c r="E1465" s="122">
        <v>0.1</v>
      </c>
    </row>
    <row r="1466" spans="2:5" x14ac:dyDescent="0.2">
      <c r="B1466" s="120" t="s">
        <v>2565</v>
      </c>
      <c r="C1466" s="121" t="s">
        <v>2566</v>
      </c>
      <c r="D1466" s="122">
        <v>6.19</v>
      </c>
      <c r="E1466" s="122">
        <v>0.06</v>
      </c>
    </row>
    <row r="1467" spans="2:5" x14ac:dyDescent="0.2">
      <c r="B1467" s="120" t="s">
        <v>2567</v>
      </c>
      <c r="C1467" s="121" t="s">
        <v>2568</v>
      </c>
      <c r="D1467" s="122">
        <v>22.17</v>
      </c>
      <c r="E1467" s="122">
        <v>0.09</v>
      </c>
    </row>
    <row r="1468" spans="2:5" x14ac:dyDescent="0.2">
      <c r="B1468" s="120" t="s">
        <v>4453</v>
      </c>
      <c r="C1468" s="121" t="s">
        <v>4454</v>
      </c>
      <c r="D1468" s="122"/>
      <c r="E1468" s="122"/>
    </row>
    <row r="1469" spans="2:5" x14ac:dyDescent="0.2">
      <c r="B1469" s="120" t="s">
        <v>4455</v>
      </c>
      <c r="C1469" s="121" t="s">
        <v>4456</v>
      </c>
      <c r="D1469" s="122">
        <v>10.52</v>
      </c>
      <c r="E1469" s="122">
        <v>0.17</v>
      </c>
    </row>
    <row r="1470" spans="2:5" x14ac:dyDescent="0.2">
      <c r="B1470" s="120" t="s">
        <v>2569</v>
      </c>
      <c r="C1470" s="121" t="s">
        <v>2570</v>
      </c>
      <c r="D1470" s="122">
        <v>11.32</v>
      </c>
      <c r="E1470" s="122">
        <v>0.11</v>
      </c>
    </row>
    <row r="1471" spans="2:5" x14ac:dyDescent="0.2">
      <c r="B1471" s="120" t="s">
        <v>2571</v>
      </c>
      <c r="C1471" s="121" t="s">
        <v>2572</v>
      </c>
      <c r="D1471" s="122">
        <v>15.06</v>
      </c>
      <c r="E1471" s="122">
        <v>0.09</v>
      </c>
    </row>
    <row r="1472" spans="2:5" x14ac:dyDescent="0.2">
      <c r="B1472" s="120" t="s">
        <v>4457</v>
      </c>
      <c r="C1472" s="121" t="s">
        <v>4458</v>
      </c>
      <c r="D1472" s="122">
        <v>2.2599999999999998</v>
      </c>
      <c r="E1472" s="122">
        <v>0.03</v>
      </c>
    </row>
    <row r="1473" spans="2:5" x14ac:dyDescent="0.2">
      <c r="B1473" s="120" t="s">
        <v>2573</v>
      </c>
      <c r="C1473" s="121" t="s">
        <v>2574</v>
      </c>
      <c r="D1473" s="122">
        <v>-24.41</v>
      </c>
      <c r="E1473" s="122">
        <v>-0.54</v>
      </c>
    </row>
    <row r="1474" spans="2:5" x14ac:dyDescent="0.2">
      <c r="B1474" s="120" t="s">
        <v>2575</v>
      </c>
      <c r="C1474" s="121" t="s">
        <v>2576</v>
      </c>
      <c r="D1474" s="122">
        <v>62.54</v>
      </c>
      <c r="E1474" s="122">
        <v>0.59</v>
      </c>
    </row>
    <row r="1475" spans="2:5" x14ac:dyDescent="0.2">
      <c r="B1475" s="120" t="s">
        <v>2577</v>
      </c>
      <c r="C1475" s="121" t="s">
        <v>2578</v>
      </c>
      <c r="D1475" s="122">
        <v>21.02</v>
      </c>
      <c r="E1475" s="122">
        <v>0.15</v>
      </c>
    </row>
    <row r="1476" spans="2:5" x14ac:dyDescent="0.2">
      <c r="B1476" s="120" t="s">
        <v>4459</v>
      </c>
      <c r="C1476" s="121" t="s">
        <v>4460</v>
      </c>
      <c r="D1476" s="122">
        <v>1.22</v>
      </c>
      <c r="E1476" s="122">
        <v>0.01</v>
      </c>
    </row>
    <row r="1477" spans="2:5" x14ac:dyDescent="0.2">
      <c r="B1477" s="120" t="s">
        <v>2579</v>
      </c>
      <c r="C1477" s="121" t="s">
        <v>2580</v>
      </c>
      <c r="D1477" s="122">
        <v>27.68</v>
      </c>
      <c r="E1477" s="122">
        <v>0.1</v>
      </c>
    </row>
    <row r="1478" spans="2:5" x14ac:dyDescent="0.2">
      <c r="B1478" s="120" t="s">
        <v>2581</v>
      </c>
      <c r="C1478" s="121" t="s">
        <v>2582</v>
      </c>
      <c r="D1478" s="122">
        <v>30.7</v>
      </c>
      <c r="E1478" s="122">
        <v>0.27</v>
      </c>
    </row>
    <row r="1479" spans="2:5" x14ac:dyDescent="0.2">
      <c r="B1479" s="120" t="s">
        <v>2583</v>
      </c>
      <c r="C1479" s="121" t="s">
        <v>2584</v>
      </c>
      <c r="D1479" s="122">
        <v>40.06</v>
      </c>
      <c r="E1479" s="122">
        <v>0.31</v>
      </c>
    </row>
    <row r="1480" spans="2:5" x14ac:dyDescent="0.2">
      <c r="B1480" s="120" t="s">
        <v>4461</v>
      </c>
      <c r="C1480" s="121" t="s">
        <v>4462</v>
      </c>
      <c r="D1480" s="122">
        <v>11.42</v>
      </c>
      <c r="E1480" s="122">
        <v>0.1</v>
      </c>
    </row>
    <row r="1481" spans="2:5" x14ac:dyDescent="0.2">
      <c r="B1481" s="120" t="s">
        <v>2585</v>
      </c>
      <c r="C1481" s="121" t="s">
        <v>2586</v>
      </c>
      <c r="D1481" s="122">
        <v>9.7899999999999991</v>
      </c>
      <c r="E1481" s="122">
        <v>0.06</v>
      </c>
    </row>
    <row r="1482" spans="2:5" x14ac:dyDescent="0.2">
      <c r="B1482" s="120" t="s">
        <v>2587</v>
      </c>
      <c r="C1482" s="121" t="s">
        <v>2588</v>
      </c>
      <c r="D1482" s="122">
        <v>13.3</v>
      </c>
      <c r="E1482" s="122">
        <v>0.12</v>
      </c>
    </row>
    <row r="1483" spans="2:5" x14ac:dyDescent="0.2">
      <c r="B1483" s="120" t="s">
        <v>2589</v>
      </c>
      <c r="C1483" s="121" t="s">
        <v>2590</v>
      </c>
      <c r="D1483" s="122">
        <v>13.84</v>
      </c>
      <c r="E1483" s="122">
        <v>0.14000000000000001</v>
      </c>
    </row>
    <row r="1484" spans="2:5" x14ac:dyDescent="0.2">
      <c r="B1484" s="120" t="s">
        <v>2591</v>
      </c>
      <c r="C1484" s="121" t="s">
        <v>2592</v>
      </c>
      <c r="D1484" s="122">
        <v>2.66</v>
      </c>
      <c r="E1484" s="122">
        <v>0.01</v>
      </c>
    </row>
    <row r="1485" spans="2:5" x14ac:dyDescent="0.2">
      <c r="B1485" s="120" t="s">
        <v>2593</v>
      </c>
      <c r="C1485" s="121" t="s">
        <v>2594</v>
      </c>
      <c r="D1485" s="122">
        <v>7.85</v>
      </c>
      <c r="E1485" s="122">
        <v>0.08</v>
      </c>
    </row>
    <row r="1486" spans="2:5" x14ac:dyDescent="0.2">
      <c r="B1486" s="120" t="s">
        <v>2595</v>
      </c>
      <c r="C1486" s="121" t="s">
        <v>2596</v>
      </c>
      <c r="D1486" s="122">
        <v>9.61</v>
      </c>
      <c r="E1486" s="122">
        <v>0.11</v>
      </c>
    </row>
    <row r="1487" spans="2:5" x14ac:dyDescent="0.2">
      <c r="B1487" s="120" t="s">
        <v>2597</v>
      </c>
      <c r="C1487" s="121" t="s">
        <v>2598</v>
      </c>
      <c r="D1487" s="122"/>
      <c r="E1487" s="122"/>
    </row>
    <row r="1488" spans="2:5" x14ac:dyDescent="0.2">
      <c r="B1488" s="120" t="s">
        <v>2599</v>
      </c>
      <c r="C1488" s="121" t="s">
        <v>2600</v>
      </c>
      <c r="D1488" s="122">
        <v>6.02</v>
      </c>
      <c r="E1488" s="122">
        <v>7.0000000000000007E-2</v>
      </c>
    </row>
    <row r="1489" spans="2:5" x14ac:dyDescent="0.2">
      <c r="B1489" s="120" t="s">
        <v>2601</v>
      </c>
      <c r="C1489" s="121" t="s">
        <v>2602</v>
      </c>
      <c r="D1489" s="122">
        <v>3.03</v>
      </c>
      <c r="E1489" s="122">
        <v>0.02</v>
      </c>
    </row>
    <row r="1490" spans="2:5" x14ac:dyDescent="0.2">
      <c r="B1490" s="120" t="s">
        <v>4463</v>
      </c>
      <c r="C1490" s="121" t="s">
        <v>4464</v>
      </c>
      <c r="D1490" s="122"/>
      <c r="E1490" s="122"/>
    </row>
    <row r="1491" spans="2:5" x14ac:dyDescent="0.2">
      <c r="B1491" s="120" t="s">
        <v>2603</v>
      </c>
      <c r="C1491" s="121" t="s">
        <v>2604</v>
      </c>
      <c r="D1491" s="122">
        <v>9.23</v>
      </c>
      <c r="E1491" s="122">
        <v>0.09</v>
      </c>
    </row>
    <row r="1492" spans="2:5" x14ac:dyDescent="0.2">
      <c r="B1492" s="120" t="s">
        <v>2605</v>
      </c>
      <c r="C1492" s="121" t="s">
        <v>2606</v>
      </c>
      <c r="D1492" s="122">
        <v>22.54</v>
      </c>
      <c r="E1492" s="122">
        <v>0.23</v>
      </c>
    </row>
    <row r="1493" spans="2:5" x14ac:dyDescent="0.2">
      <c r="B1493" s="120" t="s">
        <v>2607</v>
      </c>
      <c r="C1493" s="121" t="s">
        <v>2608</v>
      </c>
      <c r="D1493" s="122"/>
      <c r="E1493" s="122">
        <v>0.19</v>
      </c>
    </row>
    <row r="1494" spans="2:5" x14ac:dyDescent="0.2">
      <c r="B1494" s="120" t="s">
        <v>2609</v>
      </c>
      <c r="C1494" s="121" t="s">
        <v>2610</v>
      </c>
      <c r="D1494" s="122">
        <v>10.8</v>
      </c>
      <c r="E1494" s="122">
        <v>0.05</v>
      </c>
    </row>
    <row r="1495" spans="2:5" x14ac:dyDescent="0.2">
      <c r="B1495" s="120" t="s">
        <v>2611</v>
      </c>
      <c r="C1495" s="121" t="s">
        <v>2612</v>
      </c>
      <c r="D1495" s="122">
        <v>11.71</v>
      </c>
      <c r="E1495" s="122">
        <v>0.03</v>
      </c>
    </row>
    <row r="1496" spans="2:5" x14ac:dyDescent="0.2">
      <c r="B1496" s="120" t="s">
        <v>2613</v>
      </c>
      <c r="C1496" s="121" t="s">
        <v>2614</v>
      </c>
      <c r="D1496" s="122">
        <v>17.350000000000001</v>
      </c>
      <c r="E1496" s="122">
        <v>0.17</v>
      </c>
    </row>
    <row r="1497" spans="2:5" x14ac:dyDescent="0.2">
      <c r="B1497" s="120" t="s">
        <v>2615</v>
      </c>
      <c r="C1497" s="121" t="s">
        <v>2616</v>
      </c>
      <c r="D1497" s="122">
        <v>7.48</v>
      </c>
      <c r="E1497" s="122">
        <v>0.02</v>
      </c>
    </row>
    <row r="1498" spans="2:5" x14ac:dyDescent="0.2">
      <c r="B1498" s="120" t="s">
        <v>2617</v>
      </c>
      <c r="C1498" s="121" t="s">
        <v>2618</v>
      </c>
      <c r="D1498" s="122">
        <v>8.23</v>
      </c>
      <c r="E1498" s="122">
        <v>7.0000000000000007E-2</v>
      </c>
    </row>
    <row r="1499" spans="2:5" x14ac:dyDescent="0.2">
      <c r="B1499" s="120" t="s">
        <v>2619</v>
      </c>
      <c r="C1499" s="121" t="s">
        <v>2620</v>
      </c>
      <c r="D1499" s="122">
        <v>60.77</v>
      </c>
      <c r="E1499" s="122">
        <v>0.62</v>
      </c>
    </row>
    <row r="1500" spans="2:5" x14ac:dyDescent="0.2">
      <c r="B1500" s="120" t="s">
        <v>2621</v>
      </c>
      <c r="C1500" s="121" t="s">
        <v>2622</v>
      </c>
      <c r="D1500" s="122">
        <v>35.700000000000003</v>
      </c>
      <c r="E1500" s="122">
        <v>0.55000000000000004</v>
      </c>
    </row>
    <row r="1501" spans="2:5" x14ac:dyDescent="0.2">
      <c r="B1501" s="120" t="s">
        <v>4465</v>
      </c>
      <c r="C1501" s="121" t="s">
        <v>4466</v>
      </c>
      <c r="D1501" s="122"/>
      <c r="E1501" s="122"/>
    </row>
    <row r="1502" spans="2:5" x14ac:dyDescent="0.2">
      <c r="B1502" s="120" t="s">
        <v>4467</v>
      </c>
      <c r="C1502" s="121" t="s">
        <v>4468</v>
      </c>
      <c r="D1502" s="122"/>
      <c r="E1502" s="122">
        <v>0.24</v>
      </c>
    </row>
    <row r="1503" spans="2:5" x14ac:dyDescent="0.2">
      <c r="B1503" s="120" t="s">
        <v>4469</v>
      </c>
      <c r="C1503" s="121" t="s">
        <v>4470</v>
      </c>
      <c r="D1503" s="122"/>
      <c r="E1503" s="122">
        <v>0.06</v>
      </c>
    </row>
    <row r="1504" spans="2:5" x14ac:dyDescent="0.2">
      <c r="B1504" s="120" t="s">
        <v>4471</v>
      </c>
      <c r="C1504" s="121" t="s">
        <v>4472</v>
      </c>
      <c r="D1504" s="122"/>
      <c r="E1504" s="122">
        <v>0.14000000000000001</v>
      </c>
    </row>
    <row r="1505" spans="2:5" x14ac:dyDescent="0.2">
      <c r="B1505" s="120" t="s">
        <v>2623</v>
      </c>
      <c r="C1505" s="121" t="s">
        <v>2624</v>
      </c>
      <c r="D1505" s="122">
        <v>3.11</v>
      </c>
      <c r="E1505" s="122">
        <v>-0.13</v>
      </c>
    </row>
    <row r="1506" spans="2:5" x14ac:dyDescent="0.2">
      <c r="B1506" s="120" t="s">
        <v>2625</v>
      </c>
      <c r="C1506" s="121" t="s">
        <v>2626</v>
      </c>
      <c r="D1506" s="122">
        <v>4.6900000000000004</v>
      </c>
      <c r="E1506" s="122">
        <v>0.05</v>
      </c>
    </row>
    <row r="1507" spans="2:5" x14ac:dyDescent="0.2">
      <c r="B1507" s="120" t="s">
        <v>2627</v>
      </c>
      <c r="C1507" s="121" t="s">
        <v>2628</v>
      </c>
      <c r="D1507" s="122">
        <v>54.28</v>
      </c>
      <c r="E1507" s="122">
        <v>0.54</v>
      </c>
    </row>
    <row r="1508" spans="2:5" x14ac:dyDescent="0.2">
      <c r="B1508" s="120" t="s">
        <v>2629</v>
      </c>
      <c r="C1508" s="121" t="s">
        <v>2630</v>
      </c>
      <c r="D1508" s="122">
        <v>16</v>
      </c>
      <c r="E1508" s="122">
        <v>0.04</v>
      </c>
    </row>
    <row r="1509" spans="2:5" x14ac:dyDescent="0.2">
      <c r="B1509" s="120" t="s">
        <v>2631</v>
      </c>
      <c r="C1509" s="121" t="s">
        <v>2632</v>
      </c>
      <c r="D1509" s="122">
        <v>2.2000000000000002</v>
      </c>
      <c r="E1509" s="122">
        <v>0.02</v>
      </c>
    </row>
    <row r="1510" spans="2:5" x14ac:dyDescent="0.2">
      <c r="B1510" s="120" t="s">
        <v>2633</v>
      </c>
      <c r="C1510" s="121" t="s">
        <v>2634</v>
      </c>
      <c r="D1510" s="122"/>
      <c r="E1510" s="122">
        <v>0.09</v>
      </c>
    </row>
    <row r="1511" spans="2:5" x14ac:dyDescent="0.2">
      <c r="B1511" s="120" t="s">
        <v>2635</v>
      </c>
      <c r="C1511" s="121" t="s">
        <v>2636</v>
      </c>
      <c r="D1511" s="122"/>
      <c r="E1511" s="122">
        <v>0.04</v>
      </c>
    </row>
    <row r="1512" spans="2:5" x14ac:dyDescent="0.2">
      <c r="B1512" s="120" t="s">
        <v>2637</v>
      </c>
      <c r="C1512" s="121" t="s">
        <v>2638</v>
      </c>
      <c r="D1512" s="122"/>
      <c r="E1512" s="122">
        <v>0.12</v>
      </c>
    </row>
    <row r="1513" spans="2:5" x14ac:dyDescent="0.2">
      <c r="B1513" s="120" t="s">
        <v>2639</v>
      </c>
      <c r="C1513" s="121" t="s">
        <v>2640</v>
      </c>
      <c r="D1513" s="122">
        <v>7.52</v>
      </c>
      <c r="E1513" s="122">
        <v>0.08</v>
      </c>
    </row>
    <row r="1514" spans="2:5" x14ac:dyDescent="0.2">
      <c r="B1514" s="120" t="s">
        <v>2641</v>
      </c>
      <c r="C1514" s="121" t="s">
        <v>2642</v>
      </c>
      <c r="D1514" s="122">
        <v>-5.76</v>
      </c>
      <c r="E1514" s="122">
        <v>-0.22</v>
      </c>
    </row>
    <row r="1515" spans="2:5" x14ac:dyDescent="0.2">
      <c r="B1515" s="120" t="s">
        <v>2643</v>
      </c>
      <c r="C1515" s="121" t="s">
        <v>2644</v>
      </c>
      <c r="D1515" s="122">
        <v>3.97</v>
      </c>
      <c r="E1515" s="122">
        <v>0.03</v>
      </c>
    </row>
    <row r="1516" spans="2:5" x14ac:dyDescent="0.2">
      <c r="B1516" s="120" t="s">
        <v>2645</v>
      </c>
      <c r="C1516" s="121" t="s">
        <v>2646</v>
      </c>
      <c r="D1516" s="122">
        <v>12.72</v>
      </c>
      <c r="E1516" s="122">
        <v>0.1</v>
      </c>
    </row>
    <row r="1517" spans="2:5" x14ac:dyDescent="0.2">
      <c r="B1517" s="120" t="s">
        <v>2647</v>
      </c>
      <c r="C1517" s="121" t="s">
        <v>2648</v>
      </c>
      <c r="D1517" s="122">
        <v>21.18</v>
      </c>
      <c r="E1517" s="122">
        <v>0.13</v>
      </c>
    </row>
    <row r="1518" spans="2:5" x14ac:dyDescent="0.2">
      <c r="B1518" s="120" t="s">
        <v>2649</v>
      </c>
      <c r="C1518" s="121" t="s">
        <v>2650</v>
      </c>
      <c r="D1518" s="122">
        <v>18.440000000000001</v>
      </c>
      <c r="E1518" s="122">
        <v>-0.21</v>
      </c>
    </row>
    <row r="1519" spans="2:5" x14ac:dyDescent="0.2">
      <c r="B1519" s="120" t="s">
        <v>2651</v>
      </c>
      <c r="C1519" s="121" t="s">
        <v>2652</v>
      </c>
      <c r="D1519" s="122">
        <v>20.82</v>
      </c>
      <c r="E1519" s="122">
        <v>0.13</v>
      </c>
    </row>
    <row r="1520" spans="2:5" x14ac:dyDescent="0.2">
      <c r="B1520" s="120" t="s">
        <v>2653</v>
      </c>
      <c r="C1520" s="121" t="s">
        <v>2654</v>
      </c>
      <c r="D1520" s="122">
        <v>28.4</v>
      </c>
      <c r="E1520" s="122">
        <v>0.21</v>
      </c>
    </row>
    <row r="1521" spans="2:5" x14ac:dyDescent="0.2">
      <c r="B1521" s="120" t="s">
        <v>4473</v>
      </c>
      <c r="C1521" s="121" t="s">
        <v>4474</v>
      </c>
      <c r="D1521" s="122"/>
      <c r="E1521" s="122"/>
    </row>
    <row r="1522" spans="2:5" x14ac:dyDescent="0.2">
      <c r="B1522" s="120" t="s">
        <v>2655</v>
      </c>
      <c r="C1522" s="121" t="s">
        <v>2656</v>
      </c>
      <c r="D1522" s="122">
        <v>5.82</v>
      </c>
      <c r="E1522" s="122">
        <v>7.0000000000000007E-2</v>
      </c>
    </row>
    <row r="1523" spans="2:5" x14ac:dyDescent="0.2">
      <c r="B1523" s="120" t="s">
        <v>2655</v>
      </c>
      <c r="C1523" s="121" t="s">
        <v>4475</v>
      </c>
      <c r="D1523" s="122">
        <v>5.82</v>
      </c>
      <c r="E1523" s="122">
        <v>7.0000000000000007E-2</v>
      </c>
    </row>
    <row r="1524" spans="2:5" x14ac:dyDescent="0.2">
      <c r="B1524" s="120" t="s">
        <v>2657</v>
      </c>
      <c r="C1524" s="121" t="s">
        <v>2658</v>
      </c>
      <c r="D1524" s="122">
        <v>24.43</v>
      </c>
      <c r="E1524" s="122">
        <v>0.04</v>
      </c>
    </row>
    <row r="1525" spans="2:5" x14ac:dyDescent="0.2">
      <c r="B1525" s="120" t="s">
        <v>2659</v>
      </c>
      <c r="C1525" s="121" t="s">
        <v>2660</v>
      </c>
      <c r="D1525" s="122">
        <v>22.15</v>
      </c>
      <c r="E1525" s="122">
        <v>0.11</v>
      </c>
    </row>
    <row r="1526" spans="2:5" x14ac:dyDescent="0.2">
      <c r="B1526" s="120" t="s">
        <v>2661</v>
      </c>
      <c r="C1526" s="121" t="s">
        <v>2662</v>
      </c>
      <c r="D1526" s="122">
        <v>2.12</v>
      </c>
      <c r="E1526" s="122">
        <v>-0.15</v>
      </c>
    </row>
    <row r="1527" spans="2:5" x14ac:dyDescent="0.2">
      <c r="B1527" s="120" t="s">
        <v>2663</v>
      </c>
      <c r="C1527" s="121" t="s">
        <v>2664</v>
      </c>
      <c r="D1527" s="122">
        <v>19.43</v>
      </c>
      <c r="E1527" s="122">
        <v>0.23</v>
      </c>
    </row>
    <row r="1528" spans="2:5" x14ac:dyDescent="0.2">
      <c r="B1528" s="120" t="s">
        <v>4476</v>
      </c>
      <c r="C1528" s="121" t="s">
        <v>4477</v>
      </c>
      <c r="D1528" s="122">
        <v>22.15</v>
      </c>
      <c r="E1528" s="122">
        <v>0.19</v>
      </c>
    </row>
    <row r="1529" spans="2:5" x14ac:dyDescent="0.2">
      <c r="B1529" s="120" t="s">
        <v>2665</v>
      </c>
      <c r="C1529" s="121" t="s">
        <v>2666</v>
      </c>
      <c r="D1529" s="122">
        <v>-11.09</v>
      </c>
      <c r="E1529" s="122">
        <v>3.6</v>
      </c>
    </row>
    <row r="1530" spans="2:5" x14ac:dyDescent="0.2">
      <c r="B1530" s="120" t="s">
        <v>4478</v>
      </c>
      <c r="C1530" s="121" t="s">
        <v>4479</v>
      </c>
      <c r="D1530" s="122">
        <v>3.42</v>
      </c>
      <c r="E1530" s="122">
        <v>0.03</v>
      </c>
    </row>
    <row r="1531" spans="2:5" x14ac:dyDescent="0.2">
      <c r="B1531" s="120" t="s">
        <v>2667</v>
      </c>
      <c r="C1531" s="121" t="s">
        <v>2668</v>
      </c>
      <c r="D1531" s="122">
        <v>9.7899999999999991</v>
      </c>
      <c r="E1531" s="122">
        <v>0.1</v>
      </c>
    </row>
    <row r="1532" spans="2:5" x14ac:dyDescent="0.2">
      <c r="B1532" s="120" t="s">
        <v>2669</v>
      </c>
      <c r="C1532" s="121" t="s">
        <v>2670</v>
      </c>
      <c r="D1532" s="122">
        <v>7.32</v>
      </c>
      <c r="E1532" s="122">
        <v>0.06</v>
      </c>
    </row>
    <row r="1533" spans="2:5" x14ac:dyDescent="0.2">
      <c r="B1533" s="120" t="s">
        <v>2671</v>
      </c>
      <c r="C1533" s="121" t="s">
        <v>2672</v>
      </c>
      <c r="D1533" s="122"/>
      <c r="E1533" s="122">
        <v>0.17</v>
      </c>
    </row>
    <row r="1534" spans="2:5" x14ac:dyDescent="0.2">
      <c r="B1534" s="120" t="s">
        <v>2673</v>
      </c>
      <c r="C1534" s="121" t="s">
        <v>2674</v>
      </c>
      <c r="D1534" s="122">
        <v>21.55</v>
      </c>
      <c r="E1534" s="122">
        <v>0.13</v>
      </c>
    </row>
    <row r="1535" spans="2:5" x14ac:dyDescent="0.2">
      <c r="B1535" s="120" t="s">
        <v>4480</v>
      </c>
      <c r="C1535" s="121" t="s">
        <v>4481</v>
      </c>
      <c r="D1535" s="122">
        <v>21.55</v>
      </c>
      <c r="E1535" s="122">
        <v>0.13</v>
      </c>
    </row>
    <row r="1536" spans="2:5" x14ac:dyDescent="0.2">
      <c r="B1536" s="120" t="s">
        <v>4482</v>
      </c>
      <c r="C1536" s="121" t="s">
        <v>4483</v>
      </c>
      <c r="D1536" s="122"/>
      <c r="E1536" s="122"/>
    </row>
    <row r="1537" spans="2:5" x14ac:dyDescent="0.2">
      <c r="B1537" s="120" t="s">
        <v>2675</v>
      </c>
      <c r="C1537" s="121" t="s">
        <v>2676</v>
      </c>
      <c r="D1537" s="122">
        <v>14.68</v>
      </c>
      <c r="E1537" s="122">
        <v>0.14000000000000001</v>
      </c>
    </row>
    <row r="1538" spans="2:5" x14ac:dyDescent="0.2">
      <c r="B1538" s="120" t="s">
        <v>2677</v>
      </c>
      <c r="C1538" s="121" t="s">
        <v>2678</v>
      </c>
      <c r="D1538" s="122">
        <v>18.96</v>
      </c>
      <c r="E1538" s="122">
        <v>0.19</v>
      </c>
    </row>
    <row r="1539" spans="2:5" x14ac:dyDescent="0.2">
      <c r="B1539" s="120" t="s">
        <v>2679</v>
      </c>
      <c r="C1539" s="121" t="s">
        <v>2680</v>
      </c>
      <c r="D1539" s="122">
        <v>7.76</v>
      </c>
      <c r="E1539" s="122">
        <v>0.08</v>
      </c>
    </row>
    <row r="1540" spans="2:5" x14ac:dyDescent="0.2">
      <c r="B1540" s="120" t="s">
        <v>2681</v>
      </c>
      <c r="C1540" s="121" t="s">
        <v>2682</v>
      </c>
      <c r="D1540" s="122">
        <v>50.45</v>
      </c>
      <c r="E1540" s="122">
        <v>0.48</v>
      </c>
    </row>
    <row r="1541" spans="2:5" x14ac:dyDescent="0.2">
      <c r="B1541" s="120" t="s">
        <v>2683</v>
      </c>
      <c r="C1541" s="121" t="s">
        <v>2684</v>
      </c>
      <c r="D1541" s="122">
        <v>5.25</v>
      </c>
      <c r="E1541" s="122">
        <v>0.06</v>
      </c>
    </row>
    <row r="1542" spans="2:5" x14ac:dyDescent="0.2">
      <c r="B1542" s="120" t="s">
        <v>2683</v>
      </c>
      <c r="C1542" s="121" t="s">
        <v>4484</v>
      </c>
      <c r="D1542" s="122">
        <v>5.25</v>
      </c>
      <c r="E1542" s="122">
        <v>0.06</v>
      </c>
    </row>
    <row r="1543" spans="2:5" x14ac:dyDescent="0.2">
      <c r="B1543" s="120" t="s">
        <v>2685</v>
      </c>
      <c r="C1543" s="121" t="s">
        <v>2686</v>
      </c>
      <c r="D1543" s="122">
        <v>11.19</v>
      </c>
      <c r="E1543" s="122">
        <v>0.12</v>
      </c>
    </row>
    <row r="1544" spans="2:5" x14ac:dyDescent="0.2">
      <c r="B1544" s="120" t="s">
        <v>2687</v>
      </c>
      <c r="C1544" s="121" t="s">
        <v>2688</v>
      </c>
      <c r="D1544" s="122">
        <v>13.44</v>
      </c>
      <c r="E1544" s="122">
        <v>0.12</v>
      </c>
    </row>
    <row r="1545" spans="2:5" x14ac:dyDescent="0.2">
      <c r="B1545" s="120" t="s">
        <v>2689</v>
      </c>
      <c r="C1545" s="121" t="s">
        <v>2690</v>
      </c>
      <c r="D1545" s="122">
        <v>6.92</v>
      </c>
      <c r="E1545" s="122">
        <v>0.01</v>
      </c>
    </row>
    <row r="1546" spans="2:5" x14ac:dyDescent="0.2">
      <c r="B1546" s="120" t="s">
        <v>2691</v>
      </c>
      <c r="C1546" s="121" t="s">
        <v>2692</v>
      </c>
      <c r="D1546" s="122">
        <v>26.71</v>
      </c>
      <c r="E1546" s="122">
        <v>0.22</v>
      </c>
    </row>
    <row r="1547" spans="2:5" x14ac:dyDescent="0.2">
      <c r="B1547" s="120" t="s">
        <v>2693</v>
      </c>
      <c r="C1547" s="121" t="s">
        <v>2694</v>
      </c>
      <c r="D1547" s="122">
        <v>36.880000000000003</v>
      </c>
      <c r="E1547" s="122">
        <v>0.36</v>
      </c>
    </row>
    <row r="1548" spans="2:5" x14ac:dyDescent="0.2">
      <c r="B1548" s="120" t="s">
        <v>4485</v>
      </c>
      <c r="C1548" s="121" t="s">
        <v>4486</v>
      </c>
      <c r="D1548" s="122"/>
      <c r="E1548" s="122">
        <v>0.19</v>
      </c>
    </row>
    <row r="1549" spans="2:5" x14ac:dyDescent="0.2">
      <c r="B1549" s="120" t="s">
        <v>4487</v>
      </c>
      <c r="C1549" s="121" t="s">
        <v>4488</v>
      </c>
      <c r="D1549" s="122"/>
      <c r="E1549" s="122">
        <v>0.13</v>
      </c>
    </row>
    <row r="1550" spans="2:5" x14ac:dyDescent="0.2">
      <c r="B1550" s="120" t="s">
        <v>2695</v>
      </c>
      <c r="C1550" s="121" t="s">
        <v>2696</v>
      </c>
      <c r="D1550" s="122">
        <v>3.74</v>
      </c>
      <c r="E1550" s="122">
        <v>0.05</v>
      </c>
    </row>
    <row r="1551" spans="2:5" x14ac:dyDescent="0.2">
      <c r="B1551" s="120" t="s">
        <v>2697</v>
      </c>
      <c r="C1551" s="121" t="s">
        <v>2698</v>
      </c>
      <c r="D1551" s="122">
        <v>21.07</v>
      </c>
      <c r="E1551" s="122">
        <v>0.22</v>
      </c>
    </row>
    <row r="1552" spans="2:5" x14ac:dyDescent="0.2">
      <c r="B1552" s="120" t="s">
        <v>2699</v>
      </c>
      <c r="C1552" s="121" t="s">
        <v>2700</v>
      </c>
      <c r="D1552" s="122">
        <v>27.31</v>
      </c>
      <c r="E1552" s="122">
        <v>0.27</v>
      </c>
    </row>
    <row r="1553" spans="2:5" x14ac:dyDescent="0.2">
      <c r="B1553" s="120" t="s">
        <v>2701</v>
      </c>
      <c r="C1553" s="121" t="s">
        <v>2702</v>
      </c>
      <c r="D1553" s="122">
        <v>6.39</v>
      </c>
      <c r="E1553" s="122">
        <v>0.06</v>
      </c>
    </row>
    <row r="1554" spans="2:5" x14ac:dyDescent="0.2">
      <c r="B1554" s="120" t="s">
        <v>2703</v>
      </c>
      <c r="C1554" s="121" t="s">
        <v>2704</v>
      </c>
      <c r="D1554" s="122">
        <v>20.25</v>
      </c>
      <c r="E1554" s="122">
        <v>0.09</v>
      </c>
    </row>
    <row r="1555" spans="2:5" x14ac:dyDescent="0.2">
      <c r="B1555" s="120" t="s">
        <v>2705</v>
      </c>
      <c r="C1555" s="121" t="s">
        <v>2706</v>
      </c>
      <c r="D1555" s="122">
        <v>22.51</v>
      </c>
      <c r="E1555" s="122">
        <v>0.22</v>
      </c>
    </row>
    <row r="1556" spans="2:5" x14ac:dyDescent="0.2">
      <c r="B1556" s="120" t="s">
        <v>2707</v>
      </c>
      <c r="C1556" s="121" t="s">
        <v>2708</v>
      </c>
      <c r="D1556" s="122">
        <v>9.15</v>
      </c>
      <c r="E1556" s="122">
        <v>0.06</v>
      </c>
    </row>
    <row r="1557" spans="2:5" x14ac:dyDescent="0.2">
      <c r="B1557" s="120" t="s">
        <v>2709</v>
      </c>
      <c r="C1557" s="121" t="s">
        <v>2710</v>
      </c>
      <c r="D1557" s="122"/>
      <c r="E1557" s="122">
        <v>0.18</v>
      </c>
    </row>
    <row r="1558" spans="2:5" x14ac:dyDescent="0.2">
      <c r="B1558" s="120" t="s">
        <v>2711</v>
      </c>
      <c r="C1558" s="121" t="s">
        <v>2712</v>
      </c>
      <c r="D1558" s="122">
        <v>7.63</v>
      </c>
      <c r="E1558" s="122">
        <v>7.0000000000000007E-2</v>
      </c>
    </row>
    <row r="1559" spans="2:5" x14ac:dyDescent="0.2">
      <c r="B1559" s="120" t="s">
        <v>2713</v>
      </c>
      <c r="C1559" s="121" t="s">
        <v>2714</v>
      </c>
      <c r="D1559" s="122">
        <v>18.89</v>
      </c>
      <c r="E1559" s="122">
        <v>0.21</v>
      </c>
    </row>
    <row r="1560" spans="2:5" x14ac:dyDescent="0.2">
      <c r="B1560" s="120" t="s">
        <v>2715</v>
      </c>
      <c r="C1560" s="121" t="s">
        <v>2716</v>
      </c>
      <c r="D1560" s="122">
        <v>2.85</v>
      </c>
      <c r="E1560" s="122">
        <v>0.02</v>
      </c>
    </row>
    <row r="1561" spans="2:5" x14ac:dyDescent="0.2">
      <c r="B1561" s="120" t="s">
        <v>2717</v>
      </c>
      <c r="C1561" s="121" t="s">
        <v>2718</v>
      </c>
      <c r="D1561" s="122">
        <v>-17.260000000000002</v>
      </c>
      <c r="E1561" s="122">
        <v>-0.66</v>
      </c>
    </row>
    <row r="1562" spans="2:5" x14ac:dyDescent="0.2">
      <c r="B1562" s="120" t="s">
        <v>2719</v>
      </c>
      <c r="C1562" s="121" t="s">
        <v>2720</v>
      </c>
      <c r="D1562" s="122"/>
      <c r="E1562" s="122">
        <v>0.34</v>
      </c>
    </row>
    <row r="1563" spans="2:5" x14ac:dyDescent="0.2">
      <c r="B1563" s="120" t="s">
        <v>2721</v>
      </c>
      <c r="C1563" s="121" t="s">
        <v>2722</v>
      </c>
      <c r="D1563" s="122">
        <v>13.59</v>
      </c>
      <c r="E1563" s="122">
        <v>0.11</v>
      </c>
    </row>
    <row r="1564" spans="2:5" x14ac:dyDescent="0.2">
      <c r="B1564" s="120" t="s">
        <v>4489</v>
      </c>
      <c r="C1564" s="121" t="s">
        <v>4490</v>
      </c>
      <c r="D1564" s="122">
        <v>20.170000000000002</v>
      </c>
      <c r="E1564" s="122">
        <v>0.13</v>
      </c>
    </row>
    <row r="1565" spans="2:5" x14ac:dyDescent="0.2">
      <c r="B1565" s="120" t="s">
        <v>2723</v>
      </c>
      <c r="C1565" s="121" t="s">
        <v>20</v>
      </c>
      <c r="D1565" s="122">
        <v>9.4600000000000009</v>
      </c>
      <c r="E1565" s="122">
        <v>7.0000000000000007E-2</v>
      </c>
    </row>
    <row r="1566" spans="2:5" x14ac:dyDescent="0.2">
      <c r="B1566" s="120" t="s">
        <v>2724</v>
      </c>
      <c r="C1566" s="121" t="s">
        <v>2725</v>
      </c>
      <c r="D1566" s="122">
        <v>11.34</v>
      </c>
      <c r="E1566" s="122">
        <v>0.08</v>
      </c>
    </row>
    <row r="1567" spans="2:5" x14ac:dyDescent="0.2">
      <c r="B1567" s="120" t="s">
        <v>2726</v>
      </c>
      <c r="C1567" s="121" t="s">
        <v>2727</v>
      </c>
      <c r="D1567" s="122">
        <v>20.190000000000001</v>
      </c>
      <c r="E1567" s="122">
        <v>0.16</v>
      </c>
    </row>
    <row r="1568" spans="2:5" x14ac:dyDescent="0.2">
      <c r="B1568" s="120" t="s">
        <v>2728</v>
      </c>
      <c r="C1568" s="121" t="s">
        <v>2729</v>
      </c>
      <c r="D1568" s="122">
        <v>8.9600000000000009</v>
      </c>
      <c r="E1568" s="122">
        <v>-0.04</v>
      </c>
    </row>
    <row r="1569" spans="2:5" x14ac:dyDescent="0.2">
      <c r="B1569" s="120" t="s">
        <v>2730</v>
      </c>
      <c r="C1569" s="121" t="s">
        <v>2731</v>
      </c>
      <c r="D1569" s="122"/>
      <c r="E1569" s="122">
        <v>0.06</v>
      </c>
    </row>
    <row r="1570" spans="2:5" x14ac:dyDescent="0.2">
      <c r="B1570" s="120" t="s">
        <v>2732</v>
      </c>
      <c r="C1570" s="121" t="s">
        <v>2733</v>
      </c>
      <c r="D1570" s="122">
        <v>14.32</v>
      </c>
      <c r="E1570" s="122">
        <v>0.11</v>
      </c>
    </row>
    <row r="1571" spans="2:5" x14ac:dyDescent="0.2">
      <c r="B1571" s="120" t="s">
        <v>2734</v>
      </c>
      <c r="C1571" s="121" t="s">
        <v>2735</v>
      </c>
      <c r="D1571" s="122"/>
      <c r="E1571" s="122"/>
    </row>
    <row r="1572" spans="2:5" x14ac:dyDescent="0.2">
      <c r="B1572" s="120" t="s">
        <v>4491</v>
      </c>
      <c r="C1572" s="121" t="s">
        <v>4492</v>
      </c>
      <c r="D1572" s="122">
        <v>12.32</v>
      </c>
      <c r="E1572" s="122">
        <v>0.11</v>
      </c>
    </row>
    <row r="1573" spans="2:5" x14ac:dyDescent="0.2">
      <c r="B1573" s="120" t="s">
        <v>2736</v>
      </c>
      <c r="C1573" s="121" t="s">
        <v>2737</v>
      </c>
      <c r="D1573" s="122">
        <v>15.83</v>
      </c>
      <c r="E1573" s="122">
        <v>0.08</v>
      </c>
    </row>
    <row r="1574" spans="2:5" x14ac:dyDescent="0.2">
      <c r="B1574" s="120" t="s">
        <v>2738</v>
      </c>
      <c r="C1574" s="121" t="s">
        <v>2739</v>
      </c>
      <c r="D1574" s="122">
        <v>-2.41</v>
      </c>
      <c r="E1574" s="122">
        <v>-0.01</v>
      </c>
    </row>
    <row r="1575" spans="2:5" x14ac:dyDescent="0.2">
      <c r="B1575" s="120" t="s">
        <v>2740</v>
      </c>
      <c r="C1575" s="121" t="s">
        <v>2741</v>
      </c>
      <c r="D1575" s="122">
        <v>12.16</v>
      </c>
      <c r="E1575" s="122">
        <v>0.13</v>
      </c>
    </row>
    <row r="1576" spans="2:5" x14ac:dyDescent="0.2">
      <c r="B1576" s="120" t="s">
        <v>2742</v>
      </c>
      <c r="C1576" s="121" t="s">
        <v>2743</v>
      </c>
      <c r="D1576" s="122">
        <v>17.22</v>
      </c>
      <c r="E1576" s="122">
        <v>0.15</v>
      </c>
    </row>
    <row r="1577" spans="2:5" x14ac:dyDescent="0.2">
      <c r="B1577" s="120" t="s">
        <v>2744</v>
      </c>
      <c r="C1577" s="121" t="s">
        <v>2745</v>
      </c>
      <c r="D1577" s="122">
        <v>24.98</v>
      </c>
      <c r="E1577" s="122">
        <v>0.18</v>
      </c>
    </row>
    <row r="1578" spans="2:5" x14ac:dyDescent="0.2">
      <c r="B1578" s="120" t="s">
        <v>2746</v>
      </c>
      <c r="C1578" s="121" t="s">
        <v>2747</v>
      </c>
      <c r="D1578" s="122">
        <v>10.41</v>
      </c>
      <c r="E1578" s="122">
        <v>0.11</v>
      </c>
    </row>
    <row r="1579" spans="2:5" x14ac:dyDescent="0.2">
      <c r="B1579" s="120" t="s">
        <v>4493</v>
      </c>
      <c r="C1579" s="121" t="s">
        <v>4494</v>
      </c>
      <c r="D1579" s="122">
        <v>4.93</v>
      </c>
      <c r="E1579" s="122">
        <v>0.04</v>
      </c>
    </row>
    <row r="1580" spans="2:5" x14ac:dyDescent="0.2">
      <c r="B1580" s="120" t="s">
        <v>2748</v>
      </c>
      <c r="C1580" s="121" t="s">
        <v>2749</v>
      </c>
      <c r="D1580" s="122">
        <v>16.05</v>
      </c>
      <c r="E1580" s="122">
        <v>0.04</v>
      </c>
    </row>
    <row r="1581" spans="2:5" x14ac:dyDescent="0.2">
      <c r="B1581" s="120" t="s">
        <v>2750</v>
      </c>
      <c r="C1581" s="121" t="s">
        <v>2751</v>
      </c>
      <c r="D1581" s="122">
        <v>5.73</v>
      </c>
      <c r="E1581" s="122">
        <v>0.05</v>
      </c>
    </row>
    <row r="1582" spans="2:5" x14ac:dyDescent="0.2">
      <c r="B1582" s="120" t="s">
        <v>2752</v>
      </c>
      <c r="C1582" s="121" t="s">
        <v>2753</v>
      </c>
      <c r="D1582" s="122">
        <v>5.39</v>
      </c>
      <c r="E1582" s="122">
        <v>0.05</v>
      </c>
    </row>
    <row r="1583" spans="2:5" x14ac:dyDescent="0.2">
      <c r="B1583" s="120" t="s">
        <v>2754</v>
      </c>
      <c r="C1583" s="121" t="s">
        <v>2755</v>
      </c>
      <c r="D1583" s="122">
        <v>10.029999999999999</v>
      </c>
      <c r="E1583" s="122">
        <v>0.1</v>
      </c>
    </row>
    <row r="1584" spans="2:5" x14ac:dyDescent="0.2">
      <c r="B1584" s="120" t="s">
        <v>4495</v>
      </c>
      <c r="C1584" s="121" t="s">
        <v>4496</v>
      </c>
      <c r="D1584" s="122"/>
      <c r="E1584" s="122"/>
    </row>
    <row r="1585" spans="2:5" x14ac:dyDescent="0.2">
      <c r="B1585" s="120" t="s">
        <v>2756</v>
      </c>
      <c r="C1585" s="121" t="s">
        <v>2757</v>
      </c>
      <c r="D1585" s="122">
        <v>10.96</v>
      </c>
      <c r="E1585" s="122">
        <v>0.11</v>
      </c>
    </row>
    <row r="1586" spans="2:5" x14ac:dyDescent="0.2">
      <c r="B1586" s="120" t="s">
        <v>2758</v>
      </c>
      <c r="C1586" s="121" t="s">
        <v>2759</v>
      </c>
      <c r="D1586" s="122"/>
      <c r="E1586" s="122">
        <v>-0.04</v>
      </c>
    </row>
    <row r="1587" spans="2:5" x14ac:dyDescent="0.2">
      <c r="B1587" s="120" t="s">
        <v>2760</v>
      </c>
      <c r="C1587" s="121" t="s">
        <v>2761</v>
      </c>
      <c r="D1587" s="122"/>
      <c r="E1587" s="122">
        <v>0.13</v>
      </c>
    </row>
    <row r="1588" spans="2:5" x14ac:dyDescent="0.2">
      <c r="B1588" s="120" t="s">
        <v>2762</v>
      </c>
      <c r="C1588" s="121" t="s">
        <v>2763</v>
      </c>
      <c r="D1588" s="122"/>
      <c r="E1588" s="122">
        <v>0.03</v>
      </c>
    </row>
    <row r="1589" spans="2:5" x14ac:dyDescent="0.2">
      <c r="B1589" s="120" t="s">
        <v>2764</v>
      </c>
      <c r="C1589" s="121" t="s">
        <v>2765</v>
      </c>
      <c r="D1589" s="122">
        <v>28.69</v>
      </c>
      <c r="E1589" s="122">
        <v>0.22</v>
      </c>
    </row>
    <row r="1590" spans="2:5" x14ac:dyDescent="0.2">
      <c r="B1590" s="120" t="s">
        <v>2766</v>
      </c>
      <c r="C1590" s="121" t="s">
        <v>2767</v>
      </c>
      <c r="D1590" s="122">
        <v>12.12</v>
      </c>
      <c r="E1590" s="122">
        <v>0.11</v>
      </c>
    </row>
    <row r="1591" spans="2:5" x14ac:dyDescent="0.2">
      <c r="B1591" s="120" t="s">
        <v>2768</v>
      </c>
      <c r="C1591" s="121" t="s">
        <v>2769</v>
      </c>
      <c r="D1591" s="122"/>
      <c r="E1591" s="122">
        <v>-0.15</v>
      </c>
    </row>
    <row r="1592" spans="2:5" x14ac:dyDescent="0.2">
      <c r="B1592" s="120" t="s">
        <v>2770</v>
      </c>
      <c r="C1592" s="121" t="s">
        <v>2771</v>
      </c>
      <c r="D1592" s="122">
        <v>9.2799999999999994</v>
      </c>
      <c r="E1592" s="122">
        <v>0.13</v>
      </c>
    </row>
    <row r="1593" spans="2:5" x14ac:dyDescent="0.2">
      <c r="B1593" s="120" t="s">
        <v>2772</v>
      </c>
      <c r="C1593" s="121" t="s">
        <v>2773</v>
      </c>
      <c r="D1593" s="122">
        <v>-0.68</v>
      </c>
      <c r="E1593" s="122">
        <v>-0.06</v>
      </c>
    </row>
    <row r="1594" spans="2:5" x14ac:dyDescent="0.2">
      <c r="B1594" s="120" t="s">
        <v>2774</v>
      </c>
      <c r="C1594" s="121" t="s">
        <v>2775</v>
      </c>
      <c r="D1594" s="122">
        <v>9.25</v>
      </c>
      <c r="E1594" s="122">
        <v>0.09</v>
      </c>
    </row>
    <row r="1595" spans="2:5" x14ac:dyDescent="0.2">
      <c r="B1595" s="120" t="s">
        <v>2776</v>
      </c>
      <c r="C1595" s="121" t="s">
        <v>2777</v>
      </c>
      <c r="D1595" s="122">
        <v>1.27</v>
      </c>
      <c r="E1595" s="122">
        <v>0.02</v>
      </c>
    </row>
    <row r="1596" spans="2:5" x14ac:dyDescent="0.2">
      <c r="B1596" s="120" t="s">
        <v>2778</v>
      </c>
      <c r="C1596" s="121" t="s">
        <v>2779</v>
      </c>
      <c r="D1596" s="122"/>
      <c r="E1596" s="122">
        <v>0.06</v>
      </c>
    </row>
    <row r="1597" spans="2:5" x14ac:dyDescent="0.2">
      <c r="B1597" s="120" t="s">
        <v>2780</v>
      </c>
      <c r="C1597" s="121" t="s">
        <v>2781</v>
      </c>
      <c r="D1597" s="122">
        <v>-38046.74</v>
      </c>
      <c r="E1597" s="122">
        <v>-4.13</v>
      </c>
    </row>
    <row r="1598" spans="2:5" x14ac:dyDescent="0.2">
      <c r="B1598" s="120" t="s">
        <v>2782</v>
      </c>
      <c r="C1598" s="121" t="s">
        <v>2783</v>
      </c>
      <c r="D1598" s="122">
        <v>4.91</v>
      </c>
      <c r="E1598" s="122">
        <v>0.03</v>
      </c>
    </row>
    <row r="1599" spans="2:5" x14ac:dyDescent="0.2">
      <c r="B1599" s="120" t="s">
        <v>2784</v>
      </c>
      <c r="C1599" s="121" t="s">
        <v>2785</v>
      </c>
      <c r="D1599" s="122">
        <v>9.73</v>
      </c>
      <c r="E1599" s="122">
        <v>0.09</v>
      </c>
    </row>
    <row r="1600" spans="2:5" x14ac:dyDescent="0.2">
      <c r="B1600" s="120" t="s">
        <v>2786</v>
      </c>
      <c r="C1600" s="121" t="s">
        <v>2787</v>
      </c>
      <c r="D1600" s="122">
        <v>16.329999999999998</v>
      </c>
      <c r="E1600" s="122">
        <v>0.16</v>
      </c>
    </row>
    <row r="1601" spans="2:5" x14ac:dyDescent="0.2">
      <c r="B1601" s="120" t="s">
        <v>2788</v>
      </c>
      <c r="C1601" s="121" t="s">
        <v>2789</v>
      </c>
      <c r="D1601" s="122">
        <v>21.19</v>
      </c>
      <c r="E1601" s="122">
        <v>0.17</v>
      </c>
    </row>
    <row r="1602" spans="2:5" x14ac:dyDescent="0.2">
      <c r="B1602" s="120" t="s">
        <v>2790</v>
      </c>
      <c r="C1602" s="121" t="s">
        <v>2791</v>
      </c>
      <c r="D1602" s="122"/>
      <c r="E1602" s="122"/>
    </row>
    <row r="1603" spans="2:5" x14ac:dyDescent="0.2">
      <c r="B1603" s="120" t="s">
        <v>2792</v>
      </c>
      <c r="C1603" s="121" t="s">
        <v>2793</v>
      </c>
      <c r="D1603" s="122">
        <v>11.59</v>
      </c>
      <c r="E1603" s="122">
        <v>0.09</v>
      </c>
    </row>
    <row r="1604" spans="2:5" x14ac:dyDescent="0.2">
      <c r="B1604" s="120" t="s">
        <v>2794</v>
      </c>
      <c r="C1604" s="121" t="s">
        <v>2795</v>
      </c>
      <c r="D1604" s="122">
        <v>0.9</v>
      </c>
      <c r="E1604" s="122">
        <v>-0.02</v>
      </c>
    </row>
    <row r="1605" spans="2:5" x14ac:dyDescent="0.2">
      <c r="B1605" s="120" t="s">
        <v>2796</v>
      </c>
      <c r="C1605" s="121" t="s">
        <v>2797</v>
      </c>
      <c r="D1605" s="122"/>
      <c r="E1605" s="122"/>
    </row>
    <row r="1606" spans="2:5" x14ac:dyDescent="0.2">
      <c r="B1606" s="120" t="s">
        <v>4497</v>
      </c>
      <c r="C1606" s="121" t="s">
        <v>4498</v>
      </c>
      <c r="D1606" s="122"/>
      <c r="E1606" s="122">
        <v>0.22</v>
      </c>
    </row>
    <row r="1607" spans="2:5" x14ac:dyDescent="0.2">
      <c r="B1607" s="120" t="s">
        <v>2798</v>
      </c>
      <c r="C1607" s="121" t="s">
        <v>2799</v>
      </c>
      <c r="D1607" s="122">
        <v>6.98</v>
      </c>
      <c r="E1607" s="122">
        <v>0.03</v>
      </c>
    </row>
    <row r="1608" spans="2:5" x14ac:dyDescent="0.2">
      <c r="B1608" s="120" t="s">
        <v>2800</v>
      </c>
      <c r="C1608" s="121" t="s">
        <v>2801</v>
      </c>
      <c r="D1608" s="122">
        <v>11.39</v>
      </c>
      <c r="E1608" s="122">
        <v>0.11</v>
      </c>
    </row>
    <row r="1609" spans="2:5" x14ac:dyDescent="0.2">
      <c r="B1609" s="120" t="s">
        <v>4499</v>
      </c>
      <c r="C1609" s="121" t="s">
        <v>4500</v>
      </c>
      <c r="D1609" s="122"/>
      <c r="E1609" s="122">
        <v>0.09</v>
      </c>
    </row>
    <row r="1610" spans="2:5" x14ac:dyDescent="0.2">
      <c r="B1610" s="120" t="s">
        <v>4501</v>
      </c>
      <c r="C1610" s="121" t="s">
        <v>4502</v>
      </c>
      <c r="D1610" s="122">
        <v>14.24</v>
      </c>
      <c r="E1610" s="122"/>
    </row>
    <row r="1611" spans="2:5" x14ac:dyDescent="0.2">
      <c r="B1611" s="120" t="s">
        <v>4503</v>
      </c>
      <c r="C1611" s="121" t="s">
        <v>4504</v>
      </c>
      <c r="D1611" s="122"/>
      <c r="E1611" s="122"/>
    </row>
    <row r="1612" spans="2:5" x14ac:dyDescent="0.2">
      <c r="B1612" s="120" t="s">
        <v>2802</v>
      </c>
      <c r="C1612" s="121" t="s">
        <v>2803</v>
      </c>
      <c r="D1612" s="122">
        <v>45.68</v>
      </c>
      <c r="E1612" s="122">
        <v>0.28999999999999998</v>
      </c>
    </row>
    <row r="1613" spans="2:5" x14ac:dyDescent="0.2">
      <c r="B1613" s="120" t="s">
        <v>2804</v>
      </c>
      <c r="C1613" s="121" t="s">
        <v>2805</v>
      </c>
      <c r="D1613" s="122">
        <v>3.37</v>
      </c>
      <c r="E1613" s="122">
        <v>0.45</v>
      </c>
    </row>
    <row r="1614" spans="2:5" x14ac:dyDescent="0.2">
      <c r="B1614" s="120" t="s">
        <v>4505</v>
      </c>
      <c r="C1614" s="121" t="s">
        <v>4506</v>
      </c>
      <c r="D1614" s="122">
        <v>44.59</v>
      </c>
      <c r="E1614" s="122">
        <v>0.3</v>
      </c>
    </row>
    <row r="1615" spans="2:5" x14ac:dyDescent="0.2">
      <c r="B1615" s="120" t="s">
        <v>2806</v>
      </c>
      <c r="C1615" s="121" t="s">
        <v>2807</v>
      </c>
      <c r="D1615" s="122">
        <v>19.22</v>
      </c>
      <c r="E1615" s="122">
        <v>0.18</v>
      </c>
    </row>
    <row r="1616" spans="2:5" x14ac:dyDescent="0.2">
      <c r="B1616" s="120" t="s">
        <v>2808</v>
      </c>
      <c r="C1616" s="121" t="s">
        <v>2809</v>
      </c>
      <c r="D1616" s="122">
        <v>13.35</v>
      </c>
      <c r="E1616" s="122">
        <v>0.18</v>
      </c>
    </row>
    <row r="1617" spans="2:5" x14ac:dyDescent="0.2">
      <c r="B1617" s="120" t="s">
        <v>2810</v>
      </c>
      <c r="C1617" s="121" t="s">
        <v>2811</v>
      </c>
      <c r="D1617" s="122">
        <v>12.6</v>
      </c>
      <c r="E1617" s="122">
        <v>0.13</v>
      </c>
    </row>
    <row r="1618" spans="2:5" x14ac:dyDescent="0.2">
      <c r="B1618" s="120" t="s">
        <v>2812</v>
      </c>
      <c r="C1618" s="121" t="s">
        <v>2813</v>
      </c>
      <c r="D1618" s="122"/>
      <c r="E1618" s="122">
        <v>0.05</v>
      </c>
    </row>
    <row r="1619" spans="2:5" x14ac:dyDescent="0.2">
      <c r="B1619" s="120" t="s">
        <v>2814</v>
      </c>
      <c r="C1619" s="121" t="s">
        <v>2815</v>
      </c>
      <c r="D1619" s="122">
        <v>20.79</v>
      </c>
      <c r="E1619" s="122">
        <v>0.22</v>
      </c>
    </row>
    <row r="1620" spans="2:5" x14ac:dyDescent="0.2">
      <c r="B1620" s="120" t="s">
        <v>2816</v>
      </c>
      <c r="C1620" s="121" t="s">
        <v>2817</v>
      </c>
      <c r="D1620" s="122">
        <v>17.07</v>
      </c>
      <c r="E1620" s="122">
        <v>0.15</v>
      </c>
    </row>
    <row r="1621" spans="2:5" x14ac:dyDescent="0.2">
      <c r="B1621" s="120" t="s">
        <v>2818</v>
      </c>
      <c r="C1621" s="121" t="s">
        <v>2819</v>
      </c>
      <c r="D1621" s="122">
        <v>35.29</v>
      </c>
      <c r="E1621" s="122">
        <v>0.35</v>
      </c>
    </row>
    <row r="1622" spans="2:5" x14ac:dyDescent="0.2">
      <c r="B1622" s="120" t="s">
        <v>4507</v>
      </c>
      <c r="C1622" s="121" t="s">
        <v>4508</v>
      </c>
      <c r="D1622" s="122"/>
      <c r="E1622" s="122">
        <v>0.22</v>
      </c>
    </row>
    <row r="1623" spans="2:5" x14ac:dyDescent="0.2">
      <c r="B1623" s="120" t="s">
        <v>2820</v>
      </c>
      <c r="C1623" s="121" t="s">
        <v>2821</v>
      </c>
      <c r="D1623" s="122">
        <v>10.52</v>
      </c>
      <c r="E1623" s="122">
        <v>0.14000000000000001</v>
      </c>
    </row>
    <row r="1624" spans="2:5" x14ac:dyDescent="0.2">
      <c r="B1624" s="120" t="s">
        <v>2822</v>
      </c>
      <c r="C1624" s="121" t="s">
        <v>2823</v>
      </c>
      <c r="D1624" s="122">
        <v>13.11</v>
      </c>
      <c r="E1624" s="122">
        <v>0.13</v>
      </c>
    </row>
    <row r="1625" spans="2:5" x14ac:dyDescent="0.2">
      <c r="B1625" s="120" t="s">
        <v>2824</v>
      </c>
      <c r="C1625" s="121" t="s">
        <v>2825</v>
      </c>
      <c r="D1625" s="122">
        <v>2.4900000000000002</v>
      </c>
      <c r="E1625" s="122">
        <v>0.02</v>
      </c>
    </row>
    <row r="1626" spans="2:5" x14ac:dyDescent="0.2">
      <c r="B1626" s="120" t="s">
        <v>2826</v>
      </c>
      <c r="C1626" s="121" t="s">
        <v>2827</v>
      </c>
      <c r="D1626" s="122">
        <v>13.51</v>
      </c>
      <c r="E1626" s="122">
        <v>0.13</v>
      </c>
    </row>
    <row r="1627" spans="2:5" x14ac:dyDescent="0.2">
      <c r="B1627" s="120" t="s">
        <v>4509</v>
      </c>
      <c r="C1627" s="121" t="s">
        <v>4510</v>
      </c>
      <c r="D1627" s="122"/>
      <c r="E1627" s="122"/>
    </row>
    <row r="1628" spans="2:5" x14ac:dyDescent="0.2">
      <c r="B1628" s="120" t="s">
        <v>4511</v>
      </c>
      <c r="C1628" s="121" t="s">
        <v>4512</v>
      </c>
      <c r="D1628" s="122"/>
      <c r="E1628" s="122"/>
    </row>
    <row r="1629" spans="2:5" x14ac:dyDescent="0.2">
      <c r="B1629" s="120" t="s">
        <v>2828</v>
      </c>
      <c r="C1629" s="121" t="s">
        <v>2829</v>
      </c>
      <c r="D1629" s="122">
        <v>-53.89</v>
      </c>
      <c r="E1629" s="122">
        <v>-1.1599999999999999</v>
      </c>
    </row>
    <row r="1630" spans="2:5" x14ac:dyDescent="0.2">
      <c r="B1630" s="120" t="s">
        <v>4513</v>
      </c>
      <c r="C1630" s="121" t="s">
        <v>4514</v>
      </c>
      <c r="D1630" s="122">
        <v>2.71</v>
      </c>
      <c r="E1630" s="122">
        <v>0</v>
      </c>
    </row>
    <row r="1631" spans="2:5" x14ac:dyDescent="0.2">
      <c r="B1631" s="120" t="s">
        <v>2830</v>
      </c>
      <c r="C1631" s="121" t="s">
        <v>2831</v>
      </c>
      <c r="D1631" s="122">
        <v>14.25</v>
      </c>
      <c r="E1631" s="122">
        <v>0.14000000000000001</v>
      </c>
    </row>
    <row r="1632" spans="2:5" x14ac:dyDescent="0.2">
      <c r="B1632" s="120" t="s">
        <v>2832</v>
      </c>
      <c r="C1632" s="121" t="s">
        <v>2833</v>
      </c>
      <c r="D1632" s="122">
        <v>9.16</v>
      </c>
      <c r="E1632" s="122">
        <v>0.04</v>
      </c>
    </row>
    <row r="1633" spans="2:5" x14ac:dyDescent="0.2">
      <c r="B1633" s="120" t="s">
        <v>2834</v>
      </c>
      <c r="C1633" s="121" t="s">
        <v>2835</v>
      </c>
      <c r="D1633" s="122"/>
      <c r="E1633" s="122">
        <v>2.88</v>
      </c>
    </row>
    <row r="1634" spans="2:5" x14ac:dyDescent="0.2">
      <c r="B1634" s="120" t="s">
        <v>2836</v>
      </c>
      <c r="C1634" s="121" t="s">
        <v>2837</v>
      </c>
      <c r="D1634" s="122">
        <v>29.85</v>
      </c>
      <c r="E1634" s="122">
        <v>0.31</v>
      </c>
    </row>
    <row r="1635" spans="2:5" x14ac:dyDescent="0.2">
      <c r="B1635" s="129" t="s">
        <v>2838</v>
      </c>
      <c r="C1635" s="122" t="s">
        <v>2839</v>
      </c>
      <c r="D1635" s="122">
        <v>4.93</v>
      </c>
      <c r="E1635" s="122">
        <v>0.05</v>
      </c>
    </row>
    <row r="1636" spans="2:5" x14ac:dyDescent="0.2">
      <c r="B1636" s="129" t="s">
        <v>4515</v>
      </c>
      <c r="C1636" s="122" t="s">
        <v>4516</v>
      </c>
      <c r="D1636" s="122">
        <v>9.09</v>
      </c>
      <c r="E1636" s="122">
        <v>0.09</v>
      </c>
    </row>
    <row r="1637" spans="2:5" x14ac:dyDescent="0.2">
      <c r="B1637" s="129" t="s">
        <v>2840</v>
      </c>
      <c r="C1637" s="122" t="s">
        <v>2841</v>
      </c>
      <c r="D1637" s="122"/>
      <c r="E1637" s="122">
        <v>0.12</v>
      </c>
    </row>
    <row r="1638" spans="2:5" x14ac:dyDescent="0.2">
      <c r="B1638" s="129" t="s">
        <v>2842</v>
      </c>
      <c r="C1638" s="122" t="s">
        <v>2843</v>
      </c>
      <c r="D1638" s="122">
        <v>9.6999999999999993</v>
      </c>
      <c r="E1638" s="122">
        <v>-0.02</v>
      </c>
    </row>
    <row r="1639" spans="2:5" x14ac:dyDescent="0.2">
      <c r="B1639" s="129" t="s">
        <v>2844</v>
      </c>
      <c r="C1639" s="122" t="s">
        <v>2845</v>
      </c>
      <c r="D1639" s="122">
        <v>14.67</v>
      </c>
      <c r="E1639" s="122">
        <v>0.13</v>
      </c>
    </row>
    <row r="1640" spans="2:5" x14ac:dyDescent="0.2">
      <c r="B1640" s="129" t="s">
        <v>4517</v>
      </c>
      <c r="C1640" s="122" t="s">
        <v>4518</v>
      </c>
      <c r="D1640" s="122">
        <v>14.59</v>
      </c>
      <c r="E1640" s="122">
        <v>0.15</v>
      </c>
    </row>
    <row r="1641" spans="2:5" x14ac:dyDescent="0.2">
      <c r="B1641" s="129" t="s">
        <v>4519</v>
      </c>
      <c r="C1641" s="122" t="s">
        <v>4520</v>
      </c>
      <c r="D1641" s="122">
        <v>16.27</v>
      </c>
      <c r="E1641" s="122">
        <v>0.18</v>
      </c>
    </row>
    <row r="1642" spans="2:5" x14ac:dyDescent="0.2">
      <c r="B1642" s="129" t="s">
        <v>4521</v>
      </c>
      <c r="C1642" s="122" t="s">
        <v>4522</v>
      </c>
      <c r="D1642" s="122"/>
      <c r="E1642" s="122"/>
    </row>
    <row r="1643" spans="2:5" x14ac:dyDescent="0.2">
      <c r="B1643" s="129" t="s">
        <v>2846</v>
      </c>
      <c r="C1643" s="122" t="s">
        <v>2847</v>
      </c>
      <c r="D1643" s="122">
        <v>-29.58</v>
      </c>
      <c r="E1643" s="122">
        <v>-0.34</v>
      </c>
    </row>
    <row r="1644" spans="2:5" x14ac:dyDescent="0.2">
      <c r="B1644" s="129" t="s">
        <v>2848</v>
      </c>
      <c r="C1644" s="122" t="s">
        <v>2849</v>
      </c>
      <c r="D1644" s="122"/>
      <c r="E1644" s="122">
        <v>0.18</v>
      </c>
    </row>
    <row r="1645" spans="2:5" x14ac:dyDescent="0.2">
      <c r="B1645" s="129" t="s">
        <v>2850</v>
      </c>
      <c r="C1645" s="122" t="s">
        <v>2851</v>
      </c>
      <c r="D1645" s="122"/>
      <c r="E1645" s="122">
        <v>0.1</v>
      </c>
    </row>
    <row r="1646" spans="2:5" x14ac:dyDescent="0.2">
      <c r="B1646" s="129" t="s">
        <v>4523</v>
      </c>
      <c r="C1646" s="122" t="s">
        <v>4524</v>
      </c>
      <c r="D1646" s="122"/>
      <c r="E1646" s="122"/>
    </row>
    <row r="1647" spans="2:5" x14ac:dyDescent="0.2">
      <c r="B1647" s="129" t="s">
        <v>2852</v>
      </c>
      <c r="C1647" s="122" t="s">
        <v>2853</v>
      </c>
      <c r="D1647" s="122">
        <v>4.82</v>
      </c>
      <c r="E1647" s="122">
        <v>0.03</v>
      </c>
    </row>
    <row r="1648" spans="2:5" x14ac:dyDescent="0.2">
      <c r="B1648" s="129" t="s">
        <v>4525</v>
      </c>
      <c r="C1648" s="122" t="s">
        <v>4526</v>
      </c>
      <c r="D1648" s="122"/>
      <c r="E1648" s="122">
        <v>0.08</v>
      </c>
    </row>
    <row r="1649" spans="2:5" x14ac:dyDescent="0.2">
      <c r="B1649" s="129" t="s">
        <v>2854</v>
      </c>
      <c r="C1649" s="122" t="s">
        <v>2855</v>
      </c>
      <c r="D1649" s="122">
        <v>-24.1</v>
      </c>
      <c r="E1649" s="122">
        <v>0.03</v>
      </c>
    </row>
    <row r="1650" spans="2:5" x14ac:dyDescent="0.2">
      <c r="B1650" s="129" t="s">
        <v>2856</v>
      </c>
      <c r="C1650" s="122" t="s">
        <v>2857</v>
      </c>
      <c r="D1650" s="122">
        <v>21.12</v>
      </c>
      <c r="E1650" s="122"/>
    </row>
    <row r="1651" spans="2:5" x14ac:dyDescent="0.2">
      <c r="B1651" s="129" t="s">
        <v>2858</v>
      </c>
      <c r="C1651" s="122" t="s">
        <v>2859</v>
      </c>
      <c r="D1651" s="122">
        <v>27.72</v>
      </c>
      <c r="E1651" s="122">
        <v>0.23</v>
      </c>
    </row>
    <row r="1652" spans="2:5" x14ac:dyDescent="0.2">
      <c r="B1652" s="129" t="s">
        <v>2860</v>
      </c>
      <c r="C1652" s="122" t="s">
        <v>2861</v>
      </c>
      <c r="D1652" s="122">
        <v>2.74</v>
      </c>
      <c r="E1652" s="122">
        <v>0.05</v>
      </c>
    </row>
    <row r="1653" spans="2:5" x14ac:dyDescent="0.2">
      <c r="B1653" s="129" t="s">
        <v>2862</v>
      </c>
      <c r="C1653" s="122" t="s">
        <v>2863</v>
      </c>
      <c r="D1653" s="122">
        <v>97.92</v>
      </c>
      <c r="E1653" s="122">
        <v>0.88</v>
      </c>
    </row>
    <row r="1654" spans="2:5" x14ac:dyDescent="0.2">
      <c r="B1654" s="129" t="s">
        <v>4527</v>
      </c>
      <c r="C1654" s="122" t="s">
        <v>4528</v>
      </c>
      <c r="D1654" s="122"/>
      <c r="E1654" s="122"/>
    </row>
    <row r="1655" spans="2:5" x14ac:dyDescent="0.2">
      <c r="B1655" s="129" t="s">
        <v>4529</v>
      </c>
      <c r="C1655" s="122" t="s">
        <v>4530</v>
      </c>
      <c r="D1655" s="122">
        <v>5.5</v>
      </c>
      <c r="E1655" s="122">
        <v>0.06</v>
      </c>
    </row>
    <row r="1656" spans="2:5" x14ac:dyDescent="0.2">
      <c r="B1656" s="129" t="s">
        <v>2864</v>
      </c>
      <c r="C1656" s="122" t="s">
        <v>2865</v>
      </c>
      <c r="D1656" s="122"/>
      <c r="E1656" s="122"/>
    </row>
    <row r="1657" spans="2:5" x14ac:dyDescent="0.2">
      <c r="B1657" s="129" t="s">
        <v>2866</v>
      </c>
      <c r="C1657" s="122" t="s">
        <v>2867</v>
      </c>
      <c r="D1657" s="122">
        <v>20.14</v>
      </c>
      <c r="E1657" s="122">
        <v>0.22</v>
      </c>
    </row>
    <row r="1658" spans="2:5" x14ac:dyDescent="0.2">
      <c r="B1658" s="129" t="s">
        <v>2868</v>
      </c>
      <c r="C1658" s="122" t="s">
        <v>2869</v>
      </c>
      <c r="D1658" s="122">
        <v>4.51</v>
      </c>
      <c r="E1658" s="122">
        <v>-0.06</v>
      </c>
    </row>
    <row r="1659" spans="2:5" x14ac:dyDescent="0.2">
      <c r="B1659" s="129" t="s">
        <v>4531</v>
      </c>
      <c r="C1659" s="122" t="s">
        <v>4532</v>
      </c>
      <c r="D1659" s="122"/>
      <c r="E1659" s="122"/>
    </row>
    <row r="1660" spans="2:5" x14ac:dyDescent="0.2">
      <c r="B1660" s="129" t="s">
        <v>2870</v>
      </c>
      <c r="C1660" s="122" t="s">
        <v>2871</v>
      </c>
      <c r="D1660" s="122">
        <v>10.3</v>
      </c>
      <c r="E1660" s="122">
        <v>0.06</v>
      </c>
    </row>
    <row r="1661" spans="2:5" x14ac:dyDescent="0.2">
      <c r="B1661" s="129" t="s">
        <v>2872</v>
      </c>
      <c r="C1661" s="122" t="s">
        <v>2873</v>
      </c>
      <c r="D1661" s="122">
        <v>16.579999999999998</v>
      </c>
      <c r="E1661" s="122">
        <v>0.11</v>
      </c>
    </row>
    <row r="1662" spans="2:5" x14ac:dyDescent="0.2">
      <c r="B1662" s="129" t="s">
        <v>4533</v>
      </c>
      <c r="C1662" s="122" t="s">
        <v>4534</v>
      </c>
      <c r="D1662" s="122"/>
      <c r="E1662" s="122"/>
    </row>
    <row r="1663" spans="2:5" x14ac:dyDescent="0.2">
      <c r="B1663" s="129" t="s">
        <v>4535</v>
      </c>
      <c r="C1663" s="122" t="s">
        <v>4536</v>
      </c>
      <c r="D1663" s="122"/>
      <c r="E1663" s="122"/>
    </row>
    <row r="1664" spans="2:5" x14ac:dyDescent="0.2">
      <c r="B1664" s="129" t="s">
        <v>4537</v>
      </c>
      <c r="C1664" s="122" t="s">
        <v>4538</v>
      </c>
      <c r="D1664" s="122"/>
      <c r="E1664" s="122">
        <v>0.2</v>
      </c>
    </row>
    <row r="1665" spans="2:5" x14ac:dyDescent="0.2">
      <c r="B1665" s="129" t="s">
        <v>2874</v>
      </c>
      <c r="C1665" s="122" t="s">
        <v>2875</v>
      </c>
      <c r="D1665" s="122">
        <v>16.440000000000001</v>
      </c>
      <c r="E1665" s="122">
        <v>0.23</v>
      </c>
    </row>
    <row r="1666" spans="2:5" x14ac:dyDescent="0.2">
      <c r="B1666" s="129" t="s">
        <v>2876</v>
      </c>
      <c r="C1666" s="122" t="s">
        <v>2877</v>
      </c>
      <c r="D1666" s="122">
        <v>5.15</v>
      </c>
      <c r="E1666" s="122">
        <v>7.0000000000000007E-2</v>
      </c>
    </row>
    <row r="1667" spans="2:5" x14ac:dyDescent="0.2">
      <c r="B1667" s="129" t="s">
        <v>2878</v>
      </c>
      <c r="C1667" s="122" t="s">
        <v>2879</v>
      </c>
      <c r="D1667" s="122">
        <v>9.3000000000000007</v>
      </c>
      <c r="E1667" s="122">
        <v>7.0000000000000007E-2</v>
      </c>
    </row>
    <row r="1668" spans="2:5" x14ac:dyDescent="0.2">
      <c r="B1668" s="129" t="s">
        <v>2880</v>
      </c>
      <c r="C1668" s="122" t="s">
        <v>2881</v>
      </c>
      <c r="D1668" s="122">
        <v>9.74</v>
      </c>
      <c r="E1668" s="122">
        <v>0.06</v>
      </c>
    </row>
    <row r="1669" spans="2:5" x14ac:dyDescent="0.2">
      <c r="B1669" s="129" t="s">
        <v>2882</v>
      </c>
      <c r="C1669" s="122" t="s">
        <v>2883</v>
      </c>
      <c r="D1669" s="122">
        <v>15.53</v>
      </c>
      <c r="E1669" s="122">
        <v>0.2</v>
      </c>
    </row>
    <row r="1670" spans="2:5" x14ac:dyDescent="0.2">
      <c r="B1670" s="129" t="s">
        <v>2884</v>
      </c>
      <c r="C1670" s="122" t="s">
        <v>2885</v>
      </c>
      <c r="D1670" s="122">
        <v>3.08</v>
      </c>
      <c r="E1670" s="122">
        <v>0.03</v>
      </c>
    </row>
    <row r="1671" spans="2:5" x14ac:dyDescent="0.2">
      <c r="B1671" s="129" t="s">
        <v>2886</v>
      </c>
      <c r="C1671" s="122" t="s">
        <v>2887</v>
      </c>
      <c r="D1671" s="122">
        <v>37.700000000000003</v>
      </c>
      <c r="E1671" s="122">
        <v>0.36</v>
      </c>
    </row>
    <row r="1672" spans="2:5" x14ac:dyDescent="0.2">
      <c r="B1672" s="129" t="s">
        <v>2888</v>
      </c>
      <c r="C1672" s="122" t="s">
        <v>2889</v>
      </c>
      <c r="D1672" s="122">
        <v>18.350000000000001</v>
      </c>
      <c r="E1672" s="122">
        <v>0.19</v>
      </c>
    </row>
    <row r="1673" spans="2:5" x14ac:dyDescent="0.2">
      <c r="B1673" s="129" t="s">
        <v>2892</v>
      </c>
      <c r="C1673" s="122" t="s">
        <v>2893</v>
      </c>
      <c r="D1673" s="122">
        <v>11.93</v>
      </c>
      <c r="E1673" s="122">
        <v>7.0000000000000007E-2</v>
      </c>
    </row>
    <row r="1674" spans="2:5" x14ac:dyDescent="0.2">
      <c r="B1674" s="129" t="s">
        <v>4539</v>
      </c>
      <c r="C1674" s="122" t="s">
        <v>4540</v>
      </c>
      <c r="D1674" s="122"/>
      <c r="E1674" s="122"/>
    </row>
    <row r="1675" spans="2:5" x14ac:dyDescent="0.2">
      <c r="B1675" s="129" t="s">
        <v>4541</v>
      </c>
      <c r="C1675" s="122" t="s">
        <v>4542</v>
      </c>
      <c r="D1675" s="122">
        <v>14.42</v>
      </c>
      <c r="E1675" s="122"/>
    </row>
    <row r="1676" spans="2:5" x14ac:dyDescent="0.2">
      <c r="B1676" s="129" t="s">
        <v>2894</v>
      </c>
      <c r="C1676" s="122" t="s">
        <v>2895</v>
      </c>
      <c r="D1676" s="122">
        <v>7.96</v>
      </c>
      <c r="E1676" s="122">
        <v>0.08</v>
      </c>
    </row>
    <row r="1677" spans="2:5" x14ac:dyDescent="0.2">
      <c r="B1677" s="129" t="s">
        <v>4543</v>
      </c>
      <c r="C1677" s="122" t="s">
        <v>4544</v>
      </c>
      <c r="D1677" s="122">
        <v>6.61</v>
      </c>
      <c r="E1677" s="122">
        <v>0.06</v>
      </c>
    </row>
    <row r="1678" spans="2:5" x14ac:dyDescent="0.2">
      <c r="B1678" s="129" t="s">
        <v>2896</v>
      </c>
      <c r="C1678" s="122" t="s">
        <v>2897</v>
      </c>
      <c r="D1678" s="122">
        <v>13.37</v>
      </c>
      <c r="E1678" s="122">
        <v>0.02</v>
      </c>
    </row>
    <row r="1679" spans="2:5" x14ac:dyDescent="0.2">
      <c r="B1679" s="129" t="s">
        <v>2898</v>
      </c>
      <c r="C1679" s="122" t="s">
        <v>2899</v>
      </c>
      <c r="D1679" s="122">
        <v>6.78</v>
      </c>
      <c r="E1679" s="122">
        <v>0.06</v>
      </c>
    </row>
    <row r="1680" spans="2:5" x14ac:dyDescent="0.2">
      <c r="B1680" s="129" t="s">
        <v>2900</v>
      </c>
      <c r="C1680" s="122" t="s">
        <v>2901</v>
      </c>
      <c r="D1680" s="122">
        <v>9.91</v>
      </c>
      <c r="E1680" s="122">
        <v>0.09</v>
      </c>
    </row>
    <row r="1681" spans="2:5" x14ac:dyDescent="0.2">
      <c r="B1681" s="129" t="s">
        <v>2902</v>
      </c>
      <c r="C1681" s="122" t="s">
        <v>2903</v>
      </c>
      <c r="D1681" s="122">
        <v>17.48</v>
      </c>
      <c r="E1681" s="122">
        <v>0.1</v>
      </c>
    </row>
    <row r="1682" spans="2:5" x14ac:dyDescent="0.2">
      <c r="B1682" s="129" t="s">
        <v>2904</v>
      </c>
      <c r="C1682" s="122" t="s">
        <v>2905</v>
      </c>
      <c r="D1682" s="122">
        <v>6.26</v>
      </c>
      <c r="E1682" s="122">
        <v>7.0000000000000007E-2</v>
      </c>
    </row>
    <row r="1683" spans="2:5" x14ac:dyDescent="0.2">
      <c r="B1683" s="129" t="s">
        <v>2906</v>
      </c>
      <c r="C1683" s="122" t="s">
        <v>2907</v>
      </c>
      <c r="D1683" s="122">
        <v>8.34</v>
      </c>
      <c r="E1683" s="122">
        <v>0.11</v>
      </c>
    </row>
    <row r="1684" spans="2:5" x14ac:dyDescent="0.2">
      <c r="B1684" s="129" t="s">
        <v>2908</v>
      </c>
      <c r="C1684" s="122" t="s">
        <v>2909</v>
      </c>
      <c r="D1684" s="122"/>
      <c r="E1684" s="122">
        <v>0.39</v>
      </c>
    </row>
    <row r="1685" spans="2:5" x14ac:dyDescent="0.2">
      <c r="B1685" s="129" t="s">
        <v>2910</v>
      </c>
      <c r="C1685" s="122" t="s">
        <v>2911</v>
      </c>
      <c r="D1685" s="122">
        <v>28.46</v>
      </c>
      <c r="E1685" s="122">
        <v>0.21</v>
      </c>
    </row>
    <row r="1686" spans="2:5" x14ac:dyDescent="0.2">
      <c r="B1686" s="129" t="s">
        <v>2912</v>
      </c>
      <c r="C1686" s="122" t="s">
        <v>2913</v>
      </c>
      <c r="D1686" s="122">
        <v>5.33</v>
      </c>
      <c r="E1686" s="122">
        <v>0.05</v>
      </c>
    </row>
    <row r="1687" spans="2:5" x14ac:dyDescent="0.2">
      <c r="B1687" s="129" t="s">
        <v>2914</v>
      </c>
      <c r="C1687" s="122" t="s">
        <v>2915</v>
      </c>
      <c r="D1687" s="122">
        <v>34.4</v>
      </c>
      <c r="E1687" s="122">
        <v>0.26</v>
      </c>
    </row>
    <row r="1688" spans="2:5" x14ac:dyDescent="0.2">
      <c r="B1688" s="129" t="s">
        <v>4545</v>
      </c>
      <c r="C1688" s="122" t="s">
        <v>4546</v>
      </c>
      <c r="D1688" s="122"/>
      <c r="E1688" s="122"/>
    </row>
    <row r="1689" spans="2:5" x14ac:dyDescent="0.2">
      <c r="B1689" s="129" t="s">
        <v>2916</v>
      </c>
      <c r="C1689" s="122" t="s">
        <v>2917</v>
      </c>
      <c r="D1689" s="122">
        <v>-17.690000000000001</v>
      </c>
      <c r="E1689" s="122">
        <v>-0.3</v>
      </c>
    </row>
    <row r="1690" spans="2:5" x14ac:dyDescent="0.2">
      <c r="B1690" s="129" t="s">
        <v>2918</v>
      </c>
      <c r="C1690" s="122" t="s">
        <v>2919</v>
      </c>
      <c r="D1690" s="122">
        <v>21.04</v>
      </c>
      <c r="E1690" s="122">
        <v>0.23</v>
      </c>
    </row>
    <row r="1691" spans="2:5" x14ac:dyDescent="0.2">
      <c r="B1691" s="129" t="s">
        <v>2920</v>
      </c>
      <c r="C1691" s="122" t="s">
        <v>2921</v>
      </c>
      <c r="D1691" s="122">
        <v>12.73</v>
      </c>
      <c r="E1691" s="122">
        <v>0.1</v>
      </c>
    </row>
    <row r="1692" spans="2:5" x14ac:dyDescent="0.2">
      <c r="B1692" s="129" t="s">
        <v>2922</v>
      </c>
      <c r="C1692" s="122" t="s">
        <v>2923</v>
      </c>
      <c r="D1692" s="122"/>
      <c r="E1692" s="122">
        <v>-7.0000000000000007E-2</v>
      </c>
    </row>
    <row r="1693" spans="2:5" x14ac:dyDescent="0.2">
      <c r="B1693" s="129" t="s">
        <v>2924</v>
      </c>
      <c r="C1693" s="122" t="s">
        <v>2925</v>
      </c>
      <c r="D1693" s="122">
        <v>8.44</v>
      </c>
      <c r="E1693" s="122">
        <v>0.02</v>
      </c>
    </row>
    <row r="1694" spans="2:5" x14ac:dyDescent="0.2">
      <c r="B1694" s="129" t="s">
        <v>4547</v>
      </c>
      <c r="C1694" s="122" t="s">
        <v>4548</v>
      </c>
      <c r="D1694" s="122">
        <v>2.2599999999999998</v>
      </c>
      <c r="E1694" s="122">
        <v>0.02</v>
      </c>
    </row>
    <row r="1695" spans="2:5" x14ac:dyDescent="0.2">
      <c r="B1695" s="129" t="s">
        <v>2926</v>
      </c>
      <c r="C1695" s="122" t="s">
        <v>2927</v>
      </c>
      <c r="D1695" s="122"/>
      <c r="E1695" s="122"/>
    </row>
    <row r="1696" spans="2:5" x14ac:dyDescent="0.2">
      <c r="B1696" s="129" t="s">
        <v>2928</v>
      </c>
      <c r="C1696" s="122" t="s">
        <v>2929</v>
      </c>
      <c r="D1696" s="122">
        <v>1.84</v>
      </c>
      <c r="E1696" s="122">
        <v>0.04</v>
      </c>
    </row>
    <row r="1697" spans="2:5" x14ac:dyDescent="0.2">
      <c r="B1697" s="129" t="s">
        <v>4549</v>
      </c>
      <c r="C1697" s="122" t="s">
        <v>4550</v>
      </c>
      <c r="D1697" s="122"/>
      <c r="E1697" s="122"/>
    </row>
    <row r="1698" spans="2:5" x14ac:dyDescent="0.2">
      <c r="B1698" s="129" t="s">
        <v>4551</v>
      </c>
      <c r="C1698" s="122" t="s">
        <v>4552</v>
      </c>
      <c r="D1698" s="122">
        <v>3.22</v>
      </c>
      <c r="E1698" s="122">
        <v>0.04</v>
      </c>
    </row>
    <row r="1699" spans="2:5" x14ac:dyDescent="0.2">
      <c r="B1699" s="129" t="s">
        <v>2930</v>
      </c>
      <c r="C1699" s="122" t="s">
        <v>2931</v>
      </c>
      <c r="D1699" s="122">
        <v>21.31</v>
      </c>
      <c r="E1699" s="122">
        <v>0.1</v>
      </c>
    </row>
    <row r="1700" spans="2:5" x14ac:dyDescent="0.2">
      <c r="B1700" s="129" t="s">
        <v>2932</v>
      </c>
      <c r="C1700" s="122" t="s">
        <v>2933</v>
      </c>
      <c r="D1700" s="122">
        <v>18.43</v>
      </c>
      <c r="E1700" s="122">
        <v>0.18</v>
      </c>
    </row>
    <row r="1701" spans="2:5" x14ac:dyDescent="0.2">
      <c r="B1701" s="129" t="s">
        <v>2934</v>
      </c>
      <c r="C1701" s="122" t="s">
        <v>2935</v>
      </c>
      <c r="D1701" s="122">
        <v>-30.6</v>
      </c>
      <c r="E1701" s="122">
        <v>-1.06</v>
      </c>
    </row>
    <row r="1702" spans="2:5" x14ac:dyDescent="0.2">
      <c r="B1702" s="129" t="s">
        <v>2936</v>
      </c>
      <c r="C1702" s="122" t="s">
        <v>2937</v>
      </c>
      <c r="D1702" s="122">
        <v>5.08</v>
      </c>
      <c r="E1702" s="122">
        <v>0.05</v>
      </c>
    </row>
    <row r="1703" spans="2:5" x14ac:dyDescent="0.2">
      <c r="B1703" s="129" t="s">
        <v>2938</v>
      </c>
      <c r="C1703" s="122" t="s">
        <v>2939</v>
      </c>
      <c r="D1703" s="122">
        <v>9.6999999999999993</v>
      </c>
      <c r="E1703" s="122">
        <v>0.1</v>
      </c>
    </row>
    <row r="1704" spans="2:5" x14ac:dyDescent="0.2">
      <c r="B1704" s="129" t="s">
        <v>4553</v>
      </c>
      <c r="C1704" s="122" t="s">
        <v>4554</v>
      </c>
      <c r="D1704" s="122"/>
      <c r="E1704" s="122"/>
    </row>
    <row r="1705" spans="2:5" x14ac:dyDescent="0.2">
      <c r="B1705" s="129" t="s">
        <v>2940</v>
      </c>
      <c r="C1705" s="122" t="s">
        <v>2941</v>
      </c>
      <c r="D1705" s="122"/>
      <c r="E1705" s="122">
        <v>0.14000000000000001</v>
      </c>
    </row>
    <row r="1706" spans="2:5" x14ac:dyDescent="0.2">
      <c r="B1706" s="129" t="s">
        <v>2942</v>
      </c>
      <c r="C1706" s="122" t="s">
        <v>2943</v>
      </c>
      <c r="D1706" s="122">
        <v>1.72</v>
      </c>
      <c r="E1706" s="122">
        <v>0.02</v>
      </c>
    </row>
    <row r="1707" spans="2:5" x14ac:dyDescent="0.2">
      <c r="B1707" s="129" t="s">
        <v>2944</v>
      </c>
      <c r="C1707" s="122" t="s">
        <v>2945</v>
      </c>
      <c r="D1707" s="122">
        <v>19.5</v>
      </c>
      <c r="E1707" s="122">
        <v>0.14000000000000001</v>
      </c>
    </row>
    <row r="1708" spans="2:5" x14ac:dyDescent="0.2">
      <c r="B1708" s="129" t="s">
        <v>2946</v>
      </c>
      <c r="C1708" s="122" t="s">
        <v>2947</v>
      </c>
      <c r="D1708" s="122"/>
      <c r="E1708" s="122"/>
    </row>
    <row r="1709" spans="2:5" x14ac:dyDescent="0.2">
      <c r="B1709" s="129" t="s">
        <v>2948</v>
      </c>
      <c r="C1709" s="122" t="s">
        <v>2949</v>
      </c>
      <c r="D1709" s="122">
        <v>32.909999999999997</v>
      </c>
      <c r="E1709" s="122">
        <v>0.26</v>
      </c>
    </row>
    <row r="1710" spans="2:5" x14ac:dyDescent="0.2">
      <c r="B1710" s="129" t="s">
        <v>2950</v>
      </c>
      <c r="C1710" s="122" t="s">
        <v>2951</v>
      </c>
      <c r="D1710" s="122">
        <v>2.63</v>
      </c>
      <c r="E1710" s="122">
        <v>0.01</v>
      </c>
    </row>
    <row r="1711" spans="2:5" x14ac:dyDescent="0.2">
      <c r="B1711" s="129" t="s">
        <v>2952</v>
      </c>
      <c r="C1711" s="122" t="s">
        <v>2953</v>
      </c>
      <c r="D1711" s="122">
        <v>19.989999999999998</v>
      </c>
      <c r="E1711" s="122">
        <v>0.13</v>
      </c>
    </row>
    <row r="1712" spans="2:5" x14ac:dyDescent="0.2">
      <c r="B1712" s="129" t="s">
        <v>4555</v>
      </c>
      <c r="C1712" s="122" t="s">
        <v>4556</v>
      </c>
      <c r="D1712" s="122">
        <v>3.87</v>
      </c>
      <c r="E1712" s="122">
        <v>0.04</v>
      </c>
    </row>
    <row r="1713" spans="2:5" x14ac:dyDescent="0.2">
      <c r="B1713" s="129" t="s">
        <v>2954</v>
      </c>
      <c r="C1713" s="122" t="s">
        <v>2955</v>
      </c>
      <c r="D1713" s="122">
        <v>13.57</v>
      </c>
      <c r="E1713" s="122">
        <v>0.1</v>
      </c>
    </row>
    <row r="1714" spans="2:5" x14ac:dyDescent="0.2">
      <c r="B1714" s="129" t="s">
        <v>4557</v>
      </c>
      <c r="C1714" s="122" t="s">
        <v>4558</v>
      </c>
      <c r="D1714" s="122"/>
      <c r="E1714" s="122"/>
    </row>
    <row r="1715" spans="2:5" x14ac:dyDescent="0.2">
      <c r="B1715" s="129" t="s">
        <v>2956</v>
      </c>
      <c r="C1715" s="122" t="s">
        <v>2957</v>
      </c>
      <c r="D1715" s="122">
        <v>8.42</v>
      </c>
      <c r="E1715" s="122">
        <v>0.09</v>
      </c>
    </row>
    <row r="1716" spans="2:5" x14ac:dyDescent="0.2">
      <c r="B1716" s="129" t="s">
        <v>2958</v>
      </c>
      <c r="C1716" s="122" t="s">
        <v>2959</v>
      </c>
      <c r="D1716" s="122"/>
      <c r="E1716" s="122"/>
    </row>
    <row r="1717" spans="2:5" x14ac:dyDescent="0.2">
      <c r="B1717" s="129" t="s">
        <v>2960</v>
      </c>
      <c r="C1717" s="122" t="s">
        <v>2961</v>
      </c>
      <c r="D1717" s="122">
        <v>6.53</v>
      </c>
      <c r="E1717" s="122">
        <v>0.06</v>
      </c>
    </row>
    <row r="1718" spans="2:5" x14ac:dyDescent="0.2">
      <c r="B1718" s="129" t="s">
        <v>2962</v>
      </c>
      <c r="C1718" s="122" t="s">
        <v>2963</v>
      </c>
      <c r="D1718" s="122"/>
      <c r="E1718" s="122">
        <v>0.16</v>
      </c>
    </row>
    <row r="1719" spans="2:5" x14ac:dyDescent="0.2">
      <c r="B1719" s="129" t="s">
        <v>2964</v>
      </c>
      <c r="C1719" s="122" t="s">
        <v>2965</v>
      </c>
      <c r="D1719" s="122"/>
      <c r="E1719" s="122"/>
    </row>
    <row r="1720" spans="2:5" x14ac:dyDescent="0.2">
      <c r="B1720" s="129" t="s">
        <v>2966</v>
      </c>
      <c r="C1720" s="122" t="s">
        <v>2967</v>
      </c>
      <c r="D1720" s="122">
        <v>40.479999999999997</v>
      </c>
      <c r="E1720" s="122">
        <v>0.43</v>
      </c>
    </row>
    <row r="1721" spans="2:5" x14ac:dyDescent="0.2">
      <c r="B1721" s="129" t="s">
        <v>2968</v>
      </c>
      <c r="C1721" s="122" t="s">
        <v>2969</v>
      </c>
      <c r="D1721" s="122">
        <v>34.92</v>
      </c>
      <c r="E1721" s="122">
        <v>0.31</v>
      </c>
    </row>
    <row r="1722" spans="2:5" x14ac:dyDescent="0.2">
      <c r="B1722" s="129" t="s">
        <v>4559</v>
      </c>
      <c r="C1722" s="122" t="s">
        <v>4560</v>
      </c>
      <c r="D1722" s="122"/>
      <c r="E1722" s="122">
        <v>0.12</v>
      </c>
    </row>
    <row r="1723" spans="2:5" x14ac:dyDescent="0.2">
      <c r="B1723" s="129" t="s">
        <v>2970</v>
      </c>
      <c r="C1723" s="122" t="s">
        <v>2971</v>
      </c>
      <c r="D1723" s="122">
        <v>12.21</v>
      </c>
      <c r="E1723" s="122">
        <v>-0.15</v>
      </c>
    </row>
    <row r="1724" spans="2:5" x14ac:dyDescent="0.2">
      <c r="B1724" s="129" t="s">
        <v>2972</v>
      </c>
      <c r="C1724" s="122" t="s">
        <v>2973</v>
      </c>
      <c r="D1724" s="122">
        <v>4.4800000000000004</v>
      </c>
      <c r="E1724" s="122">
        <v>-0.01</v>
      </c>
    </row>
    <row r="1725" spans="2:5" x14ac:dyDescent="0.2">
      <c r="B1725" s="129" t="s">
        <v>2974</v>
      </c>
      <c r="C1725" s="122" t="s">
        <v>2975</v>
      </c>
      <c r="D1725" s="122">
        <v>9.58</v>
      </c>
      <c r="E1725" s="122">
        <v>0.09</v>
      </c>
    </row>
    <row r="1726" spans="2:5" x14ac:dyDescent="0.2">
      <c r="B1726" s="129" t="s">
        <v>2976</v>
      </c>
      <c r="C1726" s="122" t="s">
        <v>2977</v>
      </c>
      <c r="D1726" s="122"/>
      <c r="E1726" s="122"/>
    </row>
    <row r="1727" spans="2:5" x14ac:dyDescent="0.2">
      <c r="B1727" s="129" t="s">
        <v>4561</v>
      </c>
      <c r="C1727" s="122" t="s">
        <v>4562</v>
      </c>
      <c r="D1727" s="122"/>
      <c r="E1727" s="122"/>
    </row>
    <row r="1728" spans="2:5" x14ac:dyDescent="0.2">
      <c r="B1728" s="129" t="s">
        <v>2978</v>
      </c>
      <c r="C1728" s="122" t="s">
        <v>2979</v>
      </c>
      <c r="D1728" s="122">
        <v>7.31</v>
      </c>
      <c r="E1728" s="122">
        <v>-0.01</v>
      </c>
    </row>
    <row r="1729" spans="2:5" x14ac:dyDescent="0.2">
      <c r="B1729" s="129" t="s">
        <v>2980</v>
      </c>
      <c r="C1729" s="122" t="s">
        <v>2981</v>
      </c>
      <c r="D1729" s="122">
        <v>16.27</v>
      </c>
      <c r="E1729" s="122">
        <v>0.19</v>
      </c>
    </row>
    <row r="1730" spans="2:5" x14ac:dyDescent="0.2">
      <c r="B1730" s="129" t="s">
        <v>2982</v>
      </c>
      <c r="C1730" s="122" t="s">
        <v>2983</v>
      </c>
      <c r="D1730" s="122">
        <v>6.65</v>
      </c>
      <c r="E1730" s="122">
        <v>7.0000000000000007E-2</v>
      </c>
    </row>
    <row r="1731" spans="2:5" x14ac:dyDescent="0.2">
      <c r="B1731" s="129" t="s">
        <v>2984</v>
      </c>
      <c r="C1731" s="122" t="s">
        <v>2985</v>
      </c>
      <c r="D1731" s="122">
        <v>8.9499999999999993</v>
      </c>
      <c r="E1731" s="122">
        <v>0.11</v>
      </c>
    </row>
    <row r="1732" spans="2:5" x14ac:dyDescent="0.2">
      <c r="B1732" s="129" t="s">
        <v>2986</v>
      </c>
      <c r="C1732" s="122" t="s">
        <v>2987</v>
      </c>
      <c r="D1732" s="122">
        <v>39.67</v>
      </c>
      <c r="E1732" s="122">
        <v>0.3</v>
      </c>
    </row>
    <row r="1733" spans="2:5" x14ac:dyDescent="0.2">
      <c r="B1733" s="129" t="s">
        <v>2988</v>
      </c>
      <c r="C1733" s="122" t="s">
        <v>2989</v>
      </c>
      <c r="D1733" s="122">
        <v>8.59</v>
      </c>
      <c r="E1733" s="122">
        <v>-7.0000000000000007E-2</v>
      </c>
    </row>
    <row r="1734" spans="2:5" x14ac:dyDescent="0.2">
      <c r="B1734" s="129" t="s">
        <v>2990</v>
      </c>
      <c r="C1734" s="122" t="s">
        <v>2991</v>
      </c>
      <c r="D1734" s="122">
        <v>15.37</v>
      </c>
      <c r="E1734" s="122">
        <v>0.09</v>
      </c>
    </row>
    <row r="1735" spans="2:5" x14ac:dyDescent="0.2">
      <c r="B1735" s="129" t="s">
        <v>2992</v>
      </c>
      <c r="C1735" s="122" t="s">
        <v>2993</v>
      </c>
      <c r="D1735" s="122">
        <v>-130.25</v>
      </c>
      <c r="E1735" s="122">
        <v>-1.2</v>
      </c>
    </row>
    <row r="1736" spans="2:5" x14ac:dyDescent="0.2">
      <c r="B1736" s="129" t="s">
        <v>2994</v>
      </c>
      <c r="C1736" s="122" t="s">
        <v>2995</v>
      </c>
      <c r="D1736" s="122">
        <v>11.7</v>
      </c>
      <c r="E1736" s="122">
        <v>0.12</v>
      </c>
    </row>
    <row r="1737" spans="2:5" x14ac:dyDescent="0.2">
      <c r="B1737" s="129" t="s">
        <v>2996</v>
      </c>
      <c r="C1737" s="122" t="s">
        <v>2997</v>
      </c>
      <c r="D1737" s="122">
        <v>6.57</v>
      </c>
      <c r="E1737" s="122">
        <v>0.06</v>
      </c>
    </row>
    <row r="1738" spans="2:5" x14ac:dyDescent="0.2">
      <c r="B1738" s="129" t="s">
        <v>2998</v>
      </c>
      <c r="C1738" s="122" t="s">
        <v>2999</v>
      </c>
      <c r="D1738" s="122"/>
      <c r="E1738" s="122">
        <v>0.19</v>
      </c>
    </row>
    <row r="1739" spans="2:5" x14ac:dyDescent="0.2">
      <c r="B1739" s="129" t="s">
        <v>3000</v>
      </c>
      <c r="C1739" s="122" t="s">
        <v>3001</v>
      </c>
      <c r="D1739" s="122"/>
      <c r="E1739" s="122"/>
    </row>
    <row r="1740" spans="2:5" x14ac:dyDescent="0.2">
      <c r="B1740" s="129" t="s">
        <v>4563</v>
      </c>
      <c r="C1740" s="122" t="s">
        <v>4564</v>
      </c>
      <c r="D1740" s="122">
        <v>14.02</v>
      </c>
      <c r="E1740" s="122">
        <v>0.14000000000000001</v>
      </c>
    </row>
    <row r="1741" spans="2:5" x14ac:dyDescent="0.2">
      <c r="B1741" s="129" t="s">
        <v>3002</v>
      </c>
      <c r="C1741" s="122" t="s">
        <v>3003</v>
      </c>
      <c r="D1741" s="122">
        <v>20.8</v>
      </c>
      <c r="E1741" s="122">
        <v>0.03</v>
      </c>
    </row>
    <row r="1742" spans="2:5" x14ac:dyDescent="0.2">
      <c r="B1742" s="129" t="s">
        <v>4565</v>
      </c>
      <c r="C1742" s="122" t="s">
        <v>4566</v>
      </c>
      <c r="D1742" s="122"/>
      <c r="E1742" s="122"/>
    </row>
    <row r="1743" spans="2:5" x14ac:dyDescent="0.2">
      <c r="B1743" s="129" t="s">
        <v>3004</v>
      </c>
      <c r="C1743" s="122" t="s">
        <v>3005</v>
      </c>
      <c r="D1743" s="122"/>
      <c r="E1743" s="122">
        <v>0.01</v>
      </c>
    </row>
    <row r="1744" spans="2:5" x14ac:dyDescent="0.2">
      <c r="B1744" s="129" t="s">
        <v>4567</v>
      </c>
      <c r="C1744" s="122" t="s">
        <v>4568</v>
      </c>
      <c r="D1744" s="122">
        <v>5.71</v>
      </c>
      <c r="E1744" s="122">
        <v>0.06</v>
      </c>
    </row>
    <row r="1745" spans="2:5" x14ac:dyDescent="0.2">
      <c r="B1745" s="129" t="s">
        <v>3006</v>
      </c>
      <c r="C1745" s="122" t="s">
        <v>3007</v>
      </c>
      <c r="D1745" s="122">
        <v>17.309999999999999</v>
      </c>
      <c r="E1745" s="122">
        <v>0.17</v>
      </c>
    </row>
    <row r="1746" spans="2:5" x14ac:dyDescent="0.2">
      <c r="B1746" s="129" t="s">
        <v>3008</v>
      </c>
      <c r="C1746" s="122" t="s">
        <v>3009</v>
      </c>
      <c r="D1746" s="122">
        <v>20.329999999999998</v>
      </c>
      <c r="E1746" s="122">
        <v>0.26</v>
      </c>
    </row>
    <row r="1747" spans="2:5" x14ac:dyDescent="0.2">
      <c r="B1747" s="129" t="s">
        <v>4569</v>
      </c>
      <c r="C1747" s="122" t="s">
        <v>4570</v>
      </c>
      <c r="D1747" s="122"/>
      <c r="E1747" s="122"/>
    </row>
    <row r="1748" spans="2:5" x14ac:dyDescent="0.2">
      <c r="B1748" s="129" t="s">
        <v>3010</v>
      </c>
      <c r="C1748" s="122" t="s">
        <v>3011</v>
      </c>
      <c r="D1748" s="122">
        <v>15.38</v>
      </c>
      <c r="E1748" s="122">
        <v>0.11</v>
      </c>
    </row>
    <row r="1749" spans="2:5" x14ac:dyDescent="0.2">
      <c r="B1749" s="129" t="s">
        <v>3012</v>
      </c>
      <c r="C1749" s="122" t="s">
        <v>3013</v>
      </c>
      <c r="D1749" s="122">
        <v>28.27</v>
      </c>
      <c r="E1749" s="122">
        <v>0.27</v>
      </c>
    </row>
    <row r="1750" spans="2:5" x14ac:dyDescent="0.2">
      <c r="B1750" s="129" t="s">
        <v>3014</v>
      </c>
      <c r="C1750" s="122" t="s">
        <v>3015</v>
      </c>
      <c r="D1750" s="122">
        <v>43.04</v>
      </c>
      <c r="E1750" s="122">
        <v>0.34</v>
      </c>
    </row>
    <row r="1751" spans="2:5" x14ac:dyDescent="0.2">
      <c r="B1751" s="129" t="s">
        <v>3016</v>
      </c>
      <c r="C1751" s="122" t="s">
        <v>3017</v>
      </c>
      <c r="D1751" s="122">
        <v>9.3699999999999992</v>
      </c>
      <c r="E1751" s="122">
        <v>0.11</v>
      </c>
    </row>
    <row r="1752" spans="2:5" x14ac:dyDescent="0.2">
      <c r="B1752" s="129" t="s">
        <v>3018</v>
      </c>
      <c r="C1752" s="122" t="s">
        <v>3019</v>
      </c>
      <c r="D1752" s="122">
        <v>11.99</v>
      </c>
      <c r="E1752" s="122">
        <v>0.13</v>
      </c>
    </row>
    <row r="1753" spans="2:5" x14ac:dyDescent="0.2">
      <c r="B1753" s="129" t="s">
        <v>3020</v>
      </c>
      <c r="C1753" s="122" t="s">
        <v>3021</v>
      </c>
      <c r="D1753" s="122">
        <v>30.35</v>
      </c>
      <c r="E1753" s="122">
        <v>0.2</v>
      </c>
    </row>
    <row r="1754" spans="2:5" x14ac:dyDescent="0.2">
      <c r="B1754" s="129" t="s">
        <v>3022</v>
      </c>
      <c r="C1754" s="122" t="s">
        <v>3023</v>
      </c>
      <c r="D1754" s="122">
        <v>38.42</v>
      </c>
      <c r="E1754" s="122">
        <v>0.4</v>
      </c>
    </row>
    <row r="1755" spans="2:5" x14ac:dyDescent="0.2">
      <c r="B1755" s="129" t="s">
        <v>3024</v>
      </c>
      <c r="C1755" s="122" t="s">
        <v>3025</v>
      </c>
      <c r="D1755" s="122">
        <v>13.77</v>
      </c>
      <c r="E1755" s="122">
        <v>-0.02</v>
      </c>
    </row>
    <row r="1756" spans="2:5" x14ac:dyDescent="0.2">
      <c r="B1756" s="129" t="s">
        <v>3026</v>
      </c>
      <c r="C1756" s="122" t="s">
        <v>3027</v>
      </c>
      <c r="D1756" s="122">
        <v>21.97</v>
      </c>
      <c r="E1756" s="122">
        <v>0.2</v>
      </c>
    </row>
    <row r="1757" spans="2:5" x14ac:dyDescent="0.2">
      <c r="B1757" s="129" t="s">
        <v>3028</v>
      </c>
      <c r="C1757" s="122" t="s">
        <v>3029</v>
      </c>
      <c r="D1757" s="122">
        <v>45.02</v>
      </c>
      <c r="E1757" s="122">
        <v>0.35</v>
      </c>
    </row>
    <row r="1758" spans="2:5" x14ac:dyDescent="0.2">
      <c r="B1758" s="129" t="s">
        <v>3030</v>
      </c>
      <c r="C1758" s="122" t="s">
        <v>3031</v>
      </c>
      <c r="D1758" s="122">
        <v>13.23</v>
      </c>
      <c r="E1758" s="122">
        <v>0.19</v>
      </c>
    </row>
    <row r="1759" spans="2:5" x14ac:dyDescent="0.2">
      <c r="B1759" s="129" t="s">
        <v>3032</v>
      </c>
      <c r="C1759" s="122" t="s">
        <v>3033</v>
      </c>
      <c r="D1759" s="122">
        <v>22.19</v>
      </c>
      <c r="E1759" s="122">
        <v>0.39</v>
      </c>
    </row>
    <row r="1760" spans="2:5" x14ac:dyDescent="0.2">
      <c r="B1760" s="129" t="s">
        <v>3032</v>
      </c>
      <c r="C1760" s="122" t="s">
        <v>4571</v>
      </c>
      <c r="D1760" s="122">
        <v>22.19</v>
      </c>
      <c r="E1760" s="122">
        <v>0.39</v>
      </c>
    </row>
    <row r="1761" spans="2:5" x14ac:dyDescent="0.2">
      <c r="B1761" s="129" t="s">
        <v>3034</v>
      </c>
      <c r="C1761" s="122" t="s">
        <v>3035</v>
      </c>
      <c r="D1761" s="122">
        <v>11.71</v>
      </c>
      <c r="E1761" s="122">
        <v>0.09</v>
      </c>
    </row>
    <row r="1762" spans="2:5" x14ac:dyDescent="0.2">
      <c r="B1762" s="129" t="s">
        <v>3036</v>
      </c>
      <c r="C1762" s="122" t="s">
        <v>3037</v>
      </c>
      <c r="D1762" s="122">
        <v>3.14</v>
      </c>
      <c r="E1762" s="122">
        <v>0.04</v>
      </c>
    </row>
    <row r="1763" spans="2:5" x14ac:dyDescent="0.2">
      <c r="B1763" s="129" t="s">
        <v>3038</v>
      </c>
      <c r="C1763" s="122" t="s">
        <v>3039</v>
      </c>
      <c r="D1763" s="122"/>
      <c r="E1763" s="122">
        <v>0.53</v>
      </c>
    </row>
    <row r="1764" spans="2:5" x14ac:dyDescent="0.2">
      <c r="B1764" s="129" t="s">
        <v>3040</v>
      </c>
      <c r="C1764" s="122" t="s">
        <v>3041</v>
      </c>
      <c r="D1764" s="122">
        <v>11.05</v>
      </c>
      <c r="E1764" s="122">
        <v>0.11</v>
      </c>
    </row>
    <row r="1765" spans="2:5" x14ac:dyDescent="0.2">
      <c r="B1765" s="129" t="s">
        <v>3042</v>
      </c>
      <c r="C1765" s="122" t="s">
        <v>3043</v>
      </c>
      <c r="D1765" s="122">
        <v>1.76</v>
      </c>
      <c r="E1765" s="122">
        <v>-0.01</v>
      </c>
    </row>
    <row r="1766" spans="2:5" x14ac:dyDescent="0.2">
      <c r="B1766" s="129" t="s">
        <v>3044</v>
      </c>
      <c r="C1766" s="122" t="s">
        <v>3045</v>
      </c>
      <c r="D1766" s="122"/>
      <c r="E1766" s="122">
        <v>0.18</v>
      </c>
    </row>
    <row r="1767" spans="2:5" x14ac:dyDescent="0.2">
      <c r="B1767" s="129" t="s">
        <v>4572</v>
      </c>
      <c r="C1767" s="122" t="s">
        <v>4573</v>
      </c>
      <c r="D1767" s="122"/>
      <c r="E1767" s="122"/>
    </row>
    <row r="1768" spans="2:5" x14ac:dyDescent="0.2">
      <c r="B1768" s="129" t="s">
        <v>4574</v>
      </c>
      <c r="C1768" s="122" t="s">
        <v>4575</v>
      </c>
      <c r="D1768" s="122">
        <v>4.42</v>
      </c>
      <c r="E1768" s="122">
        <v>0.02</v>
      </c>
    </row>
    <row r="1769" spans="2:5" x14ac:dyDescent="0.2">
      <c r="B1769" s="129" t="s">
        <v>3046</v>
      </c>
      <c r="C1769" s="122" t="s">
        <v>3047</v>
      </c>
      <c r="D1769" s="122">
        <v>17.38</v>
      </c>
      <c r="E1769" s="122">
        <v>0.2</v>
      </c>
    </row>
    <row r="1770" spans="2:5" x14ac:dyDescent="0.2">
      <c r="B1770" s="129" t="s">
        <v>4576</v>
      </c>
      <c r="C1770" s="122" t="s">
        <v>4577</v>
      </c>
      <c r="D1770" s="122"/>
      <c r="E1770" s="122"/>
    </row>
    <row r="1771" spans="2:5" x14ac:dyDescent="0.2">
      <c r="B1771" s="129" t="s">
        <v>4578</v>
      </c>
      <c r="C1771" s="122" t="s">
        <v>4579</v>
      </c>
      <c r="D1771" s="122"/>
      <c r="E1771" s="122">
        <v>0.03</v>
      </c>
    </row>
    <row r="1772" spans="2:5" x14ac:dyDescent="0.2">
      <c r="B1772" s="129" t="s">
        <v>3048</v>
      </c>
      <c r="C1772" s="122" t="s">
        <v>3049</v>
      </c>
      <c r="D1772" s="122">
        <v>4.29</v>
      </c>
      <c r="E1772" s="122">
        <v>0.01</v>
      </c>
    </row>
    <row r="1773" spans="2:5" x14ac:dyDescent="0.2">
      <c r="B1773" s="129" t="s">
        <v>4580</v>
      </c>
      <c r="C1773" s="122" t="s">
        <v>4581</v>
      </c>
      <c r="D1773" s="122">
        <v>47.62</v>
      </c>
      <c r="E1773" s="122">
        <v>0.39</v>
      </c>
    </row>
    <row r="1774" spans="2:5" x14ac:dyDescent="0.2">
      <c r="B1774" s="129" t="s">
        <v>4582</v>
      </c>
      <c r="C1774" s="122" t="s">
        <v>4583</v>
      </c>
      <c r="D1774" s="122"/>
      <c r="E1774" s="122">
        <v>0.1</v>
      </c>
    </row>
    <row r="1775" spans="2:5" x14ac:dyDescent="0.2">
      <c r="B1775" s="129" t="s">
        <v>3050</v>
      </c>
      <c r="C1775" s="122" t="s">
        <v>3051</v>
      </c>
      <c r="D1775" s="122">
        <v>26.53</v>
      </c>
      <c r="E1775" s="122">
        <v>-0.12</v>
      </c>
    </row>
    <row r="1776" spans="2:5" x14ac:dyDescent="0.2">
      <c r="B1776" s="129" t="s">
        <v>3052</v>
      </c>
      <c r="C1776" s="122" t="s">
        <v>3053</v>
      </c>
      <c r="D1776" s="122">
        <v>8.75</v>
      </c>
      <c r="E1776" s="122">
        <v>0.04</v>
      </c>
    </row>
    <row r="1777" spans="2:5" x14ac:dyDescent="0.2">
      <c r="B1777" s="129" t="s">
        <v>3054</v>
      </c>
      <c r="C1777" s="122" t="s">
        <v>3055</v>
      </c>
      <c r="D1777" s="122">
        <v>32.729999999999997</v>
      </c>
      <c r="E1777" s="122">
        <v>0.24</v>
      </c>
    </row>
    <row r="1778" spans="2:5" x14ac:dyDescent="0.2">
      <c r="B1778" s="129" t="s">
        <v>3056</v>
      </c>
      <c r="C1778" s="122" t="s">
        <v>3057</v>
      </c>
      <c r="D1778" s="122"/>
      <c r="E1778" s="122">
        <v>0.28000000000000003</v>
      </c>
    </row>
    <row r="1779" spans="2:5" x14ac:dyDescent="0.2">
      <c r="B1779" s="129" t="s">
        <v>4584</v>
      </c>
      <c r="C1779" s="122" t="s">
        <v>4585</v>
      </c>
      <c r="D1779" s="122"/>
      <c r="E1779" s="122"/>
    </row>
    <row r="1780" spans="2:5" x14ac:dyDescent="0.2">
      <c r="B1780" s="129" t="s">
        <v>3058</v>
      </c>
      <c r="C1780" s="122" t="s">
        <v>3059</v>
      </c>
      <c r="D1780" s="122">
        <v>6.61</v>
      </c>
      <c r="E1780" s="122">
        <v>0.06</v>
      </c>
    </row>
    <row r="1781" spans="2:5" x14ac:dyDescent="0.2">
      <c r="B1781" s="129" t="s">
        <v>3060</v>
      </c>
      <c r="C1781" s="122" t="s">
        <v>3061</v>
      </c>
      <c r="D1781" s="122">
        <v>16.68</v>
      </c>
      <c r="E1781" s="122">
        <v>0.15</v>
      </c>
    </row>
    <row r="1782" spans="2:5" x14ac:dyDescent="0.2">
      <c r="B1782" s="129" t="s">
        <v>4586</v>
      </c>
      <c r="C1782" s="122" t="s">
        <v>4587</v>
      </c>
      <c r="D1782" s="122"/>
      <c r="E1782" s="122"/>
    </row>
    <row r="1783" spans="2:5" x14ac:dyDescent="0.2">
      <c r="B1783" s="129" t="s">
        <v>3062</v>
      </c>
      <c r="C1783" s="122" t="s">
        <v>3063</v>
      </c>
      <c r="D1783" s="122">
        <v>20.68</v>
      </c>
      <c r="E1783" s="122">
        <v>0.26</v>
      </c>
    </row>
    <row r="1784" spans="2:5" x14ac:dyDescent="0.2">
      <c r="B1784" s="129" t="s">
        <v>3064</v>
      </c>
      <c r="C1784" s="122" t="s">
        <v>3065</v>
      </c>
      <c r="D1784" s="122">
        <v>22.61</v>
      </c>
      <c r="E1784" s="122">
        <v>0.01</v>
      </c>
    </row>
    <row r="1785" spans="2:5" x14ac:dyDescent="0.2">
      <c r="B1785" s="129" t="s">
        <v>3066</v>
      </c>
      <c r="C1785" s="122" t="s">
        <v>3067</v>
      </c>
      <c r="D1785" s="122">
        <v>7</v>
      </c>
      <c r="E1785" s="122">
        <v>0.01</v>
      </c>
    </row>
    <row r="1786" spans="2:5" x14ac:dyDescent="0.2">
      <c r="B1786" s="129" t="s">
        <v>3068</v>
      </c>
      <c r="C1786" s="122" t="s">
        <v>3069</v>
      </c>
      <c r="D1786" s="122">
        <v>3.09</v>
      </c>
      <c r="E1786" s="122">
        <v>0.03</v>
      </c>
    </row>
    <row r="1787" spans="2:5" x14ac:dyDescent="0.2">
      <c r="B1787" s="129" t="s">
        <v>4588</v>
      </c>
      <c r="C1787" s="122" t="s">
        <v>4589</v>
      </c>
      <c r="D1787" s="122"/>
      <c r="E1787" s="122">
        <v>0.02</v>
      </c>
    </row>
    <row r="1788" spans="2:5" x14ac:dyDescent="0.2">
      <c r="B1788" s="129" t="s">
        <v>3070</v>
      </c>
      <c r="C1788" s="122" t="s">
        <v>3071</v>
      </c>
      <c r="D1788" s="122">
        <v>5.68</v>
      </c>
      <c r="E1788" s="122">
        <v>0.05</v>
      </c>
    </row>
    <row r="1789" spans="2:5" x14ac:dyDescent="0.2">
      <c r="B1789" s="129" t="s">
        <v>3072</v>
      </c>
      <c r="C1789" s="122" t="s">
        <v>3073</v>
      </c>
      <c r="D1789" s="122">
        <v>13.99</v>
      </c>
      <c r="E1789" s="122">
        <v>0.11</v>
      </c>
    </row>
    <row r="1790" spans="2:5" x14ac:dyDescent="0.2">
      <c r="B1790" s="129" t="s">
        <v>3074</v>
      </c>
      <c r="C1790" s="122" t="s">
        <v>3075</v>
      </c>
      <c r="D1790" s="122">
        <v>20.9</v>
      </c>
      <c r="E1790" s="122">
        <v>0.05</v>
      </c>
    </row>
    <row r="1791" spans="2:5" x14ac:dyDescent="0.2">
      <c r="B1791" s="129" t="s">
        <v>3076</v>
      </c>
      <c r="C1791" s="122" t="s">
        <v>3077</v>
      </c>
      <c r="D1791" s="122">
        <v>14.05</v>
      </c>
      <c r="E1791" s="122">
        <v>0.14000000000000001</v>
      </c>
    </row>
    <row r="1792" spans="2:5" x14ac:dyDescent="0.2">
      <c r="B1792" s="129" t="s">
        <v>3078</v>
      </c>
      <c r="C1792" s="122" t="s">
        <v>3079</v>
      </c>
      <c r="D1792" s="122">
        <v>9.65</v>
      </c>
      <c r="E1792" s="122">
        <v>0.08</v>
      </c>
    </row>
    <row r="1793" spans="2:5" x14ac:dyDescent="0.2">
      <c r="B1793" s="129" t="s">
        <v>3080</v>
      </c>
      <c r="C1793" s="122" t="s">
        <v>3081</v>
      </c>
      <c r="D1793" s="122">
        <v>41.49</v>
      </c>
      <c r="E1793" s="122">
        <v>0.42</v>
      </c>
    </row>
    <row r="1794" spans="2:5" x14ac:dyDescent="0.2">
      <c r="B1794" s="129" t="s">
        <v>3082</v>
      </c>
      <c r="C1794" s="122" t="s">
        <v>3083</v>
      </c>
      <c r="D1794" s="122"/>
      <c r="E1794" s="122">
        <v>7.0000000000000007E-2</v>
      </c>
    </row>
    <row r="1795" spans="2:5" x14ac:dyDescent="0.2">
      <c r="B1795" s="129" t="s">
        <v>3084</v>
      </c>
      <c r="C1795" s="122" t="s">
        <v>3085</v>
      </c>
      <c r="D1795" s="122">
        <v>24.69</v>
      </c>
      <c r="E1795" s="122">
        <v>0.26</v>
      </c>
    </row>
    <row r="1796" spans="2:5" x14ac:dyDescent="0.2">
      <c r="B1796" s="129" t="s">
        <v>4590</v>
      </c>
      <c r="C1796" s="122" t="s">
        <v>4591</v>
      </c>
      <c r="D1796" s="122"/>
      <c r="E1796" s="122"/>
    </row>
    <row r="1797" spans="2:5" x14ac:dyDescent="0.2">
      <c r="B1797" s="129" t="s">
        <v>3086</v>
      </c>
      <c r="C1797" s="122" t="s">
        <v>3087</v>
      </c>
      <c r="D1797" s="122">
        <v>30.81</v>
      </c>
      <c r="E1797" s="122">
        <v>0.21</v>
      </c>
    </row>
    <row r="1798" spans="2:5" x14ac:dyDescent="0.2">
      <c r="B1798" s="129" t="s">
        <v>3088</v>
      </c>
      <c r="C1798" s="122" t="s">
        <v>3089</v>
      </c>
      <c r="D1798" s="122">
        <v>7.82</v>
      </c>
      <c r="E1798" s="122">
        <v>0.01</v>
      </c>
    </row>
    <row r="1799" spans="2:5" x14ac:dyDescent="0.2">
      <c r="B1799" s="129" t="s">
        <v>3090</v>
      </c>
      <c r="C1799" s="122" t="s">
        <v>3091</v>
      </c>
      <c r="D1799" s="122">
        <v>19.989999999999998</v>
      </c>
      <c r="E1799" s="122">
        <v>0.25</v>
      </c>
    </row>
    <row r="1800" spans="2:5" x14ac:dyDescent="0.2">
      <c r="B1800" s="129" t="s">
        <v>3092</v>
      </c>
      <c r="C1800" s="122" t="s">
        <v>3093</v>
      </c>
      <c r="D1800" s="122">
        <v>-21.85</v>
      </c>
      <c r="E1800" s="122">
        <v>-0.23</v>
      </c>
    </row>
    <row r="1801" spans="2:5" x14ac:dyDescent="0.2">
      <c r="B1801" s="129" t="s">
        <v>3094</v>
      </c>
      <c r="C1801" s="122" t="s">
        <v>3095</v>
      </c>
      <c r="D1801" s="122">
        <v>11.65</v>
      </c>
      <c r="E1801" s="122">
        <v>0.12</v>
      </c>
    </row>
    <row r="1802" spans="2:5" x14ac:dyDescent="0.2">
      <c r="B1802" s="129" t="s">
        <v>3096</v>
      </c>
      <c r="C1802" s="122" t="s">
        <v>3097</v>
      </c>
      <c r="D1802" s="122">
        <v>17.73</v>
      </c>
      <c r="E1802" s="122">
        <v>-0.53</v>
      </c>
    </row>
    <row r="1803" spans="2:5" x14ac:dyDescent="0.2">
      <c r="B1803" s="129" t="s">
        <v>3098</v>
      </c>
      <c r="C1803" s="122" t="s">
        <v>3099</v>
      </c>
      <c r="D1803" s="122">
        <v>1.24</v>
      </c>
      <c r="E1803" s="122">
        <v>0.01</v>
      </c>
    </row>
    <row r="1804" spans="2:5" x14ac:dyDescent="0.2">
      <c r="B1804" s="129" t="s">
        <v>3100</v>
      </c>
      <c r="C1804" s="122" t="s">
        <v>3101</v>
      </c>
      <c r="D1804" s="122">
        <v>24.57</v>
      </c>
      <c r="E1804" s="122">
        <v>0.13</v>
      </c>
    </row>
    <row r="1805" spans="2:5" x14ac:dyDescent="0.2">
      <c r="B1805" s="129" t="s">
        <v>3102</v>
      </c>
      <c r="C1805" s="122" t="s">
        <v>3103</v>
      </c>
      <c r="D1805" s="122">
        <v>15.69</v>
      </c>
      <c r="E1805" s="122">
        <v>0.25</v>
      </c>
    </row>
    <row r="1806" spans="2:5" x14ac:dyDescent="0.2">
      <c r="B1806" s="129" t="s">
        <v>3104</v>
      </c>
      <c r="C1806" s="122" t="s">
        <v>3105</v>
      </c>
      <c r="D1806" s="122">
        <v>8.99</v>
      </c>
      <c r="E1806" s="122">
        <v>7.0000000000000007E-2</v>
      </c>
    </row>
    <row r="1807" spans="2:5" x14ac:dyDescent="0.2">
      <c r="B1807" s="129" t="s">
        <v>3106</v>
      </c>
      <c r="C1807" s="122" t="s">
        <v>3107</v>
      </c>
      <c r="D1807" s="122">
        <v>13.99</v>
      </c>
      <c r="E1807" s="122">
        <v>0.18</v>
      </c>
    </row>
    <row r="1808" spans="2:5" x14ac:dyDescent="0.2">
      <c r="B1808" s="129" t="s">
        <v>3108</v>
      </c>
      <c r="C1808" s="122" t="s">
        <v>3109</v>
      </c>
      <c r="D1808" s="122">
        <v>11.91</v>
      </c>
      <c r="E1808" s="122">
        <v>0.13</v>
      </c>
    </row>
    <row r="1809" spans="2:5" x14ac:dyDescent="0.2">
      <c r="B1809" s="129" t="s">
        <v>3110</v>
      </c>
      <c r="C1809" s="122" t="s">
        <v>3111</v>
      </c>
      <c r="D1809" s="122">
        <v>6.83</v>
      </c>
      <c r="E1809" s="122">
        <v>0.04</v>
      </c>
    </row>
    <row r="1810" spans="2:5" x14ac:dyDescent="0.2">
      <c r="B1810" s="129" t="s">
        <v>3112</v>
      </c>
      <c r="C1810" s="122" t="s">
        <v>3113</v>
      </c>
      <c r="D1810" s="122">
        <v>21.17</v>
      </c>
      <c r="E1810" s="122">
        <v>0.22</v>
      </c>
    </row>
    <row r="1811" spans="2:5" x14ac:dyDescent="0.2">
      <c r="B1811" s="129" t="s">
        <v>3114</v>
      </c>
      <c r="C1811" s="122" t="s">
        <v>3115</v>
      </c>
      <c r="D1811" s="122">
        <v>-6.15</v>
      </c>
      <c r="E1811" s="122">
        <v>0.02</v>
      </c>
    </row>
    <row r="1812" spans="2:5" x14ac:dyDescent="0.2">
      <c r="B1812" s="129" t="s">
        <v>3116</v>
      </c>
      <c r="C1812" s="122" t="s">
        <v>3117</v>
      </c>
      <c r="D1812" s="122">
        <v>14.5</v>
      </c>
      <c r="E1812" s="122">
        <v>-0.11</v>
      </c>
    </row>
    <row r="1813" spans="2:5" x14ac:dyDescent="0.2">
      <c r="B1813" s="129" t="s">
        <v>4592</v>
      </c>
      <c r="C1813" s="122" t="s">
        <v>4593</v>
      </c>
      <c r="D1813" s="122"/>
      <c r="E1813" s="122"/>
    </row>
    <row r="1814" spans="2:5" x14ac:dyDescent="0.2">
      <c r="B1814" s="129" t="s">
        <v>4594</v>
      </c>
      <c r="C1814" s="122" t="s">
        <v>4595</v>
      </c>
      <c r="D1814" s="122">
        <v>27.73</v>
      </c>
      <c r="E1814" s="122">
        <v>0.18</v>
      </c>
    </row>
    <row r="1815" spans="2:5" x14ac:dyDescent="0.2">
      <c r="B1815" s="129" t="s">
        <v>3118</v>
      </c>
      <c r="C1815" s="122" t="s">
        <v>3119</v>
      </c>
      <c r="D1815" s="122">
        <v>18.96</v>
      </c>
      <c r="E1815" s="122">
        <v>0.08</v>
      </c>
    </row>
    <row r="1816" spans="2:5" x14ac:dyDescent="0.2">
      <c r="B1816" s="129" t="s">
        <v>3120</v>
      </c>
      <c r="C1816" s="122" t="s">
        <v>3121</v>
      </c>
      <c r="D1816" s="122">
        <v>29.12</v>
      </c>
      <c r="E1816" s="122">
        <v>0.17</v>
      </c>
    </row>
    <row r="1817" spans="2:5" x14ac:dyDescent="0.2">
      <c r="B1817" s="129" t="s">
        <v>3122</v>
      </c>
      <c r="C1817" s="122" t="s">
        <v>3123</v>
      </c>
      <c r="D1817" s="122">
        <v>17.27</v>
      </c>
      <c r="E1817" s="122">
        <v>0.18</v>
      </c>
    </row>
    <row r="1818" spans="2:5" x14ac:dyDescent="0.2">
      <c r="B1818" s="129" t="s">
        <v>3124</v>
      </c>
      <c r="C1818" s="122" t="s">
        <v>3125</v>
      </c>
      <c r="D1818" s="122">
        <v>4.04</v>
      </c>
      <c r="E1818" s="122">
        <v>0.04</v>
      </c>
    </row>
    <row r="1819" spans="2:5" x14ac:dyDescent="0.2">
      <c r="B1819" s="129" t="s">
        <v>3126</v>
      </c>
      <c r="C1819" s="122" t="s">
        <v>3127</v>
      </c>
      <c r="D1819" s="122">
        <v>6.62</v>
      </c>
      <c r="E1819" s="122">
        <v>0.09</v>
      </c>
    </row>
    <row r="1820" spans="2:5" x14ac:dyDescent="0.2">
      <c r="B1820" s="129" t="s">
        <v>4596</v>
      </c>
      <c r="C1820" s="122" t="s">
        <v>4597</v>
      </c>
      <c r="D1820" s="122"/>
      <c r="E1820" s="122"/>
    </row>
    <row r="1821" spans="2:5" x14ac:dyDescent="0.2">
      <c r="B1821" s="129" t="s">
        <v>3128</v>
      </c>
      <c r="C1821" s="122" t="s">
        <v>3129</v>
      </c>
      <c r="D1821" s="122">
        <v>2.23</v>
      </c>
      <c r="E1821" s="122">
        <v>-0.01</v>
      </c>
    </row>
    <row r="1822" spans="2:5" x14ac:dyDescent="0.2">
      <c r="B1822" s="129" t="s">
        <v>3134</v>
      </c>
      <c r="C1822" s="122" t="s">
        <v>4598</v>
      </c>
      <c r="D1822" s="122"/>
      <c r="E1822" s="122">
        <v>-7.0000000000000007E-2</v>
      </c>
    </row>
    <row r="1823" spans="2:5" x14ac:dyDescent="0.2">
      <c r="B1823" s="129" t="s">
        <v>3130</v>
      </c>
      <c r="C1823" s="122" t="s">
        <v>3131</v>
      </c>
      <c r="D1823" s="122">
        <v>12.61</v>
      </c>
      <c r="E1823" s="122">
        <v>0.13</v>
      </c>
    </row>
    <row r="1824" spans="2:5" x14ac:dyDescent="0.2">
      <c r="B1824" s="129" t="s">
        <v>3132</v>
      </c>
      <c r="C1824" s="122" t="s">
        <v>3133</v>
      </c>
      <c r="D1824" s="122">
        <v>-0.56000000000000005</v>
      </c>
      <c r="E1824" s="122">
        <v>0</v>
      </c>
    </row>
    <row r="1825" spans="2:5" x14ac:dyDescent="0.2">
      <c r="B1825" s="129" t="s">
        <v>3134</v>
      </c>
      <c r="C1825" s="122" t="s">
        <v>3135</v>
      </c>
      <c r="D1825" s="122"/>
      <c r="E1825" s="122">
        <v>-7.0000000000000007E-2</v>
      </c>
    </row>
    <row r="1826" spans="2:5" x14ac:dyDescent="0.2">
      <c r="B1826" s="129" t="s">
        <v>4599</v>
      </c>
      <c r="C1826" s="122" t="s">
        <v>4600</v>
      </c>
      <c r="D1826" s="122">
        <v>5.08</v>
      </c>
      <c r="E1826" s="122">
        <v>0.05</v>
      </c>
    </row>
    <row r="1827" spans="2:5" x14ac:dyDescent="0.2">
      <c r="B1827" s="129" t="s">
        <v>4601</v>
      </c>
      <c r="C1827" s="122" t="s">
        <v>4602</v>
      </c>
      <c r="D1827" s="122"/>
      <c r="E1827" s="122"/>
    </row>
    <row r="1828" spans="2:5" x14ac:dyDescent="0.2">
      <c r="B1828" s="129" t="s">
        <v>3136</v>
      </c>
      <c r="C1828" s="122" t="s">
        <v>3137</v>
      </c>
      <c r="D1828" s="122">
        <v>7.47</v>
      </c>
      <c r="E1828" s="122">
        <v>0.08</v>
      </c>
    </row>
    <row r="1829" spans="2:5" x14ac:dyDescent="0.2">
      <c r="B1829" s="129" t="s">
        <v>3138</v>
      </c>
      <c r="C1829" s="122" t="s">
        <v>3139</v>
      </c>
      <c r="D1829" s="122">
        <v>6.99</v>
      </c>
      <c r="E1829" s="122">
        <v>0.05</v>
      </c>
    </row>
    <row r="1830" spans="2:5" x14ac:dyDescent="0.2">
      <c r="B1830" s="129" t="s">
        <v>3140</v>
      </c>
      <c r="C1830" s="122" t="s">
        <v>3141</v>
      </c>
      <c r="D1830" s="122">
        <v>-1.81</v>
      </c>
      <c r="E1830" s="122">
        <v>0</v>
      </c>
    </row>
    <row r="1831" spans="2:5" x14ac:dyDescent="0.2">
      <c r="B1831" s="129" t="s">
        <v>3142</v>
      </c>
      <c r="C1831" s="122" t="s">
        <v>3143</v>
      </c>
      <c r="D1831" s="122">
        <v>8.8000000000000007</v>
      </c>
      <c r="E1831" s="122">
        <v>0.1</v>
      </c>
    </row>
    <row r="1832" spans="2:5" x14ac:dyDescent="0.2">
      <c r="B1832" s="129" t="s">
        <v>3144</v>
      </c>
      <c r="C1832" s="122" t="s">
        <v>3145</v>
      </c>
      <c r="D1832" s="122">
        <v>5.59</v>
      </c>
      <c r="E1832" s="122">
        <v>0.05</v>
      </c>
    </row>
    <row r="1833" spans="2:5" x14ac:dyDescent="0.2">
      <c r="B1833" s="129" t="s">
        <v>3146</v>
      </c>
      <c r="C1833" s="122" t="s">
        <v>3147</v>
      </c>
      <c r="D1833" s="122">
        <v>9.61</v>
      </c>
      <c r="E1833" s="122">
        <v>0.08</v>
      </c>
    </row>
    <row r="1834" spans="2:5" x14ac:dyDescent="0.2">
      <c r="B1834" s="129" t="s">
        <v>4603</v>
      </c>
      <c r="C1834" s="122" t="s">
        <v>4604</v>
      </c>
      <c r="D1834" s="122"/>
      <c r="E1834" s="122">
        <v>0.14000000000000001</v>
      </c>
    </row>
    <row r="1835" spans="2:5" x14ac:dyDescent="0.2">
      <c r="B1835" s="129" t="s">
        <v>3148</v>
      </c>
      <c r="C1835" s="122" t="s">
        <v>3149</v>
      </c>
      <c r="D1835" s="122">
        <v>9.34</v>
      </c>
      <c r="E1835" s="122">
        <v>0.04</v>
      </c>
    </row>
    <row r="1836" spans="2:5" x14ac:dyDescent="0.2">
      <c r="B1836" s="129" t="s">
        <v>3150</v>
      </c>
      <c r="C1836" s="122" t="s">
        <v>3151</v>
      </c>
      <c r="D1836" s="122"/>
      <c r="E1836" s="122">
        <v>0.09</v>
      </c>
    </row>
    <row r="1837" spans="2:5" x14ac:dyDescent="0.2">
      <c r="B1837" s="129" t="s">
        <v>4605</v>
      </c>
      <c r="C1837" s="122" t="s">
        <v>4606</v>
      </c>
      <c r="D1837" s="122"/>
      <c r="E1837" s="122"/>
    </row>
    <row r="1838" spans="2:5" x14ac:dyDescent="0.2">
      <c r="B1838" s="129" t="s">
        <v>3152</v>
      </c>
      <c r="C1838" s="122" t="s">
        <v>3153</v>
      </c>
      <c r="D1838" s="122">
        <v>4.1399999999999997</v>
      </c>
      <c r="E1838" s="122">
        <v>0.04</v>
      </c>
    </row>
    <row r="1839" spans="2:5" x14ac:dyDescent="0.2">
      <c r="B1839" s="129" t="s">
        <v>3154</v>
      </c>
      <c r="C1839" s="122" t="s">
        <v>3155</v>
      </c>
      <c r="D1839" s="122">
        <v>6.28</v>
      </c>
      <c r="E1839" s="122">
        <v>0.06</v>
      </c>
    </row>
    <row r="1840" spans="2:5" x14ac:dyDescent="0.2">
      <c r="B1840" s="129" t="s">
        <v>3156</v>
      </c>
      <c r="C1840" s="122" t="s">
        <v>3157</v>
      </c>
      <c r="D1840" s="122"/>
      <c r="E1840" s="122">
        <v>0.1</v>
      </c>
    </row>
    <row r="1841" spans="2:5" x14ac:dyDescent="0.2">
      <c r="B1841" s="129" t="s">
        <v>3158</v>
      </c>
      <c r="C1841" s="122" t="s">
        <v>3159</v>
      </c>
      <c r="D1841" s="122">
        <v>17.510000000000002</v>
      </c>
      <c r="E1841" s="122">
        <v>0.18</v>
      </c>
    </row>
    <row r="1842" spans="2:5" x14ac:dyDescent="0.2">
      <c r="B1842" s="129" t="s">
        <v>4607</v>
      </c>
      <c r="C1842" s="122" t="s">
        <v>4608</v>
      </c>
      <c r="D1842" s="122"/>
      <c r="E1842" s="122"/>
    </row>
    <row r="1843" spans="2:5" x14ac:dyDescent="0.2">
      <c r="B1843" s="129" t="s">
        <v>3160</v>
      </c>
      <c r="C1843" s="122" t="s">
        <v>3161</v>
      </c>
      <c r="D1843" s="122">
        <v>19.07</v>
      </c>
      <c r="E1843" s="122">
        <v>0.12</v>
      </c>
    </row>
    <row r="1844" spans="2:5" x14ac:dyDescent="0.2">
      <c r="B1844" s="129" t="s">
        <v>3162</v>
      </c>
      <c r="C1844" s="122" t="s">
        <v>3163</v>
      </c>
      <c r="D1844" s="122">
        <v>8.01</v>
      </c>
      <c r="E1844" s="122">
        <v>7.0000000000000007E-2</v>
      </c>
    </row>
    <row r="1845" spans="2:5" x14ac:dyDescent="0.2">
      <c r="B1845" s="129" t="s">
        <v>4609</v>
      </c>
      <c r="C1845" s="122" t="s">
        <v>4610</v>
      </c>
      <c r="D1845" s="122"/>
      <c r="E1845" s="122"/>
    </row>
    <row r="1846" spans="2:5" x14ac:dyDescent="0.2">
      <c r="B1846" s="129" t="s">
        <v>3164</v>
      </c>
      <c r="C1846" s="122" t="s">
        <v>3165</v>
      </c>
      <c r="D1846" s="122">
        <v>-8.7899999999999991</v>
      </c>
      <c r="E1846" s="122">
        <v>-0.67</v>
      </c>
    </row>
    <row r="1847" spans="2:5" x14ac:dyDescent="0.2">
      <c r="B1847" s="129" t="s">
        <v>3166</v>
      </c>
      <c r="C1847" s="122" t="s">
        <v>3167</v>
      </c>
      <c r="D1847" s="122">
        <v>23.1</v>
      </c>
      <c r="E1847" s="122">
        <v>0.05</v>
      </c>
    </row>
    <row r="1848" spans="2:5" x14ac:dyDescent="0.2">
      <c r="B1848" s="129" t="s">
        <v>3168</v>
      </c>
      <c r="C1848" s="122" t="s">
        <v>3169</v>
      </c>
      <c r="D1848" s="122">
        <v>19.940000000000001</v>
      </c>
      <c r="E1848" s="122"/>
    </row>
    <row r="1849" spans="2:5" x14ac:dyDescent="0.2">
      <c r="B1849" s="129" t="s">
        <v>3170</v>
      </c>
      <c r="C1849" s="122" t="s">
        <v>3171</v>
      </c>
      <c r="D1849" s="122">
        <v>9.57</v>
      </c>
      <c r="E1849" s="122">
        <v>0.1</v>
      </c>
    </row>
    <row r="1850" spans="2:5" x14ac:dyDescent="0.2">
      <c r="B1850" s="129" t="s">
        <v>4611</v>
      </c>
      <c r="C1850" s="122" t="s">
        <v>4612</v>
      </c>
      <c r="D1850" s="122">
        <v>0.4</v>
      </c>
      <c r="E1850" s="122">
        <v>0.27</v>
      </c>
    </row>
    <row r="1851" spans="2:5" x14ac:dyDescent="0.2">
      <c r="B1851" s="129" t="s">
        <v>3172</v>
      </c>
      <c r="C1851" s="122" t="s">
        <v>3173</v>
      </c>
      <c r="D1851" s="122">
        <v>6.09</v>
      </c>
      <c r="E1851" s="122">
        <v>0.05</v>
      </c>
    </row>
    <row r="1852" spans="2:5" x14ac:dyDescent="0.2">
      <c r="B1852" s="129" t="s">
        <v>4613</v>
      </c>
      <c r="C1852" s="122" t="s">
        <v>4614</v>
      </c>
      <c r="D1852" s="122">
        <v>123.7</v>
      </c>
      <c r="E1852" s="122">
        <v>0.7</v>
      </c>
    </row>
    <row r="1853" spans="2:5" x14ac:dyDescent="0.2">
      <c r="B1853" s="129" t="s">
        <v>4615</v>
      </c>
      <c r="C1853" s="122" t="s">
        <v>4616</v>
      </c>
      <c r="D1853" s="122">
        <v>12.42</v>
      </c>
      <c r="E1853" s="122">
        <v>0.11</v>
      </c>
    </row>
    <row r="1854" spans="2:5" x14ac:dyDescent="0.2">
      <c r="B1854" s="129" t="s">
        <v>3174</v>
      </c>
      <c r="C1854" s="122" t="s">
        <v>3175</v>
      </c>
      <c r="D1854" s="122">
        <v>6.38</v>
      </c>
      <c r="E1854" s="122">
        <v>0.04</v>
      </c>
    </row>
    <row r="1855" spans="2:5" x14ac:dyDescent="0.2">
      <c r="B1855" s="129" t="s">
        <v>3176</v>
      </c>
      <c r="C1855" s="122" t="s">
        <v>3177</v>
      </c>
      <c r="D1855" s="122">
        <v>8.1300000000000008</v>
      </c>
      <c r="E1855" s="122">
        <v>0.13</v>
      </c>
    </row>
    <row r="1856" spans="2:5" x14ac:dyDescent="0.2">
      <c r="B1856" s="129" t="s">
        <v>3178</v>
      </c>
      <c r="C1856" s="122" t="s">
        <v>3179</v>
      </c>
      <c r="D1856" s="122">
        <v>18.510000000000002</v>
      </c>
      <c r="E1856" s="122">
        <v>0.2</v>
      </c>
    </row>
    <row r="1857" spans="2:5" x14ac:dyDescent="0.2">
      <c r="B1857" s="129" t="s">
        <v>3180</v>
      </c>
      <c r="C1857" s="122" t="s">
        <v>3181</v>
      </c>
      <c r="D1857" s="122">
        <v>-0.13</v>
      </c>
      <c r="E1857" s="122">
        <v>0</v>
      </c>
    </row>
    <row r="1858" spans="2:5" x14ac:dyDescent="0.2">
      <c r="B1858" s="129" t="s">
        <v>3182</v>
      </c>
      <c r="C1858" s="122" t="s">
        <v>3183</v>
      </c>
      <c r="D1858" s="122">
        <v>8.98</v>
      </c>
      <c r="E1858" s="122">
        <v>0.72</v>
      </c>
    </row>
    <row r="1859" spans="2:5" x14ac:dyDescent="0.2">
      <c r="B1859" s="129" t="s">
        <v>3184</v>
      </c>
      <c r="C1859" s="122" t="s">
        <v>3185</v>
      </c>
      <c r="D1859" s="122">
        <v>15.85</v>
      </c>
      <c r="E1859" s="122">
        <v>7.0000000000000007E-2</v>
      </c>
    </row>
    <row r="1860" spans="2:5" x14ac:dyDescent="0.2">
      <c r="B1860" s="129" t="s">
        <v>3186</v>
      </c>
      <c r="C1860" s="122" t="s">
        <v>3187</v>
      </c>
      <c r="D1860" s="122">
        <v>15.29</v>
      </c>
      <c r="E1860" s="122">
        <v>0.09</v>
      </c>
    </row>
    <row r="1861" spans="2:5" x14ac:dyDescent="0.2">
      <c r="B1861" s="129" t="s">
        <v>3188</v>
      </c>
      <c r="C1861" s="122" t="s">
        <v>3189</v>
      </c>
      <c r="D1861" s="122">
        <v>36.83</v>
      </c>
      <c r="E1861" s="122">
        <v>0.42</v>
      </c>
    </row>
    <row r="1862" spans="2:5" x14ac:dyDescent="0.2">
      <c r="B1862" s="129" t="s">
        <v>3190</v>
      </c>
      <c r="C1862" s="122" t="s">
        <v>3191</v>
      </c>
      <c r="D1862" s="122">
        <v>33.229999999999997</v>
      </c>
      <c r="E1862" s="122">
        <v>0.34</v>
      </c>
    </row>
    <row r="1863" spans="2:5" x14ac:dyDescent="0.2">
      <c r="B1863" s="129" t="s">
        <v>3192</v>
      </c>
      <c r="C1863" s="122" t="s">
        <v>3193</v>
      </c>
      <c r="D1863" s="122">
        <v>27.25</v>
      </c>
      <c r="E1863" s="122">
        <v>0.27</v>
      </c>
    </row>
    <row r="1864" spans="2:5" x14ac:dyDescent="0.2">
      <c r="B1864" s="129" t="s">
        <v>3194</v>
      </c>
      <c r="C1864" s="122" t="s">
        <v>3195</v>
      </c>
      <c r="D1864" s="122">
        <v>19.920000000000002</v>
      </c>
      <c r="E1864" s="122">
        <v>0.12</v>
      </c>
    </row>
    <row r="1865" spans="2:5" x14ac:dyDescent="0.2">
      <c r="B1865" s="129" t="s">
        <v>4617</v>
      </c>
      <c r="C1865" s="122" t="s">
        <v>4618</v>
      </c>
      <c r="D1865" s="122"/>
      <c r="E1865" s="122"/>
    </row>
    <row r="1866" spans="2:5" x14ac:dyDescent="0.2">
      <c r="B1866" s="129" t="s">
        <v>3196</v>
      </c>
      <c r="C1866" s="122" t="s">
        <v>3197</v>
      </c>
      <c r="D1866" s="122">
        <v>8.26</v>
      </c>
      <c r="E1866" s="122">
        <v>0.08</v>
      </c>
    </row>
    <row r="1867" spans="2:5" x14ac:dyDescent="0.2">
      <c r="B1867" s="129" t="s">
        <v>3198</v>
      </c>
      <c r="C1867" s="122" t="s">
        <v>3199</v>
      </c>
      <c r="D1867" s="122">
        <v>3.32</v>
      </c>
      <c r="E1867" s="122">
        <v>0.03</v>
      </c>
    </row>
    <row r="1868" spans="2:5" x14ac:dyDescent="0.2">
      <c r="B1868" s="129" t="s">
        <v>3200</v>
      </c>
      <c r="C1868" s="122" t="s">
        <v>3201</v>
      </c>
      <c r="D1868" s="122">
        <v>12.28</v>
      </c>
      <c r="E1868" s="122">
        <v>0.11</v>
      </c>
    </row>
    <row r="1869" spans="2:5" x14ac:dyDescent="0.2">
      <c r="B1869" s="129" t="s">
        <v>3202</v>
      </c>
      <c r="C1869" s="122" t="s">
        <v>3203</v>
      </c>
      <c r="D1869" s="122"/>
      <c r="E1869" s="122">
        <v>0.02</v>
      </c>
    </row>
    <row r="1870" spans="2:5" x14ac:dyDescent="0.2">
      <c r="B1870" s="129" t="s">
        <v>3204</v>
      </c>
      <c r="C1870" s="122" t="s">
        <v>3205</v>
      </c>
      <c r="D1870" s="122">
        <v>6.71</v>
      </c>
      <c r="E1870" s="122">
        <v>7.0000000000000007E-2</v>
      </c>
    </row>
    <row r="1871" spans="2:5" x14ac:dyDescent="0.2">
      <c r="B1871" s="129" t="s">
        <v>3206</v>
      </c>
      <c r="C1871" s="122" t="s">
        <v>3207</v>
      </c>
      <c r="D1871" s="122">
        <v>20.7</v>
      </c>
      <c r="E1871" s="122">
        <v>-0.05</v>
      </c>
    </row>
    <row r="1872" spans="2:5" x14ac:dyDescent="0.2">
      <c r="B1872" s="129" t="s">
        <v>4619</v>
      </c>
      <c r="C1872" s="122" t="s">
        <v>4620</v>
      </c>
      <c r="D1872" s="122"/>
      <c r="E1872" s="122"/>
    </row>
    <row r="1873" spans="2:5" x14ac:dyDescent="0.2">
      <c r="B1873" s="129" t="s">
        <v>3208</v>
      </c>
      <c r="C1873" s="122" t="s">
        <v>3209</v>
      </c>
      <c r="D1873" s="122">
        <v>0.68</v>
      </c>
      <c r="E1873" s="122">
        <v>-0.05</v>
      </c>
    </row>
    <row r="1874" spans="2:5" x14ac:dyDescent="0.2">
      <c r="B1874" s="129" t="s">
        <v>3210</v>
      </c>
      <c r="C1874" s="122" t="s">
        <v>3211</v>
      </c>
      <c r="D1874" s="122">
        <v>31.42</v>
      </c>
      <c r="E1874" s="122">
        <v>0.35</v>
      </c>
    </row>
    <row r="1875" spans="2:5" x14ac:dyDescent="0.2">
      <c r="B1875" s="129" t="s">
        <v>3212</v>
      </c>
      <c r="C1875" s="122" t="s">
        <v>3213</v>
      </c>
      <c r="D1875" s="122">
        <v>5.15</v>
      </c>
      <c r="E1875" s="122">
        <v>0.08</v>
      </c>
    </row>
    <row r="1876" spans="2:5" x14ac:dyDescent="0.2">
      <c r="B1876" s="129" t="s">
        <v>3214</v>
      </c>
      <c r="C1876" s="122" t="s">
        <v>3215</v>
      </c>
      <c r="D1876" s="122">
        <v>14.52</v>
      </c>
      <c r="E1876" s="122">
        <v>0.16</v>
      </c>
    </row>
    <row r="1877" spans="2:5" x14ac:dyDescent="0.2">
      <c r="B1877" s="129" t="s">
        <v>4621</v>
      </c>
      <c r="C1877" s="122" t="s">
        <v>4622</v>
      </c>
      <c r="D1877" s="122"/>
      <c r="E1877" s="122"/>
    </row>
    <row r="1878" spans="2:5" x14ac:dyDescent="0.2">
      <c r="B1878" s="129" t="s">
        <v>3216</v>
      </c>
      <c r="C1878" s="122" t="s">
        <v>3217</v>
      </c>
      <c r="D1878" s="122">
        <v>10.37</v>
      </c>
      <c r="E1878" s="122">
        <v>0.1</v>
      </c>
    </row>
    <row r="1879" spans="2:5" x14ac:dyDescent="0.2">
      <c r="B1879" s="129" t="s">
        <v>3218</v>
      </c>
      <c r="C1879" s="122" t="s">
        <v>3219</v>
      </c>
      <c r="D1879" s="122">
        <v>26.77</v>
      </c>
      <c r="E1879" s="122">
        <v>0.18</v>
      </c>
    </row>
    <row r="1880" spans="2:5" x14ac:dyDescent="0.2">
      <c r="B1880" s="129" t="s">
        <v>3220</v>
      </c>
      <c r="C1880" s="122" t="s">
        <v>3221</v>
      </c>
      <c r="D1880" s="122">
        <v>5.92</v>
      </c>
      <c r="E1880" s="122">
        <v>0.06</v>
      </c>
    </row>
    <row r="1881" spans="2:5" x14ac:dyDescent="0.2">
      <c r="B1881" s="129" t="s">
        <v>3222</v>
      </c>
      <c r="C1881" s="122" t="s">
        <v>3223</v>
      </c>
      <c r="D1881" s="122">
        <v>7.36</v>
      </c>
      <c r="E1881" s="122">
        <v>0.05</v>
      </c>
    </row>
    <row r="1882" spans="2:5" x14ac:dyDescent="0.2">
      <c r="B1882" s="129" t="s">
        <v>3224</v>
      </c>
      <c r="C1882" s="122" t="s">
        <v>3225</v>
      </c>
      <c r="D1882" s="122">
        <v>-0.57999999999999996</v>
      </c>
      <c r="E1882" s="122">
        <v>-0.1</v>
      </c>
    </row>
    <row r="1883" spans="2:5" x14ac:dyDescent="0.2">
      <c r="B1883" s="129" t="s">
        <v>4623</v>
      </c>
      <c r="C1883" s="122" t="s">
        <v>4624</v>
      </c>
      <c r="D1883" s="122"/>
      <c r="E1883" s="122">
        <v>0.08</v>
      </c>
    </row>
    <row r="1884" spans="2:5" x14ac:dyDescent="0.2">
      <c r="B1884" s="129" t="s">
        <v>3226</v>
      </c>
      <c r="C1884" s="122" t="s">
        <v>3227</v>
      </c>
      <c r="D1884" s="122">
        <v>23.23</v>
      </c>
      <c r="E1884" s="122">
        <v>0.13</v>
      </c>
    </row>
    <row r="1885" spans="2:5" x14ac:dyDescent="0.2">
      <c r="B1885" s="129" t="s">
        <v>3228</v>
      </c>
      <c r="C1885" s="122" t="s">
        <v>3229</v>
      </c>
      <c r="D1885" s="122">
        <v>11.76</v>
      </c>
      <c r="E1885" s="122">
        <v>0.11</v>
      </c>
    </row>
    <row r="1886" spans="2:5" x14ac:dyDescent="0.2">
      <c r="B1886" s="129" t="s">
        <v>4625</v>
      </c>
      <c r="C1886" s="122" t="s">
        <v>4626</v>
      </c>
      <c r="D1886" s="122">
        <v>3.43</v>
      </c>
      <c r="E1886" s="122">
        <v>0.04</v>
      </c>
    </row>
    <row r="1887" spans="2:5" x14ac:dyDescent="0.2">
      <c r="B1887" s="129" t="s">
        <v>3230</v>
      </c>
      <c r="C1887" s="122" t="s">
        <v>3231</v>
      </c>
      <c r="D1887" s="122">
        <v>2.54</v>
      </c>
      <c r="E1887" s="122">
        <v>0.06</v>
      </c>
    </row>
    <row r="1888" spans="2:5" x14ac:dyDescent="0.2">
      <c r="B1888" s="129" t="s">
        <v>3232</v>
      </c>
      <c r="C1888" s="122" t="s">
        <v>3233</v>
      </c>
      <c r="D1888" s="122"/>
      <c r="E1888" s="122"/>
    </row>
    <row r="1889" spans="2:5" x14ac:dyDescent="0.2">
      <c r="B1889" s="129" t="s">
        <v>4627</v>
      </c>
      <c r="C1889" s="122" t="s">
        <v>4628</v>
      </c>
      <c r="D1889" s="122"/>
      <c r="E1889" s="122"/>
    </row>
    <row r="1890" spans="2:5" x14ac:dyDescent="0.2">
      <c r="B1890" s="129" t="s">
        <v>3234</v>
      </c>
      <c r="C1890" s="122" t="s">
        <v>3235</v>
      </c>
      <c r="D1890" s="122">
        <v>2.73</v>
      </c>
      <c r="E1890" s="122">
        <v>-0.19</v>
      </c>
    </row>
    <row r="1891" spans="2:5" x14ac:dyDescent="0.2">
      <c r="B1891" s="129" t="s">
        <v>3236</v>
      </c>
      <c r="C1891" s="122" t="s">
        <v>3237</v>
      </c>
      <c r="D1891" s="122">
        <v>152.35</v>
      </c>
      <c r="E1891" s="122">
        <v>-0.05</v>
      </c>
    </row>
    <row r="1892" spans="2:5" x14ac:dyDescent="0.2">
      <c r="B1892" s="129" t="s">
        <v>4629</v>
      </c>
      <c r="C1892" s="122" t="s">
        <v>4630</v>
      </c>
      <c r="D1892" s="122"/>
      <c r="E1892" s="122"/>
    </row>
    <row r="1893" spans="2:5" x14ac:dyDescent="0.2">
      <c r="B1893" s="129" t="s">
        <v>3238</v>
      </c>
      <c r="C1893" s="122" t="s">
        <v>3239</v>
      </c>
      <c r="D1893" s="122">
        <v>24.77</v>
      </c>
      <c r="E1893" s="122">
        <v>0.4</v>
      </c>
    </row>
    <row r="1894" spans="2:5" x14ac:dyDescent="0.2">
      <c r="B1894" s="129" t="s">
        <v>3240</v>
      </c>
      <c r="C1894" s="122" t="s">
        <v>3241</v>
      </c>
      <c r="D1894" s="122">
        <v>11.17</v>
      </c>
      <c r="E1894" s="122">
        <v>0.13</v>
      </c>
    </row>
    <row r="1895" spans="2:5" x14ac:dyDescent="0.2">
      <c r="B1895" s="129" t="s">
        <v>3242</v>
      </c>
      <c r="C1895" s="122" t="s">
        <v>3243</v>
      </c>
      <c r="D1895" s="122">
        <v>34.29</v>
      </c>
      <c r="E1895" s="122">
        <v>0.35</v>
      </c>
    </row>
    <row r="1896" spans="2:5" x14ac:dyDescent="0.2">
      <c r="B1896" s="129" t="s">
        <v>3244</v>
      </c>
      <c r="C1896" s="122" t="s">
        <v>3245</v>
      </c>
      <c r="D1896" s="122">
        <v>5.99</v>
      </c>
      <c r="E1896" s="122">
        <v>0.06</v>
      </c>
    </row>
    <row r="1897" spans="2:5" x14ac:dyDescent="0.2">
      <c r="B1897" s="129" t="s">
        <v>3246</v>
      </c>
      <c r="C1897" s="122" t="s">
        <v>3247</v>
      </c>
      <c r="D1897" s="122">
        <v>6.23</v>
      </c>
      <c r="E1897" s="122">
        <v>0.09</v>
      </c>
    </row>
    <row r="1898" spans="2:5" x14ac:dyDescent="0.2">
      <c r="B1898" s="129" t="s">
        <v>4631</v>
      </c>
      <c r="C1898" s="122" t="s">
        <v>4632</v>
      </c>
      <c r="D1898" s="122"/>
      <c r="E1898" s="122">
        <v>0</v>
      </c>
    </row>
    <row r="1899" spans="2:5" x14ac:dyDescent="0.2">
      <c r="B1899" s="129" t="s">
        <v>3248</v>
      </c>
      <c r="C1899" s="122" t="s">
        <v>3249</v>
      </c>
      <c r="D1899" s="122">
        <v>19.88</v>
      </c>
      <c r="E1899" s="122">
        <v>0.16</v>
      </c>
    </row>
    <row r="1900" spans="2:5" x14ac:dyDescent="0.2">
      <c r="B1900" s="129" t="s">
        <v>3250</v>
      </c>
      <c r="C1900" s="122" t="s">
        <v>4633</v>
      </c>
      <c r="D1900" s="122">
        <v>3.05</v>
      </c>
      <c r="E1900" s="122">
        <v>-0.01</v>
      </c>
    </row>
    <row r="1901" spans="2:5" x14ac:dyDescent="0.2">
      <c r="B1901" s="129" t="s">
        <v>3250</v>
      </c>
      <c r="C1901" s="122" t="s">
        <v>3251</v>
      </c>
      <c r="D1901" s="122">
        <v>3.05</v>
      </c>
      <c r="E1901" s="122">
        <v>-0.01</v>
      </c>
    </row>
    <row r="1902" spans="2:5" x14ac:dyDescent="0.2">
      <c r="B1902" s="129" t="s">
        <v>3252</v>
      </c>
      <c r="C1902" s="122" t="s">
        <v>3253</v>
      </c>
      <c r="D1902" s="122">
        <v>6.83</v>
      </c>
      <c r="E1902" s="122">
        <v>0.05</v>
      </c>
    </row>
    <row r="1903" spans="2:5" x14ac:dyDescent="0.2">
      <c r="B1903" s="129" t="s">
        <v>4634</v>
      </c>
      <c r="C1903" s="122" t="s">
        <v>4635</v>
      </c>
      <c r="D1903" s="122"/>
      <c r="E1903" s="122">
        <v>0.09</v>
      </c>
    </row>
    <row r="1904" spans="2:5" x14ac:dyDescent="0.2">
      <c r="B1904" s="129" t="s">
        <v>3254</v>
      </c>
      <c r="C1904" s="122" t="s">
        <v>3255</v>
      </c>
      <c r="D1904" s="122">
        <v>17.23</v>
      </c>
      <c r="E1904" s="122">
        <v>0.11</v>
      </c>
    </row>
    <row r="1905" spans="2:5" x14ac:dyDescent="0.2">
      <c r="B1905" s="129" t="s">
        <v>4636</v>
      </c>
      <c r="C1905" s="122" t="s">
        <v>4637</v>
      </c>
      <c r="D1905" s="122"/>
      <c r="E1905" s="122"/>
    </row>
    <row r="1906" spans="2:5" x14ac:dyDescent="0.2">
      <c r="B1906" s="129" t="s">
        <v>3256</v>
      </c>
      <c r="C1906" s="122" t="s">
        <v>3257</v>
      </c>
      <c r="D1906" s="122">
        <v>35.869999999999997</v>
      </c>
      <c r="E1906" s="122">
        <v>0.3</v>
      </c>
    </row>
    <row r="1907" spans="2:5" x14ac:dyDescent="0.2">
      <c r="B1907" s="129" t="s">
        <v>4638</v>
      </c>
      <c r="C1907" s="122" t="s">
        <v>4639</v>
      </c>
      <c r="D1907" s="122"/>
      <c r="E1907" s="122"/>
    </row>
    <row r="1908" spans="2:5" x14ac:dyDescent="0.2">
      <c r="B1908" s="129" t="s">
        <v>3258</v>
      </c>
      <c r="C1908" s="122" t="s">
        <v>3259</v>
      </c>
      <c r="D1908" s="122"/>
      <c r="E1908" s="122"/>
    </row>
    <row r="1909" spans="2:5" x14ac:dyDescent="0.2">
      <c r="B1909" s="129" t="s">
        <v>3260</v>
      </c>
      <c r="C1909" s="122" t="s">
        <v>3261</v>
      </c>
      <c r="D1909" s="122">
        <v>14.6</v>
      </c>
      <c r="E1909" s="122">
        <v>0.19</v>
      </c>
    </row>
    <row r="1910" spans="2:5" x14ac:dyDescent="0.2">
      <c r="B1910" s="129" t="s">
        <v>3262</v>
      </c>
      <c r="C1910" s="122" t="s">
        <v>3263</v>
      </c>
      <c r="D1910" s="122">
        <v>5.9</v>
      </c>
      <c r="E1910" s="122">
        <v>0.09</v>
      </c>
    </row>
    <row r="1911" spans="2:5" x14ac:dyDescent="0.2">
      <c r="B1911" s="129" t="s">
        <v>3264</v>
      </c>
      <c r="C1911" s="122" t="s">
        <v>3265</v>
      </c>
      <c r="D1911" s="122">
        <v>1.32</v>
      </c>
      <c r="E1911" s="122">
        <v>0.01</v>
      </c>
    </row>
    <row r="1912" spans="2:5" x14ac:dyDescent="0.2">
      <c r="B1912" s="129" t="s">
        <v>3266</v>
      </c>
      <c r="C1912" s="122" t="s">
        <v>3267</v>
      </c>
      <c r="D1912" s="122">
        <v>9.81</v>
      </c>
      <c r="E1912" s="122">
        <v>0.1</v>
      </c>
    </row>
    <row r="1913" spans="2:5" x14ac:dyDescent="0.2">
      <c r="B1913" s="129" t="s">
        <v>3268</v>
      </c>
      <c r="C1913" s="122" t="s">
        <v>3269</v>
      </c>
      <c r="D1913" s="122">
        <v>8.1300000000000008</v>
      </c>
      <c r="E1913" s="122">
        <v>7.0000000000000007E-2</v>
      </c>
    </row>
    <row r="1914" spans="2:5" x14ac:dyDescent="0.2">
      <c r="B1914" s="129" t="s">
        <v>3270</v>
      </c>
      <c r="C1914" s="122" t="s">
        <v>3271</v>
      </c>
      <c r="D1914" s="122">
        <v>30.46</v>
      </c>
      <c r="E1914" s="122">
        <v>0.28000000000000003</v>
      </c>
    </row>
    <row r="1915" spans="2:5" x14ac:dyDescent="0.2">
      <c r="B1915" s="129" t="s">
        <v>3272</v>
      </c>
      <c r="C1915" s="122" t="s">
        <v>3273</v>
      </c>
      <c r="D1915" s="122"/>
      <c r="E1915" s="122">
        <v>0.19</v>
      </c>
    </row>
    <row r="1916" spans="2:5" x14ac:dyDescent="0.2">
      <c r="B1916" s="129" t="s">
        <v>3274</v>
      </c>
      <c r="C1916" s="122" t="s">
        <v>3275</v>
      </c>
      <c r="D1916" s="122">
        <v>9.7100000000000009</v>
      </c>
      <c r="E1916" s="122">
        <v>0.1</v>
      </c>
    </row>
    <row r="1917" spans="2:5" x14ac:dyDescent="0.2">
      <c r="B1917" s="129" t="s">
        <v>3276</v>
      </c>
      <c r="C1917" s="122" t="s">
        <v>3277</v>
      </c>
      <c r="D1917" s="122">
        <v>19.14</v>
      </c>
      <c r="E1917" s="122">
        <v>0.17</v>
      </c>
    </row>
    <row r="1918" spans="2:5" x14ac:dyDescent="0.2">
      <c r="B1918" s="129" t="s">
        <v>4640</v>
      </c>
      <c r="C1918" s="122" t="s">
        <v>4641</v>
      </c>
      <c r="D1918" s="122">
        <v>2.04</v>
      </c>
      <c r="E1918" s="122">
        <v>0.05</v>
      </c>
    </row>
    <row r="1919" spans="2:5" x14ac:dyDescent="0.2">
      <c r="B1919" s="129" t="s">
        <v>3278</v>
      </c>
      <c r="C1919" s="122" t="s">
        <v>3279</v>
      </c>
      <c r="D1919" s="122">
        <v>28.56</v>
      </c>
      <c r="E1919" s="122">
        <v>0.23</v>
      </c>
    </row>
    <row r="1920" spans="2:5" x14ac:dyDescent="0.2">
      <c r="B1920" s="129" t="s">
        <v>3280</v>
      </c>
      <c r="C1920" s="122" t="s">
        <v>3281</v>
      </c>
      <c r="D1920" s="122"/>
      <c r="E1920" s="122">
        <v>0.19</v>
      </c>
    </row>
    <row r="1921" spans="2:5" x14ac:dyDescent="0.2">
      <c r="B1921" s="129" t="s">
        <v>3282</v>
      </c>
      <c r="C1921" s="122" t="s">
        <v>3283</v>
      </c>
      <c r="D1921" s="122"/>
      <c r="E1921" s="122"/>
    </row>
    <row r="1922" spans="2:5" x14ac:dyDescent="0.2">
      <c r="B1922" s="129" t="s">
        <v>3284</v>
      </c>
      <c r="C1922" s="122" t="s">
        <v>3285</v>
      </c>
      <c r="D1922" s="122">
        <v>8.49</v>
      </c>
      <c r="E1922" s="122"/>
    </row>
    <row r="1923" spans="2:5" x14ac:dyDescent="0.2">
      <c r="B1923" s="129" t="s">
        <v>3286</v>
      </c>
      <c r="C1923" s="122" t="s">
        <v>3287</v>
      </c>
      <c r="D1923" s="122">
        <v>5.8</v>
      </c>
      <c r="E1923" s="122">
        <v>0.05</v>
      </c>
    </row>
    <row r="1924" spans="2:5" x14ac:dyDescent="0.2">
      <c r="B1924" s="129" t="s">
        <v>4642</v>
      </c>
      <c r="C1924" s="122" t="s">
        <v>4643</v>
      </c>
      <c r="D1924" s="122"/>
      <c r="E1924" s="122"/>
    </row>
    <row r="1925" spans="2:5" x14ac:dyDescent="0.2">
      <c r="B1925" s="129" t="s">
        <v>3288</v>
      </c>
      <c r="C1925" s="122" t="s">
        <v>3289</v>
      </c>
      <c r="D1925" s="122">
        <v>9.6999999999999993</v>
      </c>
      <c r="E1925" s="122">
        <v>0.05</v>
      </c>
    </row>
    <row r="1926" spans="2:5" x14ac:dyDescent="0.2">
      <c r="B1926" s="129" t="s">
        <v>3290</v>
      </c>
      <c r="C1926" s="122" t="s">
        <v>3291</v>
      </c>
      <c r="D1926" s="122">
        <v>26.95</v>
      </c>
      <c r="E1926" s="122">
        <v>0.26</v>
      </c>
    </row>
    <row r="1927" spans="2:5" x14ac:dyDescent="0.2">
      <c r="B1927" s="129" t="s">
        <v>3292</v>
      </c>
      <c r="C1927" s="122" t="s">
        <v>3293</v>
      </c>
      <c r="D1927" s="122">
        <v>2.54</v>
      </c>
      <c r="E1927" s="122">
        <v>0.02</v>
      </c>
    </row>
    <row r="1928" spans="2:5" x14ac:dyDescent="0.2">
      <c r="B1928" s="129" t="s">
        <v>3294</v>
      </c>
      <c r="C1928" s="122" t="s">
        <v>3295</v>
      </c>
      <c r="D1928" s="122"/>
      <c r="E1928" s="122"/>
    </row>
    <row r="1929" spans="2:5" x14ac:dyDescent="0.2">
      <c r="B1929" s="129" t="s">
        <v>3296</v>
      </c>
      <c r="C1929" s="122" t="s">
        <v>3297</v>
      </c>
      <c r="D1929" s="122">
        <v>8.52</v>
      </c>
      <c r="E1929" s="122">
        <v>7.0000000000000007E-2</v>
      </c>
    </row>
    <row r="1930" spans="2:5" x14ac:dyDescent="0.2">
      <c r="B1930" s="129" t="s">
        <v>3298</v>
      </c>
      <c r="C1930" s="122" t="s">
        <v>3299</v>
      </c>
      <c r="D1930" s="122">
        <v>16.149999999999999</v>
      </c>
      <c r="E1930" s="122">
        <v>0.14000000000000001</v>
      </c>
    </row>
    <row r="1931" spans="2:5" x14ac:dyDescent="0.2">
      <c r="B1931" s="129" t="s">
        <v>3300</v>
      </c>
      <c r="C1931" s="122" t="s">
        <v>3301</v>
      </c>
      <c r="D1931" s="122">
        <v>31.32</v>
      </c>
      <c r="E1931" s="122">
        <v>0.28000000000000003</v>
      </c>
    </row>
    <row r="1932" spans="2:5" x14ac:dyDescent="0.2">
      <c r="B1932" s="129" t="s">
        <v>3302</v>
      </c>
      <c r="C1932" s="122" t="s">
        <v>3303</v>
      </c>
      <c r="D1932" s="122">
        <v>1.88</v>
      </c>
      <c r="E1932" s="122">
        <v>0.02</v>
      </c>
    </row>
    <row r="1933" spans="2:5" x14ac:dyDescent="0.2">
      <c r="B1933" s="129" t="s">
        <v>3304</v>
      </c>
      <c r="C1933" s="122" t="s">
        <v>3305</v>
      </c>
      <c r="D1933" s="122">
        <v>3.56</v>
      </c>
      <c r="E1933" s="122">
        <v>0.04</v>
      </c>
    </row>
    <row r="1934" spans="2:5" x14ac:dyDescent="0.2">
      <c r="B1934" s="129" t="s">
        <v>3306</v>
      </c>
      <c r="C1934" s="122" t="s">
        <v>3307</v>
      </c>
      <c r="D1934" s="122"/>
      <c r="E1934" s="122"/>
    </row>
    <row r="1935" spans="2:5" x14ac:dyDescent="0.2">
      <c r="B1935" s="129" t="s">
        <v>3308</v>
      </c>
      <c r="C1935" s="122" t="s">
        <v>3309</v>
      </c>
      <c r="D1935" s="122">
        <v>41.8</v>
      </c>
      <c r="E1935" s="122">
        <v>0.36</v>
      </c>
    </row>
    <row r="1936" spans="2:5" x14ac:dyDescent="0.2">
      <c r="B1936" s="129" t="s">
        <v>3310</v>
      </c>
      <c r="C1936" s="122" t="s">
        <v>3311</v>
      </c>
      <c r="D1936" s="122">
        <v>9.25</v>
      </c>
      <c r="E1936" s="122">
        <v>0.08</v>
      </c>
    </row>
    <row r="1937" spans="2:5" x14ac:dyDescent="0.2">
      <c r="B1937" s="129" t="s">
        <v>4644</v>
      </c>
      <c r="C1937" s="122" t="s">
        <v>4645</v>
      </c>
      <c r="D1937" s="122"/>
      <c r="E1937" s="122"/>
    </row>
    <row r="1938" spans="2:5" x14ac:dyDescent="0.2">
      <c r="B1938" s="129" t="s">
        <v>3312</v>
      </c>
      <c r="C1938" s="122" t="s">
        <v>3313</v>
      </c>
      <c r="D1938" s="122">
        <v>53.21</v>
      </c>
      <c r="E1938" s="122">
        <v>0.5</v>
      </c>
    </row>
    <row r="1939" spans="2:5" x14ac:dyDescent="0.2">
      <c r="B1939" s="129" t="s">
        <v>3314</v>
      </c>
      <c r="C1939" s="122" t="s">
        <v>3315</v>
      </c>
      <c r="D1939" s="122">
        <v>7.02</v>
      </c>
      <c r="E1939" s="122">
        <v>0.02</v>
      </c>
    </row>
    <row r="1940" spans="2:5" x14ac:dyDescent="0.2">
      <c r="B1940" s="129" t="s">
        <v>3316</v>
      </c>
      <c r="C1940" s="122" t="s">
        <v>3317</v>
      </c>
      <c r="D1940" s="122">
        <v>24.71</v>
      </c>
      <c r="E1940" s="122">
        <v>0.19</v>
      </c>
    </row>
    <row r="1941" spans="2:5" x14ac:dyDescent="0.2">
      <c r="B1941" s="129" t="s">
        <v>3318</v>
      </c>
      <c r="C1941" s="122" t="s">
        <v>3319</v>
      </c>
      <c r="D1941" s="122">
        <v>13.39</v>
      </c>
      <c r="E1941" s="122">
        <v>0.05</v>
      </c>
    </row>
    <row r="1942" spans="2:5" x14ac:dyDescent="0.2">
      <c r="B1942" s="129" t="s">
        <v>4646</v>
      </c>
      <c r="C1942" s="122" t="s">
        <v>4647</v>
      </c>
      <c r="D1942" s="122"/>
      <c r="E1942" s="122">
        <v>7.0000000000000007E-2</v>
      </c>
    </row>
    <row r="1943" spans="2:5" x14ac:dyDescent="0.2">
      <c r="B1943" s="129" t="s">
        <v>4648</v>
      </c>
      <c r="C1943" s="122" t="s">
        <v>4649</v>
      </c>
      <c r="D1943" s="122">
        <v>7.61</v>
      </c>
      <c r="E1943" s="122">
        <v>0.06</v>
      </c>
    </row>
    <row r="1944" spans="2:5" x14ac:dyDescent="0.2">
      <c r="B1944" s="129" t="s">
        <v>3320</v>
      </c>
      <c r="C1944" s="122" t="s">
        <v>3321</v>
      </c>
      <c r="D1944" s="122">
        <v>31.79</v>
      </c>
      <c r="E1944" s="122">
        <v>0.27</v>
      </c>
    </row>
    <row r="1945" spans="2:5" x14ac:dyDescent="0.2">
      <c r="B1945" s="129" t="s">
        <v>3322</v>
      </c>
      <c r="C1945" s="122" t="s">
        <v>3323</v>
      </c>
      <c r="D1945" s="122"/>
      <c r="E1945" s="122"/>
    </row>
    <row r="1946" spans="2:5" x14ac:dyDescent="0.2">
      <c r="B1946" s="129" t="s">
        <v>3324</v>
      </c>
      <c r="C1946" s="122" t="s">
        <v>3325</v>
      </c>
      <c r="D1946" s="122">
        <v>-5.25</v>
      </c>
      <c r="E1946" s="122">
        <v>0.06</v>
      </c>
    </row>
    <row r="1947" spans="2:5" x14ac:dyDescent="0.2">
      <c r="B1947" s="129" t="s">
        <v>3326</v>
      </c>
      <c r="C1947" s="122" t="s">
        <v>3327</v>
      </c>
      <c r="D1947" s="122">
        <v>25.19</v>
      </c>
      <c r="E1947" s="122">
        <v>-7.0000000000000007E-2</v>
      </c>
    </row>
    <row r="1948" spans="2:5" x14ac:dyDescent="0.2">
      <c r="B1948" s="129" t="s">
        <v>3328</v>
      </c>
      <c r="C1948" s="122" t="s">
        <v>3329</v>
      </c>
      <c r="D1948" s="122">
        <v>10.96</v>
      </c>
      <c r="E1948" s="122">
        <v>0.09</v>
      </c>
    </row>
    <row r="1949" spans="2:5" x14ac:dyDescent="0.2">
      <c r="B1949" s="129" t="s">
        <v>4650</v>
      </c>
      <c r="C1949" s="122" t="s">
        <v>4651</v>
      </c>
      <c r="D1949" s="122"/>
      <c r="E1949" s="122"/>
    </row>
    <row r="1950" spans="2:5" x14ac:dyDescent="0.2">
      <c r="B1950" s="129" t="s">
        <v>3332</v>
      </c>
      <c r="C1950" s="122" t="s">
        <v>4652</v>
      </c>
      <c r="D1950" s="122">
        <v>13.34</v>
      </c>
      <c r="E1950" s="122">
        <v>0.13</v>
      </c>
    </row>
    <row r="1951" spans="2:5" x14ac:dyDescent="0.2">
      <c r="B1951" s="129" t="s">
        <v>4653</v>
      </c>
      <c r="C1951" s="122" t="s">
        <v>4654</v>
      </c>
      <c r="D1951" s="122"/>
      <c r="E1951" s="122"/>
    </row>
    <row r="1952" spans="2:5" x14ac:dyDescent="0.2">
      <c r="B1952" s="129" t="s">
        <v>3332</v>
      </c>
      <c r="C1952" s="122" t="s">
        <v>3333</v>
      </c>
      <c r="D1952" s="122">
        <v>13.34</v>
      </c>
      <c r="E1952" s="122">
        <v>0.13</v>
      </c>
    </row>
    <row r="1953" spans="2:5" x14ac:dyDescent="0.2">
      <c r="B1953" s="129" t="s">
        <v>3334</v>
      </c>
      <c r="C1953" s="122" t="s">
        <v>3335</v>
      </c>
      <c r="D1953" s="122">
        <v>13.82</v>
      </c>
      <c r="E1953" s="122">
        <v>0</v>
      </c>
    </row>
    <row r="1954" spans="2:5" x14ac:dyDescent="0.2">
      <c r="B1954" s="129" t="s">
        <v>3336</v>
      </c>
      <c r="C1954" s="122" t="s">
        <v>3337</v>
      </c>
      <c r="D1954" s="122">
        <v>64.39</v>
      </c>
      <c r="E1954" s="122">
        <v>0.57999999999999996</v>
      </c>
    </row>
    <row r="1955" spans="2:5" x14ac:dyDescent="0.2">
      <c r="B1955" s="129" t="s">
        <v>3338</v>
      </c>
      <c r="C1955" s="122" t="s">
        <v>3339</v>
      </c>
      <c r="D1955" s="122">
        <v>3.74</v>
      </c>
      <c r="E1955" s="122">
        <v>0.03</v>
      </c>
    </row>
    <row r="1956" spans="2:5" x14ac:dyDescent="0.2">
      <c r="B1956" s="129" t="s">
        <v>3340</v>
      </c>
      <c r="C1956" s="122" t="s">
        <v>3341</v>
      </c>
      <c r="D1956" s="122">
        <v>27.2</v>
      </c>
      <c r="E1956" s="122">
        <v>0.15</v>
      </c>
    </row>
    <row r="1957" spans="2:5" x14ac:dyDescent="0.2">
      <c r="B1957" s="129" t="s">
        <v>3342</v>
      </c>
      <c r="C1957" s="122" t="s">
        <v>3343</v>
      </c>
      <c r="D1957" s="122">
        <v>16.91</v>
      </c>
      <c r="E1957" s="122">
        <v>0.21</v>
      </c>
    </row>
    <row r="1958" spans="2:5" x14ac:dyDescent="0.2">
      <c r="B1958" s="129" t="s">
        <v>3344</v>
      </c>
      <c r="C1958" s="122" t="s">
        <v>3345</v>
      </c>
      <c r="D1958" s="122"/>
      <c r="E1958" s="122">
        <v>0.01</v>
      </c>
    </row>
    <row r="1959" spans="2:5" x14ac:dyDescent="0.2">
      <c r="B1959" s="129" t="s">
        <v>3346</v>
      </c>
      <c r="C1959" s="122" t="s">
        <v>3347</v>
      </c>
      <c r="D1959" s="122"/>
      <c r="E1959" s="122">
        <v>0.03</v>
      </c>
    </row>
    <row r="1960" spans="2:5" x14ac:dyDescent="0.2">
      <c r="B1960" s="129" t="s">
        <v>3348</v>
      </c>
      <c r="C1960" s="122" t="s">
        <v>3349</v>
      </c>
      <c r="D1960" s="122">
        <v>2.2400000000000002</v>
      </c>
      <c r="E1960" s="122">
        <v>0.03</v>
      </c>
    </row>
    <row r="1961" spans="2:5" x14ac:dyDescent="0.2">
      <c r="B1961" s="129" t="s">
        <v>3350</v>
      </c>
      <c r="C1961" s="122" t="s">
        <v>3351</v>
      </c>
      <c r="D1961" s="122">
        <v>3.91</v>
      </c>
      <c r="E1961" s="122"/>
    </row>
    <row r="1962" spans="2:5" x14ac:dyDescent="0.2">
      <c r="B1962" s="129" t="s">
        <v>3352</v>
      </c>
      <c r="C1962" s="122" t="s">
        <v>3353</v>
      </c>
      <c r="D1962" s="122">
        <v>8.74</v>
      </c>
      <c r="E1962" s="122">
        <v>0.06</v>
      </c>
    </row>
    <row r="1963" spans="2:5" x14ac:dyDescent="0.2">
      <c r="B1963" s="129" t="s">
        <v>3354</v>
      </c>
      <c r="C1963" s="122" t="s">
        <v>3355</v>
      </c>
      <c r="D1963" s="122">
        <v>27.81</v>
      </c>
      <c r="E1963" s="122">
        <v>0.2</v>
      </c>
    </row>
    <row r="1964" spans="2:5" x14ac:dyDescent="0.2">
      <c r="B1964" s="129" t="s">
        <v>3356</v>
      </c>
      <c r="C1964" s="122" t="s">
        <v>3357</v>
      </c>
      <c r="D1964" s="122">
        <v>12.45</v>
      </c>
      <c r="E1964" s="122">
        <v>0.12</v>
      </c>
    </row>
    <row r="1965" spans="2:5" x14ac:dyDescent="0.2">
      <c r="B1965" s="129" t="s">
        <v>3360</v>
      </c>
      <c r="C1965" s="122" t="s">
        <v>3361</v>
      </c>
      <c r="D1965" s="122">
        <v>28.31</v>
      </c>
      <c r="E1965" s="122">
        <v>0.27</v>
      </c>
    </row>
    <row r="1966" spans="2:5" x14ac:dyDescent="0.2">
      <c r="B1966" s="129" t="s">
        <v>3362</v>
      </c>
      <c r="C1966" s="122" t="s">
        <v>3363</v>
      </c>
      <c r="D1966" s="122">
        <v>19.62</v>
      </c>
      <c r="E1966" s="122">
        <v>0.21</v>
      </c>
    </row>
    <row r="1967" spans="2:5" x14ac:dyDescent="0.2">
      <c r="B1967" s="129" t="s">
        <v>3364</v>
      </c>
      <c r="C1967" s="122" t="s">
        <v>3365</v>
      </c>
      <c r="D1967" s="122">
        <v>3.08</v>
      </c>
      <c r="E1967" s="122">
        <v>0.5</v>
      </c>
    </row>
    <row r="1968" spans="2:5" x14ac:dyDescent="0.2">
      <c r="B1968" s="129" t="s">
        <v>4655</v>
      </c>
      <c r="C1968" s="122" t="s">
        <v>4656</v>
      </c>
      <c r="D1968" s="122"/>
      <c r="E1968" s="122"/>
    </row>
    <row r="1969" spans="2:5" x14ac:dyDescent="0.2">
      <c r="B1969" s="129" t="s">
        <v>3366</v>
      </c>
      <c r="C1969" s="122" t="s">
        <v>3367</v>
      </c>
      <c r="D1969" s="122"/>
      <c r="E1969" s="122">
        <v>-0.19</v>
      </c>
    </row>
    <row r="1970" spans="2:5" x14ac:dyDescent="0.2">
      <c r="B1970" s="129" t="s">
        <v>4657</v>
      </c>
      <c r="C1970" s="122" t="s">
        <v>4658</v>
      </c>
      <c r="D1970" s="122"/>
      <c r="E1970" s="122"/>
    </row>
    <row r="1971" spans="2:5" x14ac:dyDescent="0.2">
      <c r="B1971" s="129" t="s">
        <v>3368</v>
      </c>
      <c r="C1971" s="122" t="s">
        <v>3369</v>
      </c>
      <c r="D1971" s="122"/>
      <c r="E1971" s="122">
        <v>0.2</v>
      </c>
    </row>
    <row r="1972" spans="2:5" x14ac:dyDescent="0.2">
      <c r="B1972" s="129" t="s">
        <v>3370</v>
      </c>
      <c r="C1972" s="122" t="s">
        <v>3371</v>
      </c>
      <c r="D1972" s="122">
        <v>9.1300000000000008</v>
      </c>
      <c r="E1972" s="122">
        <v>0.1</v>
      </c>
    </row>
    <row r="1973" spans="2:5" x14ac:dyDescent="0.2">
      <c r="B1973" s="129" t="s">
        <v>3372</v>
      </c>
      <c r="C1973" s="122" t="s">
        <v>3373</v>
      </c>
      <c r="D1973" s="122">
        <v>17.89</v>
      </c>
      <c r="E1973" s="122">
        <v>0.05</v>
      </c>
    </row>
    <row r="1974" spans="2:5" x14ac:dyDescent="0.2">
      <c r="B1974" s="129" t="s">
        <v>3374</v>
      </c>
      <c r="C1974" s="122" t="s">
        <v>3375</v>
      </c>
      <c r="D1974" s="122">
        <v>28.51</v>
      </c>
      <c r="E1974" s="122">
        <v>0.25</v>
      </c>
    </row>
    <row r="1975" spans="2:5" x14ac:dyDescent="0.2">
      <c r="B1975" s="129" t="s">
        <v>3376</v>
      </c>
      <c r="C1975" s="122" t="s">
        <v>3377</v>
      </c>
      <c r="D1975" s="122">
        <v>53.72</v>
      </c>
      <c r="E1975" s="122">
        <v>0.48</v>
      </c>
    </row>
    <row r="1976" spans="2:5" x14ac:dyDescent="0.2">
      <c r="B1976" s="129" t="s">
        <v>3378</v>
      </c>
      <c r="C1976" s="122" t="s">
        <v>3379</v>
      </c>
      <c r="D1976" s="122">
        <v>35.950000000000003</v>
      </c>
      <c r="E1976" s="122">
        <v>0.69</v>
      </c>
    </row>
    <row r="1977" spans="2:5" x14ac:dyDescent="0.2">
      <c r="B1977" s="129" t="s">
        <v>3380</v>
      </c>
      <c r="C1977" s="122" t="s">
        <v>3381</v>
      </c>
      <c r="D1977" s="122">
        <v>1.1399999999999999</v>
      </c>
      <c r="E1977" s="122">
        <v>-0.03</v>
      </c>
    </row>
    <row r="1978" spans="2:5" x14ac:dyDescent="0.2">
      <c r="B1978" s="129" t="s">
        <v>3382</v>
      </c>
      <c r="C1978" s="122" t="s">
        <v>3383</v>
      </c>
      <c r="D1978" s="122">
        <v>18.43</v>
      </c>
      <c r="E1978" s="122">
        <v>0.14000000000000001</v>
      </c>
    </row>
    <row r="1979" spans="2:5" x14ac:dyDescent="0.2">
      <c r="B1979" s="129" t="s">
        <v>3384</v>
      </c>
      <c r="C1979" s="122" t="s">
        <v>3385</v>
      </c>
      <c r="D1979" s="122">
        <v>5.2</v>
      </c>
      <c r="E1979" s="122">
        <v>-0.01</v>
      </c>
    </row>
    <row r="1980" spans="2:5" x14ac:dyDescent="0.2">
      <c r="B1980" s="129" t="s">
        <v>4659</v>
      </c>
      <c r="C1980" s="122" t="s">
        <v>4660</v>
      </c>
      <c r="D1980" s="122"/>
      <c r="E1980" s="122"/>
    </row>
    <row r="1981" spans="2:5" x14ac:dyDescent="0.2">
      <c r="B1981" s="129" t="s">
        <v>3386</v>
      </c>
      <c r="C1981" s="122" t="s">
        <v>3387</v>
      </c>
      <c r="D1981" s="122">
        <v>13.34</v>
      </c>
      <c r="E1981" s="122">
        <v>0.11</v>
      </c>
    </row>
    <row r="1982" spans="2:5" x14ac:dyDescent="0.2">
      <c r="B1982" s="129" t="s">
        <v>3388</v>
      </c>
      <c r="C1982" s="122" t="s">
        <v>3389</v>
      </c>
      <c r="D1982" s="122">
        <v>10.74</v>
      </c>
      <c r="E1982" s="122">
        <v>7.0000000000000007E-2</v>
      </c>
    </row>
    <row r="1983" spans="2:5" x14ac:dyDescent="0.2">
      <c r="B1983" s="129" t="s">
        <v>3390</v>
      </c>
      <c r="C1983" s="122" t="s">
        <v>3391</v>
      </c>
      <c r="D1983" s="122">
        <v>4.8499999999999996</v>
      </c>
      <c r="E1983" s="122">
        <v>0.05</v>
      </c>
    </row>
    <row r="1984" spans="2:5" x14ac:dyDescent="0.2">
      <c r="B1984" s="129" t="s">
        <v>4661</v>
      </c>
      <c r="C1984" s="122" t="s">
        <v>4662</v>
      </c>
      <c r="D1984" s="122">
        <v>5.13</v>
      </c>
      <c r="E1984" s="122">
        <v>7.0000000000000007E-2</v>
      </c>
    </row>
    <row r="1985" spans="2:5" x14ac:dyDescent="0.2">
      <c r="B1985" s="129" t="s">
        <v>4663</v>
      </c>
      <c r="C1985" s="122" t="s">
        <v>4664</v>
      </c>
      <c r="D1985" s="122"/>
      <c r="E1985" s="122"/>
    </row>
    <row r="1986" spans="2:5" x14ac:dyDescent="0.2">
      <c r="B1986" s="129" t="s">
        <v>3392</v>
      </c>
      <c r="C1986" s="122" t="s">
        <v>3393</v>
      </c>
      <c r="D1986" s="122">
        <v>15.06</v>
      </c>
      <c r="E1986" s="122">
        <v>0.12</v>
      </c>
    </row>
    <row r="1987" spans="2:5" x14ac:dyDescent="0.2">
      <c r="B1987" s="129" t="s">
        <v>3394</v>
      </c>
      <c r="C1987" s="122" t="s">
        <v>3395</v>
      </c>
      <c r="D1987" s="122">
        <v>-6.1</v>
      </c>
      <c r="E1987" s="122">
        <v>-7.0000000000000007E-2</v>
      </c>
    </row>
    <row r="1988" spans="2:5" x14ac:dyDescent="0.2">
      <c r="B1988" s="129" t="s">
        <v>3396</v>
      </c>
      <c r="C1988" s="122" t="s">
        <v>3397</v>
      </c>
      <c r="D1988" s="122">
        <v>8.7899999999999991</v>
      </c>
      <c r="E1988" s="122">
        <v>7.0000000000000007E-2</v>
      </c>
    </row>
    <row r="1989" spans="2:5" x14ac:dyDescent="0.2">
      <c r="B1989" s="129" t="s">
        <v>3398</v>
      </c>
      <c r="C1989" s="122" t="s">
        <v>3399</v>
      </c>
      <c r="D1989" s="122">
        <v>46.14</v>
      </c>
      <c r="E1989" s="122">
        <v>0.4</v>
      </c>
    </row>
    <row r="1990" spans="2:5" x14ac:dyDescent="0.2">
      <c r="B1990" s="129" t="s">
        <v>3400</v>
      </c>
      <c r="C1990" s="122" t="s">
        <v>3401</v>
      </c>
      <c r="D1990" s="122">
        <v>26.14</v>
      </c>
      <c r="E1990" s="122">
        <v>0.25</v>
      </c>
    </row>
    <row r="1991" spans="2:5" x14ac:dyDescent="0.2">
      <c r="B1991" s="129" t="s">
        <v>3402</v>
      </c>
      <c r="C1991" s="122" t="s">
        <v>3403</v>
      </c>
      <c r="D1991" s="122">
        <v>36.119999999999997</v>
      </c>
      <c r="E1991" s="122">
        <v>0.33</v>
      </c>
    </row>
    <row r="1992" spans="2:5" x14ac:dyDescent="0.2">
      <c r="B1992" s="129" t="s">
        <v>4665</v>
      </c>
      <c r="C1992" s="122" t="s">
        <v>4666</v>
      </c>
      <c r="D1992" s="122">
        <v>4.18</v>
      </c>
      <c r="E1992" s="122"/>
    </row>
    <row r="1993" spans="2:5" x14ac:dyDescent="0.2">
      <c r="B1993" s="129" t="s">
        <v>3404</v>
      </c>
      <c r="C1993" s="122" t="s">
        <v>3405</v>
      </c>
      <c r="D1993" s="122">
        <v>9.7899999999999991</v>
      </c>
      <c r="E1993" s="122">
        <v>0.1</v>
      </c>
    </row>
    <row r="1994" spans="2:5" x14ac:dyDescent="0.2">
      <c r="B1994" s="129" t="s">
        <v>3406</v>
      </c>
      <c r="C1994" s="122" t="s">
        <v>3407</v>
      </c>
      <c r="D1994" s="122"/>
      <c r="E1994" s="122">
        <v>0.21</v>
      </c>
    </row>
    <row r="1995" spans="2:5" x14ac:dyDescent="0.2">
      <c r="B1995" s="129" t="s">
        <v>3408</v>
      </c>
      <c r="C1995" s="122" t="s">
        <v>3409</v>
      </c>
      <c r="D1995" s="122">
        <v>31.02</v>
      </c>
      <c r="E1995" s="122">
        <v>0.27</v>
      </c>
    </row>
    <row r="1996" spans="2:5" x14ac:dyDescent="0.2">
      <c r="B1996" s="129" t="s">
        <v>4667</v>
      </c>
      <c r="C1996" s="122" t="s">
        <v>4668</v>
      </c>
      <c r="D1996" s="122"/>
      <c r="E1996" s="122"/>
    </row>
    <row r="1997" spans="2:5" x14ac:dyDescent="0.2">
      <c r="B1997" s="129" t="s">
        <v>3410</v>
      </c>
      <c r="C1997" s="122" t="s">
        <v>3411</v>
      </c>
      <c r="D1997" s="122">
        <v>2.61</v>
      </c>
      <c r="E1997" s="122">
        <v>0.02</v>
      </c>
    </row>
    <row r="1998" spans="2:5" x14ac:dyDescent="0.2">
      <c r="B1998" s="129" t="s">
        <v>3412</v>
      </c>
      <c r="C1998" s="122" t="s">
        <v>3413</v>
      </c>
      <c r="D1998" s="122">
        <v>13.44</v>
      </c>
      <c r="E1998" s="122">
        <v>0.11</v>
      </c>
    </row>
    <row r="1999" spans="2:5" x14ac:dyDescent="0.2">
      <c r="B1999" s="129" t="s">
        <v>3414</v>
      </c>
      <c r="C1999" s="122" t="s">
        <v>3415</v>
      </c>
      <c r="D1999" s="122">
        <v>11.94</v>
      </c>
      <c r="E1999" s="122">
        <v>-0.15</v>
      </c>
    </row>
    <row r="2000" spans="2:5" x14ac:dyDescent="0.2">
      <c r="B2000" s="129" t="s">
        <v>3416</v>
      </c>
      <c r="C2000" s="122" t="s">
        <v>3417</v>
      </c>
      <c r="D2000" s="122">
        <v>8.6199999999999992</v>
      </c>
      <c r="E2000" s="122">
        <v>-0.05</v>
      </c>
    </row>
    <row r="2001" spans="2:5" x14ac:dyDescent="0.2">
      <c r="B2001" s="129" t="s">
        <v>3418</v>
      </c>
      <c r="C2001" s="122" t="s">
        <v>3419</v>
      </c>
      <c r="D2001" s="122">
        <v>14.24</v>
      </c>
      <c r="E2001" s="122">
        <v>0.14000000000000001</v>
      </c>
    </row>
    <row r="2002" spans="2:5" x14ac:dyDescent="0.2">
      <c r="B2002" s="129" t="s">
        <v>3420</v>
      </c>
      <c r="C2002" s="122" t="s">
        <v>3421</v>
      </c>
      <c r="D2002" s="122"/>
      <c r="E2002" s="122">
        <v>0.01</v>
      </c>
    </row>
    <row r="2003" spans="2:5" x14ac:dyDescent="0.2">
      <c r="B2003" s="129" t="s">
        <v>4669</v>
      </c>
      <c r="C2003" s="122" t="s">
        <v>4670</v>
      </c>
      <c r="D2003" s="122"/>
      <c r="E2003" s="122"/>
    </row>
    <row r="2004" spans="2:5" x14ac:dyDescent="0.2">
      <c r="B2004" s="129" t="s">
        <v>3422</v>
      </c>
      <c r="C2004" s="122" t="s">
        <v>3423</v>
      </c>
      <c r="D2004" s="122">
        <v>14</v>
      </c>
      <c r="E2004" s="122">
        <v>0.17</v>
      </c>
    </row>
    <row r="2005" spans="2:5" x14ac:dyDescent="0.2">
      <c r="B2005" s="129" t="s">
        <v>3424</v>
      </c>
      <c r="C2005" s="122" t="s">
        <v>3425</v>
      </c>
      <c r="D2005" s="122">
        <v>9.59</v>
      </c>
      <c r="E2005" s="122">
        <v>0.28999999999999998</v>
      </c>
    </row>
    <row r="2006" spans="2:5" x14ac:dyDescent="0.2">
      <c r="B2006" s="129" t="s">
        <v>3426</v>
      </c>
      <c r="C2006" s="122" t="s">
        <v>3427</v>
      </c>
      <c r="D2006" s="122">
        <v>21.45</v>
      </c>
      <c r="E2006" s="122">
        <v>0.19</v>
      </c>
    </row>
    <row r="2007" spans="2:5" x14ac:dyDescent="0.2">
      <c r="B2007" s="129" t="s">
        <v>3428</v>
      </c>
      <c r="C2007" s="122" t="s">
        <v>3429</v>
      </c>
      <c r="D2007" s="122">
        <v>22.78</v>
      </c>
      <c r="E2007" s="122">
        <v>0.11</v>
      </c>
    </row>
    <row r="2008" spans="2:5" x14ac:dyDescent="0.2">
      <c r="B2008" s="129" t="s">
        <v>3430</v>
      </c>
      <c r="C2008" s="122" t="s">
        <v>3431</v>
      </c>
      <c r="D2008" s="122">
        <v>26.42</v>
      </c>
      <c r="E2008" s="122">
        <v>0.18</v>
      </c>
    </row>
    <row r="2009" spans="2:5" x14ac:dyDescent="0.2">
      <c r="B2009" s="129" t="s">
        <v>3432</v>
      </c>
      <c r="C2009" s="122" t="s">
        <v>3433</v>
      </c>
      <c r="D2009" s="122">
        <v>28.03</v>
      </c>
      <c r="E2009" s="122">
        <v>0.22</v>
      </c>
    </row>
    <row r="2010" spans="2:5" x14ac:dyDescent="0.2">
      <c r="B2010" s="129" t="s">
        <v>3434</v>
      </c>
      <c r="C2010" s="122" t="s">
        <v>3435</v>
      </c>
      <c r="D2010" s="122">
        <v>12.9</v>
      </c>
      <c r="E2010" s="122">
        <v>0.09</v>
      </c>
    </row>
    <row r="2011" spans="2:5" x14ac:dyDescent="0.2">
      <c r="B2011" s="129" t="s">
        <v>3436</v>
      </c>
      <c r="C2011" s="122" t="s">
        <v>3437</v>
      </c>
      <c r="D2011" s="122">
        <v>5.07</v>
      </c>
      <c r="E2011" s="122">
        <v>-0.01</v>
      </c>
    </row>
    <row r="2012" spans="2:5" x14ac:dyDescent="0.2">
      <c r="B2012" s="129" t="s">
        <v>3438</v>
      </c>
      <c r="C2012" s="122" t="s">
        <v>3439</v>
      </c>
      <c r="D2012" s="122"/>
      <c r="E2012" s="122">
        <v>0.13</v>
      </c>
    </row>
    <row r="2013" spans="2:5" x14ac:dyDescent="0.2">
      <c r="B2013" s="129" t="s">
        <v>3440</v>
      </c>
      <c r="C2013" s="122" t="s">
        <v>3441</v>
      </c>
      <c r="D2013" s="122">
        <v>15.65</v>
      </c>
      <c r="E2013" s="122">
        <v>0.15</v>
      </c>
    </row>
    <row r="2014" spans="2:5" x14ac:dyDescent="0.2">
      <c r="B2014" s="129" t="s">
        <v>3442</v>
      </c>
      <c r="C2014" s="122" t="s">
        <v>3443</v>
      </c>
      <c r="D2014" s="122">
        <v>8.5399999999999991</v>
      </c>
      <c r="E2014" s="122">
        <v>-0.06</v>
      </c>
    </row>
    <row r="2015" spans="2:5" x14ac:dyDescent="0.2">
      <c r="B2015" s="129" t="s">
        <v>3444</v>
      </c>
      <c r="C2015" s="122" t="s">
        <v>3445</v>
      </c>
      <c r="D2015" s="122">
        <v>8.4499999999999993</v>
      </c>
      <c r="E2015" s="122">
        <v>7.0000000000000007E-2</v>
      </c>
    </row>
    <row r="2016" spans="2:5" x14ac:dyDescent="0.2">
      <c r="B2016" s="129" t="s">
        <v>3446</v>
      </c>
      <c r="C2016" s="122" t="s">
        <v>3447</v>
      </c>
      <c r="D2016" s="122">
        <v>8.08</v>
      </c>
      <c r="E2016" s="122">
        <v>0.12</v>
      </c>
    </row>
    <row r="2017" spans="2:5" x14ac:dyDescent="0.2">
      <c r="B2017" s="129" t="s">
        <v>4671</v>
      </c>
      <c r="C2017" s="122" t="s">
        <v>4672</v>
      </c>
      <c r="D2017" s="122">
        <v>2.79</v>
      </c>
      <c r="E2017" s="122">
        <v>0.03</v>
      </c>
    </row>
    <row r="2018" spans="2:5" x14ac:dyDescent="0.2">
      <c r="B2018" s="129" t="s">
        <v>3448</v>
      </c>
      <c r="C2018" s="122" t="s">
        <v>3449</v>
      </c>
      <c r="D2018" s="122">
        <v>15.34</v>
      </c>
      <c r="E2018" s="122">
        <v>0.08</v>
      </c>
    </row>
    <row r="2019" spans="2:5" x14ac:dyDescent="0.2">
      <c r="B2019" s="129" t="s">
        <v>4673</v>
      </c>
      <c r="C2019" s="122" t="s">
        <v>4674</v>
      </c>
      <c r="D2019" s="122"/>
      <c r="E2019" s="122"/>
    </row>
    <row r="2020" spans="2:5" x14ac:dyDescent="0.2">
      <c r="B2020" s="129" t="s">
        <v>3450</v>
      </c>
      <c r="C2020" s="122" t="s">
        <v>3451</v>
      </c>
      <c r="D2020" s="122">
        <v>12.09</v>
      </c>
      <c r="E2020" s="122">
        <v>0.13</v>
      </c>
    </row>
    <row r="2021" spans="2:5" x14ac:dyDescent="0.2">
      <c r="B2021" s="129" t="s">
        <v>3452</v>
      </c>
      <c r="C2021" s="122" t="s">
        <v>3453</v>
      </c>
      <c r="D2021" s="122">
        <v>12.32</v>
      </c>
      <c r="E2021" s="122">
        <v>-0.02</v>
      </c>
    </row>
    <row r="2022" spans="2:5" x14ac:dyDescent="0.2">
      <c r="B2022" s="129" t="s">
        <v>3454</v>
      </c>
      <c r="C2022" s="122" t="s">
        <v>3455</v>
      </c>
      <c r="D2022" s="122">
        <v>6.03</v>
      </c>
      <c r="E2022" s="122">
        <v>0.06</v>
      </c>
    </row>
    <row r="2023" spans="2:5" x14ac:dyDescent="0.2">
      <c r="B2023" s="129" t="s">
        <v>3456</v>
      </c>
      <c r="C2023" s="122" t="s">
        <v>21</v>
      </c>
      <c r="D2023" s="122">
        <v>2.74</v>
      </c>
      <c r="E2023" s="122">
        <v>0.01</v>
      </c>
    </row>
    <row r="2024" spans="2:5" x14ac:dyDescent="0.2">
      <c r="B2024" s="129" t="s">
        <v>4675</v>
      </c>
      <c r="C2024" s="122" t="s">
        <v>4676</v>
      </c>
      <c r="D2024" s="122">
        <v>2.0499999999999998</v>
      </c>
      <c r="E2024" s="122">
        <v>0.01</v>
      </c>
    </row>
    <row r="2025" spans="2:5" x14ac:dyDescent="0.2">
      <c r="B2025" s="129" t="s">
        <v>3457</v>
      </c>
      <c r="C2025" s="122" t="s">
        <v>3458</v>
      </c>
      <c r="D2025" s="122">
        <v>18.170000000000002</v>
      </c>
      <c r="E2025" s="122">
        <v>0.13</v>
      </c>
    </row>
    <row r="2026" spans="2:5" x14ac:dyDescent="0.2">
      <c r="B2026" s="129" t="s">
        <v>4677</v>
      </c>
      <c r="C2026" s="122" t="s">
        <v>4678</v>
      </c>
      <c r="D2026" s="122"/>
      <c r="E2026" s="122"/>
    </row>
    <row r="2027" spans="2:5" x14ac:dyDescent="0.2">
      <c r="B2027" s="129" t="s">
        <v>4679</v>
      </c>
      <c r="C2027" s="122" t="s">
        <v>4680</v>
      </c>
      <c r="D2027" s="122"/>
      <c r="E2027" s="122">
        <v>-0.35</v>
      </c>
    </row>
    <row r="2028" spans="2:5" x14ac:dyDescent="0.2">
      <c r="B2028" s="129" t="s">
        <v>3459</v>
      </c>
      <c r="C2028" s="122" t="s">
        <v>3460</v>
      </c>
      <c r="D2028" s="122">
        <v>38.36</v>
      </c>
      <c r="E2028" s="122">
        <v>0.46</v>
      </c>
    </row>
    <row r="2029" spans="2:5" x14ac:dyDescent="0.2">
      <c r="B2029" s="129" t="s">
        <v>3461</v>
      </c>
      <c r="C2029" s="122" t="s">
        <v>3462</v>
      </c>
      <c r="D2029" s="122">
        <v>21.74</v>
      </c>
      <c r="E2029" s="122">
        <v>0.54</v>
      </c>
    </row>
    <row r="2030" spans="2:5" x14ac:dyDescent="0.2">
      <c r="B2030" s="129" t="s">
        <v>3463</v>
      </c>
      <c r="C2030" s="122" t="s">
        <v>3464</v>
      </c>
      <c r="D2030" s="122"/>
      <c r="E2030" s="122">
        <v>7.0000000000000007E-2</v>
      </c>
    </row>
    <row r="2031" spans="2:5" x14ac:dyDescent="0.2">
      <c r="B2031" s="129" t="s">
        <v>3465</v>
      </c>
      <c r="C2031" s="122" t="s">
        <v>3466</v>
      </c>
      <c r="D2031" s="122">
        <v>4.66</v>
      </c>
      <c r="E2031" s="122">
        <v>7.0000000000000007E-2</v>
      </c>
    </row>
    <row r="2032" spans="2:5" x14ac:dyDescent="0.2">
      <c r="B2032" s="129" t="s">
        <v>3467</v>
      </c>
      <c r="C2032" s="122" t="s">
        <v>3468</v>
      </c>
      <c r="D2032" s="122">
        <v>8.06</v>
      </c>
      <c r="E2032" s="122">
        <v>0.08</v>
      </c>
    </row>
    <row r="2033" spans="2:5" x14ac:dyDescent="0.2">
      <c r="B2033" s="129" t="s">
        <v>3469</v>
      </c>
      <c r="C2033" s="122" t="s">
        <v>3470</v>
      </c>
      <c r="D2033" s="122">
        <v>48.3</v>
      </c>
      <c r="E2033" s="122">
        <v>0.62</v>
      </c>
    </row>
    <row r="2034" spans="2:5" x14ac:dyDescent="0.2">
      <c r="B2034" s="129" t="s">
        <v>3471</v>
      </c>
      <c r="C2034" s="122" t="s">
        <v>3472</v>
      </c>
      <c r="D2034" s="122">
        <v>5.84</v>
      </c>
      <c r="E2034" s="122">
        <v>0.12</v>
      </c>
    </row>
    <row r="2035" spans="2:5" x14ac:dyDescent="0.2">
      <c r="B2035" s="129" t="s">
        <v>4681</v>
      </c>
      <c r="C2035" s="122" t="s">
        <v>4682</v>
      </c>
      <c r="D2035" s="122">
        <v>7.16</v>
      </c>
      <c r="E2035" s="122">
        <v>7.0000000000000007E-2</v>
      </c>
    </row>
    <row r="2036" spans="2:5" x14ac:dyDescent="0.2">
      <c r="B2036" s="129" t="s">
        <v>3473</v>
      </c>
      <c r="C2036" s="122" t="s">
        <v>3474</v>
      </c>
      <c r="D2036" s="122">
        <v>6.55</v>
      </c>
      <c r="E2036" s="122">
        <v>0.06</v>
      </c>
    </row>
    <row r="2037" spans="2:5" x14ac:dyDescent="0.2">
      <c r="B2037" s="129" t="s">
        <v>3475</v>
      </c>
      <c r="C2037" s="122" t="s">
        <v>3476</v>
      </c>
      <c r="D2037" s="122">
        <v>5.17</v>
      </c>
      <c r="E2037" s="122">
        <v>0.05</v>
      </c>
    </row>
    <row r="2038" spans="2:5" x14ac:dyDescent="0.2">
      <c r="B2038" s="129" t="s">
        <v>3475</v>
      </c>
      <c r="C2038" s="122" t="s">
        <v>4683</v>
      </c>
      <c r="D2038" s="122">
        <v>5.17</v>
      </c>
      <c r="E2038" s="122">
        <v>0.05</v>
      </c>
    </row>
    <row r="2039" spans="2:5" x14ac:dyDescent="0.2">
      <c r="B2039" s="129" t="s">
        <v>3477</v>
      </c>
      <c r="C2039" s="122" t="s">
        <v>3478</v>
      </c>
      <c r="D2039" s="122">
        <v>13.32</v>
      </c>
      <c r="E2039" s="122">
        <v>0.12</v>
      </c>
    </row>
    <row r="2040" spans="2:5" x14ac:dyDescent="0.2">
      <c r="B2040" s="129" t="s">
        <v>3479</v>
      </c>
      <c r="C2040" s="122" t="s">
        <v>3480</v>
      </c>
      <c r="D2040" s="122">
        <v>24.71</v>
      </c>
      <c r="E2040" s="122">
        <v>0.22</v>
      </c>
    </row>
    <row r="2041" spans="2:5" x14ac:dyDescent="0.2">
      <c r="B2041" s="129" t="s">
        <v>4684</v>
      </c>
      <c r="C2041" s="122" t="s">
        <v>4685</v>
      </c>
      <c r="D2041" s="122"/>
      <c r="E2041" s="122">
        <v>0.15</v>
      </c>
    </row>
    <row r="2042" spans="2:5" x14ac:dyDescent="0.2">
      <c r="B2042" s="129" t="s">
        <v>4686</v>
      </c>
      <c r="C2042" s="122" t="s">
        <v>4687</v>
      </c>
      <c r="D2042" s="122">
        <v>-28.03</v>
      </c>
      <c r="E2042" s="122">
        <v>-0.38</v>
      </c>
    </row>
    <row r="2043" spans="2:5" x14ac:dyDescent="0.2">
      <c r="B2043" s="129" t="s">
        <v>3481</v>
      </c>
      <c r="C2043" s="122" t="s">
        <v>3482</v>
      </c>
      <c r="D2043" s="122">
        <v>29.34</v>
      </c>
      <c r="E2043" s="122">
        <v>0.23</v>
      </c>
    </row>
    <row r="2044" spans="2:5" x14ac:dyDescent="0.2">
      <c r="B2044" s="129" t="s">
        <v>3483</v>
      </c>
      <c r="C2044" s="122" t="s">
        <v>3484</v>
      </c>
      <c r="D2044" s="122">
        <v>8.42</v>
      </c>
      <c r="E2044" s="122">
        <v>0.08</v>
      </c>
    </row>
    <row r="2045" spans="2:5" x14ac:dyDescent="0.2">
      <c r="B2045" s="129" t="s">
        <v>3485</v>
      </c>
      <c r="C2045" s="122" t="s">
        <v>3486</v>
      </c>
      <c r="D2045" s="122">
        <v>15.11</v>
      </c>
      <c r="E2045" s="122">
        <v>0.15</v>
      </c>
    </row>
    <row r="2046" spans="2:5" x14ac:dyDescent="0.2">
      <c r="B2046" s="129" t="s">
        <v>3487</v>
      </c>
      <c r="C2046" s="122" t="s">
        <v>3488</v>
      </c>
      <c r="D2046" s="122">
        <v>42.49</v>
      </c>
      <c r="E2046" s="122">
        <v>0.16</v>
      </c>
    </row>
    <row r="2047" spans="2:5" x14ac:dyDescent="0.2">
      <c r="B2047" s="129" t="s">
        <v>3489</v>
      </c>
      <c r="C2047" s="122" t="s">
        <v>3490</v>
      </c>
      <c r="D2047" s="122">
        <v>11.27</v>
      </c>
      <c r="E2047" s="122">
        <v>0.08</v>
      </c>
    </row>
    <row r="2048" spans="2:5" x14ac:dyDescent="0.2">
      <c r="B2048" s="129" t="s">
        <v>3491</v>
      </c>
      <c r="C2048" s="122" t="s">
        <v>3492</v>
      </c>
      <c r="D2048" s="122">
        <v>8.09</v>
      </c>
      <c r="E2048" s="122">
        <v>0.11</v>
      </c>
    </row>
    <row r="2049" spans="2:5" x14ac:dyDescent="0.2">
      <c r="B2049" s="129" t="s">
        <v>4688</v>
      </c>
      <c r="C2049" s="122" t="s">
        <v>4689</v>
      </c>
      <c r="D2049" s="122"/>
      <c r="E2049" s="122"/>
    </row>
    <row r="2050" spans="2:5" x14ac:dyDescent="0.2">
      <c r="B2050" s="129" t="s">
        <v>4690</v>
      </c>
      <c r="C2050" s="122" t="s">
        <v>4691</v>
      </c>
      <c r="D2050" s="122"/>
      <c r="E2050" s="122"/>
    </row>
    <row r="2051" spans="2:5" x14ac:dyDescent="0.2">
      <c r="B2051" s="129" t="s">
        <v>3493</v>
      </c>
      <c r="C2051" s="122" t="s">
        <v>3494</v>
      </c>
      <c r="D2051" s="122">
        <v>7.08</v>
      </c>
      <c r="E2051" s="122">
        <v>0.1</v>
      </c>
    </row>
    <row r="2052" spans="2:5" x14ac:dyDescent="0.2">
      <c r="B2052" s="129" t="s">
        <v>3495</v>
      </c>
      <c r="C2052" s="122" t="s">
        <v>3496</v>
      </c>
      <c r="D2052" s="122">
        <v>12.63</v>
      </c>
      <c r="E2052" s="122">
        <v>0.17</v>
      </c>
    </row>
    <row r="2053" spans="2:5" x14ac:dyDescent="0.2">
      <c r="B2053" s="129" t="s">
        <v>4692</v>
      </c>
      <c r="C2053" s="122" t="s">
        <v>4693</v>
      </c>
      <c r="D2053" s="122"/>
      <c r="E2053" s="122"/>
    </row>
    <row r="2054" spans="2:5" x14ac:dyDescent="0.2">
      <c r="B2054" s="129" t="s">
        <v>3497</v>
      </c>
      <c r="C2054" s="122" t="s">
        <v>3498</v>
      </c>
      <c r="D2054" s="122">
        <v>9.2899999999999991</v>
      </c>
      <c r="E2054" s="122">
        <v>0.09</v>
      </c>
    </row>
    <row r="2055" spans="2:5" x14ac:dyDescent="0.2">
      <c r="B2055" s="129" t="s">
        <v>4694</v>
      </c>
      <c r="C2055" s="122" t="s">
        <v>4695</v>
      </c>
      <c r="D2055" s="122"/>
      <c r="E2055" s="122"/>
    </row>
    <row r="2056" spans="2:5" x14ac:dyDescent="0.2">
      <c r="B2056" s="129" t="s">
        <v>3499</v>
      </c>
      <c r="C2056" s="122" t="s">
        <v>3500</v>
      </c>
      <c r="D2056" s="122">
        <v>24.78</v>
      </c>
      <c r="E2056" s="122">
        <v>0.34</v>
      </c>
    </row>
    <row r="2057" spans="2:5" x14ac:dyDescent="0.2">
      <c r="B2057" s="129" t="s">
        <v>3501</v>
      </c>
      <c r="C2057" s="122" t="s">
        <v>3502</v>
      </c>
      <c r="D2057" s="122">
        <v>10.81</v>
      </c>
      <c r="E2057" s="122">
        <v>0.11</v>
      </c>
    </row>
    <row r="2058" spans="2:5" x14ac:dyDescent="0.2">
      <c r="B2058" s="129" t="s">
        <v>4696</v>
      </c>
      <c r="C2058" s="122" t="s">
        <v>4697</v>
      </c>
      <c r="D2058" s="122"/>
      <c r="E2058" s="122"/>
    </row>
    <row r="2059" spans="2:5" x14ac:dyDescent="0.2">
      <c r="B2059" s="129" t="s">
        <v>4698</v>
      </c>
      <c r="C2059" s="122" t="s">
        <v>4699</v>
      </c>
      <c r="D2059" s="122"/>
      <c r="E2059" s="122"/>
    </row>
    <row r="2060" spans="2:5" x14ac:dyDescent="0.2">
      <c r="B2060" s="129" t="s">
        <v>3503</v>
      </c>
      <c r="C2060" s="122" t="s">
        <v>3504</v>
      </c>
      <c r="D2060" s="122">
        <v>29.45</v>
      </c>
      <c r="E2060" s="122">
        <v>0.28999999999999998</v>
      </c>
    </row>
    <row r="2061" spans="2:5" x14ac:dyDescent="0.2">
      <c r="B2061" s="129" t="s">
        <v>4700</v>
      </c>
      <c r="C2061" s="122" t="s">
        <v>4701</v>
      </c>
      <c r="D2061" s="122"/>
      <c r="E2061" s="122"/>
    </row>
    <row r="2062" spans="2:5" x14ac:dyDescent="0.2">
      <c r="B2062" s="129" t="s">
        <v>4702</v>
      </c>
      <c r="C2062" s="122" t="s">
        <v>4703</v>
      </c>
      <c r="D2062" s="122"/>
      <c r="E2062" s="122"/>
    </row>
    <row r="2063" spans="2:5" x14ac:dyDescent="0.2">
      <c r="B2063" s="129" t="s">
        <v>3505</v>
      </c>
      <c r="C2063" s="122" t="s">
        <v>3506</v>
      </c>
      <c r="D2063" s="122"/>
      <c r="E2063" s="122">
        <v>0.05</v>
      </c>
    </row>
    <row r="2064" spans="2:5" x14ac:dyDescent="0.2">
      <c r="B2064" s="129" t="s">
        <v>3507</v>
      </c>
      <c r="C2064" s="122" t="s">
        <v>22</v>
      </c>
      <c r="D2064" s="122">
        <v>6.45</v>
      </c>
      <c r="E2064" s="122">
        <v>7.0000000000000007E-2</v>
      </c>
    </row>
    <row r="2065" spans="2:5" x14ac:dyDescent="0.2">
      <c r="B2065" s="129" t="s">
        <v>3508</v>
      </c>
      <c r="C2065" s="122" t="s">
        <v>3509</v>
      </c>
      <c r="D2065" s="122">
        <v>2.5099999999999998</v>
      </c>
      <c r="E2065" s="122">
        <v>0.02</v>
      </c>
    </row>
    <row r="2066" spans="2:5" x14ac:dyDescent="0.2">
      <c r="B2066" s="129" t="s">
        <v>3510</v>
      </c>
      <c r="C2066" s="122" t="s">
        <v>3511</v>
      </c>
      <c r="D2066" s="122">
        <v>11.99</v>
      </c>
      <c r="E2066" s="122">
        <v>-0.25</v>
      </c>
    </row>
    <row r="2067" spans="2:5" x14ac:dyDescent="0.2">
      <c r="B2067" s="129" t="s">
        <v>3512</v>
      </c>
      <c r="C2067" s="122" t="s">
        <v>3513</v>
      </c>
      <c r="D2067" s="122">
        <v>10.17</v>
      </c>
      <c r="E2067" s="122">
        <v>0.04</v>
      </c>
    </row>
    <row r="2068" spans="2:5" x14ac:dyDescent="0.2">
      <c r="B2068" s="129" t="s">
        <v>4704</v>
      </c>
      <c r="C2068" s="122" t="s">
        <v>4705</v>
      </c>
      <c r="D2068" s="122"/>
      <c r="E2068" s="122"/>
    </row>
    <row r="2069" spans="2:5" x14ac:dyDescent="0.2">
      <c r="B2069" s="129" t="s">
        <v>3514</v>
      </c>
      <c r="C2069" s="122" t="s">
        <v>3515</v>
      </c>
      <c r="D2069" s="122">
        <v>10.18</v>
      </c>
      <c r="E2069" s="122">
        <v>0.11</v>
      </c>
    </row>
    <row r="2070" spans="2:5" x14ac:dyDescent="0.2">
      <c r="B2070" s="129" t="s">
        <v>3516</v>
      </c>
      <c r="C2070" s="122" t="s">
        <v>3517</v>
      </c>
      <c r="D2070" s="122">
        <v>3.51</v>
      </c>
      <c r="E2070" s="122">
        <v>0.01</v>
      </c>
    </row>
    <row r="2071" spans="2:5" x14ac:dyDescent="0.2">
      <c r="B2071" s="129" t="s">
        <v>3518</v>
      </c>
      <c r="C2071" s="122" t="s">
        <v>3519</v>
      </c>
      <c r="D2071" s="122">
        <v>8.2899999999999991</v>
      </c>
      <c r="E2071" s="122">
        <v>0.08</v>
      </c>
    </row>
    <row r="2072" spans="2:5" x14ac:dyDescent="0.2">
      <c r="B2072" s="129" t="s">
        <v>3520</v>
      </c>
      <c r="C2072" s="122" t="s">
        <v>3521</v>
      </c>
      <c r="D2072" s="122">
        <v>5.39</v>
      </c>
      <c r="E2072" s="122">
        <v>0.06</v>
      </c>
    </row>
    <row r="2073" spans="2:5" x14ac:dyDescent="0.2">
      <c r="B2073" s="129" t="s">
        <v>4706</v>
      </c>
      <c r="C2073" s="122" t="s">
        <v>4707</v>
      </c>
      <c r="D2073" s="122">
        <v>5.08</v>
      </c>
      <c r="E2073" s="122">
        <v>0.01</v>
      </c>
    </row>
    <row r="2074" spans="2:5" x14ac:dyDescent="0.2">
      <c r="B2074" s="129" t="s">
        <v>4708</v>
      </c>
      <c r="C2074" s="122" t="s">
        <v>4709</v>
      </c>
      <c r="D2074" s="122"/>
      <c r="E2074" s="122">
        <v>0.09</v>
      </c>
    </row>
    <row r="2075" spans="2:5" x14ac:dyDescent="0.2">
      <c r="B2075" s="129" t="s">
        <v>3522</v>
      </c>
      <c r="C2075" s="122" t="s">
        <v>3523</v>
      </c>
      <c r="D2075" s="122">
        <v>16.41</v>
      </c>
      <c r="E2075" s="122">
        <v>0.37</v>
      </c>
    </row>
    <row r="2076" spans="2:5" x14ac:dyDescent="0.2">
      <c r="B2076" s="129" t="s">
        <v>3524</v>
      </c>
      <c r="C2076" s="122" t="s">
        <v>3525</v>
      </c>
      <c r="D2076" s="122">
        <v>3.89</v>
      </c>
      <c r="E2076" s="122">
        <v>0.09</v>
      </c>
    </row>
    <row r="2077" spans="2:5" x14ac:dyDescent="0.2">
      <c r="B2077" s="129" t="s">
        <v>4710</v>
      </c>
      <c r="C2077" s="122" t="s">
        <v>4711</v>
      </c>
      <c r="D2077" s="122"/>
      <c r="E2077" s="122">
        <v>31.68</v>
      </c>
    </row>
    <row r="2078" spans="2:5" x14ac:dyDescent="0.2">
      <c r="B2078" s="129" t="s">
        <v>3526</v>
      </c>
      <c r="C2078" s="122" t="s">
        <v>3527</v>
      </c>
      <c r="D2078" s="122">
        <v>18.47</v>
      </c>
      <c r="E2078" s="122">
        <v>0.27</v>
      </c>
    </row>
    <row r="2079" spans="2:5" x14ac:dyDescent="0.2">
      <c r="B2079" s="129" t="s">
        <v>3528</v>
      </c>
      <c r="C2079" s="122" t="s">
        <v>3529</v>
      </c>
      <c r="D2079" s="122">
        <v>7.5</v>
      </c>
      <c r="E2079" s="122">
        <v>0.08</v>
      </c>
    </row>
    <row r="2080" spans="2:5" x14ac:dyDescent="0.2">
      <c r="B2080" s="129" t="s">
        <v>3530</v>
      </c>
      <c r="C2080" s="122" t="s">
        <v>3531</v>
      </c>
      <c r="D2080" s="122">
        <v>13.71</v>
      </c>
      <c r="E2080" s="122">
        <v>0.14000000000000001</v>
      </c>
    </row>
    <row r="2081" spans="2:5" x14ac:dyDescent="0.2">
      <c r="B2081" s="129" t="s">
        <v>4712</v>
      </c>
      <c r="C2081" s="122" t="s">
        <v>4713</v>
      </c>
      <c r="D2081" s="122"/>
      <c r="E2081" s="122"/>
    </row>
    <row r="2082" spans="2:5" x14ac:dyDescent="0.2">
      <c r="B2082" s="129" t="s">
        <v>4714</v>
      </c>
      <c r="C2082" s="122" t="s">
        <v>4715</v>
      </c>
      <c r="D2082" s="122">
        <v>0.38</v>
      </c>
      <c r="E2082" s="122">
        <v>-0.09</v>
      </c>
    </row>
    <row r="2083" spans="2:5" x14ac:dyDescent="0.2">
      <c r="B2083" s="129" t="s">
        <v>3532</v>
      </c>
      <c r="C2083" s="122" t="s">
        <v>3533</v>
      </c>
      <c r="D2083" s="122">
        <v>5.82</v>
      </c>
      <c r="E2083" s="122">
        <v>0.06</v>
      </c>
    </row>
    <row r="2084" spans="2:5" x14ac:dyDescent="0.2">
      <c r="B2084" s="129" t="s">
        <v>3534</v>
      </c>
      <c r="C2084" s="122" t="s">
        <v>3535</v>
      </c>
      <c r="D2084" s="122">
        <v>19.87</v>
      </c>
      <c r="E2084" s="122">
        <v>-0.05</v>
      </c>
    </row>
    <row r="2085" spans="2:5" x14ac:dyDescent="0.2">
      <c r="B2085" s="129" t="s">
        <v>3536</v>
      </c>
      <c r="C2085" s="122" t="s">
        <v>3537</v>
      </c>
      <c r="D2085" s="122">
        <v>14.8</v>
      </c>
      <c r="E2085" s="122">
        <v>0.1</v>
      </c>
    </row>
    <row r="2086" spans="2:5" x14ac:dyDescent="0.2">
      <c r="B2086" s="129" t="s">
        <v>3538</v>
      </c>
      <c r="C2086" s="122" t="s">
        <v>3539</v>
      </c>
      <c r="D2086" s="122">
        <v>4.55</v>
      </c>
      <c r="E2086" s="122">
        <v>-0.22</v>
      </c>
    </row>
    <row r="2087" spans="2:5" x14ac:dyDescent="0.2">
      <c r="B2087" s="129" t="s">
        <v>4714</v>
      </c>
      <c r="C2087" s="122" t="s">
        <v>4716</v>
      </c>
      <c r="D2087" s="122">
        <v>0.38</v>
      </c>
      <c r="E2087" s="122">
        <v>-0.09</v>
      </c>
    </row>
    <row r="2088" spans="2:5" x14ac:dyDescent="0.2">
      <c r="B2088" s="129" t="s">
        <v>3540</v>
      </c>
      <c r="C2088" s="122" t="s">
        <v>3541</v>
      </c>
      <c r="D2088" s="122">
        <v>30.43</v>
      </c>
      <c r="E2088" s="122">
        <v>0.28999999999999998</v>
      </c>
    </row>
    <row r="2089" spans="2:5" x14ac:dyDescent="0.2">
      <c r="B2089" s="129" t="s">
        <v>4717</v>
      </c>
      <c r="C2089" s="122" t="s">
        <v>4718</v>
      </c>
      <c r="D2089" s="122">
        <v>0.89</v>
      </c>
      <c r="E2089" s="122">
        <v>0.01</v>
      </c>
    </row>
    <row r="2090" spans="2:5" x14ac:dyDescent="0.2">
      <c r="B2090" s="129" t="s">
        <v>4719</v>
      </c>
      <c r="C2090" s="122" t="s">
        <v>4720</v>
      </c>
      <c r="D2090" s="122"/>
      <c r="E2090" s="122"/>
    </row>
    <row r="2091" spans="2:5" x14ac:dyDescent="0.2">
      <c r="B2091" s="129" t="s">
        <v>3542</v>
      </c>
      <c r="C2091" s="122" t="s">
        <v>3543</v>
      </c>
      <c r="D2091" s="122">
        <v>-8.7200000000000006</v>
      </c>
      <c r="E2091" s="122">
        <v>0.02</v>
      </c>
    </row>
    <row r="2092" spans="2:5" x14ac:dyDescent="0.2">
      <c r="B2092" s="129" t="s">
        <v>3544</v>
      </c>
      <c r="C2092" s="122" t="s">
        <v>3545</v>
      </c>
      <c r="D2092" s="122">
        <v>1.88</v>
      </c>
      <c r="E2092" s="122">
        <v>0.02</v>
      </c>
    </row>
    <row r="2093" spans="2:5" x14ac:dyDescent="0.2">
      <c r="B2093" s="129" t="s">
        <v>3546</v>
      </c>
      <c r="C2093" s="122" t="s">
        <v>3547</v>
      </c>
      <c r="D2093" s="122">
        <v>9.93</v>
      </c>
      <c r="E2093" s="122">
        <v>-0.09</v>
      </c>
    </row>
    <row r="2094" spans="2:5" x14ac:dyDescent="0.2">
      <c r="B2094" s="129" t="s">
        <v>3548</v>
      </c>
      <c r="C2094" s="122" t="s">
        <v>3549</v>
      </c>
      <c r="D2094" s="122">
        <v>-0.97</v>
      </c>
      <c r="E2094" s="122">
        <v>-0.08</v>
      </c>
    </row>
    <row r="2095" spans="2:5" x14ac:dyDescent="0.2">
      <c r="B2095" s="129" t="s">
        <v>3550</v>
      </c>
      <c r="C2095" s="122" t="s">
        <v>3551</v>
      </c>
      <c r="D2095" s="122">
        <v>23.56</v>
      </c>
      <c r="E2095" s="122">
        <v>0.25</v>
      </c>
    </row>
    <row r="2096" spans="2:5" x14ac:dyDescent="0.2">
      <c r="B2096" s="129" t="s">
        <v>3552</v>
      </c>
      <c r="C2096" s="122" t="s">
        <v>3553</v>
      </c>
      <c r="D2096" s="122">
        <v>27.21</v>
      </c>
      <c r="E2096" s="122">
        <v>0.25</v>
      </c>
    </row>
    <row r="2097" spans="2:5" x14ac:dyDescent="0.2">
      <c r="B2097" s="129" t="s">
        <v>3554</v>
      </c>
      <c r="C2097" s="122" t="s">
        <v>3555</v>
      </c>
      <c r="D2097" s="122"/>
      <c r="E2097" s="122">
        <v>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412D2-DF67-42C2-8323-B850F177D83D}">
  <dimension ref="B2:G2097"/>
  <sheetViews>
    <sheetView topLeftCell="A2" zoomScale="140" zoomScaleNormal="140" workbookViewId="0">
      <selection activeCell="O54" sqref="O54"/>
    </sheetView>
  </sheetViews>
  <sheetFormatPr baseColWidth="10" defaultColWidth="9.1640625" defaultRowHeight="15" x14ac:dyDescent="0.2"/>
  <cols>
    <col min="1" max="1" width="9.1640625" style="6"/>
    <col min="2" max="2" width="29" style="6" customWidth="1"/>
    <col min="3" max="3" width="29" style="7" customWidth="1"/>
    <col min="4" max="7" width="33" style="7" customWidth="1"/>
    <col min="8" max="16384" width="9.1640625" style="6"/>
  </cols>
  <sheetData>
    <row r="2" spans="2:7" ht="16" thickBot="1" x14ac:dyDescent="0.25"/>
    <row r="3" spans="2:7" x14ac:dyDescent="0.2">
      <c r="B3" s="116" t="s">
        <v>307</v>
      </c>
      <c r="C3" s="117" t="s">
        <v>308</v>
      </c>
      <c r="D3" s="117" t="s">
        <v>4736</v>
      </c>
      <c r="E3" s="117" t="s">
        <v>4737</v>
      </c>
      <c r="F3" s="117" t="s">
        <v>4738</v>
      </c>
      <c r="G3" s="117" t="s">
        <v>4739</v>
      </c>
    </row>
    <row r="4" spans="2:7" x14ac:dyDescent="0.2">
      <c r="B4" s="120" t="s">
        <v>309</v>
      </c>
      <c r="C4" s="121" t="s">
        <v>310</v>
      </c>
      <c r="D4" s="122">
        <v>2.74</v>
      </c>
      <c r="E4" s="122">
        <v>2.13</v>
      </c>
      <c r="F4" s="122">
        <v>0.27</v>
      </c>
      <c r="G4" s="122">
        <v>21.42</v>
      </c>
    </row>
    <row r="5" spans="2:7" x14ac:dyDescent="0.2">
      <c r="B5" s="120" t="s">
        <v>311</v>
      </c>
      <c r="C5" s="121" t="s">
        <v>312</v>
      </c>
      <c r="D5" s="122">
        <v>0.85</v>
      </c>
      <c r="E5" s="122">
        <v>1.51</v>
      </c>
      <c r="F5" s="122">
        <v>0.26</v>
      </c>
      <c r="G5" s="122">
        <v>20.823989999999998</v>
      </c>
    </row>
    <row r="6" spans="2:7" x14ac:dyDescent="0.2">
      <c r="B6" s="120" t="s">
        <v>3807</v>
      </c>
      <c r="C6" s="121" t="s">
        <v>3808</v>
      </c>
      <c r="D6" s="122"/>
      <c r="E6" s="122"/>
      <c r="F6" s="122"/>
      <c r="G6" s="122"/>
    </row>
    <row r="7" spans="2:7" x14ac:dyDescent="0.2">
      <c r="B7" s="120" t="s">
        <v>313</v>
      </c>
      <c r="C7" s="121" t="s">
        <v>314</v>
      </c>
      <c r="D7" s="122">
        <v>1.04</v>
      </c>
      <c r="E7" s="122">
        <v>1.61</v>
      </c>
      <c r="F7" s="122">
        <v>0.2</v>
      </c>
      <c r="G7" s="122">
        <v>16.902000000000001</v>
      </c>
    </row>
    <row r="8" spans="2:7" x14ac:dyDescent="0.2">
      <c r="B8" s="120" t="s">
        <v>3809</v>
      </c>
      <c r="C8" s="121" t="s">
        <v>3810</v>
      </c>
      <c r="D8" s="122"/>
      <c r="E8" s="122"/>
      <c r="F8" s="122"/>
      <c r="G8" s="122"/>
    </row>
    <row r="9" spans="2:7" x14ac:dyDescent="0.2">
      <c r="B9" s="120" t="s">
        <v>315</v>
      </c>
      <c r="C9" s="121" t="s">
        <v>316</v>
      </c>
      <c r="D9" s="122">
        <v>0.39</v>
      </c>
      <c r="E9" s="122">
        <v>0.49</v>
      </c>
      <c r="F9" s="122">
        <v>-990.5</v>
      </c>
      <c r="G9" s="122"/>
    </row>
    <row r="10" spans="2:7" x14ac:dyDescent="0.2">
      <c r="B10" s="120" t="s">
        <v>317</v>
      </c>
      <c r="C10" s="121" t="s">
        <v>318</v>
      </c>
      <c r="D10" s="122">
        <v>0.49</v>
      </c>
      <c r="E10" s="122">
        <v>2.79</v>
      </c>
      <c r="F10" s="122">
        <v>0.19</v>
      </c>
      <c r="G10" s="122">
        <v>15.82699</v>
      </c>
    </row>
    <row r="11" spans="2:7" x14ac:dyDescent="0.2">
      <c r="B11" s="120" t="s">
        <v>319</v>
      </c>
      <c r="C11" s="121" t="s">
        <v>320</v>
      </c>
      <c r="D11" s="122">
        <v>0.44</v>
      </c>
      <c r="E11" s="122">
        <v>1.36</v>
      </c>
      <c r="F11" s="122">
        <v>0.76</v>
      </c>
      <c r="G11" s="122">
        <v>43.085990000000002</v>
      </c>
    </row>
    <row r="12" spans="2:7" x14ac:dyDescent="0.2">
      <c r="B12" s="120" t="s">
        <v>321</v>
      </c>
      <c r="C12" s="121" t="s">
        <v>322</v>
      </c>
      <c r="D12" s="122">
        <v>1.0900000000000001</v>
      </c>
      <c r="E12" s="122">
        <v>1.5</v>
      </c>
      <c r="F12" s="122">
        <v>0.88</v>
      </c>
      <c r="G12" s="122">
        <v>46.825000000000003</v>
      </c>
    </row>
    <row r="13" spans="2:7" x14ac:dyDescent="0.2">
      <c r="B13" s="120" t="s">
        <v>323</v>
      </c>
      <c r="C13" s="121" t="s">
        <v>324</v>
      </c>
      <c r="D13" s="122">
        <v>3.16</v>
      </c>
      <c r="E13" s="122">
        <v>3.51</v>
      </c>
      <c r="F13" s="122">
        <v>0</v>
      </c>
      <c r="G13" s="122">
        <v>0</v>
      </c>
    </row>
    <row r="14" spans="2:7" x14ac:dyDescent="0.2">
      <c r="B14" s="120" t="s">
        <v>325</v>
      </c>
      <c r="C14" s="121" t="s">
        <v>326</v>
      </c>
      <c r="D14" s="122">
        <v>0.95</v>
      </c>
      <c r="E14" s="122">
        <v>1.32</v>
      </c>
      <c r="F14" s="122">
        <v>0.65</v>
      </c>
      <c r="G14" s="122">
        <v>39.344999999999999</v>
      </c>
    </row>
    <row r="15" spans="2:7" x14ac:dyDescent="0.2">
      <c r="B15" s="120" t="s">
        <v>327</v>
      </c>
      <c r="C15" s="121" t="s">
        <v>328</v>
      </c>
      <c r="D15" s="122">
        <v>0.89</v>
      </c>
      <c r="E15" s="122">
        <v>0.89</v>
      </c>
      <c r="F15" s="122">
        <v>-3.69</v>
      </c>
      <c r="G15" s="122"/>
    </row>
    <row r="16" spans="2:7" x14ac:dyDescent="0.2">
      <c r="B16" s="120" t="s">
        <v>329</v>
      </c>
      <c r="C16" s="121" t="s">
        <v>330</v>
      </c>
      <c r="D16" s="122">
        <v>0.5</v>
      </c>
      <c r="E16" s="122">
        <v>0.95</v>
      </c>
      <c r="F16" s="122">
        <v>1.4</v>
      </c>
      <c r="G16" s="122">
        <v>58.277000000000001</v>
      </c>
    </row>
    <row r="17" spans="2:7" x14ac:dyDescent="0.2">
      <c r="B17" s="120" t="s">
        <v>333</v>
      </c>
      <c r="C17" s="121" t="s">
        <v>334</v>
      </c>
      <c r="D17" s="122">
        <v>0.8</v>
      </c>
      <c r="E17" s="122">
        <v>1.21</v>
      </c>
      <c r="F17" s="122">
        <v>7.0000000000000007E-2</v>
      </c>
      <c r="G17" s="122">
        <v>6.6071999999999997</v>
      </c>
    </row>
    <row r="18" spans="2:7" x14ac:dyDescent="0.2">
      <c r="B18" s="120" t="s">
        <v>335</v>
      </c>
      <c r="C18" s="121" t="s">
        <v>336</v>
      </c>
      <c r="D18" s="122">
        <v>5.63</v>
      </c>
      <c r="E18" s="122">
        <v>6.76</v>
      </c>
      <c r="F18" s="122">
        <v>0</v>
      </c>
      <c r="G18" s="122">
        <v>0</v>
      </c>
    </row>
    <row r="19" spans="2:7" x14ac:dyDescent="0.2">
      <c r="B19" s="120" t="s">
        <v>337</v>
      </c>
      <c r="C19" s="121" t="s">
        <v>338</v>
      </c>
      <c r="D19" s="122">
        <v>1.2</v>
      </c>
      <c r="E19" s="122">
        <v>1.68</v>
      </c>
      <c r="F19" s="122">
        <v>0.6</v>
      </c>
      <c r="G19" s="122">
        <v>37.31</v>
      </c>
    </row>
    <row r="20" spans="2:7" x14ac:dyDescent="0.2">
      <c r="B20" s="120" t="s">
        <v>339</v>
      </c>
      <c r="C20" s="121" t="s">
        <v>340</v>
      </c>
      <c r="D20" s="122">
        <v>8.76</v>
      </c>
      <c r="E20" s="122">
        <v>6.85</v>
      </c>
      <c r="F20" s="122">
        <v>0.02</v>
      </c>
      <c r="G20" s="122">
        <v>1.7039899999999999</v>
      </c>
    </row>
    <row r="21" spans="2:7" x14ac:dyDescent="0.2">
      <c r="B21" s="120" t="s">
        <v>341</v>
      </c>
      <c r="C21" s="121" t="s">
        <v>342</v>
      </c>
      <c r="D21" s="122">
        <v>1.1399999999999999</v>
      </c>
      <c r="E21" s="122">
        <v>1.52</v>
      </c>
      <c r="F21" s="122">
        <v>0.09</v>
      </c>
      <c r="G21" s="122">
        <v>8.2578999999999994</v>
      </c>
    </row>
    <row r="22" spans="2:7" x14ac:dyDescent="0.2">
      <c r="B22" s="120" t="s">
        <v>343</v>
      </c>
      <c r="C22" s="121" t="s">
        <v>344</v>
      </c>
      <c r="D22" s="122">
        <v>1.3</v>
      </c>
      <c r="E22" s="122">
        <v>1.46</v>
      </c>
      <c r="F22" s="122">
        <v>0.94</v>
      </c>
      <c r="G22" s="122">
        <v>49.901000000000003</v>
      </c>
    </row>
    <row r="23" spans="2:7" x14ac:dyDescent="0.2">
      <c r="B23" s="120" t="s">
        <v>3811</v>
      </c>
      <c r="C23" s="121" t="s">
        <v>3812</v>
      </c>
      <c r="D23" s="122">
        <v>1.19</v>
      </c>
      <c r="E23" s="122">
        <v>0.9</v>
      </c>
      <c r="F23" s="122">
        <v>2.44</v>
      </c>
      <c r="G23" s="122">
        <v>70.902000000000001</v>
      </c>
    </row>
    <row r="24" spans="2:7" x14ac:dyDescent="0.2">
      <c r="B24" s="120" t="s">
        <v>3813</v>
      </c>
      <c r="C24" s="121" t="s">
        <v>3814</v>
      </c>
      <c r="D24" s="122">
        <v>1.07</v>
      </c>
      <c r="E24" s="122">
        <v>1.07</v>
      </c>
      <c r="F24" s="122"/>
      <c r="G24" s="122">
        <v>30.983989999999999</v>
      </c>
    </row>
    <row r="25" spans="2:7" x14ac:dyDescent="0.2">
      <c r="B25" s="120" t="s">
        <v>345</v>
      </c>
      <c r="C25" s="121" t="s">
        <v>346</v>
      </c>
      <c r="D25" s="122">
        <v>0.51</v>
      </c>
      <c r="E25" s="122">
        <v>0.54</v>
      </c>
      <c r="F25" s="122">
        <v>0.27</v>
      </c>
      <c r="G25" s="122">
        <v>21.475000000000001</v>
      </c>
    </row>
    <row r="26" spans="2:7" x14ac:dyDescent="0.2">
      <c r="B26" s="120" t="s">
        <v>3815</v>
      </c>
      <c r="C26" s="121" t="s">
        <v>3816</v>
      </c>
      <c r="D26" s="122">
        <v>0.51</v>
      </c>
      <c r="E26" s="122">
        <v>0.78</v>
      </c>
      <c r="F26" s="122"/>
      <c r="G26" s="122">
        <v>46.354990000000001</v>
      </c>
    </row>
    <row r="27" spans="2:7" x14ac:dyDescent="0.2">
      <c r="B27" s="120" t="s">
        <v>347</v>
      </c>
      <c r="C27" s="121" t="s">
        <v>348</v>
      </c>
      <c r="D27" s="122">
        <v>1.91</v>
      </c>
      <c r="E27" s="122">
        <v>1.29</v>
      </c>
      <c r="F27" s="122">
        <v>1.33</v>
      </c>
      <c r="G27" s="122">
        <v>57.128999999999998</v>
      </c>
    </row>
    <row r="28" spans="2:7" x14ac:dyDescent="0.2">
      <c r="B28" s="120" t="s">
        <v>349</v>
      </c>
      <c r="C28" s="121" t="s">
        <v>350</v>
      </c>
      <c r="D28" s="122">
        <v>1.1599999999999999</v>
      </c>
      <c r="E28" s="122">
        <v>1.22</v>
      </c>
      <c r="F28" s="122">
        <v>0.81</v>
      </c>
      <c r="G28" s="122">
        <v>44.823999999999998</v>
      </c>
    </row>
    <row r="29" spans="2:7" x14ac:dyDescent="0.2">
      <c r="B29" s="120" t="s">
        <v>351</v>
      </c>
      <c r="C29" s="121" t="s">
        <v>352</v>
      </c>
      <c r="D29" s="122"/>
      <c r="E29" s="122">
        <v>1.34</v>
      </c>
      <c r="F29" s="122"/>
      <c r="G29" s="122">
        <v>0.14019000000000001</v>
      </c>
    </row>
    <row r="30" spans="2:7" x14ac:dyDescent="0.2">
      <c r="B30" s="120" t="s">
        <v>3817</v>
      </c>
      <c r="C30" s="121" t="s">
        <v>3818</v>
      </c>
      <c r="D30" s="122"/>
      <c r="E30" s="122"/>
      <c r="F30" s="122"/>
      <c r="G30" s="122"/>
    </row>
    <row r="31" spans="2:7" x14ac:dyDescent="0.2">
      <c r="B31" s="120" t="s">
        <v>353</v>
      </c>
      <c r="C31" s="121" t="s">
        <v>354</v>
      </c>
      <c r="D31" s="122">
        <v>1.1299999999999999</v>
      </c>
      <c r="E31" s="122">
        <v>0.74</v>
      </c>
      <c r="F31" s="122">
        <v>0.1</v>
      </c>
      <c r="G31" s="122">
        <v>8.8007000000000009</v>
      </c>
    </row>
    <row r="32" spans="2:7" x14ac:dyDescent="0.2">
      <c r="B32" s="120" t="s">
        <v>355</v>
      </c>
      <c r="C32" s="121" t="s">
        <v>356</v>
      </c>
      <c r="D32" s="122">
        <v>2.11</v>
      </c>
      <c r="E32" s="122">
        <v>0.42</v>
      </c>
      <c r="F32" s="122">
        <v>0.5</v>
      </c>
      <c r="G32" s="122">
        <v>33.38899</v>
      </c>
    </row>
    <row r="33" spans="2:7" x14ac:dyDescent="0.2">
      <c r="B33" s="120" t="s">
        <v>357</v>
      </c>
      <c r="C33" s="121" t="s">
        <v>358</v>
      </c>
      <c r="D33" s="122">
        <v>0.93</v>
      </c>
      <c r="E33" s="122">
        <v>1.32</v>
      </c>
      <c r="F33" s="122">
        <v>0.24</v>
      </c>
      <c r="G33" s="122">
        <v>19.513000000000002</v>
      </c>
    </row>
    <row r="34" spans="2:7" x14ac:dyDescent="0.2">
      <c r="B34" s="120" t="s">
        <v>359</v>
      </c>
      <c r="C34" s="121" t="s">
        <v>360</v>
      </c>
      <c r="D34" s="122">
        <v>1.08</v>
      </c>
      <c r="E34" s="122">
        <v>1.35</v>
      </c>
      <c r="F34" s="122">
        <v>0.45</v>
      </c>
      <c r="G34" s="122">
        <v>30.925999999999998</v>
      </c>
    </row>
    <row r="35" spans="2:7" x14ac:dyDescent="0.2">
      <c r="B35" s="120" t="s">
        <v>361</v>
      </c>
      <c r="C35" s="121" t="s">
        <v>362</v>
      </c>
      <c r="D35" s="122">
        <v>1</v>
      </c>
      <c r="E35" s="122">
        <v>1.55</v>
      </c>
      <c r="F35" s="122">
        <v>0.41</v>
      </c>
      <c r="G35" s="122">
        <v>29.004989999999999</v>
      </c>
    </row>
    <row r="36" spans="2:7" x14ac:dyDescent="0.2">
      <c r="B36" s="120" t="s">
        <v>363</v>
      </c>
      <c r="C36" s="121" t="s">
        <v>364</v>
      </c>
      <c r="D36" s="122">
        <v>1.05</v>
      </c>
      <c r="E36" s="122">
        <v>1.05</v>
      </c>
      <c r="F36" s="122">
        <v>0.37</v>
      </c>
      <c r="G36" s="122">
        <v>27.04899</v>
      </c>
    </row>
    <row r="37" spans="2:7" x14ac:dyDescent="0.2">
      <c r="B37" s="120" t="s">
        <v>3819</v>
      </c>
      <c r="C37" s="121" t="s">
        <v>3820</v>
      </c>
      <c r="D37" s="122"/>
      <c r="E37" s="122">
        <v>5.91</v>
      </c>
      <c r="F37" s="122">
        <v>0</v>
      </c>
      <c r="G37" s="122">
        <v>0.92874999999999996</v>
      </c>
    </row>
    <row r="38" spans="2:7" x14ac:dyDescent="0.2">
      <c r="B38" s="120" t="s">
        <v>365</v>
      </c>
      <c r="C38" s="121" t="s">
        <v>366</v>
      </c>
      <c r="D38" s="122">
        <v>0.56000000000000005</v>
      </c>
      <c r="E38" s="122">
        <v>0.82</v>
      </c>
      <c r="F38" s="122"/>
      <c r="G38" s="122">
        <v>18.52</v>
      </c>
    </row>
    <row r="39" spans="2:7" x14ac:dyDescent="0.2">
      <c r="B39" s="120" t="s">
        <v>3821</v>
      </c>
      <c r="C39" s="121" t="s">
        <v>3822</v>
      </c>
      <c r="D39" s="122">
        <v>0.9</v>
      </c>
      <c r="E39" s="122">
        <v>1.18</v>
      </c>
      <c r="F39" s="122">
        <v>1.24</v>
      </c>
      <c r="G39" s="122">
        <v>55.430990000000001</v>
      </c>
    </row>
    <row r="40" spans="2:7" x14ac:dyDescent="0.2">
      <c r="B40" s="120" t="s">
        <v>367</v>
      </c>
      <c r="C40" s="121" t="s">
        <v>368</v>
      </c>
      <c r="D40" s="122">
        <v>2.13</v>
      </c>
      <c r="E40" s="122">
        <v>2.67</v>
      </c>
      <c r="F40" s="122">
        <v>7.16</v>
      </c>
      <c r="G40" s="122">
        <v>87.745000000000005</v>
      </c>
    </row>
    <row r="41" spans="2:7" x14ac:dyDescent="0.2">
      <c r="B41" s="120" t="s">
        <v>369</v>
      </c>
      <c r="C41" s="121" t="s">
        <v>370</v>
      </c>
      <c r="D41" s="122">
        <v>0.7</v>
      </c>
      <c r="E41" s="122">
        <v>0.56000000000000005</v>
      </c>
      <c r="F41" s="122">
        <v>-8.48</v>
      </c>
      <c r="G41" s="122"/>
    </row>
    <row r="42" spans="2:7" x14ac:dyDescent="0.2">
      <c r="B42" s="120" t="s">
        <v>371</v>
      </c>
      <c r="C42" s="121" t="s">
        <v>372</v>
      </c>
      <c r="D42" s="122">
        <v>0.73</v>
      </c>
      <c r="E42" s="122">
        <v>0.42</v>
      </c>
      <c r="F42" s="122">
        <v>2.44</v>
      </c>
      <c r="G42" s="122">
        <v>70.907989999999998</v>
      </c>
    </row>
    <row r="43" spans="2:7" x14ac:dyDescent="0.2">
      <c r="B43" s="120" t="s">
        <v>373</v>
      </c>
      <c r="C43" s="121" t="s">
        <v>374</v>
      </c>
      <c r="D43" s="122">
        <v>0.39</v>
      </c>
      <c r="E43" s="122">
        <v>0.55000000000000004</v>
      </c>
      <c r="F43" s="122">
        <v>1.04</v>
      </c>
      <c r="G43" s="122">
        <v>50.893999999999998</v>
      </c>
    </row>
    <row r="44" spans="2:7" x14ac:dyDescent="0.2">
      <c r="B44" s="120" t="s">
        <v>375</v>
      </c>
      <c r="C44" s="121" t="s">
        <v>376</v>
      </c>
      <c r="D44" s="122">
        <v>0.09</v>
      </c>
      <c r="E44" s="122">
        <v>0.09</v>
      </c>
      <c r="F44" s="122">
        <v>0.45</v>
      </c>
      <c r="G44" s="122">
        <v>30.992000000000001</v>
      </c>
    </row>
    <row r="45" spans="2:7" x14ac:dyDescent="0.2">
      <c r="B45" s="120" t="s">
        <v>377</v>
      </c>
      <c r="C45" s="121" t="s">
        <v>378</v>
      </c>
      <c r="D45" s="122">
        <v>1.6</v>
      </c>
      <c r="E45" s="122">
        <v>1.29</v>
      </c>
      <c r="F45" s="122">
        <v>0.31</v>
      </c>
      <c r="G45" s="122">
        <v>23.550999999999998</v>
      </c>
    </row>
    <row r="46" spans="2:7" x14ac:dyDescent="0.2">
      <c r="B46" s="120" t="s">
        <v>379</v>
      </c>
      <c r="C46" s="121" t="s">
        <v>380</v>
      </c>
      <c r="D46" s="122">
        <v>0.37</v>
      </c>
      <c r="E46" s="122">
        <v>0.49</v>
      </c>
      <c r="F46" s="122">
        <v>1.29</v>
      </c>
      <c r="G46" s="122">
        <v>56.314990000000002</v>
      </c>
    </row>
    <row r="47" spans="2:7" x14ac:dyDescent="0.2">
      <c r="B47" s="120" t="s">
        <v>381</v>
      </c>
      <c r="C47" s="121" t="s">
        <v>382</v>
      </c>
      <c r="D47" s="122">
        <v>0.36</v>
      </c>
      <c r="E47" s="122">
        <v>0.25</v>
      </c>
      <c r="F47" s="122">
        <v>3.2</v>
      </c>
      <c r="G47" s="122">
        <v>76.170990000000003</v>
      </c>
    </row>
    <row r="48" spans="2:7" x14ac:dyDescent="0.2">
      <c r="B48" s="120" t="s">
        <v>383</v>
      </c>
      <c r="C48" s="121" t="s">
        <v>384</v>
      </c>
      <c r="D48" s="122">
        <v>1.01</v>
      </c>
      <c r="E48" s="122">
        <v>1.36</v>
      </c>
      <c r="F48" s="122">
        <v>3.41</v>
      </c>
      <c r="G48" s="122">
        <v>77.344999999999999</v>
      </c>
    </row>
    <row r="49" spans="2:7" x14ac:dyDescent="0.2">
      <c r="B49" s="120" t="s">
        <v>3823</v>
      </c>
      <c r="C49" s="121" t="s">
        <v>3824</v>
      </c>
      <c r="D49" s="122">
        <v>1.17</v>
      </c>
      <c r="E49" s="122">
        <v>1.0900000000000001</v>
      </c>
      <c r="F49" s="122">
        <v>0.67</v>
      </c>
      <c r="G49" s="122">
        <v>40.120989999999999</v>
      </c>
    </row>
    <row r="50" spans="2:7" x14ac:dyDescent="0.2">
      <c r="B50" s="120" t="s">
        <v>385</v>
      </c>
      <c r="C50" s="121" t="s">
        <v>386</v>
      </c>
      <c r="D50" s="122">
        <v>0.14000000000000001</v>
      </c>
      <c r="E50" s="122">
        <v>0.15</v>
      </c>
      <c r="F50" s="122">
        <v>0.23</v>
      </c>
      <c r="G50" s="122">
        <v>18.940989999999999</v>
      </c>
    </row>
    <row r="51" spans="2:7" x14ac:dyDescent="0.2">
      <c r="B51" s="120" t="s">
        <v>387</v>
      </c>
      <c r="C51" s="121" t="s">
        <v>388</v>
      </c>
      <c r="D51" s="122">
        <v>0.06</v>
      </c>
      <c r="E51" s="122">
        <v>0.04</v>
      </c>
      <c r="F51" s="122">
        <v>0.22</v>
      </c>
      <c r="G51" s="122">
        <v>18.076000000000001</v>
      </c>
    </row>
    <row r="52" spans="2:7" x14ac:dyDescent="0.2">
      <c r="B52" s="120" t="s">
        <v>389</v>
      </c>
      <c r="C52" s="121" t="s">
        <v>390</v>
      </c>
      <c r="D52" s="122">
        <v>0.57999999999999996</v>
      </c>
      <c r="E52" s="122">
        <v>0.67</v>
      </c>
      <c r="F52" s="122"/>
      <c r="G52" s="122">
        <v>83.003990000000002</v>
      </c>
    </row>
    <row r="53" spans="2:7" x14ac:dyDescent="0.2">
      <c r="B53" s="120" t="s">
        <v>391</v>
      </c>
      <c r="C53" s="121" t="s">
        <v>392</v>
      </c>
      <c r="D53" s="122">
        <v>0.59</v>
      </c>
      <c r="E53" s="122">
        <v>1.29</v>
      </c>
      <c r="F53" s="122">
        <v>0.47</v>
      </c>
      <c r="G53" s="122">
        <v>31.986000000000001</v>
      </c>
    </row>
    <row r="54" spans="2:7" x14ac:dyDescent="0.2">
      <c r="B54" s="120" t="s">
        <v>393</v>
      </c>
      <c r="C54" s="121" t="s">
        <v>394</v>
      </c>
      <c r="D54" s="122">
        <v>0.06</v>
      </c>
      <c r="E54" s="122">
        <v>0.06</v>
      </c>
      <c r="F54" s="122">
        <v>0.21</v>
      </c>
      <c r="G54" s="122">
        <v>17.128990000000002</v>
      </c>
    </row>
    <row r="55" spans="2:7" x14ac:dyDescent="0.2">
      <c r="B55" s="120" t="s">
        <v>3825</v>
      </c>
      <c r="C55" s="121" t="s">
        <v>3826</v>
      </c>
      <c r="D55" s="122"/>
      <c r="E55" s="122"/>
      <c r="F55" s="122"/>
      <c r="G55" s="122"/>
    </row>
    <row r="56" spans="2:7" x14ac:dyDescent="0.2">
      <c r="B56" s="120" t="s">
        <v>395</v>
      </c>
      <c r="C56" s="121" t="s">
        <v>396</v>
      </c>
      <c r="D56" s="122">
        <v>0.98</v>
      </c>
      <c r="E56" s="122">
        <v>1.03</v>
      </c>
      <c r="F56" s="122">
        <v>0.34</v>
      </c>
      <c r="G56" s="122">
        <v>25.117999999999999</v>
      </c>
    </row>
    <row r="57" spans="2:7" x14ac:dyDescent="0.2">
      <c r="B57" s="120" t="s">
        <v>397</v>
      </c>
      <c r="C57" s="121" t="s">
        <v>398</v>
      </c>
      <c r="D57" s="122">
        <v>0.31</v>
      </c>
      <c r="E57" s="122">
        <v>0.13</v>
      </c>
      <c r="F57" s="122">
        <v>0.03</v>
      </c>
      <c r="G57" s="122">
        <v>2.3685900000000002</v>
      </c>
    </row>
    <row r="58" spans="2:7" x14ac:dyDescent="0.2">
      <c r="B58" s="120" t="s">
        <v>3827</v>
      </c>
      <c r="C58" s="121" t="s">
        <v>3828</v>
      </c>
      <c r="D58" s="122">
        <v>0.49</v>
      </c>
      <c r="E58" s="122">
        <v>0.65</v>
      </c>
      <c r="F58" s="122">
        <v>0.18</v>
      </c>
      <c r="G58" s="122">
        <v>15.5</v>
      </c>
    </row>
    <row r="59" spans="2:7" x14ac:dyDescent="0.2">
      <c r="B59" s="120" t="s">
        <v>3829</v>
      </c>
      <c r="C59" s="121" t="s">
        <v>3830</v>
      </c>
      <c r="D59" s="122">
        <v>1.1399999999999999</v>
      </c>
      <c r="E59" s="122">
        <v>1.1399999999999999</v>
      </c>
      <c r="F59" s="122"/>
      <c r="G59" s="122">
        <v>49.174990000000001</v>
      </c>
    </row>
    <row r="60" spans="2:7" x14ac:dyDescent="0.2">
      <c r="B60" s="120" t="s">
        <v>399</v>
      </c>
      <c r="C60" s="121" t="s">
        <v>400</v>
      </c>
      <c r="D60" s="122">
        <v>0.57999999999999996</v>
      </c>
      <c r="E60" s="122">
        <v>0.64</v>
      </c>
      <c r="F60" s="122">
        <v>0.41</v>
      </c>
      <c r="G60" s="122">
        <v>29</v>
      </c>
    </row>
    <row r="61" spans="2:7" x14ac:dyDescent="0.2">
      <c r="B61" s="120" t="s">
        <v>401</v>
      </c>
      <c r="C61" s="121" t="s">
        <v>402</v>
      </c>
      <c r="D61" s="122">
        <v>2.5299999999999998</v>
      </c>
      <c r="E61" s="122">
        <v>2.76</v>
      </c>
      <c r="F61" s="122"/>
      <c r="G61" s="122">
        <v>4.9923000000000002</v>
      </c>
    </row>
    <row r="62" spans="2:7" x14ac:dyDescent="0.2">
      <c r="B62" s="120" t="s">
        <v>3831</v>
      </c>
      <c r="C62" s="121" t="s">
        <v>3832</v>
      </c>
      <c r="D62" s="122">
        <v>1.22</v>
      </c>
      <c r="E62" s="122">
        <v>1.2</v>
      </c>
      <c r="F62" s="122"/>
      <c r="G62" s="122">
        <v>29.03199</v>
      </c>
    </row>
    <row r="63" spans="2:7" x14ac:dyDescent="0.2">
      <c r="B63" s="120" t="s">
        <v>403</v>
      </c>
      <c r="C63" s="121" t="s">
        <v>404</v>
      </c>
      <c r="D63" s="122">
        <v>0.92</v>
      </c>
      <c r="E63" s="122">
        <v>1.51</v>
      </c>
      <c r="F63" s="122">
        <v>0.17</v>
      </c>
      <c r="G63" s="122">
        <v>14.343</v>
      </c>
    </row>
    <row r="64" spans="2:7" x14ac:dyDescent="0.2">
      <c r="B64" s="120" t="s">
        <v>405</v>
      </c>
      <c r="C64" s="121" t="s">
        <v>406</v>
      </c>
      <c r="D64" s="122">
        <v>0.26</v>
      </c>
      <c r="E64" s="122">
        <v>0.28000000000000003</v>
      </c>
      <c r="F64" s="122">
        <v>0.55000000000000004</v>
      </c>
      <c r="G64" s="122">
        <v>35.442</v>
      </c>
    </row>
    <row r="65" spans="2:7" x14ac:dyDescent="0.2">
      <c r="B65" s="120" t="s">
        <v>407</v>
      </c>
      <c r="C65" s="121" t="s">
        <v>408</v>
      </c>
      <c r="D65" s="122">
        <v>0.71</v>
      </c>
      <c r="E65" s="122">
        <v>0.73</v>
      </c>
      <c r="F65" s="122">
        <v>0.68</v>
      </c>
      <c r="G65" s="122">
        <v>40.5</v>
      </c>
    </row>
    <row r="66" spans="2:7" x14ac:dyDescent="0.2">
      <c r="B66" s="120" t="s">
        <v>409</v>
      </c>
      <c r="C66" s="121" t="s">
        <v>410</v>
      </c>
      <c r="D66" s="122">
        <v>0.3</v>
      </c>
      <c r="E66" s="122">
        <v>0.3</v>
      </c>
      <c r="F66" s="122"/>
      <c r="G66" s="122">
        <v>49.944989999999997</v>
      </c>
    </row>
    <row r="67" spans="2:7" x14ac:dyDescent="0.2">
      <c r="B67" s="120" t="s">
        <v>411</v>
      </c>
      <c r="C67" s="121" t="s">
        <v>412</v>
      </c>
      <c r="D67" s="122">
        <v>0.32</v>
      </c>
      <c r="E67" s="122">
        <v>0.22</v>
      </c>
      <c r="F67" s="122">
        <v>2.17</v>
      </c>
      <c r="G67" s="122">
        <v>68.983000000000004</v>
      </c>
    </row>
    <row r="68" spans="2:7" x14ac:dyDescent="0.2">
      <c r="B68" s="120" t="s">
        <v>413</v>
      </c>
      <c r="C68" s="121" t="s">
        <v>414</v>
      </c>
      <c r="D68" s="122">
        <v>0.47</v>
      </c>
      <c r="E68" s="122">
        <v>0.48</v>
      </c>
      <c r="F68" s="122">
        <v>0.35</v>
      </c>
      <c r="G68" s="122">
        <v>25.841989999999999</v>
      </c>
    </row>
    <row r="69" spans="2:7" x14ac:dyDescent="0.2">
      <c r="B69" s="120" t="s">
        <v>415</v>
      </c>
      <c r="C69" s="121" t="s">
        <v>416</v>
      </c>
      <c r="D69" s="122">
        <v>1.06</v>
      </c>
      <c r="E69" s="122">
        <v>1.07</v>
      </c>
      <c r="F69" s="122">
        <v>0.77</v>
      </c>
      <c r="G69" s="122">
        <v>43.54</v>
      </c>
    </row>
    <row r="70" spans="2:7" x14ac:dyDescent="0.2">
      <c r="B70" s="120" t="s">
        <v>3833</v>
      </c>
      <c r="C70" s="121" t="s">
        <v>3834</v>
      </c>
      <c r="D70" s="122">
        <v>1.39</v>
      </c>
      <c r="E70" s="122">
        <v>2.0299999999999998</v>
      </c>
      <c r="F70" s="122"/>
      <c r="G70" s="122">
        <v>30.891999999999999</v>
      </c>
    </row>
    <row r="71" spans="2:7" x14ac:dyDescent="0.2">
      <c r="B71" s="120" t="s">
        <v>417</v>
      </c>
      <c r="C71" s="121" t="s">
        <v>418</v>
      </c>
      <c r="D71" s="122"/>
      <c r="E71" s="122"/>
      <c r="F71" s="122"/>
      <c r="G71" s="122"/>
    </row>
    <row r="72" spans="2:7" x14ac:dyDescent="0.2">
      <c r="B72" s="120" t="s">
        <v>419</v>
      </c>
      <c r="C72" s="121" t="s">
        <v>420</v>
      </c>
      <c r="D72" s="122">
        <v>1.41</v>
      </c>
      <c r="E72" s="122">
        <v>1.53</v>
      </c>
      <c r="F72" s="122">
        <v>0.78</v>
      </c>
      <c r="G72" s="122">
        <v>43.905990000000003</v>
      </c>
    </row>
    <row r="73" spans="2:7" x14ac:dyDescent="0.2">
      <c r="B73" s="120" t="s">
        <v>421</v>
      </c>
      <c r="C73" s="121" t="s">
        <v>422</v>
      </c>
      <c r="D73" s="122">
        <v>2.09</v>
      </c>
      <c r="E73" s="122">
        <v>2.95</v>
      </c>
      <c r="F73" s="122">
        <v>0.35</v>
      </c>
      <c r="G73" s="122">
        <v>25.992000000000001</v>
      </c>
    </row>
    <row r="74" spans="2:7" x14ac:dyDescent="0.2">
      <c r="B74" s="120" t="s">
        <v>3835</v>
      </c>
      <c r="C74" s="121" t="s">
        <v>3836</v>
      </c>
      <c r="D74" s="122">
        <v>1.17</v>
      </c>
      <c r="E74" s="122">
        <v>1.1499999999999999</v>
      </c>
      <c r="F74" s="122"/>
      <c r="G74" s="122">
        <v>50.148989999999998</v>
      </c>
    </row>
    <row r="75" spans="2:7" x14ac:dyDescent="0.2">
      <c r="B75" s="120" t="s">
        <v>423</v>
      </c>
      <c r="C75" s="121" t="s">
        <v>424</v>
      </c>
      <c r="D75" s="122">
        <v>2.85</v>
      </c>
      <c r="E75" s="122">
        <v>1.76</v>
      </c>
      <c r="F75" s="122">
        <v>0.28000000000000003</v>
      </c>
      <c r="G75" s="122">
        <v>21.645990000000001</v>
      </c>
    </row>
    <row r="76" spans="2:7" x14ac:dyDescent="0.2">
      <c r="B76" s="120" t="s">
        <v>425</v>
      </c>
      <c r="C76" s="121" t="s">
        <v>426</v>
      </c>
      <c r="D76" s="122">
        <v>0.85</v>
      </c>
      <c r="E76" s="122">
        <v>0.64</v>
      </c>
      <c r="F76" s="122">
        <v>2.4300000000000002</v>
      </c>
      <c r="G76" s="122">
        <v>70.813999999999993</v>
      </c>
    </row>
    <row r="77" spans="2:7" x14ac:dyDescent="0.2">
      <c r="B77" s="120" t="s">
        <v>427</v>
      </c>
      <c r="C77" s="121" t="s">
        <v>428</v>
      </c>
      <c r="D77" s="122">
        <v>1.1000000000000001</v>
      </c>
      <c r="E77" s="122">
        <v>1.45</v>
      </c>
      <c r="F77" s="122">
        <v>0.35</v>
      </c>
      <c r="G77" s="122">
        <v>26.027989999999999</v>
      </c>
    </row>
    <row r="78" spans="2:7" x14ac:dyDescent="0.2">
      <c r="B78" s="120" t="s">
        <v>429</v>
      </c>
      <c r="C78" s="121" t="s">
        <v>430</v>
      </c>
      <c r="D78" s="122">
        <v>0.61</v>
      </c>
      <c r="E78" s="122">
        <v>1.34</v>
      </c>
      <c r="F78" s="122">
        <v>0.68</v>
      </c>
      <c r="G78" s="122">
        <v>40.58</v>
      </c>
    </row>
    <row r="79" spans="2:7" x14ac:dyDescent="0.2">
      <c r="B79" s="120" t="s">
        <v>3837</v>
      </c>
      <c r="C79" s="121" t="s">
        <v>3838</v>
      </c>
      <c r="D79" s="122">
        <v>0.79</v>
      </c>
      <c r="E79" s="122">
        <v>1.18</v>
      </c>
      <c r="F79" s="122">
        <v>0.42</v>
      </c>
      <c r="G79" s="122">
        <v>29.716989999999999</v>
      </c>
    </row>
    <row r="80" spans="2:7" x14ac:dyDescent="0.2">
      <c r="B80" s="120" t="s">
        <v>431</v>
      </c>
      <c r="C80" s="121" t="s">
        <v>432</v>
      </c>
      <c r="D80" s="122">
        <v>1.8</v>
      </c>
      <c r="E80" s="122">
        <v>1.85</v>
      </c>
      <c r="F80" s="122">
        <v>0.04</v>
      </c>
      <c r="G80" s="122">
        <v>4.1275000000000004</v>
      </c>
    </row>
    <row r="81" spans="2:7" x14ac:dyDescent="0.2">
      <c r="B81" s="120" t="s">
        <v>433</v>
      </c>
      <c r="C81" s="121" t="s">
        <v>434</v>
      </c>
      <c r="D81" s="122">
        <v>0.59</v>
      </c>
      <c r="E81" s="122">
        <v>0.63</v>
      </c>
      <c r="F81" s="122">
        <v>0.75</v>
      </c>
      <c r="G81" s="122">
        <v>42.710990000000002</v>
      </c>
    </row>
    <row r="82" spans="2:7" x14ac:dyDescent="0.2">
      <c r="B82" s="120" t="s">
        <v>435</v>
      </c>
      <c r="C82" s="121" t="s">
        <v>436</v>
      </c>
      <c r="D82" s="122">
        <v>2.63</v>
      </c>
      <c r="E82" s="122">
        <v>2.98</v>
      </c>
      <c r="F82" s="122">
        <v>0.25</v>
      </c>
      <c r="G82" s="122">
        <v>20.152000000000001</v>
      </c>
    </row>
    <row r="83" spans="2:7" x14ac:dyDescent="0.2">
      <c r="B83" s="120" t="s">
        <v>437</v>
      </c>
      <c r="C83" s="121" t="s">
        <v>438</v>
      </c>
      <c r="D83" s="122">
        <v>0.27</v>
      </c>
      <c r="E83" s="122">
        <v>0.28000000000000003</v>
      </c>
      <c r="F83" s="122">
        <v>0.28999999999999998</v>
      </c>
      <c r="G83" s="122">
        <v>21.309000000000001</v>
      </c>
    </row>
    <row r="84" spans="2:7" x14ac:dyDescent="0.2">
      <c r="B84" s="120" t="s">
        <v>439</v>
      </c>
      <c r="C84" s="121" t="s">
        <v>440</v>
      </c>
      <c r="D84" s="122">
        <v>1.25</v>
      </c>
      <c r="E84" s="122">
        <v>1.71</v>
      </c>
      <c r="F84" s="122">
        <v>2.1</v>
      </c>
      <c r="G84" s="122">
        <v>67.734999999999999</v>
      </c>
    </row>
    <row r="85" spans="2:7" x14ac:dyDescent="0.2">
      <c r="B85" s="120" t="s">
        <v>441</v>
      </c>
      <c r="C85" s="121" t="s">
        <v>442</v>
      </c>
      <c r="D85" s="122">
        <v>34.549999999999997</v>
      </c>
      <c r="E85" s="122">
        <v>16.579999999999998</v>
      </c>
      <c r="F85" s="122">
        <v>0</v>
      </c>
      <c r="G85" s="122">
        <v>0</v>
      </c>
    </row>
    <row r="86" spans="2:7" x14ac:dyDescent="0.2">
      <c r="B86" s="120" t="s">
        <v>443</v>
      </c>
      <c r="C86" s="121" t="s">
        <v>444</v>
      </c>
      <c r="D86" s="122">
        <v>15.89</v>
      </c>
      <c r="E86" s="122">
        <v>13.46</v>
      </c>
      <c r="F86" s="122">
        <v>0.05</v>
      </c>
      <c r="G86" s="122">
        <v>5.0494899999999996</v>
      </c>
    </row>
    <row r="87" spans="2:7" x14ac:dyDescent="0.2">
      <c r="B87" s="120" t="s">
        <v>445</v>
      </c>
      <c r="C87" s="121" t="s">
        <v>446</v>
      </c>
      <c r="D87" s="122">
        <v>1.1499999999999999</v>
      </c>
      <c r="E87" s="122">
        <v>1.07</v>
      </c>
      <c r="F87" s="122">
        <v>2.62</v>
      </c>
      <c r="G87" s="122">
        <v>72.352990000000005</v>
      </c>
    </row>
    <row r="88" spans="2:7" x14ac:dyDescent="0.2">
      <c r="B88" s="120" t="s">
        <v>3839</v>
      </c>
      <c r="C88" s="121" t="s">
        <v>3840</v>
      </c>
      <c r="D88" s="122">
        <v>0.93</v>
      </c>
      <c r="E88" s="122">
        <v>0.95</v>
      </c>
      <c r="F88" s="122">
        <v>0.66</v>
      </c>
      <c r="G88" s="122">
        <v>39.890990000000002</v>
      </c>
    </row>
    <row r="89" spans="2:7" x14ac:dyDescent="0.2">
      <c r="B89" s="120" t="s">
        <v>447</v>
      </c>
      <c r="C89" s="121" t="s">
        <v>448</v>
      </c>
      <c r="D89" s="122">
        <v>6.56</v>
      </c>
      <c r="E89" s="122">
        <v>6.28</v>
      </c>
      <c r="F89" s="122">
        <v>0.17</v>
      </c>
      <c r="G89" s="122">
        <v>14.880990000000001</v>
      </c>
    </row>
    <row r="90" spans="2:7" x14ac:dyDescent="0.2">
      <c r="B90" s="120" t="s">
        <v>3841</v>
      </c>
      <c r="C90" s="121" t="s">
        <v>3842</v>
      </c>
      <c r="D90" s="122">
        <v>1.42</v>
      </c>
      <c r="E90" s="122">
        <v>1.77</v>
      </c>
      <c r="F90" s="122">
        <v>0</v>
      </c>
      <c r="G90" s="122">
        <v>0</v>
      </c>
    </row>
    <row r="91" spans="2:7" x14ac:dyDescent="0.2">
      <c r="B91" s="120" t="s">
        <v>3843</v>
      </c>
      <c r="C91" s="121" t="s">
        <v>3844</v>
      </c>
      <c r="D91" s="122">
        <v>0.94</v>
      </c>
      <c r="E91" s="122">
        <v>1.1299999999999999</v>
      </c>
      <c r="F91" s="122"/>
      <c r="G91" s="122">
        <v>6.4341900000000001</v>
      </c>
    </row>
    <row r="92" spans="2:7" x14ac:dyDescent="0.2">
      <c r="B92" s="120" t="s">
        <v>449</v>
      </c>
      <c r="C92" s="121" t="s">
        <v>450</v>
      </c>
      <c r="D92" s="122">
        <v>1.3</v>
      </c>
      <c r="E92" s="122">
        <v>1.51</v>
      </c>
      <c r="F92" s="122">
        <v>3.76</v>
      </c>
      <c r="G92" s="122">
        <v>79.007000000000005</v>
      </c>
    </row>
    <row r="93" spans="2:7" x14ac:dyDescent="0.2">
      <c r="B93" s="120" t="s">
        <v>451</v>
      </c>
      <c r="C93" s="121" t="s">
        <v>452</v>
      </c>
      <c r="D93" s="122">
        <v>0.88</v>
      </c>
      <c r="E93" s="122">
        <v>1.26</v>
      </c>
      <c r="F93" s="122">
        <v>0.97</v>
      </c>
      <c r="G93" s="122">
        <v>49.232999999999997</v>
      </c>
    </row>
    <row r="94" spans="2:7" x14ac:dyDescent="0.2">
      <c r="B94" s="120" t="s">
        <v>453</v>
      </c>
      <c r="C94" s="121" t="s">
        <v>454</v>
      </c>
      <c r="D94" s="122">
        <v>2.48</v>
      </c>
      <c r="E94" s="122">
        <v>4.04</v>
      </c>
      <c r="F94" s="122">
        <v>0.26</v>
      </c>
      <c r="G94" s="122">
        <v>20.393989999999999</v>
      </c>
    </row>
    <row r="95" spans="2:7" x14ac:dyDescent="0.2">
      <c r="B95" s="120" t="s">
        <v>455</v>
      </c>
      <c r="C95" s="121" t="s">
        <v>456</v>
      </c>
      <c r="D95" s="122">
        <v>0.17</v>
      </c>
      <c r="E95" s="122">
        <v>0.49</v>
      </c>
      <c r="F95" s="122">
        <v>0.64</v>
      </c>
      <c r="G95" s="122">
        <v>38.874000000000002</v>
      </c>
    </row>
    <row r="96" spans="2:7" x14ac:dyDescent="0.2">
      <c r="B96" s="120" t="s">
        <v>457</v>
      </c>
      <c r="C96" s="121" t="s">
        <v>458</v>
      </c>
      <c r="D96" s="122">
        <v>0.51</v>
      </c>
      <c r="E96" s="122">
        <v>0.51</v>
      </c>
      <c r="F96" s="122"/>
      <c r="G96" s="122">
        <v>47.588999999999999</v>
      </c>
    </row>
    <row r="97" spans="2:7" x14ac:dyDescent="0.2">
      <c r="B97" s="120" t="s">
        <v>459</v>
      </c>
      <c r="C97" s="121" t="s">
        <v>460</v>
      </c>
      <c r="D97" s="122">
        <v>1.73</v>
      </c>
      <c r="E97" s="122">
        <v>2.65</v>
      </c>
      <c r="F97" s="122">
        <v>0.65</v>
      </c>
      <c r="G97" s="122">
        <v>39.558990000000001</v>
      </c>
    </row>
    <row r="98" spans="2:7" x14ac:dyDescent="0.2">
      <c r="B98" s="120" t="s">
        <v>3845</v>
      </c>
      <c r="C98" s="121" t="s">
        <v>3846</v>
      </c>
      <c r="D98" s="122">
        <v>0.72</v>
      </c>
      <c r="E98" s="122">
        <v>1.1499999999999999</v>
      </c>
      <c r="F98" s="122">
        <v>0.94</v>
      </c>
      <c r="G98" s="122">
        <v>48.334989999999998</v>
      </c>
    </row>
    <row r="99" spans="2:7" x14ac:dyDescent="0.2">
      <c r="B99" s="120" t="s">
        <v>461</v>
      </c>
      <c r="C99" s="121" t="s">
        <v>462</v>
      </c>
      <c r="D99" s="122">
        <v>1.36</v>
      </c>
      <c r="E99" s="122">
        <v>2.08</v>
      </c>
      <c r="F99" s="122">
        <v>0.54</v>
      </c>
      <c r="G99" s="122">
        <v>35.164000000000001</v>
      </c>
    </row>
    <row r="100" spans="2:7" x14ac:dyDescent="0.2">
      <c r="B100" s="120" t="s">
        <v>3847</v>
      </c>
      <c r="C100" s="121" t="s">
        <v>3848</v>
      </c>
      <c r="D100" s="122">
        <v>2.14</v>
      </c>
      <c r="E100" s="122">
        <v>3.09</v>
      </c>
      <c r="F100" s="122"/>
      <c r="G100" s="122">
        <v>1.0125900000000001</v>
      </c>
    </row>
    <row r="101" spans="2:7" x14ac:dyDescent="0.2">
      <c r="B101" s="120" t="s">
        <v>463</v>
      </c>
      <c r="C101" s="121" t="s">
        <v>464</v>
      </c>
      <c r="D101" s="122">
        <v>0.96</v>
      </c>
      <c r="E101" s="122">
        <v>2.17</v>
      </c>
      <c r="F101" s="122">
        <v>0.51</v>
      </c>
      <c r="G101" s="122">
        <v>33.667990000000003</v>
      </c>
    </row>
    <row r="102" spans="2:7" x14ac:dyDescent="0.2">
      <c r="B102" s="120" t="s">
        <v>465</v>
      </c>
      <c r="C102" s="121" t="s">
        <v>466</v>
      </c>
      <c r="D102" s="122">
        <v>1.01</v>
      </c>
      <c r="E102" s="122">
        <v>0.88</v>
      </c>
      <c r="F102" s="122">
        <v>0.57999999999999996</v>
      </c>
      <c r="G102" s="122">
        <v>36.520000000000003</v>
      </c>
    </row>
    <row r="103" spans="2:7" x14ac:dyDescent="0.2">
      <c r="B103" s="120" t="s">
        <v>467</v>
      </c>
      <c r="C103" s="121" t="s">
        <v>468</v>
      </c>
      <c r="D103" s="122">
        <v>0.71</v>
      </c>
      <c r="E103" s="122">
        <v>0.38</v>
      </c>
      <c r="F103" s="122">
        <v>0</v>
      </c>
      <c r="G103" s="122">
        <v>15.972</v>
      </c>
    </row>
    <row r="104" spans="2:7" x14ac:dyDescent="0.2">
      <c r="B104" s="120" t="s">
        <v>469</v>
      </c>
      <c r="C104" s="121" t="s">
        <v>470</v>
      </c>
      <c r="D104" s="122">
        <v>2.57</v>
      </c>
      <c r="E104" s="122">
        <v>2.89</v>
      </c>
      <c r="F104" s="122">
        <v>2.58</v>
      </c>
      <c r="G104" s="122">
        <v>72.029989999999998</v>
      </c>
    </row>
    <row r="105" spans="2:7" x14ac:dyDescent="0.2">
      <c r="B105" s="120" t="s">
        <v>471</v>
      </c>
      <c r="C105" s="121" t="s">
        <v>472</v>
      </c>
      <c r="D105" s="122">
        <v>0.93</v>
      </c>
      <c r="E105" s="122">
        <v>1.05</v>
      </c>
      <c r="F105" s="122">
        <v>0.47</v>
      </c>
      <c r="G105" s="122">
        <v>32.151000000000003</v>
      </c>
    </row>
    <row r="106" spans="2:7" x14ac:dyDescent="0.2">
      <c r="B106" s="120" t="s">
        <v>473</v>
      </c>
      <c r="C106" s="121" t="s">
        <v>474</v>
      </c>
      <c r="D106" s="122">
        <v>1.56</v>
      </c>
      <c r="E106" s="122">
        <v>1.37</v>
      </c>
      <c r="F106" s="122"/>
      <c r="G106" s="122">
        <v>31.663989999999998</v>
      </c>
    </row>
    <row r="107" spans="2:7" x14ac:dyDescent="0.2">
      <c r="B107" s="120" t="s">
        <v>475</v>
      </c>
      <c r="C107" s="121" t="s">
        <v>476</v>
      </c>
      <c r="D107" s="122">
        <v>0.68</v>
      </c>
      <c r="E107" s="122">
        <v>0.78</v>
      </c>
      <c r="F107" s="122">
        <v>0.8</v>
      </c>
      <c r="G107" s="122">
        <v>44.377989999999997</v>
      </c>
    </row>
    <row r="108" spans="2:7" x14ac:dyDescent="0.2">
      <c r="B108" s="120" t="s">
        <v>477</v>
      </c>
      <c r="C108" s="121" t="s">
        <v>478</v>
      </c>
      <c r="D108" s="122">
        <v>2.04</v>
      </c>
      <c r="E108" s="122">
        <v>2.0099999999999998</v>
      </c>
      <c r="F108" s="122">
        <v>0.18</v>
      </c>
      <c r="G108" s="122">
        <v>13.467000000000001</v>
      </c>
    </row>
    <row r="109" spans="2:7" x14ac:dyDescent="0.2">
      <c r="B109" s="120" t="s">
        <v>3849</v>
      </c>
      <c r="C109" s="121" t="s">
        <v>3850</v>
      </c>
      <c r="D109" s="122">
        <v>1.43</v>
      </c>
      <c r="E109" s="122">
        <v>1.81</v>
      </c>
      <c r="F109" s="122">
        <v>1.07</v>
      </c>
      <c r="G109" s="122">
        <v>51.719000000000001</v>
      </c>
    </row>
    <row r="110" spans="2:7" x14ac:dyDescent="0.2">
      <c r="B110" s="120" t="s">
        <v>479</v>
      </c>
      <c r="C110" s="121" t="s">
        <v>480</v>
      </c>
      <c r="D110" s="122">
        <v>0.68</v>
      </c>
      <c r="E110" s="122">
        <v>0.49</v>
      </c>
      <c r="F110" s="122">
        <v>4.13</v>
      </c>
      <c r="G110" s="122">
        <v>80.502989999999997</v>
      </c>
    </row>
    <row r="111" spans="2:7" x14ac:dyDescent="0.2">
      <c r="B111" s="120" t="s">
        <v>481</v>
      </c>
      <c r="C111" s="121" t="s">
        <v>482</v>
      </c>
      <c r="D111" s="122">
        <v>1.1499999999999999</v>
      </c>
      <c r="E111" s="122">
        <v>1.1599999999999999</v>
      </c>
      <c r="F111" s="122">
        <v>0.42</v>
      </c>
      <c r="G111" s="122">
        <v>29.617999999999999</v>
      </c>
    </row>
    <row r="112" spans="2:7" x14ac:dyDescent="0.2">
      <c r="B112" s="120" t="s">
        <v>483</v>
      </c>
      <c r="C112" s="121" t="s">
        <v>484</v>
      </c>
      <c r="D112" s="122">
        <v>0.66</v>
      </c>
      <c r="E112" s="122">
        <v>0.66</v>
      </c>
      <c r="F112" s="122">
        <v>2.33</v>
      </c>
      <c r="G112" s="122">
        <v>70.007000000000005</v>
      </c>
    </row>
    <row r="113" spans="2:7" x14ac:dyDescent="0.2">
      <c r="B113" s="120" t="s">
        <v>485</v>
      </c>
      <c r="C113" s="121" t="s">
        <v>10</v>
      </c>
      <c r="D113" s="122">
        <v>0.85</v>
      </c>
      <c r="E113" s="122">
        <v>1.1000000000000001</v>
      </c>
      <c r="F113" s="122">
        <v>0.44</v>
      </c>
      <c r="G113" s="122">
        <v>30.538989999999998</v>
      </c>
    </row>
    <row r="114" spans="2:7" x14ac:dyDescent="0.2">
      <c r="B114" s="120" t="s">
        <v>486</v>
      </c>
      <c r="C114" s="121" t="s">
        <v>487</v>
      </c>
      <c r="D114" s="122">
        <v>0.22</v>
      </c>
      <c r="E114" s="122">
        <v>0.83</v>
      </c>
      <c r="F114" s="122">
        <v>0.65</v>
      </c>
      <c r="G114" s="122">
        <v>39.534990000000001</v>
      </c>
    </row>
    <row r="115" spans="2:7" x14ac:dyDescent="0.2">
      <c r="B115" s="120" t="s">
        <v>3851</v>
      </c>
      <c r="C115" s="121" t="s">
        <v>3852</v>
      </c>
      <c r="D115" s="122">
        <v>0.31</v>
      </c>
      <c r="E115" s="122">
        <v>0.32</v>
      </c>
      <c r="F115" s="122">
        <v>0</v>
      </c>
      <c r="G115" s="122">
        <v>0</v>
      </c>
    </row>
    <row r="116" spans="2:7" x14ac:dyDescent="0.2">
      <c r="B116" s="120" t="s">
        <v>488</v>
      </c>
      <c r="C116" s="121" t="s">
        <v>489</v>
      </c>
      <c r="D116" s="122">
        <v>4.04</v>
      </c>
      <c r="E116" s="122">
        <v>5.77</v>
      </c>
      <c r="F116" s="122">
        <v>0.04</v>
      </c>
      <c r="G116" s="122">
        <v>3.4300899999999999</v>
      </c>
    </row>
    <row r="117" spans="2:7" x14ac:dyDescent="0.2">
      <c r="B117" s="120" t="s">
        <v>490</v>
      </c>
      <c r="C117" s="121" t="s">
        <v>491</v>
      </c>
      <c r="D117" s="122">
        <v>2.36</v>
      </c>
      <c r="E117" s="122">
        <v>2.21</v>
      </c>
      <c r="F117" s="122">
        <v>0.18</v>
      </c>
      <c r="G117" s="122">
        <v>16.297000000000001</v>
      </c>
    </row>
    <row r="118" spans="2:7" x14ac:dyDescent="0.2">
      <c r="B118" s="120" t="s">
        <v>492</v>
      </c>
      <c r="C118" s="121" t="s">
        <v>493</v>
      </c>
      <c r="D118" s="122"/>
      <c r="E118" s="122"/>
      <c r="F118" s="122"/>
      <c r="G118" s="122"/>
    </row>
    <row r="119" spans="2:7" x14ac:dyDescent="0.2">
      <c r="B119" s="120" t="s">
        <v>494</v>
      </c>
      <c r="C119" s="121" t="s">
        <v>495</v>
      </c>
      <c r="D119" s="122">
        <v>2.5</v>
      </c>
      <c r="E119" s="122">
        <v>2.2400000000000002</v>
      </c>
      <c r="F119" s="122">
        <v>0.03</v>
      </c>
      <c r="G119" s="122">
        <v>3.1096900000000001</v>
      </c>
    </row>
    <row r="120" spans="2:7" x14ac:dyDescent="0.2">
      <c r="B120" s="120" t="s">
        <v>496</v>
      </c>
      <c r="C120" s="121" t="s">
        <v>497</v>
      </c>
      <c r="D120" s="122">
        <v>1.56</v>
      </c>
      <c r="E120" s="122">
        <v>1.64</v>
      </c>
      <c r="F120" s="122">
        <v>0.56999999999999995</v>
      </c>
      <c r="G120" s="122">
        <v>36.152990000000003</v>
      </c>
    </row>
    <row r="121" spans="2:7" x14ac:dyDescent="0.2">
      <c r="B121" s="120" t="s">
        <v>498</v>
      </c>
      <c r="C121" s="121" t="s">
        <v>499</v>
      </c>
      <c r="D121" s="122">
        <v>1.18</v>
      </c>
      <c r="E121" s="122">
        <v>1.19</v>
      </c>
      <c r="F121" s="122"/>
      <c r="G121" s="122">
        <v>68.379990000000006</v>
      </c>
    </row>
    <row r="122" spans="2:7" x14ac:dyDescent="0.2">
      <c r="B122" s="120" t="s">
        <v>500</v>
      </c>
      <c r="C122" s="121" t="s">
        <v>501</v>
      </c>
      <c r="D122" s="122">
        <v>1.64</v>
      </c>
      <c r="E122" s="122">
        <v>1.83</v>
      </c>
      <c r="F122" s="122">
        <v>1.72</v>
      </c>
      <c r="G122" s="122">
        <v>63.268999999999998</v>
      </c>
    </row>
    <row r="123" spans="2:7" x14ac:dyDescent="0.2">
      <c r="B123" s="120" t="s">
        <v>502</v>
      </c>
      <c r="C123" s="121" t="s">
        <v>503</v>
      </c>
      <c r="D123" s="122">
        <v>1.7</v>
      </c>
      <c r="E123" s="122">
        <v>2.19</v>
      </c>
      <c r="F123" s="122">
        <v>0.23</v>
      </c>
      <c r="G123" s="122">
        <v>18.503990000000002</v>
      </c>
    </row>
    <row r="124" spans="2:7" x14ac:dyDescent="0.2">
      <c r="B124" s="120" t="s">
        <v>504</v>
      </c>
      <c r="C124" s="121" t="s">
        <v>505</v>
      </c>
      <c r="D124" s="122">
        <v>1.04</v>
      </c>
      <c r="E124" s="122">
        <v>1.23</v>
      </c>
      <c r="F124" s="122">
        <v>1</v>
      </c>
      <c r="G124" s="122">
        <v>50.008989999999997</v>
      </c>
    </row>
    <row r="125" spans="2:7" x14ac:dyDescent="0.2">
      <c r="B125" s="120" t="s">
        <v>506</v>
      </c>
      <c r="C125" s="121" t="s">
        <v>507</v>
      </c>
      <c r="D125" s="122">
        <v>2</v>
      </c>
      <c r="E125" s="122">
        <v>2.2799999999999998</v>
      </c>
      <c r="F125" s="122">
        <v>0.28000000000000003</v>
      </c>
      <c r="G125" s="122">
        <v>21.821999999999999</v>
      </c>
    </row>
    <row r="126" spans="2:7" x14ac:dyDescent="0.2">
      <c r="B126" s="120" t="s">
        <v>508</v>
      </c>
      <c r="C126" s="121" t="s">
        <v>509</v>
      </c>
      <c r="D126" s="122"/>
      <c r="E126" s="122"/>
      <c r="F126" s="122"/>
      <c r="G126" s="122"/>
    </row>
    <row r="127" spans="2:7" x14ac:dyDescent="0.2">
      <c r="B127" s="120" t="s">
        <v>510</v>
      </c>
      <c r="C127" s="121" t="s">
        <v>511</v>
      </c>
      <c r="D127" s="122">
        <v>1.36</v>
      </c>
      <c r="E127" s="122">
        <v>2.06</v>
      </c>
      <c r="F127" s="122">
        <v>0.85</v>
      </c>
      <c r="G127" s="122">
        <v>45.923000000000002</v>
      </c>
    </row>
    <row r="128" spans="2:7" x14ac:dyDescent="0.2">
      <c r="B128" s="120" t="s">
        <v>3853</v>
      </c>
      <c r="C128" s="121" t="s">
        <v>3854</v>
      </c>
      <c r="D128" s="122">
        <v>0.27</v>
      </c>
      <c r="E128" s="122">
        <v>0.04</v>
      </c>
      <c r="F128" s="122">
        <v>0.05</v>
      </c>
      <c r="G128" s="122">
        <v>4.6509999999999998</v>
      </c>
    </row>
    <row r="129" spans="2:7" x14ac:dyDescent="0.2">
      <c r="B129" s="120" t="s">
        <v>512</v>
      </c>
      <c r="C129" s="121" t="s">
        <v>513</v>
      </c>
      <c r="D129" s="122">
        <v>1.23</v>
      </c>
      <c r="E129" s="122">
        <v>1.64</v>
      </c>
      <c r="F129" s="122">
        <v>1.24</v>
      </c>
      <c r="G129" s="122">
        <v>49.15</v>
      </c>
    </row>
    <row r="130" spans="2:7" x14ac:dyDescent="0.2">
      <c r="B130" s="120" t="s">
        <v>514</v>
      </c>
      <c r="C130" s="121" t="s">
        <v>515</v>
      </c>
      <c r="D130" s="122">
        <v>3.83</v>
      </c>
      <c r="E130" s="122">
        <v>1.53</v>
      </c>
      <c r="F130" s="122">
        <v>0.56000000000000005</v>
      </c>
      <c r="G130" s="122">
        <v>35.844999999999999</v>
      </c>
    </row>
    <row r="131" spans="2:7" x14ac:dyDescent="0.2">
      <c r="B131" s="120" t="s">
        <v>516</v>
      </c>
      <c r="C131" s="121" t="s">
        <v>517</v>
      </c>
      <c r="D131" s="122">
        <v>1.63</v>
      </c>
      <c r="E131" s="122">
        <v>1.32</v>
      </c>
      <c r="F131" s="122">
        <v>0.04</v>
      </c>
      <c r="G131" s="122">
        <v>4.1542000000000003</v>
      </c>
    </row>
    <row r="132" spans="2:7" x14ac:dyDescent="0.2">
      <c r="B132" s="120" t="s">
        <v>518</v>
      </c>
      <c r="C132" s="121" t="s">
        <v>519</v>
      </c>
      <c r="D132" s="122">
        <v>0.95</v>
      </c>
      <c r="E132" s="122">
        <v>1.22</v>
      </c>
      <c r="F132" s="122">
        <v>1.1599999999999999</v>
      </c>
      <c r="G132" s="122">
        <v>53.805990000000001</v>
      </c>
    </row>
    <row r="133" spans="2:7" x14ac:dyDescent="0.2">
      <c r="B133" s="120" t="s">
        <v>520</v>
      </c>
      <c r="C133" s="121" t="s">
        <v>521</v>
      </c>
      <c r="D133" s="122">
        <v>0.79</v>
      </c>
      <c r="E133" s="122">
        <v>1.03</v>
      </c>
      <c r="F133" s="122">
        <v>1.01</v>
      </c>
      <c r="G133" s="122">
        <v>51.213999999999999</v>
      </c>
    </row>
    <row r="134" spans="2:7" x14ac:dyDescent="0.2">
      <c r="B134" s="120" t="s">
        <v>522</v>
      </c>
      <c r="C134" s="121" t="s">
        <v>523</v>
      </c>
      <c r="D134" s="122">
        <v>1.05</v>
      </c>
      <c r="E134" s="122">
        <v>2.1</v>
      </c>
      <c r="F134" s="122">
        <v>0.82</v>
      </c>
      <c r="G134" s="122">
        <v>44.981990000000003</v>
      </c>
    </row>
    <row r="135" spans="2:7" x14ac:dyDescent="0.2">
      <c r="B135" s="120" t="s">
        <v>524</v>
      </c>
      <c r="C135" s="121" t="s">
        <v>525</v>
      </c>
      <c r="D135" s="122">
        <v>0.28999999999999998</v>
      </c>
      <c r="E135" s="122">
        <v>0.21</v>
      </c>
      <c r="F135" s="122">
        <v>0.76</v>
      </c>
      <c r="G135" s="122">
        <v>43.116</v>
      </c>
    </row>
    <row r="136" spans="2:7" x14ac:dyDescent="0.2">
      <c r="B136" s="120" t="s">
        <v>526</v>
      </c>
      <c r="C136" s="121" t="s">
        <v>527</v>
      </c>
      <c r="D136" s="122">
        <v>0.1</v>
      </c>
      <c r="E136" s="122">
        <v>1.04</v>
      </c>
      <c r="F136" s="122">
        <v>0.67</v>
      </c>
      <c r="G136" s="122">
        <v>35.230989999999998</v>
      </c>
    </row>
    <row r="137" spans="2:7" x14ac:dyDescent="0.2">
      <c r="B137" s="120" t="s">
        <v>528</v>
      </c>
      <c r="C137" s="121" t="s">
        <v>529</v>
      </c>
      <c r="D137" s="122">
        <v>14.29</v>
      </c>
      <c r="E137" s="122">
        <v>9.3699999999999992</v>
      </c>
      <c r="F137" s="122">
        <v>0.01</v>
      </c>
      <c r="G137" s="122">
        <v>0.55088999999999999</v>
      </c>
    </row>
    <row r="138" spans="2:7" x14ac:dyDescent="0.2">
      <c r="B138" s="120" t="s">
        <v>3855</v>
      </c>
      <c r="C138" s="121" t="s">
        <v>3856</v>
      </c>
      <c r="D138" s="122">
        <v>38.08</v>
      </c>
      <c r="E138" s="122">
        <v>44.69</v>
      </c>
      <c r="F138" s="122">
        <v>0.39</v>
      </c>
      <c r="G138" s="122">
        <v>28.21199</v>
      </c>
    </row>
    <row r="139" spans="2:7" x14ac:dyDescent="0.2">
      <c r="B139" s="120" t="s">
        <v>530</v>
      </c>
      <c r="C139" s="121" t="s">
        <v>531</v>
      </c>
      <c r="D139" s="122">
        <v>1.77</v>
      </c>
      <c r="E139" s="122">
        <v>1.95</v>
      </c>
      <c r="F139" s="122">
        <v>0.37</v>
      </c>
      <c r="G139" s="122">
        <v>26.843</v>
      </c>
    </row>
    <row r="140" spans="2:7" x14ac:dyDescent="0.2">
      <c r="B140" s="120" t="s">
        <v>532</v>
      </c>
      <c r="C140" s="121" t="s">
        <v>533</v>
      </c>
      <c r="D140" s="122">
        <v>0.87</v>
      </c>
      <c r="E140" s="122">
        <v>1.22</v>
      </c>
      <c r="F140" s="122">
        <v>2.19</v>
      </c>
      <c r="G140" s="122">
        <v>68.69</v>
      </c>
    </row>
    <row r="141" spans="2:7" x14ac:dyDescent="0.2">
      <c r="B141" s="120" t="s">
        <v>534</v>
      </c>
      <c r="C141" s="121" t="s">
        <v>535</v>
      </c>
      <c r="D141" s="122">
        <v>1.1599999999999999</v>
      </c>
      <c r="E141" s="122">
        <v>1.66</v>
      </c>
      <c r="F141" s="122">
        <v>1.23</v>
      </c>
      <c r="G141" s="122">
        <v>54.805990000000001</v>
      </c>
    </row>
    <row r="142" spans="2:7" x14ac:dyDescent="0.2">
      <c r="B142" s="120" t="s">
        <v>536</v>
      </c>
      <c r="C142" s="121" t="s">
        <v>537</v>
      </c>
      <c r="D142" s="122">
        <v>1.1100000000000001</v>
      </c>
      <c r="E142" s="122">
        <v>1.64</v>
      </c>
      <c r="F142" s="122">
        <v>0.65</v>
      </c>
      <c r="G142" s="122">
        <v>39.564990000000002</v>
      </c>
    </row>
    <row r="143" spans="2:7" x14ac:dyDescent="0.2">
      <c r="B143" s="120" t="s">
        <v>538</v>
      </c>
      <c r="C143" s="121" t="s">
        <v>539</v>
      </c>
      <c r="D143" s="122">
        <v>0.64</v>
      </c>
      <c r="E143" s="122">
        <v>0.99</v>
      </c>
      <c r="F143" s="122">
        <v>0.43</v>
      </c>
      <c r="G143" s="122">
        <v>29.995000000000001</v>
      </c>
    </row>
    <row r="144" spans="2:7" x14ac:dyDescent="0.2">
      <c r="B144" s="120" t="s">
        <v>540</v>
      </c>
      <c r="C144" s="121" t="s">
        <v>541</v>
      </c>
      <c r="D144" s="122">
        <v>0.93</v>
      </c>
      <c r="E144" s="122">
        <v>0.92</v>
      </c>
      <c r="F144" s="122">
        <v>0.97</v>
      </c>
      <c r="G144" s="122">
        <v>47.576990000000002</v>
      </c>
    </row>
    <row r="145" spans="2:7" x14ac:dyDescent="0.2">
      <c r="B145" s="120" t="s">
        <v>542</v>
      </c>
      <c r="C145" s="121" t="s">
        <v>543</v>
      </c>
      <c r="D145" s="122">
        <v>0.95</v>
      </c>
      <c r="E145" s="122">
        <v>1.73</v>
      </c>
      <c r="F145" s="122"/>
      <c r="G145" s="122">
        <v>3.67449</v>
      </c>
    </row>
    <row r="146" spans="2:7" x14ac:dyDescent="0.2">
      <c r="B146" s="120" t="s">
        <v>544</v>
      </c>
      <c r="C146" s="121" t="s">
        <v>545</v>
      </c>
      <c r="D146" s="122">
        <v>1.1200000000000001</v>
      </c>
      <c r="E146" s="122">
        <v>1.45</v>
      </c>
      <c r="F146" s="122"/>
      <c r="G146" s="122">
        <v>21.861000000000001</v>
      </c>
    </row>
    <row r="147" spans="2:7" x14ac:dyDescent="0.2">
      <c r="B147" s="120" t="s">
        <v>3857</v>
      </c>
      <c r="C147" s="121" t="s">
        <v>3858</v>
      </c>
      <c r="D147" s="122">
        <v>0.99</v>
      </c>
      <c r="E147" s="122">
        <v>1.54</v>
      </c>
      <c r="F147" s="122"/>
      <c r="G147" s="122">
        <v>25.302</v>
      </c>
    </row>
    <row r="148" spans="2:7" x14ac:dyDescent="0.2">
      <c r="B148" s="120" t="s">
        <v>546</v>
      </c>
      <c r="C148" s="121" t="s">
        <v>547</v>
      </c>
      <c r="D148" s="122">
        <v>2.23</v>
      </c>
      <c r="E148" s="122">
        <v>2.14</v>
      </c>
      <c r="F148" s="122">
        <v>0.85</v>
      </c>
      <c r="G148" s="122">
        <v>46.003999999999998</v>
      </c>
    </row>
    <row r="149" spans="2:7" x14ac:dyDescent="0.2">
      <c r="B149" s="120" t="s">
        <v>548</v>
      </c>
      <c r="C149" s="121" t="s">
        <v>549</v>
      </c>
      <c r="D149" s="122">
        <v>0.98</v>
      </c>
      <c r="E149" s="122">
        <v>2.02</v>
      </c>
      <c r="F149" s="122">
        <v>0.71</v>
      </c>
      <c r="G149" s="122">
        <v>41.423990000000003</v>
      </c>
    </row>
    <row r="150" spans="2:7" x14ac:dyDescent="0.2">
      <c r="B150" s="120" t="s">
        <v>550</v>
      </c>
      <c r="C150" s="121" t="s">
        <v>551</v>
      </c>
      <c r="D150" s="122">
        <v>1.27</v>
      </c>
      <c r="E150" s="122">
        <v>1.39</v>
      </c>
      <c r="F150" s="122"/>
      <c r="G150" s="122">
        <v>57.283000000000001</v>
      </c>
    </row>
    <row r="151" spans="2:7" x14ac:dyDescent="0.2">
      <c r="B151" s="120" t="s">
        <v>3859</v>
      </c>
      <c r="C151" s="121" t="s">
        <v>3860</v>
      </c>
      <c r="D151" s="122">
        <v>2.62</v>
      </c>
      <c r="E151" s="122">
        <v>3.44</v>
      </c>
      <c r="F151" s="122">
        <v>0</v>
      </c>
      <c r="G151" s="122">
        <v>0</v>
      </c>
    </row>
    <row r="152" spans="2:7" x14ac:dyDescent="0.2">
      <c r="B152" s="120" t="s">
        <v>552</v>
      </c>
      <c r="C152" s="121" t="s">
        <v>553</v>
      </c>
      <c r="D152" s="122">
        <v>1.87</v>
      </c>
      <c r="E152" s="122">
        <v>2.68</v>
      </c>
      <c r="F152" s="122">
        <v>0.27</v>
      </c>
      <c r="G152" s="122">
        <v>21.340990000000001</v>
      </c>
    </row>
    <row r="153" spans="2:7" x14ac:dyDescent="0.2">
      <c r="B153" s="120" t="s">
        <v>554</v>
      </c>
      <c r="C153" s="121" t="s">
        <v>555</v>
      </c>
      <c r="D153" s="122">
        <v>7.53</v>
      </c>
      <c r="E153" s="122">
        <v>11.59</v>
      </c>
      <c r="F153" s="122">
        <v>0.05</v>
      </c>
      <c r="G153" s="122">
        <v>4.4527900000000002</v>
      </c>
    </row>
    <row r="154" spans="2:7" x14ac:dyDescent="0.2">
      <c r="B154" s="120" t="s">
        <v>556</v>
      </c>
      <c r="C154" s="121" t="s">
        <v>557</v>
      </c>
      <c r="D154" s="122">
        <v>2.4700000000000002</v>
      </c>
      <c r="E154" s="122">
        <v>2.79</v>
      </c>
      <c r="F154" s="122">
        <v>0.38</v>
      </c>
      <c r="G154" s="122">
        <v>27.335999999999999</v>
      </c>
    </row>
    <row r="155" spans="2:7" x14ac:dyDescent="0.2">
      <c r="B155" s="120" t="s">
        <v>558</v>
      </c>
      <c r="C155" s="121" t="s">
        <v>559</v>
      </c>
      <c r="D155" s="122">
        <v>1.04</v>
      </c>
      <c r="E155" s="122">
        <v>1.19</v>
      </c>
      <c r="F155" s="122">
        <v>0.64</v>
      </c>
      <c r="G155" s="122">
        <v>39.088000000000001</v>
      </c>
    </row>
    <row r="156" spans="2:7" x14ac:dyDescent="0.2">
      <c r="B156" s="120" t="s">
        <v>3861</v>
      </c>
      <c r="C156" s="121" t="s">
        <v>3862</v>
      </c>
      <c r="D156" s="122">
        <v>1.1399999999999999</v>
      </c>
      <c r="E156" s="122">
        <v>0.93</v>
      </c>
      <c r="F156" s="122">
        <v>2.59</v>
      </c>
      <c r="G156" s="122">
        <v>72.108000000000004</v>
      </c>
    </row>
    <row r="157" spans="2:7" x14ac:dyDescent="0.2">
      <c r="B157" s="120" t="s">
        <v>3863</v>
      </c>
      <c r="C157" s="121" t="s">
        <v>3864</v>
      </c>
      <c r="D157" s="122">
        <v>0.94</v>
      </c>
      <c r="E157" s="122">
        <v>0.94</v>
      </c>
      <c r="F157" s="122"/>
      <c r="G157" s="122">
        <v>84.619</v>
      </c>
    </row>
    <row r="158" spans="2:7" x14ac:dyDescent="0.2">
      <c r="B158" s="120" t="s">
        <v>560</v>
      </c>
      <c r="C158" s="121" t="s">
        <v>561</v>
      </c>
      <c r="D158" s="122">
        <v>2.8</v>
      </c>
      <c r="E158" s="122">
        <v>3.86</v>
      </c>
      <c r="F158" s="122">
        <v>0.04</v>
      </c>
      <c r="G158" s="122">
        <v>3.9619900000000001</v>
      </c>
    </row>
    <row r="159" spans="2:7" x14ac:dyDescent="0.2">
      <c r="B159" s="120" t="s">
        <v>562</v>
      </c>
      <c r="C159" s="121" t="s">
        <v>563</v>
      </c>
      <c r="D159" s="122">
        <v>0.11</v>
      </c>
      <c r="E159" s="122">
        <v>0.12</v>
      </c>
      <c r="F159" s="122">
        <v>0.08</v>
      </c>
      <c r="G159" s="122">
        <v>7.4198899999999997</v>
      </c>
    </row>
    <row r="160" spans="2:7" x14ac:dyDescent="0.2">
      <c r="B160" s="120" t="s">
        <v>564</v>
      </c>
      <c r="C160" s="121" t="s">
        <v>565</v>
      </c>
      <c r="D160" s="122">
        <v>3.16</v>
      </c>
      <c r="E160" s="122">
        <v>3.78</v>
      </c>
      <c r="F160" s="122">
        <v>0</v>
      </c>
      <c r="G160" s="122">
        <v>0</v>
      </c>
    </row>
    <row r="161" spans="2:7" x14ac:dyDescent="0.2">
      <c r="B161" s="120" t="s">
        <v>566</v>
      </c>
      <c r="C161" s="121" t="s">
        <v>567</v>
      </c>
      <c r="D161" s="122">
        <v>1.17</v>
      </c>
      <c r="E161" s="122">
        <v>1.51</v>
      </c>
      <c r="F161" s="122">
        <v>0.39</v>
      </c>
      <c r="G161" s="122">
        <v>28.117000000000001</v>
      </c>
    </row>
    <row r="162" spans="2:7" x14ac:dyDescent="0.2">
      <c r="B162" s="120" t="s">
        <v>568</v>
      </c>
      <c r="C162" s="121" t="s">
        <v>569</v>
      </c>
      <c r="D162" s="122">
        <v>0.16</v>
      </c>
      <c r="E162" s="122">
        <v>0.56000000000000005</v>
      </c>
      <c r="F162" s="122">
        <v>0.63</v>
      </c>
      <c r="G162" s="122">
        <v>38.480989999999998</v>
      </c>
    </row>
    <row r="163" spans="2:7" x14ac:dyDescent="0.2">
      <c r="B163" s="120" t="s">
        <v>570</v>
      </c>
      <c r="C163" s="121" t="s">
        <v>571</v>
      </c>
      <c r="D163" s="122">
        <v>1.38</v>
      </c>
      <c r="E163" s="122">
        <v>2.11</v>
      </c>
      <c r="F163" s="122">
        <v>0.76</v>
      </c>
      <c r="G163" s="122">
        <v>43.294989999999999</v>
      </c>
    </row>
    <row r="164" spans="2:7" x14ac:dyDescent="0.2">
      <c r="B164" s="120" t="s">
        <v>572</v>
      </c>
      <c r="C164" s="121" t="s">
        <v>573</v>
      </c>
      <c r="D164" s="122">
        <v>0.45</v>
      </c>
      <c r="E164" s="122">
        <v>0.28999999999999998</v>
      </c>
      <c r="F164" s="122">
        <v>9.18</v>
      </c>
      <c r="G164" s="122">
        <v>90.176000000000002</v>
      </c>
    </row>
    <row r="165" spans="2:7" x14ac:dyDescent="0.2">
      <c r="B165" s="120" t="s">
        <v>574</v>
      </c>
      <c r="C165" s="121" t="s">
        <v>575</v>
      </c>
      <c r="D165" s="122">
        <v>2.29</v>
      </c>
      <c r="E165" s="122">
        <v>3.46</v>
      </c>
      <c r="F165" s="122">
        <v>0.22</v>
      </c>
      <c r="G165" s="122">
        <v>18.245999999999999</v>
      </c>
    </row>
    <row r="166" spans="2:7" x14ac:dyDescent="0.2">
      <c r="B166" s="120" t="s">
        <v>576</v>
      </c>
      <c r="C166" s="121" t="s">
        <v>577</v>
      </c>
      <c r="D166" s="122">
        <v>0.73</v>
      </c>
      <c r="E166" s="122">
        <v>0.9</v>
      </c>
      <c r="F166" s="122">
        <v>0.53</v>
      </c>
      <c r="G166" s="122">
        <v>34.573</v>
      </c>
    </row>
    <row r="167" spans="2:7" x14ac:dyDescent="0.2">
      <c r="B167" s="120" t="s">
        <v>578</v>
      </c>
      <c r="C167" s="121" t="s">
        <v>579</v>
      </c>
      <c r="D167" s="122">
        <v>0.9</v>
      </c>
      <c r="E167" s="122">
        <v>0.95</v>
      </c>
      <c r="F167" s="122">
        <v>0.49</v>
      </c>
      <c r="G167" s="122">
        <v>32.692</v>
      </c>
    </row>
    <row r="168" spans="2:7" x14ac:dyDescent="0.2">
      <c r="B168" s="120" t="s">
        <v>580</v>
      </c>
      <c r="C168" s="121" t="s">
        <v>581</v>
      </c>
      <c r="D168" s="122">
        <v>1.62</v>
      </c>
      <c r="E168" s="122">
        <v>2.89</v>
      </c>
      <c r="F168" s="122"/>
      <c r="G168" s="122">
        <v>56.055</v>
      </c>
    </row>
    <row r="169" spans="2:7" x14ac:dyDescent="0.2">
      <c r="B169" s="120" t="s">
        <v>582</v>
      </c>
      <c r="C169" s="121" t="s">
        <v>583</v>
      </c>
      <c r="D169" s="122">
        <v>0.5</v>
      </c>
      <c r="E169" s="122">
        <v>1.66</v>
      </c>
      <c r="F169" s="122">
        <v>0.44</v>
      </c>
      <c r="G169" s="122">
        <v>30.472000000000001</v>
      </c>
    </row>
    <row r="170" spans="2:7" x14ac:dyDescent="0.2">
      <c r="B170" s="120" t="s">
        <v>584</v>
      </c>
      <c r="C170" s="121" t="s">
        <v>585</v>
      </c>
      <c r="D170" s="122">
        <v>0.44</v>
      </c>
      <c r="E170" s="122">
        <v>0.52</v>
      </c>
      <c r="F170" s="122">
        <v>0.93</v>
      </c>
      <c r="G170" s="122">
        <v>48.198</v>
      </c>
    </row>
    <row r="171" spans="2:7" x14ac:dyDescent="0.2">
      <c r="B171" s="120" t="s">
        <v>586</v>
      </c>
      <c r="C171" s="121" t="s">
        <v>587</v>
      </c>
      <c r="D171" s="122">
        <v>1.0900000000000001</v>
      </c>
      <c r="E171" s="122">
        <v>1.06</v>
      </c>
      <c r="F171" s="122">
        <v>0.66</v>
      </c>
      <c r="G171" s="122">
        <v>39.648989999999998</v>
      </c>
    </row>
    <row r="172" spans="2:7" x14ac:dyDescent="0.2">
      <c r="B172" s="120" t="s">
        <v>588</v>
      </c>
      <c r="C172" s="121" t="s">
        <v>589</v>
      </c>
      <c r="D172" s="122">
        <v>0.63</v>
      </c>
      <c r="E172" s="122">
        <v>1.08</v>
      </c>
      <c r="F172" s="122">
        <v>0.7</v>
      </c>
      <c r="G172" s="122">
        <v>41.073999999999998</v>
      </c>
    </row>
    <row r="173" spans="2:7" x14ac:dyDescent="0.2">
      <c r="B173" s="120" t="s">
        <v>590</v>
      </c>
      <c r="C173" s="121" t="s">
        <v>591</v>
      </c>
      <c r="D173" s="122">
        <v>3.41</v>
      </c>
      <c r="E173" s="122">
        <v>1.32</v>
      </c>
      <c r="F173" s="122">
        <v>1.58</v>
      </c>
      <c r="G173" s="122">
        <v>61.277000000000001</v>
      </c>
    </row>
    <row r="174" spans="2:7" x14ac:dyDescent="0.2">
      <c r="B174" s="120" t="s">
        <v>3865</v>
      </c>
      <c r="C174" s="121" t="s">
        <v>3866</v>
      </c>
      <c r="D174" s="122">
        <v>0.43</v>
      </c>
      <c r="E174" s="122">
        <v>0.57999999999999996</v>
      </c>
      <c r="F174" s="122"/>
      <c r="G174" s="122">
        <v>0</v>
      </c>
    </row>
    <row r="175" spans="2:7" x14ac:dyDescent="0.2">
      <c r="B175" s="120" t="s">
        <v>592</v>
      </c>
      <c r="C175" s="121" t="s">
        <v>593</v>
      </c>
      <c r="D175" s="122">
        <v>1.1200000000000001</v>
      </c>
      <c r="E175" s="122">
        <v>2.4</v>
      </c>
      <c r="F175" s="122">
        <v>0</v>
      </c>
      <c r="G175" s="122">
        <v>0</v>
      </c>
    </row>
    <row r="176" spans="2:7" x14ac:dyDescent="0.2">
      <c r="B176" s="120" t="s">
        <v>594</v>
      </c>
      <c r="C176" s="121" t="s">
        <v>595</v>
      </c>
      <c r="D176" s="122">
        <v>1.5</v>
      </c>
      <c r="E176" s="122">
        <v>2.67</v>
      </c>
      <c r="F176" s="122">
        <v>0.34</v>
      </c>
      <c r="G176" s="122">
        <v>25.535990000000002</v>
      </c>
    </row>
    <row r="177" spans="2:7" x14ac:dyDescent="0.2">
      <c r="B177" s="120" t="s">
        <v>3867</v>
      </c>
      <c r="C177" s="121" t="s">
        <v>3868</v>
      </c>
      <c r="D177" s="122"/>
      <c r="E177" s="122"/>
      <c r="F177" s="122"/>
      <c r="G177" s="122"/>
    </row>
    <row r="178" spans="2:7" x14ac:dyDescent="0.2">
      <c r="B178" s="120" t="s">
        <v>596</v>
      </c>
      <c r="C178" s="121" t="s">
        <v>597</v>
      </c>
      <c r="D178" s="122">
        <v>3.28</v>
      </c>
      <c r="E178" s="122">
        <v>3.28</v>
      </c>
      <c r="F178" s="122"/>
      <c r="G178" s="122">
        <v>33.793990000000001</v>
      </c>
    </row>
    <row r="179" spans="2:7" x14ac:dyDescent="0.2">
      <c r="B179" s="120" t="s">
        <v>598</v>
      </c>
      <c r="C179" s="121" t="s">
        <v>599</v>
      </c>
      <c r="D179" s="122">
        <v>0.83</v>
      </c>
      <c r="E179" s="122">
        <v>1.04</v>
      </c>
      <c r="F179" s="122">
        <v>1.41</v>
      </c>
      <c r="G179" s="122">
        <v>58.59</v>
      </c>
    </row>
    <row r="180" spans="2:7" x14ac:dyDescent="0.2">
      <c r="B180" s="120" t="s">
        <v>3869</v>
      </c>
      <c r="C180" s="121" t="s">
        <v>3870</v>
      </c>
      <c r="D180" s="122">
        <v>1.7</v>
      </c>
      <c r="E180" s="122">
        <v>1.7</v>
      </c>
      <c r="F180" s="122"/>
      <c r="G180" s="122">
        <v>0</v>
      </c>
    </row>
    <row r="181" spans="2:7" x14ac:dyDescent="0.2">
      <c r="B181" s="120" t="s">
        <v>600</v>
      </c>
      <c r="C181" s="121" t="s">
        <v>601</v>
      </c>
      <c r="D181" s="122">
        <v>1.26</v>
      </c>
      <c r="E181" s="122">
        <v>1.2</v>
      </c>
      <c r="F181" s="122">
        <v>3.02</v>
      </c>
      <c r="G181" s="122">
        <v>75.135999999999996</v>
      </c>
    </row>
    <row r="182" spans="2:7" x14ac:dyDescent="0.2">
      <c r="B182" s="120" t="s">
        <v>602</v>
      </c>
      <c r="C182" s="121" t="s">
        <v>603</v>
      </c>
      <c r="D182" s="122">
        <v>0.35</v>
      </c>
      <c r="E182" s="122">
        <v>0.56000000000000005</v>
      </c>
      <c r="F182" s="122">
        <v>1.43</v>
      </c>
      <c r="G182" s="122">
        <v>58.93</v>
      </c>
    </row>
    <row r="183" spans="2:7" x14ac:dyDescent="0.2">
      <c r="B183" s="120" t="s">
        <v>604</v>
      </c>
      <c r="C183" s="121" t="s">
        <v>605</v>
      </c>
      <c r="D183" s="122">
        <v>0.86</v>
      </c>
      <c r="E183" s="122">
        <v>1.1499999999999999</v>
      </c>
      <c r="F183" s="122">
        <v>0.82</v>
      </c>
      <c r="G183" s="122">
        <v>45.131</v>
      </c>
    </row>
    <row r="184" spans="2:7" x14ac:dyDescent="0.2">
      <c r="B184" s="120" t="s">
        <v>606</v>
      </c>
      <c r="C184" s="121" t="s">
        <v>607</v>
      </c>
      <c r="D184" s="122">
        <v>0.1</v>
      </c>
      <c r="E184" s="122">
        <v>0.1</v>
      </c>
      <c r="F184" s="122"/>
      <c r="G184" s="122">
        <v>23.71199</v>
      </c>
    </row>
    <row r="185" spans="2:7" x14ac:dyDescent="0.2">
      <c r="B185" s="120" t="s">
        <v>608</v>
      </c>
      <c r="C185" s="121" t="s">
        <v>609</v>
      </c>
      <c r="D185" s="122">
        <v>1.93</v>
      </c>
      <c r="E185" s="122">
        <v>1.84</v>
      </c>
      <c r="F185" s="122">
        <v>2.5</v>
      </c>
      <c r="G185" s="122">
        <v>71.430989999999994</v>
      </c>
    </row>
    <row r="186" spans="2:7" x14ac:dyDescent="0.2">
      <c r="B186" s="120" t="s">
        <v>610</v>
      </c>
      <c r="C186" s="121" t="s">
        <v>611</v>
      </c>
      <c r="D186" s="122">
        <v>0.56000000000000005</v>
      </c>
      <c r="E186" s="122">
        <v>0.56000000000000005</v>
      </c>
      <c r="F186" s="122">
        <v>0.36</v>
      </c>
      <c r="G186" s="122">
        <v>23.419</v>
      </c>
    </row>
    <row r="187" spans="2:7" x14ac:dyDescent="0.2">
      <c r="B187" s="120" t="s">
        <v>612</v>
      </c>
      <c r="C187" s="121" t="s">
        <v>613</v>
      </c>
      <c r="D187" s="122">
        <v>1.63</v>
      </c>
      <c r="E187" s="122">
        <v>2.3199999999999998</v>
      </c>
      <c r="F187" s="122">
        <v>2.92</v>
      </c>
      <c r="G187" s="122">
        <v>74.468000000000004</v>
      </c>
    </row>
    <row r="188" spans="2:7" x14ac:dyDescent="0.2">
      <c r="B188" s="120" t="s">
        <v>614</v>
      </c>
      <c r="C188" s="121" t="s">
        <v>615</v>
      </c>
      <c r="D188" s="122"/>
      <c r="E188" s="122">
        <v>2.19</v>
      </c>
      <c r="F188" s="122"/>
      <c r="G188" s="122">
        <v>15.565989999999999</v>
      </c>
    </row>
    <row r="189" spans="2:7" x14ac:dyDescent="0.2">
      <c r="B189" s="120" t="s">
        <v>616</v>
      </c>
      <c r="C189" s="121" t="s">
        <v>617</v>
      </c>
      <c r="D189" s="122">
        <v>3.71</v>
      </c>
      <c r="E189" s="122">
        <v>1.48</v>
      </c>
      <c r="F189" s="122">
        <v>0.09</v>
      </c>
      <c r="G189" s="122">
        <v>7.8955000000000002</v>
      </c>
    </row>
    <row r="190" spans="2:7" x14ac:dyDescent="0.2">
      <c r="B190" s="120" t="s">
        <v>618</v>
      </c>
      <c r="C190" s="121" t="s">
        <v>619</v>
      </c>
      <c r="D190" s="122">
        <v>0.78</v>
      </c>
      <c r="E190" s="122">
        <v>0.95</v>
      </c>
      <c r="F190" s="122">
        <v>1.19</v>
      </c>
      <c r="G190" s="122">
        <v>54.247</v>
      </c>
    </row>
    <row r="191" spans="2:7" x14ac:dyDescent="0.2">
      <c r="B191" s="120" t="s">
        <v>620</v>
      </c>
      <c r="C191" s="121" t="s">
        <v>621</v>
      </c>
      <c r="D191" s="122"/>
      <c r="E191" s="122">
        <v>0.94</v>
      </c>
      <c r="F191" s="122"/>
      <c r="G191" s="122"/>
    </row>
    <row r="192" spans="2:7" x14ac:dyDescent="0.2">
      <c r="B192" s="120" t="s">
        <v>622</v>
      </c>
      <c r="C192" s="121" t="s">
        <v>623</v>
      </c>
      <c r="D192" s="122">
        <v>1.34</v>
      </c>
      <c r="E192" s="122">
        <v>1.34</v>
      </c>
      <c r="F192" s="122">
        <v>0</v>
      </c>
      <c r="G192" s="122">
        <v>0</v>
      </c>
    </row>
    <row r="193" spans="2:7" x14ac:dyDescent="0.2">
      <c r="B193" s="120" t="s">
        <v>624</v>
      </c>
      <c r="C193" s="121" t="s">
        <v>625</v>
      </c>
      <c r="D193" s="122">
        <v>0.05</v>
      </c>
      <c r="E193" s="122">
        <v>0.06</v>
      </c>
      <c r="F193" s="122">
        <v>0.34</v>
      </c>
      <c r="G193" s="122">
        <v>25.283000000000001</v>
      </c>
    </row>
    <row r="194" spans="2:7" x14ac:dyDescent="0.2">
      <c r="B194" s="120" t="s">
        <v>626</v>
      </c>
      <c r="C194" s="121" t="s">
        <v>627</v>
      </c>
      <c r="D194" s="122">
        <v>0.82</v>
      </c>
      <c r="E194" s="122">
        <v>0.69</v>
      </c>
      <c r="F194" s="122"/>
      <c r="G194" s="122">
        <v>51.585990000000002</v>
      </c>
    </row>
    <row r="195" spans="2:7" x14ac:dyDescent="0.2">
      <c r="B195" s="120" t="s">
        <v>628</v>
      </c>
      <c r="C195" s="121" t="s">
        <v>629</v>
      </c>
      <c r="D195" s="122">
        <v>0.31</v>
      </c>
      <c r="E195" s="122">
        <v>1.03</v>
      </c>
      <c r="F195" s="122">
        <v>-3.01</v>
      </c>
      <c r="G195" s="122">
        <v>97.998999999999995</v>
      </c>
    </row>
    <row r="196" spans="2:7" x14ac:dyDescent="0.2">
      <c r="B196" s="120" t="s">
        <v>630</v>
      </c>
      <c r="C196" s="121" t="s">
        <v>631</v>
      </c>
      <c r="D196" s="122">
        <v>1.3</v>
      </c>
      <c r="E196" s="122">
        <v>1.38</v>
      </c>
      <c r="F196" s="122">
        <v>0.18</v>
      </c>
      <c r="G196" s="122">
        <v>16.213999999999999</v>
      </c>
    </row>
    <row r="197" spans="2:7" x14ac:dyDescent="0.2">
      <c r="B197" s="120" t="s">
        <v>632</v>
      </c>
      <c r="C197" s="121" t="s">
        <v>633</v>
      </c>
      <c r="D197" s="122">
        <v>0.91</v>
      </c>
      <c r="E197" s="122">
        <v>0.92</v>
      </c>
      <c r="F197" s="122">
        <v>0.96</v>
      </c>
      <c r="G197" s="122">
        <v>46.722000000000001</v>
      </c>
    </row>
    <row r="198" spans="2:7" x14ac:dyDescent="0.2">
      <c r="B198" s="120" t="s">
        <v>3871</v>
      </c>
      <c r="C198" s="121" t="s">
        <v>3872</v>
      </c>
      <c r="D198" s="122"/>
      <c r="E198" s="122"/>
      <c r="F198" s="122"/>
      <c r="G198" s="122"/>
    </row>
    <row r="199" spans="2:7" x14ac:dyDescent="0.2">
      <c r="B199" s="120" t="s">
        <v>634</v>
      </c>
      <c r="C199" s="121" t="s">
        <v>635</v>
      </c>
      <c r="D199" s="122">
        <v>0.95</v>
      </c>
      <c r="E199" s="122">
        <v>1.03</v>
      </c>
      <c r="F199" s="122"/>
      <c r="G199" s="122">
        <v>38.479990000000001</v>
      </c>
    </row>
    <row r="200" spans="2:7" x14ac:dyDescent="0.2">
      <c r="B200" s="120" t="s">
        <v>636</v>
      </c>
      <c r="C200" s="121" t="s">
        <v>637</v>
      </c>
      <c r="D200" s="122">
        <v>1.44</v>
      </c>
      <c r="E200" s="122">
        <v>1.75</v>
      </c>
      <c r="F200" s="122">
        <v>3.14</v>
      </c>
      <c r="G200" s="122">
        <v>75.844999999999999</v>
      </c>
    </row>
    <row r="201" spans="2:7" x14ac:dyDescent="0.2">
      <c r="B201" s="120" t="s">
        <v>3873</v>
      </c>
      <c r="C201" s="121" t="s">
        <v>3874</v>
      </c>
      <c r="D201" s="122">
        <v>1.08</v>
      </c>
      <c r="E201" s="122">
        <v>1.1100000000000001</v>
      </c>
      <c r="F201" s="122">
        <v>1.29</v>
      </c>
      <c r="G201" s="122">
        <v>55.27899</v>
      </c>
    </row>
    <row r="202" spans="2:7" x14ac:dyDescent="0.2">
      <c r="B202" s="120" t="s">
        <v>638</v>
      </c>
      <c r="C202" s="121" t="s">
        <v>639</v>
      </c>
      <c r="D202" s="122">
        <v>0.99</v>
      </c>
      <c r="E202" s="122">
        <v>1.1499999999999999</v>
      </c>
      <c r="F202" s="122">
        <v>1.24</v>
      </c>
      <c r="G202" s="122">
        <v>55.436</v>
      </c>
    </row>
    <row r="203" spans="2:7" x14ac:dyDescent="0.2">
      <c r="B203" s="120" t="s">
        <v>640</v>
      </c>
      <c r="C203" s="121" t="s">
        <v>641</v>
      </c>
      <c r="D203" s="122">
        <v>1.0900000000000001</v>
      </c>
      <c r="E203" s="122">
        <v>1.0900000000000001</v>
      </c>
      <c r="F203" s="122">
        <v>0.59</v>
      </c>
      <c r="G203" s="122">
        <v>36.976999999999997</v>
      </c>
    </row>
    <row r="204" spans="2:7" x14ac:dyDescent="0.2">
      <c r="B204" s="120" t="s">
        <v>642</v>
      </c>
      <c r="C204" s="121" t="s">
        <v>643</v>
      </c>
      <c r="D204" s="122">
        <v>1.33</v>
      </c>
      <c r="E204" s="122">
        <v>1.68</v>
      </c>
      <c r="F204" s="122">
        <v>0.39</v>
      </c>
      <c r="G204" s="122">
        <v>28.094989999999999</v>
      </c>
    </row>
    <row r="205" spans="2:7" x14ac:dyDescent="0.2">
      <c r="B205" s="120" t="s">
        <v>644</v>
      </c>
      <c r="C205" s="121" t="s">
        <v>645</v>
      </c>
      <c r="D205" s="122">
        <v>1.5</v>
      </c>
      <c r="E205" s="122">
        <v>2.78</v>
      </c>
      <c r="F205" s="122">
        <v>0.72</v>
      </c>
      <c r="G205" s="122">
        <v>41.881990000000002</v>
      </c>
    </row>
    <row r="206" spans="2:7" x14ac:dyDescent="0.2">
      <c r="B206" s="120" t="s">
        <v>646</v>
      </c>
      <c r="C206" s="121" t="s">
        <v>647</v>
      </c>
      <c r="D206" s="122">
        <v>0.88</v>
      </c>
      <c r="E206" s="122">
        <v>1.29</v>
      </c>
      <c r="F206" s="122">
        <v>0.82</v>
      </c>
      <c r="G206" s="122">
        <v>44.965000000000003</v>
      </c>
    </row>
    <row r="207" spans="2:7" x14ac:dyDescent="0.2">
      <c r="B207" s="120" t="s">
        <v>648</v>
      </c>
      <c r="C207" s="121" t="s">
        <v>649</v>
      </c>
      <c r="D207" s="122">
        <v>2.54</v>
      </c>
      <c r="E207" s="122">
        <v>2.4500000000000002</v>
      </c>
      <c r="F207" s="122"/>
      <c r="G207" s="122">
        <v>23.323989999999998</v>
      </c>
    </row>
    <row r="208" spans="2:7" x14ac:dyDescent="0.2">
      <c r="B208" s="120" t="s">
        <v>650</v>
      </c>
      <c r="C208" s="121" t="s">
        <v>651</v>
      </c>
      <c r="D208" s="122">
        <v>1.19</v>
      </c>
      <c r="E208" s="122">
        <v>1.38</v>
      </c>
      <c r="F208" s="122"/>
      <c r="G208" s="122">
        <v>42.546999999999997</v>
      </c>
    </row>
    <row r="209" spans="2:7" x14ac:dyDescent="0.2">
      <c r="B209" s="120" t="s">
        <v>652</v>
      </c>
      <c r="C209" s="121" t="s">
        <v>653</v>
      </c>
      <c r="D209" s="122">
        <v>1.1200000000000001</v>
      </c>
      <c r="E209" s="122">
        <v>1.1499999999999999</v>
      </c>
      <c r="F209" s="122">
        <v>0.79</v>
      </c>
      <c r="G209" s="122">
        <v>44.035989999999998</v>
      </c>
    </row>
    <row r="210" spans="2:7" x14ac:dyDescent="0.2">
      <c r="B210" s="120" t="s">
        <v>652</v>
      </c>
      <c r="C210" s="121" t="s">
        <v>3875</v>
      </c>
      <c r="D210" s="122">
        <v>1.1200000000000001</v>
      </c>
      <c r="E210" s="122">
        <v>1.1499999999999999</v>
      </c>
      <c r="F210" s="122">
        <v>0.79</v>
      </c>
      <c r="G210" s="122">
        <v>44.035989999999998</v>
      </c>
    </row>
    <row r="211" spans="2:7" x14ac:dyDescent="0.2">
      <c r="B211" s="120" t="s">
        <v>3876</v>
      </c>
      <c r="C211" s="121" t="s">
        <v>3877</v>
      </c>
      <c r="D211" s="122"/>
      <c r="E211" s="122"/>
      <c r="F211" s="122"/>
      <c r="G211" s="122"/>
    </row>
    <row r="212" spans="2:7" x14ac:dyDescent="0.2">
      <c r="B212" s="120" t="s">
        <v>654</v>
      </c>
      <c r="C212" s="121" t="s">
        <v>655</v>
      </c>
      <c r="D212" s="122">
        <v>1.58</v>
      </c>
      <c r="E212" s="122">
        <v>1.89</v>
      </c>
      <c r="F212" s="122">
        <v>0.45</v>
      </c>
      <c r="G212" s="122">
        <v>30.892990000000001</v>
      </c>
    </row>
    <row r="213" spans="2:7" x14ac:dyDescent="0.2">
      <c r="B213" s="120" t="s">
        <v>3878</v>
      </c>
      <c r="C213" s="121" t="s">
        <v>3879</v>
      </c>
      <c r="D213" s="122">
        <v>1.93</v>
      </c>
      <c r="E213" s="122">
        <v>2.46</v>
      </c>
      <c r="F213" s="122">
        <v>0</v>
      </c>
      <c r="G213" s="122">
        <v>0</v>
      </c>
    </row>
    <row r="214" spans="2:7" x14ac:dyDescent="0.2">
      <c r="B214" s="120" t="s">
        <v>656</v>
      </c>
      <c r="C214" s="121" t="s">
        <v>657</v>
      </c>
      <c r="D214" s="122">
        <v>0.88</v>
      </c>
      <c r="E214" s="122">
        <v>0.88</v>
      </c>
      <c r="F214" s="122">
        <v>0.79</v>
      </c>
      <c r="G214" s="122">
        <v>41.615000000000002</v>
      </c>
    </row>
    <row r="215" spans="2:7" x14ac:dyDescent="0.2">
      <c r="B215" s="120" t="s">
        <v>3880</v>
      </c>
      <c r="C215" s="121" t="s">
        <v>3881</v>
      </c>
      <c r="D215" s="122">
        <v>0.91</v>
      </c>
      <c r="E215" s="122">
        <v>1.21</v>
      </c>
      <c r="F215" s="122">
        <v>2.25</v>
      </c>
      <c r="G215" s="122">
        <v>69.210989999999995</v>
      </c>
    </row>
    <row r="216" spans="2:7" x14ac:dyDescent="0.2">
      <c r="B216" s="120" t="s">
        <v>658</v>
      </c>
      <c r="C216" s="121" t="s">
        <v>659</v>
      </c>
      <c r="D216" s="122">
        <v>1.0900000000000001</v>
      </c>
      <c r="E216" s="122">
        <v>5.75</v>
      </c>
      <c r="F216" s="122">
        <v>0</v>
      </c>
      <c r="G216" s="122">
        <v>0</v>
      </c>
    </row>
    <row r="217" spans="2:7" x14ac:dyDescent="0.2">
      <c r="B217" s="120" t="s">
        <v>660</v>
      </c>
      <c r="C217" s="121" t="s">
        <v>661</v>
      </c>
      <c r="D217" s="122">
        <v>0.46</v>
      </c>
      <c r="E217" s="122">
        <v>1.08</v>
      </c>
      <c r="F217" s="122">
        <v>1.06</v>
      </c>
      <c r="G217" s="122">
        <v>51.419989999999999</v>
      </c>
    </row>
    <row r="218" spans="2:7" x14ac:dyDescent="0.2">
      <c r="B218" s="120" t="s">
        <v>662</v>
      </c>
      <c r="C218" s="121" t="s">
        <v>663</v>
      </c>
      <c r="D218" s="122">
        <v>0.75</v>
      </c>
      <c r="E218" s="122">
        <v>1.98</v>
      </c>
      <c r="F218" s="122">
        <v>0.85</v>
      </c>
      <c r="G218" s="122">
        <v>45.954999999999998</v>
      </c>
    </row>
    <row r="219" spans="2:7" x14ac:dyDescent="0.2">
      <c r="B219" s="120" t="s">
        <v>664</v>
      </c>
      <c r="C219" s="121" t="s">
        <v>665</v>
      </c>
      <c r="D219" s="122">
        <v>0.82</v>
      </c>
      <c r="E219" s="122">
        <v>1.43</v>
      </c>
      <c r="F219" s="122">
        <v>0</v>
      </c>
      <c r="G219" s="122">
        <v>8.6330000000000004E-2</v>
      </c>
    </row>
    <row r="220" spans="2:7" x14ac:dyDescent="0.2">
      <c r="B220" s="120" t="s">
        <v>666</v>
      </c>
      <c r="C220" s="121" t="s">
        <v>667</v>
      </c>
      <c r="D220" s="122">
        <v>0.51</v>
      </c>
      <c r="E220" s="122">
        <v>0.56999999999999995</v>
      </c>
      <c r="F220" s="122">
        <v>1.33</v>
      </c>
      <c r="G220" s="122">
        <v>51.753999999999998</v>
      </c>
    </row>
    <row r="221" spans="2:7" x14ac:dyDescent="0.2">
      <c r="B221" s="120" t="s">
        <v>668</v>
      </c>
      <c r="C221" s="121" t="s">
        <v>669</v>
      </c>
      <c r="D221" s="122">
        <v>1.45</v>
      </c>
      <c r="E221" s="122">
        <v>1.47</v>
      </c>
      <c r="F221" s="122">
        <v>2.79</v>
      </c>
      <c r="G221" s="122">
        <v>73.603989999999996</v>
      </c>
    </row>
    <row r="222" spans="2:7" x14ac:dyDescent="0.2">
      <c r="B222" s="120" t="s">
        <v>3882</v>
      </c>
      <c r="C222" s="121" t="s">
        <v>3883</v>
      </c>
      <c r="D222" s="122">
        <v>0.81</v>
      </c>
      <c r="E222" s="122">
        <v>0.98</v>
      </c>
      <c r="F222" s="122">
        <v>0</v>
      </c>
      <c r="G222" s="122">
        <v>0</v>
      </c>
    </row>
    <row r="223" spans="2:7" x14ac:dyDescent="0.2">
      <c r="B223" s="120" t="s">
        <v>670</v>
      </c>
      <c r="C223" s="121" t="s">
        <v>671</v>
      </c>
      <c r="D223" s="122">
        <v>0.81</v>
      </c>
      <c r="E223" s="122">
        <v>0.94</v>
      </c>
      <c r="F223" s="122"/>
      <c r="G223" s="122">
        <v>32</v>
      </c>
    </row>
    <row r="224" spans="2:7" x14ac:dyDescent="0.2">
      <c r="B224" s="120" t="s">
        <v>3884</v>
      </c>
      <c r="C224" s="121" t="s">
        <v>3885</v>
      </c>
      <c r="D224" s="122"/>
      <c r="E224" s="122"/>
      <c r="F224" s="122"/>
      <c r="G224" s="122"/>
    </row>
    <row r="225" spans="2:7" x14ac:dyDescent="0.2">
      <c r="B225" s="120" t="s">
        <v>672</v>
      </c>
      <c r="C225" s="121" t="s">
        <v>673</v>
      </c>
      <c r="D225" s="122">
        <v>1.42</v>
      </c>
      <c r="E225" s="122">
        <v>1.4</v>
      </c>
      <c r="F225" s="122">
        <v>7.91</v>
      </c>
      <c r="G225" s="122">
        <v>88.769990000000007</v>
      </c>
    </row>
    <row r="226" spans="2:7" x14ac:dyDescent="0.2">
      <c r="B226" s="120" t="s">
        <v>674</v>
      </c>
      <c r="C226" s="121" t="s">
        <v>675</v>
      </c>
      <c r="D226" s="122">
        <v>1.94</v>
      </c>
      <c r="E226" s="122">
        <v>3.73</v>
      </c>
      <c r="F226" s="122">
        <v>0.33</v>
      </c>
      <c r="G226" s="122">
        <v>24.82799</v>
      </c>
    </row>
    <row r="227" spans="2:7" x14ac:dyDescent="0.2">
      <c r="B227" s="120" t="s">
        <v>676</v>
      </c>
      <c r="C227" s="121" t="s">
        <v>677</v>
      </c>
      <c r="D227" s="122">
        <v>1.52</v>
      </c>
      <c r="E227" s="122">
        <v>1.54</v>
      </c>
      <c r="F227" s="122">
        <v>4.93</v>
      </c>
      <c r="G227" s="122">
        <v>83.149000000000001</v>
      </c>
    </row>
    <row r="228" spans="2:7" x14ac:dyDescent="0.2">
      <c r="B228" s="120" t="s">
        <v>3886</v>
      </c>
      <c r="C228" s="121" t="s">
        <v>3887</v>
      </c>
      <c r="D228" s="122">
        <v>1.1499999999999999</v>
      </c>
      <c r="E228" s="122">
        <v>1.1000000000000001</v>
      </c>
      <c r="F228" s="122">
        <v>1.7</v>
      </c>
      <c r="G228" s="122">
        <v>62.995989999999999</v>
      </c>
    </row>
    <row r="229" spans="2:7" x14ac:dyDescent="0.2">
      <c r="B229" s="120" t="s">
        <v>678</v>
      </c>
      <c r="C229" s="121" t="s">
        <v>679</v>
      </c>
      <c r="D229" s="122">
        <v>0.69</v>
      </c>
      <c r="E229" s="122">
        <v>1.0900000000000001</v>
      </c>
      <c r="F229" s="122">
        <v>0.84</v>
      </c>
      <c r="G229" s="122">
        <v>45.594999999999999</v>
      </c>
    </row>
    <row r="230" spans="2:7" x14ac:dyDescent="0.2">
      <c r="B230" s="120" t="s">
        <v>680</v>
      </c>
      <c r="C230" s="121" t="s">
        <v>681</v>
      </c>
      <c r="D230" s="122">
        <v>3.71</v>
      </c>
      <c r="E230" s="122">
        <v>3.35</v>
      </c>
      <c r="F230" s="122">
        <v>7.0000000000000007E-2</v>
      </c>
      <c r="G230" s="122">
        <v>12.686999999999999</v>
      </c>
    </row>
    <row r="231" spans="2:7" x14ac:dyDescent="0.2">
      <c r="B231" s="120" t="s">
        <v>3888</v>
      </c>
      <c r="C231" s="121" t="s">
        <v>3889</v>
      </c>
      <c r="D231" s="122">
        <v>1.1599999999999999</v>
      </c>
      <c r="E231" s="122">
        <v>0.94</v>
      </c>
      <c r="F231" s="122">
        <v>0.6</v>
      </c>
      <c r="G231" s="122">
        <v>36.503999999999998</v>
      </c>
    </row>
    <row r="232" spans="2:7" x14ac:dyDescent="0.2">
      <c r="B232" s="120" t="s">
        <v>682</v>
      </c>
      <c r="C232" s="121" t="s">
        <v>683</v>
      </c>
      <c r="D232" s="122">
        <v>1.1299999999999999</v>
      </c>
      <c r="E232" s="122">
        <v>1.88</v>
      </c>
      <c r="F232" s="122">
        <v>3.52</v>
      </c>
      <c r="G232" s="122">
        <v>77.866990000000001</v>
      </c>
    </row>
    <row r="233" spans="2:7" x14ac:dyDescent="0.2">
      <c r="B233" s="120" t="s">
        <v>684</v>
      </c>
      <c r="C233" s="121" t="s">
        <v>685</v>
      </c>
      <c r="D233" s="122">
        <v>1.71</v>
      </c>
      <c r="E233" s="122">
        <v>3.27</v>
      </c>
      <c r="F233" s="122">
        <v>1.36</v>
      </c>
      <c r="G233" s="122">
        <v>57.683990000000001</v>
      </c>
    </row>
    <row r="234" spans="2:7" x14ac:dyDescent="0.2">
      <c r="B234" s="120" t="s">
        <v>686</v>
      </c>
      <c r="C234" s="121" t="s">
        <v>687</v>
      </c>
      <c r="D234" s="122">
        <v>1.71</v>
      </c>
      <c r="E234" s="122">
        <v>3.27</v>
      </c>
      <c r="F234" s="122">
        <v>1.36</v>
      </c>
      <c r="G234" s="122">
        <v>57.683990000000001</v>
      </c>
    </row>
    <row r="235" spans="2:7" x14ac:dyDescent="0.2">
      <c r="B235" s="120" t="s">
        <v>688</v>
      </c>
      <c r="C235" s="121" t="s">
        <v>689</v>
      </c>
      <c r="D235" s="122">
        <v>0.4</v>
      </c>
      <c r="E235" s="122">
        <v>0.41</v>
      </c>
      <c r="F235" s="122">
        <v>1.18</v>
      </c>
      <c r="G235" s="122">
        <v>54.031999999999996</v>
      </c>
    </row>
    <row r="236" spans="2:7" x14ac:dyDescent="0.2">
      <c r="B236" s="120" t="s">
        <v>690</v>
      </c>
      <c r="C236" s="121" t="s">
        <v>691</v>
      </c>
      <c r="D236" s="122">
        <v>0.72</v>
      </c>
      <c r="E236" s="122">
        <v>1.49</v>
      </c>
      <c r="F236" s="122">
        <v>0.82</v>
      </c>
      <c r="G236" s="122">
        <v>44.415999999999997</v>
      </c>
    </row>
    <row r="237" spans="2:7" x14ac:dyDescent="0.2">
      <c r="B237" s="120" t="s">
        <v>692</v>
      </c>
      <c r="C237" s="121" t="s">
        <v>693</v>
      </c>
      <c r="D237" s="122">
        <v>7.82</v>
      </c>
      <c r="E237" s="122">
        <v>6.46</v>
      </c>
      <c r="F237" s="122">
        <v>0.15</v>
      </c>
      <c r="G237" s="122">
        <v>13.19299</v>
      </c>
    </row>
    <row r="238" spans="2:7" x14ac:dyDescent="0.2">
      <c r="B238" s="120" t="s">
        <v>694</v>
      </c>
      <c r="C238" s="121" t="s">
        <v>695</v>
      </c>
      <c r="D238" s="122">
        <v>0.85</v>
      </c>
      <c r="E238" s="122">
        <v>1.21</v>
      </c>
      <c r="F238" s="122">
        <v>8.94</v>
      </c>
      <c r="G238" s="122">
        <v>89.936989999999994</v>
      </c>
    </row>
    <row r="239" spans="2:7" x14ac:dyDescent="0.2">
      <c r="B239" s="120" t="s">
        <v>696</v>
      </c>
      <c r="C239" s="121" t="s">
        <v>697</v>
      </c>
      <c r="D239" s="122">
        <v>0.51</v>
      </c>
      <c r="E239" s="122">
        <v>0.52</v>
      </c>
      <c r="F239" s="122">
        <v>0.27</v>
      </c>
      <c r="G239" s="122">
        <v>21.08099</v>
      </c>
    </row>
    <row r="240" spans="2:7" x14ac:dyDescent="0.2">
      <c r="B240" s="120" t="s">
        <v>698</v>
      </c>
      <c r="C240" s="121" t="s">
        <v>699</v>
      </c>
      <c r="D240" s="122">
        <v>1.1499999999999999</v>
      </c>
      <c r="E240" s="122">
        <v>1.6</v>
      </c>
      <c r="F240" s="122">
        <v>0.18</v>
      </c>
      <c r="G240" s="122">
        <v>15.24499</v>
      </c>
    </row>
    <row r="241" spans="2:7" x14ac:dyDescent="0.2">
      <c r="B241" s="120" t="s">
        <v>3890</v>
      </c>
      <c r="C241" s="121" t="s">
        <v>3891</v>
      </c>
      <c r="D241" s="122">
        <v>0.79</v>
      </c>
      <c r="E241" s="122">
        <v>0.72</v>
      </c>
      <c r="F241" s="122">
        <v>0.05</v>
      </c>
      <c r="G241" s="122">
        <v>4.4911899999999996</v>
      </c>
    </row>
    <row r="242" spans="2:7" x14ac:dyDescent="0.2">
      <c r="B242" s="120" t="s">
        <v>700</v>
      </c>
      <c r="C242" s="121" t="s">
        <v>701</v>
      </c>
      <c r="D242" s="122"/>
      <c r="E242" s="122"/>
      <c r="F242" s="122"/>
      <c r="G242" s="122"/>
    </row>
    <row r="243" spans="2:7" x14ac:dyDescent="0.2">
      <c r="B243" s="120" t="s">
        <v>702</v>
      </c>
      <c r="C243" s="121" t="s">
        <v>703</v>
      </c>
      <c r="D243" s="122">
        <v>1.58</v>
      </c>
      <c r="E243" s="122">
        <v>1.89</v>
      </c>
      <c r="F243" s="122">
        <v>0.45</v>
      </c>
      <c r="G243" s="122">
        <v>30.892990000000001</v>
      </c>
    </row>
    <row r="244" spans="2:7" x14ac:dyDescent="0.2">
      <c r="B244" s="120" t="s">
        <v>704</v>
      </c>
      <c r="C244" s="121" t="s">
        <v>705</v>
      </c>
      <c r="D244" s="122">
        <v>2.73</v>
      </c>
      <c r="E244" s="122">
        <v>2.61</v>
      </c>
      <c r="F244" s="122">
        <v>0.32</v>
      </c>
      <c r="G244" s="122">
        <v>24.524989999999999</v>
      </c>
    </row>
    <row r="245" spans="2:7" x14ac:dyDescent="0.2">
      <c r="B245" s="120" t="s">
        <v>706</v>
      </c>
      <c r="C245" s="121" t="s">
        <v>707</v>
      </c>
      <c r="D245" s="122">
        <v>2.04</v>
      </c>
      <c r="E245" s="122">
        <v>2.46</v>
      </c>
      <c r="F245" s="122">
        <v>0.49</v>
      </c>
      <c r="G245" s="122">
        <v>32.978000000000002</v>
      </c>
    </row>
    <row r="246" spans="2:7" x14ac:dyDescent="0.2">
      <c r="B246" s="120" t="s">
        <v>708</v>
      </c>
      <c r="C246" s="121" t="s">
        <v>709</v>
      </c>
      <c r="D246" s="122">
        <v>1.99</v>
      </c>
      <c r="E246" s="122">
        <v>2.8</v>
      </c>
      <c r="F246" s="122">
        <v>0.4</v>
      </c>
      <c r="G246" s="122">
        <v>28.42</v>
      </c>
    </row>
    <row r="247" spans="2:7" x14ac:dyDescent="0.2">
      <c r="B247" s="120" t="s">
        <v>710</v>
      </c>
      <c r="C247" s="121" t="s">
        <v>711</v>
      </c>
      <c r="D247" s="122">
        <v>3.19</v>
      </c>
      <c r="E247" s="122">
        <v>4.68</v>
      </c>
      <c r="F247" s="122">
        <v>0.11</v>
      </c>
      <c r="G247" s="122">
        <v>10.231999999999999</v>
      </c>
    </row>
    <row r="248" spans="2:7" x14ac:dyDescent="0.2">
      <c r="B248" s="120" t="s">
        <v>710</v>
      </c>
      <c r="C248" s="121" t="s">
        <v>3892</v>
      </c>
      <c r="D248" s="122">
        <v>3.19</v>
      </c>
      <c r="E248" s="122">
        <v>4.68</v>
      </c>
      <c r="F248" s="122">
        <v>0.11</v>
      </c>
      <c r="G248" s="122">
        <v>10.231999999999999</v>
      </c>
    </row>
    <row r="249" spans="2:7" x14ac:dyDescent="0.2">
      <c r="B249" s="120" t="s">
        <v>712</v>
      </c>
      <c r="C249" s="121" t="s">
        <v>713</v>
      </c>
      <c r="D249" s="122">
        <v>0.88</v>
      </c>
      <c r="E249" s="122">
        <v>0.06</v>
      </c>
      <c r="F249" s="122">
        <v>0</v>
      </c>
      <c r="G249" s="122">
        <v>0</v>
      </c>
    </row>
    <row r="250" spans="2:7" x14ac:dyDescent="0.2">
      <c r="B250" s="120" t="s">
        <v>714</v>
      </c>
      <c r="C250" s="121" t="s">
        <v>715</v>
      </c>
      <c r="D250" s="122">
        <v>0.18</v>
      </c>
      <c r="E250" s="122">
        <v>0.79</v>
      </c>
      <c r="F250" s="122">
        <v>-21.26</v>
      </c>
      <c r="G250" s="122"/>
    </row>
    <row r="251" spans="2:7" x14ac:dyDescent="0.2">
      <c r="B251" s="120" t="s">
        <v>716</v>
      </c>
      <c r="C251" s="121" t="s">
        <v>717</v>
      </c>
      <c r="D251" s="122">
        <v>0.7</v>
      </c>
      <c r="E251" s="122">
        <v>0.71</v>
      </c>
      <c r="F251" s="122">
        <v>0.79</v>
      </c>
      <c r="G251" s="122">
        <v>42.051990000000004</v>
      </c>
    </row>
    <row r="252" spans="2:7" x14ac:dyDescent="0.2">
      <c r="B252" s="120" t="s">
        <v>718</v>
      </c>
      <c r="C252" s="121" t="s">
        <v>719</v>
      </c>
      <c r="D252" s="122">
        <v>0.94</v>
      </c>
      <c r="E252" s="122">
        <v>0.93</v>
      </c>
      <c r="F252" s="122">
        <v>0.03</v>
      </c>
      <c r="G252" s="122">
        <v>2.8733900000000001</v>
      </c>
    </row>
    <row r="253" spans="2:7" x14ac:dyDescent="0.2">
      <c r="B253" s="120" t="s">
        <v>720</v>
      </c>
      <c r="C253" s="121" t="s">
        <v>721</v>
      </c>
      <c r="D253" s="122">
        <v>0.85</v>
      </c>
      <c r="E253" s="122">
        <v>2.83</v>
      </c>
      <c r="F253" s="122"/>
      <c r="G253" s="122">
        <v>9.1930899999999998</v>
      </c>
    </row>
    <row r="254" spans="2:7" x14ac:dyDescent="0.2">
      <c r="B254" s="120" t="s">
        <v>722</v>
      </c>
      <c r="C254" s="121" t="s">
        <v>723</v>
      </c>
      <c r="D254" s="122">
        <v>0.6</v>
      </c>
      <c r="E254" s="122">
        <v>0.76</v>
      </c>
      <c r="F254" s="122">
        <v>1.26</v>
      </c>
      <c r="G254" s="122">
        <v>55.756</v>
      </c>
    </row>
    <row r="255" spans="2:7" x14ac:dyDescent="0.2">
      <c r="B255" s="120" t="s">
        <v>3893</v>
      </c>
      <c r="C255" s="121" t="s">
        <v>3894</v>
      </c>
      <c r="D255" s="122">
        <v>1.04</v>
      </c>
      <c r="E255" s="122">
        <v>1.02</v>
      </c>
      <c r="F255" s="122">
        <v>0.76</v>
      </c>
      <c r="G255" s="122">
        <v>43.2</v>
      </c>
    </row>
    <row r="256" spans="2:7" x14ac:dyDescent="0.2">
      <c r="B256" s="120" t="s">
        <v>724</v>
      </c>
      <c r="C256" s="121" t="s">
        <v>725</v>
      </c>
      <c r="D256" s="122">
        <v>1.1100000000000001</v>
      </c>
      <c r="E256" s="122">
        <v>1.3</v>
      </c>
      <c r="F256" s="122">
        <v>0.85</v>
      </c>
      <c r="G256" s="122">
        <v>46.084989999999998</v>
      </c>
    </row>
    <row r="257" spans="2:7" x14ac:dyDescent="0.2">
      <c r="B257" s="120" t="s">
        <v>726</v>
      </c>
      <c r="C257" s="121" t="s">
        <v>727</v>
      </c>
      <c r="D257" s="122">
        <v>2.36</v>
      </c>
      <c r="E257" s="122">
        <v>1.58</v>
      </c>
      <c r="F257" s="122">
        <v>1.74</v>
      </c>
      <c r="G257" s="122">
        <v>63.527990000000003</v>
      </c>
    </row>
    <row r="258" spans="2:7" x14ac:dyDescent="0.2">
      <c r="B258" s="120" t="s">
        <v>728</v>
      </c>
      <c r="C258" s="121" t="s">
        <v>729</v>
      </c>
      <c r="D258" s="122">
        <v>18.350000000000001</v>
      </c>
      <c r="E258" s="122">
        <v>22.41</v>
      </c>
      <c r="F258" s="122">
        <v>0</v>
      </c>
      <c r="G258" s="122">
        <v>0</v>
      </c>
    </row>
    <row r="259" spans="2:7" x14ac:dyDescent="0.2">
      <c r="B259" s="120" t="s">
        <v>730</v>
      </c>
      <c r="C259" s="121" t="s">
        <v>731</v>
      </c>
      <c r="D259" s="122">
        <v>0.93</v>
      </c>
      <c r="E259" s="122">
        <v>0.95</v>
      </c>
      <c r="F259" s="122">
        <v>1.86</v>
      </c>
      <c r="G259" s="122">
        <v>65.021000000000001</v>
      </c>
    </row>
    <row r="260" spans="2:7" x14ac:dyDescent="0.2">
      <c r="B260" s="120" t="s">
        <v>732</v>
      </c>
      <c r="C260" s="121" t="s">
        <v>733</v>
      </c>
      <c r="D260" s="122">
        <v>1.21</v>
      </c>
      <c r="E260" s="122">
        <v>1.63</v>
      </c>
      <c r="F260" s="122">
        <v>0.67</v>
      </c>
      <c r="G260" s="122">
        <v>40.057989999999997</v>
      </c>
    </row>
    <row r="261" spans="2:7" x14ac:dyDescent="0.2">
      <c r="B261" s="120" t="s">
        <v>734</v>
      </c>
      <c r="C261" s="121" t="s">
        <v>735</v>
      </c>
      <c r="D261" s="122">
        <v>1.1100000000000001</v>
      </c>
      <c r="E261" s="122">
        <v>2.92</v>
      </c>
      <c r="F261" s="122">
        <v>0.77</v>
      </c>
      <c r="G261" s="122">
        <v>44.154989999999998</v>
      </c>
    </row>
    <row r="262" spans="2:7" x14ac:dyDescent="0.2">
      <c r="B262" s="120" t="s">
        <v>736</v>
      </c>
      <c r="C262" s="121" t="s">
        <v>737</v>
      </c>
      <c r="D262" s="122">
        <v>0.74</v>
      </c>
      <c r="E262" s="122">
        <v>0.76</v>
      </c>
      <c r="F262" s="122">
        <v>1.75</v>
      </c>
      <c r="G262" s="122">
        <v>63.69699</v>
      </c>
    </row>
    <row r="263" spans="2:7" x14ac:dyDescent="0.2">
      <c r="B263" s="120" t="s">
        <v>738</v>
      </c>
      <c r="C263" s="121" t="s">
        <v>739</v>
      </c>
      <c r="D263" s="122">
        <v>0.65</v>
      </c>
      <c r="E263" s="122">
        <v>1.1000000000000001</v>
      </c>
      <c r="F263" s="122">
        <v>1.94</v>
      </c>
      <c r="G263" s="122">
        <v>65.991990000000001</v>
      </c>
    </row>
    <row r="264" spans="2:7" x14ac:dyDescent="0.2">
      <c r="B264" s="120" t="s">
        <v>740</v>
      </c>
      <c r="C264" s="121" t="s">
        <v>741</v>
      </c>
      <c r="D264" s="122">
        <v>9.69</v>
      </c>
      <c r="E264" s="122">
        <v>8.02</v>
      </c>
      <c r="F264" s="122">
        <v>0.11</v>
      </c>
      <c r="G264" s="122">
        <v>9.6785999999999994</v>
      </c>
    </row>
    <row r="265" spans="2:7" x14ac:dyDescent="0.2">
      <c r="B265" s="120" t="s">
        <v>3895</v>
      </c>
      <c r="C265" s="121" t="s">
        <v>3896</v>
      </c>
      <c r="D265" s="122"/>
      <c r="E265" s="122">
        <v>4.21</v>
      </c>
      <c r="F265" s="122"/>
      <c r="G265" s="122"/>
    </row>
    <row r="266" spans="2:7" x14ac:dyDescent="0.2">
      <c r="B266" s="120" t="s">
        <v>3897</v>
      </c>
      <c r="C266" s="121" t="s">
        <v>3898</v>
      </c>
      <c r="D266" s="122"/>
      <c r="E266" s="122"/>
      <c r="F266" s="122"/>
      <c r="G266" s="122"/>
    </row>
    <row r="267" spans="2:7" x14ac:dyDescent="0.2">
      <c r="B267" s="120" t="s">
        <v>742</v>
      </c>
      <c r="C267" s="121" t="s">
        <v>743</v>
      </c>
      <c r="D267" s="122">
        <v>1.17</v>
      </c>
      <c r="E267" s="122">
        <v>1.02</v>
      </c>
      <c r="F267" s="122">
        <v>0.15</v>
      </c>
      <c r="G267" s="122">
        <v>11.954000000000001</v>
      </c>
    </row>
    <row r="268" spans="2:7" x14ac:dyDescent="0.2">
      <c r="B268" s="120" t="s">
        <v>744</v>
      </c>
      <c r="C268" s="121" t="s">
        <v>745</v>
      </c>
      <c r="D268" s="122">
        <v>2.92</v>
      </c>
      <c r="E268" s="122">
        <v>4.1100000000000003</v>
      </c>
      <c r="F268" s="122">
        <v>0.28000000000000003</v>
      </c>
      <c r="G268" s="122">
        <v>22.082999999999998</v>
      </c>
    </row>
    <row r="269" spans="2:7" x14ac:dyDescent="0.2">
      <c r="B269" s="120" t="s">
        <v>746</v>
      </c>
      <c r="C269" s="121" t="s">
        <v>747</v>
      </c>
      <c r="D269" s="122">
        <v>0.28999999999999998</v>
      </c>
      <c r="E269" s="122">
        <v>1.46</v>
      </c>
      <c r="F269" s="122"/>
      <c r="G269" s="122">
        <v>34.794989999999999</v>
      </c>
    </row>
    <row r="270" spans="2:7" x14ac:dyDescent="0.2">
      <c r="B270" s="120" t="s">
        <v>748</v>
      </c>
      <c r="C270" s="121" t="s">
        <v>749</v>
      </c>
      <c r="D270" s="122">
        <v>1.5</v>
      </c>
      <c r="E270" s="122">
        <v>3.88</v>
      </c>
      <c r="F270" s="122">
        <v>1.51</v>
      </c>
      <c r="G270" s="122">
        <v>60.203989999999997</v>
      </c>
    </row>
    <row r="271" spans="2:7" x14ac:dyDescent="0.2">
      <c r="B271" s="120" t="s">
        <v>750</v>
      </c>
      <c r="C271" s="121" t="s">
        <v>751</v>
      </c>
      <c r="D271" s="122">
        <v>0.83</v>
      </c>
      <c r="E271" s="122">
        <v>0.73</v>
      </c>
      <c r="F271" s="122">
        <v>1.72</v>
      </c>
      <c r="G271" s="122">
        <v>63.289000000000001</v>
      </c>
    </row>
    <row r="272" spans="2:7" x14ac:dyDescent="0.2">
      <c r="B272" s="120" t="s">
        <v>752</v>
      </c>
      <c r="C272" s="121" t="s">
        <v>753</v>
      </c>
      <c r="D272" s="122">
        <v>1.06</v>
      </c>
      <c r="E272" s="122">
        <v>1.06</v>
      </c>
      <c r="F272" s="122">
        <v>0.31</v>
      </c>
      <c r="G272" s="122">
        <v>22.66799</v>
      </c>
    </row>
    <row r="273" spans="2:7" x14ac:dyDescent="0.2">
      <c r="B273" s="120" t="s">
        <v>754</v>
      </c>
      <c r="C273" s="121" t="s">
        <v>755</v>
      </c>
      <c r="D273" s="122">
        <v>1.24</v>
      </c>
      <c r="E273" s="122">
        <v>1.75</v>
      </c>
      <c r="F273" s="122">
        <v>0.09</v>
      </c>
      <c r="G273" s="122">
        <v>11.45499</v>
      </c>
    </row>
    <row r="274" spans="2:7" x14ac:dyDescent="0.2">
      <c r="B274" s="120" t="s">
        <v>756</v>
      </c>
      <c r="C274" s="121" t="s">
        <v>757</v>
      </c>
      <c r="D274" s="122">
        <v>0.7</v>
      </c>
      <c r="E274" s="122">
        <v>0.7</v>
      </c>
      <c r="F274" s="122">
        <v>0.09</v>
      </c>
      <c r="G274" s="122">
        <v>7.9198899999999997</v>
      </c>
    </row>
    <row r="275" spans="2:7" x14ac:dyDescent="0.2">
      <c r="B275" s="120" t="s">
        <v>758</v>
      </c>
      <c r="C275" s="121" t="s">
        <v>759</v>
      </c>
      <c r="D275" s="122">
        <v>0.93</v>
      </c>
      <c r="E275" s="122">
        <v>0.91</v>
      </c>
      <c r="F275" s="122">
        <v>1.72</v>
      </c>
      <c r="G275" s="122">
        <v>63.188989999999997</v>
      </c>
    </row>
    <row r="276" spans="2:7" x14ac:dyDescent="0.2">
      <c r="B276" s="120" t="s">
        <v>3899</v>
      </c>
      <c r="C276" s="121" t="s">
        <v>3900</v>
      </c>
      <c r="D276" s="122">
        <v>0.85</v>
      </c>
      <c r="E276" s="122">
        <v>1.95</v>
      </c>
      <c r="F276" s="122"/>
      <c r="G276" s="122">
        <v>0</v>
      </c>
    </row>
    <row r="277" spans="2:7" x14ac:dyDescent="0.2">
      <c r="B277" s="120" t="s">
        <v>760</v>
      </c>
      <c r="C277" s="121" t="s">
        <v>761</v>
      </c>
      <c r="D277" s="122">
        <v>0.79</v>
      </c>
      <c r="E277" s="122">
        <v>0.96</v>
      </c>
      <c r="F277" s="122"/>
      <c r="G277" s="122">
        <v>31.364000000000001</v>
      </c>
    </row>
    <row r="278" spans="2:7" x14ac:dyDescent="0.2">
      <c r="B278" s="120" t="s">
        <v>762</v>
      </c>
      <c r="C278" s="121" t="s">
        <v>763</v>
      </c>
      <c r="D278" s="122">
        <v>0.78</v>
      </c>
      <c r="E278" s="122">
        <v>1.07</v>
      </c>
      <c r="F278" s="122">
        <v>0.65</v>
      </c>
      <c r="G278" s="122">
        <v>39.325000000000003</v>
      </c>
    </row>
    <row r="279" spans="2:7" x14ac:dyDescent="0.2">
      <c r="B279" s="120" t="s">
        <v>764</v>
      </c>
      <c r="C279" s="121" t="s">
        <v>765</v>
      </c>
      <c r="D279" s="122">
        <v>0.28000000000000003</v>
      </c>
      <c r="E279" s="122">
        <v>0.91</v>
      </c>
      <c r="F279" s="122">
        <v>0.91</v>
      </c>
      <c r="G279" s="122">
        <v>47.731990000000003</v>
      </c>
    </row>
    <row r="280" spans="2:7" x14ac:dyDescent="0.2">
      <c r="B280" s="120" t="s">
        <v>766</v>
      </c>
      <c r="C280" s="121" t="s">
        <v>767</v>
      </c>
      <c r="D280" s="122">
        <v>8.2899999999999991</v>
      </c>
      <c r="E280" s="122">
        <v>7.52</v>
      </c>
      <c r="F280" s="122">
        <v>0.16</v>
      </c>
      <c r="G280" s="122">
        <v>13.51599</v>
      </c>
    </row>
    <row r="281" spans="2:7" x14ac:dyDescent="0.2">
      <c r="B281" s="120" t="s">
        <v>768</v>
      </c>
      <c r="C281" s="121" t="s">
        <v>769</v>
      </c>
      <c r="D281" s="122">
        <v>0.74</v>
      </c>
      <c r="E281" s="122">
        <v>0.69</v>
      </c>
      <c r="F281" s="122">
        <v>0</v>
      </c>
      <c r="G281" s="122">
        <v>0</v>
      </c>
    </row>
    <row r="282" spans="2:7" x14ac:dyDescent="0.2">
      <c r="B282" s="120" t="s">
        <v>3901</v>
      </c>
      <c r="C282" s="121" t="s">
        <v>3902</v>
      </c>
      <c r="D282" s="122">
        <v>0.54</v>
      </c>
      <c r="E282" s="122">
        <v>0.4</v>
      </c>
      <c r="F282" s="122">
        <v>1.1399999999999999</v>
      </c>
      <c r="G282" s="122">
        <v>53.103999999999999</v>
      </c>
    </row>
    <row r="283" spans="2:7" x14ac:dyDescent="0.2">
      <c r="B283" s="120" t="s">
        <v>770</v>
      </c>
      <c r="C283" s="121" t="s">
        <v>771</v>
      </c>
      <c r="D283" s="122">
        <v>1.3</v>
      </c>
      <c r="E283" s="122">
        <v>1.3</v>
      </c>
      <c r="F283" s="122">
        <v>1.3</v>
      </c>
      <c r="G283" s="122">
        <v>56.599989999999998</v>
      </c>
    </row>
    <row r="284" spans="2:7" x14ac:dyDescent="0.2">
      <c r="B284" s="120" t="s">
        <v>772</v>
      </c>
      <c r="C284" s="121" t="s">
        <v>773</v>
      </c>
      <c r="D284" s="122">
        <v>1.52</v>
      </c>
      <c r="E284" s="122">
        <v>2.13</v>
      </c>
      <c r="F284" s="122">
        <v>0.2</v>
      </c>
      <c r="G284" s="122">
        <v>16.347000000000001</v>
      </c>
    </row>
    <row r="285" spans="2:7" x14ac:dyDescent="0.2">
      <c r="B285" s="120" t="s">
        <v>774</v>
      </c>
      <c r="C285" s="121" t="s">
        <v>775</v>
      </c>
      <c r="D285" s="122">
        <v>0.94</v>
      </c>
      <c r="E285" s="122">
        <v>1.1499999999999999</v>
      </c>
      <c r="F285" s="122">
        <v>2.15</v>
      </c>
      <c r="G285" s="122">
        <v>68.272000000000006</v>
      </c>
    </row>
    <row r="286" spans="2:7" x14ac:dyDescent="0.2">
      <c r="B286" s="120" t="s">
        <v>776</v>
      </c>
      <c r="C286" s="121" t="s">
        <v>3903</v>
      </c>
      <c r="D286" s="122">
        <v>0.28999999999999998</v>
      </c>
      <c r="E286" s="122">
        <v>0.34</v>
      </c>
      <c r="F286" s="122">
        <v>0</v>
      </c>
      <c r="G286" s="122">
        <v>0</v>
      </c>
    </row>
    <row r="287" spans="2:7" x14ac:dyDescent="0.2">
      <c r="B287" s="120" t="s">
        <v>776</v>
      </c>
      <c r="C287" s="121" t="s">
        <v>777</v>
      </c>
      <c r="D287" s="122">
        <v>0.28999999999999998</v>
      </c>
      <c r="E287" s="122">
        <v>0.34</v>
      </c>
      <c r="F287" s="122">
        <v>0</v>
      </c>
      <c r="G287" s="122">
        <v>0</v>
      </c>
    </row>
    <row r="288" spans="2:7" x14ac:dyDescent="0.2">
      <c r="B288" s="120" t="s">
        <v>778</v>
      </c>
      <c r="C288" s="121" t="s">
        <v>779</v>
      </c>
      <c r="D288" s="122">
        <v>0.56000000000000005</v>
      </c>
      <c r="E288" s="122">
        <v>0.79</v>
      </c>
      <c r="F288" s="122">
        <v>3.34</v>
      </c>
      <c r="G288" s="122">
        <v>76.953000000000003</v>
      </c>
    </row>
    <row r="289" spans="2:7" x14ac:dyDescent="0.2">
      <c r="B289" s="120" t="s">
        <v>780</v>
      </c>
      <c r="C289" s="121" t="s">
        <v>781</v>
      </c>
      <c r="D289" s="122">
        <v>1.33</v>
      </c>
      <c r="E289" s="122">
        <v>2.19</v>
      </c>
      <c r="F289" s="122">
        <v>0.63</v>
      </c>
      <c r="G289" s="122">
        <v>39.634990000000002</v>
      </c>
    </row>
    <row r="290" spans="2:7" x14ac:dyDescent="0.2">
      <c r="B290" s="120" t="s">
        <v>782</v>
      </c>
      <c r="C290" s="121" t="s">
        <v>783</v>
      </c>
      <c r="D290" s="122">
        <v>0.95</v>
      </c>
      <c r="E290" s="122">
        <v>0.95</v>
      </c>
      <c r="F290" s="122">
        <v>0.45</v>
      </c>
      <c r="G290" s="122">
        <v>30.966989999999999</v>
      </c>
    </row>
    <row r="291" spans="2:7" x14ac:dyDescent="0.2">
      <c r="B291" s="120" t="s">
        <v>3904</v>
      </c>
      <c r="C291" s="121" t="s">
        <v>3905</v>
      </c>
      <c r="D291" s="122">
        <v>1.71</v>
      </c>
      <c r="E291" s="122">
        <v>2.64</v>
      </c>
      <c r="F291" s="122">
        <v>0.18</v>
      </c>
      <c r="G291" s="122">
        <v>15.065989999999999</v>
      </c>
    </row>
    <row r="292" spans="2:7" x14ac:dyDescent="0.2">
      <c r="B292" s="120" t="s">
        <v>784</v>
      </c>
      <c r="C292" s="121" t="s">
        <v>785</v>
      </c>
      <c r="D292" s="122">
        <v>0.59</v>
      </c>
      <c r="E292" s="122">
        <v>0.47</v>
      </c>
      <c r="F292" s="122">
        <v>1.78</v>
      </c>
      <c r="G292" s="122">
        <v>64.054000000000002</v>
      </c>
    </row>
    <row r="293" spans="2:7" x14ac:dyDescent="0.2">
      <c r="B293" s="120" t="s">
        <v>786</v>
      </c>
      <c r="C293" s="121" t="s">
        <v>787</v>
      </c>
      <c r="D293" s="122">
        <v>1.6</v>
      </c>
      <c r="E293" s="122">
        <v>1.82</v>
      </c>
      <c r="F293" s="122">
        <v>3.23</v>
      </c>
      <c r="G293" s="122">
        <v>76.376990000000006</v>
      </c>
    </row>
    <row r="294" spans="2:7" x14ac:dyDescent="0.2">
      <c r="B294" s="120" t="s">
        <v>788</v>
      </c>
      <c r="C294" s="121" t="s">
        <v>789</v>
      </c>
      <c r="D294" s="122">
        <v>0.19</v>
      </c>
      <c r="E294" s="122">
        <v>0.14000000000000001</v>
      </c>
      <c r="F294" s="122">
        <v>0.1</v>
      </c>
      <c r="G294" s="122">
        <v>9.1030899999999999</v>
      </c>
    </row>
    <row r="295" spans="2:7" x14ac:dyDescent="0.2">
      <c r="B295" s="120" t="s">
        <v>792</v>
      </c>
      <c r="C295" s="121" t="s">
        <v>793</v>
      </c>
      <c r="D295" s="122"/>
      <c r="E295" s="122">
        <v>1.02</v>
      </c>
      <c r="F295" s="122">
        <v>0.88</v>
      </c>
      <c r="G295" s="122">
        <v>46.76699</v>
      </c>
    </row>
    <row r="296" spans="2:7" x14ac:dyDescent="0.2">
      <c r="B296" s="120" t="s">
        <v>794</v>
      </c>
      <c r="C296" s="121" t="s">
        <v>795</v>
      </c>
      <c r="D296" s="122">
        <v>0.54</v>
      </c>
      <c r="E296" s="122">
        <v>1.31</v>
      </c>
      <c r="F296" s="122">
        <v>0.81</v>
      </c>
      <c r="G296" s="122">
        <v>44.610999999999997</v>
      </c>
    </row>
    <row r="297" spans="2:7" x14ac:dyDescent="0.2">
      <c r="B297" s="120" t="s">
        <v>796</v>
      </c>
      <c r="C297" s="121" t="s">
        <v>797</v>
      </c>
      <c r="D297" s="122">
        <v>0.7</v>
      </c>
      <c r="E297" s="122">
        <v>0.7</v>
      </c>
      <c r="F297" s="122">
        <v>0.04</v>
      </c>
      <c r="G297" s="122">
        <v>3.9456000000000002</v>
      </c>
    </row>
    <row r="298" spans="2:7" x14ac:dyDescent="0.2">
      <c r="B298" s="120" t="s">
        <v>798</v>
      </c>
      <c r="C298" s="121" t="s">
        <v>799</v>
      </c>
      <c r="D298" s="122">
        <v>0.62</v>
      </c>
      <c r="E298" s="122">
        <v>2.17</v>
      </c>
      <c r="F298" s="122">
        <v>0.24</v>
      </c>
      <c r="G298" s="122">
        <v>19.280999999999999</v>
      </c>
    </row>
    <row r="299" spans="2:7" x14ac:dyDescent="0.2">
      <c r="B299" s="120" t="s">
        <v>800</v>
      </c>
      <c r="C299" s="121" t="s">
        <v>801</v>
      </c>
      <c r="D299" s="122">
        <v>0.41</v>
      </c>
      <c r="E299" s="122">
        <v>0.73</v>
      </c>
      <c r="F299" s="122">
        <v>0.63</v>
      </c>
      <c r="G299" s="122">
        <v>38.817999999999998</v>
      </c>
    </row>
    <row r="300" spans="2:7" x14ac:dyDescent="0.2">
      <c r="B300" s="120" t="s">
        <v>3906</v>
      </c>
      <c r="C300" s="121" t="s">
        <v>3907</v>
      </c>
      <c r="D300" s="122">
        <v>0.93</v>
      </c>
      <c r="E300" s="122">
        <v>0.93</v>
      </c>
      <c r="F300" s="122"/>
      <c r="G300" s="122">
        <v>25.229990000000001</v>
      </c>
    </row>
    <row r="301" spans="2:7" x14ac:dyDescent="0.2">
      <c r="B301" s="120" t="s">
        <v>802</v>
      </c>
      <c r="C301" s="121" t="s">
        <v>803</v>
      </c>
      <c r="D301" s="122">
        <v>1.05</v>
      </c>
      <c r="E301" s="122">
        <v>1.0900000000000001</v>
      </c>
      <c r="F301" s="122"/>
      <c r="G301" s="122">
        <v>59.238990000000001</v>
      </c>
    </row>
    <row r="302" spans="2:7" x14ac:dyDescent="0.2">
      <c r="B302" s="120" t="s">
        <v>3908</v>
      </c>
      <c r="C302" s="121" t="s">
        <v>3909</v>
      </c>
      <c r="D302" s="122">
        <v>0.72</v>
      </c>
      <c r="E302" s="122"/>
      <c r="F302" s="122"/>
      <c r="G302" s="122"/>
    </row>
    <row r="303" spans="2:7" x14ac:dyDescent="0.2">
      <c r="B303" s="120" t="s">
        <v>804</v>
      </c>
      <c r="C303" s="121" t="s">
        <v>805</v>
      </c>
      <c r="D303" s="122">
        <v>0.41</v>
      </c>
      <c r="E303" s="122">
        <v>0.54</v>
      </c>
      <c r="F303" s="122">
        <v>1.3</v>
      </c>
      <c r="G303" s="122">
        <v>56.545999999999999</v>
      </c>
    </row>
    <row r="304" spans="2:7" x14ac:dyDescent="0.2">
      <c r="B304" s="120" t="s">
        <v>806</v>
      </c>
      <c r="C304" s="121" t="s">
        <v>807</v>
      </c>
      <c r="D304" s="122">
        <v>1.79</v>
      </c>
      <c r="E304" s="122">
        <v>2.5099999999999998</v>
      </c>
      <c r="F304" s="122"/>
      <c r="G304" s="122">
        <v>0</v>
      </c>
    </row>
    <row r="305" spans="2:7" x14ac:dyDescent="0.2">
      <c r="B305" s="120" t="s">
        <v>808</v>
      </c>
      <c r="C305" s="121" t="s">
        <v>809</v>
      </c>
      <c r="D305" s="122">
        <v>0.25</v>
      </c>
      <c r="E305" s="122">
        <v>0.9</v>
      </c>
      <c r="F305" s="122">
        <v>9.99</v>
      </c>
      <c r="G305" s="122">
        <v>90.903989999999993</v>
      </c>
    </row>
    <row r="306" spans="2:7" x14ac:dyDescent="0.2">
      <c r="B306" s="120" t="s">
        <v>810</v>
      </c>
      <c r="C306" s="121" t="s">
        <v>811</v>
      </c>
      <c r="D306" s="122">
        <v>1.57</v>
      </c>
      <c r="E306" s="122">
        <v>1.77</v>
      </c>
      <c r="F306" s="122">
        <v>0.15</v>
      </c>
      <c r="G306" s="122">
        <v>13.33699</v>
      </c>
    </row>
    <row r="307" spans="2:7" x14ac:dyDescent="0.2">
      <c r="B307" s="120" t="s">
        <v>812</v>
      </c>
      <c r="C307" s="121" t="s">
        <v>813</v>
      </c>
      <c r="D307" s="122"/>
      <c r="E307" s="122"/>
      <c r="F307" s="122"/>
      <c r="G307" s="122"/>
    </row>
    <row r="308" spans="2:7" x14ac:dyDescent="0.2">
      <c r="B308" s="120" t="s">
        <v>814</v>
      </c>
      <c r="C308" s="121" t="s">
        <v>815</v>
      </c>
      <c r="D308" s="122">
        <v>1.26</v>
      </c>
      <c r="E308" s="122">
        <v>1.66</v>
      </c>
      <c r="F308" s="122">
        <v>0.43</v>
      </c>
      <c r="G308" s="122">
        <v>29.995000000000001</v>
      </c>
    </row>
    <row r="309" spans="2:7" x14ac:dyDescent="0.2">
      <c r="B309" s="120" t="s">
        <v>816</v>
      </c>
      <c r="C309" s="121" t="s">
        <v>817</v>
      </c>
      <c r="D309" s="122">
        <v>1.44</v>
      </c>
      <c r="E309" s="122">
        <v>1.86</v>
      </c>
      <c r="F309" s="122">
        <v>2.91</v>
      </c>
      <c r="G309" s="122">
        <v>74.417990000000003</v>
      </c>
    </row>
    <row r="310" spans="2:7" x14ac:dyDescent="0.2">
      <c r="B310" s="120" t="s">
        <v>818</v>
      </c>
      <c r="C310" s="121" t="s">
        <v>819</v>
      </c>
      <c r="D310" s="122">
        <v>1.04</v>
      </c>
      <c r="E310" s="122">
        <v>0.89</v>
      </c>
      <c r="F310" s="122">
        <v>0.82</v>
      </c>
      <c r="G310" s="122">
        <v>45.290999999999997</v>
      </c>
    </row>
    <row r="311" spans="2:7" x14ac:dyDescent="0.2">
      <c r="B311" s="120" t="s">
        <v>3910</v>
      </c>
      <c r="C311" s="121" t="s">
        <v>3911</v>
      </c>
      <c r="D311" s="122"/>
      <c r="E311" s="122">
        <v>0.74</v>
      </c>
      <c r="F311" s="122"/>
      <c r="G311" s="122">
        <v>46.808990000000001</v>
      </c>
    </row>
    <row r="312" spans="2:7" x14ac:dyDescent="0.2">
      <c r="B312" s="120" t="s">
        <v>820</v>
      </c>
      <c r="C312" s="121" t="s">
        <v>821</v>
      </c>
      <c r="D312" s="122"/>
      <c r="E312" s="122"/>
      <c r="F312" s="122">
        <v>2.82</v>
      </c>
      <c r="G312" s="122">
        <v>73.819000000000003</v>
      </c>
    </row>
    <row r="313" spans="2:7" x14ac:dyDescent="0.2">
      <c r="B313" s="120" t="s">
        <v>822</v>
      </c>
      <c r="C313" s="121" t="s">
        <v>823</v>
      </c>
      <c r="D313" s="122">
        <v>4.8099999999999996</v>
      </c>
      <c r="E313" s="122">
        <v>4.58</v>
      </c>
      <c r="F313" s="122">
        <v>1.51</v>
      </c>
      <c r="G313" s="122">
        <v>59.627989999999997</v>
      </c>
    </row>
    <row r="314" spans="2:7" x14ac:dyDescent="0.2">
      <c r="B314" s="120" t="s">
        <v>3912</v>
      </c>
      <c r="C314" s="121" t="s">
        <v>3913</v>
      </c>
      <c r="D314" s="122">
        <v>2.88</v>
      </c>
      <c r="E314" s="122">
        <v>8.9499999999999993</v>
      </c>
      <c r="F314" s="122">
        <v>7.0000000000000007E-2</v>
      </c>
      <c r="G314" s="122">
        <v>6.9738899999999999</v>
      </c>
    </row>
    <row r="315" spans="2:7" x14ac:dyDescent="0.2">
      <c r="B315" s="120" t="s">
        <v>824</v>
      </c>
      <c r="C315" s="121" t="s">
        <v>825</v>
      </c>
      <c r="D315" s="122">
        <v>0.86</v>
      </c>
      <c r="E315" s="122">
        <v>1.43</v>
      </c>
      <c r="F315" s="122"/>
      <c r="G315" s="122">
        <v>46.22</v>
      </c>
    </row>
    <row r="316" spans="2:7" x14ac:dyDescent="0.2">
      <c r="B316" s="120" t="s">
        <v>3914</v>
      </c>
      <c r="C316" s="121" t="s">
        <v>3915</v>
      </c>
      <c r="D316" s="122"/>
      <c r="E316" s="122"/>
      <c r="F316" s="122"/>
      <c r="G316" s="122"/>
    </row>
    <row r="317" spans="2:7" x14ac:dyDescent="0.2">
      <c r="B317" s="120" t="s">
        <v>826</v>
      </c>
      <c r="C317" s="121" t="s">
        <v>827</v>
      </c>
      <c r="D317" s="122">
        <v>0.99</v>
      </c>
      <c r="E317" s="122">
        <v>1.01</v>
      </c>
      <c r="F317" s="122">
        <v>1.4</v>
      </c>
      <c r="G317" s="122">
        <v>56.005000000000003</v>
      </c>
    </row>
    <row r="318" spans="2:7" x14ac:dyDescent="0.2">
      <c r="B318" s="120" t="s">
        <v>828</v>
      </c>
      <c r="C318" s="121" t="s">
        <v>829</v>
      </c>
      <c r="D318" s="122">
        <v>0.4</v>
      </c>
      <c r="E318" s="122">
        <v>0.52</v>
      </c>
      <c r="F318" s="122"/>
      <c r="G318" s="122">
        <v>25.913</v>
      </c>
    </row>
    <row r="319" spans="2:7" x14ac:dyDescent="0.2">
      <c r="B319" s="120" t="s">
        <v>830</v>
      </c>
      <c r="C319" s="121" t="s">
        <v>831</v>
      </c>
      <c r="D319" s="122">
        <v>2.38</v>
      </c>
      <c r="E319" s="122">
        <v>1.0900000000000001</v>
      </c>
      <c r="F319" s="122">
        <v>1.68</v>
      </c>
      <c r="G319" s="122">
        <v>62.666989999999998</v>
      </c>
    </row>
    <row r="320" spans="2:7" x14ac:dyDescent="0.2">
      <c r="B320" s="120" t="s">
        <v>832</v>
      </c>
      <c r="C320" s="121" t="s">
        <v>833</v>
      </c>
      <c r="D320" s="122">
        <v>17.07</v>
      </c>
      <c r="E320" s="122">
        <v>28.16</v>
      </c>
      <c r="F320" s="122">
        <v>1.89</v>
      </c>
      <c r="G320" s="122">
        <v>65.382999999999996</v>
      </c>
    </row>
    <row r="321" spans="2:7" x14ac:dyDescent="0.2">
      <c r="B321" s="120" t="s">
        <v>834</v>
      </c>
      <c r="C321" s="121" t="s">
        <v>835</v>
      </c>
      <c r="D321" s="122">
        <v>1.49</v>
      </c>
      <c r="E321" s="122">
        <v>1.49</v>
      </c>
      <c r="F321" s="122">
        <v>0.68</v>
      </c>
      <c r="G321" s="122">
        <v>40.557989999999997</v>
      </c>
    </row>
    <row r="322" spans="2:7" x14ac:dyDescent="0.2">
      <c r="B322" s="120" t="s">
        <v>836</v>
      </c>
      <c r="C322" s="121" t="s">
        <v>837</v>
      </c>
      <c r="D322" s="122">
        <v>0.83</v>
      </c>
      <c r="E322" s="122">
        <v>1.2</v>
      </c>
      <c r="F322" s="122">
        <v>1.03</v>
      </c>
      <c r="G322" s="122">
        <v>50.723990000000001</v>
      </c>
    </row>
    <row r="323" spans="2:7" x14ac:dyDescent="0.2">
      <c r="B323" s="120" t="s">
        <v>838</v>
      </c>
      <c r="C323" s="121" t="s">
        <v>839</v>
      </c>
      <c r="D323" s="122">
        <v>0.54</v>
      </c>
      <c r="E323" s="122">
        <v>1.28</v>
      </c>
      <c r="F323" s="122"/>
      <c r="G323" s="122">
        <v>58.807989999999997</v>
      </c>
    </row>
    <row r="324" spans="2:7" x14ac:dyDescent="0.2">
      <c r="B324" s="120" t="s">
        <v>840</v>
      </c>
      <c r="C324" s="121" t="s">
        <v>841</v>
      </c>
      <c r="D324" s="122">
        <v>0.54</v>
      </c>
      <c r="E324" s="122">
        <v>1.07</v>
      </c>
      <c r="F324" s="122">
        <v>1.2</v>
      </c>
      <c r="G324" s="122">
        <v>54.49</v>
      </c>
    </row>
    <row r="325" spans="2:7" x14ac:dyDescent="0.2">
      <c r="B325" s="120" t="s">
        <v>842</v>
      </c>
      <c r="C325" s="121" t="s">
        <v>843</v>
      </c>
      <c r="D325" s="122">
        <v>1.4</v>
      </c>
      <c r="E325" s="122">
        <v>1.9</v>
      </c>
      <c r="F325" s="122">
        <v>0.16</v>
      </c>
      <c r="G325" s="122">
        <v>13.553000000000001</v>
      </c>
    </row>
    <row r="326" spans="2:7" x14ac:dyDescent="0.2">
      <c r="B326" s="120" t="s">
        <v>3916</v>
      </c>
      <c r="C326" s="121" t="s">
        <v>3917</v>
      </c>
      <c r="D326" s="122"/>
      <c r="E326" s="122"/>
      <c r="F326" s="122"/>
      <c r="G326" s="122"/>
    </row>
    <row r="327" spans="2:7" x14ac:dyDescent="0.2">
      <c r="B327" s="120" t="s">
        <v>844</v>
      </c>
      <c r="C327" s="121" t="s">
        <v>845</v>
      </c>
      <c r="D327" s="122">
        <v>3.07</v>
      </c>
      <c r="E327" s="122">
        <v>2.68</v>
      </c>
      <c r="F327" s="122">
        <v>0.23</v>
      </c>
      <c r="G327" s="122">
        <v>18.802</v>
      </c>
    </row>
    <row r="328" spans="2:7" x14ac:dyDescent="0.2">
      <c r="B328" s="120" t="s">
        <v>846</v>
      </c>
      <c r="C328" s="121" t="s">
        <v>847</v>
      </c>
      <c r="D328" s="122">
        <v>0.23</v>
      </c>
      <c r="E328" s="122">
        <v>0.76</v>
      </c>
      <c r="F328" s="122">
        <v>0.88</v>
      </c>
      <c r="G328" s="122">
        <v>46.673990000000003</v>
      </c>
    </row>
    <row r="329" spans="2:7" x14ac:dyDescent="0.2">
      <c r="B329" s="120" t="s">
        <v>848</v>
      </c>
      <c r="C329" s="121" t="s">
        <v>849</v>
      </c>
      <c r="D329" s="122">
        <v>0.96</v>
      </c>
      <c r="E329" s="122">
        <v>1.43</v>
      </c>
      <c r="F329" s="122">
        <v>1.66</v>
      </c>
      <c r="G329" s="122">
        <v>62.469000000000001</v>
      </c>
    </row>
    <row r="330" spans="2:7" x14ac:dyDescent="0.2">
      <c r="B330" s="120" t="s">
        <v>850</v>
      </c>
      <c r="C330" s="121" t="s">
        <v>851</v>
      </c>
      <c r="D330" s="122">
        <v>0.32</v>
      </c>
      <c r="E330" s="122">
        <v>0.32</v>
      </c>
      <c r="F330" s="122">
        <v>0.25</v>
      </c>
      <c r="G330" s="122">
        <v>20.270990000000001</v>
      </c>
    </row>
    <row r="331" spans="2:7" x14ac:dyDescent="0.2">
      <c r="B331" s="120" t="s">
        <v>852</v>
      </c>
      <c r="C331" s="121" t="s">
        <v>853</v>
      </c>
      <c r="D331" s="122">
        <v>0.93</v>
      </c>
      <c r="E331" s="122">
        <v>0.96</v>
      </c>
      <c r="F331" s="122">
        <v>0.68</v>
      </c>
      <c r="G331" s="122">
        <v>40.325000000000003</v>
      </c>
    </row>
    <row r="332" spans="2:7" x14ac:dyDescent="0.2">
      <c r="B332" s="120" t="s">
        <v>3918</v>
      </c>
      <c r="C332" s="121" t="s">
        <v>3919</v>
      </c>
      <c r="D332" s="122">
        <v>1.01</v>
      </c>
      <c r="E332" s="122">
        <v>1.33</v>
      </c>
      <c r="F332" s="122"/>
      <c r="G332" s="122">
        <v>22.096</v>
      </c>
    </row>
    <row r="333" spans="2:7" x14ac:dyDescent="0.2">
      <c r="B333" s="120" t="s">
        <v>854</v>
      </c>
      <c r="C333" s="121" t="s">
        <v>855</v>
      </c>
      <c r="D333" s="122">
        <v>1.1499999999999999</v>
      </c>
      <c r="E333" s="122">
        <v>2.02</v>
      </c>
      <c r="F333" s="122">
        <v>0.28999999999999998</v>
      </c>
      <c r="G333" s="122">
        <v>22.561</v>
      </c>
    </row>
    <row r="334" spans="2:7" x14ac:dyDescent="0.2">
      <c r="B334" s="120" t="s">
        <v>856</v>
      </c>
      <c r="C334" s="121" t="s">
        <v>857</v>
      </c>
      <c r="D334" s="122">
        <v>9.1</v>
      </c>
      <c r="E334" s="122">
        <v>10.57</v>
      </c>
      <c r="F334" s="122">
        <v>0</v>
      </c>
      <c r="G334" s="122">
        <v>0</v>
      </c>
    </row>
    <row r="335" spans="2:7" x14ac:dyDescent="0.2">
      <c r="B335" s="120" t="s">
        <v>858</v>
      </c>
      <c r="C335" s="121" t="s">
        <v>859</v>
      </c>
      <c r="D335" s="122">
        <v>1.1599999999999999</v>
      </c>
      <c r="E335" s="122">
        <v>1.17</v>
      </c>
      <c r="F335" s="122">
        <v>0.51</v>
      </c>
      <c r="G335" s="122">
        <v>33.884990000000002</v>
      </c>
    </row>
    <row r="336" spans="2:7" x14ac:dyDescent="0.2">
      <c r="B336" s="120" t="s">
        <v>860</v>
      </c>
      <c r="C336" s="121" t="s">
        <v>861</v>
      </c>
      <c r="D336" s="122"/>
      <c r="E336" s="122">
        <v>0.62</v>
      </c>
      <c r="F336" s="122">
        <v>0.66</v>
      </c>
      <c r="G336" s="122">
        <v>39.811999999999998</v>
      </c>
    </row>
    <row r="337" spans="2:7" x14ac:dyDescent="0.2">
      <c r="B337" s="120" t="s">
        <v>862</v>
      </c>
      <c r="C337" s="121" t="s">
        <v>863</v>
      </c>
      <c r="D337" s="122">
        <v>1.04</v>
      </c>
      <c r="E337" s="122">
        <v>1.65</v>
      </c>
      <c r="F337" s="122">
        <v>2.15</v>
      </c>
      <c r="G337" s="122">
        <v>68.25</v>
      </c>
    </row>
    <row r="338" spans="2:7" x14ac:dyDescent="0.2">
      <c r="B338" s="120" t="s">
        <v>862</v>
      </c>
      <c r="C338" s="121" t="s">
        <v>3920</v>
      </c>
      <c r="D338" s="122">
        <v>1.04</v>
      </c>
      <c r="E338" s="122">
        <v>1.65</v>
      </c>
      <c r="F338" s="122">
        <v>2.15</v>
      </c>
      <c r="G338" s="122">
        <v>68.25</v>
      </c>
    </row>
    <row r="339" spans="2:7" x14ac:dyDescent="0.2">
      <c r="B339" s="120" t="s">
        <v>3921</v>
      </c>
      <c r="C339" s="121" t="s">
        <v>3922</v>
      </c>
      <c r="D339" s="122">
        <v>0.71</v>
      </c>
      <c r="E339" s="122">
        <v>0.71</v>
      </c>
      <c r="F339" s="122">
        <v>0</v>
      </c>
      <c r="G339" s="122">
        <v>0.14201</v>
      </c>
    </row>
    <row r="340" spans="2:7" x14ac:dyDescent="0.2">
      <c r="B340" s="120" t="s">
        <v>864</v>
      </c>
      <c r="C340" s="121" t="s">
        <v>865</v>
      </c>
      <c r="D340" s="122">
        <v>0.74</v>
      </c>
      <c r="E340" s="122">
        <v>0.81</v>
      </c>
      <c r="F340" s="122">
        <v>0.06</v>
      </c>
      <c r="G340" s="122">
        <v>5.2305000000000001</v>
      </c>
    </row>
    <row r="341" spans="2:7" x14ac:dyDescent="0.2">
      <c r="B341" s="120" t="s">
        <v>3923</v>
      </c>
      <c r="C341" s="121" t="s">
        <v>3924</v>
      </c>
      <c r="D341" s="122">
        <v>1.41</v>
      </c>
      <c r="E341" s="122">
        <v>0.61</v>
      </c>
      <c r="F341" s="122">
        <v>1.02</v>
      </c>
      <c r="G341" s="122">
        <v>50.427999999999997</v>
      </c>
    </row>
    <row r="342" spans="2:7" x14ac:dyDescent="0.2">
      <c r="B342" s="120" t="s">
        <v>866</v>
      </c>
      <c r="C342" s="121" t="s">
        <v>867</v>
      </c>
      <c r="D342" s="122"/>
      <c r="E342" s="122"/>
      <c r="F342" s="122"/>
      <c r="G342" s="122"/>
    </row>
    <row r="343" spans="2:7" x14ac:dyDescent="0.2">
      <c r="B343" s="120" t="s">
        <v>868</v>
      </c>
      <c r="C343" s="121" t="s">
        <v>869</v>
      </c>
      <c r="D343" s="122">
        <v>0.61</v>
      </c>
      <c r="E343" s="122">
        <v>0.84</v>
      </c>
      <c r="F343" s="122">
        <v>0.9</v>
      </c>
      <c r="G343" s="122">
        <v>47.256990000000002</v>
      </c>
    </row>
    <row r="344" spans="2:7" x14ac:dyDescent="0.2">
      <c r="B344" s="120" t="s">
        <v>870</v>
      </c>
      <c r="C344" s="121" t="s">
        <v>871</v>
      </c>
      <c r="D344" s="122">
        <v>0.98</v>
      </c>
      <c r="E344" s="122">
        <v>0.94</v>
      </c>
      <c r="F344" s="122">
        <v>0.88</v>
      </c>
      <c r="G344" s="122">
        <v>46.889989999999997</v>
      </c>
    </row>
    <row r="345" spans="2:7" x14ac:dyDescent="0.2">
      <c r="B345" s="120" t="s">
        <v>872</v>
      </c>
      <c r="C345" s="121" t="s">
        <v>873</v>
      </c>
      <c r="D345" s="122">
        <v>0.87</v>
      </c>
      <c r="E345" s="122">
        <v>0.76</v>
      </c>
      <c r="F345" s="122">
        <v>1.99</v>
      </c>
      <c r="G345" s="122">
        <v>66.522999999999996</v>
      </c>
    </row>
    <row r="346" spans="2:7" x14ac:dyDescent="0.2">
      <c r="B346" s="120" t="s">
        <v>874</v>
      </c>
      <c r="C346" s="121" t="s">
        <v>875</v>
      </c>
      <c r="D346" s="122">
        <v>1.84</v>
      </c>
      <c r="E346" s="122">
        <v>2.59</v>
      </c>
      <c r="F346" s="122">
        <v>0.2</v>
      </c>
      <c r="G346" s="122">
        <v>16.79899</v>
      </c>
    </row>
    <row r="347" spans="2:7" x14ac:dyDescent="0.2">
      <c r="B347" s="120" t="s">
        <v>876</v>
      </c>
      <c r="C347" s="121" t="s">
        <v>877</v>
      </c>
      <c r="D347" s="122">
        <v>0.61</v>
      </c>
      <c r="E347" s="122">
        <v>1.17</v>
      </c>
      <c r="F347" s="122">
        <v>5.13</v>
      </c>
      <c r="G347" s="122">
        <v>83.676000000000002</v>
      </c>
    </row>
    <row r="348" spans="2:7" x14ac:dyDescent="0.2">
      <c r="B348" s="120" t="s">
        <v>878</v>
      </c>
      <c r="C348" s="121" t="s">
        <v>879</v>
      </c>
      <c r="D348" s="122">
        <v>0.19</v>
      </c>
      <c r="E348" s="122">
        <v>0.27</v>
      </c>
      <c r="F348" s="122"/>
      <c r="G348" s="122">
        <v>27.358989999999999</v>
      </c>
    </row>
    <row r="349" spans="2:7" x14ac:dyDescent="0.2">
      <c r="B349" s="120" t="s">
        <v>880</v>
      </c>
      <c r="C349" s="121" t="s">
        <v>881</v>
      </c>
      <c r="D349" s="122">
        <v>1.33</v>
      </c>
      <c r="E349" s="122">
        <v>1.53</v>
      </c>
      <c r="F349" s="122">
        <v>1.24</v>
      </c>
      <c r="G349" s="122">
        <v>55.408999999999999</v>
      </c>
    </row>
    <row r="350" spans="2:7" x14ac:dyDescent="0.2">
      <c r="B350" s="120" t="s">
        <v>882</v>
      </c>
      <c r="C350" s="121" t="s">
        <v>883</v>
      </c>
      <c r="D350" s="122">
        <v>4.46</v>
      </c>
      <c r="E350" s="122">
        <v>3.06</v>
      </c>
      <c r="F350" s="122">
        <v>0.91</v>
      </c>
      <c r="G350" s="122">
        <v>47.57199</v>
      </c>
    </row>
    <row r="351" spans="2:7" x14ac:dyDescent="0.2">
      <c r="B351" s="120" t="s">
        <v>3925</v>
      </c>
      <c r="C351" s="121" t="s">
        <v>3926</v>
      </c>
      <c r="D351" s="122">
        <v>3.08</v>
      </c>
      <c r="E351" s="122">
        <v>5.77</v>
      </c>
      <c r="F351" s="122">
        <v>7.0000000000000007E-2</v>
      </c>
      <c r="G351" s="122">
        <v>6.7182899999999997</v>
      </c>
    </row>
    <row r="352" spans="2:7" x14ac:dyDescent="0.2">
      <c r="B352" s="120" t="s">
        <v>3927</v>
      </c>
      <c r="C352" s="121" t="s">
        <v>3928</v>
      </c>
      <c r="D352" s="122">
        <v>1.1200000000000001</v>
      </c>
      <c r="E352" s="122">
        <v>1.1200000000000001</v>
      </c>
      <c r="F352" s="122"/>
      <c r="G352" s="122">
        <v>47.027990000000003</v>
      </c>
    </row>
    <row r="353" spans="2:7" x14ac:dyDescent="0.2">
      <c r="B353" s="120" t="s">
        <v>884</v>
      </c>
      <c r="C353" s="121" t="s">
        <v>885</v>
      </c>
      <c r="D353" s="122">
        <v>0.68</v>
      </c>
      <c r="E353" s="122">
        <v>0.8</v>
      </c>
      <c r="F353" s="122"/>
      <c r="G353" s="122">
        <v>39.848990000000001</v>
      </c>
    </row>
    <row r="354" spans="2:7" x14ac:dyDescent="0.2">
      <c r="B354" s="120" t="s">
        <v>886</v>
      </c>
      <c r="C354" s="121" t="s">
        <v>887</v>
      </c>
      <c r="D354" s="122">
        <v>1.0900000000000001</v>
      </c>
      <c r="E354" s="122">
        <v>1.77</v>
      </c>
      <c r="F354" s="122">
        <v>0.18</v>
      </c>
      <c r="G354" s="122">
        <v>15.266999999999999</v>
      </c>
    </row>
    <row r="355" spans="2:7" x14ac:dyDescent="0.2">
      <c r="B355" s="120" t="s">
        <v>888</v>
      </c>
      <c r="C355" s="121" t="s">
        <v>889</v>
      </c>
      <c r="D355" s="122">
        <v>1.06</v>
      </c>
      <c r="E355" s="122">
        <v>1.06</v>
      </c>
      <c r="F355" s="122">
        <v>0.4</v>
      </c>
      <c r="G355" s="122">
        <v>28.357990000000001</v>
      </c>
    </row>
    <row r="356" spans="2:7" x14ac:dyDescent="0.2">
      <c r="B356" s="120" t="s">
        <v>890</v>
      </c>
      <c r="C356" s="121" t="s">
        <v>891</v>
      </c>
      <c r="D356" s="122">
        <v>1.27</v>
      </c>
      <c r="E356" s="122">
        <v>1.41</v>
      </c>
      <c r="F356" s="122">
        <v>0.52</v>
      </c>
      <c r="G356" s="122">
        <v>34.348990000000001</v>
      </c>
    </row>
    <row r="357" spans="2:7" x14ac:dyDescent="0.2">
      <c r="B357" s="120" t="s">
        <v>892</v>
      </c>
      <c r="C357" s="121" t="s">
        <v>893</v>
      </c>
      <c r="D357" s="122">
        <v>1.18</v>
      </c>
      <c r="E357" s="122">
        <v>1.18</v>
      </c>
      <c r="F357" s="122">
        <v>-3.72</v>
      </c>
      <c r="G357" s="122"/>
    </row>
    <row r="358" spans="2:7" x14ac:dyDescent="0.2">
      <c r="B358" s="120" t="s">
        <v>894</v>
      </c>
      <c r="C358" s="121" t="s">
        <v>895</v>
      </c>
      <c r="D358" s="122">
        <v>1.3</v>
      </c>
      <c r="E358" s="122">
        <v>1.6</v>
      </c>
      <c r="F358" s="122">
        <v>0.24</v>
      </c>
      <c r="G358" s="122">
        <v>19.459990000000001</v>
      </c>
    </row>
    <row r="359" spans="2:7" x14ac:dyDescent="0.2">
      <c r="B359" s="120" t="s">
        <v>896</v>
      </c>
      <c r="C359" s="121" t="s">
        <v>897</v>
      </c>
      <c r="D359" s="122">
        <v>1.19</v>
      </c>
      <c r="E359" s="122">
        <v>1.28</v>
      </c>
      <c r="F359" s="122">
        <v>3.57</v>
      </c>
      <c r="G359" s="122">
        <v>78.108000000000004</v>
      </c>
    </row>
    <row r="360" spans="2:7" x14ac:dyDescent="0.2">
      <c r="B360" s="120" t="s">
        <v>898</v>
      </c>
      <c r="C360" s="121" t="s">
        <v>899</v>
      </c>
      <c r="D360" s="122">
        <v>1.03</v>
      </c>
      <c r="E360" s="122">
        <v>2.04</v>
      </c>
      <c r="F360" s="122">
        <v>1.1200000000000001</v>
      </c>
      <c r="G360" s="122">
        <v>52.771990000000002</v>
      </c>
    </row>
    <row r="361" spans="2:7" x14ac:dyDescent="0.2">
      <c r="B361" s="120" t="s">
        <v>900</v>
      </c>
      <c r="C361" s="121" t="s">
        <v>901</v>
      </c>
      <c r="D361" s="122">
        <v>0.19</v>
      </c>
      <c r="E361" s="122">
        <v>0.22</v>
      </c>
      <c r="F361" s="122">
        <v>1.99</v>
      </c>
      <c r="G361" s="122">
        <v>66.588989999999995</v>
      </c>
    </row>
    <row r="362" spans="2:7" x14ac:dyDescent="0.2">
      <c r="B362" s="120" t="s">
        <v>902</v>
      </c>
      <c r="C362" s="121" t="s">
        <v>903</v>
      </c>
      <c r="D362" s="122">
        <v>2.12</v>
      </c>
      <c r="E362" s="122">
        <v>3.44</v>
      </c>
      <c r="F362" s="122">
        <v>1.97</v>
      </c>
      <c r="G362" s="122">
        <v>66.317999999999998</v>
      </c>
    </row>
    <row r="363" spans="2:7" x14ac:dyDescent="0.2">
      <c r="B363" s="120" t="s">
        <v>904</v>
      </c>
      <c r="C363" s="121" t="s">
        <v>905</v>
      </c>
      <c r="D363" s="122">
        <v>2.62</v>
      </c>
      <c r="E363" s="122">
        <v>2.21</v>
      </c>
      <c r="F363" s="122">
        <v>0.3</v>
      </c>
      <c r="G363" s="122">
        <v>22.976990000000001</v>
      </c>
    </row>
    <row r="364" spans="2:7" x14ac:dyDescent="0.2">
      <c r="B364" s="120" t="s">
        <v>906</v>
      </c>
      <c r="C364" s="121" t="s">
        <v>907</v>
      </c>
      <c r="D364" s="122">
        <v>2.38</v>
      </c>
      <c r="E364" s="122">
        <v>2.52</v>
      </c>
      <c r="F364" s="122">
        <v>0.22</v>
      </c>
      <c r="G364" s="122">
        <v>18.04299</v>
      </c>
    </row>
    <row r="365" spans="2:7" x14ac:dyDescent="0.2">
      <c r="B365" s="120" t="s">
        <v>908</v>
      </c>
      <c r="C365" s="121" t="s">
        <v>909</v>
      </c>
      <c r="D365" s="122">
        <v>1.37</v>
      </c>
      <c r="E365" s="122">
        <v>1.43</v>
      </c>
      <c r="F365" s="122">
        <v>0.72</v>
      </c>
      <c r="G365" s="122">
        <v>41.942</v>
      </c>
    </row>
    <row r="366" spans="2:7" x14ac:dyDescent="0.2">
      <c r="B366" s="120" t="s">
        <v>910</v>
      </c>
      <c r="C366" s="121" t="s">
        <v>911</v>
      </c>
      <c r="D366" s="122">
        <v>0.98</v>
      </c>
      <c r="E366" s="122">
        <v>0.96</v>
      </c>
      <c r="F366" s="122">
        <v>0.55000000000000004</v>
      </c>
      <c r="G366" s="122">
        <v>34.384990000000002</v>
      </c>
    </row>
    <row r="367" spans="2:7" x14ac:dyDescent="0.2">
      <c r="B367" s="120" t="s">
        <v>3929</v>
      </c>
      <c r="C367" s="121" t="s">
        <v>3930</v>
      </c>
      <c r="D367" s="122">
        <v>0.64</v>
      </c>
      <c r="E367" s="122">
        <v>0.6</v>
      </c>
      <c r="F367" s="122">
        <v>7.0000000000000007E-2</v>
      </c>
      <c r="G367" s="122">
        <v>5.9112999999999998</v>
      </c>
    </row>
    <row r="368" spans="2:7" x14ac:dyDescent="0.2">
      <c r="B368" s="120" t="s">
        <v>3931</v>
      </c>
      <c r="C368" s="121" t="s">
        <v>3932</v>
      </c>
      <c r="D368" s="122"/>
      <c r="E368" s="122"/>
      <c r="F368" s="122"/>
      <c r="G368" s="122"/>
    </row>
    <row r="369" spans="2:7" x14ac:dyDescent="0.2">
      <c r="B369" s="120" t="s">
        <v>912</v>
      </c>
      <c r="C369" s="121" t="s">
        <v>913</v>
      </c>
      <c r="D369" s="122">
        <v>1.22</v>
      </c>
      <c r="E369" s="122">
        <v>2.27</v>
      </c>
      <c r="F369" s="122">
        <v>1.29</v>
      </c>
      <c r="G369" s="122">
        <v>56.313989999999997</v>
      </c>
    </row>
    <row r="370" spans="2:7" x14ac:dyDescent="0.2">
      <c r="B370" s="120" t="s">
        <v>914</v>
      </c>
      <c r="C370" s="121" t="s">
        <v>915</v>
      </c>
      <c r="D370" s="122">
        <v>11.49</v>
      </c>
      <c r="E370" s="122">
        <v>10.37</v>
      </c>
      <c r="F370" s="122">
        <v>0.13</v>
      </c>
      <c r="G370" s="122">
        <v>11.788</v>
      </c>
    </row>
    <row r="371" spans="2:7" x14ac:dyDescent="0.2">
      <c r="B371" s="120" t="s">
        <v>3933</v>
      </c>
      <c r="C371" s="121" t="s">
        <v>3934</v>
      </c>
      <c r="D371" s="122">
        <v>1.45</v>
      </c>
      <c r="E371" s="122">
        <v>1.45</v>
      </c>
      <c r="F371" s="122"/>
      <c r="G371" s="122">
        <v>30.446999999999999</v>
      </c>
    </row>
    <row r="372" spans="2:7" x14ac:dyDescent="0.2">
      <c r="B372" s="120" t="s">
        <v>916</v>
      </c>
      <c r="C372" s="121" t="s">
        <v>917</v>
      </c>
      <c r="D372" s="122">
        <v>7.63</v>
      </c>
      <c r="E372" s="122">
        <v>7.92</v>
      </c>
      <c r="F372" s="122">
        <v>0.01</v>
      </c>
      <c r="G372" s="122">
        <v>1.00919</v>
      </c>
    </row>
    <row r="373" spans="2:7" x14ac:dyDescent="0.2">
      <c r="B373" s="120" t="s">
        <v>918</v>
      </c>
      <c r="C373" s="121" t="s">
        <v>919</v>
      </c>
      <c r="D373" s="122">
        <v>0.26</v>
      </c>
      <c r="E373" s="122">
        <v>0.3</v>
      </c>
      <c r="F373" s="122">
        <v>0.2</v>
      </c>
      <c r="G373" s="122">
        <v>16.726990000000001</v>
      </c>
    </row>
    <row r="374" spans="2:7" x14ac:dyDescent="0.2">
      <c r="B374" s="120" t="s">
        <v>3935</v>
      </c>
      <c r="C374" s="121" t="s">
        <v>3936</v>
      </c>
      <c r="D374" s="122"/>
      <c r="E374" s="122">
        <v>0.94</v>
      </c>
      <c r="F374" s="122">
        <v>0.55000000000000004</v>
      </c>
      <c r="G374" s="122">
        <v>35.523989999999998</v>
      </c>
    </row>
    <row r="375" spans="2:7" x14ac:dyDescent="0.2">
      <c r="B375" s="120" t="s">
        <v>3937</v>
      </c>
      <c r="C375" s="121" t="s">
        <v>3938</v>
      </c>
      <c r="D375" s="122"/>
      <c r="E375" s="122"/>
      <c r="F375" s="122"/>
      <c r="G375" s="122"/>
    </row>
    <row r="376" spans="2:7" x14ac:dyDescent="0.2">
      <c r="B376" s="120" t="s">
        <v>920</v>
      </c>
      <c r="C376" s="121" t="s">
        <v>921</v>
      </c>
      <c r="D376" s="122">
        <v>0.52</v>
      </c>
      <c r="E376" s="122">
        <v>0.78</v>
      </c>
      <c r="F376" s="122">
        <v>0.69</v>
      </c>
      <c r="G376" s="122">
        <v>40.984999999999999</v>
      </c>
    </row>
    <row r="377" spans="2:7" x14ac:dyDescent="0.2">
      <c r="B377" s="120" t="s">
        <v>922</v>
      </c>
      <c r="C377" s="121" t="s">
        <v>923</v>
      </c>
      <c r="D377" s="122">
        <v>0.94</v>
      </c>
      <c r="E377" s="122">
        <v>1.1299999999999999</v>
      </c>
      <c r="F377" s="122">
        <v>2.66</v>
      </c>
      <c r="G377" s="122">
        <v>72.66</v>
      </c>
    </row>
    <row r="378" spans="2:7" x14ac:dyDescent="0.2">
      <c r="B378" s="120" t="s">
        <v>924</v>
      </c>
      <c r="C378" s="121" t="s">
        <v>925</v>
      </c>
      <c r="D378" s="122">
        <v>0.8</v>
      </c>
      <c r="E378" s="122">
        <v>0.81</v>
      </c>
      <c r="F378" s="122">
        <v>0.25</v>
      </c>
      <c r="G378" s="122">
        <v>20.034990000000001</v>
      </c>
    </row>
    <row r="379" spans="2:7" x14ac:dyDescent="0.2">
      <c r="B379" s="120" t="s">
        <v>3939</v>
      </c>
      <c r="C379" s="121" t="s">
        <v>3940</v>
      </c>
      <c r="D379" s="122"/>
      <c r="E379" s="122"/>
      <c r="F379" s="122"/>
      <c r="G379" s="122"/>
    </row>
    <row r="380" spans="2:7" x14ac:dyDescent="0.2">
      <c r="B380" s="120" t="s">
        <v>926</v>
      </c>
      <c r="C380" s="121" t="s">
        <v>927</v>
      </c>
      <c r="D380" s="122">
        <v>8.2899999999999991</v>
      </c>
      <c r="E380" s="122">
        <v>13.22</v>
      </c>
      <c r="F380" s="122">
        <v>1.9</v>
      </c>
      <c r="G380" s="122">
        <v>65.541989999999998</v>
      </c>
    </row>
    <row r="381" spans="2:7" x14ac:dyDescent="0.2">
      <c r="B381" s="120" t="s">
        <v>928</v>
      </c>
      <c r="C381" s="121" t="s">
        <v>929</v>
      </c>
      <c r="D381" s="122">
        <v>0.77</v>
      </c>
      <c r="E381" s="122">
        <v>0.86</v>
      </c>
      <c r="F381" s="122">
        <v>-6.59</v>
      </c>
      <c r="G381" s="122"/>
    </row>
    <row r="382" spans="2:7" x14ac:dyDescent="0.2">
      <c r="B382" s="120" t="s">
        <v>930</v>
      </c>
      <c r="C382" s="121" t="s">
        <v>931</v>
      </c>
      <c r="D382" s="122">
        <v>1.74</v>
      </c>
      <c r="E382" s="122">
        <v>1.55</v>
      </c>
      <c r="F382" s="122">
        <v>0</v>
      </c>
      <c r="G382" s="122">
        <v>0</v>
      </c>
    </row>
    <row r="383" spans="2:7" x14ac:dyDescent="0.2">
      <c r="B383" s="120" t="s">
        <v>932</v>
      </c>
      <c r="C383" s="121" t="s">
        <v>933</v>
      </c>
      <c r="D383" s="122">
        <v>1.1100000000000001</v>
      </c>
      <c r="E383" s="122">
        <v>1.1100000000000001</v>
      </c>
      <c r="F383" s="122">
        <v>0.05</v>
      </c>
      <c r="G383" s="122">
        <v>4.9742899999999999</v>
      </c>
    </row>
    <row r="384" spans="2:7" x14ac:dyDescent="0.2">
      <c r="B384" s="120" t="s">
        <v>934</v>
      </c>
      <c r="C384" s="121" t="s">
        <v>935</v>
      </c>
      <c r="D384" s="122">
        <v>1.92</v>
      </c>
      <c r="E384" s="122">
        <v>1.81</v>
      </c>
      <c r="F384" s="122">
        <v>0.76</v>
      </c>
      <c r="G384" s="122">
        <v>43.040999999999997</v>
      </c>
    </row>
    <row r="385" spans="2:7" x14ac:dyDescent="0.2">
      <c r="B385" s="120" t="s">
        <v>3941</v>
      </c>
      <c r="C385" s="121" t="s">
        <v>3942</v>
      </c>
      <c r="D385" s="122">
        <v>1.21</v>
      </c>
      <c r="E385" s="122">
        <v>1.1499999999999999</v>
      </c>
      <c r="F385" s="122">
        <v>0.02</v>
      </c>
      <c r="G385" s="122">
        <v>2.117</v>
      </c>
    </row>
    <row r="386" spans="2:7" x14ac:dyDescent="0.2">
      <c r="B386" s="120" t="s">
        <v>936</v>
      </c>
      <c r="C386" s="121" t="s">
        <v>937</v>
      </c>
      <c r="D386" s="122">
        <v>0.23</v>
      </c>
      <c r="E386" s="122">
        <v>0.34</v>
      </c>
      <c r="F386" s="122">
        <v>1.67</v>
      </c>
      <c r="G386" s="122">
        <v>62.486989999999999</v>
      </c>
    </row>
    <row r="387" spans="2:7" x14ac:dyDescent="0.2">
      <c r="B387" s="120" t="s">
        <v>938</v>
      </c>
      <c r="C387" s="121" t="s">
        <v>939</v>
      </c>
      <c r="D387" s="122">
        <v>0.34</v>
      </c>
      <c r="E387" s="122">
        <v>0.38</v>
      </c>
      <c r="F387" s="122">
        <v>0.09</v>
      </c>
      <c r="G387" s="122">
        <v>8.5325000000000006</v>
      </c>
    </row>
    <row r="388" spans="2:7" x14ac:dyDescent="0.2">
      <c r="B388" s="120" t="s">
        <v>3943</v>
      </c>
      <c r="C388" s="121" t="s">
        <v>3944</v>
      </c>
      <c r="D388" s="122"/>
      <c r="E388" s="122">
        <v>0.56999999999999995</v>
      </c>
      <c r="F388" s="122">
        <v>-0.56000000000000005</v>
      </c>
      <c r="G388" s="122"/>
    </row>
    <row r="389" spans="2:7" x14ac:dyDescent="0.2">
      <c r="B389" s="120" t="s">
        <v>940</v>
      </c>
      <c r="C389" s="121" t="s">
        <v>941</v>
      </c>
      <c r="D389" s="122">
        <v>0.42</v>
      </c>
      <c r="E389" s="122">
        <v>0.7</v>
      </c>
      <c r="F389" s="122">
        <v>0.84</v>
      </c>
      <c r="G389" s="122">
        <v>45.724989999999998</v>
      </c>
    </row>
    <row r="390" spans="2:7" x14ac:dyDescent="0.2">
      <c r="B390" s="120" t="s">
        <v>3945</v>
      </c>
      <c r="C390" s="121" t="s">
        <v>3946</v>
      </c>
      <c r="D390" s="122">
        <v>1.01</v>
      </c>
      <c r="E390" s="122">
        <v>1.18</v>
      </c>
      <c r="F390" s="122">
        <v>0.16</v>
      </c>
      <c r="G390" s="122">
        <v>13.618</v>
      </c>
    </row>
    <row r="391" spans="2:7" x14ac:dyDescent="0.2">
      <c r="B391" s="120" t="s">
        <v>942</v>
      </c>
      <c r="C391" s="121" t="s">
        <v>943</v>
      </c>
      <c r="D391" s="122">
        <v>1.23</v>
      </c>
      <c r="E391" s="122">
        <v>1.0900000000000001</v>
      </c>
      <c r="F391" s="122">
        <v>0.7</v>
      </c>
      <c r="G391" s="122">
        <v>41.747</v>
      </c>
    </row>
    <row r="392" spans="2:7" x14ac:dyDescent="0.2">
      <c r="B392" s="120" t="s">
        <v>3947</v>
      </c>
      <c r="C392" s="121" t="s">
        <v>3948</v>
      </c>
      <c r="D392" s="122"/>
      <c r="E392" s="122"/>
      <c r="F392" s="122"/>
      <c r="G392" s="122"/>
    </row>
    <row r="393" spans="2:7" x14ac:dyDescent="0.2">
      <c r="B393" s="120" t="s">
        <v>944</v>
      </c>
      <c r="C393" s="121" t="s">
        <v>945</v>
      </c>
      <c r="D393" s="122"/>
      <c r="E393" s="122"/>
      <c r="F393" s="122"/>
      <c r="G393" s="122"/>
    </row>
    <row r="394" spans="2:7" x14ac:dyDescent="0.2">
      <c r="B394" s="120" t="s">
        <v>946</v>
      </c>
      <c r="C394" s="121" t="s">
        <v>947</v>
      </c>
      <c r="D394" s="122">
        <v>1.95</v>
      </c>
      <c r="E394" s="122">
        <v>2.9</v>
      </c>
      <c r="F394" s="122">
        <v>0.32</v>
      </c>
      <c r="G394" s="122">
        <v>24.343</v>
      </c>
    </row>
    <row r="395" spans="2:7" x14ac:dyDescent="0.2">
      <c r="B395" s="120" t="s">
        <v>3949</v>
      </c>
      <c r="C395" s="121" t="s">
        <v>3950</v>
      </c>
      <c r="D395" s="122">
        <v>1.19</v>
      </c>
      <c r="E395" s="122">
        <v>1.17</v>
      </c>
      <c r="F395" s="122"/>
      <c r="G395" s="122">
        <v>41.187989999999999</v>
      </c>
    </row>
    <row r="396" spans="2:7" x14ac:dyDescent="0.2">
      <c r="B396" s="120" t="s">
        <v>3951</v>
      </c>
      <c r="C396" s="121" t="s">
        <v>3952</v>
      </c>
      <c r="D396" s="122"/>
      <c r="E396" s="122"/>
      <c r="F396" s="122"/>
      <c r="G396" s="122"/>
    </row>
    <row r="397" spans="2:7" x14ac:dyDescent="0.2">
      <c r="B397" s="120" t="s">
        <v>948</v>
      </c>
      <c r="C397" s="121" t="s">
        <v>949</v>
      </c>
      <c r="D397" s="122">
        <v>0.01</v>
      </c>
      <c r="E397" s="122">
        <v>0.02</v>
      </c>
      <c r="F397" s="122">
        <v>2.02</v>
      </c>
      <c r="G397" s="122">
        <v>66.912000000000006</v>
      </c>
    </row>
    <row r="398" spans="2:7" x14ac:dyDescent="0.2">
      <c r="B398" s="120" t="s">
        <v>950</v>
      </c>
      <c r="C398" s="121" t="s">
        <v>951</v>
      </c>
      <c r="D398" s="122">
        <v>0.28000000000000003</v>
      </c>
      <c r="E398" s="122">
        <v>0.28999999999999998</v>
      </c>
      <c r="F398" s="122">
        <v>0.1</v>
      </c>
      <c r="G398" s="122">
        <v>8.8268000000000004</v>
      </c>
    </row>
    <row r="399" spans="2:7" x14ac:dyDescent="0.2">
      <c r="B399" s="120" t="s">
        <v>3953</v>
      </c>
      <c r="C399" s="121" t="s">
        <v>3954</v>
      </c>
      <c r="D399" s="122"/>
      <c r="E399" s="122">
        <v>1.1499999999999999</v>
      </c>
      <c r="F399" s="122"/>
      <c r="G399" s="122">
        <v>30.983989999999999</v>
      </c>
    </row>
    <row r="400" spans="2:7" x14ac:dyDescent="0.2">
      <c r="B400" s="120" t="s">
        <v>952</v>
      </c>
      <c r="C400" s="121" t="s">
        <v>953</v>
      </c>
      <c r="D400" s="122">
        <v>1.04</v>
      </c>
      <c r="E400" s="122">
        <v>0.94</v>
      </c>
      <c r="F400" s="122">
        <v>1.1299999999999999</v>
      </c>
      <c r="G400" s="122">
        <v>51.675989999999999</v>
      </c>
    </row>
    <row r="401" spans="2:7" x14ac:dyDescent="0.2">
      <c r="B401" s="120" t="s">
        <v>3955</v>
      </c>
      <c r="C401" s="121" t="s">
        <v>3956</v>
      </c>
      <c r="D401" s="122">
        <v>0.52</v>
      </c>
      <c r="E401" s="122">
        <v>1.96</v>
      </c>
      <c r="F401" s="122"/>
      <c r="G401" s="122">
        <v>7.6374000000000004</v>
      </c>
    </row>
    <row r="402" spans="2:7" x14ac:dyDescent="0.2">
      <c r="B402" s="120" t="s">
        <v>954</v>
      </c>
      <c r="C402" s="121" t="s">
        <v>955</v>
      </c>
      <c r="D402" s="122">
        <v>5.51</v>
      </c>
      <c r="E402" s="122">
        <v>6.89</v>
      </c>
      <c r="F402" s="122">
        <v>1.31</v>
      </c>
      <c r="G402" s="122">
        <v>56.643999999999998</v>
      </c>
    </row>
    <row r="403" spans="2:7" x14ac:dyDescent="0.2">
      <c r="B403" s="120" t="s">
        <v>3957</v>
      </c>
      <c r="C403" s="121" t="s">
        <v>3958</v>
      </c>
      <c r="D403" s="122">
        <v>1.44</v>
      </c>
      <c r="E403" s="122">
        <v>1.55</v>
      </c>
      <c r="F403" s="122"/>
      <c r="G403" s="122">
        <v>35.581000000000003</v>
      </c>
    </row>
    <row r="404" spans="2:7" x14ac:dyDescent="0.2">
      <c r="B404" s="120" t="s">
        <v>956</v>
      </c>
      <c r="C404" s="121" t="s">
        <v>957</v>
      </c>
      <c r="D404" s="122">
        <v>0.76</v>
      </c>
      <c r="E404" s="122">
        <v>1.1299999999999999</v>
      </c>
      <c r="F404" s="122">
        <v>-664</v>
      </c>
      <c r="G404" s="122">
        <v>96.992990000000006</v>
      </c>
    </row>
    <row r="405" spans="2:7" x14ac:dyDescent="0.2">
      <c r="B405" s="120" t="s">
        <v>958</v>
      </c>
      <c r="C405" s="121" t="s">
        <v>959</v>
      </c>
      <c r="D405" s="122">
        <v>1.27</v>
      </c>
      <c r="E405" s="122">
        <v>1.17</v>
      </c>
      <c r="F405" s="122">
        <v>1.75</v>
      </c>
      <c r="G405" s="122">
        <v>63.613990000000001</v>
      </c>
    </row>
    <row r="406" spans="2:7" x14ac:dyDescent="0.2">
      <c r="B406" s="120" t="s">
        <v>960</v>
      </c>
      <c r="C406" s="121" t="s">
        <v>961</v>
      </c>
      <c r="D406" s="122">
        <v>1.66</v>
      </c>
      <c r="E406" s="122">
        <v>1.91</v>
      </c>
      <c r="F406" s="122">
        <v>1.4</v>
      </c>
      <c r="G406" s="122">
        <v>58.34</v>
      </c>
    </row>
    <row r="407" spans="2:7" x14ac:dyDescent="0.2">
      <c r="B407" s="120" t="s">
        <v>3959</v>
      </c>
      <c r="C407" s="121" t="s">
        <v>3960</v>
      </c>
      <c r="D407" s="122">
        <v>0.83</v>
      </c>
      <c r="E407" s="122">
        <v>0.85</v>
      </c>
      <c r="F407" s="122"/>
      <c r="G407" s="122">
        <v>39.120989999999999</v>
      </c>
    </row>
    <row r="408" spans="2:7" x14ac:dyDescent="0.2">
      <c r="B408" s="120" t="s">
        <v>3961</v>
      </c>
      <c r="C408" s="121" t="s">
        <v>3962</v>
      </c>
      <c r="D408" s="122">
        <v>0.82</v>
      </c>
      <c r="E408" s="122">
        <v>1.1200000000000001</v>
      </c>
      <c r="F408" s="122"/>
      <c r="G408" s="122">
        <v>1.4055899999999999</v>
      </c>
    </row>
    <row r="409" spans="2:7" x14ac:dyDescent="0.2">
      <c r="B409" s="120" t="s">
        <v>962</v>
      </c>
      <c r="C409" s="121" t="s">
        <v>963</v>
      </c>
      <c r="D409" s="122">
        <v>0.71</v>
      </c>
      <c r="E409" s="122">
        <v>0.85</v>
      </c>
      <c r="F409" s="122"/>
      <c r="G409" s="122">
        <v>25.053999999999998</v>
      </c>
    </row>
    <row r="410" spans="2:7" x14ac:dyDescent="0.2">
      <c r="B410" s="120" t="s">
        <v>964</v>
      </c>
      <c r="C410" s="121" t="s">
        <v>965</v>
      </c>
      <c r="D410" s="122">
        <v>0.95</v>
      </c>
      <c r="E410" s="122">
        <v>1.03</v>
      </c>
      <c r="F410" s="122">
        <v>0.85</v>
      </c>
      <c r="G410" s="122">
        <v>45.804000000000002</v>
      </c>
    </row>
    <row r="411" spans="2:7" x14ac:dyDescent="0.2">
      <c r="B411" s="120" t="s">
        <v>966</v>
      </c>
      <c r="C411" s="121" t="s">
        <v>967</v>
      </c>
      <c r="D411" s="122">
        <v>0.55000000000000004</v>
      </c>
      <c r="E411" s="122">
        <v>0.91</v>
      </c>
      <c r="F411" s="122">
        <v>4.09</v>
      </c>
      <c r="G411" s="122">
        <v>80.358000000000004</v>
      </c>
    </row>
    <row r="412" spans="2:7" x14ac:dyDescent="0.2">
      <c r="B412" s="120" t="s">
        <v>968</v>
      </c>
      <c r="C412" s="121" t="s">
        <v>969</v>
      </c>
      <c r="D412" s="122">
        <v>0.93</v>
      </c>
      <c r="E412" s="122">
        <v>0.87</v>
      </c>
      <c r="F412" s="122">
        <v>0.16</v>
      </c>
      <c r="G412" s="122">
        <v>12.880990000000001</v>
      </c>
    </row>
    <row r="413" spans="2:7" x14ac:dyDescent="0.2">
      <c r="B413" s="120" t="s">
        <v>970</v>
      </c>
      <c r="C413" s="121" t="s">
        <v>971</v>
      </c>
      <c r="D413" s="122">
        <v>1.03</v>
      </c>
      <c r="E413" s="122">
        <v>1.02</v>
      </c>
      <c r="F413" s="122">
        <v>0.9</v>
      </c>
      <c r="G413" s="122">
        <v>47.243989999999997</v>
      </c>
    </row>
    <row r="414" spans="2:7" x14ac:dyDescent="0.2">
      <c r="B414" s="120" t="s">
        <v>3963</v>
      </c>
      <c r="C414" s="121" t="s">
        <v>3964</v>
      </c>
      <c r="D414" s="122"/>
      <c r="E414" s="122"/>
      <c r="F414" s="122"/>
      <c r="G414" s="122"/>
    </row>
    <row r="415" spans="2:7" x14ac:dyDescent="0.2">
      <c r="B415" s="120" t="s">
        <v>972</v>
      </c>
      <c r="C415" s="121" t="s">
        <v>973</v>
      </c>
      <c r="D415" s="122">
        <v>0.79</v>
      </c>
      <c r="E415" s="122">
        <v>0.69</v>
      </c>
      <c r="F415" s="122">
        <v>1.3</v>
      </c>
      <c r="G415" s="122">
        <v>56.859000000000002</v>
      </c>
    </row>
    <row r="416" spans="2:7" x14ac:dyDescent="0.2">
      <c r="B416" s="120" t="s">
        <v>974</v>
      </c>
      <c r="C416" s="121" t="s">
        <v>975</v>
      </c>
      <c r="D416" s="122"/>
      <c r="E416" s="122">
        <v>2.33</v>
      </c>
      <c r="F416" s="122"/>
      <c r="G416" s="122">
        <v>25.391999999999999</v>
      </c>
    </row>
    <row r="417" spans="2:7" x14ac:dyDescent="0.2">
      <c r="B417" s="120" t="s">
        <v>976</v>
      </c>
      <c r="C417" s="121" t="s">
        <v>977</v>
      </c>
      <c r="D417" s="122">
        <v>1.01</v>
      </c>
      <c r="E417" s="122">
        <v>1.05</v>
      </c>
      <c r="F417" s="122">
        <v>0.15</v>
      </c>
      <c r="G417" s="122">
        <v>13.329000000000001</v>
      </c>
    </row>
    <row r="418" spans="2:7" x14ac:dyDescent="0.2">
      <c r="B418" s="120" t="s">
        <v>978</v>
      </c>
      <c r="C418" s="121" t="s">
        <v>979</v>
      </c>
      <c r="D418" s="122">
        <v>1.76</v>
      </c>
      <c r="E418" s="122">
        <v>1.52</v>
      </c>
      <c r="F418" s="122">
        <v>1.65</v>
      </c>
      <c r="G418" s="122">
        <v>62.235999999999997</v>
      </c>
    </row>
    <row r="419" spans="2:7" x14ac:dyDescent="0.2">
      <c r="B419" s="120" t="s">
        <v>3965</v>
      </c>
      <c r="C419" s="121" t="s">
        <v>3966</v>
      </c>
      <c r="D419" s="122">
        <v>1.1499999999999999</v>
      </c>
      <c r="E419" s="122">
        <v>1.17</v>
      </c>
      <c r="F419" s="122"/>
      <c r="G419" s="122">
        <v>27.643989999999999</v>
      </c>
    </row>
    <row r="420" spans="2:7" x14ac:dyDescent="0.2">
      <c r="B420" s="120" t="s">
        <v>980</v>
      </c>
      <c r="C420" s="121" t="s">
        <v>981</v>
      </c>
      <c r="D420" s="122">
        <v>0.95</v>
      </c>
      <c r="E420" s="122">
        <v>1.66</v>
      </c>
      <c r="F420" s="122">
        <v>0.18</v>
      </c>
      <c r="G420" s="122">
        <v>15.008990000000001</v>
      </c>
    </row>
    <row r="421" spans="2:7" x14ac:dyDescent="0.2">
      <c r="B421" s="120" t="s">
        <v>982</v>
      </c>
      <c r="C421" s="121" t="s">
        <v>983</v>
      </c>
      <c r="D421" s="122">
        <v>0.74</v>
      </c>
      <c r="E421" s="122">
        <v>0.85</v>
      </c>
      <c r="F421" s="122"/>
      <c r="G421" s="122">
        <v>59.622</v>
      </c>
    </row>
    <row r="422" spans="2:7" x14ac:dyDescent="0.2">
      <c r="B422" s="120" t="s">
        <v>984</v>
      </c>
      <c r="C422" s="121" t="s">
        <v>985</v>
      </c>
      <c r="D422" s="122">
        <v>0.33</v>
      </c>
      <c r="E422" s="122">
        <v>0.46</v>
      </c>
      <c r="F422" s="122">
        <v>8</v>
      </c>
      <c r="G422" s="122">
        <v>89.44999</v>
      </c>
    </row>
    <row r="423" spans="2:7" x14ac:dyDescent="0.2">
      <c r="B423" s="120" t="s">
        <v>986</v>
      </c>
      <c r="C423" s="121" t="s">
        <v>987</v>
      </c>
      <c r="D423" s="122">
        <v>0.69</v>
      </c>
      <c r="E423" s="122">
        <v>0.94</v>
      </c>
      <c r="F423" s="122">
        <v>2.3199999999999998</v>
      </c>
      <c r="G423" s="122">
        <v>69.846000000000004</v>
      </c>
    </row>
    <row r="424" spans="2:7" x14ac:dyDescent="0.2">
      <c r="B424" s="120" t="s">
        <v>3967</v>
      </c>
      <c r="C424" s="121" t="s">
        <v>3968</v>
      </c>
      <c r="D424" s="122"/>
      <c r="E424" s="122"/>
      <c r="F424" s="122"/>
      <c r="G424" s="122"/>
    </row>
    <row r="425" spans="2:7" x14ac:dyDescent="0.2">
      <c r="B425" s="120" t="s">
        <v>988</v>
      </c>
      <c r="C425" s="121" t="s">
        <v>989</v>
      </c>
      <c r="D425" s="122">
        <v>0.24</v>
      </c>
      <c r="E425" s="122">
        <v>0.24</v>
      </c>
      <c r="F425" s="122">
        <v>0.22</v>
      </c>
      <c r="G425" s="122">
        <v>18.136990000000001</v>
      </c>
    </row>
    <row r="426" spans="2:7" x14ac:dyDescent="0.2">
      <c r="B426" s="120" t="s">
        <v>990</v>
      </c>
      <c r="C426" s="121" t="s">
        <v>991</v>
      </c>
      <c r="D426" s="122">
        <v>1</v>
      </c>
      <c r="E426" s="122">
        <v>1.07</v>
      </c>
      <c r="F426" s="122">
        <v>0.57999999999999996</v>
      </c>
      <c r="G426" s="122">
        <v>36.594999999999999</v>
      </c>
    </row>
    <row r="427" spans="2:7" x14ac:dyDescent="0.2">
      <c r="B427" s="120" t="s">
        <v>992</v>
      </c>
      <c r="C427" s="121" t="s">
        <v>993</v>
      </c>
      <c r="D427" s="122">
        <v>4.3099999999999996</v>
      </c>
      <c r="E427" s="122">
        <v>5.34</v>
      </c>
      <c r="F427" s="122">
        <v>4.4400000000000004</v>
      </c>
      <c r="G427" s="122">
        <v>81.637</v>
      </c>
    </row>
    <row r="428" spans="2:7" x14ac:dyDescent="0.2">
      <c r="B428" s="120" t="s">
        <v>994</v>
      </c>
      <c r="C428" s="121" t="s">
        <v>995</v>
      </c>
      <c r="D428" s="122">
        <v>0.62</v>
      </c>
      <c r="E428" s="122">
        <v>0.69</v>
      </c>
      <c r="F428" s="122">
        <v>0.66</v>
      </c>
      <c r="G428" s="122">
        <v>39.861989999999999</v>
      </c>
    </row>
    <row r="429" spans="2:7" x14ac:dyDescent="0.2">
      <c r="B429" s="120" t="s">
        <v>996</v>
      </c>
      <c r="C429" s="121" t="s">
        <v>997</v>
      </c>
      <c r="D429" s="122">
        <v>1.1399999999999999</v>
      </c>
      <c r="E429" s="122">
        <v>0.95</v>
      </c>
      <c r="F429" s="122">
        <v>2.08</v>
      </c>
      <c r="G429" s="122">
        <v>67.527000000000001</v>
      </c>
    </row>
    <row r="430" spans="2:7" x14ac:dyDescent="0.2">
      <c r="B430" s="120" t="s">
        <v>998</v>
      </c>
      <c r="C430" s="121" t="s">
        <v>999</v>
      </c>
      <c r="D430" s="122">
        <v>2.0099999999999998</v>
      </c>
      <c r="E430" s="122">
        <v>1.1100000000000001</v>
      </c>
      <c r="F430" s="122">
        <v>2.17</v>
      </c>
      <c r="G430" s="122">
        <v>63.101999999999997</v>
      </c>
    </row>
    <row r="431" spans="2:7" x14ac:dyDescent="0.2">
      <c r="B431" s="120" t="s">
        <v>1000</v>
      </c>
      <c r="C431" s="121" t="s">
        <v>1001</v>
      </c>
      <c r="D431" s="122">
        <v>0.43</v>
      </c>
      <c r="E431" s="122">
        <v>0.59</v>
      </c>
      <c r="F431" s="122">
        <v>0.56999999999999995</v>
      </c>
      <c r="G431" s="122">
        <v>36.313989999999997</v>
      </c>
    </row>
    <row r="432" spans="2:7" x14ac:dyDescent="0.2">
      <c r="B432" s="120" t="s">
        <v>1002</v>
      </c>
      <c r="C432" s="121" t="s">
        <v>1003</v>
      </c>
      <c r="D432" s="122">
        <v>1.01</v>
      </c>
      <c r="E432" s="122">
        <v>1</v>
      </c>
      <c r="F432" s="122">
        <v>0.88</v>
      </c>
      <c r="G432" s="122">
        <v>46.706000000000003</v>
      </c>
    </row>
    <row r="433" spans="2:7" x14ac:dyDescent="0.2">
      <c r="B433" s="120" t="s">
        <v>1004</v>
      </c>
      <c r="C433" s="121" t="s">
        <v>1005</v>
      </c>
      <c r="D433" s="122">
        <v>1.86</v>
      </c>
      <c r="E433" s="122">
        <v>2.7</v>
      </c>
      <c r="F433" s="122">
        <v>0.52</v>
      </c>
      <c r="G433" s="122">
        <v>34.215000000000003</v>
      </c>
    </row>
    <row r="434" spans="2:7" x14ac:dyDescent="0.2">
      <c r="B434" s="120" t="s">
        <v>1006</v>
      </c>
      <c r="C434" s="121" t="s">
        <v>1007</v>
      </c>
      <c r="D434" s="122">
        <v>2.02</v>
      </c>
      <c r="E434" s="122">
        <v>3.97</v>
      </c>
      <c r="F434" s="122">
        <v>0.31</v>
      </c>
      <c r="G434" s="122">
        <v>23.951989999999999</v>
      </c>
    </row>
    <row r="435" spans="2:7" x14ac:dyDescent="0.2">
      <c r="B435" s="120" t="s">
        <v>1008</v>
      </c>
      <c r="C435" s="121" t="s">
        <v>1009</v>
      </c>
      <c r="D435" s="122"/>
      <c r="E435" s="122"/>
      <c r="F435" s="122"/>
      <c r="G435" s="122"/>
    </row>
    <row r="436" spans="2:7" x14ac:dyDescent="0.2">
      <c r="B436" s="120" t="s">
        <v>1010</v>
      </c>
      <c r="C436" s="121" t="s">
        <v>1011</v>
      </c>
      <c r="D436" s="122">
        <v>0.26</v>
      </c>
      <c r="E436" s="122">
        <v>0.27</v>
      </c>
      <c r="F436" s="122">
        <v>7.0000000000000007E-2</v>
      </c>
      <c r="G436" s="122">
        <v>6.2504999999999997</v>
      </c>
    </row>
    <row r="437" spans="2:7" x14ac:dyDescent="0.2">
      <c r="B437" s="120" t="s">
        <v>1012</v>
      </c>
      <c r="C437" s="121" t="s">
        <v>1013</v>
      </c>
      <c r="D437" s="122">
        <v>2.17</v>
      </c>
      <c r="E437" s="122">
        <v>2.88</v>
      </c>
      <c r="F437" s="122">
        <v>0.21</v>
      </c>
      <c r="G437" s="122">
        <v>17.250990000000002</v>
      </c>
    </row>
    <row r="438" spans="2:7" x14ac:dyDescent="0.2">
      <c r="B438" s="120" t="s">
        <v>1014</v>
      </c>
      <c r="C438" s="121" t="s">
        <v>1015</v>
      </c>
      <c r="D438" s="122">
        <v>0.54</v>
      </c>
      <c r="E438" s="122">
        <v>1.58</v>
      </c>
      <c r="F438" s="122">
        <v>1.1599999999999999</v>
      </c>
      <c r="G438" s="122">
        <v>53.728999999999999</v>
      </c>
    </row>
    <row r="439" spans="2:7" x14ac:dyDescent="0.2">
      <c r="B439" s="120" t="s">
        <v>1016</v>
      </c>
      <c r="C439" s="121" t="s">
        <v>1017</v>
      </c>
      <c r="D439" s="122">
        <v>1.1599999999999999</v>
      </c>
      <c r="E439" s="122">
        <v>1.29</v>
      </c>
      <c r="F439" s="122">
        <v>0.39</v>
      </c>
      <c r="G439" s="122">
        <v>28.236989999999999</v>
      </c>
    </row>
    <row r="440" spans="2:7" x14ac:dyDescent="0.2">
      <c r="B440" s="120" t="s">
        <v>1018</v>
      </c>
      <c r="C440" s="121" t="s">
        <v>1019</v>
      </c>
      <c r="D440" s="122">
        <v>1.66</v>
      </c>
      <c r="E440" s="122">
        <v>1.76</v>
      </c>
      <c r="F440" s="122">
        <v>0.45</v>
      </c>
      <c r="G440" s="122">
        <v>30.927</v>
      </c>
    </row>
    <row r="441" spans="2:7" x14ac:dyDescent="0.2">
      <c r="B441" s="120" t="s">
        <v>1020</v>
      </c>
      <c r="C441" s="121" t="s">
        <v>1021</v>
      </c>
      <c r="D441" s="122">
        <v>0.15</v>
      </c>
      <c r="E441" s="122">
        <v>0.18</v>
      </c>
      <c r="F441" s="122">
        <v>4.74</v>
      </c>
      <c r="G441" s="122">
        <v>82.593000000000004</v>
      </c>
    </row>
    <row r="442" spans="2:7" x14ac:dyDescent="0.2">
      <c r="B442" s="120" t="s">
        <v>1022</v>
      </c>
      <c r="C442" s="121" t="s">
        <v>1023</v>
      </c>
      <c r="D442" s="122"/>
      <c r="E442" s="122">
        <v>0.98</v>
      </c>
      <c r="F442" s="122"/>
      <c r="G442" s="122">
        <v>24.460999999999999</v>
      </c>
    </row>
    <row r="443" spans="2:7" x14ac:dyDescent="0.2">
      <c r="B443" s="120" t="s">
        <v>1024</v>
      </c>
      <c r="C443" s="121" t="s">
        <v>1025</v>
      </c>
      <c r="D443" s="122">
        <v>0.61</v>
      </c>
      <c r="E443" s="122">
        <v>0.94</v>
      </c>
      <c r="F443" s="122">
        <v>1.63</v>
      </c>
      <c r="G443" s="122">
        <v>63.296999999999997</v>
      </c>
    </row>
    <row r="444" spans="2:7" x14ac:dyDescent="0.2">
      <c r="B444" s="120" t="s">
        <v>1026</v>
      </c>
      <c r="C444" s="121" t="s">
        <v>1027</v>
      </c>
      <c r="D444" s="122">
        <v>1.08</v>
      </c>
      <c r="E444" s="122">
        <v>2.13</v>
      </c>
      <c r="F444" s="122">
        <v>1.25</v>
      </c>
      <c r="G444" s="122">
        <v>55.561</v>
      </c>
    </row>
    <row r="445" spans="2:7" x14ac:dyDescent="0.2">
      <c r="B445" s="120" t="s">
        <v>1028</v>
      </c>
      <c r="C445" s="121" t="s">
        <v>1029</v>
      </c>
      <c r="D445" s="122">
        <v>1.19</v>
      </c>
      <c r="E445" s="122">
        <v>2.02</v>
      </c>
      <c r="F445" s="122">
        <v>0.33</v>
      </c>
      <c r="G445" s="122">
        <v>24.641999999999999</v>
      </c>
    </row>
    <row r="446" spans="2:7" x14ac:dyDescent="0.2">
      <c r="B446" s="120" t="s">
        <v>1030</v>
      </c>
      <c r="C446" s="121" t="s">
        <v>1031</v>
      </c>
      <c r="D446" s="122">
        <v>0.48</v>
      </c>
      <c r="E446" s="122">
        <v>0.67</v>
      </c>
      <c r="F446" s="122">
        <v>1.1499999999999999</v>
      </c>
      <c r="G446" s="122">
        <v>53.594999999999999</v>
      </c>
    </row>
    <row r="447" spans="2:7" x14ac:dyDescent="0.2">
      <c r="B447" s="120" t="s">
        <v>1032</v>
      </c>
      <c r="C447" s="121" t="s">
        <v>1033</v>
      </c>
      <c r="D447" s="122">
        <v>0.93</v>
      </c>
      <c r="E447" s="122">
        <v>0.96</v>
      </c>
      <c r="F447" s="122">
        <v>0.67</v>
      </c>
      <c r="G447" s="122">
        <v>39.963999999999999</v>
      </c>
    </row>
    <row r="448" spans="2:7" x14ac:dyDescent="0.2">
      <c r="B448" s="120" t="s">
        <v>1034</v>
      </c>
      <c r="C448" s="121" t="s">
        <v>1035</v>
      </c>
      <c r="D448" s="122"/>
      <c r="E448" s="122">
        <v>0.57999999999999996</v>
      </c>
      <c r="F448" s="122">
        <v>6.39</v>
      </c>
      <c r="G448" s="122">
        <v>86.463989999999995</v>
      </c>
    </row>
    <row r="449" spans="2:7" x14ac:dyDescent="0.2">
      <c r="B449" s="120" t="s">
        <v>1036</v>
      </c>
      <c r="C449" s="121" t="s">
        <v>1037</v>
      </c>
      <c r="D449" s="122">
        <v>0.61</v>
      </c>
      <c r="E449" s="122">
        <v>0.61</v>
      </c>
      <c r="F449" s="122"/>
      <c r="G449" s="122">
        <v>0</v>
      </c>
    </row>
    <row r="450" spans="2:7" x14ac:dyDescent="0.2">
      <c r="B450" s="120" t="s">
        <v>3969</v>
      </c>
      <c r="C450" s="121" t="s">
        <v>3970</v>
      </c>
      <c r="D450" s="122">
        <v>1.1200000000000001</v>
      </c>
      <c r="E450" s="122">
        <v>1.58</v>
      </c>
      <c r="F450" s="122">
        <v>0.97</v>
      </c>
      <c r="G450" s="122">
        <v>49.284990000000001</v>
      </c>
    </row>
    <row r="451" spans="2:7" x14ac:dyDescent="0.2">
      <c r="B451" s="120" t="s">
        <v>1038</v>
      </c>
      <c r="C451" s="121" t="s">
        <v>1039</v>
      </c>
      <c r="D451" s="122">
        <v>0.5</v>
      </c>
      <c r="E451" s="122">
        <v>1.03</v>
      </c>
      <c r="F451" s="122">
        <v>1.58</v>
      </c>
      <c r="G451" s="122">
        <v>61.234000000000002</v>
      </c>
    </row>
    <row r="452" spans="2:7" x14ac:dyDescent="0.2">
      <c r="B452" s="120" t="s">
        <v>1040</v>
      </c>
      <c r="C452" s="121" t="s">
        <v>1041</v>
      </c>
      <c r="D452" s="122"/>
      <c r="E452" s="122">
        <v>2.0699999999999998</v>
      </c>
      <c r="F452" s="122"/>
      <c r="G452" s="122">
        <v>19.766999999999999</v>
      </c>
    </row>
    <row r="453" spans="2:7" x14ac:dyDescent="0.2">
      <c r="B453" s="120" t="s">
        <v>1042</v>
      </c>
      <c r="C453" s="121" t="s">
        <v>1043</v>
      </c>
      <c r="D453" s="122">
        <v>0.33</v>
      </c>
      <c r="E453" s="122">
        <v>0.94</v>
      </c>
      <c r="F453" s="122">
        <v>0.67</v>
      </c>
      <c r="G453" s="122">
        <v>40.171999999999997</v>
      </c>
    </row>
    <row r="454" spans="2:7" x14ac:dyDescent="0.2">
      <c r="B454" s="120" t="s">
        <v>1044</v>
      </c>
      <c r="C454" s="121" t="s">
        <v>1045</v>
      </c>
      <c r="D454" s="122">
        <v>0.98</v>
      </c>
      <c r="E454" s="122">
        <v>0.9</v>
      </c>
      <c r="F454" s="122">
        <v>1.64</v>
      </c>
      <c r="G454" s="122">
        <v>62.137</v>
      </c>
    </row>
    <row r="455" spans="2:7" x14ac:dyDescent="0.2">
      <c r="B455" s="120" t="s">
        <v>1046</v>
      </c>
      <c r="C455" s="121" t="s">
        <v>1047</v>
      </c>
      <c r="D455" s="122">
        <v>2.11</v>
      </c>
      <c r="E455" s="122">
        <v>1.83</v>
      </c>
      <c r="F455" s="122">
        <v>20.98</v>
      </c>
      <c r="G455" s="122">
        <v>95.450990000000004</v>
      </c>
    </row>
    <row r="456" spans="2:7" x14ac:dyDescent="0.2">
      <c r="B456" s="120" t="s">
        <v>1048</v>
      </c>
      <c r="C456" s="121" t="s">
        <v>1049</v>
      </c>
      <c r="D456" s="122">
        <v>1.29</v>
      </c>
      <c r="E456" s="122">
        <v>2.17</v>
      </c>
      <c r="F456" s="122">
        <v>0.56000000000000005</v>
      </c>
      <c r="G456" s="122">
        <v>35.962000000000003</v>
      </c>
    </row>
    <row r="457" spans="2:7" x14ac:dyDescent="0.2">
      <c r="B457" s="120" t="s">
        <v>1050</v>
      </c>
      <c r="C457" s="121" t="s">
        <v>1051</v>
      </c>
      <c r="D457" s="122">
        <v>1.94</v>
      </c>
      <c r="E457" s="122">
        <v>1.94</v>
      </c>
      <c r="F457" s="122"/>
      <c r="G457" s="122">
        <v>83.849990000000005</v>
      </c>
    </row>
    <row r="458" spans="2:7" x14ac:dyDescent="0.2">
      <c r="B458" s="120" t="s">
        <v>1052</v>
      </c>
      <c r="C458" s="121" t="s">
        <v>1053</v>
      </c>
      <c r="D458" s="122">
        <v>4.57</v>
      </c>
      <c r="E458" s="122">
        <v>5.27</v>
      </c>
      <c r="F458" s="122">
        <v>0.23</v>
      </c>
      <c r="G458" s="122">
        <v>18.687000000000001</v>
      </c>
    </row>
    <row r="459" spans="2:7" x14ac:dyDescent="0.2">
      <c r="B459" s="120" t="s">
        <v>3971</v>
      </c>
      <c r="C459" s="121" t="s">
        <v>3972</v>
      </c>
      <c r="D459" s="122">
        <v>1.06</v>
      </c>
      <c r="E459" s="122">
        <v>1.35</v>
      </c>
      <c r="F459" s="122">
        <v>0.54</v>
      </c>
      <c r="G459" s="122">
        <v>35.247</v>
      </c>
    </row>
    <row r="460" spans="2:7" x14ac:dyDescent="0.2">
      <c r="B460" s="120" t="s">
        <v>3973</v>
      </c>
      <c r="C460" s="121" t="s">
        <v>3974</v>
      </c>
      <c r="D460" s="122">
        <v>0.17</v>
      </c>
      <c r="E460" s="122">
        <v>0.46</v>
      </c>
      <c r="F460" s="122"/>
      <c r="G460" s="122">
        <v>4.7570000000000001E-2</v>
      </c>
    </row>
    <row r="461" spans="2:7" x14ac:dyDescent="0.2">
      <c r="B461" s="120" t="s">
        <v>1054</v>
      </c>
      <c r="C461" s="121" t="s">
        <v>1055</v>
      </c>
      <c r="D461" s="122">
        <v>1.43</v>
      </c>
      <c r="E461" s="122">
        <v>2.2000000000000002</v>
      </c>
      <c r="F461" s="122">
        <v>0.73</v>
      </c>
      <c r="G461" s="122">
        <v>42.19699</v>
      </c>
    </row>
    <row r="462" spans="2:7" x14ac:dyDescent="0.2">
      <c r="B462" s="120" t="s">
        <v>1056</v>
      </c>
      <c r="C462" s="121" t="s">
        <v>1057</v>
      </c>
      <c r="D462" s="122">
        <v>1.38</v>
      </c>
      <c r="E462" s="122">
        <v>1.59</v>
      </c>
      <c r="F462" s="122">
        <v>1.47</v>
      </c>
      <c r="G462" s="122">
        <v>59.796999999999997</v>
      </c>
    </row>
    <row r="463" spans="2:7" x14ac:dyDescent="0.2">
      <c r="B463" s="120" t="s">
        <v>1058</v>
      </c>
      <c r="C463" s="121" t="s">
        <v>1059</v>
      </c>
      <c r="D463" s="122">
        <v>0.95</v>
      </c>
      <c r="E463" s="122">
        <v>0.97</v>
      </c>
      <c r="F463" s="122">
        <v>0.31</v>
      </c>
      <c r="G463" s="122">
        <v>23.63899</v>
      </c>
    </row>
    <row r="464" spans="2:7" x14ac:dyDescent="0.2">
      <c r="B464" s="120" t="s">
        <v>1060</v>
      </c>
      <c r="C464" s="121" t="s">
        <v>1061</v>
      </c>
      <c r="D464" s="122">
        <v>0.98</v>
      </c>
      <c r="E464" s="122">
        <v>1.68</v>
      </c>
      <c r="F464" s="122">
        <v>0</v>
      </c>
      <c r="G464" s="122">
        <v>0.25330000000000003</v>
      </c>
    </row>
    <row r="465" spans="2:7" x14ac:dyDescent="0.2">
      <c r="B465" s="120" t="s">
        <v>1062</v>
      </c>
      <c r="C465" s="121" t="s">
        <v>1063</v>
      </c>
      <c r="D465" s="122">
        <v>0.45</v>
      </c>
      <c r="E465" s="122">
        <v>0.5</v>
      </c>
      <c r="F465" s="122"/>
      <c r="G465" s="122">
        <v>47.243989999999997</v>
      </c>
    </row>
    <row r="466" spans="2:7" x14ac:dyDescent="0.2">
      <c r="B466" s="120" t="s">
        <v>1064</v>
      </c>
      <c r="C466" s="121" t="s">
        <v>1065</v>
      </c>
      <c r="D466" s="122">
        <v>0.54</v>
      </c>
      <c r="E466" s="122">
        <v>0.81</v>
      </c>
      <c r="F466" s="122"/>
      <c r="G466" s="122">
        <v>44.000990000000002</v>
      </c>
    </row>
    <row r="467" spans="2:7" x14ac:dyDescent="0.2">
      <c r="B467" s="120" t="s">
        <v>1066</v>
      </c>
      <c r="C467" s="121" t="s">
        <v>1067</v>
      </c>
      <c r="D467" s="122">
        <v>3.98</v>
      </c>
      <c r="E467" s="122">
        <v>4.3</v>
      </c>
      <c r="F467" s="122">
        <v>0.12</v>
      </c>
      <c r="G467" s="122">
        <v>10.93599</v>
      </c>
    </row>
    <row r="468" spans="2:7" x14ac:dyDescent="0.2">
      <c r="B468" s="120" t="s">
        <v>3975</v>
      </c>
      <c r="C468" s="121" t="s">
        <v>3976</v>
      </c>
      <c r="D468" s="122"/>
      <c r="E468" s="122">
        <v>2.94</v>
      </c>
      <c r="F468" s="122">
        <v>0</v>
      </c>
      <c r="G468" s="122">
        <v>0</v>
      </c>
    </row>
    <row r="469" spans="2:7" x14ac:dyDescent="0.2">
      <c r="B469" s="120" t="s">
        <v>3977</v>
      </c>
      <c r="C469" s="121" t="s">
        <v>3978</v>
      </c>
      <c r="D469" s="122">
        <v>0.99</v>
      </c>
      <c r="E469" s="122">
        <v>1.05</v>
      </c>
      <c r="F469" s="122"/>
      <c r="G469" s="122">
        <v>28.611989999999999</v>
      </c>
    </row>
    <row r="470" spans="2:7" x14ac:dyDescent="0.2">
      <c r="B470" s="120" t="s">
        <v>3979</v>
      </c>
      <c r="C470" s="121" t="s">
        <v>3980</v>
      </c>
      <c r="D470" s="122">
        <v>0.99</v>
      </c>
      <c r="E470" s="122">
        <v>1.05</v>
      </c>
      <c r="F470" s="122"/>
      <c r="G470" s="122">
        <v>0</v>
      </c>
    </row>
    <row r="471" spans="2:7" x14ac:dyDescent="0.2">
      <c r="B471" s="120" t="s">
        <v>1068</v>
      </c>
      <c r="C471" s="121" t="s">
        <v>1069</v>
      </c>
      <c r="D471" s="122">
        <v>1.36</v>
      </c>
      <c r="E471" s="122">
        <v>1.36</v>
      </c>
      <c r="F471" s="122">
        <v>3.6</v>
      </c>
      <c r="G471" s="122">
        <v>78.240989999999996</v>
      </c>
    </row>
    <row r="472" spans="2:7" x14ac:dyDescent="0.2">
      <c r="B472" s="120" t="s">
        <v>1070</v>
      </c>
      <c r="C472" s="121" t="s">
        <v>1071</v>
      </c>
      <c r="D472" s="122">
        <v>1.46</v>
      </c>
      <c r="E472" s="122">
        <v>1.51</v>
      </c>
      <c r="F472" s="122">
        <v>0.43</v>
      </c>
      <c r="G472" s="122">
        <v>30.126999999999999</v>
      </c>
    </row>
    <row r="473" spans="2:7" x14ac:dyDescent="0.2">
      <c r="B473" s="120" t="s">
        <v>1072</v>
      </c>
      <c r="C473" s="121" t="s">
        <v>1073</v>
      </c>
      <c r="D473" s="122">
        <v>0.88</v>
      </c>
      <c r="E473" s="122">
        <v>0.95</v>
      </c>
      <c r="F473" s="122">
        <v>0.19</v>
      </c>
      <c r="G473" s="122">
        <v>15.848990000000001</v>
      </c>
    </row>
    <row r="474" spans="2:7" x14ac:dyDescent="0.2">
      <c r="B474" s="120" t="s">
        <v>1074</v>
      </c>
      <c r="C474" s="121" t="s">
        <v>1075</v>
      </c>
      <c r="D474" s="122">
        <v>7.87</v>
      </c>
      <c r="E474" s="122">
        <v>7.17</v>
      </c>
      <c r="F474" s="122">
        <v>0</v>
      </c>
      <c r="G474" s="122">
        <v>0</v>
      </c>
    </row>
    <row r="475" spans="2:7" x14ac:dyDescent="0.2">
      <c r="B475" s="120" t="s">
        <v>3981</v>
      </c>
      <c r="C475" s="121" t="s">
        <v>3982</v>
      </c>
      <c r="D475" s="122">
        <v>2.23</v>
      </c>
      <c r="E475" s="122">
        <v>3.07</v>
      </c>
      <c r="F475" s="122">
        <v>0.28999999999999998</v>
      </c>
      <c r="G475" s="122">
        <v>22.430990000000001</v>
      </c>
    </row>
    <row r="476" spans="2:7" x14ac:dyDescent="0.2">
      <c r="B476" s="120" t="s">
        <v>1076</v>
      </c>
      <c r="C476" s="121" t="s">
        <v>1077</v>
      </c>
      <c r="D476" s="122">
        <v>2.69</v>
      </c>
      <c r="E476" s="122">
        <v>2.96</v>
      </c>
      <c r="F476" s="122">
        <v>0.62</v>
      </c>
      <c r="G476" s="122">
        <v>38.090989999999998</v>
      </c>
    </row>
    <row r="477" spans="2:7" x14ac:dyDescent="0.2">
      <c r="B477" s="120" t="s">
        <v>1078</v>
      </c>
      <c r="C477" s="121" t="s">
        <v>1079</v>
      </c>
      <c r="D477" s="122">
        <v>1.1399999999999999</v>
      </c>
      <c r="E477" s="122">
        <v>2.5299999999999998</v>
      </c>
      <c r="F477" s="122">
        <v>0.81</v>
      </c>
      <c r="G477" s="122">
        <v>44.685000000000002</v>
      </c>
    </row>
    <row r="478" spans="2:7" x14ac:dyDescent="0.2">
      <c r="B478" s="120" t="s">
        <v>1080</v>
      </c>
      <c r="C478" s="121" t="s">
        <v>1081</v>
      </c>
      <c r="D478" s="122">
        <v>1.43</v>
      </c>
      <c r="E478" s="122">
        <v>1.5</v>
      </c>
      <c r="F478" s="122">
        <v>3.76</v>
      </c>
      <c r="G478" s="122">
        <v>78.989990000000006</v>
      </c>
    </row>
    <row r="479" spans="2:7" x14ac:dyDescent="0.2">
      <c r="B479" s="120" t="s">
        <v>3983</v>
      </c>
      <c r="C479" s="121" t="s">
        <v>3984</v>
      </c>
      <c r="D479" s="122">
        <v>1.81</v>
      </c>
      <c r="E479" s="122">
        <v>1.79</v>
      </c>
      <c r="F479" s="122"/>
      <c r="G479" s="122">
        <v>10.644</v>
      </c>
    </row>
    <row r="480" spans="2:7" x14ac:dyDescent="0.2">
      <c r="B480" s="120" t="s">
        <v>1082</v>
      </c>
      <c r="C480" s="121" t="s">
        <v>1083</v>
      </c>
      <c r="D480" s="122">
        <v>1.2</v>
      </c>
      <c r="E480" s="122">
        <v>1.55</v>
      </c>
      <c r="F480" s="122">
        <v>1.26</v>
      </c>
      <c r="G480" s="122">
        <v>55.81</v>
      </c>
    </row>
    <row r="481" spans="2:7" x14ac:dyDescent="0.2">
      <c r="B481" s="120" t="s">
        <v>1084</v>
      </c>
      <c r="C481" s="121" t="s">
        <v>1085</v>
      </c>
      <c r="D481" s="122">
        <v>1.69</v>
      </c>
      <c r="E481" s="122">
        <v>1.98</v>
      </c>
      <c r="F481" s="122"/>
      <c r="G481" s="122">
        <v>45.800989999999999</v>
      </c>
    </row>
    <row r="482" spans="2:7" x14ac:dyDescent="0.2">
      <c r="B482" s="120" t="s">
        <v>1086</v>
      </c>
      <c r="C482" s="121" t="s">
        <v>1087</v>
      </c>
      <c r="D482" s="122">
        <v>0.69</v>
      </c>
      <c r="E482" s="122">
        <v>0.6</v>
      </c>
      <c r="F482" s="122">
        <v>2.5299999999999998</v>
      </c>
      <c r="G482" s="122">
        <v>71.682990000000004</v>
      </c>
    </row>
    <row r="483" spans="2:7" x14ac:dyDescent="0.2">
      <c r="B483" s="120" t="s">
        <v>1088</v>
      </c>
      <c r="C483" s="121" t="s">
        <v>1089</v>
      </c>
      <c r="D483" s="122">
        <v>1.7</v>
      </c>
      <c r="E483" s="122">
        <v>2.08</v>
      </c>
      <c r="F483" s="122">
        <v>1.71</v>
      </c>
      <c r="G483" s="122">
        <v>55.749000000000002</v>
      </c>
    </row>
    <row r="484" spans="2:7" x14ac:dyDescent="0.2">
      <c r="B484" s="120" t="s">
        <v>3985</v>
      </c>
      <c r="C484" s="121" t="s">
        <v>3986</v>
      </c>
      <c r="D484" s="122">
        <v>0.28999999999999998</v>
      </c>
      <c r="E484" s="122">
        <v>0.3</v>
      </c>
      <c r="F484" s="122"/>
      <c r="G484" s="122">
        <v>60.262</v>
      </c>
    </row>
    <row r="485" spans="2:7" x14ac:dyDescent="0.2">
      <c r="B485" s="120" t="s">
        <v>1090</v>
      </c>
      <c r="C485" s="121" t="s">
        <v>1091</v>
      </c>
      <c r="D485" s="122">
        <v>1.1499999999999999</v>
      </c>
      <c r="E485" s="122">
        <v>1.07</v>
      </c>
      <c r="F485" s="122">
        <v>0.24</v>
      </c>
      <c r="G485" s="122">
        <v>19.509</v>
      </c>
    </row>
    <row r="486" spans="2:7" x14ac:dyDescent="0.2">
      <c r="B486" s="120" t="s">
        <v>3987</v>
      </c>
      <c r="C486" s="121" t="s">
        <v>3988</v>
      </c>
      <c r="D486" s="122">
        <v>1.1399999999999999</v>
      </c>
      <c r="E486" s="122">
        <v>1.1200000000000001</v>
      </c>
      <c r="F486" s="122">
        <v>1.17</v>
      </c>
      <c r="G486" s="122">
        <v>53.942</v>
      </c>
    </row>
    <row r="487" spans="2:7" x14ac:dyDescent="0.2">
      <c r="B487" s="120" t="s">
        <v>1092</v>
      </c>
      <c r="C487" s="121" t="s">
        <v>1093</v>
      </c>
      <c r="D487" s="122">
        <v>3.12</v>
      </c>
      <c r="E487" s="122">
        <v>2.5499999999999998</v>
      </c>
      <c r="F487" s="122">
        <v>0.13</v>
      </c>
      <c r="G487" s="122">
        <v>11.68599</v>
      </c>
    </row>
    <row r="488" spans="2:7" x14ac:dyDescent="0.2">
      <c r="B488" s="120" t="s">
        <v>1094</v>
      </c>
      <c r="C488" s="121" t="s">
        <v>1095</v>
      </c>
      <c r="D488" s="122">
        <v>0.78</v>
      </c>
      <c r="E488" s="122">
        <v>1.03</v>
      </c>
      <c r="F488" s="122"/>
      <c r="G488" s="122">
        <v>10.897</v>
      </c>
    </row>
    <row r="489" spans="2:7" x14ac:dyDescent="0.2">
      <c r="B489" s="120" t="s">
        <v>3989</v>
      </c>
      <c r="C489" s="121" t="s">
        <v>3990</v>
      </c>
      <c r="D489" s="122"/>
      <c r="E489" s="122">
        <v>1.69</v>
      </c>
      <c r="F489" s="122">
        <v>0</v>
      </c>
      <c r="G489" s="122">
        <v>0.44553999999999999</v>
      </c>
    </row>
    <row r="490" spans="2:7" x14ac:dyDescent="0.2">
      <c r="B490" s="120" t="s">
        <v>1096</v>
      </c>
      <c r="C490" s="121" t="s">
        <v>1097</v>
      </c>
      <c r="D490" s="122">
        <v>0.71</v>
      </c>
      <c r="E490" s="122">
        <v>0.76</v>
      </c>
      <c r="F490" s="122">
        <v>1.86</v>
      </c>
      <c r="G490" s="122">
        <v>64.977990000000005</v>
      </c>
    </row>
    <row r="491" spans="2:7" x14ac:dyDescent="0.2">
      <c r="B491" s="120" t="s">
        <v>1098</v>
      </c>
      <c r="C491" s="121" t="s">
        <v>1099</v>
      </c>
      <c r="D491" s="122">
        <v>0.04</v>
      </c>
      <c r="E491" s="122">
        <v>0.09</v>
      </c>
      <c r="F491" s="122">
        <v>1.04</v>
      </c>
      <c r="G491" s="122">
        <v>51.83</v>
      </c>
    </row>
    <row r="492" spans="2:7" x14ac:dyDescent="0.2">
      <c r="B492" s="120" t="s">
        <v>878</v>
      </c>
      <c r="C492" s="121" t="s">
        <v>3991</v>
      </c>
      <c r="D492" s="122">
        <v>0.19</v>
      </c>
      <c r="E492" s="122">
        <v>0.27</v>
      </c>
      <c r="F492" s="122"/>
      <c r="G492" s="122">
        <v>27.358989999999999</v>
      </c>
    </row>
    <row r="493" spans="2:7" x14ac:dyDescent="0.2">
      <c r="B493" s="120" t="s">
        <v>1100</v>
      </c>
      <c r="C493" s="121" t="s">
        <v>1101</v>
      </c>
      <c r="D493" s="122">
        <v>0.46</v>
      </c>
      <c r="E493" s="122">
        <v>0.83</v>
      </c>
      <c r="F493" s="122"/>
      <c r="G493" s="122">
        <v>0.29354999999999998</v>
      </c>
    </row>
    <row r="494" spans="2:7" x14ac:dyDescent="0.2">
      <c r="B494" s="120" t="s">
        <v>1102</v>
      </c>
      <c r="C494" s="121" t="s">
        <v>1103</v>
      </c>
      <c r="D494" s="122">
        <v>0.9</v>
      </c>
      <c r="E494" s="122">
        <v>0.72</v>
      </c>
      <c r="F494" s="122">
        <v>0.42</v>
      </c>
      <c r="G494" s="122">
        <v>29.603000000000002</v>
      </c>
    </row>
    <row r="495" spans="2:7" x14ac:dyDescent="0.2">
      <c r="B495" s="120" t="s">
        <v>1104</v>
      </c>
      <c r="C495" s="121" t="s">
        <v>1105</v>
      </c>
      <c r="D495" s="122">
        <v>0.85</v>
      </c>
      <c r="E495" s="122">
        <v>0.85</v>
      </c>
      <c r="F495" s="122">
        <v>0.01</v>
      </c>
      <c r="G495" s="122">
        <v>1.3133999999999999</v>
      </c>
    </row>
    <row r="496" spans="2:7" x14ac:dyDescent="0.2">
      <c r="B496" s="120" t="s">
        <v>1106</v>
      </c>
      <c r="C496" s="121" t="s">
        <v>1107</v>
      </c>
      <c r="D496" s="122">
        <v>0.84</v>
      </c>
      <c r="E496" s="122">
        <v>1.02</v>
      </c>
      <c r="F496" s="122">
        <v>0.41</v>
      </c>
      <c r="G496" s="122">
        <v>29.299990000000001</v>
      </c>
    </row>
    <row r="497" spans="2:7" x14ac:dyDescent="0.2">
      <c r="B497" s="120" t="s">
        <v>3992</v>
      </c>
      <c r="C497" s="121" t="s">
        <v>3993</v>
      </c>
      <c r="D497" s="122">
        <v>1.84</v>
      </c>
      <c r="E497" s="122">
        <v>2.4</v>
      </c>
      <c r="F497" s="122">
        <v>0.7</v>
      </c>
      <c r="G497" s="122">
        <v>41.090989999999998</v>
      </c>
    </row>
    <row r="498" spans="2:7" x14ac:dyDescent="0.2">
      <c r="B498" s="120" t="s">
        <v>1108</v>
      </c>
      <c r="C498" s="121" t="s">
        <v>1109</v>
      </c>
      <c r="D498" s="122">
        <v>0.76</v>
      </c>
      <c r="E498" s="122">
        <v>3.83</v>
      </c>
      <c r="F498" s="122">
        <v>2.1</v>
      </c>
      <c r="G498" s="122">
        <v>67.791989999999998</v>
      </c>
    </row>
    <row r="499" spans="2:7" x14ac:dyDescent="0.2">
      <c r="B499" s="120" t="s">
        <v>1110</v>
      </c>
      <c r="C499" s="121" t="s">
        <v>1111</v>
      </c>
      <c r="D499" s="122">
        <v>0.65</v>
      </c>
      <c r="E499" s="122">
        <v>0.95</v>
      </c>
      <c r="F499" s="122">
        <v>1.39</v>
      </c>
      <c r="G499" s="122">
        <v>58.207000000000001</v>
      </c>
    </row>
    <row r="500" spans="2:7" x14ac:dyDescent="0.2">
      <c r="B500" s="120" t="s">
        <v>1112</v>
      </c>
      <c r="C500" s="121" t="s">
        <v>1113</v>
      </c>
      <c r="D500" s="122">
        <v>1.04</v>
      </c>
      <c r="E500" s="122">
        <v>1.1499999999999999</v>
      </c>
      <c r="F500" s="122">
        <v>0.16</v>
      </c>
      <c r="G500" s="122">
        <v>13.73099</v>
      </c>
    </row>
    <row r="501" spans="2:7" x14ac:dyDescent="0.2">
      <c r="B501" s="120" t="s">
        <v>1114</v>
      </c>
      <c r="C501" s="121" t="s">
        <v>1115</v>
      </c>
      <c r="D501" s="122">
        <v>1.34</v>
      </c>
      <c r="E501" s="122">
        <v>2.1</v>
      </c>
      <c r="F501" s="122">
        <v>0.53</v>
      </c>
      <c r="G501" s="122">
        <v>34.731990000000003</v>
      </c>
    </row>
    <row r="502" spans="2:7" x14ac:dyDescent="0.2">
      <c r="B502" s="120" t="s">
        <v>1116</v>
      </c>
      <c r="C502" s="121" t="s">
        <v>1117</v>
      </c>
      <c r="D502" s="122">
        <v>1.02</v>
      </c>
      <c r="E502" s="122">
        <v>0.23</v>
      </c>
      <c r="F502" s="122">
        <v>2.13</v>
      </c>
      <c r="G502" s="122">
        <v>68.066000000000003</v>
      </c>
    </row>
    <row r="503" spans="2:7" x14ac:dyDescent="0.2">
      <c r="B503" s="120" t="s">
        <v>1118</v>
      </c>
      <c r="C503" s="121" t="s">
        <v>1119</v>
      </c>
      <c r="D503" s="122">
        <v>1.35</v>
      </c>
      <c r="E503" s="122">
        <v>1.1599999999999999</v>
      </c>
      <c r="F503" s="122">
        <v>2.42</v>
      </c>
      <c r="G503" s="122">
        <v>70.8</v>
      </c>
    </row>
    <row r="504" spans="2:7" x14ac:dyDescent="0.2">
      <c r="B504" s="120" t="s">
        <v>3994</v>
      </c>
      <c r="C504" s="121" t="s">
        <v>3995</v>
      </c>
      <c r="D504" s="122">
        <v>0.82</v>
      </c>
      <c r="E504" s="122">
        <v>1.07</v>
      </c>
      <c r="F504" s="122"/>
      <c r="G504" s="122">
        <v>33.241</v>
      </c>
    </row>
    <row r="505" spans="2:7" x14ac:dyDescent="0.2">
      <c r="B505" s="120" t="s">
        <v>3996</v>
      </c>
      <c r="C505" s="121" t="s">
        <v>3997</v>
      </c>
      <c r="D505" s="122">
        <v>0.31</v>
      </c>
      <c r="E505" s="122">
        <v>0.97</v>
      </c>
      <c r="F505" s="122">
        <v>0.73</v>
      </c>
      <c r="G505" s="122">
        <v>42.063989999999997</v>
      </c>
    </row>
    <row r="506" spans="2:7" x14ac:dyDescent="0.2">
      <c r="B506" s="120" t="s">
        <v>1120</v>
      </c>
      <c r="C506" s="121" t="s">
        <v>1121</v>
      </c>
      <c r="D506" s="122">
        <v>0.51</v>
      </c>
      <c r="E506" s="122">
        <v>0.74</v>
      </c>
      <c r="F506" s="122">
        <v>0.83</v>
      </c>
      <c r="G506" s="122">
        <v>45.314990000000002</v>
      </c>
    </row>
    <row r="507" spans="2:7" x14ac:dyDescent="0.2">
      <c r="B507" s="120" t="s">
        <v>1122</v>
      </c>
      <c r="C507" s="121" t="s">
        <v>1123</v>
      </c>
      <c r="D507" s="122">
        <v>1.01</v>
      </c>
      <c r="E507" s="122">
        <v>0.61</v>
      </c>
      <c r="F507" s="122">
        <v>0.24</v>
      </c>
      <c r="G507" s="122">
        <v>19.498999999999999</v>
      </c>
    </row>
    <row r="508" spans="2:7" x14ac:dyDescent="0.2">
      <c r="B508" s="120" t="s">
        <v>1124</v>
      </c>
      <c r="C508" s="121" t="s">
        <v>1125</v>
      </c>
      <c r="D508" s="122">
        <v>1.17</v>
      </c>
      <c r="E508" s="122">
        <v>1.91</v>
      </c>
      <c r="F508" s="122">
        <v>0.41</v>
      </c>
      <c r="G508" s="122">
        <v>28.829000000000001</v>
      </c>
    </row>
    <row r="509" spans="2:7" x14ac:dyDescent="0.2">
      <c r="B509" s="120" t="s">
        <v>3998</v>
      </c>
      <c r="C509" s="121" t="s">
        <v>3999</v>
      </c>
      <c r="D509" s="122"/>
      <c r="E509" s="122"/>
      <c r="F509" s="122"/>
      <c r="G509" s="122"/>
    </row>
    <row r="510" spans="2:7" x14ac:dyDescent="0.2">
      <c r="B510" s="120" t="s">
        <v>1126</v>
      </c>
      <c r="C510" s="121" t="s">
        <v>1127</v>
      </c>
      <c r="D510" s="122">
        <v>3.36</v>
      </c>
      <c r="E510" s="122">
        <v>3.42</v>
      </c>
      <c r="F510" s="122">
        <v>0</v>
      </c>
      <c r="G510" s="122">
        <v>0</v>
      </c>
    </row>
    <row r="511" spans="2:7" x14ac:dyDescent="0.2">
      <c r="B511" s="120" t="s">
        <v>1128</v>
      </c>
      <c r="C511" s="121" t="s">
        <v>1129</v>
      </c>
      <c r="D511" s="122"/>
      <c r="E511" s="122"/>
      <c r="F511" s="122"/>
      <c r="G511" s="122"/>
    </row>
    <row r="512" spans="2:7" x14ac:dyDescent="0.2">
      <c r="B512" s="120" t="s">
        <v>1130</v>
      </c>
      <c r="C512" s="121" t="s">
        <v>1131</v>
      </c>
      <c r="D512" s="122">
        <v>1.1100000000000001</v>
      </c>
      <c r="E512" s="122">
        <v>1.1499999999999999</v>
      </c>
      <c r="F512" s="122">
        <v>6.69</v>
      </c>
      <c r="G512" s="122">
        <v>87.000990000000002</v>
      </c>
    </row>
    <row r="513" spans="2:7" x14ac:dyDescent="0.2">
      <c r="B513" s="120" t="s">
        <v>1132</v>
      </c>
      <c r="C513" s="121" t="s">
        <v>1133</v>
      </c>
      <c r="D513" s="122">
        <v>1.8</v>
      </c>
      <c r="E513" s="122">
        <v>1.65</v>
      </c>
      <c r="F513" s="122">
        <v>1.64</v>
      </c>
      <c r="G513" s="122">
        <v>62.874000000000002</v>
      </c>
    </row>
    <row r="514" spans="2:7" x14ac:dyDescent="0.2">
      <c r="B514" s="120" t="s">
        <v>1134</v>
      </c>
      <c r="C514" s="121" t="s">
        <v>1135</v>
      </c>
      <c r="D514" s="122">
        <v>0.49</v>
      </c>
      <c r="E514" s="122">
        <v>0.6</v>
      </c>
      <c r="F514" s="122">
        <v>1.38</v>
      </c>
      <c r="G514" s="122">
        <v>56.625990000000002</v>
      </c>
    </row>
    <row r="515" spans="2:7" x14ac:dyDescent="0.2">
      <c r="B515" s="120" t="s">
        <v>1136</v>
      </c>
      <c r="C515" s="121" t="s">
        <v>1137</v>
      </c>
      <c r="D515" s="122">
        <v>0.28000000000000003</v>
      </c>
      <c r="E515" s="122">
        <v>0.34</v>
      </c>
      <c r="F515" s="122">
        <v>0.95</v>
      </c>
      <c r="G515" s="122">
        <v>48.69699</v>
      </c>
    </row>
    <row r="516" spans="2:7" x14ac:dyDescent="0.2">
      <c r="B516" s="120" t="s">
        <v>1138</v>
      </c>
      <c r="C516" s="121" t="s">
        <v>1139</v>
      </c>
      <c r="D516" s="122">
        <v>0.86</v>
      </c>
      <c r="E516" s="122">
        <v>1.04</v>
      </c>
      <c r="F516" s="122"/>
      <c r="G516" s="122">
        <v>46.425989999999999</v>
      </c>
    </row>
    <row r="517" spans="2:7" x14ac:dyDescent="0.2">
      <c r="B517" s="120" t="s">
        <v>1140</v>
      </c>
      <c r="C517" s="121" t="s">
        <v>1141</v>
      </c>
      <c r="D517" s="122">
        <v>1.03</v>
      </c>
      <c r="E517" s="122">
        <v>1.53</v>
      </c>
      <c r="F517" s="122">
        <v>0.72</v>
      </c>
      <c r="G517" s="122">
        <v>41.729990000000001</v>
      </c>
    </row>
    <row r="518" spans="2:7" x14ac:dyDescent="0.2">
      <c r="B518" s="120" t="s">
        <v>1142</v>
      </c>
      <c r="C518" s="121" t="s">
        <v>1143</v>
      </c>
      <c r="D518" s="122">
        <v>2.08</v>
      </c>
      <c r="E518" s="122">
        <v>1.93</v>
      </c>
      <c r="F518" s="122">
        <v>0.13</v>
      </c>
      <c r="G518" s="122">
        <v>11.80599</v>
      </c>
    </row>
    <row r="519" spans="2:7" x14ac:dyDescent="0.2">
      <c r="B519" s="120" t="s">
        <v>1144</v>
      </c>
      <c r="C519" s="121" t="s">
        <v>1145</v>
      </c>
      <c r="D519" s="122">
        <v>0.76</v>
      </c>
      <c r="E519" s="122">
        <v>0.72</v>
      </c>
      <c r="F519" s="122">
        <v>2.3199999999999998</v>
      </c>
      <c r="G519" s="122">
        <v>70.310990000000004</v>
      </c>
    </row>
    <row r="520" spans="2:7" x14ac:dyDescent="0.2">
      <c r="B520" s="120" t="s">
        <v>4000</v>
      </c>
      <c r="C520" s="121" t="s">
        <v>4001</v>
      </c>
      <c r="D520" s="122">
        <v>1.01</v>
      </c>
      <c r="E520" s="122">
        <v>1.02</v>
      </c>
      <c r="F520" s="122"/>
      <c r="G520" s="122">
        <v>0</v>
      </c>
    </row>
    <row r="521" spans="2:7" x14ac:dyDescent="0.2">
      <c r="B521" s="120" t="s">
        <v>1146</v>
      </c>
      <c r="C521" s="121" t="s">
        <v>1147</v>
      </c>
      <c r="D521" s="122">
        <v>0.94</v>
      </c>
      <c r="E521" s="122">
        <v>0.94</v>
      </c>
      <c r="F521" s="122"/>
      <c r="G521" s="122">
        <v>49.000990000000002</v>
      </c>
    </row>
    <row r="522" spans="2:7" x14ac:dyDescent="0.2">
      <c r="B522" s="120" t="s">
        <v>1148</v>
      </c>
      <c r="C522" s="121" t="s">
        <v>1149</v>
      </c>
      <c r="D522" s="122">
        <v>1.45</v>
      </c>
      <c r="E522" s="122">
        <v>1.18</v>
      </c>
      <c r="F522" s="122">
        <v>0.99</v>
      </c>
      <c r="G522" s="122">
        <v>49.682989999999997</v>
      </c>
    </row>
    <row r="523" spans="2:7" x14ac:dyDescent="0.2">
      <c r="B523" s="120" t="s">
        <v>1150</v>
      </c>
      <c r="C523" s="121" t="s">
        <v>1151</v>
      </c>
      <c r="D523" s="122"/>
      <c r="E523" s="122"/>
      <c r="F523" s="122"/>
      <c r="G523" s="122"/>
    </row>
    <row r="524" spans="2:7" x14ac:dyDescent="0.2">
      <c r="B524" s="120" t="s">
        <v>1152</v>
      </c>
      <c r="C524" s="121" t="s">
        <v>1153</v>
      </c>
      <c r="D524" s="122">
        <v>1.64</v>
      </c>
      <c r="E524" s="122">
        <v>2.3199999999999998</v>
      </c>
      <c r="F524" s="122">
        <v>0.65</v>
      </c>
      <c r="G524" s="122">
        <v>39.97</v>
      </c>
    </row>
    <row r="525" spans="2:7" x14ac:dyDescent="0.2">
      <c r="B525" s="120" t="s">
        <v>4002</v>
      </c>
      <c r="C525" s="121" t="s">
        <v>4003</v>
      </c>
      <c r="D525" s="122">
        <v>1.69</v>
      </c>
      <c r="E525" s="122">
        <v>1.85</v>
      </c>
      <c r="F525" s="122">
        <v>0.05</v>
      </c>
      <c r="G525" s="122">
        <v>4.3235900000000003</v>
      </c>
    </row>
    <row r="526" spans="2:7" x14ac:dyDescent="0.2">
      <c r="B526" s="120" t="s">
        <v>1154</v>
      </c>
      <c r="C526" s="121" t="s">
        <v>1155</v>
      </c>
      <c r="D526" s="122">
        <v>0.63</v>
      </c>
      <c r="E526" s="122">
        <v>0.46</v>
      </c>
      <c r="F526" s="122">
        <v>0.75</v>
      </c>
      <c r="G526" s="122">
        <v>40.192</v>
      </c>
    </row>
    <row r="527" spans="2:7" x14ac:dyDescent="0.2">
      <c r="B527" s="120" t="s">
        <v>1156</v>
      </c>
      <c r="C527" s="121" t="s">
        <v>1157</v>
      </c>
      <c r="D527" s="122">
        <v>1.33</v>
      </c>
      <c r="E527" s="122">
        <v>1.65</v>
      </c>
      <c r="F527" s="122">
        <v>0.37</v>
      </c>
      <c r="G527" s="122">
        <v>26.824999999999999</v>
      </c>
    </row>
    <row r="528" spans="2:7" x14ac:dyDescent="0.2">
      <c r="B528" s="120" t="s">
        <v>1158</v>
      </c>
      <c r="C528" s="121" t="s">
        <v>1159</v>
      </c>
      <c r="D528" s="122">
        <v>0.94</v>
      </c>
      <c r="E528" s="122">
        <v>1.1200000000000001</v>
      </c>
      <c r="F528" s="122">
        <v>1.44</v>
      </c>
      <c r="G528" s="122">
        <v>59.023989999999998</v>
      </c>
    </row>
    <row r="529" spans="2:7" x14ac:dyDescent="0.2">
      <c r="B529" s="120" t="s">
        <v>1160</v>
      </c>
      <c r="C529" s="121" t="s">
        <v>1161</v>
      </c>
      <c r="D529" s="122">
        <v>1.67</v>
      </c>
      <c r="E529" s="122">
        <v>1.99</v>
      </c>
      <c r="F529" s="122">
        <v>2.38</v>
      </c>
      <c r="G529" s="122">
        <v>70.451999999999998</v>
      </c>
    </row>
    <row r="530" spans="2:7" x14ac:dyDescent="0.2">
      <c r="B530" s="120" t="s">
        <v>1162</v>
      </c>
      <c r="C530" s="121" t="s">
        <v>1163</v>
      </c>
      <c r="D530" s="122">
        <v>3.26</v>
      </c>
      <c r="E530" s="122">
        <v>2.69</v>
      </c>
      <c r="F530" s="122">
        <v>0.24</v>
      </c>
      <c r="G530" s="122">
        <v>19.274000000000001</v>
      </c>
    </row>
    <row r="531" spans="2:7" x14ac:dyDescent="0.2">
      <c r="B531" s="120" t="s">
        <v>1164</v>
      </c>
      <c r="C531" s="121" t="s">
        <v>1165</v>
      </c>
      <c r="D531" s="122">
        <v>2.12</v>
      </c>
      <c r="E531" s="122">
        <v>3.74</v>
      </c>
      <c r="F531" s="122">
        <v>1.07</v>
      </c>
      <c r="G531" s="122">
        <v>51.573999999999998</v>
      </c>
    </row>
    <row r="532" spans="2:7" x14ac:dyDescent="0.2">
      <c r="B532" s="120" t="s">
        <v>1166</v>
      </c>
      <c r="C532" s="121" t="s">
        <v>1167</v>
      </c>
      <c r="D532" s="122">
        <v>0.72</v>
      </c>
      <c r="E532" s="122">
        <v>0.75</v>
      </c>
      <c r="F532" s="122">
        <v>14.85</v>
      </c>
      <c r="G532" s="122">
        <v>93.820989999999995</v>
      </c>
    </row>
    <row r="533" spans="2:7" x14ac:dyDescent="0.2">
      <c r="B533" s="120" t="s">
        <v>1168</v>
      </c>
      <c r="C533" s="121" t="s">
        <v>1169</v>
      </c>
      <c r="D533" s="122">
        <v>0.56000000000000005</v>
      </c>
      <c r="E533" s="122">
        <v>1.34</v>
      </c>
      <c r="F533" s="122">
        <v>1.06</v>
      </c>
      <c r="G533" s="122">
        <v>51.350999999999999</v>
      </c>
    </row>
    <row r="534" spans="2:7" x14ac:dyDescent="0.2">
      <c r="B534" s="120" t="s">
        <v>4004</v>
      </c>
      <c r="C534" s="121" t="s">
        <v>4005</v>
      </c>
      <c r="D534" s="122">
        <v>0.19</v>
      </c>
      <c r="E534" s="122">
        <v>0.45</v>
      </c>
      <c r="F534" s="122"/>
      <c r="G534" s="122">
        <v>0.96318999999999999</v>
      </c>
    </row>
    <row r="535" spans="2:7" x14ac:dyDescent="0.2">
      <c r="B535" s="120" t="s">
        <v>1170</v>
      </c>
      <c r="C535" s="121" t="s">
        <v>1171</v>
      </c>
      <c r="D535" s="122">
        <v>1.44</v>
      </c>
      <c r="E535" s="122">
        <v>1.33</v>
      </c>
      <c r="F535" s="122">
        <v>2.2999999999999998</v>
      </c>
      <c r="G535" s="122">
        <v>68.646000000000001</v>
      </c>
    </row>
    <row r="536" spans="2:7" x14ac:dyDescent="0.2">
      <c r="B536" s="120" t="s">
        <v>1172</v>
      </c>
      <c r="C536" s="121" t="s">
        <v>1173</v>
      </c>
      <c r="D536" s="122">
        <v>0.19</v>
      </c>
      <c r="E536" s="122">
        <v>1.1399999999999999</v>
      </c>
      <c r="F536" s="122">
        <v>1.49</v>
      </c>
      <c r="G536" s="122">
        <v>59.834989999999998</v>
      </c>
    </row>
    <row r="537" spans="2:7" x14ac:dyDescent="0.2">
      <c r="B537" s="120" t="s">
        <v>1174</v>
      </c>
      <c r="C537" s="121" t="s">
        <v>1175</v>
      </c>
      <c r="D537" s="122">
        <v>0.87</v>
      </c>
      <c r="E537" s="122">
        <v>0.82</v>
      </c>
      <c r="F537" s="122">
        <v>0.57999999999999996</v>
      </c>
      <c r="G537" s="122">
        <v>37.069000000000003</v>
      </c>
    </row>
    <row r="538" spans="2:7" x14ac:dyDescent="0.2">
      <c r="B538" s="120" t="s">
        <v>1176</v>
      </c>
      <c r="C538" s="121" t="s">
        <v>1177</v>
      </c>
      <c r="D538" s="122">
        <v>1.31</v>
      </c>
      <c r="E538" s="122">
        <v>6.91</v>
      </c>
      <c r="F538" s="122">
        <v>0.35</v>
      </c>
      <c r="G538" s="122">
        <v>26.011990000000001</v>
      </c>
    </row>
    <row r="539" spans="2:7" x14ac:dyDescent="0.2">
      <c r="B539" s="120" t="s">
        <v>1178</v>
      </c>
      <c r="C539" s="121" t="s">
        <v>1179</v>
      </c>
      <c r="D539" s="122">
        <v>1.07</v>
      </c>
      <c r="E539" s="122">
        <v>2.3199999999999998</v>
      </c>
      <c r="F539" s="122">
        <v>0.33</v>
      </c>
      <c r="G539" s="122">
        <v>23.948989999999998</v>
      </c>
    </row>
    <row r="540" spans="2:7" x14ac:dyDescent="0.2">
      <c r="B540" s="120" t="s">
        <v>4006</v>
      </c>
      <c r="C540" s="121" t="s">
        <v>4007</v>
      </c>
      <c r="D540" s="122"/>
      <c r="E540" s="122"/>
      <c r="F540" s="122"/>
      <c r="G540" s="122"/>
    </row>
    <row r="541" spans="2:7" x14ac:dyDescent="0.2">
      <c r="B541" s="120" t="s">
        <v>4008</v>
      </c>
      <c r="C541" s="121" t="s">
        <v>4009</v>
      </c>
      <c r="D541" s="122"/>
      <c r="E541" s="122"/>
      <c r="F541" s="122"/>
      <c r="G541" s="122"/>
    </row>
    <row r="542" spans="2:7" x14ac:dyDescent="0.2">
      <c r="B542" s="120" t="s">
        <v>4010</v>
      </c>
      <c r="C542" s="121" t="s">
        <v>4011</v>
      </c>
      <c r="D542" s="122">
        <v>0.33</v>
      </c>
      <c r="E542" s="122">
        <v>0.38</v>
      </c>
      <c r="F542" s="122"/>
      <c r="G542" s="122">
        <v>61.802999999999997</v>
      </c>
    </row>
    <row r="543" spans="2:7" x14ac:dyDescent="0.2">
      <c r="B543" s="120" t="s">
        <v>1180</v>
      </c>
      <c r="C543" s="121" t="s">
        <v>1181</v>
      </c>
      <c r="D543" s="122">
        <v>0.86</v>
      </c>
      <c r="E543" s="122">
        <v>0.7</v>
      </c>
      <c r="F543" s="122">
        <v>0.38</v>
      </c>
      <c r="G543" s="122">
        <v>31.934989999999999</v>
      </c>
    </row>
    <row r="544" spans="2:7" x14ac:dyDescent="0.2">
      <c r="B544" s="120" t="s">
        <v>1182</v>
      </c>
      <c r="C544" s="121" t="s">
        <v>1183</v>
      </c>
      <c r="D544" s="122">
        <v>1.06</v>
      </c>
      <c r="E544" s="122">
        <v>1.27</v>
      </c>
      <c r="F544" s="122">
        <v>1.32</v>
      </c>
      <c r="G544" s="122">
        <v>57.637</v>
      </c>
    </row>
    <row r="545" spans="2:7" x14ac:dyDescent="0.2">
      <c r="B545" s="120" t="s">
        <v>4012</v>
      </c>
      <c r="C545" s="121" t="s">
        <v>4013</v>
      </c>
      <c r="D545" s="122">
        <v>1.06</v>
      </c>
      <c r="E545" s="122">
        <v>1.27</v>
      </c>
      <c r="F545" s="122">
        <v>1.32</v>
      </c>
      <c r="G545" s="122">
        <v>57.637</v>
      </c>
    </row>
    <row r="546" spans="2:7" x14ac:dyDescent="0.2">
      <c r="B546" s="120" t="s">
        <v>4012</v>
      </c>
      <c r="C546" s="121" t="s">
        <v>4014</v>
      </c>
      <c r="D546" s="122">
        <v>1.06</v>
      </c>
      <c r="E546" s="122">
        <v>1.27</v>
      </c>
      <c r="F546" s="122">
        <v>1.32</v>
      </c>
      <c r="G546" s="122">
        <v>57.637</v>
      </c>
    </row>
    <row r="547" spans="2:7" x14ac:dyDescent="0.2">
      <c r="B547" s="120" t="s">
        <v>1184</v>
      </c>
      <c r="C547" s="121" t="s">
        <v>1185</v>
      </c>
      <c r="D547" s="122">
        <v>0.63</v>
      </c>
      <c r="E547" s="122">
        <v>0.63</v>
      </c>
      <c r="F547" s="122">
        <v>1.42</v>
      </c>
      <c r="G547" s="122">
        <v>59.5</v>
      </c>
    </row>
    <row r="548" spans="2:7" x14ac:dyDescent="0.2">
      <c r="B548" s="120" t="s">
        <v>1186</v>
      </c>
      <c r="C548" s="121" t="s">
        <v>1187</v>
      </c>
      <c r="D548" s="122"/>
      <c r="E548" s="122"/>
      <c r="F548" s="122"/>
      <c r="G548" s="122"/>
    </row>
    <row r="549" spans="2:7" x14ac:dyDescent="0.2">
      <c r="B549" s="120" t="s">
        <v>1188</v>
      </c>
      <c r="C549" s="121" t="s">
        <v>1189</v>
      </c>
      <c r="D549" s="122">
        <v>1.1499999999999999</v>
      </c>
      <c r="E549" s="122">
        <v>1.75</v>
      </c>
      <c r="F549" s="122">
        <v>0.26</v>
      </c>
      <c r="G549" s="122">
        <v>20.739989999999999</v>
      </c>
    </row>
    <row r="550" spans="2:7" x14ac:dyDescent="0.2">
      <c r="B550" s="120" t="s">
        <v>1190</v>
      </c>
      <c r="C550" s="121" t="s">
        <v>1191</v>
      </c>
      <c r="D550" s="122">
        <v>0.2</v>
      </c>
      <c r="E550" s="122">
        <v>1.28</v>
      </c>
      <c r="F550" s="122">
        <v>1.73</v>
      </c>
      <c r="G550" s="122">
        <v>63.314990000000002</v>
      </c>
    </row>
    <row r="551" spans="2:7" x14ac:dyDescent="0.2">
      <c r="B551" s="120" t="s">
        <v>4015</v>
      </c>
      <c r="C551" s="121" t="s">
        <v>4016</v>
      </c>
      <c r="D551" s="122">
        <v>0.6</v>
      </c>
      <c r="E551" s="122">
        <v>0.64</v>
      </c>
      <c r="F551" s="122">
        <v>0.83</v>
      </c>
      <c r="G551" s="122">
        <v>45.241999999999997</v>
      </c>
    </row>
    <row r="552" spans="2:7" x14ac:dyDescent="0.2">
      <c r="B552" s="120" t="s">
        <v>1192</v>
      </c>
      <c r="C552" s="121" t="s">
        <v>1193</v>
      </c>
      <c r="D552" s="122">
        <v>4.6900000000000004</v>
      </c>
      <c r="E552" s="122">
        <v>4.8099999999999996</v>
      </c>
      <c r="F552" s="122">
        <v>0</v>
      </c>
      <c r="G552" s="122">
        <v>0</v>
      </c>
    </row>
    <row r="553" spans="2:7" x14ac:dyDescent="0.2">
      <c r="B553" s="120" t="s">
        <v>4017</v>
      </c>
      <c r="C553" s="121" t="s">
        <v>4018</v>
      </c>
      <c r="D553" s="122">
        <v>2.09</v>
      </c>
      <c r="E553" s="122">
        <v>2.77</v>
      </c>
      <c r="F553" s="122"/>
      <c r="G553" s="122">
        <v>3.5309900000000001</v>
      </c>
    </row>
    <row r="554" spans="2:7" x14ac:dyDescent="0.2">
      <c r="B554" s="120" t="s">
        <v>1194</v>
      </c>
      <c r="C554" s="121" t="s">
        <v>1195</v>
      </c>
      <c r="D554" s="122">
        <v>0.21</v>
      </c>
      <c r="E554" s="122">
        <v>0.36</v>
      </c>
      <c r="F554" s="122">
        <v>1.1599999999999999</v>
      </c>
      <c r="G554" s="122">
        <v>50.904989999999998</v>
      </c>
    </row>
    <row r="555" spans="2:7" x14ac:dyDescent="0.2">
      <c r="B555" s="120" t="s">
        <v>1196</v>
      </c>
      <c r="C555" s="121" t="s">
        <v>1197</v>
      </c>
      <c r="D555" s="122">
        <v>0.36</v>
      </c>
      <c r="E555" s="122">
        <v>1.06</v>
      </c>
      <c r="F555" s="122">
        <v>1.41</v>
      </c>
      <c r="G555" s="122">
        <v>58.550989999999999</v>
      </c>
    </row>
    <row r="556" spans="2:7" x14ac:dyDescent="0.2">
      <c r="B556" s="120" t="s">
        <v>1198</v>
      </c>
      <c r="C556" s="121" t="s">
        <v>1199</v>
      </c>
      <c r="D556" s="122"/>
      <c r="E556" s="122"/>
      <c r="F556" s="122"/>
      <c r="G556" s="122"/>
    </row>
    <row r="557" spans="2:7" x14ac:dyDescent="0.2">
      <c r="B557" s="120" t="s">
        <v>4019</v>
      </c>
      <c r="C557" s="121" t="s">
        <v>4020</v>
      </c>
      <c r="D557" s="122">
        <v>2.0499999999999998</v>
      </c>
      <c r="E557" s="122">
        <v>1.72</v>
      </c>
      <c r="F557" s="122"/>
      <c r="G557" s="122">
        <v>79.847989999999996</v>
      </c>
    </row>
    <row r="558" spans="2:7" x14ac:dyDescent="0.2">
      <c r="B558" s="120" t="s">
        <v>4021</v>
      </c>
      <c r="C558" s="121" t="s">
        <v>4022</v>
      </c>
      <c r="D558" s="122">
        <v>1.87</v>
      </c>
      <c r="E558" s="122">
        <v>1.84</v>
      </c>
      <c r="F558" s="122">
        <v>8.5500000000000007</v>
      </c>
      <c r="G558" s="122">
        <v>89.531989999999993</v>
      </c>
    </row>
    <row r="559" spans="2:7" x14ac:dyDescent="0.2">
      <c r="B559" s="120" t="s">
        <v>1200</v>
      </c>
      <c r="C559" s="121" t="s">
        <v>1201</v>
      </c>
      <c r="D559" s="122">
        <v>1.51</v>
      </c>
      <c r="E559" s="122">
        <v>1.6</v>
      </c>
      <c r="F559" s="122">
        <v>-5.18</v>
      </c>
      <c r="G559" s="122"/>
    </row>
    <row r="560" spans="2:7" x14ac:dyDescent="0.2">
      <c r="B560" s="120" t="s">
        <v>4023</v>
      </c>
      <c r="C560" s="121" t="s">
        <v>4024</v>
      </c>
      <c r="D560" s="122"/>
      <c r="E560" s="122"/>
      <c r="F560" s="122"/>
      <c r="G560" s="122"/>
    </row>
    <row r="561" spans="2:7" x14ac:dyDescent="0.2">
      <c r="B561" s="120" t="s">
        <v>4025</v>
      </c>
      <c r="C561" s="121" t="s">
        <v>4026</v>
      </c>
      <c r="D561" s="122">
        <v>1.42</v>
      </c>
      <c r="E561" s="122">
        <v>1.71</v>
      </c>
      <c r="F561" s="122"/>
      <c r="G561" s="122">
        <v>6.2398999999999996</v>
      </c>
    </row>
    <row r="562" spans="2:7" x14ac:dyDescent="0.2">
      <c r="B562" s="120" t="s">
        <v>1202</v>
      </c>
      <c r="C562" s="121" t="s">
        <v>1203</v>
      </c>
      <c r="D562" s="122"/>
      <c r="E562" s="122">
        <v>2.08</v>
      </c>
      <c r="F562" s="122"/>
      <c r="G562" s="122">
        <v>9.9120899999999992</v>
      </c>
    </row>
    <row r="563" spans="2:7" x14ac:dyDescent="0.2">
      <c r="B563" s="120" t="s">
        <v>1204</v>
      </c>
      <c r="C563" s="121" t="s">
        <v>1205</v>
      </c>
      <c r="D563" s="122">
        <v>1.04</v>
      </c>
      <c r="E563" s="122">
        <v>1.24</v>
      </c>
      <c r="F563" s="122">
        <v>0.66</v>
      </c>
      <c r="G563" s="122">
        <v>39.993989999999997</v>
      </c>
    </row>
    <row r="564" spans="2:7" x14ac:dyDescent="0.2">
      <c r="B564" s="120" t="s">
        <v>1206</v>
      </c>
      <c r="C564" s="121" t="s">
        <v>1207</v>
      </c>
      <c r="D564" s="122">
        <v>1.91</v>
      </c>
      <c r="E564" s="122">
        <v>1.64</v>
      </c>
      <c r="F564" s="122">
        <v>1.06</v>
      </c>
      <c r="G564" s="122">
        <v>51.52899</v>
      </c>
    </row>
    <row r="565" spans="2:7" x14ac:dyDescent="0.2">
      <c r="B565" s="120" t="s">
        <v>1208</v>
      </c>
      <c r="C565" s="121" t="s">
        <v>1209</v>
      </c>
      <c r="D565" s="122">
        <v>0.32</v>
      </c>
      <c r="E565" s="122">
        <v>0.97</v>
      </c>
      <c r="F565" s="122">
        <v>-2.94</v>
      </c>
      <c r="G565" s="122"/>
    </row>
    <row r="566" spans="2:7" x14ac:dyDescent="0.2">
      <c r="B566" s="120" t="s">
        <v>1210</v>
      </c>
      <c r="C566" s="121" t="s">
        <v>1211</v>
      </c>
      <c r="D566" s="122">
        <v>0.96</v>
      </c>
      <c r="E566" s="122">
        <v>1.34</v>
      </c>
      <c r="F566" s="122">
        <v>1</v>
      </c>
      <c r="G566" s="122">
        <v>49.925989999999999</v>
      </c>
    </row>
    <row r="567" spans="2:7" x14ac:dyDescent="0.2">
      <c r="B567" s="120" t="s">
        <v>4027</v>
      </c>
      <c r="C567" s="121" t="s">
        <v>4028</v>
      </c>
      <c r="D567" s="122">
        <v>1.1599999999999999</v>
      </c>
      <c r="E567" s="122">
        <v>1.61</v>
      </c>
      <c r="F567" s="122">
        <v>1.02</v>
      </c>
      <c r="G567" s="122">
        <v>50.58</v>
      </c>
    </row>
    <row r="568" spans="2:7" x14ac:dyDescent="0.2">
      <c r="B568" s="120" t="s">
        <v>1212</v>
      </c>
      <c r="C568" s="121" t="s">
        <v>1213</v>
      </c>
      <c r="D568" s="122">
        <v>1.33</v>
      </c>
      <c r="E568" s="122">
        <v>1.39</v>
      </c>
      <c r="F568" s="122">
        <v>0</v>
      </c>
      <c r="G568" s="122">
        <v>0</v>
      </c>
    </row>
    <row r="569" spans="2:7" x14ac:dyDescent="0.2">
      <c r="B569" s="120" t="s">
        <v>4029</v>
      </c>
      <c r="C569" s="121" t="s">
        <v>4030</v>
      </c>
      <c r="D569" s="122"/>
      <c r="E569" s="122"/>
      <c r="F569" s="122"/>
      <c r="G569" s="122"/>
    </row>
    <row r="570" spans="2:7" x14ac:dyDescent="0.2">
      <c r="B570" s="120" t="s">
        <v>1214</v>
      </c>
      <c r="C570" s="121" t="s">
        <v>1215</v>
      </c>
      <c r="D570" s="122">
        <v>0.92</v>
      </c>
      <c r="E570" s="122">
        <v>0.9</v>
      </c>
      <c r="F570" s="122">
        <v>1.1100000000000001</v>
      </c>
      <c r="G570" s="122">
        <v>52.704999999999998</v>
      </c>
    </row>
    <row r="571" spans="2:7" x14ac:dyDescent="0.2">
      <c r="B571" s="120" t="s">
        <v>1216</v>
      </c>
      <c r="C571" s="121" t="s">
        <v>1217</v>
      </c>
      <c r="D571" s="122">
        <v>1.37</v>
      </c>
      <c r="E571" s="122">
        <v>1.56</v>
      </c>
      <c r="F571" s="122">
        <v>-1.24</v>
      </c>
      <c r="G571" s="122"/>
    </row>
    <row r="572" spans="2:7" x14ac:dyDescent="0.2">
      <c r="B572" s="120" t="s">
        <v>1218</v>
      </c>
      <c r="C572" s="121" t="s">
        <v>1219</v>
      </c>
      <c r="D572" s="122">
        <v>2.5</v>
      </c>
      <c r="E572" s="122">
        <v>1.9</v>
      </c>
      <c r="F572" s="122">
        <v>0.6</v>
      </c>
      <c r="G572" s="122">
        <v>37.646990000000002</v>
      </c>
    </row>
    <row r="573" spans="2:7" x14ac:dyDescent="0.2">
      <c r="B573" s="120" t="s">
        <v>1220</v>
      </c>
      <c r="C573" s="121" t="s">
        <v>1221</v>
      </c>
      <c r="D573" s="122">
        <v>0.46</v>
      </c>
      <c r="E573" s="122">
        <v>0.43</v>
      </c>
      <c r="F573" s="122">
        <v>2.1800000000000002</v>
      </c>
      <c r="G573" s="122">
        <v>68.563000000000002</v>
      </c>
    </row>
    <row r="574" spans="2:7" x14ac:dyDescent="0.2">
      <c r="B574" s="120" t="s">
        <v>1222</v>
      </c>
      <c r="C574" s="121" t="s">
        <v>1223</v>
      </c>
      <c r="D574" s="122">
        <v>3.36</v>
      </c>
      <c r="E574" s="122">
        <v>4.51</v>
      </c>
      <c r="F574" s="122"/>
      <c r="G574" s="122">
        <v>0</v>
      </c>
    </row>
    <row r="575" spans="2:7" x14ac:dyDescent="0.2">
      <c r="B575" s="120" t="s">
        <v>1224</v>
      </c>
      <c r="C575" s="121" t="s">
        <v>1225</v>
      </c>
      <c r="D575" s="122">
        <v>1.1100000000000001</v>
      </c>
      <c r="E575" s="122">
        <v>1.1599999999999999</v>
      </c>
      <c r="F575" s="122"/>
      <c r="G575" s="122">
        <v>31.209990000000001</v>
      </c>
    </row>
    <row r="576" spans="2:7" x14ac:dyDescent="0.2">
      <c r="B576" s="120" t="s">
        <v>4031</v>
      </c>
      <c r="C576" s="121" t="s">
        <v>4032</v>
      </c>
      <c r="D576" s="122">
        <v>1.19</v>
      </c>
      <c r="E576" s="122">
        <v>1.19</v>
      </c>
      <c r="F576" s="122"/>
      <c r="G576" s="122">
        <v>68.233000000000004</v>
      </c>
    </row>
    <row r="577" spans="2:7" x14ac:dyDescent="0.2">
      <c r="B577" s="120" t="s">
        <v>1226</v>
      </c>
      <c r="C577" s="121" t="s">
        <v>1227</v>
      </c>
      <c r="D577" s="122">
        <v>1.03</v>
      </c>
      <c r="E577" s="122">
        <v>0.87</v>
      </c>
      <c r="F577" s="122">
        <v>0.04</v>
      </c>
      <c r="G577" s="122">
        <v>3.9045000000000001</v>
      </c>
    </row>
    <row r="578" spans="2:7" x14ac:dyDescent="0.2">
      <c r="B578" s="120" t="s">
        <v>4033</v>
      </c>
      <c r="C578" s="121" t="s">
        <v>4034</v>
      </c>
      <c r="D578" s="122"/>
      <c r="E578" s="122"/>
      <c r="F578" s="122"/>
      <c r="G578" s="122"/>
    </row>
    <row r="579" spans="2:7" x14ac:dyDescent="0.2">
      <c r="B579" s="120" t="s">
        <v>4035</v>
      </c>
      <c r="C579" s="121" t="s">
        <v>4036</v>
      </c>
      <c r="D579" s="122"/>
      <c r="E579" s="122">
        <v>0.2</v>
      </c>
      <c r="F579" s="122">
        <v>-2.29</v>
      </c>
      <c r="G579" s="122"/>
    </row>
    <row r="580" spans="2:7" x14ac:dyDescent="0.2">
      <c r="B580" s="120" t="s">
        <v>1228</v>
      </c>
      <c r="C580" s="121" t="s">
        <v>1229</v>
      </c>
      <c r="D580" s="122">
        <v>0.55000000000000004</v>
      </c>
      <c r="E580" s="122">
        <v>0.75</v>
      </c>
      <c r="F580" s="122">
        <v>1.29</v>
      </c>
      <c r="G580" s="122">
        <v>56.398989999999998</v>
      </c>
    </row>
    <row r="581" spans="2:7" x14ac:dyDescent="0.2">
      <c r="B581" s="120" t="s">
        <v>1230</v>
      </c>
      <c r="C581" s="121" t="s">
        <v>1231</v>
      </c>
      <c r="D581" s="122">
        <v>0.69</v>
      </c>
      <c r="E581" s="122">
        <v>0.62</v>
      </c>
      <c r="F581" s="122">
        <v>1.54</v>
      </c>
      <c r="G581" s="122">
        <v>60.698999999999998</v>
      </c>
    </row>
    <row r="582" spans="2:7" x14ac:dyDescent="0.2">
      <c r="B582" s="120" t="s">
        <v>4037</v>
      </c>
      <c r="C582" s="121" t="s">
        <v>4038</v>
      </c>
      <c r="D582" s="122">
        <v>0.67</v>
      </c>
      <c r="E582" s="122">
        <v>0.81</v>
      </c>
      <c r="F582" s="122">
        <v>2.3199999999999998</v>
      </c>
      <c r="G582" s="122">
        <v>69.906989999999993</v>
      </c>
    </row>
    <row r="583" spans="2:7" x14ac:dyDescent="0.2">
      <c r="B583" s="120" t="s">
        <v>1232</v>
      </c>
      <c r="C583" s="121" t="s">
        <v>1233</v>
      </c>
      <c r="D583" s="122">
        <v>0.44</v>
      </c>
      <c r="E583" s="122">
        <v>0.71</v>
      </c>
      <c r="F583" s="122">
        <v>1.26</v>
      </c>
      <c r="G583" s="122">
        <v>55.194989999999997</v>
      </c>
    </row>
    <row r="584" spans="2:7" x14ac:dyDescent="0.2">
      <c r="B584" s="120" t="s">
        <v>1234</v>
      </c>
      <c r="C584" s="121" t="s">
        <v>1235</v>
      </c>
      <c r="D584" s="122">
        <v>1.7</v>
      </c>
      <c r="E584" s="122">
        <v>1.1200000000000001</v>
      </c>
      <c r="F584" s="122">
        <v>1.9</v>
      </c>
      <c r="G584" s="122">
        <v>68.559989999999999</v>
      </c>
    </row>
    <row r="585" spans="2:7" x14ac:dyDescent="0.2">
      <c r="B585" s="120" t="s">
        <v>1236</v>
      </c>
      <c r="C585" s="121" t="s">
        <v>1237</v>
      </c>
      <c r="D585" s="122">
        <v>1.49</v>
      </c>
      <c r="E585" s="122">
        <v>2.35</v>
      </c>
      <c r="F585" s="122"/>
      <c r="G585" s="122">
        <v>26.472989999999999</v>
      </c>
    </row>
    <row r="586" spans="2:7" x14ac:dyDescent="0.2">
      <c r="B586" s="120" t="s">
        <v>1238</v>
      </c>
      <c r="C586" s="121" t="s">
        <v>1239</v>
      </c>
      <c r="D586" s="122">
        <v>1.99</v>
      </c>
      <c r="E586" s="122">
        <v>1.49</v>
      </c>
      <c r="F586" s="122">
        <v>0.61</v>
      </c>
      <c r="G586" s="122">
        <v>38.04</v>
      </c>
    </row>
    <row r="587" spans="2:7" x14ac:dyDescent="0.2">
      <c r="B587" s="120" t="s">
        <v>4039</v>
      </c>
      <c r="C587" s="121" t="s">
        <v>4040</v>
      </c>
      <c r="D587" s="122"/>
      <c r="E587" s="122"/>
      <c r="F587" s="122"/>
      <c r="G587" s="122"/>
    </row>
    <row r="588" spans="2:7" x14ac:dyDescent="0.2">
      <c r="B588" s="120" t="s">
        <v>4041</v>
      </c>
      <c r="C588" s="121" t="s">
        <v>4042</v>
      </c>
      <c r="D588" s="122"/>
      <c r="E588" s="122"/>
      <c r="F588" s="122"/>
      <c r="G588" s="122"/>
    </row>
    <row r="589" spans="2:7" x14ac:dyDescent="0.2">
      <c r="B589" s="120" t="s">
        <v>1240</v>
      </c>
      <c r="C589" s="121" t="s">
        <v>1241</v>
      </c>
      <c r="D589" s="122"/>
      <c r="E589" s="122"/>
      <c r="F589" s="122"/>
      <c r="G589" s="122"/>
    </row>
    <row r="590" spans="2:7" x14ac:dyDescent="0.2">
      <c r="B590" s="120" t="s">
        <v>1242</v>
      </c>
      <c r="C590" s="121" t="s">
        <v>1243</v>
      </c>
      <c r="D590" s="122">
        <v>0.96</v>
      </c>
      <c r="E590" s="122">
        <v>0.88</v>
      </c>
      <c r="F590" s="122">
        <v>0.8</v>
      </c>
      <c r="G590" s="122">
        <v>44.576990000000002</v>
      </c>
    </row>
    <row r="591" spans="2:7" x14ac:dyDescent="0.2">
      <c r="B591" s="120" t="s">
        <v>1244</v>
      </c>
      <c r="C591" s="121" t="s">
        <v>1245</v>
      </c>
      <c r="D591" s="122">
        <v>7.32</v>
      </c>
      <c r="E591" s="122">
        <v>6.05</v>
      </c>
      <c r="F591" s="122">
        <v>1.56</v>
      </c>
      <c r="G591" s="122">
        <v>60.895989999999998</v>
      </c>
    </row>
    <row r="592" spans="2:7" x14ac:dyDescent="0.2">
      <c r="B592" s="120" t="s">
        <v>1246</v>
      </c>
      <c r="C592" s="121" t="s">
        <v>1247</v>
      </c>
      <c r="D592" s="122">
        <v>1.23</v>
      </c>
      <c r="E592" s="122">
        <v>1.3</v>
      </c>
      <c r="F592" s="122">
        <v>0.47</v>
      </c>
      <c r="G592" s="122">
        <v>31.822990000000001</v>
      </c>
    </row>
    <row r="593" spans="2:7" x14ac:dyDescent="0.2">
      <c r="B593" s="120" t="s">
        <v>1248</v>
      </c>
      <c r="C593" s="121" t="s">
        <v>1249</v>
      </c>
      <c r="D593" s="122">
        <v>2.82</v>
      </c>
      <c r="E593" s="122">
        <v>3.52</v>
      </c>
      <c r="F593" s="122">
        <v>0.15</v>
      </c>
      <c r="G593" s="122">
        <v>13.302</v>
      </c>
    </row>
    <row r="594" spans="2:7" x14ac:dyDescent="0.2">
      <c r="B594" s="120" t="s">
        <v>4043</v>
      </c>
      <c r="C594" s="121" t="s">
        <v>4044</v>
      </c>
      <c r="D594" s="122">
        <v>0.44</v>
      </c>
      <c r="E594" s="122">
        <v>0.98</v>
      </c>
      <c r="F594" s="122">
        <v>2.2599999999999998</v>
      </c>
      <c r="G594" s="122">
        <v>69.311989999999994</v>
      </c>
    </row>
    <row r="595" spans="2:7" x14ac:dyDescent="0.2">
      <c r="B595" s="120" t="s">
        <v>1250</v>
      </c>
      <c r="C595" s="121" t="s">
        <v>1251</v>
      </c>
      <c r="D595" s="122">
        <v>1.05</v>
      </c>
      <c r="E595" s="122">
        <v>3.39</v>
      </c>
      <c r="F595" s="122">
        <v>-2.89</v>
      </c>
      <c r="G595" s="122"/>
    </row>
    <row r="596" spans="2:7" x14ac:dyDescent="0.2">
      <c r="B596" s="120" t="s">
        <v>1252</v>
      </c>
      <c r="C596" s="121" t="s">
        <v>1253</v>
      </c>
      <c r="D596" s="122">
        <v>1.6</v>
      </c>
      <c r="E596" s="122">
        <v>1.31</v>
      </c>
      <c r="F596" s="122">
        <v>1.89</v>
      </c>
      <c r="G596" s="122">
        <v>65.402990000000003</v>
      </c>
    </row>
    <row r="597" spans="2:7" x14ac:dyDescent="0.2">
      <c r="B597" s="120" t="s">
        <v>1254</v>
      </c>
      <c r="C597" s="121" t="s">
        <v>1255</v>
      </c>
      <c r="D597" s="122">
        <v>0.13</v>
      </c>
      <c r="E597" s="122">
        <v>0.13</v>
      </c>
      <c r="F597" s="122"/>
      <c r="G597" s="122">
        <v>0</v>
      </c>
    </row>
    <row r="598" spans="2:7" x14ac:dyDescent="0.2">
      <c r="B598" s="120" t="s">
        <v>4045</v>
      </c>
      <c r="C598" s="121" t="s">
        <v>4046</v>
      </c>
      <c r="D598" s="122">
        <v>1.26</v>
      </c>
      <c r="E598" s="122">
        <v>1.48</v>
      </c>
      <c r="F598" s="122">
        <v>0.73</v>
      </c>
      <c r="G598" s="122">
        <v>42.151000000000003</v>
      </c>
    </row>
    <row r="599" spans="2:7" x14ac:dyDescent="0.2">
      <c r="B599" s="120" t="s">
        <v>4047</v>
      </c>
      <c r="C599" s="121" t="s">
        <v>4048</v>
      </c>
      <c r="D599" s="122">
        <v>1.26</v>
      </c>
      <c r="E599" s="122">
        <v>1.48</v>
      </c>
      <c r="F599" s="122">
        <v>0.73</v>
      </c>
      <c r="G599" s="122">
        <v>42.151000000000003</v>
      </c>
    </row>
    <row r="600" spans="2:7" x14ac:dyDescent="0.2">
      <c r="B600" s="120" t="s">
        <v>1256</v>
      </c>
      <c r="C600" s="121" t="s">
        <v>1257</v>
      </c>
      <c r="D600" s="122">
        <v>1.23</v>
      </c>
      <c r="E600" s="122">
        <v>1.26</v>
      </c>
      <c r="F600" s="122">
        <v>0.59</v>
      </c>
      <c r="G600" s="122">
        <v>36.95899</v>
      </c>
    </row>
    <row r="601" spans="2:7" x14ac:dyDescent="0.2">
      <c r="B601" s="120" t="s">
        <v>1258</v>
      </c>
      <c r="C601" s="121" t="s">
        <v>1259</v>
      </c>
      <c r="D601" s="122">
        <v>1.1299999999999999</v>
      </c>
      <c r="E601" s="122">
        <v>0.8</v>
      </c>
      <c r="F601" s="122">
        <v>0.7</v>
      </c>
      <c r="G601" s="122">
        <v>41.319989999999997</v>
      </c>
    </row>
    <row r="602" spans="2:7" x14ac:dyDescent="0.2">
      <c r="B602" s="120" t="s">
        <v>1260</v>
      </c>
      <c r="C602" s="121" t="s">
        <v>1261</v>
      </c>
      <c r="D602" s="122">
        <v>1.1100000000000001</v>
      </c>
      <c r="E602" s="122">
        <v>1.38</v>
      </c>
      <c r="F602" s="122"/>
      <c r="G602" s="122">
        <v>0</v>
      </c>
    </row>
    <row r="603" spans="2:7" x14ac:dyDescent="0.2">
      <c r="B603" s="120" t="s">
        <v>1262</v>
      </c>
      <c r="C603" s="121" t="s">
        <v>1263</v>
      </c>
      <c r="D603" s="122">
        <v>0.85</v>
      </c>
      <c r="E603" s="122">
        <v>1.18</v>
      </c>
      <c r="F603" s="122">
        <v>0.72</v>
      </c>
      <c r="G603" s="122">
        <v>41.995989999999999</v>
      </c>
    </row>
    <row r="604" spans="2:7" x14ac:dyDescent="0.2">
      <c r="B604" s="120" t="s">
        <v>1264</v>
      </c>
      <c r="C604" s="121" t="s">
        <v>1265</v>
      </c>
      <c r="D604" s="122">
        <v>0.56000000000000005</v>
      </c>
      <c r="E604" s="122">
        <v>0.62</v>
      </c>
      <c r="F604" s="122">
        <v>1.03</v>
      </c>
      <c r="G604" s="122">
        <v>50.625</v>
      </c>
    </row>
    <row r="605" spans="2:7" x14ac:dyDescent="0.2">
      <c r="B605" s="120" t="s">
        <v>4049</v>
      </c>
      <c r="C605" s="121" t="s">
        <v>4050</v>
      </c>
      <c r="D605" s="122">
        <v>0.85</v>
      </c>
      <c r="E605" s="122">
        <v>0.9</v>
      </c>
      <c r="F605" s="122"/>
      <c r="G605" s="122"/>
    </row>
    <row r="606" spans="2:7" x14ac:dyDescent="0.2">
      <c r="B606" s="120" t="s">
        <v>4051</v>
      </c>
      <c r="C606" s="121" t="s">
        <v>4052</v>
      </c>
      <c r="D606" s="122">
        <v>0.75</v>
      </c>
      <c r="E606" s="122">
        <v>0.89</v>
      </c>
      <c r="F606" s="122"/>
      <c r="G606" s="122">
        <v>50.75</v>
      </c>
    </row>
    <row r="607" spans="2:7" x14ac:dyDescent="0.2">
      <c r="B607" s="120" t="s">
        <v>1266</v>
      </c>
      <c r="C607" s="121" t="s">
        <v>1267</v>
      </c>
      <c r="D607" s="122">
        <v>1.71</v>
      </c>
      <c r="E607" s="122">
        <v>1.73</v>
      </c>
      <c r="F607" s="122"/>
      <c r="G607" s="122">
        <v>3.6793900000000002</v>
      </c>
    </row>
    <row r="608" spans="2:7" x14ac:dyDescent="0.2">
      <c r="B608" s="120" t="s">
        <v>1268</v>
      </c>
      <c r="C608" s="121" t="s">
        <v>1269</v>
      </c>
      <c r="D608" s="122">
        <v>1.51</v>
      </c>
      <c r="E608" s="122">
        <v>1.82</v>
      </c>
      <c r="F608" s="122">
        <v>0.96</v>
      </c>
      <c r="G608" s="122">
        <v>48.905990000000003</v>
      </c>
    </row>
    <row r="609" spans="2:7" x14ac:dyDescent="0.2">
      <c r="B609" s="120" t="s">
        <v>4053</v>
      </c>
      <c r="C609" s="121" t="s">
        <v>4054</v>
      </c>
      <c r="D609" s="122"/>
      <c r="E609" s="122"/>
      <c r="F609" s="122"/>
      <c r="G609" s="122"/>
    </row>
    <row r="610" spans="2:7" x14ac:dyDescent="0.2">
      <c r="B610" s="120" t="s">
        <v>4055</v>
      </c>
      <c r="C610" s="121" t="s">
        <v>4056</v>
      </c>
      <c r="D610" s="122"/>
      <c r="E610" s="122"/>
      <c r="F610" s="122"/>
      <c r="G610" s="122"/>
    </row>
    <row r="611" spans="2:7" x14ac:dyDescent="0.2">
      <c r="B611" s="120" t="s">
        <v>1270</v>
      </c>
      <c r="C611" s="121" t="s">
        <v>1271</v>
      </c>
      <c r="D611" s="122">
        <v>1.0900000000000001</v>
      </c>
      <c r="E611" s="122">
        <v>0.54</v>
      </c>
      <c r="F611" s="122">
        <v>1.0900000000000001</v>
      </c>
      <c r="G611" s="122">
        <v>52.262999999999998</v>
      </c>
    </row>
    <row r="612" spans="2:7" x14ac:dyDescent="0.2">
      <c r="B612" s="120" t="s">
        <v>4057</v>
      </c>
      <c r="C612" s="121" t="s">
        <v>4058</v>
      </c>
      <c r="D612" s="122">
        <v>1.06</v>
      </c>
      <c r="E612" s="122">
        <v>1.17</v>
      </c>
      <c r="F612" s="122"/>
      <c r="G612" s="122">
        <v>57.173000000000002</v>
      </c>
    </row>
    <row r="613" spans="2:7" x14ac:dyDescent="0.2">
      <c r="B613" s="120" t="s">
        <v>1272</v>
      </c>
      <c r="C613" s="121" t="s">
        <v>1273</v>
      </c>
      <c r="D613" s="122">
        <v>0</v>
      </c>
      <c r="E613" s="122">
        <v>0</v>
      </c>
      <c r="F613" s="122">
        <v>1.1299999999999999</v>
      </c>
      <c r="G613" s="122">
        <v>52.948999999999998</v>
      </c>
    </row>
    <row r="614" spans="2:7" x14ac:dyDescent="0.2">
      <c r="B614" s="120" t="s">
        <v>1274</v>
      </c>
      <c r="C614" s="121" t="s">
        <v>1275</v>
      </c>
      <c r="D614" s="122">
        <v>0.98</v>
      </c>
      <c r="E614" s="122">
        <v>1.1200000000000001</v>
      </c>
      <c r="F614" s="122">
        <v>1.87</v>
      </c>
      <c r="G614" s="122">
        <v>67.691000000000003</v>
      </c>
    </row>
    <row r="615" spans="2:7" x14ac:dyDescent="0.2">
      <c r="B615" s="120" t="s">
        <v>1276</v>
      </c>
      <c r="C615" s="121" t="s">
        <v>1277</v>
      </c>
      <c r="D615" s="122">
        <v>0.56999999999999995</v>
      </c>
      <c r="E615" s="122">
        <v>0.69</v>
      </c>
      <c r="F615" s="122">
        <v>1.23</v>
      </c>
      <c r="G615" s="122">
        <v>55.156999999999996</v>
      </c>
    </row>
    <row r="616" spans="2:7" x14ac:dyDescent="0.2">
      <c r="B616" s="120" t="s">
        <v>1278</v>
      </c>
      <c r="C616" s="121" t="s">
        <v>1279</v>
      </c>
      <c r="D616" s="122">
        <v>0.97</v>
      </c>
      <c r="E616" s="122">
        <v>0.6</v>
      </c>
      <c r="F616" s="122"/>
      <c r="G616" s="122">
        <v>34.204999999999998</v>
      </c>
    </row>
    <row r="617" spans="2:7" x14ac:dyDescent="0.2">
      <c r="B617" s="120" t="s">
        <v>1280</v>
      </c>
      <c r="C617" s="121" t="s">
        <v>1281</v>
      </c>
      <c r="D617" s="122">
        <v>0.86</v>
      </c>
      <c r="E617" s="122">
        <v>1.08</v>
      </c>
      <c r="F617" s="122"/>
      <c r="G617" s="122">
        <v>31.384</v>
      </c>
    </row>
    <row r="618" spans="2:7" x14ac:dyDescent="0.2">
      <c r="B618" s="120" t="s">
        <v>1282</v>
      </c>
      <c r="C618" s="121" t="s">
        <v>1283</v>
      </c>
      <c r="D618" s="122">
        <v>1.1299999999999999</v>
      </c>
      <c r="E618" s="122">
        <v>1.57</v>
      </c>
      <c r="F618" s="122">
        <v>0.66</v>
      </c>
      <c r="G618" s="122">
        <v>39.632989999999999</v>
      </c>
    </row>
    <row r="619" spans="2:7" x14ac:dyDescent="0.2">
      <c r="B619" s="120" t="s">
        <v>1284</v>
      </c>
      <c r="C619" s="121" t="s">
        <v>1285</v>
      </c>
      <c r="D619" s="122">
        <v>1.55</v>
      </c>
      <c r="E619" s="122">
        <v>3.07</v>
      </c>
      <c r="F619" s="122">
        <v>0.45</v>
      </c>
      <c r="G619" s="122">
        <v>31.146989999999999</v>
      </c>
    </row>
    <row r="620" spans="2:7" x14ac:dyDescent="0.2">
      <c r="B620" s="120" t="s">
        <v>4059</v>
      </c>
      <c r="C620" s="121" t="s">
        <v>4060</v>
      </c>
      <c r="D620" s="122">
        <v>0.98</v>
      </c>
      <c r="E620" s="122">
        <v>1.1599999999999999</v>
      </c>
      <c r="F620" s="122">
        <v>0.5</v>
      </c>
      <c r="G620" s="122">
        <v>33.250990000000002</v>
      </c>
    </row>
    <row r="621" spans="2:7" x14ac:dyDescent="0.2">
      <c r="B621" s="120" t="s">
        <v>4061</v>
      </c>
      <c r="C621" s="121" t="s">
        <v>4062</v>
      </c>
      <c r="D621" s="122">
        <v>0.98</v>
      </c>
      <c r="E621" s="122">
        <v>1.1599999999999999</v>
      </c>
      <c r="F621" s="122">
        <v>0.5</v>
      </c>
      <c r="G621" s="122">
        <v>33.250990000000002</v>
      </c>
    </row>
    <row r="622" spans="2:7" x14ac:dyDescent="0.2">
      <c r="B622" s="120" t="s">
        <v>1286</v>
      </c>
      <c r="C622" s="121" t="s">
        <v>1287</v>
      </c>
      <c r="D622" s="122">
        <v>0.04</v>
      </c>
      <c r="E622" s="122">
        <v>0.06</v>
      </c>
      <c r="F622" s="122">
        <v>0.15</v>
      </c>
      <c r="G622" s="122">
        <v>13.19699</v>
      </c>
    </row>
    <row r="623" spans="2:7" x14ac:dyDescent="0.2">
      <c r="B623" s="120" t="s">
        <v>1288</v>
      </c>
      <c r="C623" s="121" t="s">
        <v>1289</v>
      </c>
      <c r="D623" s="122">
        <v>0.66</v>
      </c>
      <c r="E623" s="122">
        <v>0.93</v>
      </c>
      <c r="F623" s="122">
        <v>0.47</v>
      </c>
      <c r="G623" s="122">
        <v>31.944990000000001</v>
      </c>
    </row>
    <row r="624" spans="2:7" x14ac:dyDescent="0.2">
      <c r="B624" s="120" t="s">
        <v>4063</v>
      </c>
      <c r="C624" s="121" t="s">
        <v>4064</v>
      </c>
      <c r="D624" s="122"/>
      <c r="E624" s="122"/>
      <c r="F624" s="122"/>
      <c r="G624" s="122"/>
    </row>
    <row r="625" spans="2:7" x14ac:dyDescent="0.2">
      <c r="B625" s="120" t="s">
        <v>1290</v>
      </c>
      <c r="C625" s="121" t="s">
        <v>1291</v>
      </c>
      <c r="D625" s="122">
        <v>1.35</v>
      </c>
      <c r="E625" s="122">
        <v>1.42</v>
      </c>
      <c r="F625" s="122">
        <v>0.25</v>
      </c>
      <c r="G625" s="122">
        <v>19.928999999999998</v>
      </c>
    </row>
    <row r="626" spans="2:7" x14ac:dyDescent="0.2">
      <c r="B626" s="120" t="s">
        <v>1292</v>
      </c>
      <c r="C626" s="121" t="s">
        <v>1293</v>
      </c>
      <c r="D626" s="122">
        <v>0.96</v>
      </c>
      <c r="E626" s="122">
        <v>1.58</v>
      </c>
      <c r="F626" s="122">
        <v>0.95</v>
      </c>
      <c r="G626" s="122">
        <v>48.607999999999997</v>
      </c>
    </row>
    <row r="627" spans="2:7" x14ac:dyDescent="0.2">
      <c r="B627" s="120" t="s">
        <v>1294</v>
      </c>
      <c r="C627" s="121" t="s">
        <v>1295</v>
      </c>
      <c r="D627" s="122">
        <v>0.78</v>
      </c>
      <c r="E627" s="122">
        <v>1.18</v>
      </c>
      <c r="F627" s="122">
        <v>0.49</v>
      </c>
      <c r="G627" s="122">
        <v>32.997999999999998</v>
      </c>
    </row>
    <row r="628" spans="2:7" x14ac:dyDescent="0.2">
      <c r="B628" s="120" t="s">
        <v>1296</v>
      </c>
      <c r="C628" s="121" t="s">
        <v>1297</v>
      </c>
      <c r="D628" s="122">
        <v>0.49</v>
      </c>
      <c r="E628" s="122">
        <v>0.63</v>
      </c>
      <c r="F628" s="122">
        <v>0.92</v>
      </c>
      <c r="G628" s="122">
        <v>45.186</v>
      </c>
    </row>
    <row r="629" spans="2:7" x14ac:dyDescent="0.2">
      <c r="B629" s="120" t="s">
        <v>1298</v>
      </c>
      <c r="C629" s="121" t="s">
        <v>1299</v>
      </c>
      <c r="D629" s="122">
        <v>0.25</v>
      </c>
      <c r="E629" s="122">
        <v>0.3</v>
      </c>
      <c r="F629" s="122">
        <v>0.48</v>
      </c>
      <c r="G629" s="122">
        <v>31.481000000000002</v>
      </c>
    </row>
    <row r="630" spans="2:7" x14ac:dyDescent="0.2">
      <c r="B630" s="120" t="s">
        <v>4065</v>
      </c>
      <c r="C630" s="121" t="s">
        <v>4066</v>
      </c>
      <c r="D630" s="122">
        <v>2.75</v>
      </c>
      <c r="E630" s="122">
        <v>1.45</v>
      </c>
      <c r="F630" s="122"/>
      <c r="G630" s="122">
        <v>66.015990000000002</v>
      </c>
    </row>
    <row r="631" spans="2:7" x14ac:dyDescent="0.2">
      <c r="B631" s="120" t="s">
        <v>4067</v>
      </c>
      <c r="C631" s="121" t="s">
        <v>4068</v>
      </c>
      <c r="D631" s="122">
        <v>1</v>
      </c>
      <c r="E631" s="122">
        <v>1.07</v>
      </c>
      <c r="F631" s="122"/>
      <c r="G631" s="122">
        <v>39.276000000000003</v>
      </c>
    </row>
    <row r="632" spans="2:7" x14ac:dyDescent="0.2">
      <c r="B632" s="120" t="s">
        <v>1300</v>
      </c>
      <c r="C632" s="121" t="s">
        <v>1301</v>
      </c>
      <c r="D632" s="122">
        <v>0.63</v>
      </c>
      <c r="E632" s="122">
        <v>0.71</v>
      </c>
      <c r="F632" s="122">
        <v>0</v>
      </c>
      <c r="G632" s="122">
        <v>0</v>
      </c>
    </row>
    <row r="633" spans="2:7" x14ac:dyDescent="0.2">
      <c r="B633" s="120" t="s">
        <v>4069</v>
      </c>
      <c r="C633" s="121" t="s">
        <v>4070</v>
      </c>
      <c r="D633" s="122">
        <v>0.77</v>
      </c>
      <c r="E633" s="122">
        <v>0.82</v>
      </c>
      <c r="F633" s="122"/>
      <c r="G633" s="122">
        <v>0</v>
      </c>
    </row>
    <row r="634" spans="2:7" x14ac:dyDescent="0.2">
      <c r="B634" s="120" t="s">
        <v>4071</v>
      </c>
      <c r="C634" s="121" t="s">
        <v>4072</v>
      </c>
      <c r="D634" s="122">
        <v>0.84</v>
      </c>
      <c r="E634" s="122">
        <v>0.91</v>
      </c>
      <c r="F634" s="122"/>
      <c r="G634" s="122">
        <v>50.402000000000001</v>
      </c>
    </row>
    <row r="635" spans="2:7" x14ac:dyDescent="0.2">
      <c r="B635" s="120" t="s">
        <v>1302</v>
      </c>
      <c r="C635" s="121" t="s">
        <v>1303</v>
      </c>
      <c r="D635" s="122">
        <v>0.81</v>
      </c>
      <c r="E635" s="122">
        <v>0.99</v>
      </c>
      <c r="F635" s="122">
        <v>0.93</v>
      </c>
      <c r="G635" s="122">
        <v>48.283000000000001</v>
      </c>
    </row>
    <row r="636" spans="2:7" x14ac:dyDescent="0.2">
      <c r="B636" s="120" t="s">
        <v>1304</v>
      </c>
      <c r="C636" s="121" t="s">
        <v>1305</v>
      </c>
      <c r="D636" s="122">
        <v>1.4</v>
      </c>
      <c r="E636" s="122">
        <v>2.44</v>
      </c>
      <c r="F636" s="122">
        <v>0.85</v>
      </c>
      <c r="G636" s="122">
        <v>45.997999999999998</v>
      </c>
    </row>
    <row r="637" spans="2:7" x14ac:dyDescent="0.2">
      <c r="B637" s="120" t="s">
        <v>1306</v>
      </c>
      <c r="C637" s="121" t="s">
        <v>1307</v>
      </c>
      <c r="D637" s="122">
        <v>2.82</v>
      </c>
      <c r="E637" s="122">
        <v>4.87</v>
      </c>
      <c r="F637" s="122">
        <v>0.85</v>
      </c>
      <c r="G637" s="122">
        <v>45.853000000000002</v>
      </c>
    </row>
    <row r="638" spans="2:7" x14ac:dyDescent="0.2">
      <c r="B638" s="120" t="s">
        <v>4073</v>
      </c>
      <c r="C638" s="121" t="s">
        <v>4074</v>
      </c>
      <c r="D638" s="122"/>
      <c r="E638" s="122"/>
      <c r="F638" s="122"/>
      <c r="G638" s="122"/>
    </row>
    <row r="639" spans="2:7" x14ac:dyDescent="0.2">
      <c r="B639" s="120" t="s">
        <v>1308</v>
      </c>
      <c r="C639" s="121" t="s">
        <v>1309</v>
      </c>
      <c r="D639" s="122">
        <v>1.1100000000000001</v>
      </c>
      <c r="E639" s="122">
        <v>0.54</v>
      </c>
      <c r="F639" s="122">
        <v>0.61</v>
      </c>
      <c r="G639" s="122">
        <v>37.965000000000003</v>
      </c>
    </row>
    <row r="640" spans="2:7" x14ac:dyDescent="0.2">
      <c r="B640" s="120" t="s">
        <v>4075</v>
      </c>
      <c r="C640" s="121" t="s">
        <v>4076</v>
      </c>
      <c r="D640" s="122">
        <v>1.06</v>
      </c>
      <c r="E640" s="122">
        <v>1.1299999999999999</v>
      </c>
      <c r="F640" s="122"/>
      <c r="G640" s="122">
        <v>0</v>
      </c>
    </row>
    <row r="641" spans="2:7" x14ac:dyDescent="0.2">
      <c r="B641" s="120" t="s">
        <v>1310</v>
      </c>
      <c r="C641" s="121" t="s">
        <v>1311</v>
      </c>
      <c r="D641" s="122">
        <v>1.1299999999999999</v>
      </c>
      <c r="E641" s="122">
        <v>1.02</v>
      </c>
      <c r="F641" s="122">
        <v>0.2</v>
      </c>
      <c r="G641" s="122">
        <v>16.79899</v>
      </c>
    </row>
    <row r="642" spans="2:7" x14ac:dyDescent="0.2">
      <c r="B642" s="120" t="s">
        <v>1312</v>
      </c>
      <c r="C642" s="121" t="s">
        <v>1313</v>
      </c>
      <c r="D642" s="122">
        <v>1.49</v>
      </c>
      <c r="E642" s="122">
        <v>1.35</v>
      </c>
      <c r="F642" s="122">
        <v>1.1100000000000001</v>
      </c>
      <c r="G642" s="122">
        <v>52.536990000000003</v>
      </c>
    </row>
    <row r="643" spans="2:7" x14ac:dyDescent="0.2">
      <c r="B643" s="120" t="s">
        <v>1314</v>
      </c>
      <c r="C643" s="121" t="s">
        <v>1315</v>
      </c>
      <c r="D643" s="122">
        <v>4.5599999999999996</v>
      </c>
      <c r="E643" s="122">
        <v>4.72</v>
      </c>
      <c r="F643" s="122">
        <v>0.13</v>
      </c>
      <c r="G643" s="122">
        <v>11.40799</v>
      </c>
    </row>
    <row r="644" spans="2:7" x14ac:dyDescent="0.2">
      <c r="B644" s="120" t="s">
        <v>1316</v>
      </c>
      <c r="C644" s="121" t="s">
        <v>1317</v>
      </c>
      <c r="D644" s="122">
        <v>0.63</v>
      </c>
      <c r="E644" s="122">
        <v>1</v>
      </c>
      <c r="F644" s="122">
        <v>1.06</v>
      </c>
      <c r="G644" s="122">
        <v>51.372</v>
      </c>
    </row>
    <row r="645" spans="2:7" x14ac:dyDescent="0.2">
      <c r="B645" s="120" t="s">
        <v>1318</v>
      </c>
      <c r="C645" s="121" t="s">
        <v>1319</v>
      </c>
      <c r="D645" s="122">
        <v>3.77</v>
      </c>
      <c r="E645" s="122">
        <v>5.32</v>
      </c>
      <c r="F645" s="122">
        <v>1.06</v>
      </c>
      <c r="G645" s="122">
        <v>51.370989999999999</v>
      </c>
    </row>
    <row r="646" spans="2:7" x14ac:dyDescent="0.2">
      <c r="B646" s="120" t="s">
        <v>1320</v>
      </c>
      <c r="C646" s="121" t="s">
        <v>1321</v>
      </c>
      <c r="D646" s="122">
        <v>43.37</v>
      </c>
      <c r="E646" s="122">
        <v>86.78</v>
      </c>
      <c r="F646" s="122">
        <v>0.01</v>
      </c>
      <c r="G646" s="122">
        <v>0.71253</v>
      </c>
    </row>
    <row r="647" spans="2:7" x14ac:dyDescent="0.2">
      <c r="B647" s="120" t="s">
        <v>1322</v>
      </c>
      <c r="C647" s="121" t="s">
        <v>1323</v>
      </c>
      <c r="D647" s="122"/>
      <c r="E647" s="122"/>
      <c r="F647" s="122"/>
      <c r="G647" s="122"/>
    </row>
    <row r="648" spans="2:7" x14ac:dyDescent="0.2">
      <c r="B648" s="120" t="s">
        <v>1324</v>
      </c>
      <c r="C648" s="121" t="s">
        <v>1325</v>
      </c>
      <c r="D648" s="122">
        <v>1</v>
      </c>
      <c r="E648" s="122">
        <v>1.59</v>
      </c>
      <c r="F648" s="122">
        <v>1.34</v>
      </c>
      <c r="G648" s="122">
        <v>57.198999999999998</v>
      </c>
    </row>
    <row r="649" spans="2:7" x14ac:dyDescent="0.2">
      <c r="B649" s="120" t="s">
        <v>1326</v>
      </c>
      <c r="C649" s="121" t="s">
        <v>1327</v>
      </c>
      <c r="D649" s="122">
        <v>0.55000000000000004</v>
      </c>
      <c r="E649" s="122">
        <v>0.43</v>
      </c>
      <c r="F649" s="122">
        <v>0.92</v>
      </c>
      <c r="G649" s="122">
        <v>42.919989999999999</v>
      </c>
    </row>
    <row r="650" spans="2:7" x14ac:dyDescent="0.2">
      <c r="B650" s="120" t="s">
        <v>1328</v>
      </c>
      <c r="C650" s="121" t="s">
        <v>1329</v>
      </c>
      <c r="D650" s="122">
        <v>1.44</v>
      </c>
      <c r="E650" s="122">
        <v>1.43</v>
      </c>
      <c r="F650" s="122">
        <v>0.57999999999999996</v>
      </c>
      <c r="G650" s="122">
        <v>36.837000000000003</v>
      </c>
    </row>
    <row r="651" spans="2:7" x14ac:dyDescent="0.2">
      <c r="B651" s="120" t="s">
        <v>1330</v>
      </c>
      <c r="C651" s="121" t="s">
        <v>1331</v>
      </c>
      <c r="D651" s="122">
        <v>0.28999999999999998</v>
      </c>
      <c r="E651" s="122">
        <v>1.45</v>
      </c>
      <c r="F651" s="122">
        <v>0.88</v>
      </c>
      <c r="G651" s="122">
        <v>47.962000000000003</v>
      </c>
    </row>
    <row r="652" spans="2:7" x14ac:dyDescent="0.2">
      <c r="B652" s="120" t="s">
        <v>4077</v>
      </c>
      <c r="C652" s="121" t="s">
        <v>4078</v>
      </c>
      <c r="D652" s="122">
        <v>1.1299999999999999</v>
      </c>
      <c r="E652" s="122">
        <v>1.18</v>
      </c>
      <c r="F652" s="122"/>
      <c r="G652" s="122">
        <v>50.401000000000003</v>
      </c>
    </row>
    <row r="653" spans="2:7" x14ac:dyDescent="0.2">
      <c r="B653" s="120" t="s">
        <v>1334</v>
      </c>
      <c r="C653" s="121" t="s">
        <v>1335</v>
      </c>
      <c r="D653" s="122">
        <v>1.37</v>
      </c>
      <c r="E653" s="122">
        <v>1.83</v>
      </c>
      <c r="F653" s="122">
        <v>3.67</v>
      </c>
      <c r="G653" s="122">
        <v>78.585989999999995</v>
      </c>
    </row>
    <row r="654" spans="2:7" x14ac:dyDescent="0.2">
      <c r="B654" s="120" t="s">
        <v>1336</v>
      </c>
      <c r="C654" s="121" t="s">
        <v>1337</v>
      </c>
      <c r="D654" s="122">
        <v>1.19</v>
      </c>
      <c r="E654" s="122">
        <v>1.42</v>
      </c>
      <c r="F654" s="122">
        <v>0.48</v>
      </c>
      <c r="G654" s="122">
        <v>32.520000000000003</v>
      </c>
    </row>
    <row r="655" spans="2:7" x14ac:dyDescent="0.2">
      <c r="B655" s="120" t="s">
        <v>4079</v>
      </c>
      <c r="C655" s="121" t="s">
        <v>4080</v>
      </c>
      <c r="D655" s="122">
        <v>2.06</v>
      </c>
      <c r="E655" s="122">
        <v>2.12</v>
      </c>
      <c r="F655" s="122">
        <v>0.09</v>
      </c>
      <c r="G655" s="122">
        <v>8.3476999999999997</v>
      </c>
    </row>
    <row r="656" spans="2:7" x14ac:dyDescent="0.2">
      <c r="B656" s="120" t="s">
        <v>1338</v>
      </c>
      <c r="C656" s="121" t="s">
        <v>1339</v>
      </c>
      <c r="D656" s="122">
        <v>1.51</v>
      </c>
      <c r="E656" s="122">
        <v>2.17</v>
      </c>
      <c r="F656" s="122">
        <v>0.85</v>
      </c>
      <c r="G656" s="122">
        <v>45.985999999999997</v>
      </c>
    </row>
    <row r="657" spans="2:7" x14ac:dyDescent="0.2">
      <c r="B657" s="120" t="s">
        <v>1340</v>
      </c>
      <c r="C657" s="121" t="s">
        <v>1341</v>
      </c>
      <c r="D657" s="122">
        <v>0.5</v>
      </c>
      <c r="E657" s="122">
        <v>0.61</v>
      </c>
      <c r="F657" s="122">
        <v>1.0900000000000001</v>
      </c>
      <c r="G657" s="122">
        <v>52.465989999999998</v>
      </c>
    </row>
    <row r="658" spans="2:7" x14ac:dyDescent="0.2">
      <c r="B658" s="120" t="s">
        <v>1342</v>
      </c>
      <c r="C658" s="121" t="s">
        <v>1343</v>
      </c>
      <c r="D658" s="122">
        <v>1.67</v>
      </c>
      <c r="E658" s="122">
        <v>1.91</v>
      </c>
      <c r="F658" s="122">
        <v>0.14000000000000001</v>
      </c>
      <c r="G658" s="122">
        <v>12.452999999999999</v>
      </c>
    </row>
    <row r="659" spans="2:7" x14ac:dyDescent="0.2">
      <c r="B659" s="120" t="s">
        <v>4081</v>
      </c>
      <c r="C659" s="121" t="s">
        <v>4082</v>
      </c>
      <c r="D659" s="122">
        <v>1.06</v>
      </c>
      <c r="E659" s="122">
        <v>1.1000000000000001</v>
      </c>
      <c r="F659" s="122">
        <v>0.37</v>
      </c>
      <c r="G659" s="122">
        <v>29.922000000000001</v>
      </c>
    </row>
    <row r="660" spans="2:7" x14ac:dyDescent="0.2">
      <c r="B660" s="120" t="s">
        <v>4083</v>
      </c>
      <c r="C660" s="121" t="s">
        <v>4084</v>
      </c>
      <c r="D660" s="122">
        <v>0.71</v>
      </c>
      <c r="E660" s="122">
        <v>1</v>
      </c>
      <c r="F660" s="122"/>
      <c r="G660" s="122">
        <v>7.2034000000000002</v>
      </c>
    </row>
    <row r="661" spans="2:7" x14ac:dyDescent="0.2">
      <c r="B661" s="120" t="s">
        <v>4085</v>
      </c>
      <c r="C661" s="121" t="s">
        <v>4086</v>
      </c>
      <c r="D661" s="122">
        <v>0.73</v>
      </c>
      <c r="E661" s="122">
        <v>1.1499999999999999</v>
      </c>
      <c r="F661" s="122">
        <v>0.21</v>
      </c>
      <c r="G661" s="122">
        <v>17.350000000000001</v>
      </c>
    </row>
    <row r="662" spans="2:7" x14ac:dyDescent="0.2">
      <c r="B662" s="120" t="s">
        <v>1344</v>
      </c>
      <c r="C662" s="121" t="s">
        <v>1345</v>
      </c>
      <c r="D662" s="122">
        <v>0.45</v>
      </c>
      <c r="E662" s="122">
        <v>0.55000000000000004</v>
      </c>
      <c r="F662" s="122">
        <v>0</v>
      </c>
      <c r="G662" s="122">
        <v>0</v>
      </c>
    </row>
    <row r="663" spans="2:7" x14ac:dyDescent="0.2">
      <c r="B663" s="120" t="s">
        <v>1346</v>
      </c>
      <c r="C663" s="121" t="s">
        <v>1347</v>
      </c>
      <c r="D663" s="122">
        <v>1.76</v>
      </c>
      <c r="E663" s="122">
        <v>0.92</v>
      </c>
      <c r="F663" s="122">
        <v>0.92</v>
      </c>
      <c r="G663" s="122">
        <v>48.09</v>
      </c>
    </row>
    <row r="664" spans="2:7" x14ac:dyDescent="0.2">
      <c r="B664" s="120" t="s">
        <v>1348</v>
      </c>
      <c r="C664" s="121" t="s">
        <v>1349</v>
      </c>
      <c r="D664" s="122">
        <v>2.11</v>
      </c>
      <c r="E664" s="122">
        <v>2.06</v>
      </c>
      <c r="F664" s="122">
        <v>0.11</v>
      </c>
      <c r="G664" s="122">
        <v>9.5304000000000002</v>
      </c>
    </row>
    <row r="665" spans="2:7" x14ac:dyDescent="0.2">
      <c r="B665" s="120" t="s">
        <v>1350</v>
      </c>
      <c r="C665" s="121" t="s">
        <v>1351</v>
      </c>
      <c r="D665" s="122">
        <v>0.54</v>
      </c>
      <c r="E665" s="122">
        <v>1.1200000000000001</v>
      </c>
      <c r="F665" s="122">
        <v>1.48</v>
      </c>
      <c r="G665" s="122">
        <v>59.634990000000002</v>
      </c>
    </row>
    <row r="666" spans="2:7" x14ac:dyDescent="0.2">
      <c r="B666" s="120" t="s">
        <v>1352</v>
      </c>
      <c r="C666" s="121" t="s">
        <v>1353</v>
      </c>
      <c r="D666" s="122">
        <v>0.28000000000000003</v>
      </c>
      <c r="E666" s="122">
        <v>0.27</v>
      </c>
      <c r="F666" s="122">
        <v>0.28000000000000003</v>
      </c>
      <c r="G666" s="122">
        <v>19.93</v>
      </c>
    </row>
    <row r="667" spans="2:7" x14ac:dyDescent="0.2">
      <c r="B667" s="120" t="s">
        <v>1354</v>
      </c>
      <c r="C667" s="121" t="s">
        <v>1355</v>
      </c>
      <c r="D667" s="122">
        <v>0.93</v>
      </c>
      <c r="E667" s="122">
        <v>1.83</v>
      </c>
      <c r="F667" s="122">
        <v>0.51</v>
      </c>
      <c r="G667" s="122">
        <v>33.89799</v>
      </c>
    </row>
    <row r="668" spans="2:7" x14ac:dyDescent="0.2">
      <c r="B668" s="120" t="s">
        <v>1356</v>
      </c>
      <c r="C668" s="121" t="s">
        <v>1357</v>
      </c>
      <c r="D668" s="122">
        <v>0.38</v>
      </c>
      <c r="E668" s="122">
        <v>0.73</v>
      </c>
      <c r="F668" s="122">
        <v>1.76</v>
      </c>
      <c r="G668" s="122">
        <v>63.201990000000002</v>
      </c>
    </row>
    <row r="669" spans="2:7" x14ac:dyDescent="0.2">
      <c r="B669" s="120" t="s">
        <v>1358</v>
      </c>
      <c r="C669" s="121" t="s">
        <v>1359</v>
      </c>
      <c r="D669" s="122">
        <v>1.04</v>
      </c>
      <c r="E669" s="122">
        <v>0.48</v>
      </c>
      <c r="F669" s="122">
        <v>0.86</v>
      </c>
      <c r="G669" s="122">
        <v>46.344000000000001</v>
      </c>
    </row>
    <row r="670" spans="2:7" x14ac:dyDescent="0.2">
      <c r="B670" s="120" t="s">
        <v>1360</v>
      </c>
      <c r="C670" s="121" t="s">
        <v>1361</v>
      </c>
      <c r="D670" s="122">
        <v>6.07</v>
      </c>
      <c r="E670" s="122">
        <v>4.47</v>
      </c>
      <c r="F670" s="122">
        <v>0.77</v>
      </c>
      <c r="G670" s="122">
        <v>43.563989999999997</v>
      </c>
    </row>
    <row r="671" spans="2:7" x14ac:dyDescent="0.2">
      <c r="B671" s="120" t="s">
        <v>1362</v>
      </c>
      <c r="C671" s="121" t="s">
        <v>1363</v>
      </c>
      <c r="D671" s="122"/>
      <c r="E671" s="122"/>
      <c r="F671" s="122"/>
      <c r="G671" s="122"/>
    </row>
    <row r="672" spans="2:7" x14ac:dyDescent="0.2">
      <c r="B672" s="120" t="s">
        <v>1364</v>
      </c>
      <c r="C672" s="121" t="s">
        <v>11</v>
      </c>
      <c r="D672" s="122">
        <v>5.67</v>
      </c>
      <c r="E672" s="122">
        <v>11.85</v>
      </c>
      <c r="F672" s="122">
        <v>1.98</v>
      </c>
      <c r="G672" s="122">
        <v>69.611000000000004</v>
      </c>
    </row>
    <row r="673" spans="2:7" x14ac:dyDescent="0.2">
      <c r="B673" s="120" t="s">
        <v>1365</v>
      </c>
      <c r="C673" s="121" t="s">
        <v>1366</v>
      </c>
      <c r="D673" s="122">
        <v>1.98</v>
      </c>
      <c r="E673" s="122">
        <v>2.58</v>
      </c>
      <c r="F673" s="122">
        <v>0.36</v>
      </c>
      <c r="G673" s="122">
        <v>26.600989999999999</v>
      </c>
    </row>
    <row r="674" spans="2:7" x14ac:dyDescent="0.2">
      <c r="B674" s="120" t="s">
        <v>1367</v>
      </c>
      <c r="C674" s="121" t="s">
        <v>1368</v>
      </c>
      <c r="D674" s="122">
        <v>0.41</v>
      </c>
      <c r="E674" s="122">
        <v>0.44</v>
      </c>
      <c r="F674" s="122">
        <v>0.81</v>
      </c>
      <c r="G674" s="122">
        <v>44.643999999999998</v>
      </c>
    </row>
    <row r="675" spans="2:7" x14ac:dyDescent="0.2">
      <c r="B675" s="120" t="s">
        <v>4087</v>
      </c>
      <c r="C675" s="121" t="s">
        <v>4088</v>
      </c>
      <c r="D675" s="122"/>
      <c r="E675" s="122"/>
      <c r="F675" s="122"/>
      <c r="G675" s="122"/>
    </row>
    <row r="676" spans="2:7" x14ac:dyDescent="0.2">
      <c r="B676" s="120" t="s">
        <v>1369</v>
      </c>
      <c r="C676" s="121" t="s">
        <v>1370</v>
      </c>
      <c r="D676" s="122">
        <v>1.24</v>
      </c>
      <c r="E676" s="122">
        <v>1.36</v>
      </c>
      <c r="F676" s="122"/>
      <c r="G676" s="122">
        <v>26.315989999999999</v>
      </c>
    </row>
    <row r="677" spans="2:7" x14ac:dyDescent="0.2">
      <c r="B677" s="120" t="s">
        <v>1371</v>
      </c>
      <c r="C677" s="121" t="s">
        <v>1372</v>
      </c>
      <c r="D677" s="122">
        <v>1.92</v>
      </c>
      <c r="E677" s="122">
        <v>3.38</v>
      </c>
      <c r="F677" s="122">
        <v>0.18</v>
      </c>
      <c r="G677" s="122">
        <v>15.55</v>
      </c>
    </row>
    <row r="678" spans="2:7" x14ac:dyDescent="0.2">
      <c r="B678" s="120" t="s">
        <v>1373</v>
      </c>
      <c r="C678" s="121" t="s">
        <v>1374</v>
      </c>
      <c r="D678" s="122">
        <v>1.01</v>
      </c>
      <c r="E678" s="122">
        <v>1.03</v>
      </c>
      <c r="F678" s="122">
        <v>0.19</v>
      </c>
      <c r="G678" s="122">
        <v>15.936999999999999</v>
      </c>
    </row>
    <row r="679" spans="2:7" x14ac:dyDescent="0.2">
      <c r="B679" s="120" t="s">
        <v>4089</v>
      </c>
      <c r="C679" s="121" t="s">
        <v>4090</v>
      </c>
      <c r="D679" s="122"/>
      <c r="E679" s="122"/>
      <c r="F679" s="122"/>
      <c r="G679" s="122"/>
    </row>
    <row r="680" spans="2:7" x14ac:dyDescent="0.2">
      <c r="B680" s="120" t="s">
        <v>4091</v>
      </c>
      <c r="C680" s="121" t="s">
        <v>4092</v>
      </c>
      <c r="D680" s="122"/>
      <c r="E680" s="122"/>
      <c r="F680" s="122"/>
      <c r="G680" s="122"/>
    </row>
    <row r="681" spans="2:7" x14ac:dyDescent="0.2">
      <c r="B681" s="120" t="s">
        <v>4093</v>
      </c>
      <c r="C681" s="121" t="s">
        <v>4094</v>
      </c>
      <c r="D681" s="122"/>
      <c r="E681" s="122"/>
      <c r="F681" s="122"/>
      <c r="G681" s="122"/>
    </row>
    <row r="682" spans="2:7" x14ac:dyDescent="0.2">
      <c r="B682" s="120" t="s">
        <v>1375</v>
      </c>
      <c r="C682" s="121" t="s">
        <v>1376</v>
      </c>
      <c r="D682" s="122">
        <v>8.6999999999999993</v>
      </c>
      <c r="E682" s="122">
        <v>2.79</v>
      </c>
      <c r="F682" s="122">
        <v>0.65</v>
      </c>
      <c r="G682" s="122">
        <v>39.222000000000001</v>
      </c>
    </row>
    <row r="683" spans="2:7" x14ac:dyDescent="0.2">
      <c r="B683" s="120" t="s">
        <v>1377</v>
      </c>
      <c r="C683" s="121" t="s">
        <v>1378</v>
      </c>
      <c r="D683" s="122">
        <v>1.02</v>
      </c>
      <c r="E683" s="122">
        <v>0.9</v>
      </c>
      <c r="F683" s="122">
        <v>0.95</v>
      </c>
      <c r="G683" s="122">
        <v>48.785989999999998</v>
      </c>
    </row>
    <row r="684" spans="2:7" x14ac:dyDescent="0.2">
      <c r="B684" s="120" t="s">
        <v>1379</v>
      </c>
      <c r="C684" s="121" t="s">
        <v>1380</v>
      </c>
      <c r="D684" s="122">
        <v>8.41</v>
      </c>
      <c r="E684" s="122">
        <v>8.64</v>
      </c>
      <c r="F684" s="122">
        <v>0.02</v>
      </c>
      <c r="G684" s="122">
        <v>1.4917899999999999</v>
      </c>
    </row>
    <row r="685" spans="2:7" x14ac:dyDescent="0.2">
      <c r="B685" s="120" t="s">
        <v>1381</v>
      </c>
      <c r="C685" s="121" t="s">
        <v>1382</v>
      </c>
      <c r="D685" s="122">
        <v>0.85</v>
      </c>
      <c r="E685" s="122">
        <v>2.42</v>
      </c>
      <c r="F685" s="122">
        <v>0.85</v>
      </c>
      <c r="G685" s="122">
        <v>45.923000000000002</v>
      </c>
    </row>
    <row r="686" spans="2:7" x14ac:dyDescent="0.2">
      <c r="B686" s="120" t="s">
        <v>1383</v>
      </c>
      <c r="C686" s="121" t="s">
        <v>1384</v>
      </c>
      <c r="D686" s="122">
        <v>2.06</v>
      </c>
      <c r="E686" s="122">
        <v>2.12</v>
      </c>
      <c r="F686" s="122">
        <v>0.15</v>
      </c>
      <c r="G686" s="122">
        <v>13.33399</v>
      </c>
    </row>
    <row r="687" spans="2:7" x14ac:dyDescent="0.2">
      <c r="B687" s="120" t="s">
        <v>1385</v>
      </c>
      <c r="C687" s="121" t="s">
        <v>1386</v>
      </c>
      <c r="D687" s="122">
        <v>0.64</v>
      </c>
      <c r="E687" s="122">
        <v>0.76</v>
      </c>
      <c r="F687" s="122">
        <v>0.71</v>
      </c>
      <c r="G687" s="122">
        <v>41.612990000000003</v>
      </c>
    </row>
    <row r="688" spans="2:7" x14ac:dyDescent="0.2">
      <c r="B688" s="120" t="s">
        <v>1387</v>
      </c>
      <c r="C688" s="121" t="s">
        <v>1388</v>
      </c>
      <c r="D688" s="122">
        <v>0.44</v>
      </c>
      <c r="E688" s="122">
        <v>0.44</v>
      </c>
      <c r="F688" s="122"/>
      <c r="G688" s="122">
        <v>50.594000000000001</v>
      </c>
    </row>
    <row r="689" spans="2:7" x14ac:dyDescent="0.2">
      <c r="B689" s="120" t="s">
        <v>1389</v>
      </c>
      <c r="C689" s="121" t="s">
        <v>1390</v>
      </c>
      <c r="D689" s="122">
        <v>3.32</v>
      </c>
      <c r="E689" s="122">
        <v>3.6</v>
      </c>
      <c r="F689" s="122">
        <v>0.05</v>
      </c>
      <c r="G689" s="122">
        <v>4.8871000000000002</v>
      </c>
    </row>
    <row r="690" spans="2:7" x14ac:dyDescent="0.2">
      <c r="B690" s="120" t="s">
        <v>1391</v>
      </c>
      <c r="C690" s="121" t="s">
        <v>1392</v>
      </c>
      <c r="D690" s="122">
        <v>0.72</v>
      </c>
      <c r="E690" s="122">
        <v>0.48</v>
      </c>
      <c r="F690" s="122">
        <v>1.78</v>
      </c>
      <c r="G690" s="122">
        <v>64.041989999999998</v>
      </c>
    </row>
    <row r="691" spans="2:7" x14ac:dyDescent="0.2">
      <c r="B691" s="120" t="s">
        <v>4095</v>
      </c>
      <c r="C691" s="121" t="s">
        <v>4096</v>
      </c>
      <c r="D691" s="122">
        <v>0.88</v>
      </c>
      <c r="E691" s="122">
        <v>1.1200000000000001</v>
      </c>
      <c r="F691" s="122"/>
      <c r="G691" s="122">
        <v>8.5422999999999991</v>
      </c>
    </row>
    <row r="692" spans="2:7" x14ac:dyDescent="0.2">
      <c r="B692" s="120" t="s">
        <v>4097</v>
      </c>
      <c r="C692" s="121" t="s">
        <v>4098</v>
      </c>
      <c r="D692" s="122"/>
      <c r="E692" s="122"/>
      <c r="F692" s="122"/>
      <c r="G692" s="122"/>
    </row>
    <row r="693" spans="2:7" x14ac:dyDescent="0.2">
      <c r="B693" s="120" t="s">
        <v>1393</v>
      </c>
      <c r="C693" s="121" t="s">
        <v>1394</v>
      </c>
      <c r="D693" s="122">
        <v>1.08</v>
      </c>
      <c r="E693" s="122">
        <v>1.2</v>
      </c>
      <c r="F693" s="122">
        <v>2.86</v>
      </c>
      <c r="G693" s="122">
        <v>74.067999999999998</v>
      </c>
    </row>
    <row r="694" spans="2:7" x14ac:dyDescent="0.2">
      <c r="B694" s="120" t="s">
        <v>1395</v>
      </c>
      <c r="C694" s="121" t="s">
        <v>1396</v>
      </c>
      <c r="D694" s="122">
        <v>0.74</v>
      </c>
      <c r="E694" s="122">
        <v>0.8</v>
      </c>
      <c r="F694" s="122">
        <v>0</v>
      </c>
      <c r="G694" s="122">
        <v>0</v>
      </c>
    </row>
    <row r="695" spans="2:7" x14ac:dyDescent="0.2">
      <c r="B695" s="120" t="s">
        <v>1397</v>
      </c>
      <c r="C695" s="121" t="s">
        <v>1398</v>
      </c>
      <c r="D695" s="122">
        <v>0.87</v>
      </c>
      <c r="E695" s="122">
        <v>0.82</v>
      </c>
      <c r="F695" s="122">
        <v>0.28999999999999998</v>
      </c>
      <c r="G695" s="122">
        <v>22.447990000000001</v>
      </c>
    </row>
    <row r="696" spans="2:7" x14ac:dyDescent="0.2">
      <c r="B696" s="120" t="s">
        <v>1399</v>
      </c>
      <c r="C696" s="121" t="s">
        <v>1400</v>
      </c>
      <c r="D696" s="122">
        <v>5.56</v>
      </c>
      <c r="E696" s="122">
        <v>6.72</v>
      </c>
      <c r="F696" s="122"/>
      <c r="G696" s="122">
        <v>0</v>
      </c>
    </row>
    <row r="697" spans="2:7" x14ac:dyDescent="0.2">
      <c r="B697" s="120" t="s">
        <v>1401</v>
      </c>
      <c r="C697" s="121" t="s">
        <v>1402</v>
      </c>
      <c r="D697" s="122">
        <v>2.37</v>
      </c>
      <c r="E697" s="122">
        <v>4.68</v>
      </c>
      <c r="F697" s="122">
        <v>0.25</v>
      </c>
      <c r="G697" s="122">
        <v>20.309989999999999</v>
      </c>
    </row>
    <row r="698" spans="2:7" x14ac:dyDescent="0.2">
      <c r="B698" s="120" t="s">
        <v>1403</v>
      </c>
      <c r="C698" s="121" t="s">
        <v>1404</v>
      </c>
      <c r="D698" s="122">
        <v>7.19</v>
      </c>
      <c r="E698" s="122">
        <v>4.47</v>
      </c>
      <c r="F698" s="122">
        <v>0.08</v>
      </c>
      <c r="G698" s="122">
        <v>7.4276999999999997</v>
      </c>
    </row>
    <row r="699" spans="2:7" x14ac:dyDescent="0.2">
      <c r="B699" s="120" t="s">
        <v>1405</v>
      </c>
      <c r="C699" s="121" t="s">
        <v>1406</v>
      </c>
      <c r="D699" s="122">
        <v>0.68</v>
      </c>
      <c r="E699" s="122">
        <v>1.1299999999999999</v>
      </c>
      <c r="F699" s="122">
        <v>0.77</v>
      </c>
      <c r="G699" s="122">
        <v>43.595999999999997</v>
      </c>
    </row>
    <row r="700" spans="2:7" x14ac:dyDescent="0.2">
      <c r="B700" s="120" t="s">
        <v>1407</v>
      </c>
      <c r="C700" s="121" t="s">
        <v>1408</v>
      </c>
      <c r="D700" s="122">
        <v>0.59</v>
      </c>
      <c r="E700" s="122">
        <v>0.81</v>
      </c>
      <c r="F700" s="122">
        <v>0.3</v>
      </c>
      <c r="G700" s="122">
        <v>22.99399</v>
      </c>
    </row>
    <row r="701" spans="2:7" x14ac:dyDescent="0.2">
      <c r="B701" s="120" t="s">
        <v>1409</v>
      </c>
      <c r="C701" s="121" t="s">
        <v>1410</v>
      </c>
      <c r="D701" s="122">
        <v>3.87</v>
      </c>
      <c r="E701" s="122">
        <v>3.91</v>
      </c>
      <c r="F701" s="122">
        <v>0.36</v>
      </c>
      <c r="G701" s="122">
        <v>26.58699</v>
      </c>
    </row>
    <row r="702" spans="2:7" x14ac:dyDescent="0.2">
      <c r="B702" s="120" t="s">
        <v>1411</v>
      </c>
      <c r="C702" s="121" t="s">
        <v>1412</v>
      </c>
      <c r="D702" s="122">
        <v>2</v>
      </c>
      <c r="E702" s="122">
        <v>2.2000000000000002</v>
      </c>
      <c r="F702" s="122">
        <v>0.2</v>
      </c>
      <c r="G702" s="122">
        <v>16.995000000000001</v>
      </c>
    </row>
    <row r="703" spans="2:7" x14ac:dyDescent="0.2">
      <c r="B703" s="120" t="s">
        <v>4099</v>
      </c>
      <c r="C703" s="121" t="s">
        <v>4100</v>
      </c>
      <c r="D703" s="122">
        <v>0.85</v>
      </c>
      <c r="E703" s="122">
        <v>0.85</v>
      </c>
      <c r="F703" s="122">
        <v>0.06</v>
      </c>
      <c r="G703" s="122">
        <v>5.2264999999999997</v>
      </c>
    </row>
    <row r="704" spans="2:7" x14ac:dyDescent="0.2">
      <c r="B704" s="120" t="s">
        <v>1413</v>
      </c>
      <c r="C704" s="121" t="s">
        <v>1414</v>
      </c>
      <c r="D704" s="122">
        <v>1.79</v>
      </c>
      <c r="E704" s="122">
        <v>2.66</v>
      </c>
      <c r="F704" s="122">
        <v>0.56000000000000005</v>
      </c>
      <c r="G704" s="122">
        <v>35.745989999999999</v>
      </c>
    </row>
    <row r="705" spans="2:7" x14ac:dyDescent="0.2">
      <c r="B705" s="120" t="s">
        <v>4101</v>
      </c>
      <c r="C705" s="121" t="s">
        <v>4102</v>
      </c>
      <c r="D705" s="122"/>
      <c r="E705" s="122"/>
      <c r="F705" s="122"/>
      <c r="G705" s="122"/>
    </row>
    <row r="706" spans="2:7" x14ac:dyDescent="0.2">
      <c r="B706" s="120" t="s">
        <v>1415</v>
      </c>
      <c r="C706" s="121" t="s">
        <v>1416</v>
      </c>
      <c r="D706" s="122"/>
      <c r="E706" s="122">
        <v>2.87</v>
      </c>
      <c r="F706" s="122"/>
      <c r="G706" s="122">
        <v>46.732999999999997</v>
      </c>
    </row>
    <row r="707" spans="2:7" x14ac:dyDescent="0.2">
      <c r="B707" s="120" t="s">
        <v>1417</v>
      </c>
      <c r="C707" s="121" t="s">
        <v>1418</v>
      </c>
      <c r="D707" s="122">
        <v>1.39</v>
      </c>
      <c r="E707" s="122">
        <v>1.31</v>
      </c>
      <c r="F707" s="122">
        <v>1.7</v>
      </c>
      <c r="G707" s="122">
        <v>62.948</v>
      </c>
    </row>
    <row r="708" spans="2:7" x14ac:dyDescent="0.2">
      <c r="B708" s="120" t="s">
        <v>1419</v>
      </c>
      <c r="C708" s="121" t="s">
        <v>1420</v>
      </c>
      <c r="D708" s="122">
        <v>0.46</v>
      </c>
      <c r="E708" s="122">
        <v>0.6</v>
      </c>
      <c r="F708" s="122">
        <v>2.63</v>
      </c>
      <c r="G708" s="122">
        <v>72.384</v>
      </c>
    </row>
    <row r="709" spans="2:7" x14ac:dyDescent="0.2">
      <c r="B709" s="120" t="s">
        <v>1421</v>
      </c>
      <c r="C709" s="121" t="s">
        <v>1422</v>
      </c>
      <c r="D709" s="122"/>
      <c r="E709" s="122"/>
      <c r="F709" s="122"/>
      <c r="G709" s="122"/>
    </row>
    <row r="710" spans="2:7" x14ac:dyDescent="0.2">
      <c r="B710" s="120" t="s">
        <v>1423</v>
      </c>
      <c r="C710" s="121" t="s">
        <v>1424</v>
      </c>
      <c r="D710" s="122">
        <v>2.0299999999999998</v>
      </c>
      <c r="E710" s="122">
        <v>1.56</v>
      </c>
      <c r="F710" s="122">
        <v>1.3</v>
      </c>
      <c r="G710" s="122">
        <v>56.533999999999999</v>
      </c>
    </row>
    <row r="711" spans="2:7" x14ac:dyDescent="0.2">
      <c r="B711" s="120" t="s">
        <v>1425</v>
      </c>
      <c r="C711" s="121" t="s">
        <v>1426</v>
      </c>
      <c r="D711" s="122">
        <v>0.62</v>
      </c>
      <c r="E711" s="122">
        <v>0.64</v>
      </c>
      <c r="F711" s="122">
        <v>0</v>
      </c>
      <c r="G711" s="122">
        <v>0</v>
      </c>
    </row>
    <row r="712" spans="2:7" x14ac:dyDescent="0.2">
      <c r="B712" s="120" t="s">
        <v>1427</v>
      </c>
      <c r="C712" s="121" t="s">
        <v>1428</v>
      </c>
      <c r="D712" s="122">
        <v>1.45</v>
      </c>
      <c r="E712" s="122">
        <v>1.4</v>
      </c>
      <c r="F712" s="122">
        <v>0</v>
      </c>
      <c r="G712" s="122">
        <v>0</v>
      </c>
    </row>
    <row r="713" spans="2:7" x14ac:dyDescent="0.2">
      <c r="B713" s="120" t="s">
        <v>1429</v>
      </c>
      <c r="C713" s="121" t="s">
        <v>1430</v>
      </c>
      <c r="D713" s="122">
        <v>7.75</v>
      </c>
      <c r="E713" s="122">
        <v>9.73</v>
      </c>
      <c r="F713" s="122">
        <v>7.0000000000000007E-2</v>
      </c>
      <c r="G713" s="122">
        <v>6.5071000000000003</v>
      </c>
    </row>
    <row r="714" spans="2:7" x14ac:dyDescent="0.2">
      <c r="B714" s="120" t="s">
        <v>1431</v>
      </c>
      <c r="C714" s="121" t="s">
        <v>1432</v>
      </c>
      <c r="D714" s="122">
        <v>0.82</v>
      </c>
      <c r="E714" s="122">
        <v>0.82</v>
      </c>
      <c r="F714" s="122">
        <v>0.15</v>
      </c>
      <c r="G714" s="122">
        <v>13.07499</v>
      </c>
    </row>
    <row r="715" spans="2:7" x14ac:dyDescent="0.2">
      <c r="B715" s="120" t="s">
        <v>1433</v>
      </c>
      <c r="C715" s="121" t="s">
        <v>1434</v>
      </c>
      <c r="D715" s="122">
        <v>0.92</v>
      </c>
      <c r="E715" s="122">
        <v>0.95</v>
      </c>
      <c r="F715" s="122">
        <v>0.25</v>
      </c>
      <c r="G715" s="122">
        <v>19.413</v>
      </c>
    </row>
    <row r="716" spans="2:7" x14ac:dyDescent="0.2">
      <c r="B716" s="120" t="s">
        <v>1435</v>
      </c>
      <c r="C716" s="121" t="s">
        <v>1436</v>
      </c>
      <c r="D716" s="122">
        <v>0.8</v>
      </c>
      <c r="E716" s="122">
        <v>0.95</v>
      </c>
      <c r="F716" s="122">
        <v>2.25</v>
      </c>
      <c r="G716" s="122">
        <v>69.260999999999996</v>
      </c>
    </row>
    <row r="717" spans="2:7" x14ac:dyDescent="0.2">
      <c r="B717" s="120" t="s">
        <v>1437</v>
      </c>
      <c r="C717" s="121" t="s">
        <v>1438</v>
      </c>
      <c r="D717" s="122">
        <v>1.49</v>
      </c>
      <c r="E717" s="122">
        <v>2.23</v>
      </c>
      <c r="F717" s="122">
        <v>0.26</v>
      </c>
      <c r="G717" s="122">
        <v>32.534990000000001</v>
      </c>
    </row>
    <row r="718" spans="2:7" x14ac:dyDescent="0.2">
      <c r="B718" s="120" t="s">
        <v>4103</v>
      </c>
      <c r="C718" s="121" t="s">
        <v>4104</v>
      </c>
      <c r="D718" s="122">
        <v>0.55000000000000004</v>
      </c>
      <c r="E718" s="122">
        <v>0.91</v>
      </c>
      <c r="F718" s="122"/>
      <c r="G718" s="122">
        <v>43.148989999999998</v>
      </c>
    </row>
    <row r="719" spans="2:7" x14ac:dyDescent="0.2">
      <c r="B719" s="120" t="s">
        <v>1439</v>
      </c>
      <c r="C719" s="121" t="s">
        <v>1440</v>
      </c>
      <c r="D719" s="122">
        <v>1.19</v>
      </c>
      <c r="E719" s="122">
        <v>3</v>
      </c>
      <c r="F719" s="122">
        <v>1.67</v>
      </c>
      <c r="G719" s="122">
        <v>62.54</v>
      </c>
    </row>
    <row r="720" spans="2:7" x14ac:dyDescent="0.2">
      <c r="B720" s="120" t="s">
        <v>1441</v>
      </c>
      <c r="C720" s="121" t="s">
        <v>1442</v>
      </c>
      <c r="D720" s="122">
        <v>1.1100000000000001</v>
      </c>
      <c r="E720" s="122">
        <v>4.97</v>
      </c>
      <c r="F720" s="122">
        <v>5.4</v>
      </c>
      <c r="G720" s="122">
        <v>84.373999999999995</v>
      </c>
    </row>
    <row r="721" spans="2:7" x14ac:dyDescent="0.2">
      <c r="B721" s="120" t="s">
        <v>1443</v>
      </c>
      <c r="C721" s="121" t="s">
        <v>1444</v>
      </c>
      <c r="D721" s="122">
        <v>0.88</v>
      </c>
      <c r="E721" s="122">
        <v>0.9</v>
      </c>
      <c r="F721" s="122">
        <v>0.82</v>
      </c>
      <c r="G721" s="122">
        <v>43.296999999999997</v>
      </c>
    </row>
    <row r="722" spans="2:7" x14ac:dyDescent="0.2">
      <c r="B722" s="120" t="s">
        <v>1445</v>
      </c>
      <c r="C722" s="121" t="s">
        <v>1446</v>
      </c>
      <c r="D722" s="122">
        <v>1.57</v>
      </c>
      <c r="E722" s="122">
        <v>1.98</v>
      </c>
      <c r="F722" s="122">
        <v>1.08</v>
      </c>
      <c r="G722" s="122">
        <v>51.834989999999998</v>
      </c>
    </row>
    <row r="723" spans="2:7" x14ac:dyDescent="0.2">
      <c r="B723" s="120" t="s">
        <v>1447</v>
      </c>
      <c r="C723" s="121" t="s">
        <v>1448</v>
      </c>
      <c r="D723" s="122">
        <v>6.96</v>
      </c>
      <c r="E723" s="122">
        <v>6.41</v>
      </c>
      <c r="F723" s="122">
        <v>1.27</v>
      </c>
      <c r="G723" s="122">
        <v>55.902000000000001</v>
      </c>
    </row>
    <row r="724" spans="2:7" x14ac:dyDescent="0.2">
      <c r="B724" s="120" t="s">
        <v>1449</v>
      </c>
      <c r="C724" s="121" t="s">
        <v>1450</v>
      </c>
      <c r="D724" s="122">
        <v>1.27</v>
      </c>
      <c r="E724" s="122">
        <v>1.45</v>
      </c>
      <c r="F724" s="122">
        <v>0.24</v>
      </c>
      <c r="G724" s="122">
        <v>19.204989999999999</v>
      </c>
    </row>
    <row r="725" spans="2:7" x14ac:dyDescent="0.2">
      <c r="B725" s="120" t="s">
        <v>1451</v>
      </c>
      <c r="C725" s="121" t="s">
        <v>1452</v>
      </c>
      <c r="D725" s="122">
        <v>1.63</v>
      </c>
      <c r="E725" s="122">
        <v>1.99</v>
      </c>
      <c r="F725" s="122">
        <v>1.1399999999999999</v>
      </c>
      <c r="G725" s="122">
        <v>53.351999999999997</v>
      </c>
    </row>
    <row r="726" spans="2:7" x14ac:dyDescent="0.2">
      <c r="B726" s="120" t="s">
        <v>1453</v>
      </c>
      <c r="C726" s="121" t="s">
        <v>1454</v>
      </c>
      <c r="D726" s="122">
        <v>0.71</v>
      </c>
      <c r="E726" s="122">
        <v>1.26</v>
      </c>
      <c r="F726" s="122">
        <v>1.17</v>
      </c>
      <c r="G726" s="122">
        <v>53.951000000000001</v>
      </c>
    </row>
    <row r="727" spans="2:7" x14ac:dyDescent="0.2">
      <c r="B727" s="120" t="s">
        <v>1455</v>
      </c>
      <c r="C727" s="121" t="s">
        <v>1456</v>
      </c>
      <c r="D727" s="122">
        <v>2.98</v>
      </c>
      <c r="E727" s="122">
        <v>2.4700000000000002</v>
      </c>
      <c r="F727" s="122">
        <v>0.34</v>
      </c>
      <c r="G727" s="122">
        <v>25.513000000000002</v>
      </c>
    </row>
    <row r="728" spans="2:7" x14ac:dyDescent="0.2">
      <c r="B728" s="120" t="s">
        <v>1457</v>
      </c>
      <c r="C728" s="121" t="s">
        <v>1458</v>
      </c>
      <c r="D728" s="122">
        <v>1.05</v>
      </c>
      <c r="E728" s="122">
        <v>1.1499999999999999</v>
      </c>
      <c r="F728" s="122">
        <v>0.96</v>
      </c>
      <c r="G728" s="122">
        <v>48.86</v>
      </c>
    </row>
    <row r="729" spans="2:7" x14ac:dyDescent="0.2">
      <c r="B729" s="120" t="s">
        <v>1459</v>
      </c>
      <c r="C729" s="121" t="s">
        <v>1460</v>
      </c>
      <c r="D729" s="122">
        <v>1.62</v>
      </c>
      <c r="E729" s="122">
        <v>2.2799999999999998</v>
      </c>
      <c r="F729" s="122">
        <v>0.88</v>
      </c>
      <c r="G729" s="122">
        <v>46.81</v>
      </c>
    </row>
    <row r="730" spans="2:7" x14ac:dyDescent="0.2">
      <c r="B730" s="120" t="s">
        <v>1461</v>
      </c>
      <c r="C730" s="121" t="s">
        <v>1462</v>
      </c>
      <c r="D730" s="122">
        <v>0.86</v>
      </c>
      <c r="E730" s="122">
        <v>0.92</v>
      </c>
      <c r="F730" s="122">
        <v>0.7</v>
      </c>
      <c r="G730" s="122">
        <v>41.049990000000001</v>
      </c>
    </row>
    <row r="731" spans="2:7" x14ac:dyDescent="0.2">
      <c r="B731" s="120" t="s">
        <v>1463</v>
      </c>
      <c r="C731" s="121" t="s">
        <v>1464</v>
      </c>
      <c r="D731" s="122">
        <v>0.98</v>
      </c>
      <c r="E731" s="122">
        <v>1.27</v>
      </c>
      <c r="F731" s="122">
        <v>0.77</v>
      </c>
      <c r="G731" s="122">
        <v>43.414000000000001</v>
      </c>
    </row>
    <row r="732" spans="2:7" x14ac:dyDescent="0.2">
      <c r="B732" s="120" t="s">
        <v>1465</v>
      </c>
      <c r="C732" s="121" t="s">
        <v>1466</v>
      </c>
      <c r="D732" s="122">
        <v>1.02</v>
      </c>
      <c r="E732" s="122">
        <v>0.99</v>
      </c>
      <c r="F732" s="122">
        <v>0.77</v>
      </c>
      <c r="G732" s="122">
        <v>43.478999999999999</v>
      </c>
    </row>
    <row r="733" spans="2:7" x14ac:dyDescent="0.2">
      <c r="B733" s="120" t="s">
        <v>1467</v>
      </c>
      <c r="C733" s="121" t="s">
        <v>1468</v>
      </c>
      <c r="D733" s="122">
        <v>1.4</v>
      </c>
      <c r="E733" s="122">
        <v>1.4</v>
      </c>
      <c r="F733" s="122">
        <v>0.43</v>
      </c>
      <c r="G733" s="122">
        <v>30.097989999999999</v>
      </c>
    </row>
    <row r="734" spans="2:7" x14ac:dyDescent="0.2">
      <c r="B734" s="120" t="s">
        <v>1469</v>
      </c>
      <c r="C734" s="121" t="s">
        <v>1470</v>
      </c>
      <c r="D734" s="122">
        <v>0.81</v>
      </c>
      <c r="E734" s="122">
        <v>0.84</v>
      </c>
      <c r="F734" s="122">
        <v>0.28999999999999998</v>
      </c>
      <c r="G734" s="122">
        <v>21.966989999999999</v>
      </c>
    </row>
    <row r="735" spans="2:7" x14ac:dyDescent="0.2">
      <c r="B735" s="120" t="s">
        <v>1471</v>
      </c>
      <c r="C735" s="121" t="s">
        <v>1472</v>
      </c>
      <c r="D735" s="122">
        <v>0.22</v>
      </c>
      <c r="E735" s="122">
        <v>1.33</v>
      </c>
      <c r="F735" s="122">
        <v>1.32</v>
      </c>
      <c r="G735" s="122">
        <v>56.965000000000003</v>
      </c>
    </row>
    <row r="736" spans="2:7" x14ac:dyDescent="0.2">
      <c r="B736" s="120" t="s">
        <v>1473</v>
      </c>
      <c r="C736" s="121" t="s">
        <v>1474</v>
      </c>
      <c r="D736" s="122">
        <v>0.84</v>
      </c>
      <c r="E736" s="122">
        <v>0.95</v>
      </c>
      <c r="F736" s="122">
        <v>0.17</v>
      </c>
      <c r="G736" s="122">
        <v>19.27</v>
      </c>
    </row>
    <row r="737" spans="2:7" x14ac:dyDescent="0.2">
      <c r="B737" s="120" t="s">
        <v>1475</v>
      </c>
      <c r="C737" s="121" t="s">
        <v>1476</v>
      </c>
      <c r="D737" s="122"/>
      <c r="E737" s="122"/>
      <c r="F737" s="122"/>
      <c r="G737" s="122"/>
    </row>
    <row r="738" spans="2:7" x14ac:dyDescent="0.2">
      <c r="B738" s="120" t="s">
        <v>4105</v>
      </c>
      <c r="C738" s="121" t="s">
        <v>4106</v>
      </c>
      <c r="D738" s="122">
        <v>0.99</v>
      </c>
      <c r="E738" s="122">
        <v>0.99</v>
      </c>
      <c r="F738" s="122">
        <v>0</v>
      </c>
      <c r="G738" s="122">
        <v>0</v>
      </c>
    </row>
    <row r="739" spans="2:7" x14ac:dyDescent="0.2">
      <c r="B739" s="120" t="s">
        <v>1477</v>
      </c>
      <c r="C739" s="121" t="s">
        <v>1478</v>
      </c>
      <c r="D739" s="122">
        <v>7.14</v>
      </c>
      <c r="E739" s="122">
        <v>2.67</v>
      </c>
      <c r="F739" s="122">
        <v>0.06</v>
      </c>
      <c r="G739" s="122">
        <v>5.4183000000000003</v>
      </c>
    </row>
    <row r="740" spans="2:7" x14ac:dyDescent="0.2">
      <c r="B740" s="120" t="s">
        <v>1479</v>
      </c>
      <c r="C740" s="121" t="s">
        <v>4107</v>
      </c>
      <c r="D740" s="122">
        <v>3.12</v>
      </c>
      <c r="E740" s="122">
        <v>3.78</v>
      </c>
      <c r="F740" s="122">
        <v>0.68</v>
      </c>
      <c r="G740" s="122">
        <v>41.069989999999997</v>
      </c>
    </row>
    <row r="741" spans="2:7" x14ac:dyDescent="0.2">
      <c r="B741" s="120" t="s">
        <v>1479</v>
      </c>
      <c r="C741" s="121" t="s">
        <v>1480</v>
      </c>
      <c r="D741" s="122">
        <v>3.12</v>
      </c>
      <c r="E741" s="122">
        <v>3.78</v>
      </c>
      <c r="F741" s="122">
        <v>0.68</v>
      </c>
      <c r="G741" s="122">
        <v>41.069989999999997</v>
      </c>
    </row>
    <row r="742" spans="2:7" x14ac:dyDescent="0.2">
      <c r="B742" s="120" t="s">
        <v>4108</v>
      </c>
      <c r="C742" s="121" t="s">
        <v>4109</v>
      </c>
      <c r="D742" s="122">
        <v>1.26</v>
      </c>
      <c r="E742" s="122">
        <v>1.99</v>
      </c>
      <c r="F742" s="122"/>
      <c r="G742" s="122">
        <v>39.875990000000002</v>
      </c>
    </row>
    <row r="743" spans="2:7" x14ac:dyDescent="0.2">
      <c r="B743" s="120" t="s">
        <v>1481</v>
      </c>
      <c r="C743" s="121" t="s">
        <v>1482</v>
      </c>
      <c r="D743" s="122">
        <v>1.18</v>
      </c>
      <c r="E743" s="122">
        <v>0.88</v>
      </c>
      <c r="F743" s="122">
        <v>0.83</v>
      </c>
      <c r="G743" s="122">
        <v>45.206000000000003</v>
      </c>
    </row>
    <row r="744" spans="2:7" x14ac:dyDescent="0.2">
      <c r="B744" s="120" t="s">
        <v>1483</v>
      </c>
      <c r="C744" s="121" t="s">
        <v>1484</v>
      </c>
      <c r="D744" s="122">
        <v>0.99</v>
      </c>
      <c r="E744" s="122">
        <v>1.01</v>
      </c>
      <c r="F744" s="122">
        <v>1.34</v>
      </c>
      <c r="G744" s="122">
        <v>54.570990000000002</v>
      </c>
    </row>
    <row r="745" spans="2:7" x14ac:dyDescent="0.2">
      <c r="B745" s="120" t="s">
        <v>4110</v>
      </c>
      <c r="C745" s="121" t="s">
        <v>4111</v>
      </c>
      <c r="D745" s="122">
        <v>5.51</v>
      </c>
      <c r="E745" s="122">
        <v>5.85</v>
      </c>
      <c r="F745" s="122">
        <v>0.49</v>
      </c>
      <c r="G745" s="122">
        <v>31.20599</v>
      </c>
    </row>
    <row r="746" spans="2:7" x14ac:dyDescent="0.2">
      <c r="B746" s="120" t="s">
        <v>4112</v>
      </c>
      <c r="C746" s="121" t="s">
        <v>4113</v>
      </c>
      <c r="D746" s="122">
        <v>1.39</v>
      </c>
      <c r="E746" s="122">
        <v>1.36</v>
      </c>
      <c r="F746" s="122"/>
      <c r="G746" s="122">
        <v>52.195990000000002</v>
      </c>
    </row>
    <row r="747" spans="2:7" x14ac:dyDescent="0.2">
      <c r="B747" s="120" t="s">
        <v>1485</v>
      </c>
      <c r="C747" s="121" t="s">
        <v>1486</v>
      </c>
      <c r="D747" s="122">
        <v>1.33</v>
      </c>
      <c r="E747" s="122">
        <v>1.55</v>
      </c>
      <c r="F747" s="122">
        <v>1.41</v>
      </c>
      <c r="G747" s="122">
        <v>57.801990000000004</v>
      </c>
    </row>
    <row r="748" spans="2:7" x14ac:dyDescent="0.2">
      <c r="B748" s="120" t="s">
        <v>4114</v>
      </c>
      <c r="C748" s="121" t="s">
        <v>4115</v>
      </c>
      <c r="D748" s="122">
        <v>2.13</v>
      </c>
      <c r="E748" s="122">
        <v>2.25</v>
      </c>
      <c r="F748" s="122">
        <v>0.84</v>
      </c>
      <c r="G748" s="122">
        <v>45.643000000000001</v>
      </c>
    </row>
    <row r="749" spans="2:7" x14ac:dyDescent="0.2">
      <c r="B749" s="120" t="s">
        <v>1487</v>
      </c>
      <c r="C749" s="121" t="s">
        <v>1488</v>
      </c>
      <c r="D749" s="122">
        <v>4.1100000000000003</v>
      </c>
      <c r="E749" s="122">
        <v>4.05</v>
      </c>
      <c r="F749" s="122">
        <v>0.09</v>
      </c>
      <c r="G749" s="122">
        <v>8.1060999999999996</v>
      </c>
    </row>
    <row r="750" spans="2:7" x14ac:dyDescent="0.2">
      <c r="B750" s="120" t="s">
        <v>4116</v>
      </c>
      <c r="C750" s="121" t="s">
        <v>4117</v>
      </c>
      <c r="D750" s="122">
        <v>0.87</v>
      </c>
      <c r="E750" s="122">
        <v>1.0900000000000001</v>
      </c>
      <c r="F750" s="122"/>
      <c r="G750" s="122">
        <v>44.793990000000001</v>
      </c>
    </row>
    <row r="751" spans="2:7" x14ac:dyDescent="0.2">
      <c r="B751" s="120" t="s">
        <v>1489</v>
      </c>
      <c r="C751" s="121" t="s">
        <v>1490</v>
      </c>
      <c r="D751" s="122"/>
      <c r="E751" s="122"/>
      <c r="F751" s="122"/>
      <c r="G751" s="122"/>
    </row>
    <row r="752" spans="2:7" x14ac:dyDescent="0.2">
      <c r="B752" s="120" t="s">
        <v>1491</v>
      </c>
      <c r="C752" s="121" t="s">
        <v>1492</v>
      </c>
      <c r="D752" s="122">
        <v>1.45</v>
      </c>
      <c r="E752" s="122">
        <v>1.46</v>
      </c>
      <c r="F752" s="122">
        <v>4.32</v>
      </c>
      <c r="G752" s="122">
        <v>83.44699</v>
      </c>
    </row>
    <row r="753" spans="2:7" x14ac:dyDescent="0.2">
      <c r="B753" s="120" t="s">
        <v>1493</v>
      </c>
      <c r="C753" s="121" t="s">
        <v>1494</v>
      </c>
      <c r="D753" s="122">
        <v>0.96</v>
      </c>
      <c r="E753" s="122">
        <v>1.1299999999999999</v>
      </c>
      <c r="F753" s="122">
        <v>-3.58</v>
      </c>
      <c r="G753" s="122"/>
    </row>
    <row r="754" spans="2:7" x14ac:dyDescent="0.2">
      <c r="B754" s="120" t="s">
        <v>1495</v>
      </c>
      <c r="C754" s="121" t="s">
        <v>1496</v>
      </c>
      <c r="D754" s="122">
        <v>1.1499999999999999</v>
      </c>
      <c r="E754" s="122">
        <v>1.18</v>
      </c>
      <c r="F754" s="122">
        <v>0.43</v>
      </c>
      <c r="G754" s="122">
        <v>30.309000000000001</v>
      </c>
    </row>
    <row r="755" spans="2:7" x14ac:dyDescent="0.2">
      <c r="B755" s="120" t="s">
        <v>1497</v>
      </c>
      <c r="C755" s="121" t="s">
        <v>1498</v>
      </c>
      <c r="D755" s="122">
        <v>1.7</v>
      </c>
      <c r="E755" s="122">
        <v>1.82</v>
      </c>
      <c r="F755" s="122">
        <v>0</v>
      </c>
      <c r="G755" s="122">
        <v>0</v>
      </c>
    </row>
    <row r="756" spans="2:7" x14ac:dyDescent="0.2">
      <c r="B756" s="120" t="s">
        <v>1499</v>
      </c>
      <c r="C756" s="121" t="s">
        <v>1500</v>
      </c>
      <c r="D756" s="122">
        <v>0.67</v>
      </c>
      <c r="E756" s="122">
        <v>0.62</v>
      </c>
      <c r="F756" s="122">
        <v>1.31</v>
      </c>
      <c r="G756" s="122">
        <v>54.527990000000003</v>
      </c>
    </row>
    <row r="757" spans="2:7" x14ac:dyDescent="0.2">
      <c r="B757" s="120" t="s">
        <v>1501</v>
      </c>
      <c r="C757" s="121" t="s">
        <v>1502</v>
      </c>
      <c r="D757" s="122">
        <v>1.18</v>
      </c>
      <c r="E757" s="122">
        <v>1.23</v>
      </c>
      <c r="F757" s="122">
        <v>0.76</v>
      </c>
      <c r="G757" s="122">
        <v>43.228000000000002</v>
      </c>
    </row>
    <row r="758" spans="2:7" x14ac:dyDescent="0.2">
      <c r="B758" s="120" t="s">
        <v>1503</v>
      </c>
      <c r="C758" s="121" t="s">
        <v>1504</v>
      </c>
      <c r="D758" s="122">
        <v>1.42</v>
      </c>
      <c r="E758" s="122">
        <v>1.78</v>
      </c>
      <c r="F758" s="122">
        <v>0.06</v>
      </c>
      <c r="G758" s="122">
        <v>5.2754899999999996</v>
      </c>
    </row>
    <row r="759" spans="2:7" x14ac:dyDescent="0.2">
      <c r="B759" s="120" t="s">
        <v>1505</v>
      </c>
      <c r="C759" s="121" t="s">
        <v>1506</v>
      </c>
      <c r="D759" s="122">
        <v>1.93</v>
      </c>
      <c r="E759" s="122">
        <v>2.4500000000000002</v>
      </c>
      <c r="F759" s="122">
        <v>0.16</v>
      </c>
      <c r="G759" s="122">
        <v>13.667999999999999</v>
      </c>
    </row>
    <row r="760" spans="2:7" x14ac:dyDescent="0.2">
      <c r="B760" s="120" t="s">
        <v>1507</v>
      </c>
      <c r="C760" s="121" t="s">
        <v>1508</v>
      </c>
      <c r="D760" s="122">
        <v>0.72</v>
      </c>
      <c r="E760" s="122">
        <v>1.39</v>
      </c>
      <c r="F760" s="122">
        <v>-21.46</v>
      </c>
      <c r="G760" s="122">
        <v>98.081999999999994</v>
      </c>
    </row>
    <row r="761" spans="2:7" x14ac:dyDescent="0.2">
      <c r="B761" s="120" t="s">
        <v>4118</v>
      </c>
      <c r="C761" s="121" t="s">
        <v>4119</v>
      </c>
      <c r="D761" s="122"/>
      <c r="E761" s="122"/>
      <c r="F761" s="122"/>
      <c r="G761" s="122"/>
    </row>
    <row r="762" spans="2:7" x14ac:dyDescent="0.2">
      <c r="B762" s="120" t="s">
        <v>1509</v>
      </c>
      <c r="C762" s="121" t="s">
        <v>4120</v>
      </c>
      <c r="D762" s="122">
        <v>0.33</v>
      </c>
      <c r="E762" s="122">
        <v>0.49</v>
      </c>
      <c r="F762" s="122">
        <v>0.64</v>
      </c>
      <c r="G762" s="122">
        <v>39.062989999999999</v>
      </c>
    </row>
    <row r="763" spans="2:7" x14ac:dyDescent="0.2">
      <c r="B763" s="120" t="s">
        <v>4121</v>
      </c>
      <c r="C763" s="121" t="s">
        <v>4122</v>
      </c>
      <c r="D763" s="122">
        <v>0.33</v>
      </c>
      <c r="E763" s="122">
        <v>0.49</v>
      </c>
      <c r="F763" s="122">
        <v>0.64</v>
      </c>
      <c r="G763" s="122">
        <v>39.062989999999999</v>
      </c>
    </row>
    <row r="764" spans="2:7" x14ac:dyDescent="0.2">
      <c r="B764" s="120" t="s">
        <v>1509</v>
      </c>
      <c r="C764" s="121" t="s">
        <v>1510</v>
      </c>
      <c r="D764" s="122">
        <v>0.33</v>
      </c>
      <c r="E764" s="122">
        <v>0.49</v>
      </c>
      <c r="F764" s="122">
        <v>0.64</v>
      </c>
      <c r="G764" s="122">
        <v>39.062989999999999</v>
      </c>
    </row>
    <row r="765" spans="2:7" x14ac:dyDescent="0.2">
      <c r="B765" s="120" t="s">
        <v>4123</v>
      </c>
      <c r="C765" s="121" t="s">
        <v>4124</v>
      </c>
      <c r="D765" s="122"/>
      <c r="E765" s="122"/>
      <c r="F765" s="122"/>
      <c r="G765" s="122"/>
    </row>
    <row r="766" spans="2:7" x14ac:dyDescent="0.2">
      <c r="B766" s="120" t="s">
        <v>1511</v>
      </c>
      <c r="C766" s="121" t="s">
        <v>1512</v>
      </c>
      <c r="D766" s="122">
        <v>1.39</v>
      </c>
      <c r="E766" s="122">
        <v>1.46</v>
      </c>
      <c r="F766" s="122">
        <v>0.78</v>
      </c>
      <c r="G766" s="122">
        <v>43.901000000000003</v>
      </c>
    </row>
    <row r="767" spans="2:7" x14ac:dyDescent="0.2">
      <c r="B767" s="120" t="s">
        <v>1513</v>
      </c>
      <c r="C767" s="121" t="s">
        <v>1514</v>
      </c>
      <c r="D767" s="122">
        <v>0.85</v>
      </c>
      <c r="E767" s="122">
        <v>0.87</v>
      </c>
      <c r="F767" s="122">
        <v>0.28000000000000003</v>
      </c>
      <c r="G767" s="122">
        <v>21.954989999999999</v>
      </c>
    </row>
    <row r="768" spans="2:7" x14ac:dyDescent="0.2">
      <c r="B768" s="120" t="s">
        <v>4125</v>
      </c>
      <c r="C768" s="121" t="s">
        <v>4126</v>
      </c>
      <c r="D768" s="122">
        <v>1.02</v>
      </c>
      <c r="E768" s="122">
        <v>0.82</v>
      </c>
      <c r="F768" s="122"/>
      <c r="G768" s="122">
        <v>19.764990000000001</v>
      </c>
    </row>
    <row r="769" spans="2:7" x14ac:dyDescent="0.2">
      <c r="B769" s="120" t="s">
        <v>1515</v>
      </c>
      <c r="C769" s="121" t="s">
        <v>1516</v>
      </c>
      <c r="D769" s="122">
        <v>14.38</v>
      </c>
      <c r="E769" s="122">
        <v>16.79</v>
      </c>
      <c r="F769" s="122">
        <v>0.03</v>
      </c>
      <c r="G769" s="122">
        <v>3.3022</v>
      </c>
    </row>
    <row r="770" spans="2:7" x14ac:dyDescent="0.2">
      <c r="B770" s="120" t="s">
        <v>4127</v>
      </c>
      <c r="C770" s="121" t="s">
        <v>4128</v>
      </c>
      <c r="D770" s="122"/>
      <c r="E770" s="122"/>
      <c r="F770" s="122"/>
      <c r="G770" s="122"/>
    </row>
    <row r="771" spans="2:7" x14ac:dyDescent="0.2">
      <c r="B771" s="120" t="s">
        <v>1517</v>
      </c>
      <c r="C771" s="121" t="s">
        <v>1518</v>
      </c>
      <c r="D771" s="122">
        <v>0.83</v>
      </c>
      <c r="E771" s="122">
        <v>1.0900000000000001</v>
      </c>
      <c r="F771" s="122">
        <v>0.7</v>
      </c>
      <c r="G771" s="122">
        <v>41.07199</v>
      </c>
    </row>
    <row r="772" spans="2:7" x14ac:dyDescent="0.2">
      <c r="B772" s="120" t="s">
        <v>1519</v>
      </c>
      <c r="C772" s="121" t="s">
        <v>1520</v>
      </c>
      <c r="D772" s="122">
        <v>0.76</v>
      </c>
      <c r="E772" s="122">
        <v>0.85</v>
      </c>
      <c r="F772" s="122">
        <v>2.64</v>
      </c>
      <c r="G772" s="122">
        <v>72.498000000000005</v>
      </c>
    </row>
    <row r="773" spans="2:7" x14ac:dyDescent="0.2">
      <c r="B773" s="120" t="s">
        <v>1521</v>
      </c>
      <c r="C773" s="121" t="s">
        <v>1522</v>
      </c>
      <c r="D773" s="122">
        <v>1.35</v>
      </c>
      <c r="E773" s="122">
        <v>2.48</v>
      </c>
      <c r="F773" s="122">
        <v>0.91</v>
      </c>
      <c r="G773" s="122">
        <v>47.626989999999999</v>
      </c>
    </row>
    <row r="774" spans="2:7" x14ac:dyDescent="0.2">
      <c r="B774" s="120" t="s">
        <v>1523</v>
      </c>
      <c r="C774" s="121" t="s">
        <v>1524</v>
      </c>
      <c r="D774" s="122">
        <v>0.87</v>
      </c>
      <c r="E774" s="122">
        <v>2.0099999999999998</v>
      </c>
      <c r="F774" s="122">
        <v>1.56</v>
      </c>
      <c r="G774" s="122">
        <v>58.097990000000003</v>
      </c>
    </row>
    <row r="775" spans="2:7" x14ac:dyDescent="0.2">
      <c r="B775" s="120" t="s">
        <v>1525</v>
      </c>
      <c r="C775" s="121" t="s">
        <v>12</v>
      </c>
      <c r="D775" s="122">
        <v>1.52</v>
      </c>
      <c r="E775" s="122">
        <v>1.73</v>
      </c>
      <c r="F775" s="122">
        <v>1.65</v>
      </c>
      <c r="G775" s="122">
        <v>62.313989999999997</v>
      </c>
    </row>
    <row r="776" spans="2:7" x14ac:dyDescent="0.2">
      <c r="B776" s="120" t="s">
        <v>1526</v>
      </c>
      <c r="C776" s="121" t="s">
        <v>1527</v>
      </c>
      <c r="D776" s="122">
        <v>0.99</v>
      </c>
      <c r="E776" s="122">
        <v>1.32</v>
      </c>
      <c r="F776" s="122"/>
      <c r="G776" s="122">
        <v>13.35</v>
      </c>
    </row>
    <row r="777" spans="2:7" x14ac:dyDescent="0.2">
      <c r="B777" s="120" t="s">
        <v>1528</v>
      </c>
      <c r="C777" s="121" t="s">
        <v>1529</v>
      </c>
      <c r="D777" s="122"/>
      <c r="E777" s="122"/>
      <c r="F777" s="122"/>
      <c r="G777" s="122"/>
    </row>
    <row r="778" spans="2:7" x14ac:dyDescent="0.2">
      <c r="B778" s="120" t="s">
        <v>1530</v>
      </c>
      <c r="C778" s="121" t="s">
        <v>1531</v>
      </c>
      <c r="D778" s="122">
        <v>0.88</v>
      </c>
      <c r="E778" s="122">
        <v>0.98</v>
      </c>
      <c r="F778" s="122"/>
      <c r="G778" s="122">
        <v>4.3182</v>
      </c>
    </row>
    <row r="779" spans="2:7" x14ac:dyDescent="0.2">
      <c r="B779" s="120" t="s">
        <v>4129</v>
      </c>
      <c r="C779" s="121" t="s">
        <v>4130</v>
      </c>
      <c r="D779" s="122">
        <v>1.62</v>
      </c>
      <c r="E779" s="122">
        <v>1.66</v>
      </c>
      <c r="F779" s="122"/>
      <c r="G779" s="122">
        <v>0</v>
      </c>
    </row>
    <row r="780" spans="2:7" x14ac:dyDescent="0.2">
      <c r="B780" s="120" t="s">
        <v>1532</v>
      </c>
      <c r="C780" s="121" t="s">
        <v>1533</v>
      </c>
      <c r="D780" s="122">
        <v>0.9</v>
      </c>
      <c r="E780" s="122">
        <v>1.61</v>
      </c>
      <c r="F780" s="122">
        <v>0.81</v>
      </c>
      <c r="G780" s="122">
        <v>44.735999999999997</v>
      </c>
    </row>
    <row r="781" spans="2:7" x14ac:dyDescent="0.2">
      <c r="B781" s="120" t="s">
        <v>1534</v>
      </c>
      <c r="C781" s="121" t="s">
        <v>1535</v>
      </c>
      <c r="D781" s="122">
        <v>1.1200000000000001</v>
      </c>
      <c r="E781" s="122">
        <v>1.17</v>
      </c>
      <c r="F781" s="122"/>
      <c r="G781" s="122">
        <v>70.170990000000003</v>
      </c>
    </row>
    <row r="782" spans="2:7" x14ac:dyDescent="0.2">
      <c r="B782" s="120" t="s">
        <v>1536</v>
      </c>
      <c r="C782" s="121" t="s">
        <v>1537</v>
      </c>
      <c r="D782" s="122">
        <v>0.98</v>
      </c>
      <c r="E782" s="122">
        <v>2.19</v>
      </c>
      <c r="F782" s="122">
        <v>0.5</v>
      </c>
      <c r="G782" s="122">
        <v>33.389989999999997</v>
      </c>
    </row>
    <row r="783" spans="2:7" x14ac:dyDescent="0.2">
      <c r="B783" s="120" t="s">
        <v>1538</v>
      </c>
      <c r="C783" s="121" t="s">
        <v>1539</v>
      </c>
      <c r="D783" s="122">
        <v>1.47</v>
      </c>
      <c r="E783" s="122">
        <v>2.2200000000000002</v>
      </c>
      <c r="F783" s="122">
        <v>0.19</v>
      </c>
      <c r="G783" s="122">
        <v>16.20599</v>
      </c>
    </row>
    <row r="784" spans="2:7" x14ac:dyDescent="0.2">
      <c r="B784" s="120" t="s">
        <v>1540</v>
      </c>
      <c r="C784" s="121" t="s">
        <v>1541</v>
      </c>
      <c r="D784" s="122">
        <v>9.8000000000000007</v>
      </c>
      <c r="E784" s="122">
        <v>10.59</v>
      </c>
      <c r="F784" s="122">
        <v>0</v>
      </c>
      <c r="G784" s="122">
        <v>9.7999999999999997E-3</v>
      </c>
    </row>
    <row r="785" spans="2:7" x14ac:dyDescent="0.2">
      <c r="B785" s="120" t="s">
        <v>4131</v>
      </c>
      <c r="C785" s="121" t="s">
        <v>4132</v>
      </c>
      <c r="D785" s="122">
        <v>1.8</v>
      </c>
      <c r="E785" s="122">
        <v>1.82</v>
      </c>
      <c r="F785" s="122">
        <v>0.27</v>
      </c>
      <c r="G785" s="122">
        <v>21.34</v>
      </c>
    </row>
    <row r="786" spans="2:7" x14ac:dyDescent="0.2">
      <c r="B786" s="120" t="s">
        <v>1542</v>
      </c>
      <c r="C786" s="121" t="s">
        <v>1543</v>
      </c>
      <c r="D786" s="122">
        <v>0.69</v>
      </c>
      <c r="E786" s="122">
        <v>1.0900000000000001</v>
      </c>
      <c r="F786" s="122">
        <v>0.35</v>
      </c>
      <c r="G786" s="122">
        <v>26.186</v>
      </c>
    </row>
    <row r="787" spans="2:7" x14ac:dyDescent="0.2">
      <c r="B787" s="120" t="s">
        <v>1544</v>
      </c>
      <c r="C787" s="121" t="s">
        <v>1545</v>
      </c>
      <c r="D787" s="122">
        <v>1.28</v>
      </c>
      <c r="E787" s="122">
        <v>4.33</v>
      </c>
      <c r="F787" s="122">
        <v>0.55000000000000004</v>
      </c>
      <c r="G787" s="122">
        <v>35.305990000000001</v>
      </c>
    </row>
    <row r="788" spans="2:7" x14ac:dyDescent="0.2">
      <c r="B788" s="120" t="s">
        <v>1546</v>
      </c>
      <c r="C788" s="121" t="s">
        <v>1547</v>
      </c>
      <c r="D788" s="122">
        <v>3.3</v>
      </c>
      <c r="E788" s="122">
        <v>3.76</v>
      </c>
      <c r="F788" s="122">
        <v>1.1299999999999999</v>
      </c>
      <c r="G788" s="122">
        <v>53.005000000000003</v>
      </c>
    </row>
    <row r="789" spans="2:7" x14ac:dyDescent="0.2">
      <c r="B789" s="120" t="s">
        <v>1548</v>
      </c>
      <c r="C789" s="121" t="s">
        <v>1549</v>
      </c>
      <c r="D789" s="122">
        <v>0.37</v>
      </c>
      <c r="E789" s="122">
        <v>0.62</v>
      </c>
      <c r="F789" s="122">
        <v>1.51</v>
      </c>
      <c r="G789" s="122">
        <v>60.158000000000001</v>
      </c>
    </row>
    <row r="790" spans="2:7" x14ac:dyDescent="0.2">
      <c r="B790" s="120" t="s">
        <v>1550</v>
      </c>
      <c r="C790" s="121" t="s">
        <v>1551</v>
      </c>
      <c r="D790" s="122">
        <v>0.56999999999999995</v>
      </c>
      <c r="E790" s="122">
        <v>0.66</v>
      </c>
      <c r="F790" s="122"/>
      <c r="G790" s="122">
        <v>49.453989999999997</v>
      </c>
    </row>
    <row r="791" spans="2:7" x14ac:dyDescent="0.2">
      <c r="B791" s="120" t="s">
        <v>1552</v>
      </c>
      <c r="C791" s="121" t="s">
        <v>1553</v>
      </c>
      <c r="D791" s="122">
        <v>0.06</v>
      </c>
      <c r="E791" s="122">
        <v>0.06</v>
      </c>
      <c r="F791" s="122">
        <v>0.2</v>
      </c>
      <c r="G791" s="122">
        <v>16.803999999999998</v>
      </c>
    </row>
    <row r="792" spans="2:7" x14ac:dyDescent="0.2">
      <c r="B792" s="120" t="s">
        <v>1554</v>
      </c>
      <c r="C792" s="121" t="s">
        <v>1555</v>
      </c>
      <c r="D792" s="122">
        <v>1.1299999999999999</v>
      </c>
      <c r="E792" s="122">
        <v>1.87</v>
      </c>
      <c r="F792" s="122"/>
      <c r="G792" s="122">
        <v>0</v>
      </c>
    </row>
    <row r="793" spans="2:7" x14ac:dyDescent="0.2">
      <c r="B793" s="120" t="s">
        <v>4133</v>
      </c>
      <c r="C793" s="121" t="s">
        <v>4134</v>
      </c>
      <c r="D793" s="122"/>
      <c r="E793" s="122"/>
      <c r="F793" s="122"/>
      <c r="G793" s="122"/>
    </row>
    <row r="794" spans="2:7" x14ac:dyDescent="0.2">
      <c r="B794" s="120" t="s">
        <v>1556</v>
      </c>
      <c r="C794" s="121" t="s">
        <v>1557</v>
      </c>
      <c r="D794" s="122">
        <v>0.69</v>
      </c>
      <c r="E794" s="122">
        <v>0.59</v>
      </c>
      <c r="F794" s="122">
        <v>0.4</v>
      </c>
      <c r="G794" s="122">
        <v>30.250990000000002</v>
      </c>
    </row>
    <row r="795" spans="2:7" x14ac:dyDescent="0.2">
      <c r="B795" s="120" t="s">
        <v>1558</v>
      </c>
      <c r="C795" s="121" t="s">
        <v>1559</v>
      </c>
      <c r="D795" s="122">
        <v>0.59</v>
      </c>
      <c r="E795" s="122">
        <v>1.1000000000000001</v>
      </c>
      <c r="F795" s="122"/>
      <c r="G795" s="122">
        <v>37.261000000000003</v>
      </c>
    </row>
    <row r="796" spans="2:7" x14ac:dyDescent="0.2">
      <c r="B796" s="120" t="s">
        <v>1560</v>
      </c>
      <c r="C796" s="121" t="s">
        <v>1561</v>
      </c>
      <c r="D796" s="122">
        <v>2.29</v>
      </c>
      <c r="E796" s="122">
        <v>2.2599999999999998</v>
      </c>
      <c r="F796" s="122">
        <v>0.14000000000000001</v>
      </c>
      <c r="G796" s="122">
        <v>12.10599</v>
      </c>
    </row>
    <row r="797" spans="2:7" x14ac:dyDescent="0.2">
      <c r="B797" s="120" t="s">
        <v>1562</v>
      </c>
      <c r="C797" s="121" t="s">
        <v>1563</v>
      </c>
      <c r="D797" s="122">
        <v>1.35</v>
      </c>
      <c r="E797" s="122">
        <v>1.4</v>
      </c>
      <c r="F797" s="122">
        <v>0.59</v>
      </c>
      <c r="G797" s="122">
        <v>36.957000000000001</v>
      </c>
    </row>
    <row r="798" spans="2:7" x14ac:dyDescent="0.2">
      <c r="B798" s="120" t="s">
        <v>1564</v>
      </c>
      <c r="C798" s="121" t="s">
        <v>1565</v>
      </c>
      <c r="D798" s="122">
        <v>6.04</v>
      </c>
      <c r="E798" s="122">
        <v>6.4</v>
      </c>
      <c r="F798" s="122">
        <v>0.02</v>
      </c>
      <c r="G798" s="122">
        <v>1.75779</v>
      </c>
    </row>
    <row r="799" spans="2:7" x14ac:dyDescent="0.2">
      <c r="B799" s="120" t="s">
        <v>1566</v>
      </c>
      <c r="C799" s="121" t="s">
        <v>1567</v>
      </c>
      <c r="D799" s="122">
        <v>3.6</v>
      </c>
      <c r="E799" s="122">
        <v>4.8</v>
      </c>
      <c r="F799" s="122">
        <v>2.78</v>
      </c>
      <c r="G799" s="122">
        <v>73.537999999999997</v>
      </c>
    </row>
    <row r="800" spans="2:7" x14ac:dyDescent="0.2">
      <c r="B800" s="120" t="s">
        <v>1568</v>
      </c>
      <c r="C800" s="121" t="s">
        <v>1569</v>
      </c>
      <c r="D800" s="122">
        <v>1.51</v>
      </c>
      <c r="E800" s="122">
        <v>1.85</v>
      </c>
      <c r="F800" s="122">
        <v>0.54</v>
      </c>
      <c r="G800" s="122">
        <v>31.018989999999999</v>
      </c>
    </row>
    <row r="801" spans="2:7" x14ac:dyDescent="0.2">
      <c r="B801" s="120" t="s">
        <v>1570</v>
      </c>
      <c r="C801" s="121" t="s">
        <v>1571</v>
      </c>
      <c r="D801" s="122">
        <v>0.8</v>
      </c>
      <c r="E801" s="122">
        <v>0.96</v>
      </c>
      <c r="F801" s="122">
        <v>1.56</v>
      </c>
      <c r="G801" s="122">
        <v>60.921999999999997</v>
      </c>
    </row>
    <row r="802" spans="2:7" x14ac:dyDescent="0.2">
      <c r="B802" s="120" t="s">
        <v>1572</v>
      </c>
      <c r="C802" s="121" t="s">
        <v>1573</v>
      </c>
      <c r="D802" s="122">
        <v>5.2</v>
      </c>
      <c r="E802" s="122">
        <v>6.94</v>
      </c>
      <c r="F802" s="122">
        <v>0</v>
      </c>
      <c r="G802" s="122">
        <v>0</v>
      </c>
    </row>
    <row r="803" spans="2:7" x14ac:dyDescent="0.2">
      <c r="B803" s="120" t="s">
        <v>4135</v>
      </c>
      <c r="C803" s="121" t="s">
        <v>4136</v>
      </c>
      <c r="D803" s="122">
        <v>0.96</v>
      </c>
      <c r="E803" s="122">
        <v>0.87</v>
      </c>
      <c r="F803" s="122">
        <v>0.05</v>
      </c>
      <c r="G803" s="122">
        <v>4.6725000000000003</v>
      </c>
    </row>
    <row r="804" spans="2:7" x14ac:dyDescent="0.2">
      <c r="B804" s="120" t="s">
        <v>4137</v>
      </c>
      <c r="C804" s="121" t="s">
        <v>4138</v>
      </c>
      <c r="D804" s="122">
        <v>16.77</v>
      </c>
      <c r="E804" s="122">
        <v>14.89</v>
      </c>
      <c r="F804" s="122">
        <v>0.02</v>
      </c>
      <c r="G804" s="122">
        <v>1.9269000000000001</v>
      </c>
    </row>
    <row r="805" spans="2:7" x14ac:dyDescent="0.2">
      <c r="B805" s="120" t="s">
        <v>1574</v>
      </c>
      <c r="C805" s="121" t="s">
        <v>1575</v>
      </c>
      <c r="D805" s="122">
        <v>1.0900000000000001</v>
      </c>
      <c r="E805" s="122">
        <v>0.89</v>
      </c>
      <c r="F805" s="122"/>
      <c r="G805" s="122">
        <v>42.588999999999999</v>
      </c>
    </row>
    <row r="806" spans="2:7" x14ac:dyDescent="0.2">
      <c r="B806" s="120" t="s">
        <v>1576</v>
      </c>
      <c r="C806" s="121" t="s">
        <v>1577</v>
      </c>
      <c r="D806" s="122">
        <v>1.03</v>
      </c>
      <c r="E806" s="122">
        <v>2.19</v>
      </c>
      <c r="F806" s="122">
        <v>1.18</v>
      </c>
      <c r="G806" s="122">
        <v>55.505000000000003</v>
      </c>
    </row>
    <row r="807" spans="2:7" x14ac:dyDescent="0.2">
      <c r="B807" s="120" t="s">
        <v>1578</v>
      </c>
      <c r="C807" s="121" t="s">
        <v>1579</v>
      </c>
      <c r="D807" s="122">
        <v>3.7</v>
      </c>
      <c r="E807" s="122">
        <v>5.24</v>
      </c>
      <c r="F807" s="122">
        <v>0</v>
      </c>
      <c r="G807" s="122">
        <v>0</v>
      </c>
    </row>
    <row r="808" spans="2:7" x14ac:dyDescent="0.2">
      <c r="B808" s="120" t="s">
        <v>4139</v>
      </c>
      <c r="C808" s="121" t="s">
        <v>4140</v>
      </c>
      <c r="D808" s="122"/>
      <c r="E808" s="122">
        <v>1.4</v>
      </c>
      <c r="F808" s="122">
        <v>1.64</v>
      </c>
      <c r="G808" s="122">
        <v>62.139989999999997</v>
      </c>
    </row>
    <row r="809" spans="2:7" x14ac:dyDescent="0.2">
      <c r="B809" s="120" t="s">
        <v>1580</v>
      </c>
      <c r="C809" s="121" t="s">
        <v>1581</v>
      </c>
      <c r="D809" s="122">
        <v>1.27</v>
      </c>
      <c r="E809" s="122">
        <v>2.72</v>
      </c>
      <c r="F809" s="122">
        <v>0.3</v>
      </c>
      <c r="G809" s="122">
        <v>22.960999999999999</v>
      </c>
    </row>
    <row r="810" spans="2:7" x14ac:dyDescent="0.2">
      <c r="B810" s="120" t="s">
        <v>1582</v>
      </c>
      <c r="C810" s="121" t="s">
        <v>4141</v>
      </c>
      <c r="D810" s="122">
        <v>3.89</v>
      </c>
      <c r="E810" s="122">
        <v>3.98</v>
      </c>
      <c r="F810" s="122">
        <v>7.0000000000000007E-2</v>
      </c>
      <c r="G810" s="122">
        <v>6.4093900000000001</v>
      </c>
    </row>
    <row r="811" spans="2:7" x14ac:dyDescent="0.2">
      <c r="B811" s="120" t="s">
        <v>1582</v>
      </c>
      <c r="C811" s="121" t="s">
        <v>1583</v>
      </c>
      <c r="D811" s="122">
        <v>3.89</v>
      </c>
      <c r="E811" s="122">
        <v>3.98</v>
      </c>
      <c r="F811" s="122">
        <v>7.0000000000000007E-2</v>
      </c>
      <c r="G811" s="122">
        <v>6.4093900000000001</v>
      </c>
    </row>
    <row r="812" spans="2:7" x14ac:dyDescent="0.2">
      <c r="B812" s="120" t="s">
        <v>1584</v>
      </c>
      <c r="C812" s="121" t="s">
        <v>13</v>
      </c>
      <c r="D812" s="122">
        <v>1.07</v>
      </c>
      <c r="E812" s="122">
        <v>3.38</v>
      </c>
      <c r="F812" s="122">
        <v>1.47</v>
      </c>
      <c r="G812" s="122">
        <v>59.487990000000003</v>
      </c>
    </row>
    <row r="813" spans="2:7" x14ac:dyDescent="0.2">
      <c r="B813" s="120" t="s">
        <v>1585</v>
      </c>
      <c r="C813" s="121" t="s">
        <v>1586</v>
      </c>
      <c r="D813" s="122">
        <v>0.67</v>
      </c>
      <c r="E813" s="122">
        <v>1.26</v>
      </c>
      <c r="F813" s="122">
        <v>0.98</v>
      </c>
      <c r="G813" s="122">
        <v>49.366999999999997</v>
      </c>
    </row>
    <row r="814" spans="2:7" x14ac:dyDescent="0.2">
      <c r="B814" s="120" t="s">
        <v>4142</v>
      </c>
      <c r="C814" s="121" t="s">
        <v>4143</v>
      </c>
      <c r="D814" s="122"/>
      <c r="E814" s="122"/>
      <c r="F814" s="122"/>
      <c r="G814" s="122"/>
    </row>
    <row r="815" spans="2:7" x14ac:dyDescent="0.2">
      <c r="B815" s="120" t="s">
        <v>1587</v>
      </c>
      <c r="C815" s="121" t="s">
        <v>1588</v>
      </c>
      <c r="D815" s="122">
        <v>0.64</v>
      </c>
      <c r="E815" s="122">
        <v>1.7</v>
      </c>
      <c r="F815" s="122">
        <v>1.46</v>
      </c>
      <c r="G815" s="122">
        <v>61.366</v>
      </c>
    </row>
    <row r="816" spans="2:7" x14ac:dyDescent="0.2">
      <c r="B816" s="120" t="s">
        <v>1589</v>
      </c>
      <c r="C816" s="121" t="s">
        <v>1590</v>
      </c>
      <c r="D816" s="122">
        <v>1.03</v>
      </c>
      <c r="E816" s="122">
        <v>1.01</v>
      </c>
      <c r="F816" s="122">
        <v>1.2</v>
      </c>
      <c r="G816" s="122">
        <v>54.497999999999998</v>
      </c>
    </row>
    <row r="817" spans="2:7" x14ac:dyDescent="0.2">
      <c r="B817" s="120" t="s">
        <v>4144</v>
      </c>
      <c r="C817" s="121" t="s">
        <v>4145</v>
      </c>
      <c r="D817" s="122">
        <v>1.57</v>
      </c>
      <c r="E817" s="122">
        <v>2.33</v>
      </c>
      <c r="F817" s="122"/>
      <c r="G817" s="122">
        <v>5.3892899999999999</v>
      </c>
    </row>
    <row r="818" spans="2:7" x14ac:dyDescent="0.2">
      <c r="B818" s="120" t="s">
        <v>1591</v>
      </c>
      <c r="C818" s="121" t="s">
        <v>1592</v>
      </c>
      <c r="D818" s="122">
        <v>0.98</v>
      </c>
      <c r="E818" s="122">
        <v>1.46</v>
      </c>
      <c r="F818" s="122">
        <v>1.9</v>
      </c>
      <c r="G818" s="122">
        <v>65.534999999999997</v>
      </c>
    </row>
    <row r="819" spans="2:7" x14ac:dyDescent="0.2">
      <c r="B819" s="120" t="s">
        <v>1593</v>
      </c>
      <c r="C819" s="121" t="s">
        <v>1594</v>
      </c>
      <c r="D819" s="122">
        <v>1.1200000000000001</v>
      </c>
      <c r="E819" s="122">
        <v>1.48</v>
      </c>
      <c r="F819" s="122">
        <v>5.0599999999999996</v>
      </c>
      <c r="G819" s="122">
        <v>83.5</v>
      </c>
    </row>
    <row r="820" spans="2:7" x14ac:dyDescent="0.2">
      <c r="B820" s="120" t="s">
        <v>1595</v>
      </c>
      <c r="C820" s="121" t="s">
        <v>1596</v>
      </c>
      <c r="D820" s="122">
        <v>1.22</v>
      </c>
      <c r="E820" s="122">
        <v>2.68</v>
      </c>
      <c r="F820" s="122">
        <v>1.38</v>
      </c>
      <c r="G820" s="122">
        <v>57.974989999999998</v>
      </c>
    </row>
    <row r="821" spans="2:7" x14ac:dyDescent="0.2">
      <c r="B821" s="120" t="s">
        <v>1597</v>
      </c>
      <c r="C821" s="121" t="s">
        <v>1598</v>
      </c>
      <c r="D821" s="122">
        <v>2.2799999999999998</v>
      </c>
      <c r="E821" s="122">
        <v>2.39</v>
      </c>
      <c r="F821" s="122">
        <v>0.01</v>
      </c>
      <c r="G821" s="122">
        <v>1.1026899999999999</v>
      </c>
    </row>
    <row r="822" spans="2:7" x14ac:dyDescent="0.2">
      <c r="B822" s="120" t="s">
        <v>1599</v>
      </c>
      <c r="C822" s="121" t="s">
        <v>1600</v>
      </c>
      <c r="D822" s="122">
        <v>1.63</v>
      </c>
      <c r="E822" s="122">
        <v>2.42</v>
      </c>
      <c r="F822" s="122">
        <v>0.41</v>
      </c>
      <c r="G822" s="122">
        <v>29.076000000000001</v>
      </c>
    </row>
    <row r="823" spans="2:7" x14ac:dyDescent="0.2">
      <c r="B823" s="120" t="s">
        <v>1601</v>
      </c>
      <c r="C823" s="121" t="s">
        <v>1602</v>
      </c>
      <c r="D823" s="122">
        <v>0.92</v>
      </c>
      <c r="E823" s="122">
        <v>0.85</v>
      </c>
      <c r="F823" s="122">
        <v>2.78</v>
      </c>
      <c r="G823" s="122">
        <v>70.870999999999995</v>
      </c>
    </row>
    <row r="824" spans="2:7" x14ac:dyDescent="0.2">
      <c r="B824" s="120" t="s">
        <v>1603</v>
      </c>
      <c r="C824" s="121" t="s">
        <v>1604</v>
      </c>
      <c r="D824" s="122">
        <v>0.51</v>
      </c>
      <c r="E824" s="122">
        <v>0.71</v>
      </c>
      <c r="F824" s="122">
        <v>7.86</v>
      </c>
      <c r="G824" s="122">
        <v>88.709990000000005</v>
      </c>
    </row>
    <row r="825" spans="2:7" x14ac:dyDescent="0.2">
      <c r="B825" s="120" t="s">
        <v>4146</v>
      </c>
      <c r="C825" s="121" t="s">
        <v>4147</v>
      </c>
      <c r="D825" s="122"/>
      <c r="E825" s="122"/>
      <c r="F825" s="122"/>
      <c r="G825" s="122"/>
    </row>
    <row r="826" spans="2:7" x14ac:dyDescent="0.2">
      <c r="B826" s="120" t="s">
        <v>1605</v>
      </c>
      <c r="C826" s="121" t="s">
        <v>1606</v>
      </c>
      <c r="D826" s="122">
        <v>0.64</v>
      </c>
      <c r="E826" s="122">
        <v>1.33</v>
      </c>
      <c r="F826" s="122">
        <v>1.27</v>
      </c>
      <c r="G826" s="122">
        <v>56.014989999999997</v>
      </c>
    </row>
    <row r="827" spans="2:7" x14ac:dyDescent="0.2">
      <c r="B827" s="120" t="s">
        <v>4148</v>
      </c>
      <c r="C827" s="121" t="s">
        <v>4149</v>
      </c>
      <c r="D827" s="122">
        <v>1.44</v>
      </c>
      <c r="E827" s="122">
        <v>1.72</v>
      </c>
      <c r="F827" s="122"/>
      <c r="G827" s="122">
        <v>24.11899</v>
      </c>
    </row>
    <row r="828" spans="2:7" x14ac:dyDescent="0.2">
      <c r="B828" s="120" t="s">
        <v>1607</v>
      </c>
      <c r="C828" s="121" t="s">
        <v>1608</v>
      </c>
      <c r="D828" s="122"/>
      <c r="E828" s="122">
        <v>8.31</v>
      </c>
      <c r="F828" s="122">
        <v>0.03</v>
      </c>
      <c r="G828" s="122">
        <v>2.7583000000000002</v>
      </c>
    </row>
    <row r="829" spans="2:7" x14ac:dyDescent="0.2">
      <c r="B829" s="120" t="s">
        <v>1609</v>
      </c>
      <c r="C829" s="121" t="s">
        <v>1610</v>
      </c>
      <c r="D829" s="122">
        <v>1.19</v>
      </c>
      <c r="E829" s="122">
        <v>1.0900000000000001</v>
      </c>
      <c r="F829" s="122">
        <v>0.62</v>
      </c>
      <c r="G829" s="122">
        <v>38.198</v>
      </c>
    </row>
    <row r="830" spans="2:7" x14ac:dyDescent="0.2">
      <c r="B830" s="120" t="s">
        <v>1611</v>
      </c>
      <c r="C830" s="121" t="s">
        <v>1612</v>
      </c>
      <c r="D830" s="122"/>
      <c r="E830" s="122">
        <v>6.38</v>
      </c>
      <c r="F830" s="122"/>
      <c r="G830" s="122">
        <v>17.074999999999999</v>
      </c>
    </row>
    <row r="831" spans="2:7" x14ac:dyDescent="0.2">
      <c r="B831" s="120" t="s">
        <v>1613</v>
      </c>
      <c r="C831" s="121" t="s">
        <v>1614</v>
      </c>
      <c r="D831" s="122">
        <v>1.34</v>
      </c>
      <c r="E831" s="122">
        <v>2.38</v>
      </c>
      <c r="F831" s="122">
        <v>0.98</v>
      </c>
      <c r="G831" s="122">
        <v>49.594999999999999</v>
      </c>
    </row>
    <row r="832" spans="2:7" x14ac:dyDescent="0.2">
      <c r="B832" s="120" t="s">
        <v>4150</v>
      </c>
      <c r="C832" s="121" t="s">
        <v>4151</v>
      </c>
      <c r="D832" s="122">
        <v>0.91</v>
      </c>
      <c r="E832" s="122">
        <v>1.51</v>
      </c>
      <c r="F832" s="122"/>
      <c r="G832" s="122">
        <v>27.710999999999999</v>
      </c>
    </row>
    <row r="833" spans="2:7" x14ac:dyDescent="0.2">
      <c r="B833" s="120" t="s">
        <v>1615</v>
      </c>
      <c r="C833" s="121" t="s">
        <v>1616</v>
      </c>
      <c r="D833" s="122">
        <v>1.25</v>
      </c>
      <c r="E833" s="122">
        <v>1.17</v>
      </c>
      <c r="F833" s="122">
        <v>0.56000000000000005</v>
      </c>
      <c r="G833" s="122">
        <v>35.723990000000001</v>
      </c>
    </row>
    <row r="834" spans="2:7" x14ac:dyDescent="0.2">
      <c r="B834" s="120" t="s">
        <v>1617</v>
      </c>
      <c r="C834" s="121" t="s">
        <v>1618</v>
      </c>
      <c r="D834" s="122">
        <v>1.62</v>
      </c>
      <c r="E834" s="122">
        <v>2.1</v>
      </c>
      <c r="F834" s="122">
        <v>0.54</v>
      </c>
      <c r="G834" s="122">
        <v>34.994990000000001</v>
      </c>
    </row>
    <row r="835" spans="2:7" x14ac:dyDescent="0.2">
      <c r="B835" s="120" t="s">
        <v>1619</v>
      </c>
      <c r="C835" s="121" t="s">
        <v>1620</v>
      </c>
      <c r="D835" s="122">
        <v>1.69</v>
      </c>
      <c r="E835" s="122">
        <v>2.2599999999999998</v>
      </c>
      <c r="F835" s="122">
        <v>1.1599999999999999</v>
      </c>
      <c r="G835" s="122">
        <v>53.749000000000002</v>
      </c>
    </row>
    <row r="836" spans="2:7" x14ac:dyDescent="0.2">
      <c r="B836" s="120" t="s">
        <v>1621</v>
      </c>
      <c r="C836" s="121" t="s">
        <v>1622</v>
      </c>
      <c r="D836" s="122">
        <v>2.0699999999999998</v>
      </c>
      <c r="E836" s="122">
        <v>2.64</v>
      </c>
      <c r="F836" s="122">
        <v>0.99</v>
      </c>
      <c r="G836" s="122">
        <v>49.706000000000003</v>
      </c>
    </row>
    <row r="837" spans="2:7" x14ac:dyDescent="0.2">
      <c r="B837" s="120" t="s">
        <v>4152</v>
      </c>
      <c r="C837" s="121" t="s">
        <v>4153</v>
      </c>
      <c r="D837" s="122"/>
      <c r="E837" s="122"/>
      <c r="F837" s="122"/>
      <c r="G837" s="122"/>
    </row>
    <row r="838" spans="2:7" x14ac:dyDescent="0.2">
      <c r="B838" s="120" t="s">
        <v>1623</v>
      </c>
      <c r="C838" s="121" t="s">
        <v>1624</v>
      </c>
      <c r="D838" s="122">
        <v>0.86</v>
      </c>
      <c r="E838" s="122">
        <v>0.9</v>
      </c>
      <c r="F838" s="122">
        <v>0.86</v>
      </c>
      <c r="G838" s="122">
        <v>43.472000000000001</v>
      </c>
    </row>
    <row r="839" spans="2:7" x14ac:dyDescent="0.2">
      <c r="B839" s="120" t="s">
        <v>1625</v>
      </c>
      <c r="C839" s="121" t="s">
        <v>1626</v>
      </c>
      <c r="D839" s="122">
        <v>0.72</v>
      </c>
      <c r="E839" s="122">
        <v>1.77</v>
      </c>
      <c r="F839" s="122">
        <v>3.56</v>
      </c>
      <c r="G839" s="122">
        <v>78.082999999999998</v>
      </c>
    </row>
    <row r="840" spans="2:7" x14ac:dyDescent="0.2">
      <c r="B840" s="120" t="s">
        <v>1627</v>
      </c>
      <c r="C840" s="121" t="s">
        <v>1628</v>
      </c>
      <c r="D840" s="122">
        <v>1.1200000000000001</v>
      </c>
      <c r="E840" s="122">
        <v>1.44</v>
      </c>
      <c r="F840" s="122">
        <v>-19.28</v>
      </c>
      <c r="G840" s="122"/>
    </row>
    <row r="841" spans="2:7" x14ac:dyDescent="0.2">
      <c r="B841" s="120" t="s">
        <v>1629</v>
      </c>
      <c r="C841" s="121" t="s">
        <v>1630</v>
      </c>
      <c r="D841" s="122">
        <v>1.49</v>
      </c>
      <c r="E841" s="122">
        <v>1.88</v>
      </c>
      <c r="F841" s="122">
        <v>0.16</v>
      </c>
      <c r="G841" s="122">
        <v>13.517989999999999</v>
      </c>
    </row>
    <row r="842" spans="2:7" x14ac:dyDescent="0.2">
      <c r="B842" s="120" t="s">
        <v>4154</v>
      </c>
      <c r="C842" s="121" t="s">
        <v>4155</v>
      </c>
      <c r="D842" s="122">
        <v>0.8</v>
      </c>
      <c r="E842" s="122">
        <v>1.27</v>
      </c>
      <c r="F842" s="122">
        <v>0.42</v>
      </c>
      <c r="G842" s="122">
        <v>29.489000000000001</v>
      </c>
    </row>
    <row r="843" spans="2:7" x14ac:dyDescent="0.2">
      <c r="B843" s="120" t="s">
        <v>1631</v>
      </c>
      <c r="C843" s="121" t="s">
        <v>1632</v>
      </c>
      <c r="D843" s="122">
        <v>0.64</v>
      </c>
      <c r="E843" s="122">
        <v>0.9</v>
      </c>
      <c r="F843" s="122">
        <v>0.95</v>
      </c>
      <c r="G843" s="122">
        <v>48.726999999999997</v>
      </c>
    </row>
    <row r="844" spans="2:7" x14ac:dyDescent="0.2">
      <c r="B844" s="120" t="s">
        <v>1633</v>
      </c>
      <c r="C844" s="121" t="s">
        <v>1634</v>
      </c>
      <c r="D844" s="122">
        <v>0.28000000000000003</v>
      </c>
      <c r="E844" s="122">
        <v>1.1000000000000001</v>
      </c>
      <c r="F844" s="122">
        <v>-27.87</v>
      </c>
      <c r="G844" s="122"/>
    </row>
    <row r="845" spans="2:7" x14ac:dyDescent="0.2">
      <c r="B845" s="120" t="s">
        <v>1635</v>
      </c>
      <c r="C845" s="121" t="s">
        <v>1636</v>
      </c>
      <c r="D845" s="122">
        <v>0.96</v>
      </c>
      <c r="E845" s="122">
        <v>0.96</v>
      </c>
      <c r="F845" s="122"/>
      <c r="G845" s="122">
        <v>38.972990000000003</v>
      </c>
    </row>
    <row r="846" spans="2:7" x14ac:dyDescent="0.2">
      <c r="B846" s="120" t="s">
        <v>4156</v>
      </c>
      <c r="C846" s="121" t="s">
        <v>4157</v>
      </c>
      <c r="D846" s="122">
        <v>0.87</v>
      </c>
      <c r="E846" s="122">
        <v>0.93</v>
      </c>
      <c r="F846" s="122">
        <v>0.46</v>
      </c>
      <c r="G846" s="122">
        <v>31.684989999999999</v>
      </c>
    </row>
    <row r="847" spans="2:7" x14ac:dyDescent="0.2">
      <c r="B847" s="120" t="s">
        <v>1637</v>
      </c>
      <c r="C847" s="121" t="s">
        <v>1638</v>
      </c>
      <c r="D847" s="122">
        <v>1.1000000000000001</v>
      </c>
      <c r="E847" s="122">
        <v>2.0499999999999998</v>
      </c>
      <c r="F847" s="122">
        <v>1.66</v>
      </c>
      <c r="G847" s="122">
        <v>62.372</v>
      </c>
    </row>
    <row r="848" spans="2:7" x14ac:dyDescent="0.2">
      <c r="B848" s="120" t="s">
        <v>1639</v>
      </c>
      <c r="C848" s="121" t="s">
        <v>1640</v>
      </c>
      <c r="D848" s="122">
        <v>0.08</v>
      </c>
      <c r="E848" s="122">
        <v>0.08</v>
      </c>
      <c r="F848" s="122">
        <v>0.96</v>
      </c>
      <c r="G848" s="122">
        <v>49.259990000000002</v>
      </c>
    </row>
    <row r="849" spans="2:7" x14ac:dyDescent="0.2">
      <c r="B849" s="120" t="s">
        <v>1641</v>
      </c>
      <c r="C849" s="121" t="s">
        <v>1642</v>
      </c>
      <c r="D849" s="122">
        <v>1.08</v>
      </c>
      <c r="E849" s="122">
        <v>1.26</v>
      </c>
      <c r="F849" s="122"/>
      <c r="G849" s="122">
        <v>19.965</v>
      </c>
    </row>
    <row r="850" spans="2:7" x14ac:dyDescent="0.2">
      <c r="B850" s="120" t="s">
        <v>1643</v>
      </c>
      <c r="C850" s="121" t="s">
        <v>1644</v>
      </c>
      <c r="D850" s="122">
        <v>1.18</v>
      </c>
      <c r="E850" s="122">
        <v>2.98</v>
      </c>
      <c r="F850" s="122">
        <v>0.39</v>
      </c>
      <c r="G850" s="122">
        <v>33.237990000000003</v>
      </c>
    </row>
    <row r="851" spans="2:7" x14ac:dyDescent="0.2">
      <c r="B851" s="120" t="s">
        <v>1643</v>
      </c>
      <c r="C851" s="121" t="s">
        <v>4158</v>
      </c>
      <c r="D851" s="122"/>
      <c r="E851" s="122">
        <v>2.98</v>
      </c>
      <c r="F851" s="122">
        <v>0.39</v>
      </c>
      <c r="G851" s="122">
        <v>33.237990000000003</v>
      </c>
    </row>
    <row r="852" spans="2:7" x14ac:dyDescent="0.2">
      <c r="B852" s="120" t="s">
        <v>1645</v>
      </c>
      <c r="C852" s="121" t="s">
        <v>1646</v>
      </c>
      <c r="D852" s="122">
        <v>0.68</v>
      </c>
      <c r="E852" s="122">
        <v>0.87</v>
      </c>
      <c r="F852" s="122"/>
      <c r="G852" s="122">
        <v>44.831000000000003</v>
      </c>
    </row>
    <row r="853" spans="2:7" x14ac:dyDescent="0.2">
      <c r="B853" s="120" t="s">
        <v>1647</v>
      </c>
      <c r="C853" s="121" t="s">
        <v>1648</v>
      </c>
      <c r="D853" s="122">
        <v>0.97</v>
      </c>
      <c r="E853" s="122">
        <v>2.2000000000000002</v>
      </c>
      <c r="F853" s="122"/>
      <c r="G853" s="122">
        <v>25.93899</v>
      </c>
    </row>
    <row r="854" spans="2:7" x14ac:dyDescent="0.2">
      <c r="B854" s="120" t="s">
        <v>1649</v>
      </c>
      <c r="C854" s="121" t="s">
        <v>1650</v>
      </c>
      <c r="D854" s="122">
        <v>0.73</v>
      </c>
      <c r="E854" s="122">
        <v>0.95</v>
      </c>
      <c r="F854" s="122">
        <v>0.06</v>
      </c>
      <c r="G854" s="122">
        <v>5.5995900000000001</v>
      </c>
    </row>
    <row r="855" spans="2:7" x14ac:dyDescent="0.2">
      <c r="B855" s="120" t="s">
        <v>1651</v>
      </c>
      <c r="C855" s="121" t="s">
        <v>1652</v>
      </c>
      <c r="D855" s="122">
        <v>1.91</v>
      </c>
      <c r="E855" s="122">
        <v>1.58</v>
      </c>
      <c r="F855" s="122">
        <v>0.68</v>
      </c>
      <c r="G855" s="122">
        <v>40.445990000000002</v>
      </c>
    </row>
    <row r="856" spans="2:7" x14ac:dyDescent="0.2">
      <c r="B856" s="120" t="s">
        <v>1653</v>
      </c>
      <c r="C856" s="121" t="s">
        <v>1654</v>
      </c>
      <c r="D856" s="122">
        <v>1.66</v>
      </c>
      <c r="E856" s="122">
        <v>2.08</v>
      </c>
      <c r="F856" s="122">
        <v>0.43</v>
      </c>
      <c r="G856" s="122">
        <v>29.92099</v>
      </c>
    </row>
    <row r="857" spans="2:7" x14ac:dyDescent="0.2">
      <c r="B857" s="120" t="s">
        <v>4159</v>
      </c>
      <c r="C857" s="121" t="s">
        <v>4160</v>
      </c>
      <c r="D857" s="122">
        <v>1.34</v>
      </c>
      <c r="E857" s="122">
        <v>1.34</v>
      </c>
      <c r="F857" s="122"/>
      <c r="G857" s="122">
        <v>3.95079</v>
      </c>
    </row>
    <row r="858" spans="2:7" x14ac:dyDescent="0.2">
      <c r="B858" s="120" t="s">
        <v>1655</v>
      </c>
      <c r="C858" s="121" t="s">
        <v>1656</v>
      </c>
      <c r="D858" s="122">
        <v>1.24</v>
      </c>
      <c r="E858" s="122">
        <v>1.64</v>
      </c>
      <c r="F858" s="122">
        <v>1.04</v>
      </c>
      <c r="G858" s="122">
        <v>51.035989999999998</v>
      </c>
    </row>
    <row r="859" spans="2:7" x14ac:dyDescent="0.2">
      <c r="B859" s="120" t="s">
        <v>1657</v>
      </c>
      <c r="C859" s="121" t="s">
        <v>1658</v>
      </c>
      <c r="D859" s="122">
        <v>0.32</v>
      </c>
      <c r="E859" s="122">
        <v>0.28000000000000003</v>
      </c>
      <c r="F859" s="122">
        <v>0.27</v>
      </c>
      <c r="G859" s="122">
        <v>20.93899</v>
      </c>
    </row>
    <row r="860" spans="2:7" x14ac:dyDescent="0.2">
      <c r="B860" s="120" t="s">
        <v>1659</v>
      </c>
      <c r="C860" s="121" t="s">
        <v>1660</v>
      </c>
      <c r="D860" s="122">
        <v>0.88</v>
      </c>
      <c r="E860" s="122">
        <v>1.1200000000000001</v>
      </c>
      <c r="F860" s="122">
        <v>1.1499999999999999</v>
      </c>
      <c r="G860" s="122">
        <v>53.551990000000004</v>
      </c>
    </row>
    <row r="861" spans="2:7" x14ac:dyDescent="0.2">
      <c r="B861" s="120" t="s">
        <v>1661</v>
      </c>
      <c r="C861" s="121" t="s">
        <v>1662</v>
      </c>
      <c r="D861" s="122">
        <v>0.73</v>
      </c>
      <c r="E861" s="122">
        <v>1.1399999999999999</v>
      </c>
      <c r="F861" s="122"/>
      <c r="G861" s="122">
        <v>6.2272999999999996</v>
      </c>
    </row>
    <row r="862" spans="2:7" x14ac:dyDescent="0.2">
      <c r="B862" s="120" t="s">
        <v>1663</v>
      </c>
      <c r="C862" s="121" t="s">
        <v>1664</v>
      </c>
      <c r="D862" s="122">
        <v>1.2</v>
      </c>
      <c r="E862" s="122">
        <v>1.0900000000000001</v>
      </c>
      <c r="F862" s="122">
        <v>0.99</v>
      </c>
      <c r="G862" s="122">
        <v>50.715989999999998</v>
      </c>
    </row>
    <row r="863" spans="2:7" x14ac:dyDescent="0.2">
      <c r="B863" s="120" t="s">
        <v>1665</v>
      </c>
      <c r="C863" s="121" t="s">
        <v>1666</v>
      </c>
      <c r="D863" s="122">
        <v>1.28</v>
      </c>
      <c r="E863" s="122">
        <v>1.87</v>
      </c>
      <c r="F863" s="122"/>
      <c r="G863" s="122">
        <v>24.878</v>
      </c>
    </row>
    <row r="864" spans="2:7" x14ac:dyDescent="0.2">
      <c r="B864" s="120" t="s">
        <v>1667</v>
      </c>
      <c r="C864" s="121" t="s">
        <v>1668</v>
      </c>
      <c r="D864" s="122">
        <v>2.16</v>
      </c>
      <c r="E864" s="122">
        <v>1.97</v>
      </c>
      <c r="F864" s="122">
        <v>0.23</v>
      </c>
      <c r="G864" s="122">
        <v>18.613</v>
      </c>
    </row>
    <row r="865" spans="2:7" x14ac:dyDescent="0.2">
      <c r="B865" s="120" t="s">
        <v>1669</v>
      </c>
      <c r="C865" s="121" t="s">
        <v>1670</v>
      </c>
      <c r="D865" s="122">
        <v>0.9</v>
      </c>
      <c r="E865" s="122">
        <v>1.26</v>
      </c>
      <c r="F865" s="122">
        <v>-3.63</v>
      </c>
      <c r="G865" s="122"/>
    </row>
    <row r="866" spans="2:7" x14ac:dyDescent="0.2">
      <c r="B866" s="120" t="s">
        <v>1671</v>
      </c>
      <c r="C866" s="121" t="s">
        <v>1672</v>
      </c>
      <c r="D866" s="122">
        <v>0.76</v>
      </c>
      <c r="E866" s="122">
        <v>1.01</v>
      </c>
      <c r="F866" s="122">
        <v>0.18</v>
      </c>
      <c r="G866" s="122">
        <v>15.57699</v>
      </c>
    </row>
    <row r="867" spans="2:7" x14ac:dyDescent="0.2">
      <c r="B867" s="120" t="s">
        <v>1673</v>
      </c>
      <c r="C867" s="121" t="s">
        <v>1674</v>
      </c>
      <c r="D867" s="122">
        <v>1.6</v>
      </c>
      <c r="E867" s="122">
        <v>2.2799999999999998</v>
      </c>
      <c r="F867" s="122"/>
      <c r="G867" s="122">
        <v>20.541</v>
      </c>
    </row>
    <row r="868" spans="2:7" x14ac:dyDescent="0.2">
      <c r="B868" s="120" t="s">
        <v>1675</v>
      </c>
      <c r="C868" s="121" t="s">
        <v>1676</v>
      </c>
      <c r="D868" s="122">
        <v>1.92</v>
      </c>
      <c r="E868" s="122">
        <v>2.35</v>
      </c>
      <c r="F868" s="122">
        <v>0.46</v>
      </c>
      <c r="G868" s="122">
        <v>31.476990000000001</v>
      </c>
    </row>
    <row r="869" spans="2:7" x14ac:dyDescent="0.2">
      <c r="B869" s="120" t="s">
        <v>4161</v>
      </c>
      <c r="C869" s="121" t="s">
        <v>4162</v>
      </c>
      <c r="D869" s="122">
        <v>1.5</v>
      </c>
      <c r="E869" s="122">
        <v>1.5</v>
      </c>
      <c r="F869" s="122"/>
      <c r="G869" s="122">
        <v>14.74699</v>
      </c>
    </row>
    <row r="870" spans="2:7" x14ac:dyDescent="0.2">
      <c r="B870" s="120" t="s">
        <v>1677</v>
      </c>
      <c r="C870" s="121" t="s">
        <v>1678</v>
      </c>
      <c r="D870" s="122">
        <v>0.76</v>
      </c>
      <c r="E870" s="122">
        <v>0.8</v>
      </c>
      <c r="F870" s="122">
        <v>-384.26</v>
      </c>
      <c r="G870" s="122">
        <v>98.736000000000004</v>
      </c>
    </row>
    <row r="871" spans="2:7" x14ac:dyDescent="0.2">
      <c r="B871" s="120" t="s">
        <v>4163</v>
      </c>
      <c r="C871" s="121" t="s">
        <v>4164</v>
      </c>
      <c r="D871" s="122">
        <v>0.85</v>
      </c>
      <c r="E871" s="122">
        <v>0.87</v>
      </c>
      <c r="F871" s="122"/>
      <c r="G871" s="122">
        <v>38.01699</v>
      </c>
    </row>
    <row r="872" spans="2:7" x14ac:dyDescent="0.2">
      <c r="B872" s="120" t="s">
        <v>1679</v>
      </c>
      <c r="C872" s="121" t="s">
        <v>1680</v>
      </c>
      <c r="D872" s="122">
        <v>1.31</v>
      </c>
      <c r="E872" s="122">
        <v>1.32</v>
      </c>
      <c r="F872" s="122"/>
      <c r="G872" s="122">
        <v>3.3803899999999998</v>
      </c>
    </row>
    <row r="873" spans="2:7" x14ac:dyDescent="0.2">
      <c r="B873" s="120" t="s">
        <v>1681</v>
      </c>
      <c r="C873" s="121" t="s">
        <v>1682</v>
      </c>
      <c r="D873" s="122">
        <v>0.96</v>
      </c>
      <c r="E873" s="122">
        <v>1.26</v>
      </c>
      <c r="F873" s="122">
        <v>0.49</v>
      </c>
      <c r="G873" s="122">
        <v>32.89199</v>
      </c>
    </row>
    <row r="874" spans="2:7" x14ac:dyDescent="0.2">
      <c r="B874" s="120" t="s">
        <v>1683</v>
      </c>
      <c r="C874" s="121" t="s">
        <v>1684</v>
      </c>
      <c r="D874" s="122">
        <v>4.4000000000000004</v>
      </c>
      <c r="E874" s="122">
        <v>6.72</v>
      </c>
      <c r="F874" s="122">
        <v>0.32</v>
      </c>
      <c r="G874" s="122">
        <v>24.378</v>
      </c>
    </row>
    <row r="875" spans="2:7" x14ac:dyDescent="0.2">
      <c r="B875" s="120" t="s">
        <v>4165</v>
      </c>
      <c r="C875" s="121" t="s">
        <v>4166</v>
      </c>
      <c r="D875" s="122">
        <v>1.73</v>
      </c>
      <c r="E875" s="122">
        <v>1.73</v>
      </c>
      <c r="F875" s="122"/>
      <c r="G875" s="122">
        <v>9.75</v>
      </c>
    </row>
    <row r="876" spans="2:7" x14ac:dyDescent="0.2">
      <c r="B876" s="120" t="s">
        <v>4167</v>
      </c>
      <c r="C876" s="121" t="s">
        <v>4168</v>
      </c>
      <c r="D876" s="122">
        <v>1.23</v>
      </c>
      <c r="E876" s="122">
        <v>1.23</v>
      </c>
      <c r="F876" s="122"/>
      <c r="G876" s="122">
        <v>15.32999</v>
      </c>
    </row>
    <row r="877" spans="2:7" x14ac:dyDescent="0.2">
      <c r="B877" s="120" t="s">
        <v>4169</v>
      </c>
      <c r="C877" s="121" t="s">
        <v>4170</v>
      </c>
      <c r="D877" s="122">
        <v>0.54</v>
      </c>
      <c r="E877" s="122">
        <v>1.18</v>
      </c>
      <c r="F877" s="122"/>
      <c r="G877" s="122">
        <v>0</v>
      </c>
    </row>
    <row r="878" spans="2:7" x14ac:dyDescent="0.2">
      <c r="B878" s="120" t="s">
        <v>1685</v>
      </c>
      <c r="C878" s="121" t="s">
        <v>1686</v>
      </c>
      <c r="D878" s="122">
        <v>0.38</v>
      </c>
      <c r="E878" s="122">
        <v>0.41</v>
      </c>
      <c r="F878" s="122">
        <v>1.19</v>
      </c>
      <c r="G878" s="122">
        <v>54.424990000000001</v>
      </c>
    </row>
    <row r="879" spans="2:7" x14ac:dyDescent="0.2">
      <c r="B879" s="120" t="s">
        <v>1687</v>
      </c>
      <c r="C879" s="121" t="s">
        <v>1688</v>
      </c>
      <c r="D879" s="122">
        <v>3.84</v>
      </c>
      <c r="E879" s="122">
        <v>4.55</v>
      </c>
      <c r="F879" s="122"/>
      <c r="G879" s="122">
        <v>0.14380999999999999</v>
      </c>
    </row>
    <row r="880" spans="2:7" x14ac:dyDescent="0.2">
      <c r="B880" s="120" t="s">
        <v>1689</v>
      </c>
      <c r="C880" s="121" t="s">
        <v>1690</v>
      </c>
      <c r="D880" s="122">
        <v>1.0900000000000001</v>
      </c>
      <c r="E880" s="122">
        <v>1.1499999999999999</v>
      </c>
      <c r="F880" s="122">
        <v>2.4500000000000002</v>
      </c>
      <c r="G880" s="122">
        <v>71.046989999999994</v>
      </c>
    </row>
    <row r="881" spans="2:7" x14ac:dyDescent="0.2">
      <c r="B881" s="120" t="s">
        <v>4171</v>
      </c>
      <c r="C881" s="121" t="s">
        <v>4172</v>
      </c>
      <c r="D881" s="122">
        <v>0.69</v>
      </c>
      <c r="E881" s="122">
        <v>0.79</v>
      </c>
      <c r="F881" s="122"/>
      <c r="G881" s="122">
        <v>28.229990000000001</v>
      </c>
    </row>
    <row r="882" spans="2:7" x14ac:dyDescent="0.2">
      <c r="B882" s="120" t="s">
        <v>1691</v>
      </c>
      <c r="C882" s="121" t="s">
        <v>1692</v>
      </c>
      <c r="D882" s="122">
        <v>0.95</v>
      </c>
      <c r="E882" s="122">
        <v>1.57</v>
      </c>
      <c r="F882" s="122">
        <v>1.27</v>
      </c>
      <c r="G882" s="122">
        <v>55.914000000000001</v>
      </c>
    </row>
    <row r="883" spans="2:7" x14ac:dyDescent="0.2">
      <c r="B883" s="120" t="s">
        <v>1693</v>
      </c>
      <c r="C883" s="121" t="s">
        <v>1694</v>
      </c>
      <c r="D883" s="122">
        <v>1.05</v>
      </c>
      <c r="E883" s="122">
        <v>1</v>
      </c>
      <c r="F883" s="122">
        <v>0.52</v>
      </c>
      <c r="G883" s="122">
        <v>34.380000000000003</v>
      </c>
    </row>
    <row r="884" spans="2:7" x14ac:dyDescent="0.2">
      <c r="B884" s="120" t="s">
        <v>1695</v>
      </c>
      <c r="C884" s="121" t="s">
        <v>1696</v>
      </c>
      <c r="D884" s="122">
        <v>1.06</v>
      </c>
      <c r="E884" s="122">
        <v>1.19</v>
      </c>
      <c r="F884" s="122">
        <v>0.48</v>
      </c>
      <c r="G884" s="122">
        <v>32.295999999999999</v>
      </c>
    </row>
    <row r="885" spans="2:7" x14ac:dyDescent="0.2">
      <c r="B885" s="120" t="s">
        <v>1697</v>
      </c>
      <c r="C885" s="121" t="s">
        <v>1698</v>
      </c>
      <c r="D885" s="122">
        <v>2.54</v>
      </c>
      <c r="E885" s="122">
        <v>2.86</v>
      </c>
      <c r="F885" s="122">
        <v>0.12</v>
      </c>
      <c r="G885" s="122">
        <v>10.71899</v>
      </c>
    </row>
    <row r="886" spans="2:7" x14ac:dyDescent="0.2">
      <c r="B886" s="120" t="s">
        <v>1699</v>
      </c>
      <c r="C886" s="121" t="s">
        <v>1700</v>
      </c>
      <c r="D886" s="122">
        <v>0.86</v>
      </c>
      <c r="E886" s="122">
        <v>0.88</v>
      </c>
      <c r="F886" s="122">
        <v>0.59</v>
      </c>
      <c r="G886" s="122">
        <v>37.287990000000001</v>
      </c>
    </row>
    <row r="887" spans="2:7" x14ac:dyDescent="0.2">
      <c r="B887" s="120" t="s">
        <v>1701</v>
      </c>
      <c r="C887" s="121" t="s">
        <v>1702</v>
      </c>
      <c r="D887" s="122">
        <v>1.28</v>
      </c>
      <c r="E887" s="122">
        <v>1.02</v>
      </c>
      <c r="F887" s="122">
        <v>0.89</v>
      </c>
      <c r="G887" s="122">
        <v>48.020989999999998</v>
      </c>
    </row>
    <row r="888" spans="2:7" x14ac:dyDescent="0.2">
      <c r="B888" s="120" t="s">
        <v>1703</v>
      </c>
      <c r="C888" s="121" t="s">
        <v>1704</v>
      </c>
      <c r="D888" s="122">
        <v>0.61</v>
      </c>
      <c r="E888" s="122">
        <v>0.8</v>
      </c>
      <c r="F888" s="122">
        <v>-4.18</v>
      </c>
      <c r="G888" s="122"/>
    </row>
    <row r="889" spans="2:7" x14ac:dyDescent="0.2">
      <c r="B889" s="120" t="s">
        <v>1705</v>
      </c>
      <c r="C889" s="121" t="s">
        <v>1706</v>
      </c>
      <c r="D889" s="122">
        <v>0.36</v>
      </c>
      <c r="E889" s="122">
        <v>0.18</v>
      </c>
      <c r="F889" s="122">
        <v>1.54</v>
      </c>
      <c r="G889" s="122">
        <v>60.615000000000002</v>
      </c>
    </row>
    <row r="890" spans="2:7" x14ac:dyDescent="0.2">
      <c r="B890" s="120" t="s">
        <v>1707</v>
      </c>
      <c r="C890" s="121" t="s">
        <v>1708</v>
      </c>
      <c r="D890" s="122">
        <v>13.58</v>
      </c>
      <c r="E890" s="122">
        <v>22.98</v>
      </c>
      <c r="F890" s="122">
        <v>0.04</v>
      </c>
      <c r="G890" s="122">
        <v>3.3875000000000002</v>
      </c>
    </row>
    <row r="891" spans="2:7" x14ac:dyDescent="0.2">
      <c r="B891" s="120" t="s">
        <v>4173</v>
      </c>
      <c r="C891" s="121" t="s">
        <v>4174</v>
      </c>
      <c r="D891" s="122">
        <v>0.1</v>
      </c>
      <c r="E891" s="122">
        <v>0.13</v>
      </c>
      <c r="F891" s="122">
        <v>0.82</v>
      </c>
      <c r="G891" s="122">
        <v>44.914999999999999</v>
      </c>
    </row>
    <row r="892" spans="2:7" x14ac:dyDescent="0.2">
      <c r="B892" s="120" t="s">
        <v>1709</v>
      </c>
      <c r="C892" s="121" t="s">
        <v>1710</v>
      </c>
      <c r="D892" s="122">
        <v>2.16</v>
      </c>
      <c r="E892" s="122">
        <v>1.29</v>
      </c>
      <c r="F892" s="122">
        <v>6.14</v>
      </c>
      <c r="G892" s="122">
        <v>85.998000000000005</v>
      </c>
    </row>
    <row r="893" spans="2:7" x14ac:dyDescent="0.2">
      <c r="B893" s="120" t="s">
        <v>1711</v>
      </c>
      <c r="C893" s="121" t="s">
        <v>1712</v>
      </c>
      <c r="D893" s="122">
        <v>1.3</v>
      </c>
      <c r="E893" s="122">
        <v>1.51</v>
      </c>
      <c r="F893" s="122">
        <v>1.1200000000000001</v>
      </c>
      <c r="G893" s="122">
        <v>52.88899</v>
      </c>
    </row>
    <row r="894" spans="2:7" x14ac:dyDescent="0.2">
      <c r="B894" s="120" t="s">
        <v>4175</v>
      </c>
      <c r="C894" s="121" t="s">
        <v>4176</v>
      </c>
      <c r="D894" s="122">
        <v>1.49</v>
      </c>
      <c r="E894" s="122">
        <v>1.95</v>
      </c>
      <c r="F894" s="122"/>
      <c r="G894" s="122">
        <v>9.1469999999999996E-2</v>
      </c>
    </row>
    <row r="895" spans="2:7" x14ac:dyDescent="0.2">
      <c r="B895" s="120" t="s">
        <v>1713</v>
      </c>
      <c r="C895" s="121" t="s">
        <v>1714</v>
      </c>
      <c r="D895" s="122">
        <v>1.81</v>
      </c>
      <c r="E895" s="122">
        <v>1.81</v>
      </c>
      <c r="F895" s="122">
        <v>0</v>
      </c>
      <c r="G895" s="122">
        <v>0</v>
      </c>
    </row>
    <row r="896" spans="2:7" x14ac:dyDescent="0.2">
      <c r="B896" s="120" t="s">
        <v>1715</v>
      </c>
      <c r="C896" s="121" t="s">
        <v>1716</v>
      </c>
      <c r="D896" s="122">
        <v>0.95</v>
      </c>
      <c r="E896" s="122">
        <v>2.09</v>
      </c>
      <c r="F896" s="122">
        <v>0.04</v>
      </c>
      <c r="G896" s="122">
        <v>4.0707899999999997</v>
      </c>
    </row>
    <row r="897" spans="2:7" x14ac:dyDescent="0.2">
      <c r="B897" s="120" t="s">
        <v>1717</v>
      </c>
      <c r="C897" s="121" t="s">
        <v>1718</v>
      </c>
      <c r="D897" s="122">
        <v>0.91</v>
      </c>
      <c r="E897" s="122">
        <v>0.89</v>
      </c>
      <c r="F897" s="122">
        <v>0.63</v>
      </c>
      <c r="G897" s="122">
        <v>38.652000000000001</v>
      </c>
    </row>
    <row r="898" spans="2:7" x14ac:dyDescent="0.2">
      <c r="B898" s="120" t="s">
        <v>1719</v>
      </c>
      <c r="C898" s="121" t="s">
        <v>1720</v>
      </c>
      <c r="D898" s="122">
        <v>0.68</v>
      </c>
      <c r="E898" s="122">
        <v>1.7</v>
      </c>
      <c r="F898" s="122">
        <v>0.33</v>
      </c>
      <c r="G898" s="122">
        <v>29.457999999999998</v>
      </c>
    </row>
    <row r="899" spans="2:7" x14ac:dyDescent="0.2">
      <c r="B899" s="120" t="s">
        <v>1721</v>
      </c>
      <c r="C899" s="121" t="s">
        <v>1722</v>
      </c>
      <c r="D899" s="122">
        <v>0.83</v>
      </c>
      <c r="E899" s="122">
        <v>0.84</v>
      </c>
      <c r="F899" s="122">
        <v>0.21</v>
      </c>
      <c r="G899" s="122">
        <v>17.309000000000001</v>
      </c>
    </row>
    <row r="900" spans="2:7" x14ac:dyDescent="0.2">
      <c r="B900" s="120" t="s">
        <v>1723</v>
      </c>
      <c r="C900" s="121" t="s">
        <v>1724</v>
      </c>
      <c r="D900" s="122">
        <v>5.51</v>
      </c>
      <c r="E900" s="122">
        <v>5.12</v>
      </c>
      <c r="F900" s="122">
        <v>0.52</v>
      </c>
      <c r="G900" s="122">
        <v>34.889989999999997</v>
      </c>
    </row>
    <row r="901" spans="2:7" x14ac:dyDescent="0.2">
      <c r="B901" s="120" t="s">
        <v>1725</v>
      </c>
      <c r="C901" s="121" t="s">
        <v>1726</v>
      </c>
      <c r="D901" s="122">
        <v>0.6</v>
      </c>
      <c r="E901" s="122">
        <v>0.88</v>
      </c>
      <c r="F901" s="122">
        <v>1.71</v>
      </c>
      <c r="G901" s="122">
        <v>63.165999999999997</v>
      </c>
    </row>
    <row r="902" spans="2:7" x14ac:dyDescent="0.2">
      <c r="B902" s="120" t="s">
        <v>1727</v>
      </c>
      <c r="C902" s="121" t="s">
        <v>1728</v>
      </c>
      <c r="D902" s="122">
        <v>1.21</v>
      </c>
      <c r="E902" s="122">
        <v>1.41</v>
      </c>
      <c r="F902" s="122">
        <v>0.79</v>
      </c>
      <c r="G902" s="122">
        <v>44.273989999999998</v>
      </c>
    </row>
    <row r="903" spans="2:7" x14ac:dyDescent="0.2">
      <c r="B903" s="120" t="s">
        <v>4177</v>
      </c>
      <c r="C903" s="121" t="s">
        <v>4178</v>
      </c>
      <c r="D903" s="122">
        <v>0.74</v>
      </c>
      <c r="E903" s="122">
        <v>1.43</v>
      </c>
      <c r="F903" s="122"/>
      <c r="G903" s="122">
        <v>19.965</v>
      </c>
    </row>
    <row r="904" spans="2:7" x14ac:dyDescent="0.2">
      <c r="B904" s="120" t="s">
        <v>1729</v>
      </c>
      <c r="C904" s="121" t="s">
        <v>1730</v>
      </c>
      <c r="D904" s="122">
        <v>1.02</v>
      </c>
      <c r="E904" s="122">
        <v>1.38</v>
      </c>
      <c r="F904" s="122">
        <v>0.2</v>
      </c>
      <c r="G904" s="122">
        <v>16.638000000000002</v>
      </c>
    </row>
    <row r="905" spans="2:7" x14ac:dyDescent="0.2">
      <c r="B905" s="120" t="s">
        <v>1731</v>
      </c>
      <c r="C905" s="121" t="s">
        <v>1732</v>
      </c>
      <c r="D905" s="122">
        <v>1.1599999999999999</v>
      </c>
      <c r="E905" s="122">
        <v>0.53</v>
      </c>
      <c r="F905" s="122">
        <v>3.46</v>
      </c>
      <c r="G905" s="122">
        <v>77.581000000000003</v>
      </c>
    </row>
    <row r="906" spans="2:7" x14ac:dyDescent="0.2">
      <c r="B906" s="120" t="s">
        <v>1733</v>
      </c>
      <c r="C906" s="121" t="s">
        <v>1734</v>
      </c>
      <c r="D906" s="122">
        <v>1.18</v>
      </c>
      <c r="E906" s="122">
        <v>1.98</v>
      </c>
      <c r="F906" s="122">
        <v>0.93</v>
      </c>
      <c r="G906" s="122">
        <v>48.152000000000001</v>
      </c>
    </row>
    <row r="907" spans="2:7" x14ac:dyDescent="0.2">
      <c r="B907" s="120" t="s">
        <v>1735</v>
      </c>
      <c r="C907" s="121" t="s">
        <v>1736</v>
      </c>
      <c r="D907" s="122">
        <v>3.01</v>
      </c>
      <c r="E907" s="122">
        <v>3.97</v>
      </c>
      <c r="F907" s="122">
        <v>0.91</v>
      </c>
      <c r="G907" s="122">
        <v>47.71799</v>
      </c>
    </row>
    <row r="908" spans="2:7" x14ac:dyDescent="0.2">
      <c r="B908" s="120" t="s">
        <v>1737</v>
      </c>
      <c r="C908" s="121" t="s">
        <v>1738</v>
      </c>
      <c r="D908" s="122">
        <v>1.68</v>
      </c>
      <c r="E908" s="122">
        <v>1.75</v>
      </c>
      <c r="F908" s="122">
        <v>0.37</v>
      </c>
      <c r="G908" s="122">
        <v>26.937000000000001</v>
      </c>
    </row>
    <row r="909" spans="2:7" x14ac:dyDescent="0.2">
      <c r="B909" s="120" t="s">
        <v>1739</v>
      </c>
      <c r="C909" s="121" t="s">
        <v>1740</v>
      </c>
      <c r="D909" s="122">
        <v>1.1299999999999999</v>
      </c>
      <c r="E909" s="122">
        <v>1.83</v>
      </c>
      <c r="F909" s="122">
        <v>0.96</v>
      </c>
      <c r="G909" s="122">
        <v>48.875990000000002</v>
      </c>
    </row>
    <row r="910" spans="2:7" x14ac:dyDescent="0.2">
      <c r="B910" s="120" t="s">
        <v>4179</v>
      </c>
      <c r="C910" s="121" t="s">
        <v>4180</v>
      </c>
      <c r="D910" s="122">
        <v>4.78</v>
      </c>
      <c r="E910" s="122">
        <v>4.83</v>
      </c>
      <c r="F910" s="122">
        <v>0.01</v>
      </c>
      <c r="G910" s="122">
        <v>1.0142899999999999</v>
      </c>
    </row>
    <row r="911" spans="2:7" x14ac:dyDescent="0.2">
      <c r="B911" s="120" t="s">
        <v>1741</v>
      </c>
      <c r="C911" s="121" t="s">
        <v>1742</v>
      </c>
      <c r="D911" s="122">
        <v>0.18</v>
      </c>
      <c r="E911" s="122">
        <v>0.19</v>
      </c>
      <c r="F911" s="122">
        <v>0.24</v>
      </c>
      <c r="G911" s="122">
        <v>19.631</v>
      </c>
    </row>
    <row r="912" spans="2:7" x14ac:dyDescent="0.2">
      <c r="B912" s="120" t="s">
        <v>4181</v>
      </c>
      <c r="C912" s="121" t="s">
        <v>4182</v>
      </c>
      <c r="D912" s="122">
        <v>0.82</v>
      </c>
      <c r="E912" s="122">
        <v>0.83</v>
      </c>
      <c r="F912" s="122">
        <v>0.11</v>
      </c>
      <c r="G912" s="122">
        <v>9.8215900000000005</v>
      </c>
    </row>
    <row r="913" spans="2:7" x14ac:dyDescent="0.2">
      <c r="B913" s="120" t="s">
        <v>1743</v>
      </c>
      <c r="C913" s="121" t="s">
        <v>1744</v>
      </c>
      <c r="D913" s="122"/>
      <c r="E913" s="122"/>
      <c r="F913" s="122"/>
      <c r="G913" s="122"/>
    </row>
    <row r="914" spans="2:7" x14ac:dyDescent="0.2">
      <c r="B914" s="120" t="s">
        <v>1745</v>
      </c>
      <c r="C914" s="121" t="s">
        <v>1746</v>
      </c>
      <c r="D914" s="122">
        <v>1.1599999999999999</v>
      </c>
      <c r="E914" s="122">
        <v>2.2200000000000002</v>
      </c>
      <c r="F914" s="122">
        <v>0.77</v>
      </c>
      <c r="G914" s="122">
        <v>43.616999999999997</v>
      </c>
    </row>
    <row r="915" spans="2:7" x14ac:dyDescent="0.2">
      <c r="B915" s="120" t="s">
        <v>4183</v>
      </c>
      <c r="C915" s="121" t="s">
        <v>4184</v>
      </c>
      <c r="D915" s="122"/>
      <c r="E915" s="122"/>
      <c r="F915" s="122"/>
      <c r="G915" s="122"/>
    </row>
    <row r="916" spans="2:7" x14ac:dyDescent="0.2">
      <c r="B916" s="120" t="s">
        <v>4185</v>
      </c>
      <c r="C916" s="121" t="s">
        <v>4186</v>
      </c>
      <c r="D916" s="122"/>
      <c r="E916" s="122"/>
      <c r="F916" s="122"/>
      <c r="G916" s="122"/>
    </row>
    <row r="917" spans="2:7" x14ac:dyDescent="0.2">
      <c r="B917" s="120" t="s">
        <v>4187</v>
      </c>
      <c r="C917" s="121" t="s">
        <v>4188</v>
      </c>
      <c r="D917" s="122">
        <v>2.62</v>
      </c>
      <c r="E917" s="122">
        <v>3.57</v>
      </c>
      <c r="F917" s="122"/>
      <c r="G917" s="122">
        <v>5.03749</v>
      </c>
    </row>
    <row r="918" spans="2:7" x14ac:dyDescent="0.2">
      <c r="B918" s="120" t="s">
        <v>1747</v>
      </c>
      <c r="C918" s="121" t="s">
        <v>1748</v>
      </c>
      <c r="D918" s="122">
        <v>1.97</v>
      </c>
      <c r="E918" s="122">
        <v>2.2000000000000002</v>
      </c>
      <c r="F918" s="122">
        <v>0.9</v>
      </c>
      <c r="G918" s="122">
        <v>47.332000000000001</v>
      </c>
    </row>
    <row r="919" spans="2:7" x14ac:dyDescent="0.2">
      <c r="B919" s="120" t="s">
        <v>1749</v>
      </c>
      <c r="C919" s="121" t="s">
        <v>1750</v>
      </c>
      <c r="D919" s="122">
        <v>1.28</v>
      </c>
      <c r="E919" s="122">
        <v>1.86</v>
      </c>
      <c r="F919" s="122">
        <v>-3.05</v>
      </c>
      <c r="G919" s="122"/>
    </row>
    <row r="920" spans="2:7" x14ac:dyDescent="0.2">
      <c r="B920" s="120" t="s">
        <v>4189</v>
      </c>
      <c r="C920" s="121" t="s">
        <v>4190</v>
      </c>
      <c r="D920" s="122"/>
      <c r="E920" s="122"/>
      <c r="F920" s="122"/>
      <c r="G920" s="122"/>
    </row>
    <row r="921" spans="2:7" x14ac:dyDescent="0.2">
      <c r="B921" s="120" t="s">
        <v>1751</v>
      </c>
      <c r="C921" s="121" t="s">
        <v>1752</v>
      </c>
      <c r="D921" s="122">
        <v>3.13</v>
      </c>
      <c r="E921" s="122">
        <v>4.1100000000000003</v>
      </c>
      <c r="F921" s="122">
        <v>0.82</v>
      </c>
      <c r="G921" s="122">
        <v>45.57799</v>
      </c>
    </row>
    <row r="922" spans="2:7" x14ac:dyDescent="0.2">
      <c r="B922" s="120" t="s">
        <v>1753</v>
      </c>
      <c r="C922" s="121" t="s">
        <v>1754</v>
      </c>
      <c r="D922" s="122">
        <v>1.88</v>
      </c>
      <c r="E922" s="122">
        <v>2.76</v>
      </c>
      <c r="F922" s="122">
        <v>0.99</v>
      </c>
      <c r="G922" s="122">
        <v>49.648989999999998</v>
      </c>
    </row>
    <row r="923" spans="2:7" x14ac:dyDescent="0.2">
      <c r="B923" s="120" t="s">
        <v>4191</v>
      </c>
      <c r="C923" s="121" t="s">
        <v>4192</v>
      </c>
      <c r="D923" s="122">
        <v>4934.6499999999996</v>
      </c>
      <c r="E923" s="122">
        <v>4696.71</v>
      </c>
      <c r="F923" s="122"/>
      <c r="G923" s="122">
        <v>0</v>
      </c>
    </row>
    <row r="924" spans="2:7" x14ac:dyDescent="0.2">
      <c r="B924" s="120" t="s">
        <v>4193</v>
      </c>
      <c r="C924" s="121" t="s">
        <v>4194</v>
      </c>
      <c r="D924" s="122"/>
      <c r="E924" s="122"/>
      <c r="F924" s="122"/>
      <c r="G924" s="122"/>
    </row>
    <row r="925" spans="2:7" x14ac:dyDescent="0.2">
      <c r="B925" s="120" t="s">
        <v>4195</v>
      </c>
      <c r="C925" s="121" t="s">
        <v>4196</v>
      </c>
      <c r="D925" s="122">
        <v>0.68</v>
      </c>
      <c r="E925" s="122">
        <v>0.82</v>
      </c>
      <c r="F925" s="122"/>
      <c r="G925" s="122">
        <v>40.145000000000003</v>
      </c>
    </row>
    <row r="926" spans="2:7" x14ac:dyDescent="0.2">
      <c r="B926" s="120" t="s">
        <v>1755</v>
      </c>
      <c r="C926" s="121" t="s">
        <v>1756</v>
      </c>
      <c r="D926" s="122">
        <v>0.91</v>
      </c>
      <c r="E926" s="122">
        <v>0.96</v>
      </c>
      <c r="F926" s="122">
        <v>0.34</v>
      </c>
      <c r="G926" s="122">
        <v>24.492999999999999</v>
      </c>
    </row>
    <row r="927" spans="2:7" x14ac:dyDescent="0.2">
      <c r="B927" s="120" t="s">
        <v>1757</v>
      </c>
      <c r="C927" s="121" t="s">
        <v>1758</v>
      </c>
      <c r="D927" s="122">
        <v>1.0900000000000001</v>
      </c>
      <c r="E927" s="122">
        <v>1.1200000000000001</v>
      </c>
      <c r="F927" s="122">
        <v>0</v>
      </c>
      <c r="G927" s="122">
        <v>0</v>
      </c>
    </row>
    <row r="928" spans="2:7" x14ac:dyDescent="0.2">
      <c r="B928" s="120" t="s">
        <v>1759</v>
      </c>
      <c r="C928" s="121" t="s">
        <v>1760</v>
      </c>
      <c r="D928" s="122">
        <v>1.24</v>
      </c>
      <c r="E928" s="122">
        <v>1.83</v>
      </c>
      <c r="F928" s="122">
        <v>3.51</v>
      </c>
      <c r="G928" s="122">
        <v>77.825990000000004</v>
      </c>
    </row>
    <row r="929" spans="2:7" x14ac:dyDescent="0.2">
      <c r="B929" s="120" t="s">
        <v>1761</v>
      </c>
      <c r="C929" s="121" t="s">
        <v>1762</v>
      </c>
      <c r="D929" s="122">
        <v>1.08</v>
      </c>
      <c r="E929" s="122">
        <v>1.05</v>
      </c>
      <c r="F929" s="122">
        <v>1.69</v>
      </c>
      <c r="G929" s="122">
        <v>62.77</v>
      </c>
    </row>
    <row r="930" spans="2:7" x14ac:dyDescent="0.2">
      <c r="B930" s="120" t="s">
        <v>4197</v>
      </c>
      <c r="C930" s="121" t="s">
        <v>4198</v>
      </c>
      <c r="D930" s="122">
        <v>0.87</v>
      </c>
      <c r="E930" s="122">
        <v>0.85</v>
      </c>
      <c r="F930" s="122">
        <v>1.69</v>
      </c>
      <c r="G930" s="122">
        <v>62.784990000000001</v>
      </c>
    </row>
    <row r="931" spans="2:7" x14ac:dyDescent="0.2">
      <c r="B931" s="120" t="s">
        <v>1763</v>
      </c>
      <c r="C931" s="121" t="s">
        <v>1764</v>
      </c>
      <c r="D931" s="122">
        <v>1.01</v>
      </c>
      <c r="E931" s="122">
        <v>1</v>
      </c>
      <c r="F931" s="122">
        <v>0.4</v>
      </c>
      <c r="G931" s="122">
        <v>28.587990000000001</v>
      </c>
    </row>
    <row r="932" spans="2:7" x14ac:dyDescent="0.2">
      <c r="B932" s="120" t="s">
        <v>1765</v>
      </c>
      <c r="C932" s="121" t="s">
        <v>1766</v>
      </c>
      <c r="D932" s="122">
        <v>0.75</v>
      </c>
      <c r="E932" s="122">
        <v>1.51</v>
      </c>
      <c r="F932" s="122">
        <v>0.53</v>
      </c>
      <c r="G932" s="122">
        <v>34.479990000000001</v>
      </c>
    </row>
    <row r="933" spans="2:7" x14ac:dyDescent="0.2">
      <c r="B933" s="120" t="s">
        <v>1767</v>
      </c>
      <c r="C933" s="121" t="s">
        <v>1768</v>
      </c>
      <c r="D933" s="122">
        <v>2.1800000000000002</v>
      </c>
      <c r="E933" s="122">
        <v>2.0699999999999998</v>
      </c>
      <c r="F933" s="122">
        <v>0.28000000000000003</v>
      </c>
      <c r="G933" s="122">
        <v>21.911999999999999</v>
      </c>
    </row>
    <row r="934" spans="2:7" x14ac:dyDescent="0.2">
      <c r="B934" s="120" t="s">
        <v>1769</v>
      </c>
      <c r="C934" s="121" t="s">
        <v>1770</v>
      </c>
      <c r="D934" s="122">
        <v>2.4700000000000002</v>
      </c>
      <c r="E934" s="122">
        <v>3.58</v>
      </c>
      <c r="F934" s="122">
        <v>0</v>
      </c>
      <c r="G934" s="122">
        <v>0</v>
      </c>
    </row>
    <row r="935" spans="2:7" x14ac:dyDescent="0.2">
      <c r="B935" s="120" t="s">
        <v>1771</v>
      </c>
      <c r="C935" s="121" t="s">
        <v>1772</v>
      </c>
      <c r="D935" s="122">
        <v>1.91</v>
      </c>
      <c r="E935" s="122">
        <v>2.0299999999999998</v>
      </c>
      <c r="F935" s="122">
        <v>0.76</v>
      </c>
      <c r="G935" s="122">
        <v>43.24</v>
      </c>
    </row>
    <row r="936" spans="2:7" x14ac:dyDescent="0.2">
      <c r="B936" s="120" t="s">
        <v>4199</v>
      </c>
      <c r="C936" s="121" t="s">
        <v>4200</v>
      </c>
      <c r="D936" s="122">
        <v>0.9</v>
      </c>
      <c r="E936" s="122">
        <v>0.91</v>
      </c>
      <c r="F936" s="122"/>
      <c r="G936" s="122">
        <v>52.825000000000003</v>
      </c>
    </row>
    <row r="937" spans="2:7" x14ac:dyDescent="0.2">
      <c r="B937" s="120" t="s">
        <v>1773</v>
      </c>
      <c r="C937" s="121" t="s">
        <v>1774</v>
      </c>
      <c r="D937" s="122">
        <v>1.47</v>
      </c>
      <c r="E937" s="122">
        <v>1.35</v>
      </c>
      <c r="F937" s="122"/>
      <c r="G937" s="122">
        <v>27.018989999999999</v>
      </c>
    </row>
    <row r="938" spans="2:7" x14ac:dyDescent="0.2">
      <c r="B938" s="120" t="s">
        <v>4201</v>
      </c>
      <c r="C938" s="121" t="s">
        <v>4202</v>
      </c>
      <c r="D938" s="122"/>
      <c r="E938" s="122"/>
      <c r="F938" s="122"/>
      <c r="G938" s="122"/>
    </row>
    <row r="939" spans="2:7" x14ac:dyDescent="0.2">
      <c r="B939" s="120" t="s">
        <v>1775</v>
      </c>
      <c r="C939" s="121" t="s">
        <v>1776</v>
      </c>
      <c r="D939" s="122">
        <v>0.62</v>
      </c>
      <c r="E939" s="122">
        <v>1.1499999999999999</v>
      </c>
      <c r="F939" s="122">
        <v>4.49</v>
      </c>
      <c r="G939" s="122">
        <v>81.777990000000003</v>
      </c>
    </row>
    <row r="940" spans="2:7" x14ac:dyDescent="0.2">
      <c r="B940" s="120" t="s">
        <v>4203</v>
      </c>
      <c r="C940" s="121" t="s">
        <v>4204</v>
      </c>
      <c r="D940" s="122"/>
      <c r="E940" s="122"/>
      <c r="F940" s="122"/>
      <c r="G940" s="122"/>
    </row>
    <row r="941" spans="2:7" x14ac:dyDescent="0.2">
      <c r="B941" s="120" t="s">
        <v>4205</v>
      </c>
      <c r="C941" s="121" t="s">
        <v>4206</v>
      </c>
      <c r="D941" s="122">
        <v>8.5500000000000007</v>
      </c>
      <c r="E941" s="122">
        <v>6.54</v>
      </c>
      <c r="F941" s="122">
        <v>0.76</v>
      </c>
      <c r="G941" s="122">
        <v>43.066000000000003</v>
      </c>
    </row>
    <row r="942" spans="2:7" x14ac:dyDescent="0.2">
      <c r="B942" s="120" t="s">
        <v>1777</v>
      </c>
      <c r="C942" s="121" t="s">
        <v>1778</v>
      </c>
      <c r="D942" s="122">
        <v>2.23</v>
      </c>
      <c r="E942" s="122">
        <v>3.36</v>
      </c>
      <c r="F942" s="122">
        <v>0.4</v>
      </c>
      <c r="G942" s="122">
        <v>28.661999999999999</v>
      </c>
    </row>
    <row r="943" spans="2:7" x14ac:dyDescent="0.2">
      <c r="B943" s="120" t="s">
        <v>1779</v>
      </c>
      <c r="C943" s="121" t="s">
        <v>1780</v>
      </c>
      <c r="D943" s="122">
        <v>1.65</v>
      </c>
      <c r="E943" s="122">
        <v>2.6</v>
      </c>
      <c r="F943" s="122">
        <v>0.71</v>
      </c>
      <c r="G943" s="122">
        <v>42.255000000000003</v>
      </c>
    </row>
    <row r="944" spans="2:7" x14ac:dyDescent="0.2">
      <c r="B944" s="120" t="s">
        <v>1781</v>
      </c>
      <c r="C944" s="121" t="s">
        <v>1782</v>
      </c>
      <c r="D944" s="122">
        <v>1.81</v>
      </c>
      <c r="E944" s="122">
        <v>2.77</v>
      </c>
      <c r="F944" s="122"/>
      <c r="G944" s="122">
        <v>18.582999999999998</v>
      </c>
    </row>
    <row r="945" spans="2:7" x14ac:dyDescent="0.2">
      <c r="B945" s="120" t="s">
        <v>4207</v>
      </c>
      <c r="C945" s="121" t="s">
        <v>4208</v>
      </c>
      <c r="D945" s="122"/>
      <c r="E945" s="122"/>
      <c r="F945" s="122"/>
      <c r="G945" s="122"/>
    </row>
    <row r="946" spans="2:7" x14ac:dyDescent="0.2">
      <c r="B946" s="120" t="s">
        <v>4209</v>
      </c>
      <c r="C946" s="121" t="s">
        <v>4210</v>
      </c>
      <c r="D946" s="122"/>
      <c r="E946" s="122"/>
      <c r="F946" s="122"/>
      <c r="G946" s="122"/>
    </row>
    <row r="947" spans="2:7" x14ac:dyDescent="0.2">
      <c r="B947" s="120" t="s">
        <v>1783</v>
      </c>
      <c r="C947" s="121" t="s">
        <v>1784</v>
      </c>
      <c r="D947" s="122">
        <v>1</v>
      </c>
      <c r="E947" s="122">
        <v>0.8</v>
      </c>
      <c r="F947" s="122">
        <v>-2.06</v>
      </c>
      <c r="G947" s="122"/>
    </row>
    <row r="948" spans="2:7" x14ac:dyDescent="0.2">
      <c r="B948" s="120" t="s">
        <v>1785</v>
      </c>
      <c r="C948" s="121" t="s">
        <v>1786</v>
      </c>
      <c r="D948" s="122">
        <v>0.66</v>
      </c>
      <c r="E948" s="122">
        <v>1.2</v>
      </c>
      <c r="F948" s="122"/>
      <c r="G948" s="122">
        <v>36.576000000000001</v>
      </c>
    </row>
    <row r="949" spans="2:7" x14ac:dyDescent="0.2">
      <c r="B949" s="120" t="s">
        <v>4211</v>
      </c>
      <c r="C949" s="121" t="s">
        <v>4212</v>
      </c>
      <c r="D949" s="122"/>
      <c r="E949" s="122"/>
      <c r="F949" s="122"/>
      <c r="G949" s="122"/>
    </row>
    <row r="950" spans="2:7" x14ac:dyDescent="0.2">
      <c r="B950" s="120" t="s">
        <v>4213</v>
      </c>
      <c r="C950" s="121" t="s">
        <v>4214</v>
      </c>
      <c r="D950" s="122"/>
      <c r="E950" s="122"/>
      <c r="F950" s="122"/>
      <c r="G950" s="122"/>
    </row>
    <row r="951" spans="2:7" x14ac:dyDescent="0.2">
      <c r="B951" s="120" t="s">
        <v>4215</v>
      </c>
      <c r="C951" s="121" t="s">
        <v>4216</v>
      </c>
      <c r="D951" s="122"/>
      <c r="E951" s="122"/>
      <c r="F951" s="122"/>
      <c r="G951" s="122"/>
    </row>
    <row r="952" spans="2:7" x14ac:dyDescent="0.2">
      <c r="B952" s="120" t="s">
        <v>4217</v>
      </c>
      <c r="C952" s="121" t="s">
        <v>4218</v>
      </c>
      <c r="D952" s="122"/>
      <c r="E952" s="122"/>
      <c r="F952" s="122"/>
      <c r="G952" s="122"/>
    </row>
    <row r="953" spans="2:7" x14ac:dyDescent="0.2">
      <c r="B953" s="120" t="s">
        <v>4219</v>
      </c>
      <c r="C953" s="121" t="s">
        <v>4220</v>
      </c>
      <c r="D953" s="122"/>
      <c r="E953" s="122"/>
      <c r="F953" s="122"/>
      <c r="G953" s="122"/>
    </row>
    <row r="954" spans="2:7" x14ac:dyDescent="0.2">
      <c r="B954" s="120" t="s">
        <v>4221</v>
      </c>
      <c r="C954" s="121" t="s">
        <v>4222</v>
      </c>
      <c r="D954" s="122"/>
      <c r="E954" s="122"/>
      <c r="F954" s="122"/>
      <c r="G954" s="122"/>
    </row>
    <row r="955" spans="2:7" x14ac:dyDescent="0.2">
      <c r="B955" s="120" t="s">
        <v>1787</v>
      </c>
      <c r="C955" s="121" t="s">
        <v>1788</v>
      </c>
      <c r="D955" s="122">
        <v>1.23</v>
      </c>
      <c r="E955" s="122">
        <v>1.25</v>
      </c>
      <c r="F955" s="122"/>
      <c r="G955" s="122">
        <v>48.247999999999998</v>
      </c>
    </row>
    <row r="956" spans="2:7" x14ac:dyDescent="0.2">
      <c r="B956" s="120" t="s">
        <v>1789</v>
      </c>
      <c r="C956" s="121" t="s">
        <v>1790</v>
      </c>
      <c r="D956" s="122">
        <v>2.27</v>
      </c>
      <c r="E956" s="122">
        <v>6.79</v>
      </c>
      <c r="F956" s="122">
        <v>0.42</v>
      </c>
      <c r="G956" s="122">
        <v>29.561</v>
      </c>
    </row>
    <row r="957" spans="2:7" x14ac:dyDescent="0.2">
      <c r="B957" s="120" t="s">
        <v>4223</v>
      </c>
      <c r="C957" s="121" t="s">
        <v>4224</v>
      </c>
      <c r="D957" s="122">
        <v>0.76</v>
      </c>
      <c r="E957" s="122">
        <v>0.81</v>
      </c>
      <c r="F957" s="122"/>
      <c r="G957" s="122">
        <v>68.882000000000005</v>
      </c>
    </row>
    <row r="958" spans="2:7" x14ac:dyDescent="0.2">
      <c r="B958" s="120" t="s">
        <v>1791</v>
      </c>
      <c r="C958" s="121" t="s">
        <v>1792</v>
      </c>
      <c r="D958" s="122">
        <v>0.32</v>
      </c>
      <c r="E958" s="122"/>
      <c r="F958" s="122"/>
      <c r="G958" s="122"/>
    </row>
    <row r="959" spans="2:7" x14ac:dyDescent="0.2">
      <c r="B959" s="120" t="s">
        <v>1793</v>
      </c>
      <c r="C959" s="121" t="s">
        <v>1794</v>
      </c>
      <c r="D959" s="122"/>
      <c r="E959" s="122"/>
      <c r="F959" s="122"/>
      <c r="G959" s="122"/>
    </row>
    <row r="960" spans="2:7" x14ac:dyDescent="0.2">
      <c r="B960" s="120" t="s">
        <v>1795</v>
      </c>
      <c r="C960" s="121" t="s">
        <v>1796</v>
      </c>
      <c r="D960" s="122"/>
      <c r="E960" s="122">
        <v>9.93</v>
      </c>
      <c r="F960" s="122">
        <v>0.06</v>
      </c>
      <c r="G960" s="122">
        <v>5.8211899999999996</v>
      </c>
    </row>
    <row r="961" spans="2:7" x14ac:dyDescent="0.2">
      <c r="B961" s="120" t="s">
        <v>1797</v>
      </c>
      <c r="C961" s="121" t="s">
        <v>1798</v>
      </c>
      <c r="D961" s="122">
        <v>1.03</v>
      </c>
      <c r="E961" s="122">
        <v>1.44</v>
      </c>
      <c r="F961" s="122">
        <v>0.2</v>
      </c>
      <c r="G961" s="122">
        <v>16.565989999999999</v>
      </c>
    </row>
    <row r="962" spans="2:7" x14ac:dyDescent="0.2">
      <c r="B962" s="120" t="s">
        <v>1799</v>
      </c>
      <c r="C962" s="121" t="s">
        <v>1800</v>
      </c>
      <c r="D962" s="122"/>
      <c r="E962" s="122"/>
      <c r="F962" s="122"/>
      <c r="G962" s="122"/>
    </row>
    <row r="963" spans="2:7" x14ac:dyDescent="0.2">
      <c r="B963" s="120" t="s">
        <v>1801</v>
      </c>
      <c r="C963" s="121" t="s">
        <v>1802</v>
      </c>
      <c r="D963" s="122">
        <v>4.29</v>
      </c>
      <c r="E963" s="122">
        <v>5.61</v>
      </c>
      <c r="F963" s="122">
        <v>0.02</v>
      </c>
      <c r="G963" s="122">
        <v>2.1554899999999999</v>
      </c>
    </row>
    <row r="964" spans="2:7" x14ac:dyDescent="0.2">
      <c r="B964" s="120" t="s">
        <v>1803</v>
      </c>
      <c r="C964" s="121" t="s">
        <v>1804</v>
      </c>
      <c r="D964" s="122">
        <v>0.47</v>
      </c>
      <c r="E964" s="122">
        <v>0.66</v>
      </c>
      <c r="F964" s="122"/>
      <c r="G964" s="122">
        <v>36.929000000000002</v>
      </c>
    </row>
    <row r="965" spans="2:7" x14ac:dyDescent="0.2">
      <c r="B965" s="120" t="s">
        <v>1805</v>
      </c>
      <c r="C965" s="121" t="s">
        <v>1806</v>
      </c>
      <c r="D965" s="122">
        <v>2.84</v>
      </c>
      <c r="E965" s="122">
        <v>2.08</v>
      </c>
      <c r="F965" s="122">
        <v>0</v>
      </c>
      <c r="G965" s="122">
        <v>0</v>
      </c>
    </row>
    <row r="966" spans="2:7" x14ac:dyDescent="0.2">
      <c r="B966" s="120" t="s">
        <v>1807</v>
      </c>
      <c r="C966" s="121" t="s">
        <v>1808</v>
      </c>
      <c r="D966" s="122">
        <v>1.1299999999999999</v>
      </c>
      <c r="E966" s="122">
        <v>0.96</v>
      </c>
      <c r="F966" s="122">
        <v>2.34</v>
      </c>
      <c r="G966" s="122">
        <v>70.101990000000001</v>
      </c>
    </row>
    <row r="967" spans="2:7" x14ac:dyDescent="0.2">
      <c r="B967" s="120" t="s">
        <v>4225</v>
      </c>
      <c r="C967" s="121" t="s">
        <v>4226</v>
      </c>
      <c r="D967" s="122">
        <v>1.08</v>
      </c>
      <c r="E967" s="122">
        <v>1.17</v>
      </c>
      <c r="F967" s="122"/>
      <c r="G967" s="122">
        <v>50.187989999999999</v>
      </c>
    </row>
    <row r="968" spans="2:7" x14ac:dyDescent="0.2">
      <c r="B968" s="120" t="s">
        <v>1809</v>
      </c>
      <c r="C968" s="121" t="s">
        <v>1810</v>
      </c>
      <c r="D968" s="122">
        <v>1.39</v>
      </c>
      <c r="E968" s="122">
        <v>2.48</v>
      </c>
      <c r="F968" s="122">
        <v>0.79</v>
      </c>
      <c r="G968" s="122">
        <v>44.056989999999999</v>
      </c>
    </row>
    <row r="969" spans="2:7" x14ac:dyDescent="0.2">
      <c r="B969" s="120" t="s">
        <v>1811</v>
      </c>
      <c r="C969" s="121" t="s">
        <v>1812</v>
      </c>
      <c r="D969" s="122">
        <v>1.3</v>
      </c>
      <c r="E969" s="122">
        <v>1.48</v>
      </c>
      <c r="F969" s="122">
        <v>0.33</v>
      </c>
      <c r="G969" s="122">
        <v>25.079989999999999</v>
      </c>
    </row>
    <row r="970" spans="2:7" x14ac:dyDescent="0.2">
      <c r="B970" s="120" t="s">
        <v>1813</v>
      </c>
      <c r="C970" s="121" t="s">
        <v>1814</v>
      </c>
      <c r="D970" s="122">
        <v>1.83</v>
      </c>
      <c r="E970" s="122">
        <v>1.83</v>
      </c>
      <c r="F970" s="122">
        <v>0.1</v>
      </c>
      <c r="G970" s="122">
        <v>9.3348899999999997</v>
      </c>
    </row>
    <row r="971" spans="2:7" x14ac:dyDescent="0.2">
      <c r="B971" s="120" t="s">
        <v>1815</v>
      </c>
      <c r="C971" s="121" t="s">
        <v>1816</v>
      </c>
      <c r="D971" s="122">
        <v>0.85</v>
      </c>
      <c r="E971" s="122">
        <v>0.34</v>
      </c>
      <c r="F971" s="122">
        <v>1.1299999999999999</v>
      </c>
      <c r="G971" s="122">
        <v>53.145989999999998</v>
      </c>
    </row>
    <row r="972" spans="2:7" x14ac:dyDescent="0.2">
      <c r="B972" s="120" t="s">
        <v>4227</v>
      </c>
      <c r="C972" s="121" t="s">
        <v>4228</v>
      </c>
      <c r="D972" s="122">
        <v>1.26</v>
      </c>
      <c r="E972" s="122">
        <v>0.68</v>
      </c>
      <c r="F972" s="122">
        <v>2.5099999999999998</v>
      </c>
      <c r="G972" s="122">
        <v>71.512</v>
      </c>
    </row>
    <row r="973" spans="2:7" x14ac:dyDescent="0.2">
      <c r="B973" s="120" t="s">
        <v>1817</v>
      </c>
      <c r="C973" s="121" t="s">
        <v>1818</v>
      </c>
      <c r="D973" s="122">
        <v>7.85</v>
      </c>
      <c r="E973" s="122">
        <v>10.01</v>
      </c>
      <c r="F973" s="122">
        <v>0.45</v>
      </c>
      <c r="G973" s="122">
        <v>31.263000000000002</v>
      </c>
    </row>
    <row r="974" spans="2:7" x14ac:dyDescent="0.2">
      <c r="B974" s="120" t="s">
        <v>1819</v>
      </c>
      <c r="C974" s="121" t="s">
        <v>1820</v>
      </c>
      <c r="D974" s="122">
        <v>1.01</v>
      </c>
      <c r="E974" s="122">
        <v>1.46</v>
      </c>
      <c r="F974" s="122">
        <v>1.38</v>
      </c>
      <c r="G974" s="122">
        <v>57.942</v>
      </c>
    </row>
    <row r="975" spans="2:7" x14ac:dyDescent="0.2">
      <c r="B975" s="120" t="s">
        <v>1821</v>
      </c>
      <c r="C975" s="121" t="s">
        <v>1822</v>
      </c>
      <c r="D975" s="122">
        <v>1.01</v>
      </c>
      <c r="E975" s="122">
        <v>0.97</v>
      </c>
      <c r="F975" s="122">
        <v>2.04</v>
      </c>
      <c r="G975" s="122">
        <v>67.962990000000005</v>
      </c>
    </row>
    <row r="976" spans="2:7" x14ac:dyDescent="0.2">
      <c r="B976" s="120" t="s">
        <v>1823</v>
      </c>
      <c r="C976" s="121" t="s">
        <v>1824</v>
      </c>
      <c r="D976" s="122">
        <v>5.7</v>
      </c>
      <c r="E976" s="122">
        <v>8.3800000000000008</v>
      </c>
      <c r="F976" s="122">
        <v>0.02</v>
      </c>
      <c r="G976" s="122">
        <v>1.6553</v>
      </c>
    </row>
    <row r="977" spans="2:7" x14ac:dyDescent="0.2">
      <c r="B977" s="120" t="s">
        <v>1825</v>
      </c>
      <c r="C977" s="121" t="s">
        <v>1826</v>
      </c>
      <c r="D977" s="122">
        <v>1.03</v>
      </c>
      <c r="E977" s="122">
        <v>1.24</v>
      </c>
      <c r="F977" s="122"/>
      <c r="G977" s="122">
        <v>0</v>
      </c>
    </row>
    <row r="978" spans="2:7" x14ac:dyDescent="0.2">
      <c r="B978" s="120" t="s">
        <v>4229</v>
      </c>
      <c r="C978" s="121" t="s">
        <v>4230</v>
      </c>
      <c r="D978" s="122">
        <v>1.1200000000000001</v>
      </c>
      <c r="E978" s="122">
        <v>1.23</v>
      </c>
      <c r="F978" s="122"/>
      <c r="G978" s="122">
        <v>23.738</v>
      </c>
    </row>
    <row r="979" spans="2:7" x14ac:dyDescent="0.2">
      <c r="B979" s="120" t="s">
        <v>1827</v>
      </c>
      <c r="C979" s="121" t="s">
        <v>1828</v>
      </c>
      <c r="D979" s="122">
        <v>1</v>
      </c>
      <c r="E979" s="122">
        <v>1.1599999999999999</v>
      </c>
      <c r="F979" s="122">
        <v>0.82</v>
      </c>
      <c r="G979" s="122">
        <v>45.030990000000003</v>
      </c>
    </row>
    <row r="980" spans="2:7" x14ac:dyDescent="0.2">
      <c r="B980" s="120" t="s">
        <v>1829</v>
      </c>
      <c r="C980" s="121" t="s">
        <v>1830</v>
      </c>
      <c r="D980" s="122">
        <v>1.1000000000000001</v>
      </c>
      <c r="E980" s="122">
        <v>1.1399999999999999</v>
      </c>
      <c r="F980" s="122">
        <v>1.72</v>
      </c>
      <c r="G980" s="122">
        <v>63.301990000000004</v>
      </c>
    </row>
    <row r="981" spans="2:7" x14ac:dyDescent="0.2">
      <c r="B981" s="120" t="s">
        <v>1831</v>
      </c>
      <c r="C981" s="121" t="s">
        <v>1832</v>
      </c>
      <c r="D981" s="122">
        <v>0.94</v>
      </c>
      <c r="E981" s="122">
        <v>1.23</v>
      </c>
      <c r="F981" s="122">
        <v>0.69</v>
      </c>
      <c r="G981" s="122">
        <v>40.687989999999999</v>
      </c>
    </row>
    <row r="982" spans="2:7" x14ac:dyDescent="0.2">
      <c r="B982" s="120" t="s">
        <v>1835</v>
      </c>
      <c r="C982" s="121" t="s">
        <v>1836</v>
      </c>
      <c r="D982" s="122">
        <v>0.83</v>
      </c>
      <c r="E982" s="122">
        <v>0.75</v>
      </c>
      <c r="F982" s="122">
        <v>6.06</v>
      </c>
      <c r="G982" s="122">
        <v>85.914000000000001</v>
      </c>
    </row>
    <row r="983" spans="2:7" x14ac:dyDescent="0.2">
      <c r="B983" s="120" t="s">
        <v>1837</v>
      </c>
      <c r="C983" s="121" t="s">
        <v>1838</v>
      </c>
      <c r="D983" s="122">
        <v>1.23</v>
      </c>
      <c r="E983" s="122">
        <v>1.25</v>
      </c>
      <c r="F983" s="122">
        <v>2.14</v>
      </c>
      <c r="G983" s="122">
        <v>68.203000000000003</v>
      </c>
    </row>
    <row r="984" spans="2:7" x14ac:dyDescent="0.2">
      <c r="B984" s="120" t="s">
        <v>1839</v>
      </c>
      <c r="C984" s="121" t="s">
        <v>1840</v>
      </c>
      <c r="D984" s="122"/>
      <c r="E984" s="122"/>
      <c r="F984" s="122"/>
      <c r="G984" s="122"/>
    </row>
    <row r="985" spans="2:7" x14ac:dyDescent="0.2">
      <c r="B985" s="120" t="s">
        <v>1841</v>
      </c>
      <c r="C985" s="121" t="s">
        <v>1842</v>
      </c>
      <c r="D985" s="122">
        <v>4.78</v>
      </c>
      <c r="E985" s="122">
        <v>5.04</v>
      </c>
      <c r="F985" s="122">
        <v>0</v>
      </c>
      <c r="G985" s="122">
        <v>0</v>
      </c>
    </row>
    <row r="986" spans="2:7" x14ac:dyDescent="0.2">
      <c r="B986" s="120" t="s">
        <v>4231</v>
      </c>
      <c r="C986" s="121" t="s">
        <v>4232</v>
      </c>
      <c r="D986" s="122">
        <v>1.29</v>
      </c>
      <c r="E986" s="122">
        <v>1.79</v>
      </c>
      <c r="F986" s="122">
        <v>0.2</v>
      </c>
      <c r="G986" s="122">
        <v>16.881</v>
      </c>
    </row>
    <row r="987" spans="2:7" x14ac:dyDescent="0.2">
      <c r="B987" s="120" t="s">
        <v>1843</v>
      </c>
      <c r="C987" s="121" t="s">
        <v>1844</v>
      </c>
      <c r="D987" s="122">
        <v>0.69</v>
      </c>
      <c r="E987" s="122">
        <v>0.68</v>
      </c>
      <c r="F987" s="122">
        <v>2.93</v>
      </c>
      <c r="G987" s="122">
        <v>74.578000000000003</v>
      </c>
    </row>
    <row r="988" spans="2:7" x14ac:dyDescent="0.2">
      <c r="B988" s="120" t="s">
        <v>4233</v>
      </c>
      <c r="C988" s="121" t="s">
        <v>4234</v>
      </c>
      <c r="D988" s="122">
        <v>1.65</v>
      </c>
      <c r="E988" s="122">
        <v>1.79</v>
      </c>
      <c r="F988" s="122">
        <v>2.46</v>
      </c>
      <c r="G988" s="122">
        <v>71.075990000000004</v>
      </c>
    </row>
    <row r="989" spans="2:7" x14ac:dyDescent="0.2">
      <c r="B989" s="120" t="s">
        <v>4235</v>
      </c>
      <c r="C989" s="121" t="s">
        <v>4236</v>
      </c>
      <c r="D989" s="122">
        <v>1.04</v>
      </c>
      <c r="E989" s="122">
        <v>1.24</v>
      </c>
      <c r="F989" s="122">
        <v>0.91</v>
      </c>
      <c r="G989" s="122">
        <v>47.747999999999998</v>
      </c>
    </row>
    <row r="990" spans="2:7" x14ac:dyDescent="0.2">
      <c r="B990" s="120" t="s">
        <v>1845</v>
      </c>
      <c r="C990" s="121" t="s">
        <v>1846</v>
      </c>
      <c r="D990" s="122">
        <v>1.03</v>
      </c>
      <c r="E990" s="122">
        <v>1.44</v>
      </c>
      <c r="F990" s="122">
        <v>1.39</v>
      </c>
      <c r="G990" s="122">
        <v>58.166989999999998</v>
      </c>
    </row>
    <row r="991" spans="2:7" x14ac:dyDescent="0.2">
      <c r="B991" s="120" t="s">
        <v>1847</v>
      </c>
      <c r="C991" s="121" t="s">
        <v>1848</v>
      </c>
      <c r="D991" s="122">
        <v>1.45</v>
      </c>
      <c r="E991" s="122">
        <v>1.91</v>
      </c>
      <c r="F991" s="122">
        <v>0</v>
      </c>
      <c r="G991" s="122">
        <v>0</v>
      </c>
    </row>
    <row r="992" spans="2:7" x14ac:dyDescent="0.2">
      <c r="B992" s="120" t="s">
        <v>1849</v>
      </c>
      <c r="C992" s="121" t="s">
        <v>1850</v>
      </c>
      <c r="D992" s="122">
        <v>1.33</v>
      </c>
      <c r="E992" s="122">
        <v>1.73</v>
      </c>
      <c r="F992" s="122">
        <v>1.74</v>
      </c>
      <c r="G992" s="122">
        <v>63.451000000000001</v>
      </c>
    </row>
    <row r="993" spans="2:7" x14ac:dyDescent="0.2">
      <c r="B993" s="120" t="s">
        <v>4237</v>
      </c>
      <c r="C993" s="121" t="s">
        <v>4238</v>
      </c>
      <c r="D993" s="122">
        <v>0.87</v>
      </c>
      <c r="E993" s="122">
        <v>1.1000000000000001</v>
      </c>
      <c r="F993" s="122"/>
      <c r="G993" s="122">
        <v>53.908999999999999</v>
      </c>
    </row>
    <row r="994" spans="2:7" x14ac:dyDescent="0.2">
      <c r="B994" s="120" t="s">
        <v>1851</v>
      </c>
      <c r="C994" s="121" t="s">
        <v>1852</v>
      </c>
      <c r="D994" s="122">
        <v>1.26</v>
      </c>
      <c r="E994" s="122">
        <v>2.87</v>
      </c>
      <c r="F994" s="122">
        <v>2.52</v>
      </c>
      <c r="G994" s="122">
        <v>71.615989999999996</v>
      </c>
    </row>
    <row r="995" spans="2:7" x14ac:dyDescent="0.2">
      <c r="B995" s="120" t="s">
        <v>4239</v>
      </c>
      <c r="C995" s="121" t="s">
        <v>4240</v>
      </c>
      <c r="D995" s="122"/>
      <c r="E995" s="122"/>
      <c r="F995" s="122"/>
      <c r="G995" s="122"/>
    </row>
    <row r="996" spans="2:7" x14ac:dyDescent="0.2">
      <c r="B996" s="120" t="s">
        <v>1853</v>
      </c>
      <c r="C996" s="121" t="s">
        <v>1854</v>
      </c>
      <c r="D996" s="122">
        <v>1.54</v>
      </c>
      <c r="E996" s="122">
        <v>1.45</v>
      </c>
      <c r="F996" s="122">
        <v>0.71</v>
      </c>
      <c r="G996" s="122">
        <v>34.901000000000003</v>
      </c>
    </row>
    <row r="997" spans="2:7" x14ac:dyDescent="0.2">
      <c r="B997" s="120" t="s">
        <v>4241</v>
      </c>
      <c r="C997" s="121" t="s">
        <v>4242</v>
      </c>
      <c r="D997" s="122"/>
      <c r="E997" s="122"/>
      <c r="F997" s="122"/>
      <c r="G997" s="122"/>
    </row>
    <row r="998" spans="2:7" x14ac:dyDescent="0.2">
      <c r="B998" s="120" t="s">
        <v>4243</v>
      </c>
      <c r="C998" s="121" t="s">
        <v>4244</v>
      </c>
      <c r="D998" s="122"/>
      <c r="E998" s="122"/>
      <c r="F998" s="122"/>
      <c r="G998" s="122"/>
    </row>
    <row r="999" spans="2:7" x14ac:dyDescent="0.2">
      <c r="B999" s="120" t="s">
        <v>4245</v>
      </c>
      <c r="C999" s="121" t="s">
        <v>4246</v>
      </c>
      <c r="D999" s="122"/>
      <c r="E999" s="122"/>
      <c r="F999" s="122"/>
      <c r="G999" s="122"/>
    </row>
    <row r="1000" spans="2:7" x14ac:dyDescent="0.2">
      <c r="B1000" s="120" t="s">
        <v>4247</v>
      </c>
      <c r="C1000" s="121" t="s">
        <v>4248</v>
      </c>
      <c r="D1000" s="122"/>
      <c r="E1000" s="122"/>
      <c r="F1000" s="122"/>
      <c r="G1000" s="122"/>
    </row>
    <row r="1001" spans="2:7" x14ac:dyDescent="0.2">
      <c r="B1001" s="120" t="s">
        <v>4249</v>
      </c>
      <c r="C1001" s="121" t="s">
        <v>4250</v>
      </c>
      <c r="D1001" s="122"/>
      <c r="E1001" s="122"/>
      <c r="F1001" s="122"/>
      <c r="G1001" s="122"/>
    </row>
    <row r="1002" spans="2:7" x14ac:dyDescent="0.2">
      <c r="B1002" s="120" t="s">
        <v>4251</v>
      </c>
      <c r="C1002" s="121" t="s">
        <v>4252</v>
      </c>
      <c r="D1002" s="122"/>
      <c r="E1002" s="122"/>
      <c r="F1002" s="122"/>
      <c r="G1002" s="122"/>
    </row>
    <row r="1003" spans="2:7" x14ac:dyDescent="0.2">
      <c r="B1003" s="120" t="s">
        <v>4253</v>
      </c>
      <c r="C1003" s="121" t="s">
        <v>4254</v>
      </c>
      <c r="D1003" s="122"/>
      <c r="E1003" s="122"/>
      <c r="F1003" s="122"/>
      <c r="G1003" s="122"/>
    </row>
    <row r="1004" spans="2:7" x14ac:dyDescent="0.2">
      <c r="B1004" s="120" t="s">
        <v>4255</v>
      </c>
      <c r="C1004" s="121" t="s">
        <v>4256</v>
      </c>
      <c r="D1004" s="122"/>
      <c r="E1004" s="122"/>
      <c r="F1004" s="122"/>
      <c r="G1004" s="122"/>
    </row>
    <row r="1005" spans="2:7" x14ac:dyDescent="0.2">
      <c r="B1005" s="120" t="s">
        <v>1855</v>
      </c>
      <c r="C1005" s="121" t="s">
        <v>1856</v>
      </c>
      <c r="D1005" s="122">
        <v>1.52</v>
      </c>
      <c r="E1005" s="122">
        <v>1.54</v>
      </c>
      <c r="F1005" s="122">
        <v>1.4</v>
      </c>
      <c r="G1005" s="122">
        <v>58.317999999999998</v>
      </c>
    </row>
    <row r="1006" spans="2:7" x14ac:dyDescent="0.2">
      <c r="B1006" s="120" t="s">
        <v>4257</v>
      </c>
      <c r="C1006" s="121" t="s">
        <v>4258</v>
      </c>
      <c r="D1006" s="122"/>
      <c r="E1006" s="122"/>
      <c r="F1006" s="122"/>
      <c r="G1006" s="122"/>
    </row>
    <row r="1007" spans="2:7" x14ac:dyDescent="0.2">
      <c r="B1007" s="120" t="s">
        <v>4259</v>
      </c>
      <c r="C1007" s="121" t="s">
        <v>4260</v>
      </c>
      <c r="D1007" s="122"/>
      <c r="E1007" s="122"/>
      <c r="F1007" s="122"/>
      <c r="G1007" s="122"/>
    </row>
    <row r="1008" spans="2:7" x14ac:dyDescent="0.2">
      <c r="B1008" s="120" t="s">
        <v>1857</v>
      </c>
      <c r="C1008" s="121" t="s">
        <v>1858</v>
      </c>
      <c r="D1008" s="122">
        <v>0.81</v>
      </c>
      <c r="E1008" s="122">
        <v>1.21</v>
      </c>
      <c r="F1008" s="122"/>
      <c r="G1008" s="122">
        <v>21.37199</v>
      </c>
    </row>
    <row r="1009" spans="2:7" x14ac:dyDescent="0.2">
      <c r="B1009" s="120" t="s">
        <v>4261</v>
      </c>
      <c r="C1009" s="121" t="s">
        <v>4262</v>
      </c>
      <c r="D1009" s="122">
        <v>1.63</v>
      </c>
      <c r="E1009" s="122">
        <v>1.68</v>
      </c>
      <c r="F1009" s="122"/>
      <c r="G1009" s="122">
        <v>9.50319</v>
      </c>
    </row>
    <row r="1010" spans="2:7" x14ac:dyDescent="0.2">
      <c r="B1010" s="120" t="s">
        <v>1859</v>
      </c>
      <c r="C1010" s="121" t="s">
        <v>1860</v>
      </c>
      <c r="D1010" s="122">
        <v>3.42</v>
      </c>
      <c r="E1010" s="122">
        <v>3.71</v>
      </c>
      <c r="F1010" s="122">
        <v>0.57999999999999996</v>
      </c>
      <c r="G1010" s="122">
        <v>36.625</v>
      </c>
    </row>
    <row r="1011" spans="2:7" x14ac:dyDescent="0.2">
      <c r="B1011" s="120" t="s">
        <v>1861</v>
      </c>
      <c r="C1011" s="121" t="s">
        <v>1862</v>
      </c>
      <c r="D1011" s="122">
        <v>4.5</v>
      </c>
      <c r="E1011" s="122">
        <v>3.65</v>
      </c>
      <c r="F1011" s="122">
        <v>0.48</v>
      </c>
      <c r="G1011" s="122">
        <v>32.497</v>
      </c>
    </row>
    <row r="1012" spans="2:7" x14ac:dyDescent="0.2">
      <c r="B1012" s="120" t="s">
        <v>1863</v>
      </c>
      <c r="C1012" s="121" t="s">
        <v>1864</v>
      </c>
      <c r="D1012" s="122">
        <v>1.1000000000000001</v>
      </c>
      <c r="E1012" s="122">
        <v>1.3</v>
      </c>
      <c r="F1012" s="122">
        <v>0.64</v>
      </c>
      <c r="G1012" s="122">
        <v>39.119990000000001</v>
      </c>
    </row>
    <row r="1013" spans="2:7" x14ac:dyDescent="0.2">
      <c r="B1013" s="120" t="s">
        <v>1865</v>
      </c>
      <c r="C1013" s="121" t="s">
        <v>1866</v>
      </c>
      <c r="D1013" s="122"/>
      <c r="E1013" s="122">
        <v>1.01</v>
      </c>
      <c r="F1013" s="122"/>
      <c r="G1013" s="122">
        <v>57.01699</v>
      </c>
    </row>
    <row r="1014" spans="2:7" x14ac:dyDescent="0.2">
      <c r="B1014" s="120" t="s">
        <v>1867</v>
      </c>
      <c r="C1014" s="121" t="s">
        <v>1868</v>
      </c>
      <c r="D1014" s="122">
        <v>0.57999999999999996</v>
      </c>
      <c r="E1014" s="122">
        <v>0.51</v>
      </c>
      <c r="F1014" s="122">
        <v>0.42</v>
      </c>
      <c r="G1014" s="122">
        <v>29.54899</v>
      </c>
    </row>
    <row r="1015" spans="2:7" x14ac:dyDescent="0.2">
      <c r="B1015" s="120" t="s">
        <v>4263</v>
      </c>
      <c r="C1015" s="121" t="s">
        <v>4264</v>
      </c>
      <c r="D1015" s="122">
        <v>1.04</v>
      </c>
      <c r="E1015" s="122">
        <v>1.65</v>
      </c>
      <c r="F1015" s="122"/>
      <c r="G1015" s="122">
        <v>65.652990000000003</v>
      </c>
    </row>
    <row r="1016" spans="2:7" x14ac:dyDescent="0.2">
      <c r="B1016" s="120" t="s">
        <v>1869</v>
      </c>
      <c r="C1016" s="121" t="s">
        <v>1870</v>
      </c>
      <c r="D1016" s="122">
        <v>0.85</v>
      </c>
      <c r="E1016" s="122">
        <v>1.48</v>
      </c>
      <c r="F1016" s="122">
        <v>1.54</v>
      </c>
      <c r="G1016" s="122">
        <v>60.675989999999999</v>
      </c>
    </row>
    <row r="1017" spans="2:7" x14ac:dyDescent="0.2">
      <c r="B1017" s="120" t="s">
        <v>4265</v>
      </c>
      <c r="C1017" s="121" t="s">
        <v>4266</v>
      </c>
      <c r="D1017" s="122">
        <v>0.8</v>
      </c>
      <c r="E1017" s="122">
        <v>0.9</v>
      </c>
      <c r="F1017" s="122"/>
      <c r="G1017" s="122">
        <v>31.838999999999999</v>
      </c>
    </row>
    <row r="1018" spans="2:7" x14ac:dyDescent="0.2">
      <c r="B1018" s="120" t="s">
        <v>1871</v>
      </c>
      <c r="C1018" s="121" t="s">
        <v>1872</v>
      </c>
      <c r="D1018" s="122">
        <v>0.76</v>
      </c>
      <c r="E1018" s="122">
        <v>1.41</v>
      </c>
      <c r="F1018" s="122">
        <v>0.32</v>
      </c>
      <c r="G1018" s="122">
        <v>24.117000000000001</v>
      </c>
    </row>
    <row r="1019" spans="2:7" x14ac:dyDescent="0.2">
      <c r="B1019" s="120" t="s">
        <v>1873</v>
      </c>
      <c r="C1019" s="121" t="s">
        <v>1874</v>
      </c>
      <c r="D1019" s="122">
        <v>1.5</v>
      </c>
      <c r="E1019" s="122">
        <v>0.94</v>
      </c>
      <c r="F1019" s="122">
        <v>1.0900000000000001</v>
      </c>
      <c r="G1019" s="122">
        <v>52.236989999999999</v>
      </c>
    </row>
    <row r="1020" spans="2:7" x14ac:dyDescent="0.2">
      <c r="B1020" s="120" t="s">
        <v>1875</v>
      </c>
      <c r="C1020" s="121" t="s">
        <v>1876</v>
      </c>
      <c r="D1020" s="122">
        <v>0.5</v>
      </c>
      <c r="E1020" s="122">
        <v>0.91</v>
      </c>
      <c r="F1020" s="122">
        <v>0.19</v>
      </c>
      <c r="G1020" s="122">
        <v>29.266999999999999</v>
      </c>
    </row>
    <row r="1021" spans="2:7" x14ac:dyDescent="0.2">
      <c r="B1021" s="120" t="s">
        <v>1877</v>
      </c>
      <c r="C1021" s="121" t="s">
        <v>1878</v>
      </c>
      <c r="D1021" s="122">
        <v>1.45</v>
      </c>
      <c r="E1021" s="122">
        <v>1.36</v>
      </c>
      <c r="F1021" s="122">
        <v>0.17</v>
      </c>
      <c r="G1021" s="122">
        <v>14.37199</v>
      </c>
    </row>
    <row r="1022" spans="2:7" x14ac:dyDescent="0.2">
      <c r="B1022" s="120" t="s">
        <v>4267</v>
      </c>
      <c r="C1022" s="121" t="s">
        <v>4268</v>
      </c>
      <c r="D1022" s="122">
        <v>1.36</v>
      </c>
      <c r="E1022" s="122">
        <v>1.37</v>
      </c>
      <c r="F1022" s="122"/>
      <c r="G1022" s="122">
        <v>51.126989999999999</v>
      </c>
    </row>
    <row r="1023" spans="2:7" x14ac:dyDescent="0.2">
      <c r="B1023" s="120" t="s">
        <v>4269</v>
      </c>
      <c r="C1023" s="121" t="s">
        <v>4270</v>
      </c>
      <c r="D1023" s="122"/>
      <c r="E1023" s="122"/>
      <c r="F1023" s="122"/>
      <c r="G1023" s="122"/>
    </row>
    <row r="1024" spans="2:7" x14ac:dyDescent="0.2">
      <c r="B1024" s="120" t="s">
        <v>1879</v>
      </c>
      <c r="C1024" s="121" t="s">
        <v>1880</v>
      </c>
      <c r="D1024" s="122"/>
      <c r="E1024" s="122">
        <v>1.73</v>
      </c>
      <c r="F1024" s="122"/>
      <c r="G1024" s="122">
        <v>35.361989999999999</v>
      </c>
    </row>
    <row r="1025" spans="2:7" x14ac:dyDescent="0.2">
      <c r="B1025" s="120" t="s">
        <v>1881</v>
      </c>
      <c r="C1025" s="121" t="s">
        <v>1882</v>
      </c>
      <c r="D1025" s="122">
        <v>1.98</v>
      </c>
      <c r="E1025" s="122">
        <v>2.93</v>
      </c>
      <c r="F1025" s="122">
        <v>7.0000000000000007E-2</v>
      </c>
      <c r="G1025" s="122">
        <v>8.9062000000000001</v>
      </c>
    </row>
    <row r="1026" spans="2:7" x14ac:dyDescent="0.2">
      <c r="B1026" s="120" t="s">
        <v>4271</v>
      </c>
      <c r="C1026" s="121" t="s">
        <v>4272</v>
      </c>
      <c r="D1026" s="122">
        <v>0.9</v>
      </c>
      <c r="E1026" s="122">
        <v>1.18</v>
      </c>
      <c r="F1026" s="122">
        <v>1.38</v>
      </c>
      <c r="G1026" s="122">
        <v>57.956000000000003</v>
      </c>
    </row>
    <row r="1027" spans="2:7" x14ac:dyDescent="0.2">
      <c r="B1027" s="120" t="s">
        <v>1883</v>
      </c>
      <c r="C1027" s="121" t="s">
        <v>1884</v>
      </c>
      <c r="D1027" s="122">
        <v>2.29</v>
      </c>
      <c r="E1027" s="122">
        <v>3.58</v>
      </c>
      <c r="F1027" s="122">
        <v>0</v>
      </c>
      <c r="G1027" s="122">
        <v>8.8099999999999998E-2</v>
      </c>
    </row>
    <row r="1028" spans="2:7" x14ac:dyDescent="0.2">
      <c r="B1028" s="120" t="s">
        <v>1885</v>
      </c>
      <c r="C1028" s="121" t="s">
        <v>1886</v>
      </c>
      <c r="D1028" s="122">
        <v>1.21</v>
      </c>
      <c r="E1028" s="122">
        <v>1.21</v>
      </c>
      <c r="F1028" s="122">
        <v>0</v>
      </c>
      <c r="G1028" s="122">
        <v>0</v>
      </c>
    </row>
    <row r="1029" spans="2:7" x14ac:dyDescent="0.2">
      <c r="B1029" s="120" t="s">
        <v>1887</v>
      </c>
      <c r="C1029" s="121" t="s">
        <v>1888</v>
      </c>
      <c r="D1029" s="122">
        <v>1.65</v>
      </c>
      <c r="E1029" s="122">
        <v>1.95</v>
      </c>
      <c r="F1029" s="122">
        <v>0.44</v>
      </c>
      <c r="G1029" s="122">
        <v>30.697990000000001</v>
      </c>
    </row>
    <row r="1030" spans="2:7" x14ac:dyDescent="0.2">
      <c r="B1030" s="120" t="s">
        <v>4273</v>
      </c>
      <c r="C1030" s="121" t="s">
        <v>4274</v>
      </c>
      <c r="D1030" s="122">
        <v>0.85</v>
      </c>
      <c r="E1030" s="122">
        <v>1.06</v>
      </c>
      <c r="F1030" s="122"/>
      <c r="G1030" s="122">
        <v>11.132999999999999</v>
      </c>
    </row>
    <row r="1031" spans="2:7" x14ac:dyDescent="0.2">
      <c r="B1031" s="120" t="s">
        <v>1889</v>
      </c>
      <c r="C1031" s="121" t="s">
        <v>1890</v>
      </c>
      <c r="D1031" s="122">
        <v>1</v>
      </c>
      <c r="E1031" s="122">
        <v>1.64</v>
      </c>
      <c r="F1031" s="122"/>
      <c r="G1031" s="122">
        <v>29.125990000000002</v>
      </c>
    </row>
    <row r="1032" spans="2:7" x14ac:dyDescent="0.2">
      <c r="B1032" s="120" t="s">
        <v>1891</v>
      </c>
      <c r="C1032" s="121" t="s">
        <v>1892</v>
      </c>
      <c r="D1032" s="122">
        <v>1.2</v>
      </c>
      <c r="E1032" s="122">
        <v>1.33</v>
      </c>
      <c r="F1032" s="122">
        <v>0.46</v>
      </c>
      <c r="G1032" s="122">
        <v>31.303999999999998</v>
      </c>
    </row>
    <row r="1033" spans="2:7" x14ac:dyDescent="0.2">
      <c r="B1033" s="120" t="s">
        <v>4275</v>
      </c>
      <c r="C1033" s="121" t="s">
        <v>4276</v>
      </c>
      <c r="D1033" s="122"/>
      <c r="E1033" s="122"/>
      <c r="F1033" s="122"/>
      <c r="G1033" s="122"/>
    </row>
    <row r="1034" spans="2:7" x14ac:dyDescent="0.2">
      <c r="B1034" s="120" t="s">
        <v>1893</v>
      </c>
      <c r="C1034" s="121" t="s">
        <v>1894</v>
      </c>
      <c r="D1034" s="122">
        <v>2.4900000000000002</v>
      </c>
      <c r="E1034" s="122">
        <v>2.13</v>
      </c>
      <c r="F1034" s="122">
        <v>0.32</v>
      </c>
      <c r="G1034" s="122">
        <v>24.507989999999999</v>
      </c>
    </row>
    <row r="1035" spans="2:7" x14ac:dyDescent="0.2">
      <c r="B1035" s="120" t="s">
        <v>4277</v>
      </c>
      <c r="C1035" s="121" t="s">
        <v>4278</v>
      </c>
      <c r="D1035" s="122">
        <v>2.2999999999999998</v>
      </c>
      <c r="E1035" s="122">
        <v>4.0999999999999996</v>
      </c>
      <c r="F1035" s="122">
        <v>0.01</v>
      </c>
      <c r="G1035" s="122">
        <v>0.60855000000000004</v>
      </c>
    </row>
    <row r="1036" spans="2:7" x14ac:dyDescent="0.2">
      <c r="B1036" s="120" t="s">
        <v>1895</v>
      </c>
      <c r="C1036" s="121" t="s">
        <v>1896</v>
      </c>
      <c r="D1036" s="122">
        <v>1</v>
      </c>
      <c r="E1036" s="122">
        <v>0.97</v>
      </c>
      <c r="F1036" s="122">
        <v>1.22</v>
      </c>
      <c r="G1036" s="122">
        <v>54.435000000000002</v>
      </c>
    </row>
    <row r="1037" spans="2:7" x14ac:dyDescent="0.2">
      <c r="B1037" s="120" t="s">
        <v>1897</v>
      </c>
      <c r="C1037" s="121" t="s">
        <v>1898</v>
      </c>
      <c r="D1037" s="122">
        <v>0.24</v>
      </c>
      <c r="E1037" s="122">
        <v>0.41</v>
      </c>
      <c r="F1037" s="122">
        <v>1.1599999999999999</v>
      </c>
      <c r="G1037" s="122">
        <v>53.664000000000001</v>
      </c>
    </row>
    <row r="1038" spans="2:7" x14ac:dyDescent="0.2">
      <c r="B1038" s="120" t="s">
        <v>1899</v>
      </c>
      <c r="C1038" s="121" t="s">
        <v>1900</v>
      </c>
      <c r="D1038" s="122">
        <v>0.5</v>
      </c>
      <c r="E1038" s="122">
        <v>0.66</v>
      </c>
      <c r="F1038" s="122"/>
      <c r="G1038" s="122">
        <v>10.1</v>
      </c>
    </row>
    <row r="1039" spans="2:7" x14ac:dyDescent="0.2">
      <c r="B1039" s="120" t="s">
        <v>1901</v>
      </c>
      <c r="C1039" s="121" t="s">
        <v>1902</v>
      </c>
      <c r="D1039" s="122">
        <v>1.29</v>
      </c>
      <c r="E1039" s="122">
        <v>2.16</v>
      </c>
      <c r="F1039" s="122">
        <v>0.13</v>
      </c>
      <c r="G1039" s="122">
        <v>11.331</v>
      </c>
    </row>
    <row r="1040" spans="2:7" x14ac:dyDescent="0.2">
      <c r="B1040" s="120" t="s">
        <v>4279</v>
      </c>
      <c r="C1040" s="121" t="s">
        <v>4280</v>
      </c>
      <c r="D1040" s="122">
        <v>0.85</v>
      </c>
      <c r="E1040" s="122">
        <v>1.06</v>
      </c>
      <c r="F1040" s="122"/>
      <c r="G1040" s="122">
        <v>11.132999999999999</v>
      </c>
    </row>
    <row r="1041" spans="2:7" x14ac:dyDescent="0.2">
      <c r="B1041" s="120" t="s">
        <v>1903</v>
      </c>
      <c r="C1041" s="121" t="s">
        <v>1904</v>
      </c>
      <c r="D1041" s="122">
        <v>0.41</v>
      </c>
      <c r="E1041" s="122">
        <v>0.79</v>
      </c>
      <c r="F1041" s="122">
        <v>5.39</v>
      </c>
      <c r="G1041" s="122">
        <v>84.346999999999994</v>
      </c>
    </row>
    <row r="1042" spans="2:7" x14ac:dyDescent="0.2">
      <c r="B1042" s="120" t="s">
        <v>1905</v>
      </c>
      <c r="C1042" s="121" t="s">
        <v>1906</v>
      </c>
      <c r="D1042" s="122">
        <v>0.4</v>
      </c>
      <c r="E1042" s="122">
        <v>0.7</v>
      </c>
      <c r="F1042" s="122">
        <v>2.67</v>
      </c>
      <c r="G1042" s="122">
        <v>72.767989999999998</v>
      </c>
    </row>
    <row r="1043" spans="2:7" x14ac:dyDescent="0.2">
      <c r="B1043" s="120" t="s">
        <v>1907</v>
      </c>
      <c r="C1043" s="121" t="s">
        <v>1908</v>
      </c>
      <c r="D1043" s="122">
        <v>1.26</v>
      </c>
      <c r="E1043" s="122">
        <v>1.1399999999999999</v>
      </c>
      <c r="F1043" s="122">
        <v>1</v>
      </c>
      <c r="G1043" s="122">
        <v>50.052999999999997</v>
      </c>
    </row>
    <row r="1044" spans="2:7" x14ac:dyDescent="0.2">
      <c r="B1044" s="120" t="s">
        <v>1909</v>
      </c>
      <c r="C1044" s="121" t="s">
        <v>1910</v>
      </c>
      <c r="D1044" s="122">
        <v>1.64</v>
      </c>
      <c r="E1044" s="122">
        <v>1782.84</v>
      </c>
      <c r="F1044" s="122">
        <v>2.1800000000000002</v>
      </c>
      <c r="G1044" s="122">
        <v>68.544989999999999</v>
      </c>
    </row>
    <row r="1045" spans="2:7" x14ac:dyDescent="0.2">
      <c r="B1045" s="120" t="s">
        <v>1911</v>
      </c>
      <c r="C1045" s="121" t="s">
        <v>1912</v>
      </c>
      <c r="D1045" s="122"/>
      <c r="E1045" s="122"/>
      <c r="F1045" s="122"/>
      <c r="G1045" s="122">
        <v>0</v>
      </c>
    </row>
    <row r="1046" spans="2:7" x14ac:dyDescent="0.2">
      <c r="B1046" s="120" t="s">
        <v>1913</v>
      </c>
      <c r="C1046" s="121" t="s">
        <v>1914</v>
      </c>
      <c r="D1046" s="122">
        <v>1.38</v>
      </c>
      <c r="E1046" s="122">
        <v>1.27</v>
      </c>
      <c r="F1046" s="122">
        <v>0.78</v>
      </c>
      <c r="G1046" s="122">
        <v>43.866999999999997</v>
      </c>
    </row>
    <row r="1047" spans="2:7" x14ac:dyDescent="0.2">
      <c r="B1047" s="120" t="s">
        <v>4281</v>
      </c>
      <c r="C1047" s="121" t="s">
        <v>4282</v>
      </c>
      <c r="D1047" s="122">
        <v>1.18</v>
      </c>
      <c r="E1047" s="122">
        <v>1.1200000000000001</v>
      </c>
      <c r="F1047" s="122"/>
      <c r="G1047" s="122">
        <v>94.184989999999999</v>
      </c>
    </row>
    <row r="1048" spans="2:7" x14ac:dyDescent="0.2">
      <c r="B1048" s="120" t="s">
        <v>4283</v>
      </c>
      <c r="C1048" s="121" t="s">
        <v>4284</v>
      </c>
      <c r="D1048" s="122"/>
      <c r="E1048" s="122"/>
      <c r="F1048" s="122"/>
      <c r="G1048" s="122"/>
    </row>
    <row r="1049" spans="2:7" x14ac:dyDescent="0.2">
      <c r="B1049" s="120" t="s">
        <v>1915</v>
      </c>
      <c r="C1049" s="121" t="s">
        <v>1916</v>
      </c>
      <c r="D1049" s="122">
        <v>0.27</v>
      </c>
      <c r="E1049" s="122">
        <v>0.33</v>
      </c>
      <c r="F1049" s="122">
        <v>0.57999999999999996</v>
      </c>
      <c r="G1049" s="122">
        <v>36.518999999999998</v>
      </c>
    </row>
    <row r="1050" spans="2:7" x14ac:dyDescent="0.2">
      <c r="B1050" s="120" t="s">
        <v>1917</v>
      </c>
      <c r="C1050" s="121" t="s">
        <v>1918</v>
      </c>
      <c r="D1050" s="122">
        <v>0.56999999999999995</v>
      </c>
      <c r="E1050" s="122">
        <v>0.84</v>
      </c>
      <c r="F1050" s="122">
        <v>0.79</v>
      </c>
      <c r="G1050" s="122">
        <v>44.279989999999998</v>
      </c>
    </row>
    <row r="1051" spans="2:7" x14ac:dyDescent="0.2">
      <c r="B1051" s="120" t="s">
        <v>1919</v>
      </c>
      <c r="C1051" s="121" t="s">
        <v>1920</v>
      </c>
      <c r="D1051" s="122">
        <v>0.97</v>
      </c>
      <c r="E1051" s="122">
        <v>2</v>
      </c>
      <c r="F1051" s="122">
        <v>0.52</v>
      </c>
      <c r="G1051" s="122">
        <v>34.26399</v>
      </c>
    </row>
    <row r="1052" spans="2:7" x14ac:dyDescent="0.2">
      <c r="B1052" s="120" t="s">
        <v>1921</v>
      </c>
      <c r="C1052" s="121" t="s">
        <v>1922</v>
      </c>
      <c r="D1052" s="122">
        <v>0.88</v>
      </c>
      <c r="E1052" s="122">
        <v>0.91</v>
      </c>
      <c r="F1052" s="122">
        <v>0.95</v>
      </c>
      <c r="G1052" s="122">
        <v>45.75</v>
      </c>
    </row>
    <row r="1053" spans="2:7" x14ac:dyDescent="0.2">
      <c r="B1053" s="120" t="s">
        <v>1923</v>
      </c>
      <c r="C1053" s="121" t="s">
        <v>1924</v>
      </c>
      <c r="D1053" s="122">
        <v>1.2</v>
      </c>
      <c r="E1053" s="122">
        <v>2.0499999999999998</v>
      </c>
      <c r="F1053" s="122">
        <v>0.44</v>
      </c>
      <c r="G1053" s="122">
        <v>30.544</v>
      </c>
    </row>
    <row r="1054" spans="2:7" x14ac:dyDescent="0.2">
      <c r="B1054" s="120" t="s">
        <v>1925</v>
      </c>
      <c r="C1054" s="121" t="s">
        <v>1926</v>
      </c>
      <c r="D1054" s="122">
        <v>0.89</v>
      </c>
      <c r="E1054" s="122">
        <v>2.88</v>
      </c>
      <c r="F1054" s="122">
        <v>0.41</v>
      </c>
      <c r="G1054" s="122">
        <v>29.027989999999999</v>
      </c>
    </row>
    <row r="1055" spans="2:7" x14ac:dyDescent="0.2">
      <c r="B1055" s="120" t="s">
        <v>1927</v>
      </c>
      <c r="C1055" s="121" t="s">
        <v>1928</v>
      </c>
      <c r="D1055" s="122">
        <v>1.69</v>
      </c>
      <c r="E1055" s="122">
        <v>1.69</v>
      </c>
      <c r="F1055" s="122"/>
      <c r="G1055" s="122">
        <v>3.1393</v>
      </c>
    </row>
    <row r="1056" spans="2:7" x14ac:dyDescent="0.2">
      <c r="B1056" s="120" t="s">
        <v>1929</v>
      </c>
      <c r="C1056" s="121" t="s">
        <v>1930</v>
      </c>
      <c r="D1056" s="122">
        <v>0.3</v>
      </c>
      <c r="E1056" s="122">
        <v>1.28</v>
      </c>
      <c r="F1056" s="122"/>
      <c r="G1056" s="122">
        <v>2.3756900000000001</v>
      </c>
    </row>
    <row r="1057" spans="2:7" x14ac:dyDescent="0.2">
      <c r="B1057" s="120" t="s">
        <v>1931</v>
      </c>
      <c r="C1057" s="121" t="s">
        <v>1932</v>
      </c>
      <c r="D1057" s="122">
        <v>0.85</v>
      </c>
      <c r="E1057" s="122">
        <v>1.18</v>
      </c>
      <c r="F1057" s="122">
        <v>0.57999999999999996</v>
      </c>
      <c r="G1057" s="122">
        <v>36.601999999999997</v>
      </c>
    </row>
    <row r="1058" spans="2:7" x14ac:dyDescent="0.2">
      <c r="B1058" s="120" t="s">
        <v>1933</v>
      </c>
      <c r="C1058" s="121" t="s">
        <v>1934</v>
      </c>
      <c r="D1058" s="122">
        <v>1.04</v>
      </c>
      <c r="E1058" s="122">
        <v>0.97</v>
      </c>
      <c r="F1058" s="122"/>
      <c r="G1058" s="122">
        <v>34.203989999999997</v>
      </c>
    </row>
    <row r="1059" spans="2:7" x14ac:dyDescent="0.2">
      <c r="B1059" s="120" t="s">
        <v>1935</v>
      </c>
      <c r="C1059" s="121" t="s">
        <v>1936</v>
      </c>
      <c r="D1059" s="122">
        <v>0.5</v>
      </c>
      <c r="E1059" s="122">
        <v>0.76</v>
      </c>
      <c r="F1059" s="122"/>
      <c r="G1059" s="122">
        <v>38.189990000000002</v>
      </c>
    </row>
    <row r="1060" spans="2:7" x14ac:dyDescent="0.2">
      <c r="B1060" s="120" t="s">
        <v>4285</v>
      </c>
      <c r="C1060" s="121" t="s">
        <v>4286</v>
      </c>
      <c r="D1060" s="122">
        <v>1.96</v>
      </c>
      <c r="E1060" s="122">
        <v>1.96</v>
      </c>
      <c r="F1060" s="122">
        <v>0.93</v>
      </c>
      <c r="G1060" s="122">
        <v>48.34</v>
      </c>
    </row>
    <row r="1061" spans="2:7" x14ac:dyDescent="0.2">
      <c r="B1061" s="120" t="s">
        <v>4287</v>
      </c>
      <c r="C1061" s="121" t="s">
        <v>4288</v>
      </c>
      <c r="D1061" s="122">
        <v>2.72</v>
      </c>
      <c r="E1061" s="122">
        <v>3.79</v>
      </c>
      <c r="F1061" s="122"/>
      <c r="G1061" s="122">
        <v>0</v>
      </c>
    </row>
    <row r="1062" spans="2:7" x14ac:dyDescent="0.2">
      <c r="B1062" s="120" t="s">
        <v>1937</v>
      </c>
      <c r="C1062" s="121" t="s">
        <v>1938</v>
      </c>
      <c r="D1062" s="122"/>
      <c r="E1062" s="122"/>
      <c r="F1062" s="122"/>
      <c r="G1062" s="122"/>
    </row>
    <row r="1063" spans="2:7" x14ac:dyDescent="0.2">
      <c r="B1063" s="120" t="s">
        <v>1937</v>
      </c>
      <c r="C1063" s="121" t="s">
        <v>4289</v>
      </c>
      <c r="D1063" s="122">
        <v>0.87</v>
      </c>
      <c r="E1063" s="122">
        <v>0.9</v>
      </c>
      <c r="F1063" s="122"/>
      <c r="G1063" s="122">
        <v>78.221999999999994</v>
      </c>
    </row>
    <row r="1064" spans="2:7" x14ac:dyDescent="0.2">
      <c r="B1064" s="120" t="s">
        <v>1939</v>
      </c>
      <c r="C1064" s="121" t="s">
        <v>1940</v>
      </c>
      <c r="D1064" s="122">
        <v>1.0900000000000001</v>
      </c>
      <c r="E1064" s="122">
        <v>1.0900000000000001</v>
      </c>
      <c r="F1064" s="122">
        <v>0.92</v>
      </c>
      <c r="G1064" s="122">
        <v>47.594999999999999</v>
      </c>
    </row>
    <row r="1065" spans="2:7" x14ac:dyDescent="0.2">
      <c r="B1065" s="120" t="s">
        <v>1941</v>
      </c>
      <c r="C1065" s="121" t="s">
        <v>1942</v>
      </c>
      <c r="D1065" s="122">
        <v>1.86</v>
      </c>
      <c r="E1065" s="122">
        <v>2.0299999999999998</v>
      </c>
      <c r="F1065" s="122">
        <v>0</v>
      </c>
      <c r="G1065" s="122">
        <v>0.48952000000000001</v>
      </c>
    </row>
    <row r="1066" spans="2:7" x14ac:dyDescent="0.2">
      <c r="B1066" s="120" t="s">
        <v>1943</v>
      </c>
      <c r="C1066" s="121" t="s">
        <v>1944</v>
      </c>
      <c r="D1066" s="122">
        <v>1.73</v>
      </c>
      <c r="E1066" s="122">
        <v>2.44</v>
      </c>
      <c r="F1066" s="122">
        <v>1.19</v>
      </c>
      <c r="G1066" s="122">
        <v>54.235999999999997</v>
      </c>
    </row>
    <row r="1067" spans="2:7" x14ac:dyDescent="0.2">
      <c r="B1067" s="120" t="s">
        <v>4290</v>
      </c>
      <c r="C1067" s="121" t="s">
        <v>4291</v>
      </c>
      <c r="D1067" s="122">
        <v>2.6</v>
      </c>
      <c r="E1067" s="122">
        <v>4.3</v>
      </c>
      <c r="F1067" s="122"/>
      <c r="G1067" s="122">
        <v>74.903989999999993</v>
      </c>
    </row>
    <row r="1068" spans="2:7" x14ac:dyDescent="0.2">
      <c r="B1068" s="120" t="s">
        <v>1945</v>
      </c>
      <c r="C1068" s="121" t="s">
        <v>1946</v>
      </c>
      <c r="D1068" s="122">
        <v>0.32</v>
      </c>
      <c r="E1068" s="122">
        <v>0.32</v>
      </c>
      <c r="F1068" s="122"/>
      <c r="G1068" s="122">
        <v>35.305990000000001</v>
      </c>
    </row>
    <row r="1069" spans="2:7" x14ac:dyDescent="0.2">
      <c r="B1069" s="120" t="s">
        <v>1947</v>
      </c>
      <c r="C1069" s="121" t="s">
        <v>1948</v>
      </c>
      <c r="D1069" s="122">
        <v>0.74</v>
      </c>
      <c r="E1069" s="122">
        <v>0.75</v>
      </c>
      <c r="F1069" s="122">
        <v>0.33</v>
      </c>
      <c r="G1069" s="122">
        <v>24.965990000000001</v>
      </c>
    </row>
    <row r="1070" spans="2:7" x14ac:dyDescent="0.2">
      <c r="B1070" s="120" t="s">
        <v>1949</v>
      </c>
      <c r="C1070" s="121" t="s">
        <v>1950</v>
      </c>
      <c r="D1070" s="122">
        <v>0.49</v>
      </c>
      <c r="E1070" s="122">
        <v>0.81</v>
      </c>
      <c r="F1070" s="122">
        <v>134.02000000000001</v>
      </c>
      <c r="G1070" s="122">
        <v>99.259</v>
      </c>
    </row>
    <row r="1071" spans="2:7" x14ac:dyDescent="0.2">
      <c r="B1071" s="120" t="s">
        <v>1951</v>
      </c>
      <c r="C1071" s="121" t="s">
        <v>1952</v>
      </c>
      <c r="D1071" s="122">
        <v>0.71</v>
      </c>
      <c r="E1071" s="122">
        <v>0.41</v>
      </c>
      <c r="F1071" s="122">
        <v>0.96</v>
      </c>
      <c r="G1071" s="122">
        <v>49.484000000000002</v>
      </c>
    </row>
    <row r="1072" spans="2:7" x14ac:dyDescent="0.2">
      <c r="B1072" s="120" t="s">
        <v>1953</v>
      </c>
      <c r="C1072" s="121" t="s">
        <v>1954</v>
      </c>
      <c r="D1072" s="122">
        <v>0.21</v>
      </c>
      <c r="E1072" s="122">
        <v>0.27</v>
      </c>
      <c r="F1072" s="122">
        <v>0.28000000000000003</v>
      </c>
      <c r="G1072" s="122">
        <v>21.822990000000001</v>
      </c>
    </row>
    <row r="1073" spans="2:7" x14ac:dyDescent="0.2">
      <c r="B1073" s="120" t="s">
        <v>1955</v>
      </c>
      <c r="C1073" s="121" t="s">
        <v>1956</v>
      </c>
      <c r="D1073" s="122"/>
      <c r="E1073" s="122">
        <v>1.75</v>
      </c>
      <c r="F1073" s="122"/>
      <c r="G1073" s="122">
        <v>20.139990000000001</v>
      </c>
    </row>
    <row r="1074" spans="2:7" x14ac:dyDescent="0.2">
      <c r="B1074" s="120" t="s">
        <v>1957</v>
      </c>
      <c r="C1074" s="121" t="s">
        <v>1958</v>
      </c>
      <c r="D1074" s="122">
        <v>0.53</v>
      </c>
      <c r="E1074" s="122">
        <v>2.21</v>
      </c>
      <c r="F1074" s="122"/>
      <c r="G1074" s="122">
        <v>80.752989999999997</v>
      </c>
    </row>
    <row r="1075" spans="2:7" x14ac:dyDescent="0.2">
      <c r="B1075" s="120" t="s">
        <v>4292</v>
      </c>
      <c r="C1075" s="121" t="s">
        <v>4293</v>
      </c>
      <c r="D1075" s="122">
        <v>1.06</v>
      </c>
      <c r="E1075" s="122">
        <v>1.33</v>
      </c>
      <c r="F1075" s="122">
        <v>0.25</v>
      </c>
      <c r="G1075" s="122">
        <v>20.177990000000001</v>
      </c>
    </row>
    <row r="1076" spans="2:7" x14ac:dyDescent="0.2">
      <c r="B1076" s="120" t="s">
        <v>1959</v>
      </c>
      <c r="C1076" s="121" t="s">
        <v>1960</v>
      </c>
      <c r="D1076" s="122">
        <v>1.6</v>
      </c>
      <c r="E1076" s="122">
        <v>2.13</v>
      </c>
      <c r="F1076" s="122"/>
      <c r="G1076" s="122">
        <v>30.559989999999999</v>
      </c>
    </row>
    <row r="1077" spans="2:7" x14ac:dyDescent="0.2">
      <c r="B1077" s="120" t="s">
        <v>1961</v>
      </c>
      <c r="C1077" s="121" t="s">
        <v>1962</v>
      </c>
      <c r="D1077" s="122">
        <v>2.82</v>
      </c>
      <c r="E1077" s="122">
        <v>2.93</v>
      </c>
      <c r="F1077" s="122"/>
      <c r="G1077" s="122">
        <v>3.4251</v>
      </c>
    </row>
    <row r="1078" spans="2:7" x14ac:dyDescent="0.2">
      <c r="B1078" s="120" t="s">
        <v>4294</v>
      </c>
      <c r="C1078" s="121" t="s">
        <v>4295</v>
      </c>
      <c r="D1078" s="122">
        <v>0.81</v>
      </c>
      <c r="E1078" s="122">
        <v>0.11</v>
      </c>
      <c r="F1078" s="122">
        <v>0.03</v>
      </c>
      <c r="G1078" s="122">
        <v>3.1580900000000001</v>
      </c>
    </row>
    <row r="1079" spans="2:7" x14ac:dyDescent="0.2">
      <c r="B1079" s="120" t="s">
        <v>1963</v>
      </c>
      <c r="C1079" s="121" t="s">
        <v>1964</v>
      </c>
      <c r="D1079" s="122">
        <v>1.48</v>
      </c>
      <c r="E1079" s="122">
        <v>1.17</v>
      </c>
      <c r="F1079" s="122">
        <v>0.15</v>
      </c>
      <c r="G1079" s="122">
        <v>13.052</v>
      </c>
    </row>
    <row r="1080" spans="2:7" x14ac:dyDescent="0.2">
      <c r="B1080" s="120" t="s">
        <v>1965</v>
      </c>
      <c r="C1080" s="121" t="s">
        <v>1966</v>
      </c>
      <c r="D1080" s="122">
        <v>0.95</v>
      </c>
      <c r="E1080" s="122">
        <v>0.83</v>
      </c>
      <c r="F1080" s="122">
        <v>1.44</v>
      </c>
      <c r="G1080" s="122">
        <v>59.075000000000003</v>
      </c>
    </row>
    <row r="1081" spans="2:7" x14ac:dyDescent="0.2">
      <c r="B1081" s="120" t="s">
        <v>1967</v>
      </c>
      <c r="C1081" s="121" t="s">
        <v>1968</v>
      </c>
      <c r="D1081" s="122">
        <v>1.04</v>
      </c>
      <c r="E1081" s="122">
        <v>1.01</v>
      </c>
      <c r="F1081" s="122">
        <v>0.46</v>
      </c>
      <c r="G1081" s="122">
        <v>31.691990000000001</v>
      </c>
    </row>
    <row r="1082" spans="2:7" x14ac:dyDescent="0.2">
      <c r="B1082" s="120" t="s">
        <v>4296</v>
      </c>
      <c r="C1082" s="121" t="s">
        <v>4297</v>
      </c>
      <c r="D1082" s="122">
        <v>1</v>
      </c>
      <c r="E1082" s="122">
        <v>1.32</v>
      </c>
      <c r="F1082" s="122">
        <v>0.64</v>
      </c>
      <c r="G1082" s="122">
        <v>38.844000000000001</v>
      </c>
    </row>
    <row r="1083" spans="2:7" x14ac:dyDescent="0.2">
      <c r="B1083" s="120" t="s">
        <v>1969</v>
      </c>
      <c r="C1083" s="121" t="s">
        <v>14</v>
      </c>
      <c r="D1083" s="122">
        <v>0.28000000000000003</v>
      </c>
      <c r="E1083" s="122">
        <v>0.76</v>
      </c>
      <c r="F1083" s="122">
        <v>2.15</v>
      </c>
      <c r="G1083" s="122">
        <v>68.240989999999996</v>
      </c>
    </row>
    <row r="1084" spans="2:7" x14ac:dyDescent="0.2">
      <c r="B1084" s="120" t="s">
        <v>1970</v>
      </c>
      <c r="C1084" s="121" t="s">
        <v>1971</v>
      </c>
      <c r="D1084" s="122">
        <v>1.22</v>
      </c>
      <c r="E1084" s="122">
        <v>0.99</v>
      </c>
      <c r="F1084" s="122">
        <v>0.76</v>
      </c>
      <c r="G1084" s="122">
        <v>43.228999999999999</v>
      </c>
    </row>
    <row r="1085" spans="2:7" x14ac:dyDescent="0.2">
      <c r="B1085" s="120" t="s">
        <v>4298</v>
      </c>
      <c r="C1085" s="121" t="s">
        <v>4299</v>
      </c>
      <c r="D1085" s="122"/>
      <c r="E1085" s="122"/>
      <c r="F1085" s="122"/>
      <c r="G1085" s="122"/>
    </row>
    <row r="1086" spans="2:7" x14ac:dyDescent="0.2">
      <c r="B1086" s="120" t="s">
        <v>4300</v>
      </c>
      <c r="C1086" s="121" t="s">
        <v>4301</v>
      </c>
      <c r="D1086" s="122">
        <v>0.84</v>
      </c>
      <c r="E1086" s="122">
        <v>1.38</v>
      </c>
      <c r="F1086" s="122"/>
      <c r="G1086" s="122">
        <v>34.444000000000003</v>
      </c>
    </row>
    <row r="1087" spans="2:7" x14ac:dyDescent="0.2">
      <c r="B1087" s="120" t="s">
        <v>1972</v>
      </c>
      <c r="C1087" s="121" t="s">
        <v>1973</v>
      </c>
      <c r="D1087" s="122">
        <v>0.5</v>
      </c>
      <c r="E1087" s="122">
        <v>1.65</v>
      </c>
      <c r="F1087" s="122">
        <v>1.06</v>
      </c>
      <c r="G1087" s="122">
        <v>51.411990000000003</v>
      </c>
    </row>
    <row r="1088" spans="2:7" x14ac:dyDescent="0.2">
      <c r="B1088" s="120" t="s">
        <v>1974</v>
      </c>
      <c r="C1088" s="121" t="s">
        <v>1975</v>
      </c>
      <c r="D1088" s="122">
        <v>1.06</v>
      </c>
      <c r="E1088" s="122">
        <v>0.79</v>
      </c>
      <c r="F1088" s="122">
        <v>0.47</v>
      </c>
      <c r="G1088" s="122">
        <v>31.794</v>
      </c>
    </row>
    <row r="1089" spans="2:7" x14ac:dyDescent="0.2">
      <c r="B1089" s="120" t="s">
        <v>1976</v>
      </c>
      <c r="C1089" s="121" t="s">
        <v>1977</v>
      </c>
      <c r="D1089" s="122">
        <v>1.18</v>
      </c>
      <c r="E1089" s="122">
        <v>1.19</v>
      </c>
      <c r="F1089" s="122">
        <v>0.38</v>
      </c>
      <c r="G1089" s="122">
        <v>27.436</v>
      </c>
    </row>
    <row r="1090" spans="2:7" x14ac:dyDescent="0.2">
      <c r="B1090" s="120" t="s">
        <v>1978</v>
      </c>
      <c r="C1090" s="121" t="s">
        <v>1979</v>
      </c>
      <c r="D1090" s="122"/>
      <c r="E1090" s="122"/>
      <c r="F1090" s="122"/>
      <c r="G1090" s="122"/>
    </row>
    <row r="1091" spans="2:7" x14ac:dyDescent="0.2">
      <c r="B1091" s="120" t="s">
        <v>1980</v>
      </c>
      <c r="C1091" s="121" t="s">
        <v>1981</v>
      </c>
      <c r="D1091" s="122">
        <v>1.7</v>
      </c>
      <c r="E1091" s="122">
        <v>2.41</v>
      </c>
      <c r="F1091" s="122"/>
      <c r="G1091" s="122">
        <v>23.443999999999999</v>
      </c>
    </row>
    <row r="1092" spans="2:7" x14ac:dyDescent="0.2">
      <c r="B1092" s="120" t="s">
        <v>4302</v>
      </c>
      <c r="C1092" s="121" t="s">
        <v>4303</v>
      </c>
      <c r="D1092" s="122">
        <v>1.1200000000000001</v>
      </c>
      <c r="E1092" s="122">
        <v>0.87</v>
      </c>
      <c r="F1092" s="122">
        <v>4.0199999999999996</v>
      </c>
      <c r="G1092" s="122">
        <v>80.066999999999993</v>
      </c>
    </row>
    <row r="1093" spans="2:7" x14ac:dyDescent="0.2">
      <c r="B1093" s="120" t="s">
        <v>1982</v>
      </c>
      <c r="C1093" s="121" t="s">
        <v>1983</v>
      </c>
      <c r="D1093" s="122"/>
      <c r="E1093" s="122">
        <v>1.26</v>
      </c>
      <c r="F1093" s="122"/>
      <c r="G1093" s="122">
        <v>39.734999999999999</v>
      </c>
    </row>
    <row r="1094" spans="2:7" x14ac:dyDescent="0.2">
      <c r="B1094" s="120" t="s">
        <v>1984</v>
      </c>
      <c r="C1094" s="121" t="s">
        <v>1985</v>
      </c>
      <c r="D1094" s="122">
        <v>2.71</v>
      </c>
      <c r="E1094" s="122">
        <v>3.34</v>
      </c>
      <c r="F1094" s="122">
        <v>0.01</v>
      </c>
      <c r="G1094" s="122">
        <v>1.0629900000000001</v>
      </c>
    </row>
    <row r="1095" spans="2:7" x14ac:dyDescent="0.2">
      <c r="B1095" s="120" t="s">
        <v>1986</v>
      </c>
      <c r="C1095" s="121" t="s">
        <v>1987</v>
      </c>
      <c r="D1095" s="122">
        <v>0.33</v>
      </c>
      <c r="E1095" s="122">
        <v>0.34</v>
      </c>
      <c r="F1095" s="122">
        <v>0.51</v>
      </c>
      <c r="G1095" s="122">
        <v>33.84299</v>
      </c>
    </row>
    <row r="1096" spans="2:7" x14ac:dyDescent="0.2">
      <c r="B1096" s="120" t="s">
        <v>1988</v>
      </c>
      <c r="C1096" s="121" t="s">
        <v>1989</v>
      </c>
      <c r="D1096" s="122">
        <v>0.25</v>
      </c>
      <c r="E1096" s="122">
        <v>1.1599999999999999</v>
      </c>
      <c r="F1096" s="122">
        <v>1.23</v>
      </c>
      <c r="G1096" s="122">
        <v>55.101999999999997</v>
      </c>
    </row>
    <row r="1097" spans="2:7" x14ac:dyDescent="0.2">
      <c r="B1097" s="120" t="s">
        <v>1990</v>
      </c>
      <c r="C1097" s="121" t="s">
        <v>1991</v>
      </c>
      <c r="D1097" s="122">
        <v>0.8</v>
      </c>
      <c r="E1097" s="122">
        <v>0.5</v>
      </c>
      <c r="F1097" s="122">
        <v>3.33</v>
      </c>
      <c r="G1097" s="122">
        <v>76.904989999999998</v>
      </c>
    </row>
    <row r="1098" spans="2:7" x14ac:dyDescent="0.2">
      <c r="B1098" s="120" t="s">
        <v>4304</v>
      </c>
      <c r="C1098" s="121" t="s">
        <v>4305</v>
      </c>
      <c r="D1098" s="122">
        <v>2.36</v>
      </c>
      <c r="E1098" s="122">
        <v>3.08</v>
      </c>
      <c r="F1098" s="122">
        <v>0</v>
      </c>
      <c r="G1098" s="122">
        <v>0</v>
      </c>
    </row>
    <row r="1099" spans="2:7" x14ac:dyDescent="0.2">
      <c r="B1099" s="120" t="s">
        <v>1992</v>
      </c>
      <c r="C1099" s="121" t="s">
        <v>1993</v>
      </c>
      <c r="D1099" s="122">
        <v>1.02</v>
      </c>
      <c r="E1099" s="122">
        <v>0.93</v>
      </c>
      <c r="F1099" s="122">
        <v>0.68</v>
      </c>
      <c r="G1099" s="122">
        <v>40.541989999999998</v>
      </c>
    </row>
    <row r="1100" spans="2:7" x14ac:dyDescent="0.2">
      <c r="B1100" s="120" t="s">
        <v>1994</v>
      </c>
      <c r="C1100" s="121" t="s">
        <v>1995</v>
      </c>
      <c r="D1100" s="122">
        <v>1.71</v>
      </c>
      <c r="E1100" s="122">
        <v>1.95</v>
      </c>
      <c r="F1100" s="122">
        <v>3.11</v>
      </c>
      <c r="G1100" s="122">
        <v>75.676000000000002</v>
      </c>
    </row>
    <row r="1101" spans="2:7" x14ac:dyDescent="0.2">
      <c r="B1101" s="120" t="s">
        <v>1996</v>
      </c>
      <c r="C1101" s="121" t="s">
        <v>1997</v>
      </c>
      <c r="D1101" s="122">
        <v>1.01</v>
      </c>
      <c r="E1101" s="122">
        <v>1.2</v>
      </c>
      <c r="F1101" s="122">
        <v>-9.3000000000000007</v>
      </c>
      <c r="G1101" s="122"/>
    </row>
    <row r="1102" spans="2:7" x14ac:dyDescent="0.2">
      <c r="B1102" s="120" t="s">
        <v>1998</v>
      </c>
      <c r="C1102" s="121" t="s">
        <v>4306</v>
      </c>
      <c r="D1102" s="122">
        <v>10.33</v>
      </c>
      <c r="E1102" s="122">
        <v>2.5299999999999998</v>
      </c>
      <c r="F1102" s="122">
        <v>0.05</v>
      </c>
      <c r="G1102" s="122">
        <v>4.7122000000000002</v>
      </c>
    </row>
    <row r="1103" spans="2:7" x14ac:dyDescent="0.2">
      <c r="B1103" s="120" t="s">
        <v>1998</v>
      </c>
      <c r="C1103" s="121" t="s">
        <v>1999</v>
      </c>
      <c r="D1103" s="122">
        <v>10.33</v>
      </c>
      <c r="E1103" s="122">
        <v>2.5299999999999998</v>
      </c>
      <c r="F1103" s="122">
        <v>0.05</v>
      </c>
      <c r="G1103" s="122">
        <v>4.7122000000000002</v>
      </c>
    </row>
    <row r="1104" spans="2:7" x14ac:dyDescent="0.2">
      <c r="B1104" s="120" t="s">
        <v>2000</v>
      </c>
      <c r="C1104" s="121" t="s">
        <v>2001</v>
      </c>
      <c r="D1104" s="122">
        <v>0.4</v>
      </c>
      <c r="E1104" s="122">
        <v>0.39</v>
      </c>
      <c r="F1104" s="122">
        <v>7.15</v>
      </c>
      <c r="G1104" s="122">
        <v>87.725989999999996</v>
      </c>
    </row>
    <row r="1105" spans="2:7" x14ac:dyDescent="0.2">
      <c r="B1105" s="120" t="s">
        <v>2000</v>
      </c>
      <c r="C1105" s="121" t="s">
        <v>4307</v>
      </c>
      <c r="D1105" s="122">
        <v>0.4</v>
      </c>
      <c r="E1105" s="122">
        <v>0.39</v>
      </c>
      <c r="F1105" s="122">
        <v>7.15</v>
      </c>
      <c r="G1105" s="122">
        <v>87.725989999999996</v>
      </c>
    </row>
    <row r="1106" spans="2:7" x14ac:dyDescent="0.2">
      <c r="B1106" s="120" t="s">
        <v>2000</v>
      </c>
      <c r="C1106" s="121" t="s">
        <v>4308</v>
      </c>
      <c r="D1106" s="122">
        <v>0.4</v>
      </c>
      <c r="E1106" s="122">
        <v>0.39</v>
      </c>
      <c r="F1106" s="122">
        <v>7.15</v>
      </c>
      <c r="G1106" s="122">
        <v>87.725989999999996</v>
      </c>
    </row>
    <row r="1107" spans="2:7" x14ac:dyDescent="0.2">
      <c r="B1107" s="120" t="s">
        <v>2002</v>
      </c>
      <c r="C1107" s="121" t="s">
        <v>2003</v>
      </c>
      <c r="D1107" s="122">
        <v>1.38</v>
      </c>
      <c r="E1107" s="122">
        <v>1.3</v>
      </c>
      <c r="F1107" s="122">
        <v>0.96</v>
      </c>
      <c r="G1107" s="122">
        <v>49.067999999999998</v>
      </c>
    </row>
    <row r="1108" spans="2:7" x14ac:dyDescent="0.2">
      <c r="B1108" s="120" t="s">
        <v>2004</v>
      </c>
      <c r="C1108" s="121" t="s">
        <v>2005</v>
      </c>
      <c r="D1108" s="122">
        <v>1.1299999999999999</v>
      </c>
      <c r="E1108" s="122">
        <v>1.34</v>
      </c>
      <c r="F1108" s="122">
        <v>0.52</v>
      </c>
      <c r="G1108" s="122">
        <v>35.817</v>
      </c>
    </row>
    <row r="1109" spans="2:7" x14ac:dyDescent="0.2">
      <c r="B1109" s="120" t="s">
        <v>2006</v>
      </c>
      <c r="C1109" s="121" t="s">
        <v>2007</v>
      </c>
      <c r="D1109" s="122">
        <v>1.63</v>
      </c>
      <c r="E1109" s="122">
        <v>1.98</v>
      </c>
      <c r="F1109" s="122">
        <v>0.84</v>
      </c>
      <c r="G1109" s="122">
        <v>45.643999999999998</v>
      </c>
    </row>
    <row r="1110" spans="2:7" x14ac:dyDescent="0.2">
      <c r="B1110" s="120" t="s">
        <v>2008</v>
      </c>
      <c r="C1110" s="121" t="s">
        <v>2009</v>
      </c>
      <c r="D1110" s="122">
        <v>1.0900000000000001</v>
      </c>
      <c r="E1110" s="122">
        <v>1.89</v>
      </c>
      <c r="F1110" s="122">
        <v>2.0099999999999998</v>
      </c>
      <c r="G1110" s="122">
        <v>66.820989999999995</v>
      </c>
    </row>
    <row r="1111" spans="2:7" x14ac:dyDescent="0.2">
      <c r="B1111" s="120" t="s">
        <v>4309</v>
      </c>
      <c r="C1111" s="121" t="s">
        <v>4310</v>
      </c>
      <c r="D1111" s="122"/>
      <c r="E1111" s="122"/>
      <c r="F1111" s="122"/>
      <c r="G1111" s="122"/>
    </row>
    <row r="1112" spans="2:7" x14ac:dyDescent="0.2">
      <c r="B1112" s="120" t="s">
        <v>2010</v>
      </c>
      <c r="C1112" s="121" t="s">
        <v>2011</v>
      </c>
      <c r="D1112" s="122">
        <v>1.1200000000000001</v>
      </c>
      <c r="E1112" s="122">
        <v>13.93</v>
      </c>
      <c r="F1112" s="122"/>
      <c r="G1112" s="122">
        <v>38.116</v>
      </c>
    </row>
    <row r="1113" spans="2:7" x14ac:dyDescent="0.2">
      <c r="B1113" s="120" t="s">
        <v>2010</v>
      </c>
      <c r="C1113" s="121" t="s">
        <v>4311</v>
      </c>
      <c r="D1113" s="122">
        <v>1.1200000000000001</v>
      </c>
      <c r="E1113" s="122">
        <v>13.93</v>
      </c>
      <c r="F1113" s="122"/>
      <c r="G1113" s="122">
        <v>38.116</v>
      </c>
    </row>
    <row r="1114" spans="2:7" x14ac:dyDescent="0.2">
      <c r="B1114" s="120" t="s">
        <v>4312</v>
      </c>
      <c r="C1114" s="121" t="s">
        <v>4313</v>
      </c>
      <c r="D1114" s="122">
        <v>1.33</v>
      </c>
      <c r="E1114" s="122">
        <v>2.35</v>
      </c>
      <c r="F1114" s="122"/>
      <c r="G1114" s="122">
        <v>43.351999999999997</v>
      </c>
    </row>
    <row r="1115" spans="2:7" x14ac:dyDescent="0.2">
      <c r="B1115" s="120" t="s">
        <v>2012</v>
      </c>
      <c r="C1115" s="121" t="s">
        <v>2013</v>
      </c>
      <c r="D1115" s="122">
        <v>5.33</v>
      </c>
      <c r="E1115" s="122">
        <v>5.58</v>
      </c>
      <c r="F1115" s="122">
        <v>0.15</v>
      </c>
      <c r="G1115" s="122">
        <v>12.86999</v>
      </c>
    </row>
    <row r="1116" spans="2:7" x14ac:dyDescent="0.2">
      <c r="B1116" s="120" t="s">
        <v>2014</v>
      </c>
      <c r="C1116" s="121" t="s">
        <v>2015</v>
      </c>
      <c r="D1116" s="122">
        <v>2.62</v>
      </c>
      <c r="E1116" s="122">
        <v>3.9</v>
      </c>
      <c r="F1116" s="122">
        <v>0.46</v>
      </c>
      <c r="G1116" s="122">
        <v>31.538</v>
      </c>
    </row>
    <row r="1117" spans="2:7" x14ac:dyDescent="0.2">
      <c r="B1117" s="120" t="s">
        <v>4314</v>
      </c>
      <c r="C1117" s="121" t="s">
        <v>4315</v>
      </c>
      <c r="D1117" s="122">
        <v>3.56</v>
      </c>
      <c r="E1117" s="122">
        <v>3.56</v>
      </c>
      <c r="F1117" s="122"/>
      <c r="G1117" s="122">
        <v>36.381990000000002</v>
      </c>
    </row>
    <row r="1118" spans="2:7" x14ac:dyDescent="0.2">
      <c r="B1118" s="120" t="s">
        <v>4316</v>
      </c>
      <c r="C1118" s="121" t="s">
        <v>4317</v>
      </c>
      <c r="D1118" s="122">
        <v>1.1100000000000001</v>
      </c>
      <c r="E1118" s="122">
        <v>1.69</v>
      </c>
      <c r="F1118" s="122"/>
      <c r="G1118" s="122">
        <v>39.283999999999999</v>
      </c>
    </row>
    <row r="1119" spans="2:7" x14ac:dyDescent="0.2">
      <c r="B1119" s="120" t="s">
        <v>2016</v>
      </c>
      <c r="C1119" s="121" t="s">
        <v>2017</v>
      </c>
      <c r="D1119" s="122">
        <v>1.38</v>
      </c>
      <c r="E1119" s="122">
        <v>1.1399999999999999</v>
      </c>
      <c r="F1119" s="122">
        <v>0.95</v>
      </c>
      <c r="G1119" s="122">
        <v>48.71799</v>
      </c>
    </row>
    <row r="1120" spans="2:7" x14ac:dyDescent="0.2">
      <c r="B1120" s="120" t="s">
        <v>2018</v>
      </c>
      <c r="C1120" s="121" t="s">
        <v>2019</v>
      </c>
      <c r="D1120" s="122">
        <v>1.78</v>
      </c>
      <c r="E1120" s="122">
        <v>1.59</v>
      </c>
      <c r="F1120" s="122">
        <v>0.16</v>
      </c>
      <c r="G1120" s="122">
        <v>14.49499</v>
      </c>
    </row>
    <row r="1121" spans="2:7" x14ac:dyDescent="0.2">
      <c r="B1121" s="120" t="s">
        <v>2020</v>
      </c>
      <c r="C1121" s="121" t="s">
        <v>2021</v>
      </c>
      <c r="D1121" s="122">
        <v>1.04</v>
      </c>
      <c r="E1121" s="122">
        <v>1.1399999999999999</v>
      </c>
      <c r="F1121" s="122">
        <v>0.82</v>
      </c>
      <c r="G1121" s="122">
        <v>45.103000000000002</v>
      </c>
    </row>
    <row r="1122" spans="2:7" x14ac:dyDescent="0.2">
      <c r="B1122" s="120" t="s">
        <v>2022</v>
      </c>
      <c r="C1122" s="121" t="s">
        <v>2023</v>
      </c>
      <c r="D1122" s="122">
        <v>0.56999999999999995</v>
      </c>
      <c r="E1122" s="122">
        <v>1.34</v>
      </c>
      <c r="F1122" s="122">
        <v>-5.85</v>
      </c>
      <c r="G1122" s="122"/>
    </row>
    <row r="1123" spans="2:7" x14ac:dyDescent="0.2">
      <c r="B1123" s="120" t="s">
        <v>2000</v>
      </c>
      <c r="C1123" s="121" t="s">
        <v>2024</v>
      </c>
      <c r="D1123" s="122"/>
      <c r="E1123" s="122"/>
      <c r="F1123" s="122"/>
      <c r="G1123" s="122"/>
    </row>
    <row r="1124" spans="2:7" x14ac:dyDescent="0.2">
      <c r="B1124" s="120" t="s">
        <v>2000</v>
      </c>
      <c r="C1124" s="121" t="s">
        <v>4318</v>
      </c>
      <c r="D1124" s="122"/>
      <c r="E1124" s="122"/>
      <c r="F1124" s="122"/>
      <c r="G1124" s="122"/>
    </row>
    <row r="1125" spans="2:7" x14ac:dyDescent="0.2">
      <c r="B1125" s="120" t="s">
        <v>2025</v>
      </c>
      <c r="C1125" s="121" t="s">
        <v>2026</v>
      </c>
      <c r="D1125" s="122">
        <v>1.21</v>
      </c>
      <c r="E1125" s="122">
        <v>1.02</v>
      </c>
      <c r="F1125" s="122">
        <v>0.23</v>
      </c>
      <c r="G1125" s="122">
        <v>18.83399</v>
      </c>
    </row>
    <row r="1126" spans="2:7" x14ac:dyDescent="0.2">
      <c r="B1126" s="120" t="s">
        <v>2027</v>
      </c>
      <c r="C1126" s="121" t="s">
        <v>2028</v>
      </c>
      <c r="D1126" s="122">
        <v>1.34</v>
      </c>
      <c r="E1126" s="122">
        <v>1.66</v>
      </c>
      <c r="F1126" s="122"/>
      <c r="G1126" s="122">
        <v>0.58498000000000006</v>
      </c>
    </row>
    <row r="1127" spans="2:7" x14ac:dyDescent="0.2">
      <c r="B1127" s="120" t="s">
        <v>2029</v>
      </c>
      <c r="C1127" s="121" t="s">
        <v>2030</v>
      </c>
      <c r="D1127" s="122">
        <v>3.76</v>
      </c>
      <c r="E1127" s="122">
        <v>4.53</v>
      </c>
      <c r="F1127" s="122">
        <v>0.56000000000000005</v>
      </c>
      <c r="G1127" s="122">
        <v>35.828989999999997</v>
      </c>
    </row>
    <row r="1128" spans="2:7" x14ac:dyDescent="0.2">
      <c r="B1128" s="120" t="s">
        <v>2031</v>
      </c>
      <c r="C1128" s="121" t="s">
        <v>2032</v>
      </c>
      <c r="D1128" s="122">
        <v>0.76</v>
      </c>
      <c r="E1128" s="122">
        <v>0.95</v>
      </c>
      <c r="F1128" s="122">
        <v>0.15</v>
      </c>
      <c r="G1128" s="122">
        <v>13.005000000000001</v>
      </c>
    </row>
    <row r="1129" spans="2:7" x14ac:dyDescent="0.2">
      <c r="B1129" s="120" t="s">
        <v>4319</v>
      </c>
      <c r="C1129" s="121" t="s">
        <v>4320</v>
      </c>
      <c r="D1129" s="122">
        <v>2.92</v>
      </c>
      <c r="E1129" s="122">
        <v>5.62</v>
      </c>
      <c r="F1129" s="122">
        <v>0.01</v>
      </c>
      <c r="G1129" s="122">
        <v>1.11609</v>
      </c>
    </row>
    <row r="1130" spans="2:7" x14ac:dyDescent="0.2">
      <c r="B1130" s="120" t="s">
        <v>2033</v>
      </c>
      <c r="C1130" s="121" t="s">
        <v>2034</v>
      </c>
      <c r="D1130" s="122">
        <v>1</v>
      </c>
      <c r="E1130" s="122">
        <v>2.2000000000000002</v>
      </c>
      <c r="F1130" s="122">
        <v>1.03</v>
      </c>
      <c r="G1130" s="122">
        <v>50.664999999999999</v>
      </c>
    </row>
    <row r="1131" spans="2:7" x14ac:dyDescent="0.2">
      <c r="B1131" s="120" t="s">
        <v>2035</v>
      </c>
      <c r="C1131" s="121" t="s">
        <v>2036</v>
      </c>
      <c r="D1131" s="122">
        <v>1.38</v>
      </c>
      <c r="E1131" s="122">
        <v>1.1299999999999999</v>
      </c>
      <c r="F1131" s="122">
        <v>4.9800000000000004</v>
      </c>
      <c r="G1131" s="122">
        <v>83.268990000000002</v>
      </c>
    </row>
    <row r="1132" spans="2:7" x14ac:dyDescent="0.2">
      <c r="B1132" s="120" t="s">
        <v>2037</v>
      </c>
      <c r="C1132" s="121" t="s">
        <v>2038</v>
      </c>
      <c r="D1132" s="122">
        <v>1.36</v>
      </c>
      <c r="E1132" s="122">
        <v>2.0099999999999998</v>
      </c>
      <c r="F1132" s="122">
        <v>0.61</v>
      </c>
      <c r="G1132" s="122">
        <v>44.169989999999999</v>
      </c>
    </row>
    <row r="1133" spans="2:7" x14ac:dyDescent="0.2">
      <c r="B1133" s="120" t="s">
        <v>2039</v>
      </c>
      <c r="C1133" s="121" t="s">
        <v>2040</v>
      </c>
      <c r="D1133" s="122">
        <v>0.91</v>
      </c>
      <c r="E1133" s="122">
        <v>1.2</v>
      </c>
      <c r="F1133" s="122">
        <v>4.3600000000000003</v>
      </c>
      <c r="G1133" s="122">
        <v>81.355999999999995</v>
      </c>
    </row>
    <row r="1134" spans="2:7" x14ac:dyDescent="0.2">
      <c r="B1134" s="120" t="s">
        <v>2041</v>
      </c>
      <c r="C1134" s="121" t="s">
        <v>2042</v>
      </c>
      <c r="D1134" s="122">
        <v>2.6</v>
      </c>
      <c r="E1134" s="122">
        <v>2.08</v>
      </c>
      <c r="F1134" s="122">
        <v>0.98</v>
      </c>
      <c r="G1134" s="122">
        <v>49.550989999999999</v>
      </c>
    </row>
    <row r="1135" spans="2:7" x14ac:dyDescent="0.2">
      <c r="B1135" s="120" t="s">
        <v>2043</v>
      </c>
      <c r="C1135" s="121" t="s">
        <v>2044</v>
      </c>
      <c r="D1135" s="122">
        <v>0.19</v>
      </c>
      <c r="E1135" s="122">
        <v>0.21</v>
      </c>
      <c r="F1135" s="122">
        <v>0.3</v>
      </c>
      <c r="G1135" s="122">
        <v>23.347000000000001</v>
      </c>
    </row>
    <row r="1136" spans="2:7" x14ac:dyDescent="0.2">
      <c r="B1136" s="120" t="s">
        <v>2045</v>
      </c>
      <c r="C1136" s="121" t="s">
        <v>2046</v>
      </c>
      <c r="D1136" s="122">
        <v>2.25</v>
      </c>
      <c r="E1136" s="122">
        <v>2.0099999999999998</v>
      </c>
      <c r="F1136" s="122">
        <v>14.93</v>
      </c>
      <c r="G1136" s="122">
        <v>93.722989999999996</v>
      </c>
    </row>
    <row r="1137" spans="2:7" x14ac:dyDescent="0.2">
      <c r="B1137" s="120" t="s">
        <v>4321</v>
      </c>
      <c r="C1137" s="121" t="s">
        <v>4322</v>
      </c>
      <c r="D1137" s="122">
        <v>1.85</v>
      </c>
      <c r="E1137" s="122">
        <v>2.2999999999999998</v>
      </c>
      <c r="F1137" s="122"/>
      <c r="G1137" s="122">
        <v>0</v>
      </c>
    </row>
    <row r="1138" spans="2:7" x14ac:dyDescent="0.2">
      <c r="B1138" s="120" t="s">
        <v>2047</v>
      </c>
      <c r="C1138" s="121" t="s">
        <v>2048</v>
      </c>
      <c r="D1138" s="122">
        <v>0.35</v>
      </c>
      <c r="E1138" s="122">
        <v>0.53</v>
      </c>
      <c r="F1138" s="122">
        <v>1.1599999999999999</v>
      </c>
      <c r="G1138" s="122">
        <v>52.604990000000001</v>
      </c>
    </row>
    <row r="1139" spans="2:7" x14ac:dyDescent="0.2">
      <c r="B1139" s="120" t="s">
        <v>2049</v>
      </c>
      <c r="C1139" s="121" t="s">
        <v>2050</v>
      </c>
      <c r="D1139" s="122">
        <v>0.66</v>
      </c>
      <c r="E1139" s="122">
        <v>0.82</v>
      </c>
      <c r="F1139" s="122"/>
      <c r="G1139" s="122">
        <v>37.198999999999998</v>
      </c>
    </row>
    <row r="1140" spans="2:7" x14ac:dyDescent="0.2">
      <c r="B1140" s="120" t="s">
        <v>2051</v>
      </c>
      <c r="C1140" s="121" t="s">
        <v>2052</v>
      </c>
      <c r="D1140" s="122">
        <v>1.47</v>
      </c>
      <c r="E1140" s="122">
        <v>1.88</v>
      </c>
      <c r="F1140" s="122">
        <v>0</v>
      </c>
      <c r="G1140" s="122">
        <v>0</v>
      </c>
    </row>
    <row r="1141" spans="2:7" x14ac:dyDescent="0.2">
      <c r="B1141" s="120" t="s">
        <v>2053</v>
      </c>
      <c r="C1141" s="121" t="s">
        <v>2054</v>
      </c>
      <c r="D1141" s="122">
        <v>0.63</v>
      </c>
      <c r="E1141" s="122">
        <v>0.46</v>
      </c>
      <c r="F1141" s="122">
        <v>0.1</v>
      </c>
      <c r="G1141" s="122">
        <v>9.4710900000000002</v>
      </c>
    </row>
    <row r="1142" spans="2:7" x14ac:dyDescent="0.2">
      <c r="B1142" s="120" t="s">
        <v>2055</v>
      </c>
      <c r="C1142" s="121" t="s">
        <v>2056</v>
      </c>
      <c r="D1142" s="122">
        <v>3.84</v>
      </c>
      <c r="E1142" s="122">
        <v>0.96</v>
      </c>
      <c r="F1142" s="122">
        <v>0.16</v>
      </c>
      <c r="G1142" s="122">
        <v>14.14099</v>
      </c>
    </row>
    <row r="1143" spans="2:7" x14ac:dyDescent="0.2">
      <c r="B1143" s="120" t="s">
        <v>2057</v>
      </c>
      <c r="C1143" s="121" t="s">
        <v>2058</v>
      </c>
      <c r="D1143" s="122">
        <v>0.11</v>
      </c>
      <c r="E1143" s="122">
        <v>1.06</v>
      </c>
      <c r="F1143" s="122">
        <v>7.8</v>
      </c>
      <c r="G1143" s="122">
        <v>88.637</v>
      </c>
    </row>
    <row r="1144" spans="2:7" x14ac:dyDescent="0.2">
      <c r="B1144" s="120" t="s">
        <v>2059</v>
      </c>
      <c r="C1144" s="121" t="s">
        <v>2060</v>
      </c>
      <c r="D1144" s="122">
        <v>0.61</v>
      </c>
      <c r="E1144" s="122">
        <v>0.88</v>
      </c>
      <c r="F1144" s="122">
        <v>0.66</v>
      </c>
      <c r="G1144" s="122">
        <v>39.652990000000003</v>
      </c>
    </row>
    <row r="1145" spans="2:7" x14ac:dyDescent="0.2">
      <c r="B1145" s="120" t="s">
        <v>2061</v>
      </c>
      <c r="C1145" s="121" t="s">
        <v>2062</v>
      </c>
      <c r="D1145" s="122">
        <v>1.34</v>
      </c>
      <c r="E1145" s="122">
        <v>1.42</v>
      </c>
      <c r="F1145" s="122">
        <v>2.5499999999999998</v>
      </c>
      <c r="G1145" s="122">
        <v>71.847989999999996</v>
      </c>
    </row>
    <row r="1146" spans="2:7" x14ac:dyDescent="0.2">
      <c r="B1146" s="120" t="s">
        <v>2063</v>
      </c>
      <c r="C1146" s="121" t="s">
        <v>2064</v>
      </c>
      <c r="D1146" s="122">
        <v>2.68</v>
      </c>
      <c r="E1146" s="122">
        <v>2.27</v>
      </c>
      <c r="F1146" s="122">
        <v>0.91</v>
      </c>
      <c r="G1146" s="122">
        <v>47.631990000000002</v>
      </c>
    </row>
    <row r="1147" spans="2:7" x14ac:dyDescent="0.2">
      <c r="B1147" s="120" t="s">
        <v>2065</v>
      </c>
      <c r="C1147" s="121" t="s">
        <v>2066</v>
      </c>
      <c r="D1147" s="122">
        <v>3.88</v>
      </c>
      <c r="E1147" s="122">
        <v>3.62</v>
      </c>
      <c r="F1147" s="122">
        <v>0.28000000000000003</v>
      </c>
      <c r="G1147" s="122">
        <v>22.686</v>
      </c>
    </row>
    <row r="1148" spans="2:7" x14ac:dyDescent="0.2">
      <c r="B1148" s="120" t="s">
        <v>4323</v>
      </c>
      <c r="C1148" s="121" t="s">
        <v>4324</v>
      </c>
      <c r="D1148" s="122"/>
      <c r="E1148" s="122"/>
      <c r="F1148" s="122"/>
      <c r="G1148" s="122"/>
    </row>
    <row r="1149" spans="2:7" x14ac:dyDescent="0.2">
      <c r="B1149" s="120" t="s">
        <v>2067</v>
      </c>
      <c r="C1149" s="121" t="s">
        <v>2068</v>
      </c>
      <c r="D1149" s="122">
        <v>2.96</v>
      </c>
      <c r="E1149" s="122">
        <v>3.61</v>
      </c>
      <c r="F1149" s="122">
        <v>0.81</v>
      </c>
      <c r="G1149" s="122">
        <v>44.730989999999998</v>
      </c>
    </row>
    <row r="1150" spans="2:7" x14ac:dyDescent="0.2">
      <c r="B1150" s="120" t="s">
        <v>2069</v>
      </c>
      <c r="C1150" s="121" t="s">
        <v>2070</v>
      </c>
      <c r="D1150" s="122">
        <v>0.95</v>
      </c>
      <c r="E1150" s="122">
        <v>1.23</v>
      </c>
      <c r="F1150" s="122"/>
      <c r="G1150" s="122">
        <v>5.008E-2</v>
      </c>
    </row>
    <row r="1151" spans="2:7" x14ac:dyDescent="0.2">
      <c r="B1151" s="120" t="s">
        <v>2071</v>
      </c>
      <c r="C1151" s="121" t="s">
        <v>2072</v>
      </c>
      <c r="D1151" s="122">
        <v>0.26</v>
      </c>
      <c r="E1151" s="122">
        <v>0.63</v>
      </c>
      <c r="F1151" s="122">
        <v>0.92</v>
      </c>
      <c r="G1151" s="122">
        <v>47.79</v>
      </c>
    </row>
    <row r="1152" spans="2:7" x14ac:dyDescent="0.2">
      <c r="B1152" s="120" t="s">
        <v>2073</v>
      </c>
      <c r="C1152" s="121" t="s">
        <v>2074</v>
      </c>
      <c r="D1152" s="122">
        <v>1.81</v>
      </c>
      <c r="E1152" s="122">
        <v>1.98</v>
      </c>
      <c r="F1152" s="122">
        <v>0.09</v>
      </c>
      <c r="G1152" s="122">
        <v>8.2599</v>
      </c>
    </row>
    <row r="1153" spans="2:7" x14ac:dyDescent="0.2">
      <c r="B1153" s="120" t="s">
        <v>1509</v>
      </c>
      <c r="C1153" s="121" t="s">
        <v>4325</v>
      </c>
      <c r="D1153" s="122"/>
      <c r="E1153" s="122">
        <v>0.49</v>
      </c>
      <c r="F1153" s="122">
        <v>0.64</v>
      </c>
      <c r="G1153" s="122">
        <v>39.062989999999999</v>
      </c>
    </row>
    <row r="1154" spans="2:7" x14ac:dyDescent="0.2">
      <c r="B1154" s="120" t="s">
        <v>1509</v>
      </c>
      <c r="C1154" s="121" t="s">
        <v>4326</v>
      </c>
      <c r="D1154" s="122"/>
      <c r="E1154" s="122"/>
      <c r="F1154" s="122"/>
      <c r="G1154" s="122"/>
    </row>
    <row r="1155" spans="2:7" x14ac:dyDescent="0.2">
      <c r="B1155" s="120" t="s">
        <v>1509</v>
      </c>
      <c r="C1155" s="121" t="s">
        <v>2075</v>
      </c>
      <c r="D1155" s="122"/>
      <c r="E1155" s="122"/>
      <c r="F1155" s="122"/>
      <c r="G1155" s="122"/>
    </row>
    <row r="1156" spans="2:7" x14ac:dyDescent="0.2">
      <c r="B1156" s="120" t="s">
        <v>2076</v>
      </c>
      <c r="C1156" s="121" t="s">
        <v>2077</v>
      </c>
      <c r="D1156" s="122">
        <v>0.54</v>
      </c>
      <c r="E1156" s="122">
        <v>0.53</v>
      </c>
      <c r="F1156" s="122">
        <v>0</v>
      </c>
      <c r="G1156" s="122">
        <v>0</v>
      </c>
    </row>
    <row r="1157" spans="2:7" x14ac:dyDescent="0.2">
      <c r="B1157" s="120" t="s">
        <v>4327</v>
      </c>
      <c r="C1157" s="121" t="s">
        <v>4328</v>
      </c>
      <c r="D1157" s="122">
        <v>1.2</v>
      </c>
      <c r="E1157" s="122">
        <v>1.62</v>
      </c>
      <c r="F1157" s="122"/>
      <c r="G1157" s="122">
        <v>11.572990000000001</v>
      </c>
    </row>
    <row r="1158" spans="2:7" x14ac:dyDescent="0.2">
      <c r="B1158" s="120" t="s">
        <v>15</v>
      </c>
      <c r="C1158" s="121" t="s">
        <v>16</v>
      </c>
      <c r="D1158" s="122">
        <v>2.0499999999999998</v>
      </c>
      <c r="E1158" s="122">
        <v>2.41</v>
      </c>
      <c r="F1158" s="122">
        <v>0.38</v>
      </c>
      <c r="G1158" s="122">
        <v>27.378990000000002</v>
      </c>
    </row>
    <row r="1159" spans="2:7" x14ac:dyDescent="0.2">
      <c r="B1159" s="120" t="s">
        <v>4329</v>
      </c>
      <c r="C1159" s="121" t="s">
        <v>4330</v>
      </c>
      <c r="D1159" s="122">
        <v>2.59</v>
      </c>
      <c r="E1159" s="122">
        <v>2.4900000000000002</v>
      </c>
      <c r="F1159" s="122">
        <v>0.01</v>
      </c>
      <c r="G1159" s="122">
        <v>0.66749999999999998</v>
      </c>
    </row>
    <row r="1160" spans="2:7" x14ac:dyDescent="0.2">
      <c r="B1160" s="120" t="s">
        <v>2078</v>
      </c>
      <c r="C1160" s="121" t="s">
        <v>2079</v>
      </c>
      <c r="D1160" s="122">
        <v>0.57999999999999996</v>
      </c>
      <c r="E1160" s="122">
        <v>0.64</v>
      </c>
      <c r="F1160" s="122">
        <v>0.37</v>
      </c>
      <c r="G1160" s="122">
        <v>26.93899</v>
      </c>
    </row>
    <row r="1161" spans="2:7" x14ac:dyDescent="0.2">
      <c r="B1161" s="120" t="s">
        <v>2080</v>
      </c>
      <c r="C1161" s="121" t="s">
        <v>2081</v>
      </c>
      <c r="D1161" s="122">
        <v>0.66</v>
      </c>
      <c r="E1161" s="122">
        <v>1.4</v>
      </c>
      <c r="F1161" s="122"/>
      <c r="G1161" s="122">
        <v>15.026999999999999</v>
      </c>
    </row>
    <row r="1162" spans="2:7" x14ac:dyDescent="0.2">
      <c r="B1162" s="120" t="s">
        <v>2082</v>
      </c>
      <c r="C1162" s="121" t="s">
        <v>2083</v>
      </c>
      <c r="D1162" s="122">
        <v>1.75</v>
      </c>
      <c r="E1162" s="122">
        <v>1.64</v>
      </c>
      <c r="F1162" s="122">
        <v>1.81</v>
      </c>
      <c r="G1162" s="122">
        <v>64.403989999999993</v>
      </c>
    </row>
    <row r="1163" spans="2:7" x14ac:dyDescent="0.2">
      <c r="B1163" s="120" t="s">
        <v>2084</v>
      </c>
      <c r="C1163" s="121" t="s">
        <v>2085</v>
      </c>
      <c r="D1163" s="122">
        <v>0.84</v>
      </c>
      <c r="E1163" s="122">
        <v>1.74</v>
      </c>
      <c r="F1163" s="122"/>
      <c r="G1163" s="122"/>
    </row>
    <row r="1164" spans="2:7" x14ac:dyDescent="0.2">
      <c r="B1164" s="120" t="s">
        <v>2086</v>
      </c>
      <c r="C1164" s="121" t="s">
        <v>2087</v>
      </c>
      <c r="D1164" s="122">
        <v>1.1000000000000001</v>
      </c>
      <c r="E1164" s="122">
        <v>1.47</v>
      </c>
      <c r="F1164" s="122">
        <v>0.83</v>
      </c>
      <c r="G1164" s="122">
        <v>45.601999999999997</v>
      </c>
    </row>
    <row r="1165" spans="2:7" x14ac:dyDescent="0.2">
      <c r="B1165" s="120" t="s">
        <v>4331</v>
      </c>
      <c r="C1165" s="121" t="s">
        <v>4332</v>
      </c>
      <c r="D1165" s="122">
        <v>1.6</v>
      </c>
      <c r="E1165" s="122">
        <v>1.73</v>
      </c>
      <c r="F1165" s="122">
        <v>0.09</v>
      </c>
      <c r="G1165" s="122">
        <v>8.2625899999999994</v>
      </c>
    </row>
    <row r="1166" spans="2:7" x14ac:dyDescent="0.2">
      <c r="B1166" s="120" t="s">
        <v>2088</v>
      </c>
      <c r="C1166" s="121" t="s">
        <v>2089</v>
      </c>
      <c r="D1166" s="122">
        <v>1.47</v>
      </c>
      <c r="E1166" s="122">
        <v>1.49</v>
      </c>
      <c r="F1166" s="122">
        <v>2.36</v>
      </c>
      <c r="G1166" s="122">
        <v>70.21199</v>
      </c>
    </row>
    <row r="1167" spans="2:7" x14ac:dyDescent="0.2">
      <c r="B1167" s="120" t="s">
        <v>4333</v>
      </c>
      <c r="C1167" s="121" t="s">
        <v>4334</v>
      </c>
      <c r="D1167" s="122">
        <v>1.03</v>
      </c>
      <c r="E1167" s="122">
        <v>0.93</v>
      </c>
      <c r="F1167" s="122">
        <v>2.73</v>
      </c>
      <c r="G1167" s="122">
        <v>75.042990000000003</v>
      </c>
    </row>
    <row r="1168" spans="2:7" x14ac:dyDescent="0.2">
      <c r="B1168" s="120" t="s">
        <v>2090</v>
      </c>
      <c r="C1168" s="121" t="s">
        <v>2091</v>
      </c>
      <c r="D1168" s="122"/>
      <c r="E1168" s="122">
        <v>1.48</v>
      </c>
      <c r="F1168" s="122"/>
      <c r="G1168" s="122">
        <v>36.534990000000001</v>
      </c>
    </row>
    <row r="1169" spans="2:7" x14ac:dyDescent="0.2">
      <c r="B1169" s="120" t="s">
        <v>2092</v>
      </c>
      <c r="C1169" s="121" t="s">
        <v>2093</v>
      </c>
      <c r="D1169" s="122">
        <v>0.42</v>
      </c>
      <c r="E1169" s="122">
        <v>1.47</v>
      </c>
      <c r="F1169" s="122">
        <v>1.19</v>
      </c>
      <c r="G1169" s="122">
        <v>54.341990000000003</v>
      </c>
    </row>
    <row r="1170" spans="2:7" x14ac:dyDescent="0.2">
      <c r="B1170" s="120" t="s">
        <v>2094</v>
      </c>
      <c r="C1170" s="121" t="s">
        <v>2095</v>
      </c>
      <c r="D1170" s="122">
        <v>1.39</v>
      </c>
      <c r="E1170" s="122">
        <v>1.49</v>
      </c>
      <c r="F1170" s="122">
        <v>1.55</v>
      </c>
      <c r="G1170" s="122">
        <v>61.01399</v>
      </c>
    </row>
    <row r="1171" spans="2:7" x14ac:dyDescent="0.2">
      <c r="B1171" s="120" t="s">
        <v>2096</v>
      </c>
      <c r="C1171" s="121" t="s">
        <v>2097</v>
      </c>
      <c r="D1171" s="122">
        <v>0.12</v>
      </c>
      <c r="E1171" s="122">
        <v>0.13</v>
      </c>
      <c r="F1171" s="122">
        <v>0.72</v>
      </c>
      <c r="G1171" s="122">
        <v>41.987990000000003</v>
      </c>
    </row>
    <row r="1172" spans="2:7" x14ac:dyDescent="0.2">
      <c r="B1172" s="120" t="s">
        <v>2098</v>
      </c>
      <c r="C1172" s="121" t="s">
        <v>2099</v>
      </c>
      <c r="D1172" s="122">
        <v>0.99</v>
      </c>
      <c r="E1172" s="122">
        <v>0.93</v>
      </c>
      <c r="F1172" s="122">
        <v>1.87</v>
      </c>
      <c r="G1172" s="122">
        <v>65.158990000000003</v>
      </c>
    </row>
    <row r="1173" spans="2:7" x14ac:dyDescent="0.2">
      <c r="B1173" s="120" t="s">
        <v>4335</v>
      </c>
      <c r="C1173" s="121" t="s">
        <v>4336</v>
      </c>
      <c r="D1173" s="122">
        <v>0.35</v>
      </c>
      <c r="E1173" s="122">
        <v>0.67</v>
      </c>
      <c r="F1173" s="122"/>
      <c r="G1173" s="122">
        <v>32.306989999999999</v>
      </c>
    </row>
    <row r="1174" spans="2:7" x14ac:dyDescent="0.2">
      <c r="B1174" s="120" t="s">
        <v>2100</v>
      </c>
      <c r="C1174" s="121" t="s">
        <v>2101</v>
      </c>
      <c r="D1174" s="122">
        <v>1.44</v>
      </c>
      <c r="E1174" s="122">
        <v>1.46</v>
      </c>
      <c r="F1174" s="122">
        <v>0.5</v>
      </c>
      <c r="G1174" s="122">
        <v>33.544989999999999</v>
      </c>
    </row>
    <row r="1175" spans="2:7" x14ac:dyDescent="0.2">
      <c r="B1175" s="120" t="s">
        <v>2102</v>
      </c>
      <c r="C1175" s="121" t="s">
        <v>2103</v>
      </c>
      <c r="D1175" s="122">
        <v>1.48</v>
      </c>
      <c r="E1175" s="122">
        <v>1.42</v>
      </c>
      <c r="F1175" s="122">
        <v>0.23</v>
      </c>
      <c r="G1175" s="122">
        <v>18.794</v>
      </c>
    </row>
    <row r="1176" spans="2:7" x14ac:dyDescent="0.2">
      <c r="B1176" s="120" t="s">
        <v>2104</v>
      </c>
      <c r="C1176" s="121" t="s">
        <v>2105</v>
      </c>
      <c r="D1176" s="122">
        <v>0.42</v>
      </c>
      <c r="E1176" s="122">
        <v>0.51</v>
      </c>
      <c r="F1176" s="122">
        <v>8.93</v>
      </c>
      <c r="G1176" s="122">
        <v>89.932990000000004</v>
      </c>
    </row>
    <row r="1177" spans="2:7" x14ac:dyDescent="0.2">
      <c r="B1177" s="120" t="s">
        <v>4337</v>
      </c>
      <c r="C1177" s="121" t="s">
        <v>4338</v>
      </c>
      <c r="D1177" s="122"/>
      <c r="E1177" s="122">
        <v>1.29</v>
      </c>
      <c r="F1177" s="122">
        <v>0.93</v>
      </c>
      <c r="G1177" s="122">
        <v>48.128999999999998</v>
      </c>
    </row>
    <row r="1178" spans="2:7" x14ac:dyDescent="0.2">
      <c r="B1178" s="120" t="s">
        <v>2106</v>
      </c>
      <c r="C1178" s="121" t="s">
        <v>2107</v>
      </c>
      <c r="D1178" s="122">
        <v>1.08</v>
      </c>
      <c r="E1178" s="122">
        <v>1.46</v>
      </c>
      <c r="F1178" s="122">
        <v>39.03</v>
      </c>
      <c r="G1178" s="122">
        <v>97.501990000000006</v>
      </c>
    </row>
    <row r="1179" spans="2:7" x14ac:dyDescent="0.2">
      <c r="B1179" s="120" t="s">
        <v>2108</v>
      </c>
      <c r="C1179" s="121" t="s">
        <v>2109</v>
      </c>
      <c r="D1179" s="122">
        <v>4.68</v>
      </c>
      <c r="E1179" s="122">
        <v>6.35</v>
      </c>
      <c r="F1179" s="122">
        <v>0</v>
      </c>
      <c r="G1179" s="122">
        <v>0</v>
      </c>
    </row>
    <row r="1180" spans="2:7" x14ac:dyDescent="0.2">
      <c r="B1180" s="120" t="s">
        <v>2110</v>
      </c>
      <c r="C1180" s="121" t="s">
        <v>2111</v>
      </c>
      <c r="D1180" s="122">
        <v>1.44</v>
      </c>
      <c r="E1180" s="122">
        <v>1.78</v>
      </c>
      <c r="F1180" s="122">
        <v>6.78</v>
      </c>
      <c r="G1180" s="122">
        <v>87.140990000000002</v>
      </c>
    </row>
    <row r="1181" spans="2:7" x14ac:dyDescent="0.2">
      <c r="B1181" s="120" t="s">
        <v>4339</v>
      </c>
      <c r="C1181" s="121" t="s">
        <v>4340</v>
      </c>
      <c r="D1181" s="122"/>
      <c r="E1181" s="122"/>
      <c r="F1181" s="122"/>
      <c r="G1181" s="122"/>
    </row>
    <row r="1182" spans="2:7" x14ac:dyDescent="0.2">
      <c r="B1182" s="120" t="s">
        <v>4341</v>
      </c>
      <c r="C1182" s="121" t="s">
        <v>4342</v>
      </c>
      <c r="D1182" s="122"/>
      <c r="E1182" s="122"/>
      <c r="F1182" s="122"/>
      <c r="G1182" s="122"/>
    </row>
    <row r="1183" spans="2:7" x14ac:dyDescent="0.2">
      <c r="B1183" s="120" t="s">
        <v>2112</v>
      </c>
      <c r="C1183" s="121" t="s">
        <v>2113</v>
      </c>
      <c r="D1183" s="122">
        <v>0.85</v>
      </c>
      <c r="E1183" s="122">
        <v>0.61</v>
      </c>
      <c r="F1183" s="122">
        <v>11.25</v>
      </c>
      <c r="G1183" s="122">
        <v>91.834990000000005</v>
      </c>
    </row>
    <row r="1184" spans="2:7" x14ac:dyDescent="0.2">
      <c r="B1184" s="120" t="s">
        <v>2114</v>
      </c>
      <c r="C1184" s="121" t="s">
        <v>2115</v>
      </c>
      <c r="D1184" s="122">
        <v>1.35</v>
      </c>
      <c r="E1184" s="122">
        <v>1.21</v>
      </c>
      <c r="F1184" s="122">
        <v>-6.54</v>
      </c>
      <c r="G1184" s="122"/>
    </row>
    <row r="1185" spans="2:7" x14ac:dyDescent="0.2">
      <c r="B1185" s="120" t="s">
        <v>2116</v>
      </c>
      <c r="C1185" s="121" t="s">
        <v>2117</v>
      </c>
      <c r="D1185" s="122">
        <v>0.63</v>
      </c>
      <c r="E1185" s="122">
        <v>0.93</v>
      </c>
      <c r="F1185" s="122">
        <v>1.65</v>
      </c>
      <c r="G1185" s="122">
        <v>62.225999999999999</v>
      </c>
    </row>
    <row r="1186" spans="2:7" x14ac:dyDescent="0.2">
      <c r="B1186" s="120" t="s">
        <v>2118</v>
      </c>
      <c r="C1186" s="121" t="s">
        <v>2119</v>
      </c>
      <c r="D1186" s="122">
        <v>0.57999999999999996</v>
      </c>
      <c r="E1186" s="122">
        <v>1.01</v>
      </c>
      <c r="F1186" s="122">
        <v>1.1399999999999999</v>
      </c>
      <c r="G1186" s="122">
        <v>56.749000000000002</v>
      </c>
    </row>
    <row r="1187" spans="2:7" x14ac:dyDescent="0.2">
      <c r="B1187" s="120" t="s">
        <v>2120</v>
      </c>
      <c r="C1187" s="121" t="s">
        <v>2121</v>
      </c>
      <c r="D1187" s="122">
        <v>1.61</v>
      </c>
      <c r="E1187" s="122">
        <v>1.71</v>
      </c>
      <c r="F1187" s="122">
        <v>10.039999999999999</v>
      </c>
      <c r="G1187" s="122">
        <v>90.938999999999993</v>
      </c>
    </row>
    <row r="1188" spans="2:7" x14ac:dyDescent="0.2">
      <c r="B1188" s="120" t="s">
        <v>2122</v>
      </c>
      <c r="C1188" s="121" t="s">
        <v>2123</v>
      </c>
      <c r="D1188" s="122">
        <v>0.44</v>
      </c>
      <c r="E1188" s="122">
        <v>0.42</v>
      </c>
      <c r="F1188" s="122">
        <v>0.21</v>
      </c>
      <c r="G1188" s="122">
        <v>17.381</v>
      </c>
    </row>
    <row r="1189" spans="2:7" x14ac:dyDescent="0.2">
      <c r="B1189" s="120" t="s">
        <v>2124</v>
      </c>
      <c r="C1189" s="121" t="s">
        <v>2125</v>
      </c>
      <c r="D1189" s="122">
        <v>3.44</v>
      </c>
      <c r="E1189" s="122">
        <v>2.82</v>
      </c>
      <c r="F1189" s="122">
        <v>0.97</v>
      </c>
      <c r="G1189" s="122">
        <v>49.259990000000002</v>
      </c>
    </row>
    <row r="1190" spans="2:7" x14ac:dyDescent="0.2">
      <c r="B1190" s="120" t="s">
        <v>2126</v>
      </c>
      <c r="C1190" s="121" t="s">
        <v>2127</v>
      </c>
      <c r="D1190" s="122">
        <v>5.03</v>
      </c>
      <c r="E1190" s="122">
        <v>5.97</v>
      </c>
      <c r="F1190" s="122">
        <v>21.45</v>
      </c>
      <c r="G1190" s="122">
        <v>95.544989999999999</v>
      </c>
    </row>
    <row r="1191" spans="2:7" x14ac:dyDescent="0.2">
      <c r="B1191" s="120" t="s">
        <v>4343</v>
      </c>
      <c r="C1191" s="121" t="s">
        <v>4344</v>
      </c>
      <c r="D1191" s="122"/>
      <c r="E1191" s="122"/>
      <c r="F1191" s="122"/>
      <c r="G1191" s="122"/>
    </row>
    <row r="1192" spans="2:7" x14ac:dyDescent="0.2">
      <c r="B1192" s="120" t="s">
        <v>4345</v>
      </c>
      <c r="C1192" s="121" t="s">
        <v>4346</v>
      </c>
      <c r="D1192" s="122">
        <v>1.06</v>
      </c>
      <c r="E1192" s="122">
        <v>1.0900000000000001</v>
      </c>
      <c r="F1192" s="122"/>
      <c r="G1192" s="122">
        <v>20.701000000000001</v>
      </c>
    </row>
    <row r="1193" spans="2:7" x14ac:dyDescent="0.2">
      <c r="B1193" s="120" t="s">
        <v>4347</v>
      </c>
      <c r="C1193" s="121" t="s">
        <v>4348</v>
      </c>
      <c r="D1193" s="122"/>
      <c r="E1193" s="122">
        <v>2.39</v>
      </c>
      <c r="F1193" s="122">
        <v>0</v>
      </c>
      <c r="G1193" s="122">
        <v>0</v>
      </c>
    </row>
    <row r="1194" spans="2:7" x14ac:dyDescent="0.2">
      <c r="B1194" s="120" t="s">
        <v>2128</v>
      </c>
      <c r="C1194" s="121" t="s">
        <v>2129</v>
      </c>
      <c r="D1194" s="122">
        <v>0.3</v>
      </c>
      <c r="E1194" s="122">
        <v>0.44</v>
      </c>
      <c r="F1194" s="122">
        <v>0.47</v>
      </c>
      <c r="G1194" s="122">
        <v>31.812000000000001</v>
      </c>
    </row>
    <row r="1195" spans="2:7" x14ac:dyDescent="0.2">
      <c r="B1195" s="120" t="s">
        <v>2130</v>
      </c>
      <c r="C1195" s="121" t="s">
        <v>2131</v>
      </c>
      <c r="D1195" s="122">
        <v>2.71</v>
      </c>
      <c r="E1195" s="122">
        <v>2.56</v>
      </c>
      <c r="F1195" s="122">
        <v>0.27</v>
      </c>
      <c r="G1195" s="122">
        <v>21.177990000000001</v>
      </c>
    </row>
    <row r="1196" spans="2:7" x14ac:dyDescent="0.2">
      <c r="B1196" s="120" t="s">
        <v>2132</v>
      </c>
      <c r="C1196" s="121" t="s">
        <v>2133</v>
      </c>
      <c r="D1196" s="122">
        <v>2.15</v>
      </c>
      <c r="E1196" s="122">
        <v>2.67</v>
      </c>
      <c r="F1196" s="122">
        <v>0.49</v>
      </c>
      <c r="G1196" s="122">
        <v>32.939990000000002</v>
      </c>
    </row>
    <row r="1197" spans="2:7" x14ac:dyDescent="0.2">
      <c r="B1197" s="120" t="s">
        <v>2134</v>
      </c>
      <c r="C1197" s="121" t="s">
        <v>2135</v>
      </c>
      <c r="D1197" s="122">
        <v>0.91</v>
      </c>
      <c r="E1197" s="122">
        <v>1.58</v>
      </c>
      <c r="F1197" s="122">
        <v>0.91</v>
      </c>
      <c r="G1197" s="122">
        <v>47.584989999999998</v>
      </c>
    </row>
    <row r="1198" spans="2:7" x14ac:dyDescent="0.2">
      <c r="B1198" s="120" t="s">
        <v>2136</v>
      </c>
      <c r="C1198" s="121" t="s">
        <v>2137</v>
      </c>
      <c r="D1198" s="122">
        <v>0.69</v>
      </c>
      <c r="E1198" s="122">
        <v>0.66</v>
      </c>
      <c r="F1198" s="122">
        <v>7.0000000000000007E-2</v>
      </c>
      <c r="G1198" s="122">
        <v>6.2313999999999998</v>
      </c>
    </row>
    <row r="1199" spans="2:7" x14ac:dyDescent="0.2">
      <c r="B1199" s="120" t="s">
        <v>4349</v>
      </c>
      <c r="C1199" s="121" t="s">
        <v>4350</v>
      </c>
      <c r="D1199" s="122"/>
      <c r="E1199" s="122"/>
      <c r="F1199" s="122"/>
      <c r="G1199" s="122"/>
    </row>
    <row r="1200" spans="2:7" x14ac:dyDescent="0.2">
      <c r="B1200" s="120" t="s">
        <v>2138</v>
      </c>
      <c r="C1200" s="121" t="s">
        <v>2139</v>
      </c>
      <c r="D1200" s="122">
        <v>1.29</v>
      </c>
      <c r="E1200" s="122">
        <v>2.54</v>
      </c>
      <c r="F1200" s="122">
        <v>0.36</v>
      </c>
      <c r="G1200" s="122">
        <v>28.754989999999999</v>
      </c>
    </row>
    <row r="1201" spans="2:7" x14ac:dyDescent="0.2">
      <c r="B1201" s="120" t="s">
        <v>4351</v>
      </c>
      <c r="C1201" s="121" t="s">
        <v>4352</v>
      </c>
      <c r="D1201" s="122">
        <v>0.56999999999999995</v>
      </c>
      <c r="E1201" s="122">
        <v>0.69</v>
      </c>
      <c r="F1201" s="122"/>
      <c r="G1201" s="122">
        <v>42.536990000000003</v>
      </c>
    </row>
    <row r="1202" spans="2:7" x14ac:dyDescent="0.2">
      <c r="B1202" s="120" t="s">
        <v>2140</v>
      </c>
      <c r="C1202" s="121" t="s">
        <v>2141</v>
      </c>
      <c r="D1202" s="122">
        <v>0.14000000000000001</v>
      </c>
      <c r="E1202" s="122">
        <v>0.14000000000000001</v>
      </c>
      <c r="F1202" s="122">
        <v>0.22</v>
      </c>
      <c r="G1202" s="122">
        <v>18.326989999999999</v>
      </c>
    </row>
    <row r="1203" spans="2:7" x14ac:dyDescent="0.2">
      <c r="B1203" s="120" t="s">
        <v>2142</v>
      </c>
      <c r="C1203" s="121" t="s">
        <v>2143</v>
      </c>
      <c r="D1203" s="122"/>
      <c r="E1203" s="122"/>
      <c r="F1203" s="122">
        <v>2.54</v>
      </c>
      <c r="G1203" s="122">
        <v>71.718999999999994</v>
      </c>
    </row>
    <row r="1204" spans="2:7" x14ac:dyDescent="0.2">
      <c r="B1204" s="120" t="s">
        <v>2144</v>
      </c>
      <c r="C1204" s="121" t="s">
        <v>2145</v>
      </c>
      <c r="D1204" s="122"/>
      <c r="E1204" s="122"/>
      <c r="F1204" s="122">
        <v>0.1</v>
      </c>
      <c r="G1204" s="122">
        <v>8.3981999999999992</v>
      </c>
    </row>
    <row r="1205" spans="2:7" x14ac:dyDescent="0.2">
      <c r="B1205" s="120" t="s">
        <v>2146</v>
      </c>
      <c r="C1205" s="121" t="s">
        <v>2147</v>
      </c>
      <c r="D1205" s="122">
        <v>0.96</v>
      </c>
      <c r="E1205" s="122">
        <v>0.95</v>
      </c>
      <c r="F1205" s="122">
        <v>0.91</v>
      </c>
      <c r="G1205" s="122">
        <v>47.625</v>
      </c>
    </row>
    <row r="1206" spans="2:7" x14ac:dyDescent="0.2">
      <c r="B1206" s="120" t="s">
        <v>4353</v>
      </c>
      <c r="C1206" s="121" t="s">
        <v>4354</v>
      </c>
      <c r="D1206" s="122"/>
      <c r="E1206" s="122">
        <v>0.92</v>
      </c>
      <c r="F1206" s="122"/>
      <c r="G1206" s="122">
        <v>40.299990000000001</v>
      </c>
    </row>
    <row r="1207" spans="2:7" x14ac:dyDescent="0.2">
      <c r="B1207" s="120" t="s">
        <v>2148</v>
      </c>
      <c r="C1207" s="121" t="s">
        <v>2149</v>
      </c>
      <c r="D1207" s="122">
        <v>0.82</v>
      </c>
      <c r="E1207" s="122">
        <v>1.21</v>
      </c>
      <c r="F1207" s="122">
        <v>0.26</v>
      </c>
      <c r="G1207" s="122">
        <v>20.441990000000001</v>
      </c>
    </row>
    <row r="1208" spans="2:7" x14ac:dyDescent="0.2">
      <c r="B1208" s="120" t="s">
        <v>2150</v>
      </c>
      <c r="C1208" s="121" t="s">
        <v>2151</v>
      </c>
      <c r="D1208" s="122">
        <v>1</v>
      </c>
      <c r="E1208" s="122">
        <v>1.66</v>
      </c>
      <c r="F1208" s="122"/>
      <c r="G1208" s="122">
        <v>0</v>
      </c>
    </row>
    <row r="1209" spans="2:7" x14ac:dyDescent="0.2">
      <c r="B1209" s="120" t="s">
        <v>2152</v>
      </c>
      <c r="C1209" s="121" t="s">
        <v>2153</v>
      </c>
      <c r="D1209" s="122">
        <v>0.82</v>
      </c>
      <c r="E1209" s="122">
        <v>0.73</v>
      </c>
      <c r="F1209" s="122">
        <v>1.39</v>
      </c>
      <c r="G1209" s="122">
        <v>58.262</v>
      </c>
    </row>
    <row r="1210" spans="2:7" x14ac:dyDescent="0.2">
      <c r="B1210" s="120" t="s">
        <v>2154</v>
      </c>
      <c r="C1210" s="121" t="s">
        <v>2155</v>
      </c>
      <c r="D1210" s="122">
        <v>1.48</v>
      </c>
      <c r="E1210" s="122">
        <v>1.1499999999999999</v>
      </c>
      <c r="F1210" s="122">
        <v>0.14000000000000001</v>
      </c>
      <c r="G1210" s="122">
        <v>12.265000000000001</v>
      </c>
    </row>
    <row r="1211" spans="2:7" x14ac:dyDescent="0.2">
      <c r="B1211" s="120" t="s">
        <v>4355</v>
      </c>
      <c r="C1211" s="121" t="s">
        <v>4356</v>
      </c>
      <c r="D1211" s="122">
        <v>1.06</v>
      </c>
      <c r="E1211" s="122">
        <v>3.27</v>
      </c>
      <c r="F1211" s="122"/>
      <c r="G1211" s="122">
        <v>31.24699</v>
      </c>
    </row>
    <row r="1212" spans="2:7" x14ac:dyDescent="0.2">
      <c r="B1212" s="120" t="s">
        <v>2156</v>
      </c>
      <c r="C1212" s="121" t="s">
        <v>2157</v>
      </c>
      <c r="D1212" s="122">
        <v>0.68</v>
      </c>
      <c r="E1212" s="122">
        <v>1.3</v>
      </c>
      <c r="F1212" s="122">
        <v>0.18</v>
      </c>
      <c r="G1212" s="122">
        <v>15.359</v>
      </c>
    </row>
    <row r="1213" spans="2:7" x14ac:dyDescent="0.2">
      <c r="B1213" s="120" t="s">
        <v>2158</v>
      </c>
      <c r="C1213" s="121" t="s">
        <v>2159</v>
      </c>
      <c r="D1213" s="122">
        <v>0.94</v>
      </c>
      <c r="E1213" s="122">
        <v>1.22</v>
      </c>
      <c r="F1213" s="122"/>
      <c r="G1213" s="122">
        <v>23.356999999999999</v>
      </c>
    </row>
    <row r="1214" spans="2:7" x14ac:dyDescent="0.2">
      <c r="B1214" s="120" t="s">
        <v>2160</v>
      </c>
      <c r="C1214" s="121" t="s">
        <v>2161</v>
      </c>
      <c r="D1214" s="122">
        <v>1.66</v>
      </c>
      <c r="E1214" s="122">
        <v>1.6</v>
      </c>
      <c r="F1214" s="122">
        <v>0.98</v>
      </c>
      <c r="G1214" s="122">
        <v>49.39199</v>
      </c>
    </row>
    <row r="1215" spans="2:7" x14ac:dyDescent="0.2">
      <c r="B1215" s="120" t="s">
        <v>2162</v>
      </c>
      <c r="C1215" s="121" t="s">
        <v>2163</v>
      </c>
      <c r="D1215" s="122">
        <v>0.97</v>
      </c>
      <c r="E1215" s="122">
        <v>2.1</v>
      </c>
      <c r="F1215" s="122">
        <v>1.1100000000000001</v>
      </c>
      <c r="G1215" s="122">
        <v>52.555990000000001</v>
      </c>
    </row>
    <row r="1216" spans="2:7" x14ac:dyDescent="0.2">
      <c r="B1216" s="120" t="s">
        <v>4357</v>
      </c>
      <c r="C1216" s="121" t="s">
        <v>4358</v>
      </c>
      <c r="D1216" s="122">
        <v>1.34</v>
      </c>
      <c r="E1216" s="122">
        <v>1.85</v>
      </c>
      <c r="F1216" s="122"/>
      <c r="G1216" s="122">
        <v>7.1532900000000001</v>
      </c>
    </row>
    <row r="1217" spans="2:7" x14ac:dyDescent="0.2">
      <c r="B1217" s="120" t="s">
        <v>4359</v>
      </c>
      <c r="C1217" s="121" t="s">
        <v>4360</v>
      </c>
      <c r="D1217" s="122">
        <v>1.03</v>
      </c>
      <c r="E1217" s="122">
        <v>1.49</v>
      </c>
      <c r="F1217" s="122">
        <v>1.24</v>
      </c>
      <c r="G1217" s="122">
        <v>55.277990000000003</v>
      </c>
    </row>
    <row r="1218" spans="2:7" x14ac:dyDescent="0.2">
      <c r="B1218" s="120" t="s">
        <v>4361</v>
      </c>
      <c r="C1218" s="121" t="s">
        <v>4362</v>
      </c>
      <c r="D1218" s="122"/>
      <c r="E1218" s="122">
        <v>1.43</v>
      </c>
      <c r="F1218" s="122"/>
      <c r="G1218" s="122">
        <v>44.781999999999996</v>
      </c>
    </row>
    <row r="1219" spans="2:7" x14ac:dyDescent="0.2">
      <c r="B1219" s="120" t="s">
        <v>2164</v>
      </c>
      <c r="C1219" s="121" t="s">
        <v>2165</v>
      </c>
      <c r="D1219" s="122">
        <v>0.35</v>
      </c>
      <c r="E1219" s="122">
        <v>0.79</v>
      </c>
      <c r="F1219" s="122"/>
      <c r="G1219" s="122">
        <v>54.040999999999997</v>
      </c>
    </row>
    <row r="1220" spans="2:7" x14ac:dyDescent="0.2">
      <c r="B1220" s="120" t="s">
        <v>4363</v>
      </c>
      <c r="C1220" s="121" t="s">
        <v>4364</v>
      </c>
      <c r="D1220" s="122">
        <v>0.76</v>
      </c>
      <c r="E1220" s="122">
        <v>0.94</v>
      </c>
      <c r="F1220" s="122"/>
      <c r="G1220" s="122">
        <v>22.210999999999999</v>
      </c>
    </row>
    <row r="1221" spans="2:7" x14ac:dyDescent="0.2">
      <c r="B1221" s="120" t="s">
        <v>2166</v>
      </c>
      <c r="C1221" s="121" t="s">
        <v>2167</v>
      </c>
      <c r="D1221" s="122">
        <v>0.54</v>
      </c>
      <c r="E1221" s="122">
        <v>0.57999999999999996</v>
      </c>
      <c r="F1221" s="122">
        <v>0.35</v>
      </c>
      <c r="G1221" s="122">
        <v>26.617000000000001</v>
      </c>
    </row>
    <row r="1222" spans="2:7" x14ac:dyDescent="0.2">
      <c r="B1222" s="120" t="s">
        <v>2168</v>
      </c>
      <c r="C1222" s="121" t="s">
        <v>2169</v>
      </c>
      <c r="D1222" s="122">
        <v>4.0999999999999996</v>
      </c>
      <c r="E1222" s="122">
        <v>4.8</v>
      </c>
      <c r="F1222" s="122">
        <v>0.48</v>
      </c>
      <c r="G1222" s="122">
        <v>32.268999999999998</v>
      </c>
    </row>
    <row r="1223" spans="2:7" x14ac:dyDescent="0.2">
      <c r="B1223" s="120" t="s">
        <v>4365</v>
      </c>
      <c r="C1223" s="121" t="s">
        <v>4366</v>
      </c>
      <c r="D1223" s="122"/>
      <c r="E1223" s="122">
        <v>6.21</v>
      </c>
      <c r="F1223" s="122"/>
      <c r="G1223" s="122"/>
    </row>
    <row r="1224" spans="2:7" x14ac:dyDescent="0.2">
      <c r="B1224" s="120" t="s">
        <v>2170</v>
      </c>
      <c r="C1224" s="121" t="s">
        <v>2171</v>
      </c>
      <c r="D1224" s="122">
        <v>6.46</v>
      </c>
      <c r="E1224" s="122">
        <v>10.050000000000001</v>
      </c>
      <c r="F1224" s="122">
        <v>0.14000000000000001</v>
      </c>
      <c r="G1224" s="122">
        <v>11.93599</v>
      </c>
    </row>
    <row r="1225" spans="2:7" x14ac:dyDescent="0.2">
      <c r="B1225" s="120" t="s">
        <v>2172</v>
      </c>
      <c r="C1225" s="121" t="s">
        <v>2173</v>
      </c>
      <c r="D1225" s="122">
        <v>0.9</v>
      </c>
      <c r="E1225" s="122">
        <v>0.82</v>
      </c>
      <c r="F1225" s="122">
        <v>1.47</v>
      </c>
      <c r="G1225" s="122">
        <v>59.518000000000001</v>
      </c>
    </row>
    <row r="1226" spans="2:7" x14ac:dyDescent="0.2">
      <c r="B1226" s="120" t="s">
        <v>4367</v>
      </c>
      <c r="C1226" s="121" t="s">
        <v>4368</v>
      </c>
      <c r="D1226" s="122">
        <v>0.95</v>
      </c>
      <c r="E1226" s="122">
        <v>1.1599999999999999</v>
      </c>
      <c r="F1226" s="122"/>
      <c r="G1226" s="122">
        <v>26.992999999999999</v>
      </c>
    </row>
    <row r="1227" spans="2:7" x14ac:dyDescent="0.2">
      <c r="B1227" s="120" t="s">
        <v>2174</v>
      </c>
      <c r="C1227" s="121" t="s">
        <v>2175</v>
      </c>
      <c r="D1227" s="122">
        <v>0.89</v>
      </c>
      <c r="E1227" s="122">
        <v>1.86</v>
      </c>
      <c r="F1227" s="122">
        <v>0.62</v>
      </c>
      <c r="G1227" s="122">
        <v>38.350999999999999</v>
      </c>
    </row>
    <row r="1228" spans="2:7" x14ac:dyDescent="0.2">
      <c r="B1228" s="120" t="s">
        <v>2176</v>
      </c>
      <c r="C1228" s="121" t="s">
        <v>2177</v>
      </c>
      <c r="D1228" s="122">
        <v>2.85</v>
      </c>
      <c r="E1228" s="122">
        <v>3.86</v>
      </c>
      <c r="F1228" s="122">
        <v>0</v>
      </c>
      <c r="G1228" s="122">
        <v>0</v>
      </c>
    </row>
    <row r="1229" spans="2:7" x14ac:dyDescent="0.2">
      <c r="B1229" s="120" t="s">
        <v>4369</v>
      </c>
      <c r="C1229" s="121" t="s">
        <v>4370</v>
      </c>
      <c r="D1229" s="122"/>
      <c r="E1229" s="122"/>
      <c r="F1229" s="122"/>
      <c r="G1229" s="122"/>
    </row>
    <row r="1230" spans="2:7" x14ac:dyDescent="0.2">
      <c r="B1230" s="120" t="s">
        <v>2178</v>
      </c>
      <c r="C1230" s="121" t="s">
        <v>2179</v>
      </c>
      <c r="D1230" s="122">
        <v>1.21</v>
      </c>
      <c r="E1230" s="122">
        <v>1.18</v>
      </c>
      <c r="F1230" s="122">
        <v>1.37</v>
      </c>
      <c r="G1230" s="122">
        <v>57.884990000000002</v>
      </c>
    </row>
    <row r="1231" spans="2:7" x14ac:dyDescent="0.2">
      <c r="B1231" s="120" t="s">
        <v>2180</v>
      </c>
      <c r="C1231" s="121" t="s">
        <v>2181</v>
      </c>
      <c r="D1231" s="122">
        <v>1.29</v>
      </c>
      <c r="E1231" s="122">
        <v>1.93</v>
      </c>
      <c r="F1231" s="122">
        <v>1.53</v>
      </c>
      <c r="G1231" s="122">
        <v>60.499000000000002</v>
      </c>
    </row>
    <row r="1232" spans="2:7" x14ac:dyDescent="0.2">
      <c r="B1232" s="120" t="s">
        <v>2182</v>
      </c>
      <c r="C1232" s="121" t="s">
        <v>2183</v>
      </c>
      <c r="D1232" s="122">
        <v>0.68</v>
      </c>
      <c r="E1232" s="122">
        <v>0.66</v>
      </c>
      <c r="F1232" s="122">
        <v>1.73</v>
      </c>
      <c r="G1232" s="122">
        <v>63.325000000000003</v>
      </c>
    </row>
    <row r="1233" spans="2:7" x14ac:dyDescent="0.2">
      <c r="B1233" s="120" t="s">
        <v>2184</v>
      </c>
      <c r="C1233" s="121" t="s">
        <v>2185</v>
      </c>
      <c r="D1233" s="122">
        <v>2.91</v>
      </c>
      <c r="E1233" s="122">
        <v>2.0699999999999998</v>
      </c>
      <c r="F1233" s="122">
        <v>0</v>
      </c>
      <c r="G1233" s="122">
        <v>2.205E-2</v>
      </c>
    </row>
    <row r="1234" spans="2:7" x14ac:dyDescent="0.2">
      <c r="B1234" s="120" t="s">
        <v>4371</v>
      </c>
      <c r="C1234" s="121" t="s">
        <v>4372</v>
      </c>
      <c r="D1234" s="122"/>
      <c r="E1234" s="122">
        <v>1.5</v>
      </c>
      <c r="F1234" s="122">
        <v>0.2</v>
      </c>
      <c r="G1234" s="122">
        <v>16.410990000000002</v>
      </c>
    </row>
    <row r="1235" spans="2:7" x14ac:dyDescent="0.2">
      <c r="B1235" s="120" t="s">
        <v>2186</v>
      </c>
      <c r="C1235" s="121" t="s">
        <v>2187</v>
      </c>
      <c r="D1235" s="122">
        <v>2.54</v>
      </c>
      <c r="E1235" s="122">
        <v>3.3</v>
      </c>
      <c r="F1235" s="122">
        <v>0</v>
      </c>
      <c r="G1235" s="122">
        <v>0</v>
      </c>
    </row>
    <row r="1236" spans="2:7" x14ac:dyDescent="0.2">
      <c r="B1236" s="120" t="s">
        <v>2188</v>
      </c>
      <c r="C1236" s="121" t="s">
        <v>2189</v>
      </c>
      <c r="D1236" s="122">
        <v>0.09</v>
      </c>
      <c r="E1236" s="122">
        <v>0.56000000000000005</v>
      </c>
      <c r="F1236" s="122">
        <v>1.87</v>
      </c>
      <c r="G1236" s="122">
        <v>65.194000000000003</v>
      </c>
    </row>
    <row r="1237" spans="2:7" x14ac:dyDescent="0.2">
      <c r="B1237" s="120" t="s">
        <v>2190</v>
      </c>
      <c r="C1237" s="121" t="s">
        <v>4373</v>
      </c>
      <c r="D1237" s="122">
        <v>1.42</v>
      </c>
      <c r="E1237" s="122">
        <v>2.33</v>
      </c>
      <c r="F1237" s="122">
        <v>0.61</v>
      </c>
      <c r="G1237" s="122">
        <v>37.86</v>
      </c>
    </row>
    <row r="1238" spans="2:7" x14ac:dyDescent="0.2">
      <c r="B1238" s="120" t="s">
        <v>2192</v>
      </c>
      <c r="C1238" s="121" t="s">
        <v>2193</v>
      </c>
      <c r="D1238" s="122">
        <v>1.52</v>
      </c>
      <c r="E1238" s="122">
        <v>1.73</v>
      </c>
      <c r="F1238" s="122">
        <v>0.85</v>
      </c>
      <c r="G1238" s="122">
        <v>45.902000000000001</v>
      </c>
    </row>
    <row r="1239" spans="2:7" x14ac:dyDescent="0.2">
      <c r="B1239" s="120" t="s">
        <v>2194</v>
      </c>
      <c r="C1239" s="121" t="s">
        <v>2195</v>
      </c>
      <c r="D1239" s="122">
        <v>4.6900000000000004</v>
      </c>
      <c r="E1239" s="122">
        <v>6.03</v>
      </c>
      <c r="F1239" s="122">
        <v>0.43</v>
      </c>
      <c r="G1239" s="122">
        <v>30.280999999999999</v>
      </c>
    </row>
    <row r="1240" spans="2:7" x14ac:dyDescent="0.2">
      <c r="B1240" s="120" t="s">
        <v>2196</v>
      </c>
      <c r="C1240" s="121" t="s">
        <v>2197</v>
      </c>
      <c r="D1240" s="122">
        <v>0.76</v>
      </c>
      <c r="E1240" s="122">
        <v>1.35</v>
      </c>
      <c r="F1240" s="122"/>
      <c r="G1240" s="122">
        <v>34.356990000000003</v>
      </c>
    </row>
    <row r="1241" spans="2:7" x14ac:dyDescent="0.2">
      <c r="B1241" s="120" t="s">
        <v>2198</v>
      </c>
      <c r="C1241" s="121" t="s">
        <v>2199</v>
      </c>
      <c r="D1241" s="122">
        <v>1.58</v>
      </c>
      <c r="E1241" s="122">
        <v>2.14</v>
      </c>
      <c r="F1241" s="122"/>
      <c r="G1241" s="122">
        <v>7.7860899999999997</v>
      </c>
    </row>
    <row r="1242" spans="2:7" x14ac:dyDescent="0.2">
      <c r="B1242" s="120" t="s">
        <v>4374</v>
      </c>
      <c r="C1242" s="121" t="s">
        <v>4375</v>
      </c>
      <c r="D1242" s="122">
        <v>8.4600000000000009</v>
      </c>
      <c r="E1242" s="122">
        <v>7.61</v>
      </c>
      <c r="F1242" s="122">
        <v>0.08</v>
      </c>
      <c r="G1242" s="122">
        <v>7.5408999999999997</v>
      </c>
    </row>
    <row r="1243" spans="2:7" x14ac:dyDescent="0.2">
      <c r="B1243" s="120" t="s">
        <v>4376</v>
      </c>
      <c r="C1243" s="121" t="s">
        <v>4377</v>
      </c>
      <c r="D1243" s="122">
        <v>1.66</v>
      </c>
      <c r="E1243" s="122">
        <v>1.63</v>
      </c>
      <c r="F1243" s="122">
        <v>0.01</v>
      </c>
      <c r="G1243" s="122">
        <v>1.4729000000000001</v>
      </c>
    </row>
    <row r="1244" spans="2:7" x14ac:dyDescent="0.2">
      <c r="B1244" s="120" t="s">
        <v>2200</v>
      </c>
      <c r="C1244" s="121" t="s">
        <v>2201</v>
      </c>
      <c r="D1244" s="122">
        <v>0.79</v>
      </c>
      <c r="E1244" s="122">
        <v>1.67</v>
      </c>
      <c r="F1244" s="122">
        <v>0.43</v>
      </c>
      <c r="G1244" s="122">
        <v>29.834990000000001</v>
      </c>
    </row>
    <row r="1245" spans="2:7" x14ac:dyDescent="0.2">
      <c r="B1245" s="120" t="s">
        <v>2202</v>
      </c>
      <c r="C1245" s="121" t="s">
        <v>2203</v>
      </c>
      <c r="D1245" s="122">
        <v>0.62</v>
      </c>
      <c r="E1245" s="122">
        <v>1.24</v>
      </c>
      <c r="F1245" s="122">
        <v>0.69</v>
      </c>
      <c r="G1245" s="122">
        <v>41.798990000000003</v>
      </c>
    </row>
    <row r="1246" spans="2:7" x14ac:dyDescent="0.2">
      <c r="B1246" s="120" t="s">
        <v>2204</v>
      </c>
      <c r="C1246" s="121" t="s">
        <v>2205</v>
      </c>
      <c r="D1246" s="122">
        <v>0.69</v>
      </c>
      <c r="E1246" s="122">
        <v>0.75</v>
      </c>
      <c r="F1246" s="122">
        <v>2.0699999999999998</v>
      </c>
      <c r="G1246" s="122">
        <v>68.936989999999994</v>
      </c>
    </row>
    <row r="1247" spans="2:7" x14ac:dyDescent="0.2">
      <c r="B1247" s="120" t="s">
        <v>2206</v>
      </c>
      <c r="C1247" s="121" t="s">
        <v>2207</v>
      </c>
      <c r="D1247" s="122">
        <v>5.22</v>
      </c>
      <c r="E1247" s="122">
        <v>8</v>
      </c>
      <c r="F1247" s="122">
        <v>0.99</v>
      </c>
      <c r="G1247" s="122">
        <v>49.768999999999998</v>
      </c>
    </row>
    <row r="1248" spans="2:7" x14ac:dyDescent="0.2">
      <c r="B1248" s="120" t="s">
        <v>2208</v>
      </c>
      <c r="C1248" s="121" t="s">
        <v>2209</v>
      </c>
      <c r="D1248" s="122">
        <v>5.53</v>
      </c>
      <c r="E1248" s="122">
        <v>6.64</v>
      </c>
      <c r="F1248" s="122">
        <v>0</v>
      </c>
      <c r="G1248" s="122">
        <v>0</v>
      </c>
    </row>
    <row r="1249" spans="2:7" x14ac:dyDescent="0.2">
      <c r="B1249" s="120" t="s">
        <v>4378</v>
      </c>
      <c r="C1249" s="121" t="s">
        <v>4379</v>
      </c>
      <c r="D1249" s="122"/>
      <c r="E1249" s="122">
        <v>2.36</v>
      </c>
      <c r="F1249" s="122"/>
      <c r="G1249" s="122">
        <v>4.3090000000000003E-2</v>
      </c>
    </row>
    <row r="1250" spans="2:7" x14ac:dyDescent="0.2">
      <c r="B1250" s="120" t="s">
        <v>2210</v>
      </c>
      <c r="C1250" s="121" t="s">
        <v>2211</v>
      </c>
      <c r="D1250" s="122">
        <v>4.54</v>
      </c>
      <c r="E1250" s="122">
        <v>5.94</v>
      </c>
      <c r="F1250" s="122">
        <v>0</v>
      </c>
      <c r="G1250" s="122">
        <v>0</v>
      </c>
    </row>
    <row r="1251" spans="2:7" x14ac:dyDescent="0.2">
      <c r="B1251" s="120" t="s">
        <v>2212</v>
      </c>
      <c r="C1251" s="121" t="s">
        <v>2213</v>
      </c>
      <c r="D1251" s="122">
        <v>0.92</v>
      </c>
      <c r="E1251" s="122">
        <v>1.21</v>
      </c>
      <c r="F1251" s="122">
        <v>0.82</v>
      </c>
      <c r="G1251" s="122">
        <v>45.08399</v>
      </c>
    </row>
    <row r="1252" spans="2:7" x14ac:dyDescent="0.2">
      <c r="B1252" s="120" t="s">
        <v>2214</v>
      </c>
      <c r="C1252" s="121" t="s">
        <v>2215</v>
      </c>
      <c r="D1252" s="122">
        <v>7.02</v>
      </c>
      <c r="E1252" s="122">
        <v>6.77</v>
      </c>
      <c r="F1252" s="122">
        <v>0</v>
      </c>
      <c r="G1252" s="122">
        <v>0</v>
      </c>
    </row>
    <row r="1253" spans="2:7" x14ac:dyDescent="0.2">
      <c r="B1253" s="120" t="s">
        <v>2216</v>
      </c>
      <c r="C1253" s="121" t="s">
        <v>2217</v>
      </c>
      <c r="D1253" s="122">
        <v>1.54</v>
      </c>
      <c r="E1253" s="122">
        <v>1.0900000000000001</v>
      </c>
      <c r="F1253" s="122">
        <v>0.41</v>
      </c>
      <c r="G1253" s="122">
        <v>28.829989999999999</v>
      </c>
    </row>
    <row r="1254" spans="2:7" x14ac:dyDescent="0.2">
      <c r="B1254" s="120" t="s">
        <v>2218</v>
      </c>
      <c r="C1254" s="121" t="s">
        <v>2219</v>
      </c>
      <c r="D1254" s="122">
        <v>8.67</v>
      </c>
      <c r="E1254" s="122">
        <v>17.57</v>
      </c>
      <c r="F1254" s="122">
        <v>0</v>
      </c>
      <c r="G1254" s="122">
        <v>0</v>
      </c>
    </row>
    <row r="1255" spans="2:7" x14ac:dyDescent="0.2">
      <c r="B1255" s="120" t="s">
        <v>2220</v>
      </c>
      <c r="C1255" s="121" t="s">
        <v>2221</v>
      </c>
      <c r="D1255" s="122">
        <v>1.76</v>
      </c>
      <c r="E1255" s="122">
        <v>3.06</v>
      </c>
      <c r="F1255" s="122">
        <v>0.23</v>
      </c>
      <c r="G1255" s="122">
        <v>18.959990000000001</v>
      </c>
    </row>
    <row r="1256" spans="2:7" x14ac:dyDescent="0.2">
      <c r="B1256" s="120" t="s">
        <v>2222</v>
      </c>
      <c r="C1256" s="121" t="s">
        <v>2223</v>
      </c>
      <c r="D1256" s="122">
        <v>0.19</v>
      </c>
      <c r="E1256" s="122">
        <v>0.41</v>
      </c>
      <c r="F1256" s="122"/>
      <c r="G1256" s="122">
        <v>19.334990000000001</v>
      </c>
    </row>
    <row r="1257" spans="2:7" x14ac:dyDescent="0.2">
      <c r="B1257" s="120" t="s">
        <v>2224</v>
      </c>
      <c r="C1257" s="121" t="s">
        <v>2225</v>
      </c>
      <c r="D1257" s="122">
        <v>0.81</v>
      </c>
      <c r="E1257" s="122">
        <v>0.77</v>
      </c>
      <c r="F1257" s="122">
        <v>2.66</v>
      </c>
      <c r="G1257" s="122">
        <v>70.486000000000004</v>
      </c>
    </row>
    <row r="1258" spans="2:7" x14ac:dyDescent="0.2">
      <c r="B1258" s="120" t="s">
        <v>2226</v>
      </c>
      <c r="C1258" s="121" t="s">
        <v>2227</v>
      </c>
      <c r="D1258" s="122">
        <v>1.77</v>
      </c>
      <c r="E1258" s="122">
        <v>2.67</v>
      </c>
      <c r="F1258" s="122">
        <v>0.61</v>
      </c>
      <c r="G1258" s="122">
        <v>37.747999999999998</v>
      </c>
    </row>
    <row r="1259" spans="2:7" x14ac:dyDescent="0.2">
      <c r="B1259" s="120" t="s">
        <v>2228</v>
      </c>
      <c r="C1259" s="121" t="s">
        <v>2229</v>
      </c>
      <c r="D1259" s="122"/>
      <c r="E1259" s="122">
        <v>0.2</v>
      </c>
      <c r="F1259" s="122">
        <v>0.23</v>
      </c>
      <c r="G1259" s="122">
        <v>19.003</v>
      </c>
    </row>
    <row r="1260" spans="2:7" x14ac:dyDescent="0.2">
      <c r="B1260" s="120" t="s">
        <v>4380</v>
      </c>
      <c r="C1260" s="121" t="s">
        <v>4381</v>
      </c>
      <c r="D1260" s="122">
        <v>1.1200000000000001</v>
      </c>
      <c r="E1260" s="122">
        <v>1.29</v>
      </c>
      <c r="F1260" s="122">
        <v>0.75</v>
      </c>
      <c r="G1260" s="122">
        <v>42.819989999999997</v>
      </c>
    </row>
    <row r="1261" spans="2:7" x14ac:dyDescent="0.2">
      <c r="B1261" s="120" t="s">
        <v>2230</v>
      </c>
      <c r="C1261" s="121" t="s">
        <v>2231</v>
      </c>
      <c r="D1261" s="122">
        <v>1.77</v>
      </c>
      <c r="E1261" s="122">
        <v>1.73</v>
      </c>
      <c r="F1261" s="122">
        <v>-11.84</v>
      </c>
      <c r="G1261" s="122"/>
    </row>
    <row r="1262" spans="2:7" x14ac:dyDescent="0.2">
      <c r="B1262" s="120" t="s">
        <v>2232</v>
      </c>
      <c r="C1262" s="121" t="s">
        <v>2233</v>
      </c>
      <c r="D1262" s="122">
        <v>2.5</v>
      </c>
      <c r="E1262" s="122">
        <v>2.5299999999999998</v>
      </c>
      <c r="F1262" s="122">
        <v>0.71</v>
      </c>
      <c r="G1262" s="122">
        <v>41.585990000000002</v>
      </c>
    </row>
    <row r="1263" spans="2:7" x14ac:dyDescent="0.2">
      <c r="B1263" s="120" t="s">
        <v>2234</v>
      </c>
      <c r="C1263" s="121" t="s">
        <v>2235</v>
      </c>
      <c r="D1263" s="122">
        <v>1.86</v>
      </c>
      <c r="E1263" s="122">
        <v>1.86</v>
      </c>
      <c r="F1263" s="122">
        <v>0.02</v>
      </c>
      <c r="G1263" s="122">
        <v>4.2172900000000002</v>
      </c>
    </row>
    <row r="1264" spans="2:7" x14ac:dyDescent="0.2">
      <c r="B1264" s="120" t="s">
        <v>2236</v>
      </c>
      <c r="C1264" s="121" t="s">
        <v>2237</v>
      </c>
      <c r="D1264" s="122">
        <v>1.26</v>
      </c>
      <c r="E1264" s="122">
        <v>1.33</v>
      </c>
      <c r="F1264" s="122">
        <v>-6.1</v>
      </c>
      <c r="G1264" s="122"/>
    </row>
    <row r="1265" spans="2:7" x14ac:dyDescent="0.2">
      <c r="B1265" s="120" t="s">
        <v>2238</v>
      </c>
      <c r="C1265" s="121" t="s">
        <v>2239</v>
      </c>
      <c r="D1265" s="122"/>
      <c r="E1265" s="122">
        <v>2.5</v>
      </c>
      <c r="F1265" s="122"/>
      <c r="G1265" s="122">
        <v>16.375</v>
      </c>
    </row>
    <row r="1266" spans="2:7" x14ac:dyDescent="0.2">
      <c r="B1266" s="120" t="s">
        <v>2240</v>
      </c>
      <c r="C1266" s="121" t="s">
        <v>2241</v>
      </c>
      <c r="D1266" s="122">
        <v>0.5</v>
      </c>
      <c r="E1266" s="122">
        <v>1.41</v>
      </c>
      <c r="F1266" s="122">
        <v>0.24</v>
      </c>
      <c r="G1266" s="122">
        <v>19.555</v>
      </c>
    </row>
    <row r="1267" spans="2:7" x14ac:dyDescent="0.2">
      <c r="B1267" s="120" t="s">
        <v>2242</v>
      </c>
      <c r="C1267" s="121" t="s">
        <v>2243</v>
      </c>
      <c r="D1267" s="122">
        <v>1.06</v>
      </c>
      <c r="E1267" s="122">
        <v>1.06</v>
      </c>
      <c r="F1267" s="122">
        <v>0.53</v>
      </c>
      <c r="G1267" s="122">
        <v>32.79</v>
      </c>
    </row>
    <row r="1268" spans="2:7" x14ac:dyDescent="0.2">
      <c r="B1268" s="120" t="s">
        <v>2244</v>
      </c>
      <c r="C1268" s="121" t="s">
        <v>2245</v>
      </c>
      <c r="D1268" s="122">
        <v>0.97</v>
      </c>
      <c r="E1268" s="122">
        <v>1.32</v>
      </c>
      <c r="F1268" s="122">
        <v>7.63</v>
      </c>
      <c r="G1268" s="122">
        <v>88.418989999999994</v>
      </c>
    </row>
    <row r="1269" spans="2:7" x14ac:dyDescent="0.2">
      <c r="B1269" s="120" t="s">
        <v>2246</v>
      </c>
      <c r="C1269" s="121" t="s">
        <v>2247</v>
      </c>
      <c r="D1269" s="122">
        <v>1.06</v>
      </c>
      <c r="E1269" s="122">
        <v>1.39</v>
      </c>
      <c r="F1269" s="122">
        <v>2.16</v>
      </c>
      <c r="G1269" s="122">
        <v>68.335989999999995</v>
      </c>
    </row>
    <row r="1270" spans="2:7" x14ac:dyDescent="0.2">
      <c r="B1270" s="120" t="s">
        <v>2248</v>
      </c>
      <c r="C1270" s="121" t="s">
        <v>2249</v>
      </c>
      <c r="D1270" s="122">
        <v>0.27</v>
      </c>
      <c r="E1270" s="122">
        <v>0.36</v>
      </c>
      <c r="F1270" s="122">
        <v>0.21</v>
      </c>
      <c r="G1270" s="122">
        <v>17.094989999999999</v>
      </c>
    </row>
    <row r="1271" spans="2:7" x14ac:dyDescent="0.2">
      <c r="B1271" s="120" t="s">
        <v>2250</v>
      </c>
      <c r="C1271" s="121" t="s">
        <v>2251</v>
      </c>
      <c r="D1271" s="122"/>
      <c r="E1271" s="122">
        <v>0.97</v>
      </c>
      <c r="F1271" s="122"/>
      <c r="G1271" s="122">
        <v>31.607990000000001</v>
      </c>
    </row>
    <row r="1272" spans="2:7" x14ac:dyDescent="0.2">
      <c r="B1272" s="120" t="s">
        <v>2252</v>
      </c>
      <c r="C1272" s="121" t="s">
        <v>2253</v>
      </c>
      <c r="D1272" s="122"/>
      <c r="E1272" s="122">
        <v>0.76</v>
      </c>
      <c r="F1272" s="122"/>
      <c r="G1272" s="122">
        <v>40.910989999999998</v>
      </c>
    </row>
    <row r="1273" spans="2:7" x14ac:dyDescent="0.2">
      <c r="B1273" s="120" t="s">
        <v>4382</v>
      </c>
      <c r="C1273" s="121" t="s">
        <v>4383</v>
      </c>
      <c r="D1273" s="122">
        <v>0.84</v>
      </c>
      <c r="E1273" s="122">
        <v>0.84</v>
      </c>
      <c r="F1273" s="122"/>
      <c r="G1273" s="122">
        <v>45.128999999999998</v>
      </c>
    </row>
    <row r="1274" spans="2:7" x14ac:dyDescent="0.2">
      <c r="B1274" s="120" t="s">
        <v>4384</v>
      </c>
      <c r="C1274" s="121" t="s">
        <v>4385</v>
      </c>
      <c r="D1274" s="122">
        <v>0.76</v>
      </c>
      <c r="E1274" s="122">
        <v>1.1200000000000001</v>
      </c>
      <c r="F1274" s="122"/>
      <c r="G1274" s="122">
        <v>30.364989999999999</v>
      </c>
    </row>
    <row r="1275" spans="2:7" x14ac:dyDescent="0.2">
      <c r="B1275" s="120" t="s">
        <v>2254</v>
      </c>
      <c r="C1275" s="121" t="s">
        <v>2255</v>
      </c>
      <c r="D1275" s="122">
        <v>1.6</v>
      </c>
      <c r="E1275" s="122">
        <v>1.53</v>
      </c>
      <c r="F1275" s="122">
        <v>0.92</v>
      </c>
      <c r="G1275" s="122">
        <v>47.780990000000003</v>
      </c>
    </row>
    <row r="1276" spans="2:7" x14ac:dyDescent="0.2">
      <c r="B1276" s="120" t="s">
        <v>2256</v>
      </c>
      <c r="C1276" s="121" t="s">
        <v>2257</v>
      </c>
      <c r="D1276" s="122"/>
      <c r="E1276" s="122">
        <v>2.79</v>
      </c>
      <c r="F1276" s="122"/>
      <c r="G1276" s="122">
        <v>9.1890000000000001</v>
      </c>
    </row>
    <row r="1277" spans="2:7" x14ac:dyDescent="0.2">
      <c r="B1277" s="120" t="s">
        <v>4386</v>
      </c>
      <c r="C1277" s="121" t="s">
        <v>4387</v>
      </c>
      <c r="D1277" s="122"/>
      <c r="E1277" s="122"/>
      <c r="F1277" s="122"/>
      <c r="G1277" s="122"/>
    </row>
    <row r="1278" spans="2:7" x14ac:dyDescent="0.2">
      <c r="B1278" s="120" t="s">
        <v>2258</v>
      </c>
      <c r="C1278" s="121" t="s">
        <v>2259</v>
      </c>
      <c r="D1278" s="122">
        <v>0.91</v>
      </c>
      <c r="E1278" s="122">
        <v>0.92</v>
      </c>
      <c r="F1278" s="122">
        <v>2.0699999999999998</v>
      </c>
      <c r="G1278" s="122">
        <v>67.373999999999995</v>
      </c>
    </row>
    <row r="1279" spans="2:7" x14ac:dyDescent="0.2">
      <c r="B1279" s="120" t="s">
        <v>2260</v>
      </c>
      <c r="C1279" s="121" t="s">
        <v>2261</v>
      </c>
      <c r="D1279" s="122">
        <v>0.94</v>
      </c>
      <c r="E1279" s="122">
        <v>1.25</v>
      </c>
      <c r="F1279" s="122">
        <v>0.91</v>
      </c>
      <c r="G1279" s="122">
        <v>47.720999999999997</v>
      </c>
    </row>
    <row r="1280" spans="2:7" x14ac:dyDescent="0.2">
      <c r="B1280" s="120" t="s">
        <v>4388</v>
      </c>
      <c r="C1280" s="121" t="s">
        <v>4389</v>
      </c>
      <c r="D1280" s="122">
        <v>0.18</v>
      </c>
      <c r="E1280" s="122">
        <v>0.18</v>
      </c>
      <c r="F1280" s="122"/>
      <c r="G1280" s="122">
        <v>13.06099</v>
      </c>
    </row>
    <row r="1281" spans="2:7" x14ac:dyDescent="0.2">
      <c r="B1281" s="120" t="s">
        <v>4390</v>
      </c>
      <c r="C1281" s="121" t="s">
        <v>4391</v>
      </c>
      <c r="D1281" s="122">
        <v>0.78</v>
      </c>
      <c r="E1281" s="122">
        <v>1.1499999999999999</v>
      </c>
      <c r="F1281" s="122">
        <v>1.02</v>
      </c>
      <c r="G1281" s="122">
        <v>50.396990000000002</v>
      </c>
    </row>
    <row r="1282" spans="2:7" x14ac:dyDescent="0.2">
      <c r="B1282" s="120" t="s">
        <v>2262</v>
      </c>
      <c r="C1282" s="121" t="s">
        <v>2263</v>
      </c>
      <c r="D1282" s="122">
        <v>0.93</v>
      </c>
      <c r="E1282" s="122">
        <v>1.51</v>
      </c>
      <c r="F1282" s="122">
        <v>0.34</v>
      </c>
      <c r="G1282" s="122">
        <v>25.533999999999999</v>
      </c>
    </row>
    <row r="1283" spans="2:7" x14ac:dyDescent="0.2">
      <c r="B1283" s="120" t="s">
        <v>2264</v>
      </c>
      <c r="C1283" s="121" t="s">
        <v>2265</v>
      </c>
      <c r="D1283" s="122">
        <v>6.18</v>
      </c>
      <c r="E1283" s="122">
        <v>6.84</v>
      </c>
      <c r="F1283" s="122">
        <v>0.54</v>
      </c>
      <c r="G1283" s="122">
        <v>34.975999999999999</v>
      </c>
    </row>
    <row r="1284" spans="2:7" x14ac:dyDescent="0.2">
      <c r="B1284" s="120" t="s">
        <v>2266</v>
      </c>
      <c r="C1284" s="121" t="s">
        <v>2267</v>
      </c>
      <c r="D1284" s="122">
        <v>0.83</v>
      </c>
      <c r="E1284" s="122">
        <v>1.37</v>
      </c>
      <c r="F1284" s="122">
        <v>1.1499999999999999</v>
      </c>
      <c r="G1284" s="122">
        <v>53.543990000000001</v>
      </c>
    </row>
    <row r="1285" spans="2:7" x14ac:dyDescent="0.2">
      <c r="B1285" s="120" t="s">
        <v>2268</v>
      </c>
      <c r="C1285" s="121" t="s">
        <v>2269</v>
      </c>
      <c r="D1285" s="122">
        <v>1.04</v>
      </c>
      <c r="E1285" s="122">
        <v>1.46</v>
      </c>
      <c r="F1285" s="122"/>
      <c r="G1285" s="122">
        <v>25.677</v>
      </c>
    </row>
    <row r="1286" spans="2:7" x14ac:dyDescent="0.2">
      <c r="B1286" s="120" t="s">
        <v>2270</v>
      </c>
      <c r="C1286" s="121" t="s">
        <v>2271</v>
      </c>
      <c r="D1286" s="122">
        <v>1.22</v>
      </c>
      <c r="E1286" s="122">
        <v>1.22</v>
      </c>
      <c r="F1286" s="122"/>
      <c r="G1286" s="122">
        <v>73.128990000000002</v>
      </c>
    </row>
    <row r="1287" spans="2:7" x14ac:dyDescent="0.2">
      <c r="B1287" s="120" t="s">
        <v>4392</v>
      </c>
      <c r="C1287" s="121" t="s">
        <v>4393</v>
      </c>
      <c r="D1287" s="122">
        <v>2.93</v>
      </c>
      <c r="E1287" s="122">
        <v>3.28</v>
      </c>
      <c r="F1287" s="122">
        <v>0</v>
      </c>
      <c r="G1287" s="122">
        <v>0</v>
      </c>
    </row>
    <row r="1288" spans="2:7" x14ac:dyDescent="0.2">
      <c r="B1288" s="120" t="s">
        <v>2272</v>
      </c>
      <c r="C1288" s="121" t="s">
        <v>2273</v>
      </c>
      <c r="D1288" s="122">
        <v>17.670000000000002</v>
      </c>
      <c r="E1288" s="122">
        <v>13.85</v>
      </c>
      <c r="F1288" s="122">
        <v>26.2</v>
      </c>
      <c r="G1288" s="122">
        <v>96.323989999999995</v>
      </c>
    </row>
    <row r="1289" spans="2:7" x14ac:dyDescent="0.2">
      <c r="B1289" s="120" t="s">
        <v>2274</v>
      </c>
      <c r="C1289" s="121" t="s">
        <v>2275</v>
      </c>
      <c r="D1289" s="122">
        <v>8.24</v>
      </c>
      <c r="E1289" s="122">
        <v>7.44</v>
      </c>
      <c r="F1289" s="122">
        <v>0.96</v>
      </c>
      <c r="G1289" s="122">
        <v>48.994990000000001</v>
      </c>
    </row>
    <row r="1290" spans="2:7" x14ac:dyDescent="0.2">
      <c r="B1290" s="120" t="s">
        <v>2276</v>
      </c>
      <c r="C1290" s="121" t="s">
        <v>2277</v>
      </c>
      <c r="D1290" s="122">
        <v>1.01</v>
      </c>
      <c r="E1290" s="122">
        <v>0.59</v>
      </c>
      <c r="F1290" s="122">
        <v>0.68</v>
      </c>
      <c r="G1290" s="122">
        <v>40.807989999999997</v>
      </c>
    </row>
    <row r="1291" spans="2:7" x14ac:dyDescent="0.2">
      <c r="B1291" s="120" t="s">
        <v>2278</v>
      </c>
      <c r="C1291" s="121" t="s">
        <v>2279</v>
      </c>
      <c r="D1291" s="122">
        <v>0.15</v>
      </c>
      <c r="E1291" s="122">
        <v>0.25</v>
      </c>
      <c r="F1291" s="122">
        <v>0.93</v>
      </c>
      <c r="G1291" s="122">
        <v>48.291989999999998</v>
      </c>
    </row>
    <row r="1292" spans="2:7" x14ac:dyDescent="0.2">
      <c r="B1292" s="120" t="s">
        <v>4394</v>
      </c>
      <c r="C1292" s="121" t="s">
        <v>4395</v>
      </c>
      <c r="D1292" s="122"/>
      <c r="E1292" s="122">
        <v>2.92</v>
      </c>
      <c r="F1292" s="122"/>
      <c r="G1292" s="122">
        <v>21.207999999999998</v>
      </c>
    </row>
    <row r="1293" spans="2:7" x14ac:dyDescent="0.2">
      <c r="B1293" s="120" t="s">
        <v>2280</v>
      </c>
      <c r="C1293" s="121" t="s">
        <v>2281</v>
      </c>
      <c r="D1293" s="122">
        <v>0.97</v>
      </c>
      <c r="E1293" s="122">
        <v>1.32</v>
      </c>
      <c r="F1293" s="122">
        <v>6.05</v>
      </c>
      <c r="G1293" s="122">
        <v>69.885999999999996</v>
      </c>
    </row>
    <row r="1294" spans="2:7" x14ac:dyDescent="0.2">
      <c r="B1294" s="120" t="s">
        <v>2282</v>
      </c>
      <c r="C1294" s="121" t="s">
        <v>2283</v>
      </c>
      <c r="D1294" s="122"/>
      <c r="E1294" s="122"/>
      <c r="F1294" s="122"/>
      <c r="G1294" s="122"/>
    </row>
    <row r="1295" spans="2:7" x14ac:dyDescent="0.2">
      <c r="B1295" s="120" t="s">
        <v>2284</v>
      </c>
      <c r="C1295" s="121" t="s">
        <v>2285</v>
      </c>
      <c r="D1295" s="122">
        <v>0.97</v>
      </c>
      <c r="E1295" s="122">
        <v>0.96</v>
      </c>
      <c r="F1295" s="122">
        <v>0.61</v>
      </c>
      <c r="G1295" s="122">
        <v>37.741</v>
      </c>
    </row>
    <row r="1296" spans="2:7" x14ac:dyDescent="0.2">
      <c r="B1296" s="120" t="s">
        <v>4396</v>
      </c>
      <c r="C1296" s="121" t="s">
        <v>4397</v>
      </c>
      <c r="D1296" s="122"/>
      <c r="E1296" s="122">
        <v>3.42</v>
      </c>
      <c r="F1296" s="122"/>
      <c r="G1296" s="122"/>
    </row>
    <row r="1297" spans="2:7" x14ac:dyDescent="0.2">
      <c r="B1297" s="120" t="s">
        <v>4398</v>
      </c>
      <c r="C1297" s="121" t="s">
        <v>4399</v>
      </c>
      <c r="D1297" s="122"/>
      <c r="E1297" s="122"/>
      <c r="F1297" s="122"/>
      <c r="G1297" s="122"/>
    </row>
    <row r="1298" spans="2:7" x14ac:dyDescent="0.2">
      <c r="B1298" s="120" t="s">
        <v>2286</v>
      </c>
      <c r="C1298" s="121" t="s">
        <v>2287</v>
      </c>
      <c r="D1298" s="122">
        <v>1.77</v>
      </c>
      <c r="E1298" s="122">
        <v>2.21</v>
      </c>
      <c r="F1298" s="122">
        <v>0.76</v>
      </c>
      <c r="G1298" s="122">
        <v>43.27</v>
      </c>
    </row>
    <row r="1299" spans="2:7" x14ac:dyDescent="0.2">
      <c r="B1299" s="120" t="s">
        <v>4400</v>
      </c>
      <c r="C1299" s="121" t="s">
        <v>4401</v>
      </c>
      <c r="D1299" s="122"/>
      <c r="E1299" s="122"/>
      <c r="F1299" s="122"/>
      <c r="G1299" s="122"/>
    </row>
    <row r="1300" spans="2:7" x14ac:dyDescent="0.2">
      <c r="B1300" s="120" t="s">
        <v>2288</v>
      </c>
      <c r="C1300" s="121" t="s">
        <v>2289</v>
      </c>
      <c r="D1300" s="122">
        <v>0.28999999999999998</v>
      </c>
      <c r="E1300" s="122">
        <v>0.52</v>
      </c>
      <c r="F1300" s="122">
        <v>0.88</v>
      </c>
      <c r="G1300" s="122">
        <v>46.954999999999998</v>
      </c>
    </row>
    <row r="1301" spans="2:7" x14ac:dyDescent="0.2">
      <c r="B1301" s="120" t="s">
        <v>2290</v>
      </c>
      <c r="C1301" s="121" t="s">
        <v>2291</v>
      </c>
      <c r="D1301" s="122">
        <v>2.6</v>
      </c>
      <c r="E1301" s="122">
        <v>1.83</v>
      </c>
      <c r="F1301" s="122">
        <v>0.3</v>
      </c>
      <c r="G1301" s="122">
        <v>23.099</v>
      </c>
    </row>
    <row r="1302" spans="2:7" x14ac:dyDescent="0.2">
      <c r="B1302" s="120" t="s">
        <v>2292</v>
      </c>
      <c r="C1302" s="121" t="s">
        <v>2293</v>
      </c>
      <c r="D1302" s="122">
        <v>9.5</v>
      </c>
      <c r="E1302" s="122">
        <v>11.75</v>
      </c>
      <c r="F1302" s="122"/>
      <c r="G1302" s="122">
        <v>0</v>
      </c>
    </row>
    <row r="1303" spans="2:7" x14ac:dyDescent="0.2">
      <c r="B1303" s="120" t="s">
        <v>4402</v>
      </c>
      <c r="C1303" s="121" t="s">
        <v>4403</v>
      </c>
      <c r="D1303" s="122">
        <v>1.54</v>
      </c>
      <c r="E1303" s="122">
        <v>2.93</v>
      </c>
      <c r="F1303" s="122">
        <v>1.22</v>
      </c>
      <c r="G1303" s="122">
        <v>55.02899</v>
      </c>
    </row>
    <row r="1304" spans="2:7" x14ac:dyDescent="0.2">
      <c r="B1304" s="120" t="s">
        <v>2296</v>
      </c>
      <c r="C1304" s="121" t="s">
        <v>2297</v>
      </c>
      <c r="D1304" s="122">
        <v>2.9</v>
      </c>
      <c r="E1304" s="122">
        <v>2.88</v>
      </c>
      <c r="F1304" s="122">
        <v>1.32</v>
      </c>
      <c r="G1304" s="122">
        <v>57.044989999999999</v>
      </c>
    </row>
    <row r="1305" spans="2:7" x14ac:dyDescent="0.2">
      <c r="B1305" s="120" t="s">
        <v>2298</v>
      </c>
      <c r="C1305" s="121" t="s">
        <v>2299</v>
      </c>
      <c r="D1305" s="122">
        <v>0.34</v>
      </c>
      <c r="E1305" s="122">
        <v>0.56000000000000005</v>
      </c>
      <c r="F1305" s="122">
        <v>0</v>
      </c>
      <c r="G1305" s="122">
        <v>0</v>
      </c>
    </row>
    <row r="1306" spans="2:7" x14ac:dyDescent="0.2">
      <c r="B1306" s="120" t="s">
        <v>2300</v>
      </c>
      <c r="C1306" s="121" t="s">
        <v>2301</v>
      </c>
      <c r="D1306" s="122">
        <v>1.07</v>
      </c>
      <c r="E1306" s="122">
        <v>1.02</v>
      </c>
      <c r="F1306" s="122">
        <v>1</v>
      </c>
      <c r="G1306" s="122">
        <v>49.875</v>
      </c>
    </row>
    <row r="1307" spans="2:7" x14ac:dyDescent="0.2">
      <c r="B1307" s="120" t="s">
        <v>2302</v>
      </c>
      <c r="C1307" s="121" t="s">
        <v>2303</v>
      </c>
      <c r="D1307" s="122">
        <v>1.49</v>
      </c>
      <c r="E1307" s="122">
        <v>0.85</v>
      </c>
      <c r="F1307" s="122">
        <v>2.06</v>
      </c>
      <c r="G1307" s="122">
        <v>67.348990000000001</v>
      </c>
    </row>
    <row r="1308" spans="2:7" x14ac:dyDescent="0.2">
      <c r="B1308" s="120" t="s">
        <v>2304</v>
      </c>
      <c r="C1308" s="121" t="s">
        <v>2305</v>
      </c>
      <c r="D1308" s="122">
        <v>0.83</v>
      </c>
      <c r="E1308" s="122">
        <v>0.87</v>
      </c>
      <c r="F1308" s="122"/>
      <c r="G1308" s="122">
        <v>55.603000000000002</v>
      </c>
    </row>
    <row r="1309" spans="2:7" x14ac:dyDescent="0.2">
      <c r="B1309" s="120" t="s">
        <v>2306</v>
      </c>
      <c r="C1309" s="121" t="s">
        <v>2307</v>
      </c>
      <c r="D1309" s="122">
        <v>1.29</v>
      </c>
      <c r="E1309" s="122">
        <v>1.95</v>
      </c>
      <c r="F1309" s="122"/>
      <c r="G1309" s="122">
        <v>21.911999999999999</v>
      </c>
    </row>
    <row r="1310" spans="2:7" x14ac:dyDescent="0.2">
      <c r="B1310" s="120" t="s">
        <v>2308</v>
      </c>
      <c r="C1310" s="121" t="s">
        <v>2309</v>
      </c>
      <c r="D1310" s="122">
        <v>1.26</v>
      </c>
      <c r="E1310" s="122">
        <v>2.2799999999999998</v>
      </c>
      <c r="F1310" s="122">
        <v>3.51</v>
      </c>
      <c r="G1310" s="122">
        <v>77.802999999999997</v>
      </c>
    </row>
    <row r="1311" spans="2:7" x14ac:dyDescent="0.2">
      <c r="B1311" s="120" t="s">
        <v>2310</v>
      </c>
      <c r="C1311" s="121" t="s">
        <v>2311</v>
      </c>
      <c r="D1311" s="122">
        <v>17.920000000000002</v>
      </c>
      <c r="E1311" s="122">
        <v>14.42</v>
      </c>
      <c r="F1311" s="122">
        <v>1.04</v>
      </c>
      <c r="G1311" s="122">
        <v>50.901000000000003</v>
      </c>
    </row>
    <row r="1312" spans="2:7" x14ac:dyDescent="0.2">
      <c r="B1312" s="120" t="s">
        <v>2312</v>
      </c>
      <c r="C1312" s="121" t="s">
        <v>2313</v>
      </c>
      <c r="D1312" s="122">
        <v>0.81</v>
      </c>
      <c r="E1312" s="122">
        <v>1.77</v>
      </c>
      <c r="F1312" s="122">
        <v>0.22</v>
      </c>
      <c r="G1312" s="122">
        <v>17.867000000000001</v>
      </c>
    </row>
    <row r="1313" spans="2:7" x14ac:dyDescent="0.2">
      <c r="B1313" s="120" t="s">
        <v>2314</v>
      </c>
      <c r="C1313" s="121" t="s">
        <v>2315</v>
      </c>
      <c r="D1313" s="122">
        <v>0.4</v>
      </c>
      <c r="E1313" s="122">
        <v>0.41</v>
      </c>
      <c r="F1313" s="122">
        <v>1.4</v>
      </c>
      <c r="G1313" s="122">
        <v>54.331000000000003</v>
      </c>
    </row>
    <row r="1314" spans="2:7" x14ac:dyDescent="0.2">
      <c r="B1314" s="120" t="s">
        <v>2316</v>
      </c>
      <c r="C1314" s="121" t="s">
        <v>2317</v>
      </c>
      <c r="D1314" s="122">
        <v>1.38</v>
      </c>
      <c r="E1314" s="122">
        <v>1.28</v>
      </c>
      <c r="F1314" s="122">
        <v>0.27</v>
      </c>
      <c r="G1314" s="122">
        <v>21.305990000000001</v>
      </c>
    </row>
    <row r="1315" spans="2:7" x14ac:dyDescent="0.2">
      <c r="B1315" s="120" t="s">
        <v>4404</v>
      </c>
      <c r="C1315" s="121" t="s">
        <v>4405</v>
      </c>
      <c r="D1315" s="122">
        <v>0.96</v>
      </c>
      <c r="E1315" s="122">
        <v>1.93</v>
      </c>
      <c r="F1315" s="122"/>
      <c r="G1315" s="122">
        <v>70.308989999999994</v>
      </c>
    </row>
    <row r="1316" spans="2:7" x14ac:dyDescent="0.2">
      <c r="B1316" s="120" t="s">
        <v>2318</v>
      </c>
      <c r="C1316" s="121" t="s">
        <v>2319</v>
      </c>
      <c r="D1316" s="122">
        <v>1.42</v>
      </c>
      <c r="E1316" s="122">
        <v>2.06</v>
      </c>
      <c r="F1316" s="122">
        <v>0.19</v>
      </c>
      <c r="G1316" s="122">
        <v>15.722989999999999</v>
      </c>
    </row>
    <row r="1317" spans="2:7" x14ac:dyDescent="0.2">
      <c r="B1317" s="120" t="s">
        <v>2320</v>
      </c>
      <c r="C1317" s="121" t="s">
        <v>2321</v>
      </c>
      <c r="D1317" s="122">
        <v>1.25</v>
      </c>
      <c r="E1317" s="122">
        <v>1.49</v>
      </c>
      <c r="F1317" s="122"/>
      <c r="G1317" s="122">
        <v>81.185990000000004</v>
      </c>
    </row>
    <row r="1318" spans="2:7" x14ac:dyDescent="0.2">
      <c r="B1318" s="120" t="s">
        <v>2322</v>
      </c>
      <c r="C1318" s="121" t="s">
        <v>2323</v>
      </c>
      <c r="D1318" s="122">
        <v>1.25</v>
      </c>
      <c r="E1318" s="122">
        <v>1.52</v>
      </c>
      <c r="F1318" s="122">
        <v>0.24</v>
      </c>
      <c r="G1318" s="122">
        <v>19.236000000000001</v>
      </c>
    </row>
    <row r="1319" spans="2:7" x14ac:dyDescent="0.2">
      <c r="B1319" s="120" t="s">
        <v>2324</v>
      </c>
      <c r="C1319" s="121" t="s">
        <v>2325</v>
      </c>
      <c r="D1319" s="122">
        <v>0.76</v>
      </c>
      <c r="E1319" s="122">
        <v>0.88</v>
      </c>
      <c r="F1319" s="122">
        <v>0.77</v>
      </c>
      <c r="G1319" s="122">
        <v>43.527990000000003</v>
      </c>
    </row>
    <row r="1320" spans="2:7" x14ac:dyDescent="0.2">
      <c r="B1320" s="120" t="s">
        <v>2326</v>
      </c>
      <c r="C1320" s="121" t="s">
        <v>2327</v>
      </c>
      <c r="D1320" s="122">
        <v>1.39</v>
      </c>
      <c r="E1320" s="122">
        <v>2.1</v>
      </c>
      <c r="F1320" s="122"/>
      <c r="G1320" s="122">
        <v>27.70299</v>
      </c>
    </row>
    <row r="1321" spans="2:7" x14ac:dyDescent="0.2">
      <c r="B1321" s="120" t="s">
        <v>2328</v>
      </c>
      <c r="C1321" s="121" t="s">
        <v>2329</v>
      </c>
      <c r="D1321" s="122">
        <v>17.39</v>
      </c>
      <c r="E1321" s="122">
        <v>14.09</v>
      </c>
      <c r="F1321" s="122">
        <v>0.22</v>
      </c>
      <c r="G1321" s="122">
        <v>18.035990000000002</v>
      </c>
    </row>
    <row r="1322" spans="2:7" x14ac:dyDescent="0.2">
      <c r="B1322" s="120" t="s">
        <v>2330</v>
      </c>
      <c r="C1322" s="121" t="s">
        <v>2331</v>
      </c>
      <c r="D1322" s="122">
        <v>1.21</v>
      </c>
      <c r="E1322" s="122">
        <v>1.07</v>
      </c>
      <c r="F1322" s="122">
        <v>2.9</v>
      </c>
      <c r="G1322" s="122">
        <v>74.328000000000003</v>
      </c>
    </row>
    <row r="1323" spans="2:7" x14ac:dyDescent="0.2">
      <c r="B1323" s="120" t="s">
        <v>2332</v>
      </c>
      <c r="C1323" s="121" t="s">
        <v>2333</v>
      </c>
      <c r="D1323" s="122">
        <v>0.08</v>
      </c>
      <c r="E1323" s="122">
        <v>0.05</v>
      </c>
      <c r="F1323" s="122">
        <v>0.26</v>
      </c>
      <c r="G1323" s="122">
        <v>18.094989999999999</v>
      </c>
    </row>
    <row r="1324" spans="2:7" x14ac:dyDescent="0.2">
      <c r="B1324" s="120" t="s">
        <v>2334</v>
      </c>
      <c r="C1324" s="121" t="s">
        <v>2335</v>
      </c>
      <c r="D1324" s="122"/>
      <c r="E1324" s="122"/>
      <c r="F1324" s="122"/>
      <c r="G1324" s="122"/>
    </row>
    <row r="1325" spans="2:7" x14ac:dyDescent="0.2">
      <c r="B1325" s="120" t="s">
        <v>2336</v>
      </c>
      <c r="C1325" s="121" t="s">
        <v>2337</v>
      </c>
      <c r="D1325" s="122">
        <v>1.1000000000000001</v>
      </c>
      <c r="E1325" s="122">
        <v>0.98</v>
      </c>
      <c r="F1325" s="122">
        <v>5.9</v>
      </c>
      <c r="G1325" s="122">
        <v>85.507000000000005</v>
      </c>
    </row>
    <row r="1326" spans="2:7" x14ac:dyDescent="0.2">
      <c r="B1326" s="120" t="s">
        <v>2338</v>
      </c>
      <c r="C1326" s="121" t="s">
        <v>2339</v>
      </c>
      <c r="D1326" s="122"/>
      <c r="E1326" s="122">
        <v>3.1</v>
      </c>
      <c r="F1326" s="122"/>
      <c r="G1326" s="122">
        <v>0.88700999999999997</v>
      </c>
    </row>
    <row r="1327" spans="2:7" x14ac:dyDescent="0.2">
      <c r="B1327" s="120" t="s">
        <v>4406</v>
      </c>
      <c r="C1327" s="121" t="s">
        <v>4407</v>
      </c>
      <c r="D1327" s="122">
        <v>23.09</v>
      </c>
      <c r="E1327" s="122">
        <v>25.96</v>
      </c>
      <c r="F1327" s="122"/>
      <c r="G1327" s="122">
        <v>22.975000000000001</v>
      </c>
    </row>
    <row r="1328" spans="2:7" x14ac:dyDescent="0.2">
      <c r="B1328" s="120" t="s">
        <v>2340</v>
      </c>
      <c r="C1328" s="121" t="s">
        <v>2341</v>
      </c>
      <c r="D1328" s="122">
        <v>7.35</v>
      </c>
      <c r="E1328" s="122">
        <v>1.83</v>
      </c>
      <c r="F1328" s="122">
        <v>0.81</v>
      </c>
      <c r="G1328" s="122">
        <v>40.850999999999999</v>
      </c>
    </row>
    <row r="1329" spans="2:7" x14ac:dyDescent="0.2">
      <c r="B1329" s="120" t="s">
        <v>2342</v>
      </c>
      <c r="C1329" s="121" t="s">
        <v>2343</v>
      </c>
      <c r="D1329" s="122">
        <v>1.0900000000000001</v>
      </c>
      <c r="E1329" s="122">
        <v>1.25</v>
      </c>
      <c r="F1329" s="122">
        <v>1.62</v>
      </c>
      <c r="G1329" s="122">
        <v>61.819989999999997</v>
      </c>
    </row>
    <row r="1330" spans="2:7" x14ac:dyDescent="0.2">
      <c r="B1330" s="120" t="s">
        <v>2344</v>
      </c>
      <c r="C1330" s="121" t="s">
        <v>2345</v>
      </c>
      <c r="D1330" s="122">
        <v>1.07</v>
      </c>
      <c r="E1330" s="122">
        <v>1.34</v>
      </c>
      <c r="F1330" s="122">
        <v>0.33</v>
      </c>
      <c r="G1330" s="122">
        <v>24.625</v>
      </c>
    </row>
    <row r="1331" spans="2:7" x14ac:dyDescent="0.2">
      <c r="B1331" s="120" t="s">
        <v>2346</v>
      </c>
      <c r="C1331" s="121" t="s">
        <v>2347</v>
      </c>
      <c r="D1331" s="122">
        <v>0.71</v>
      </c>
      <c r="E1331" s="122">
        <v>1.64</v>
      </c>
      <c r="F1331" s="122">
        <v>0.74</v>
      </c>
      <c r="G1331" s="122">
        <v>42.661990000000003</v>
      </c>
    </row>
    <row r="1332" spans="2:7" x14ac:dyDescent="0.2">
      <c r="B1332" s="120" t="s">
        <v>2348</v>
      </c>
      <c r="C1332" s="121" t="s">
        <v>2349</v>
      </c>
      <c r="D1332" s="122">
        <v>1.83</v>
      </c>
      <c r="E1332" s="122">
        <v>3.05</v>
      </c>
      <c r="F1332" s="122">
        <v>0.28999999999999998</v>
      </c>
      <c r="G1332" s="122">
        <v>22.634</v>
      </c>
    </row>
    <row r="1333" spans="2:7" x14ac:dyDescent="0.2">
      <c r="B1333" s="120" t="s">
        <v>2350</v>
      </c>
      <c r="C1333" s="121" t="s">
        <v>2351</v>
      </c>
      <c r="D1333" s="122">
        <v>1.17</v>
      </c>
      <c r="E1333" s="122">
        <v>1.1000000000000001</v>
      </c>
      <c r="F1333" s="122">
        <v>0.54</v>
      </c>
      <c r="G1333" s="122">
        <v>34.972000000000001</v>
      </c>
    </row>
    <row r="1334" spans="2:7" x14ac:dyDescent="0.2">
      <c r="B1334" s="120" t="s">
        <v>2352</v>
      </c>
      <c r="C1334" s="121" t="s">
        <v>2353</v>
      </c>
      <c r="D1334" s="122"/>
      <c r="E1334" s="122"/>
      <c r="F1334" s="122"/>
      <c r="G1334" s="122"/>
    </row>
    <row r="1335" spans="2:7" x14ac:dyDescent="0.2">
      <c r="B1335" s="120" t="s">
        <v>4408</v>
      </c>
      <c r="C1335" s="121" t="s">
        <v>4409</v>
      </c>
      <c r="D1335" s="122">
        <v>0.59</v>
      </c>
      <c r="E1335" s="122">
        <v>1.32</v>
      </c>
      <c r="F1335" s="122">
        <v>0.53</v>
      </c>
      <c r="G1335" s="122">
        <v>34.500990000000002</v>
      </c>
    </row>
    <row r="1336" spans="2:7" x14ac:dyDescent="0.2">
      <c r="B1336" s="120" t="s">
        <v>4410</v>
      </c>
      <c r="C1336" s="121" t="s">
        <v>4411</v>
      </c>
      <c r="D1336" s="122"/>
      <c r="E1336" s="122">
        <v>1.83</v>
      </c>
      <c r="F1336" s="122"/>
      <c r="G1336" s="122">
        <v>25.196999999999999</v>
      </c>
    </row>
    <row r="1337" spans="2:7" x14ac:dyDescent="0.2">
      <c r="B1337" s="120" t="s">
        <v>4412</v>
      </c>
      <c r="C1337" s="121" t="s">
        <v>4413</v>
      </c>
      <c r="D1337" s="122">
        <v>6.54</v>
      </c>
      <c r="E1337" s="122">
        <v>6.67</v>
      </c>
      <c r="F1337" s="122"/>
      <c r="G1337" s="122">
        <v>10.342000000000001</v>
      </c>
    </row>
    <row r="1338" spans="2:7" x14ac:dyDescent="0.2">
      <c r="B1338" s="120" t="s">
        <v>4414</v>
      </c>
      <c r="C1338" s="121" t="s">
        <v>4415</v>
      </c>
      <c r="D1338" s="122">
        <v>1.57</v>
      </c>
      <c r="E1338" s="122">
        <v>1.56</v>
      </c>
      <c r="F1338" s="122">
        <v>6.43</v>
      </c>
      <c r="G1338" s="122">
        <v>86.54</v>
      </c>
    </row>
    <row r="1339" spans="2:7" x14ac:dyDescent="0.2">
      <c r="B1339" s="120" t="s">
        <v>2354</v>
      </c>
      <c r="C1339" s="121" t="s">
        <v>2355</v>
      </c>
      <c r="D1339" s="122">
        <v>1.33</v>
      </c>
      <c r="E1339" s="122">
        <v>1.33</v>
      </c>
      <c r="F1339" s="122">
        <v>-3.83</v>
      </c>
      <c r="G1339" s="122"/>
    </row>
    <row r="1340" spans="2:7" x14ac:dyDescent="0.2">
      <c r="B1340" s="120" t="s">
        <v>2356</v>
      </c>
      <c r="C1340" s="121" t="s">
        <v>2357</v>
      </c>
      <c r="D1340" s="122">
        <v>2.2799999999999998</v>
      </c>
      <c r="E1340" s="122">
        <v>2.42</v>
      </c>
      <c r="F1340" s="122">
        <v>0.11</v>
      </c>
      <c r="G1340" s="122">
        <v>9.9128900000000009</v>
      </c>
    </row>
    <row r="1341" spans="2:7" x14ac:dyDescent="0.2">
      <c r="B1341" s="120" t="s">
        <v>2358</v>
      </c>
      <c r="C1341" s="121" t="s">
        <v>2359</v>
      </c>
      <c r="D1341" s="122">
        <v>0.39</v>
      </c>
      <c r="E1341" s="122">
        <v>0.48</v>
      </c>
      <c r="F1341" s="122">
        <v>0</v>
      </c>
      <c r="G1341" s="122">
        <v>0</v>
      </c>
    </row>
    <row r="1342" spans="2:7" x14ac:dyDescent="0.2">
      <c r="B1342" s="120" t="s">
        <v>2360</v>
      </c>
      <c r="C1342" s="121" t="s">
        <v>2361</v>
      </c>
      <c r="D1342" s="122">
        <v>0.55000000000000004</v>
      </c>
      <c r="E1342" s="122">
        <v>1.43</v>
      </c>
      <c r="F1342" s="122">
        <v>3.22</v>
      </c>
      <c r="G1342" s="122">
        <v>59</v>
      </c>
    </row>
    <row r="1343" spans="2:7" x14ac:dyDescent="0.2">
      <c r="B1343" s="120" t="s">
        <v>2362</v>
      </c>
      <c r="C1343" s="121" t="s">
        <v>2363</v>
      </c>
      <c r="D1343" s="122">
        <v>1.34</v>
      </c>
      <c r="E1343" s="122">
        <v>1.5</v>
      </c>
      <c r="F1343" s="122">
        <v>0.75</v>
      </c>
      <c r="G1343" s="122">
        <v>42.798000000000002</v>
      </c>
    </row>
    <row r="1344" spans="2:7" x14ac:dyDescent="0.2">
      <c r="B1344" s="120" t="s">
        <v>2364</v>
      </c>
      <c r="C1344" s="121" t="s">
        <v>2365</v>
      </c>
      <c r="D1344" s="122">
        <v>0.64</v>
      </c>
      <c r="E1344" s="122">
        <v>0.78</v>
      </c>
      <c r="F1344" s="122">
        <v>0.72</v>
      </c>
      <c r="G1344" s="122">
        <v>41.974989999999998</v>
      </c>
    </row>
    <row r="1345" spans="2:7" x14ac:dyDescent="0.2">
      <c r="B1345" s="120" t="s">
        <v>2366</v>
      </c>
      <c r="C1345" s="121" t="s">
        <v>2367</v>
      </c>
      <c r="D1345" s="122">
        <v>1.1200000000000001</v>
      </c>
      <c r="E1345" s="122">
        <v>1.19</v>
      </c>
      <c r="F1345" s="122">
        <v>1.26</v>
      </c>
      <c r="G1345" s="122">
        <v>55.670999999999999</v>
      </c>
    </row>
    <row r="1346" spans="2:7" x14ac:dyDescent="0.2">
      <c r="B1346" s="120" t="s">
        <v>2368</v>
      </c>
      <c r="C1346" s="121" t="s">
        <v>2369</v>
      </c>
      <c r="D1346" s="122">
        <v>0.74</v>
      </c>
      <c r="E1346" s="122">
        <v>0.95</v>
      </c>
      <c r="F1346" s="122"/>
      <c r="G1346" s="122">
        <v>30.558</v>
      </c>
    </row>
    <row r="1347" spans="2:7" x14ac:dyDescent="0.2">
      <c r="B1347" s="120" t="s">
        <v>2370</v>
      </c>
      <c r="C1347" s="121" t="s">
        <v>2371</v>
      </c>
      <c r="D1347" s="122">
        <v>1.42</v>
      </c>
      <c r="E1347" s="122">
        <v>1.42</v>
      </c>
      <c r="F1347" s="122">
        <v>1.33</v>
      </c>
      <c r="G1347" s="122">
        <v>57.021990000000002</v>
      </c>
    </row>
    <row r="1348" spans="2:7" x14ac:dyDescent="0.2">
      <c r="B1348" s="120" t="s">
        <v>2372</v>
      </c>
      <c r="C1348" s="121" t="s">
        <v>2373</v>
      </c>
      <c r="D1348" s="122">
        <v>4.9400000000000004</v>
      </c>
      <c r="E1348" s="122">
        <v>5.49</v>
      </c>
      <c r="F1348" s="122"/>
      <c r="G1348" s="122">
        <v>0</v>
      </c>
    </row>
    <row r="1349" spans="2:7" x14ac:dyDescent="0.2">
      <c r="B1349" s="120" t="s">
        <v>2374</v>
      </c>
      <c r="C1349" s="121" t="s">
        <v>2375</v>
      </c>
      <c r="D1349" s="122">
        <v>1.17</v>
      </c>
      <c r="E1349" s="122">
        <v>1.19</v>
      </c>
      <c r="F1349" s="122"/>
      <c r="G1349" s="122">
        <v>31.588999999999999</v>
      </c>
    </row>
    <row r="1350" spans="2:7" x14ac:dyDescent="0.2">
      <c r="B1350" s="120" t="s">
        <v>2376</v>
      </c>
      <c r="C1350" s="121" t="s">
        <v>2377</v>
      </c>
      <c r="D1350" s="122">
        <v>1.81</v>
      </c>
      <c r="E1350" s="122">
        <v>2.15</v>
      </c>
      <c r="F1350" s="122">
        <v>0</v>
      </c>
      <c r="G1350" s="122">
        <v>10.12899</v>
      </c>
    </row>
    <row r="1351" spans="2:7" x14ac:dyDescent="0.2">
      <c r="B1351" s="120" t="s">
        <v>2378</v>
      </c>
      <c r="C1351" s="121" t="s">
        <v>2379</v>
      </c>
      <c r="D1351" s="122">
        <v>0.82</v>
      </c>
      <c r="E1351" s="122">
        <v>0.79</v>
      </c>
      <c r="F1351" s="122"/>
      <c r="G1351" s="122">
        <v>4.9783999999999997</v>
      </c>
    </row>
    <row r="1352" spans="2:7" x14ac:dyDescent="0.2">
      <c r="B1352" s="120" t="s">
        <v>2380</v>
      </c>
      <c r="C1352" s="121" t="s">
        <v>2381</v>
      </c>
      <c r="D1352" s="122"/>
      <c r="E1352" s="122">
        <v>2.41</v>
      </c>
      <c r="F1352" s="122"/>
      <c r="G1352" s="122">
        <v>59.64199</v>
      </c>
    </row>
    <row r="1353" spans="2:7" x14ac:dyDescent="0.2">
      <c r="B1353" s="120" t="s">
        <v>2382</v>
      </c>
      <c r="C1353" s="121" t="s">
        <v>2383</v>
      </c>
      <c r="D1353" s="122"/>
      <c r="E1353" s="122"/>
      <c r="F1353" s="122"/>
      <c r="G1353" s="122"/>
    </row>
    <row r="1354" spans="2:7" x14ac:dyDescent="0.2">
      <c r="B1354" s="120" t="s">
        <v>2384</v>
      </c>
      <c r="C1354" s="121" t="s">
        <v>2385</v>
      </c>
      <c r="D1354" s="122">
        <v>0.64</v>
      </c>
      <c r="E1354" s="122">
        <v>0.64</v>
      </c>
      <c r="F1354" s="122">
        <v>0.4</v>
      </c>
      <c r="G1354" s="122">
        <v>26.972000000000001</v>
      </c>
    </row>
    <row r="1355" spans="2:7" x14ac:dyDescent="0.2">
      <c r="B1355" s="120" t="s">
        <v>2386</v>
      </c>
      <c r="C1355" s="121" t="s">
        <v>2387</v>
      </c>
      <c r="D1355" s="122">
        <v>1.2</v>
      </c>
      <c r="E1355" s="122">
        <v>1.2</v>
      </c>
      <c r="F1355" s="122">
        <v>0.28000000000000003</v>
      </c>
      <c r="G1355" s="122">
        <v>21.710999999999999</v>
      </c>
    </row>
    <row r="1356" spans="2:7" x14ac:dyDescent="0.2">
      <c r="B1356" s="120" t="s">
        <v>2388</v>
      </c>
      <c r="C1356" s="121" t="s">
        <v>2389</v>
      </c>
      <c r="D1356" s="122">
        <v>1.22</v>
      </c>
      <c r="E1356" s="122">
        <v>1.77</v>
      </c>
      <c r="F1356" s="122">
        <v>0.94</v>
      </c>
      <c r="G1356" s="122">
        <v>48.495989999999999</v>
      </c>
    </row>
    <row r="1357" spans="2:7" x14ac:dyDescent="0.2">
      <c r="B1357" s="120" t="s">
        <v>2390</v>
      </c>
      <c r="C1357" s="121" t="s">
        <v>2391</v>
      </c>
      <c r="D1357" s="122">
        <v>1.45</v>
      </c>
      <c r="E1357" s="122">
        <v>3.56</v>
      </c>
      <c r="F1357" s="122">
        <v>0.4</v>
      </c>
      <c r="G1357" s="122">
        <v>28.356999999999999</v>
      </c>
    </row>
    <row r="1358" spans="2:7" x14ac:dyDescent="0.2">
      <c r="B1358" s="120" t="s">
        <v>2392</v>
      </c>
      <c r="C1358" s="121" t="s">
        <v>2393</v>
      </c>
      <c r="D1358" s="122">
        <v>1.92</v>
      </c>
      <c r="E1358" s="122">
        <v>3.6</v>
      </c>
      <c r="F1358" s="122">
        <v>0.79</v>
      </c>
      <c r="G1358" s="122">
        <v>44.097000000000001</v>
      </c>
    </row>
    <row r="1359" spans="2:7" x14ac:dyDescent="0.2">
      <c r="B1359" s="120" t="s">
        <v>2394</v>
      </c>
      <c r="C1359" s="121" t="s">
        <v>2395</v>
      </c>
      <c r="D1359" s="122">
        <v>4.63</v>
      </c>
      <c r="E1359" s="122">
        <v>5.03</v>
      </c>
      <c r="F1359" s="122">
        <v>1.01</v>
      </c>
      <c r="G1359" s="122">
        <v>50.316000000000003</v>
      </c>
    </row>
    <row r="1360" spans="2:7" x14ac:dyDescent="0.2">
      <c r="B1360" s="120" t="s">
        <v>2396</v>
      </c>
      <c r="C1360" s="121" t="s">
        <v>2397</v>
      </c>
      <c r="D1360" s="122">
        <v>6.76</v>
      </c>
      <c r="E1360" s="122">
        <v>8.65</v>
      </c>
      <c r="F1360" s="122">
        <v>0.24</v>
      </c>
      <c r="G1360" s="122">
        <v>19.299990000000001</v>
      </c>
    </row>
    <row r="1361" spans="2:7" x14ac:dyDescent="0.2">
      <c r="B1361" s="120" t="s">
        <v>2398</v>
      </c>
      <c r="C1361" s="121" t="s">
        <v>2399</v>
      </c>
      <c r="D1361" s="122">
        <v>0.79</v>
      </c>
      <c r="E1361" s="122">
        <v>1.04</v>
      </c>
      <c r="F1361" s="122">
        <v>0.06</v>
      </c>
      <c r="G1361" s="122">
        <v>5.3102</v>
      </c>
    </row>
    <row r="1362" spans="2:7" x14ac:dyDescent="0.2">
      <c r="B1362" s="120" t="s">
        <v>2400</v>
      </c>
      <c r="C1362" s="121" t="s">
        <v>2401</v>
      </c>
      <c r="D1362" s="122">
        <v>1.95</v>
      </c>
      <c r="E1362" s="122">
        <v>4.29</v>
      </c>
      <c r="F1362" s="122">
        <v>0.32</v>
      </c>
      <c r="G1362" s="122">
        <v>24.434000000000001</v>
      </c>
    </row>
    <row r="1363" spans="2:7" x14ac:dyDescent="0.2">
      <c r="B1363" s="120" t="s">
        <v>2402</v>
      </c>
      <c r="C1363" s="121" t="s">
        <v>2403</v>
      </c>
      <c r="D1363" s="122">
        <v>0.97</v>
      </c>
      <c r="E1363" s="122">
        <v>0.94</v>
      </c>
      <c r="F1363" s="122">
        <v>0.43</v>
      </c>
      <c r="G1363" s="122">
        <v>30.041</v>
      </c>
    </row>
    <row r="1364" spans="2:7" x14ac:dyDescent="0.2">
      <c r="B1364" s="120" t="s">
        <v>2404</v>
      </c>
      <c r="C1364" s="121" t="s">
        <v>2405</v>
      </c>
      <c r="D1364" s="122">
        <v>1.34</v>
      </c>
      <c r="E1364" s="122">
        <v>1.87</v>
      </c>
      <c r="F1364" s="122">
        <v>0.41</v>
      </c>
      <c r="G1364" s="122">
        <v>29.09</v>
      </c>
    </row>
    <row r="1365" spans="2:7" x14ac:dyDescent="0.2">
      <c r="B1365" s="120" t="s">
        <v>2406</v>
      </c>
      <c r="C1365" s="121" t="s">
        <v>2407</v>
      </c>
      <c r="D1365" s="122">
        <v>0.73</v>
      </c>
      <c r="E1365" s="122">
        <v>1.27</v>
      </c>
      <c r="F1365" s="122">
        <v>0.05</v>
      </c>
      <c r="G1365" s="122">
        <v>4.6209899999999999</v>
      </c>
    </row>
    <row r="1366" spans="2:7" x14ac:dyDescent="0.2">
      <c r="B1366" s="120" t="s">
        <v>2408</v>
      </c>
      <c r="C1366" s="121" t="s">
        <v>2409</v>
      </c>
      <c r="D1366" s="122">
        <v>0.65</v>
      </c>
      <c r="E1366" s="122">
        <v>0.92</v>
      </c>
      <c r="F1366" s="122">
        <v>1.08</v>
      </c>
      <c r="G1366" s="122">
        <v>52.000990000000002</v>
      </c>
    </row>
    <row r="1367" spans="2:7" x14ac:dyDescent="0.2">
      <c r="B1367" s="120" t="s">
        <v>2410</v>
      </c>
      <c r="C1367" s="121" t="s">
        <v>2411</v>
      </c>
      <c r="D1367" s="122">
        <v>1.85</v>
      </c>
      <c r="E1367" s="122">
        <v>2.25</v>
      </c>
      <c r="F1367" s="122">
        <v>1.45</v>
      </c>
      <c r="G1367" s="122">
        <v>59.262999999999998</v>
      </c>
    </row>
    <row r="1368" spans="2:7" x14ac:dyDescent="0.2">
      <c r="B1368" s="120" t="s">
        <v>2412</v>
      </c>
      <c r="C1368" s="121" t="s">
        <v>4416</v>
      </c>
      <c r="D1368" s="122">
        <v>1.1100000000000001</v>
      </c>
      <c r="E1368" s="122">
        <v>1.21</v>
      </c>
      <c r="F1368" s="122">
        <v>0.1</v>
      </c>
      <c r="G1368" s="122">
        <v>8.8732000000000006</v>
      </c>
    </row>
    <row r="1369" spans="2:7" x14ac:dyDescent="0.2">
      <c r="B1369" s="120" t="s">
        <v>2412</v>
      </c>
      <c r="C1369" s="121" t="s">
        <v>2413</v>
      </c>
      <c r="D1369" s="122">
        <v>1.1100000000000001</v>
      </c>
      <c r="E1369" s="122">
        <v>1.21</v>
      </c>
      <c r="F1369" s="122">
        <v>0.1</v>
      </c>
      <c r="G1369" s="122">
        <v>8.8732000000000006</v>
      </c>
    </row>
    <row r="1370" spans="2:7" x14ac:dyDescent="0.2">
      <c r="B1370" s="120" t="s">
        <v>2414</v>
      </c>
      <c r="C1370" s="121" t="s">
        <v>2415</v>
      </c>
      <c r="D1370" s="122"/>
      <c r="E1370" s="122"/>
      <c r="F1370" s="122"/>
      <c r="G1370" s="122"/>
    </row>
    <row r="1371" spans="2:7" x14ac:dyDescent="0.2">
      <c r="B1371" s="120" t="s">
        <v>2416</v>
      </c>
      <c r="C1371" s="121" t="s">
        <v>2417</v>
      </c>
      <c r="D1371" s="122">
        <v>1.17</v>
      </c>
      <c r="E1371" s="122">
        <v>1.82</v>
      </c>
      <c r="F1371" s="122">
        <v>0.79</v>
      </c>
      <c r="G1371" s="122">
        <v>44.759990000000002</v>
      </c>
    </row>
    <row r="1372" spans="2:7" x14ac:dyDescent="0.2">
      <c r="B1372" s="120" t="s">
        <v>2418</v>
      </c>
      <c r="C1372" s="121" t="s">
        <v>2419</v>
      </c>
      <c r="D1372" s="122">
        <v>1.9</v>
      </c>
      <c r="E1372" s="122">
        <v>1.57</v>
      </c>
      <c r="F1372" s="122">
        <v>1.88</v>
      </c>
      <c r="G1372" s="122">
        <v>65.328999999999994</v>
      </c>
    </row>
    <row r="1373" spans="2:7" x14ac:dyDescent="0.2">
      <c r="B1373" s="120" t="s">
        <v>2420</v>
      </c>
      <c r="C1373" s="121" t="s">
        <v>2421</v>
      </c>
      <c r="D1373" s="122">
        <v>1.35</v>
      </c>
      <c r="E1373" s="122">
        <v>1.3</v>
      </c>
      <c r="F1373" s="122">
        <v>2.17</v>
      </c>
      <c r="G1373" s="122">
        <v>66.734999999999999</v>
      </c>
    </row>
    <row r="1374" spans="2:7" x14ac:dyDescent="0.2">
      <c r="B1374" s="120" t="s">
        <v>2422</v>
      </c>
      <c r="C1374" s="121" t="s">
        <v>2423</v>
      </c>
      <c r="D1374" s="122">
        <v>1.33</v>
      </c>
      <c r="E1374" s="122">
        <v>1.46</v>
      </c>
      <c r="F1374" s="122">
        <v>0</v>
      </c>
      <c r="G1374" s="122">
        <v>0</v>
      </c>
    </row>
    <row r="1375" spans="2:7" x14ac:dyDescent="0.2">
      <c r="B1375" s="120" t="s">
        <v>2424</v>
      </c>
      <c r="C1375" s="121" t="s">
        <v>2425</v>
      </c>
      <c r="D1375" s="122">
        <v>1.1599999999999999</v>
      </c>
      <c r="E1375" s="122">
        <v>1.23</v>
      </c>
      <c r="F1375" s="122">
        <v>0.8</v>
      </c>
      <c r="G1375" s="122">
        <v>44.38899</v>
      </c>
    </row>
    <row r="1376" spans="2:7" x14ac:dyDescent="0.2">
      <c r="B1376" s="120" t="s">
        <v>2426</v>
      </c>
      <c r="C1376" s="121" t="s">
        <v>2427</v>
      </c>
      <c r="D1376" s="122">
        <v>2.11</v>
      </c>
      <c r="E1376" s="122">
        <v>2.52</v>
      </c>
      <c r="F1376" s="122">
        <v>3.02</v>
      </c>
      <c r="G1376" s="122">
        <v>74.805989999999994</v>
      </c>
    </row>
    <row r="1377" spans="2:7" x14ac:dyDescent="0.2">
      <c r="B1377" s="120" t="s">
        <v>2428</v>
      </c>
      <c r="C1377" s="121" t="s">
        <v>2429</v>
      </c>
      <c r="D1377" s="122"/>
      <c r="E1377" s="122"/>
      <c r="F1377" s="122"/>
      <c r="G1377" s="122"/>
    </row>
    <row r="1378" spans="2:7" x14ac:dyDescent="0.2">
      <c r="B1378" s="120" t="s">
        <v>4417</v>
      </c>
      <c r="C1378" s="121" t="s">
        <v>4418</v>
      </c>
      <c r="D1378" s="122"/>
      <c r="E1378" s="122"/>
      <c r="F1378" s="122"/>
      <c r="G1378" s="122"/>
    </row>
    <row r="1379" spans="2:7" x14ac:dyDescent="0.2">
      <c r="B1379" s="120" t="s">
        <v>2430</v>
      </c>
      <c r="C1379" s="121" t="s">
        <v>2431</v>
      </c>
      <c r="D1379" s="122">
        <v>0.74</v>
      </c>
      <c r="E1379" s="122">
        <v>1.69</v>
      </c>
      <c r="F1379" s="122">
        <v>0.8</v>
      </c>
      <c r="G1379" s="122">
        <v>44.465000000000003</v>
      </c>
    </row>
    <row r="1380" spans="2:7" x14ac:dyDescent="0.2">
      <c r="B1380" s="120" t="s">
        <v>4419</v>
      </c>
      <c r="C1380" s="121" t="s">
        <v>4420</v>
      </c>
      <c r="D1380" s="122">
        <v>1.58</v>
      </c>
      <c r="E1380" s="122">
        <v>1.37</v>
      </c>
      <c r="F1380" s="122"/>
      <c r="G1380" s="122">
        <v>39.042990000000003</v>
      </c>
    </row>
    <row r="1381" spans="2:7" x14ac:dyDescent="0.2">
      <c r="B1381" s="120" t="s">
        <v>2432</v>
      </c>
      <c r="C1381" s="121" t="s">
        <v>2433</v>
      </c>
      <c r="D1381" s="122">
        <v>1.05</v>
      </c>
      <c r="E1381" s="122">
        <v>1.55</v>
      </c>
      <c r="F1381" s="122">
        <v>0.28000000000000003</v>
      </c>
      <c r="G1381" s="122">
        <v>21.872990000000001</v>
      </c>
    </row>
    <row r="1382" spans="2:7" x14ac:dyDescent="0.2">
      <c r="B1382" s="120" t="s">
        <v>2434</v>
      </c>
      <c r="C1382" s="121" t="s">
        <v>2435</v>
      </c>
      <c r="D1382" s="122">
        <v>1.98</v>
      </c>
      <c r="E1382" s="122">
        <v>1.92</v>
      </c>
      <c r="F1382" s="122">
        <v>0.02</v>
      </c>
      <c r="G1382" s="122">
        <v>1.5825899999999999</v>
      </c>
    </row>
    <row r="1383" spans="2:7" x14ac:dyDescent="0.2">
      <c r="B1383" s="120" t="s">
        <v>2436</v>
      </c>
      <c r="C1383" s="121" t="s">
        <v>2437</v>
      </c>
      <c r="D1383" s="122"/>
      <c r="E1383" s="122"/>
      <c r="F1383" s="122"/>
      <c r="G1383" s="122"/>
    </row>
    <row r="1384" spans="2:7" x14ac:dyDescent="0.2">
      <c r="B1384" s="120" t="s">
        <v>2438</v>
      </c>
      <c r="C1384" s="121" t="s">
        <v>2439</v>
      </c>
      <c r="D1384" s="122">
        <v>1.95</v>
      </c>
      <c r="E1384" s="122">
        <v>1.72</v>
      </c>
      <c r="F1384" s="122">
        <v>1.05</v>
      </c>
      <c r="G1384" s="122">
        <v>51.573</v>
      </c>
    </row>
    <row r="1385" spans="2:7" x14ac:dyDescent="0.2">
      <c r="B1385" s="120" t="s">
        <v>2440</v>
      </c>
      <c r="C1385" s="121" t="s">
        <v>2441</v>
      </c>
      <c r="D1385" s="122">
        <v>0.43</v>
      </c>
      <c r="E1385" s="122">
        <v>0.65</v>
      </c>
      <c r="F1385" s="122">
        <v>0.8</v>
      </c>
      <c r="G1385" s="122">
        <v>44.350999999999999</v>
      </c>
    </row>
    <row r="1386" spans="2:7" x14ac:dyDescent="0.2">
      <c r="B1386" s="120" t="s">
        <v>2442</v>
      </c>
      <c r="C1386" s="121" t="s">
        <v>2443</v>
      </c>
      <c r="D1386" s="122">
        <v>0.62</v>
      </c>
      <c r="E1386" s="122">
        <v>0.65</v>
      </c>
      <c r="F1386" s="122">
        <v>0.61</v>
      </c>
      <c r="G1386" s="122">
        <v>37.881990000000002</v>
      </c>
    </row>
    <row r="1387" spans="2:7" x14ac:dyDescent="0.2">
      <c r="B1387" s="120" t="s">
        <v>4421</v>
      </c>
      <c r="C1387" s="121" t="s">
        <v>4422</v>
      </c>
      <c r="D1387" s="122">
        <v>1.34</v>
      </c>
      <c r="E1387" s="122">
        <v>1.62</v>
      </c>
      <c r="F1387" s="122">
        <v>0.24</v>
      </c>
      <c r="G1387" s="122">
        <v>19.652000000000001</v>
      </c>
    </row>
    <row r="1388" spans="2:7" x14ac:dyDescent="0.2">
      <c r="B1388" s="120" t="s">
        <v>2444</v>
      </c>
      <c r="C1388" s="121" t="s">
        <v>2445</v>
      </c>
      <c r="D1388" s="122">
        <v>3.93</v>
      </c>
      <c r="E1388" s="122">
        <v>2.78</v>
      </c>
      <c r="F1388" s="122">
        <v>1.17</v>
      </c>
      <c r="G1388" s="122">
        <v>53.872</v>
      </c>
    </row>
    <row r="1389" spans="2:7" x14ac:dyDescent="0.2">
      <c r="B1389" s="120" t="s">
        <v>4423</v>
      </c>
      <c r="C1389" s="121" t="s">
        <v>4424</v>
      </c>
      <c r="D1389" s="122">
        <v>2.0499999999999998</v>
      </c>
      <c r="E1389" s="122">
        <v>1.83</v>
      </c>
      <c r="F1389" s="122">
        <v>0.9</v>
      </c>
      <c r="G1389" s="122">
        <v>47.32799</v>
      </c>
    </row>
    <row r="1390" spans="2:7" x14ac:dyDescent="0.2">
      <c r="B1390" s="120" t="s">
        <v>2446</v>
      </c>
      <c r="C1390" s="121" t="s">
        <v>2447</v>
      </c>
      <c r="D1390" s="122">
        <v>0.46</v>
      </c>
      <c r="E1390" s="122">
        <v>0.81</v>
      </c>
      <c r="F1390" s="122">
        <v>1.7</v>
      </c>
      <c r="G1390" s="122">
        <v>62.936</v>
      </c>
    </row>
    <row r="1391" spans="2:7" x14ac:dyDescent="0.2">
      <c r="B1391" s="120" t="s">
        <v>2448</v>
      </c>
      <c r="C1391" s="121" t="s">
        <v>2449</v>
      </c>
      <c r="D1391" s="122">
        <v>1.26</v>
      </c>
      <c r="E1391" s="122">
        <v>1.1200000000000001</v>
      </c>
      <c r="F1391" s="122">
        <v>0.56999999999999995</v>
      </c>
      <c r="G1391" s="122">
        <v>36.433990000000001</v>
      </c>
    </row>
    <row r="1392" spans="2:7" x14ac:dyDescent="0.2">
      <c r="B1392" s="120" t="s">
        <v>2450</v>
      </c>
      <c r="C1392" s="121" t="s">
        <v>2451</v>
      </c>
      <c r="D1392" s="122">
        <v>2.74</v>
      </c>
      <c r="E1392" s="122">
        <v>2.86</v>
      </c>
      <c r="F1392" s="122"/>
      <c r="G1392" s="122">
        <v>9.2945899999999995</v>
      </c>
    </row>
    <row r="1393" spans="2:7" x14ac:dyDescent="0.2">
      <c r="B1393" s="120" t="s">
        <v>2452</v>
      </c>
      <c r="C1393" s="121" t="s">
        <v>2453</v>
      </c>
      <c r="D1393" s="122">
        <v>4.24</v>
      </c>
      <c r="E1393" s="122">
        <v>4.93</v>
      </c>
      <c r="F1393" s="122">
        <v>0</v>
      </c>
      <c r="G1393" s="122">
        <v>0</v>
      </c>
    </row>
    <row r="1394" spans="2:7" x14ac:dyDescent="0.2">
      <c r="B1394" s="120" t="s">
        <v>2454</v>
      </c>
      <c r="C1394" s="121" t="s">
        <v>2455</v>
      </c>
      <c r="D1394" s="122">
        <v>0.41</v>
      </c>
      <c r="E1394" s="122">
        <v>2.13</v>
      </c>
      <c r="F1394" s="122">
        <v>0.26</v>
      </c>
      <c r="G1394" s="122">
        <v>20.677</v>
      </c>
    </row>
    <row r="1395" spans="2:7" x14ac:dyDescent="0.2">
      <c r="B1395" s="120" t="s">
        <v>2456</v>
      </c>
      <c r="C1395" s="121" t="s">
        <v>2457</v>
      </c>
      <c r="D1395" s="122">
        <v>0.89</v>
      </c>
      <c r="E1395" s="122">
        <v>1.64</v>
      </c>
      <c r="F1395" s="122">
        <v>1.17</v>
      </c>
      <c r="G1395" s="122">
        <v>53.845999999999997</v>
      </c>
    </row>
    <row r="1396" spans="2:7" x14ac:dyDescent="0.2">
      <c r="B1396" s="120" t="s">
        <v>2458</v>
      </c>
      <c r="C1396" s="121" t="s">
        <v>17</v>
      </c>
      <c r="D1396" s="122">
        <v>0.82</v>
      </c>
      <c r="E1396" s="122">
        <v>0.85</v>
      </c>
      <c r="F1396" s="122">
        <v>1.81</v>
      </c>
      <c r="G1396" s="122">
        <v>65.430989999999994</v>
      </c>
    </row>
    <row r="1397" spans="2:7" x14ac:dyDescent="0.2">
      <c r="B1397" s="120" t="s">
        <v>2459</v>
      </c>
      <c r="C1397" s="121" t="s">
        <v>2460</v>
      </c>
      <c r="D1397" s="122">
        <v>1.45</v>
      </c>
      <c r="E1397" s="122">
        <v>2.0299999999999998</v>
      </c>
      <c r="F1397" s="122">
        <v>0.1</v>
      </c>
      <c r="G1397" s="122">
        <v>9.0093999999999994</v>
      </c>
    </row>
    <row r="1398" spans="2:7" x14ac:dyDescent="0.2">
      <c r="B1398" s="120" t="s">
        <v>2461</v>
      </c>
      <c r="C1398" s="121" t="s">
        <v>2462</v>
      </c>
      <c r="D1398" s="122"/>
      <c r="E1398" s="122"/>
      <c r="F1398" s="122">
        <v>3.76</v>
      </c>
      <c r="G1398" s="122">
        <v>78.971000000000004</v>
      </c>
    </row>
    <row r="1399" spans="2:7" x14ac:dyDescent="0.2">
      <c r="B1399" s="120" t="s">
        <v>2463</v>
      </c>
      <c r="C1399" s="121" t="s">
        <v>2464</v>
      </c>
      <c r="D1399" s="122">
        <v>1.08</v>
      </c>
      <c r="E1399" s="122">
        <v>1.24</v>
      </c>
      <c r="F1399" s="122"/>
      <c r="G1399" s="122">
        <v>24.24099</v>
      </c>
    </row>
    <row r="1400" spans="2:7" x14ac:dyDescent="0.2">
      <c r="B1400" s="120" t="s">
        <v>2465</v>
      </c>
      <c r="C1400" s="121" t="s">
        <v>2466</v>
      </c>
      <c r="D1400" s="122">
        <v>1.32</v>
      </c>
      <c r="E1400" s="122">
        <v>2.42</v>
      </c>
      <c r="F1400" s="122">
        <v>1.08</v>
      </c>
      <c r="G1400" s="122">
        <v>51.845999999999997</v>
      </c>
    </row>
    <row r="1401" spans="2:7" x14ac:dyDescent="0.2">
      <c r="B1401" s="120" t="s">
        <v>2467</v>
      </c>
      <c r="C1401" s="121" t="s">
        <v>2468</v>
      </c>
      <c r="D1401" s="122">
        <v>0.83</v>
      </c>
      <c r="E1401" s="122">
        <v>0.81</v>
      </c>
      <c r="F1401" s="122">
        <v>0.75</v>
      </c>
      <c r="G1401" s="122">
        <v>42.741999999999997</v>
      </c>
    </row>
    <row r="1402" spans="2:7" x14ac:dyDescent="0.2">
      <c r="B1402" s="120" t="s">
        <v>2469</v>
      </c>
      <c r="C1402" s="121" t="s">
        <v>2470</v>
      </c>
      <c r="D1402" s="122">
        <v>8.68</v>
      </c>
      <c r="E1402" s="122">
        <v>5.56</v>
      </c>
      <c r="F1402" s="122">
        <v>0.3</v>
      </c>
      <c r="G1402" s="122">
        <v>23.26099</v>
      </c>
    </row>
    <row r="1403" spans="2:7" x14ac:dyDescent="0.2">
      <c r="B1403" s="120" t="s">
        <v>4425</v>
      </c>
      <c r="C1403" s="121" t="s">
        <v>4426</v>
      </c>
      <c r="D1403" s="122">
        <v>0.99</v>
      </c>
      <c r="E1403" s="122">
        <v>1.31</v>
      </c>
      <c r="F1403" s="122"/>
      <c r="G1403" s="122">
        <v>79.200990000000004</v>
      </c>
    </row>
    <row r="1404" spans="2:7" x14ac:dyDescent="0.2">
      <c r="B1404" s="120" t="s">
        <v>4427</v>
      </c>
      <c r="C1404" s="121" t="s">
        <v>4428</v>
      </c>
      <c r="D1404" s="122"/>
      <c r="E1404" s="122"/>
      <c r="F1404" s="122"/>
      <c r="G1404" s="122"/>
    </row>
    <row r="1405" spans="2:7" x14ac:dyDescent="0.2">
      <c r="B1405" s="120" t="s">
        <v>2471</v>
      </c>
      <c r="C1405" s="121" t="s">
        <v>2472</v>
      </c>
      <c r="D1405" s="122">
        <v>1.18</v>
      </c>
      <c r="E1405" s="122">
        <v>1.49</v>
      </c>
      <c r="F1405" s="122">
        <v>0.77</v>
      </c>
      <c r="G1405" s="122">
        <v>43.609000000000002</v>
      </c>
    </row>
    <row r="1406" spans="2:7" x14ac:dyDescent="0.2">
      <c r="B1406" s="120" t="s">
        <v>2473</v>
      </c>
      <c r="C1406" s="121" t="s">
        <v>2474</v>
      </c>
      <c r="D1406" s="122">
        <v>0.69</v>
      </c>
      <c r="E1406" s="122">
        <v>0.79</v>
      </c>
      <c r="F1406" s="122">
        <v>0.95</v>
      </c>
      <c r="G1406" s="122">
        <v>48.691000000000003</v>
      </c>
    </row>
    <row r="1407" spans="2:7" x14ac:dyDescent="0.2">
      <c r="B1407" s="120" t="s">
        <v>4429</v>
      </c>
      <c r="C1407" s="121" t="s">
        <v>4430</v>
      </c>
      <c r="D1407" s="122">
        <v>1.0900000000000001</v>
      </c>
      <c r="E1407" s="122">
        <v>0.99</v>
      </c>
      <c r="F1407" s="122">
        <v>0.28000000000000003</v>
      </c>
      <c r="G1407" s="122">
        <v>21.572990000000001</v>
      </c>
    </row>
    <row r="1408" spans="2:7" x14ac:dyDescent="0.2">
      <c r="B1408" s="120" t="s">
        <v>2475</v>
      </c>
      <c r="C1408" s="121" t="s">
        <v>2476</v>
      </c>
      <c r="D1408" s="122">
        <v>2.4900000000000002</v>
      </c>
      <c r="E1408" s="122">
        <v>2.25</v>
      </c>
      <c r="F1408" s="122">
        <v>2.67</v>
      </c>
      <c r="G1408" s="122">
        <v>72.716999999999999</v>
      </c>
    </row>
    <row r="1409" spans="2:7" x14ac:dyDescent="0.2">
      <c r="B1409" s="120" t="s">
        <v>4431</v>
      </c>
      <c r="C1409" s="121" t="s">
        <v>4432</v>
      </c>
      <c r="D1409" s="122">
        <v>0.46</v>
      </c>
      <c r="E1409" s="122">
        <v>0.48</v>
      </c>
      <c r="F1409" s="122">
        <v>0.17</v>
      </c>
      <c r="G1409" s="122">
        <v>14.199</v>
      </c>
    </row>
    <row r="1410" spans="2:7" x14ac:dyDescent="0.2">
      <c r="B1410" s="120" t="s">
        <v>2477</v>
      </c>
      <c r="C1410" s="121" t="s">
        <v>2478</v>
      </c>
      <c r="D1410" s="122">
        <v>1.61</v>
      </c>
      <c r="E1410" s="122">
        <v>1.48</v>
      </c>
      <c r="F1410" s="122"/>
      <c r="G1410" s="122">
        <v>0.88200999999999996</v>
      </c>
    </row>
    <row r="1411" spans="2:7" x14ac:dyDescent="0.2">
      <c r="B1411" s="120" t="s">
        <v>4433</v>
      </c>
      <c r="C1411" s="121" t="s">
        <v>4434</v>
      </c>
      <c r="D1411" s="122">
        <v>0.99</v>
      </c>
      <c r="E1411" s="122">
        <v>1.38</v>
      </c>
      <c r="F1411" s="122"/>
      <c r="G1411" s="122">
        <v>13.939</v>
      </c>
    </row>
    <row r="1412" spans="2:7" x14ac:dyDescent="0.2">
      <c r="B1412" s="120" t="s">
        <v>2479</v>
      </c>
      <c r="C1412" s="121" t="s">
        <v>2480</v>
      </c>
      <c r="D1412" s="122">
        <v>0.09</v>
      </c>
      <c r="E1412" s="122">
        <v>0.85</v>
      </c>
      <c r="F1412" s="122">
        <v>37.43</v>
      </c>
      <c r="G1412" s="122">
        <v>97.397999999999996</v>
      </c>
    </row>
    <row r="1413" spans="2:7" x14ac:dyDescent="0.2">
      <c r="B1413" s="120" t="s">
        <v>4435</v>
      </c>
      <c r="C1413" s="121" t="s">
        <v>4436</v>
      </c>
      <c r="D1413" s="122">
        <v>0.8</v>
      </c>
      <c r="E1413" s="122">
        <v>1.1299999999999999</v>
      </c>
      <c r="F1413" s="122"/>
      <c r="G1413" s="122">
        <v>5.2754000000000003</v>
      </c>
    </row>
    <row r="1414" spans="2:7" x14ac:dyDescent="0.2">
      <c r="B1414" s="120" t="s">
        <v>2481</v>
      </c>
      <c r="C1414" s="121" t="s">
        <v>2482</v>
      </c>
      <c r="D1414" s="122">
        <v>1.21</v>
      </c>
      <c r="E1414" s="122">
        <v>1.99</v>
      </c>
      <c r="F1414" s="122">
        <v>0.32</v>
      </c>
      <c r="G1414" s="122">
        <v>23.968990000000002</v>
      </c>
    </row>
    <row r="1415" spans="2:7" x14ac:dyDescent="0.2">
      <c r="B1415" s="120" t="s">
        <v>2483</v>
      </c>
      <c r="C1415" s="121" t="s">
        <v>2484</v>
      </c>
      <c r="D1415" s="122">
        <v>1.54</v>
      </c>
      <c r="E1415" s="122">
        <v>1.54</v>
      </c>
      <c r="F1415" s="122">
        <v>0.67</v>
      </c>
      <c r="G1415" s="122">
        <v>40.139989999999997</v>
      </c>
    </row>
    <row r="1416" spans="2:7" x14ac:dyDescent="0.2">
      <c r="B1416" s="120" t="s">
        <v>2485</v>
      </c>
      <c r="C1416" s="121" t="s">
        <v>2486</v>
      </c>
      <c r="D1416" s="122">
        <v>1.07</v>
      </c>
      <c r="E1416" s="122">
        <v>0.88</v>
      </c>
      <c r="F1416" s="122">
        <v>3.06</v>
      </c>
      <c r="G1416" s="122">
        <v>75.33999</v>
      </c>
    </row>
    <row r="1417" spans="2:7" x14ac:dyDescent="0.2">
      <c r="B1417" s="120" t="s">
        <v>2487</v>
      </c>
      <c r="C1417" s="121" t="s">
        <v>2488</v>
      </c>
      <c r="D1417" s="122"/>
      <c r="E1417" s="122"/>
      <c r="F1417" s="122"/>
      <c r="G1417" s="122"/>
    </row>
    <row r="1418" spans="2:7" x14ac:dyDescent="0.2">
      <c r="B1418" s="120" t="s">
        <v>2489</v>
      </c>
      <c r="C1418" s="121" t="s">
        <v>2490</v>
      </c>
      <c r="D1418" s="122">
        <v>1.17</v>
      </c>
      <c r="E1418" s="122">
        <v>1.2</v>
      </c>
      <c r="F1418" s="122">
        <v>0.5</v>
      </c>
      <c r="G1418" s="122">
        <v>33.18</v>
      </c>
    </row>
    <row r="1419" spans="2:7" x14ac:dyDescent="0.2">
      <c r="B1419" s="120" t="s">
        <v>2491</v>
      </c>
      <c r="C1419" s="121" t="s">
        <v>2492</v>
      </c>
      <c r="D1419" s="122">
        <v>0.96</v>
      </c>
      <c r="E1419" s="122">
        <v>0.99</v>
      </c>
      <c r="F1419" s="122">
        <v>0.14000000000000001</v>
      </c>
      <c r="G1419" s="122">
        <v>11.991989999999999</v>
      </c>
    </row>
    <row r="1420" spans="2:7" x14ac:dyDescent="0.2">
      <c r="B1420" s="120" t="s">
        <v>2493</v>
      </c>
      <c r="C1420" s="121" t="s">
        <v>2494</v>
      </c>
      <c r="D1420" s="122">
        <v>0.84</v>
      </c>
      <c r="E1420" s="122">
        <v>1</v>
      </c>
      <c r="F1420" s="122">
        <v>0.89</v>
      </c>
      <c r="G1420" s="122">
        <v>42.20299</v>
      </c>
    </row>
    <row r="1421" spans="2:7" x14ac:dyDescent="0.2">
      <c r="B1421" s="120" t="s">
        <v>2495</v>
      </c>
      <c r="C1421" s="121" t="s">
        <v>2496</v>
      </c>
      <c r="D1421" s="122">
        <v>2.2200000000000002</v>
      </c>
      <c r="E1421" s="122">
        <v>4.08</v>
      </c>
      <c r="F1421" s="122">
        <v>0.15</v>
      </c>
      <c r="G1421" s="122">
        <v>13.118</v>
      </c>
    </row>
    <row r="1422" spans="2:7" x14ac:dyDescent="0.2">
      <c r="B1422" s="120" t="s">
        <v>2497</v>
      </c>
      <c r="C1422" s="121" t="s">
        <v>2498</v>
      </c>
      <c r="D1422" s="122">
        <v>3.61</v>
      </c>
      <c r="E1422" s="122">
        <v>1.42</v>
      </c>
      <c r="F1422" s="122">
        <v>0.9</v>
      </c>
      <c r="G1422" s="122">
        <v>47.261000000000003</v>
      </c>
    </row>
    <row r="1423" spans="2:7" x14ac:dyDescent="0.2">
      <c r="B1423" s="120" t="s">
        <v>2499</v>
      </c>
      <c r="C1423" s="121" t="s">
        <v>2500</v>
      </c>
      <c r="D1423" s="122">
        <v>0.95</v>
      </c>
      <c r="E1423" s="122">
        <v>0.99</v>
      </c>
      <c r="F1423" s="122">
        <v>0.49</v>
      </c>
      <c r="G1423" s="122">
        <v>32.808990000000001</v>
      </c>
    </row>
    <row r="1424" spans="2:7" x14ac:dyDescent="0.2">
      <c r="B1424" s="120" t="s">
        <v>2501</v>
      </c>
      <c r="C1424" s="121" t="s">
        <v>2502</v>
      </c>
      <c r="D1424" s="122">
        <v>0.21</v>
      </c>
      <c r="E1424" s="122">
        <v>0.98</v>
      </c>
      <c r="F1424" s="122">
        <v>0.8</v>
      </c>
      <c r="G1424" s="122">
        <v>44.506990000000002</v>
      </c>
    </row>
    <row r="1425" spans="2:7" x14ac:dyDescent="0.2">
      <c r="B1425" s="120" t="s">
        <v>2503</v>
      </c>
      <c r="C1425" s="121" t="s">
        <v>2504</v>
      </c>
      <c r="D1425" s="122">
        <v>0.84</v>
      </c>
      <c r="E1425" s="122">
        <v>1</v>
      </c>
      <c r="F1425" s="122">
        <v>0.67</v>
      </c>
      <c r="G1425" s="122">
        <v>39.960990000000002</v>
      </c>
    </row>
    <row r="1426" spans="2:7" x14ac:dyDescent="0.2">
      <c r="B1426" s="120" t="s">
        <v>2505</v>
      </c>
      <c r="C1426" s="121" t="s">
        <v>2506</v>
      </c>
      <c r="D1426" s="122">
        <v>2.33</v>
      </c>
      <c r="E1426" s="122">
        <v>2.37</v>
      </c>
      <c r="F1426" s="122">
        <v>0</v>
      </c>
      <c r="G1426" s="122">
        <v>0</v>
      </c>
    </row>
    <row r="1427" spans="2:7" x14ac:dyDescent="0.2">
      <c r="B1427" s="120" t="s">
        <v>2507</v>
      </c>
      <c r="C1427" s="121" t="s">
        <v>2508</v>
      </c>
      <c r="D1427" s="122">
        <v>1.78</v>
      </c>
      <c r="E1427" s="122">
        <v>1.78</v>
      </c>
      <c r="F1427" s="122">
        <v>0.9</v>
      </c>
      <c r="G1427" s="122">
        <v>47.408999999999999</v>
      </c>
    </row>
    <row r="1428" spans="2:7" x14ac:dyDescent="0.2">
      <c r="B1428" s="120" t="s">
        <v>2509</v>
      </c>
      <c r="C1428" s="121" t="s">
        <v>2510</v>
      </c>
      <c r="D1428" s="122">
        <v>1.03</v>
      </c>
      <c r="E1428" s="122">
        <v>1.07</v>
      </c>
      <c r="F1428" s="122">
        <v>7.0000000000000007E-2</v>
      </c>
      <c r="G1428" s="122">
        <v>6.8011900000000001</v>
      </c>
    </row>
    <row r="1429" spans="2:7" x14ac:dyDescent="0.2">
      <c r="B1429" s="120" t="s">
        <v>2511</v>
      </c>
      <c r="C1429" s="121" t="s">
        <v>2512</v>
      </c>
      <c r="D1429" s="122">
        <v>1.17</v>
      </c>
      <c r="E1429" s="122">
        <v>1.17</v>
      </c>
      <c r="F1429" s="122"/>
      <c r="G1429" s="122">
        <v>23.315000000000001</v>
      </c>
    </row>
    <row r="1430" spans="2:7" x14ac:dyDescent="0.2">
      <c r="B1430" s="120" t="s">
        <v>2513</v>
      </c>
      <c r="C1430" s="121" t="s">
        <v>18</v>
      </c>
      <c r="D1430" s="122">
        <v>0.57999999999999996</v>
      </c>
      <c r="E1430" s="122">
        <v>0.6</v>
      </c>
      <c r="F1430" s="122">
        <v>0</v>
      </c>
      <c r="G1430" s="122">
        <v>0</v>
      </c>
    </row>
    <row r="1431" spans="2:7" x14ac:dyDescent="0.2">
      <c r="B1431" s="120" t="s">
        <v>2514</v>
      </c>
      <c r="C1431" s="121" t="s">
        <v>2515</v>
      </c>
      <c r="D1431" s="122">
        <v>0.55000000000000004</v>
      </c>
      <c r="E1431" s="122">
        <v>0.68</v>
      </c>
      <c r="F1431" s="122">
        <v>0.64</v>
      </c>
      <c r="G1431" s="122">
        <v>34.814990000000002</v>
      </c>
    </row>
    <row r="1432" spans="2:7" x14ac:dyDescent="0.2">
      <c r="B1432" s="120" t="s">
        <v>2516</v>
      </c>
      <c r="C1432" s="121" t="s">
        <v>2517</v>
      </c>
      <c r="D1432" s="122">
        <v>0.96</v>
      </c>
      <c r="E1432" s="122">
        <v>0.96</v>
      </c>
      <c r="F1432" s="122">
        <v>0.44</v>
      </c>
      <c r="G1432" s="122">
        <v>29.622990000000001</v>
      </c>
    </row>
    <row r="1433" spans="2:7" x14ac:dyDescent="0.2">
      <c r="B1433" s="120" t="s">
        <v>2518</v>
      </c>
      <c r="C1433" s="121" t="s">
        <v>2519</v>
      </c>
      <c r="D1433" s="122">
        <v>1.1200000000000001</v>
      </c>
      <c r="E1433" s="122">
        <v>1.31</v>
      </c>
      <c r="F1433" s="122">
        <v>1.1100000000000001</v>
      </c>
      <c r="G1433" s="122">
        <v>52.557989999999997</v>
      </c>
    </row>
    <row r="1434" spans="2:7" x14ac:dyDescent="0.2">
      <c r="B1434" s="120" t="s">
        <v>2518</v>
      </c>
      <c r="C1434" s="121" t="s">
        <v>4437</v>
      </c>
      <c r="D1434" s="122">
        <v>1.1200000000000001</v>
      </c>
      <c r="E1434" s="122">
        <v>1.31</v>
      </c>
      <c r="F1434" s="122">
        <v>1.1100000000000001</v>
      </c>
      <c r="G1434" s="122">
        <v>52.557989999999997</v>
      </c>
    </row>
    <row r="1435" spans="2:7" x14ac:dyDescent="0.2">
      <c r="B1435" s="120" t="s">
        <v>4438</v>
      </c>
      <c r="C1435" s="121" t="s">
        <v>4439</v>
      </c>
      <c r="D1435" s="122"/>
      <c r="E1435" s="122"/>
      <c r="F1435" s="122"/>
      <c r="G1435" s="122"/>
    </row>
    <row r="1436" spans="2:7" x14ac:dyDescent="0.2">
      <c r="B1436" s="120" t="s">
        <v>2520</v>
      </c>
      <c r="C1436" s="121" t="s">
        <v>2521</v>
      </c>
      <c r="D1436" s="122">
        <v>2.1800000000000002</v>
      </c>
      <c r="E1436" s="122">
        <v>2.4300000000000002</v>
      </c>
      <c r="F1436" s="122">
        <v>0.7</v>
      </c>
      <c r="G1436" s="122">
        <v>41.131</v>
      </c>
    </row>
    <row r="1437" spans="2:7" x14ac:dyDescent="0.2">
      <c r="B1437" s="120" t="s">
        <v>4440</v>
      </c>
      <c r="C1437" s="121" t="s">
        <v>4441</v>
      </c>
      <c r="D1437" s="122">
        <v>1.33</v>
      </c>
      <c r="E1437" s="122">
        <v>1.47</v>
      </c>
      <c r="F1437" s="122"/>
      <c r="G1437" s="122">
        <v>72.683989999999994</v>
      </c>
    </row>
    <row r="1438" spans="2:7" x14ac:dyDescent="0.2">
      <c r="B1438" s="120" t="s">
        <v>2522</v>
      </c>
      <c r="C1438" s="121" t="s">
        <v>2523</v>
      </c>
      <c r="D1438" s="122">
        <v>0.21</v>
      </c>
      <c r="E1438" s="122">
        <v>2.0299999999999998</v>
      </c>
      <c r="F1438" s="122">
        <v>0.2</v>
      </c>
      <c r="G1438" s="122">
        <v>16.648</v>
      </c>
    </row>
    <row r="1439" spans="2:7" x14ac:dyDescent="0.2">
      <c r="B1439" s="120" t="s">
        <v>2524</v>
      </c>
      <c r="C1439" s="121" t="s">
        <v>2525</v>
      </c>
      <c r="D1439" s="122"/>
      <c r="E1439" s="122">
        <v>1.06</v>
      </c>
      <c r="F1439" s="122">
        <v>0.57999999999999996</v>
      </c>
      <c r="G1439" s="122">
        <v>36.588999999999999</v>
      </c>
    </row>
    <row r="1440" spans="2:7" x14ac:dyDescent="0.2">
      <c r="B1440" s="120" t="s">
        <v>2526</v>
      </c>
      <c r="C1440" s="121" t="s">
        <v>2527</v>
      </c>
      <c r="D1440" s="122">
        <v>1.1000000000000001</v>
      </c>
      <c r="E1440" s="122">
        <v>1.1000000000000001</v>
      </c>
      <c r="F1440" s="122">
        <v>0</v>
      </c>
      <c r="G1440" s="122">
        <v>0</v>
      </c>
    </row>
    <row r="1441" spans="2:7" x14ac:dyDescent="0.2">
      <c r="B1441" s="120" t="s">
        <v>4440</v>
      </c>
      <c r="C1441" s="121" t="s">
        <v>4442</v>
      </c>
      <c r="D1441" s="122"/>
      <c r="E1441" s="122"/>
      <c r="F1441" s="122"/>
      <c r="G1441" s="122"/>
    </row>
    <row r="1442" spans="2:7" x14ac:dyDescent="0.2">
      <c r="B1442" s="120" t="s">
        <v>4443</v>
      </c>
      <c r="C1442" s="121" t="s">
        <v>4444</v>
      </c>
      <c r="D1442" s="122"/>
      <c r="E1442" s="122"/>
      <c r="F1442" s="122"/>
      <c r="G1442" s="122"/>
    </row>
    <row r="1443" spans="2:7" x14ac:dyDescent="0.2">
      <c r="B1443" s="120" t="s">
        <v>2528</v>
      </c>
      <c r="C1443" s="121" t="s">
        <v>2529</v>
      </c>
      <c r="D1443" s="122">
        <v>1.66</v>
      </c>
      <c r="E1443" s="122">
        <v>1.77</v>
      </c>
      <c r="F1443" s="122">
        <v>0.01</v>
      </c>
      <c r="G1443" s="122">
        <v>0.97587999999999997</v>
      </c>
    </row>
    <row r="1444" spans="2:7" x14ac:dyDescent="0.2">
      <c r="B1444" s="120" t="s">
        <v>2530</v>
      </c>
      <c r="C1444" s="121" t="s">
        <v>2531</v>
      </c>
      <c r="D1444" s="122"/>
      <c r="E1444" s="122"/>
      <c r="F1444" s="122"/>
      <c r="G1444" s="122"/>
    </row>
    <row r="1445" spans="2:7" x14ac:dyDescent="0.2">
      <c r="B1445" s="120" t="s">
        <v>4445</v>
      </c>
      <c r="C1445" s="121" t="s">
        <v>4446</v>
      </c>
      <c r="D1445" s="122">
        <v>0.64</v>
      </c>
      <c r="E1445" s="122">
        <v>0.64</v>
      </c>
      <c r="F1445" s="122"/>
      <c r="G1445" s="122">
        <v>6.2968900000000003</v>
      </c>
    </row>
    <row r="1446" spans="2:7" x14ac:dyDescent="0.2">
      <c r="B1446" s="120" t="s">
        <v>2532</v>
      </c>
      <c r="C1446" s="121" t="s">
        <v>2533</v>
      </c>
      <c r="D1446" s="122">
        <v>0.83</v>
      </c>
      <c r="E1446" s="122">
        <v>0.5</v>
      </c>
      <c r="F1446" s="122">
        <v>0.36</v>
      </c>
      <c r="G1446" s="122">
        <v>26.571999999999999</v>
      </c>
    </row>
    <row r="1447" spans="2:7" x14ac:dyDescent="0.2">
      <c r="B1447" s="120" t="s">
        <v>2534</v>
      </c>
      <c r="C1447" s="121" t="s">
        <v>2535</v>
      </c>
      <c r="D1447" s="122">
        <v>0.46</v>
      </c>
      <c r="E1447" s="122">
        <v>0.28000000000000003</v>
      </c>
      <c r="F1447" s="122">
        <v>0.65</v>
      </c>
      <c r="G1447" s="122">
        <v>39.393999999999998</v>
      </c>
    </row>
    <row r="1448" spans="2:7" x14ac:dyDescent="0.2">
      <c r="B1448" s="120" t="s">
        <v>2536</v>
      </c>
      <c r="C1448" s="121" t="s">
        <v>19</v>
      </c>
      <c r="D1448" s="122">
        <v>0.53</v>
      </c>
      <c r="E1448" s="122">
        <v>0.79</v>
      </c>
      <c r="F1448" s="122">
        <v>0.99</v>
      </c>
      <c r="G1448" s="122">
        <v>49.692999999999998</v>
      </c>
    </row>
    <row r="1449" spans="2:7" x14ac:dyDescent="0.2">
      <c r="B1449" s="120" t="s">
        <v>2537</v>
      </c>
      <c r="C1449" s="121" t="s">
        <v>2538</v>
      </c>
      <c r="D1449" s="122">
        <v>1.84</v>
      </c>
      <c r="E1449" s="122">
        <v>1.72</v>
      </c>
      <c r="F1449" s="122">
        <v>0.1</v>
      </c>
      <c r="G1449" s="122">
        <v>8.8773</v>
      </c>
    </row>
    <row r="1450" spans="2:7" x14ac:dyDescent="0.2">
      <c r="B1450" s="120" t="s">
        <v>2539</v>
      </c>
      <c r="C1450" s="121" t="s">
        <v>2540</v>
      </c>
      <c r="D1450" s="122">
        <v>4.47</v>
      </c>
      <c r="E1450" s="122">
        <v>6.23</v>
      </c>
      <c r="F1450" s="122">
        <v>0.1</v>
      </c>
      <c r="G1450" s="122">
        <v>9.2230899999999991</v>
      </c>
    </row>
    <row r="1451" spans="2:7" x14ac:dyDescent="0.2">
      <c r="B1451" s="120" t="s">
        <v>2541</v>
      </c>
      <c r="C1451" s="121" t="s">
        <v>2542</v>
      </c>
      <c r="D1451" s="122">
        <v>0.85</v>
      </c>
      <c r="E1451" s="122">
        <v>0.86</v>
      </c>
      <c r="F1451" s="122">
        <v>1.97</v>
      </c>
      <c r="G1451" s="122">
        <v>66.377989999999997</v>
      </c>
    </row>
    <row r="1452" spans="2:7" x14ac:dyDescent="0.2">
      <c r="B1452" s="120" t="s">
        <v>2543</v>
      </c>
      <c r="C1452" s="121" t="s">
        <v>2544</v>
      </c>
      <c r="D1452" s="122">
        <v>1.33</v>
      </c>
      <c r="E1452" s="122">
        <v>1.47</v>
      </c>
      <c r="F1452" s="122">
        <v>0.6</v>
      </c>
      <c r="G1452" s="122">
        <v>37.63899</v>
      </c>
    </row>
    <row r="1453" spans="2:7" x14ac:dyDescent="0.2">
      <c r="B1453" s="120" t="s">
        <v>4447</v>
      </c>
      <c r="C1453" s="121" t="s">
        <v>4448</v>
      </c>
      <c r="D1453" s="122"/>
      <c r="E1453" s="122"/>
      <c r="F1453" s="122"/>
      <c r="G1453" s="122"/>
    </row>
    <row r="1454" spans="2:7" x14ac:dyDescent="0.2">
      <c r="B1454" s="120" t="s">
        <v>2545</v>
      </c>
      <c r="C1454" s="121" t="s">
        <v>2546</v>
      </c>
      <c r="D1454" s="122">
        <v>0.1</v>
      </c>
      <c r="E1454" s="122">
        <v>0.1</v>
      </c>
      <c r="F1454" s="122">
        <v>0.27</v>
      </c>
      <c r="G1454" s="122">
        <v>22.384</v>
      </c>
    </row>
    <row r="1455" spans="2:7" x14ac:dyDescent="0.2">
      <c r="B1455" s="120" t="s">
        <v>2547</v>
      </c>
      <c r="C1455" s="121" t="s">
        <v>2548</v>
      </c>
      <c r="D1455" s="122">
        <v>0.77</v>
      </c>
      <c r="E1455" s="122">
        <v>1.57</v>
      </c>
      <c r="F1455" s="122">
        <v>1.03</v>
      </c>
      <c r="G1455" s="122">
        <v>50.63899</v>
      </c>
    </row>
    <row r="1456" spans="2:7" x14ac:dyDescent="0.2">
      <c r="B1456" s="120" t="s">
        <v>2549</v>
      </c>
      <c r="C1456" s="121" t="s">
        <v>2550</v>
      </c>
      <c r="D1456" s="122">
        <v>0.81</v>
      </c>
      <c r="E1456" s="122">
        <v>0.67</v>
      </c>
      <c r="F1456" s="122">
        <v>7.0000000000000007E-2</v>
      </c>
      <c r="G1456" s="122">
        <v>6.1564899999999998</v>
      </c>
    </row>
    <row r="1457" spans="2:7" x14ac:dyDescent="0.2">
      <c r="B1457" s="120" t="s">
        <v>2551</v>
      </c>
      <c r="C1457" s="121" t="s">
        <v>2552</v>
      </c>
      <c r="D1457" s="122">
        <v>0.57999999999999996</v>
      </c>
      <c r="E1457" s="122">
        <v>0.75</v>
      </c>
      <c r="F1457" s="122">
        <v>0.44</v>
      </c>
      <c r="G1457" s="122">
        <v>30.003990000000002</v>
      </c>
    </row>
    <row r="1458" spans="2:7" x14ac:dyDescent="0.2">
      <c r="B1458" s="120" t="s">
        <v>4449</v>
      </c>
      <c r="C1458" s="121" t="s">
        <v>4450</v>
      </c>
      <c r="D1458" s="122"/>
      <c r="E1458" s="122"/>
      <c r="F1458" s="122"/>
      <c r="G1458" s="122"/>
    </row>
    <row r="1459" spans="2:7" x14ac:dyDescent="0.2">
      <c r="B1459" s="120" t="s">
        <v>2553</v>
      </c>
      <c r="C1459" s="121" t="s">
        <v>2554</v>
      </c>
      <c r="D1459" s="122">
        <v>0.36</v>
      </c>
      <c r="E1459" s="122">
        <v>0.36</v>
      </c>
      <c r="F1459" s="122">
        <v>0.34</v>
      </c>
      <c r="G1459" s="122">
        <v>25.761990000000001</v>
      </c>
    </row>
    <row r="1460" spans="2:7" x14ac:dyDescent="0.2">
      <c r="B1460" s="120" t="s">
        <v>2555</v>
      </c>
      <c r="C1460" s="121" t="s">
        <v>2556</v>
      </c>
      <c r="D1460" s="122">
        <v>3.28</v>
      </c>
      <c r="E1460" s="122">
        <v>1.1100000000000001</v>
      </c>
      <c r="F1460" s="122">
        <v>0.74</v>
      </c>
      <c r="G1460" s="122">
        <v>42.59299</v>
      </c>
    </row>
    <row r="1461" spans="2:7" x14ac:dyDescent="0.2">
      <c r="B1461" s="120" t="s">
        <v>4451</v>
      </c>
      <c r="C1461" s="121" t="s">
        <v>4452</v>
      </c>
      <c r="D1461" s="122"/>
      <c r="E1461" s="122"/>
      <c r="F1461" s="122"/>
      <c r="G1461" s="122"/>
    </row>
    <row r="1462" spans="2:7" x14ac:dyDescent="0.2">
      <c r="B1462" s="120" t="s">
        <v>2557</v>
      </c>
      <c r="C1462" s="121" t="s">
        <v>2558</v>
      </c>
      <c r="D1462" s="122">
        <v>1.9</v>
      </c>
      <c r="E1462" s="122">
        <v>2.4300000000000002</v>
      </c>
      <c r="F1462" s="122">
        <v>1.0900000000000001</v>
      </c>
      <c r="G1462" s="122">
        <v>52.213000000000001</v>
      </c>
    </row>
    <row r="1463" spans="2:7" x14ac:dyDescent="0.2">
      <c r="B1463" s="120" t="s">
        <v>2559</v>
      </c>
      <c r="C1463" s="121" t="s">
        <v>2560</v>
      </c>
      <c r="D1463" s="122">
        <v>0.87</v>
      </c>
      <c r="E1463" s="122">
        <v>1.27</v>
      </c>
      <c r="F1463" s="122">
        <v>0.4</v>
      </c>
      <c r="G1463" s="122">
        <v>28.63599</v>
      </c>
    </row>
    <row r="1464" spans="2:7" x14ac:dyDescent="0.2">
      <c r="B1464" s="120" t="s">
        <v>2561</v>
      </c>
      <c r="C1464" s="121" t="s">
        <v>2562</v>
      </c>
      <c r="D1464" s="122">
        <v>0.5</v>
      </c>
      <c r="E1464" s="122">
        <v>0.4</v>
      </c>
      <c r="F1464" s="122">
        <v>1.49</v>
      </c>
      <c r="G1464" s="122">
        <v>59.666989999999998</v>
      </c>
    </row>
    <row r="1465" spans="2:7" x14ac:dyDescent="0.2">
      <c r="B1465" s="120" t="s">
        <v>2563</v>
      </c>
      <c r="C1465" s="121" t="s">
        <v>2564</v>
      </c>
      <c r="D1465" s="122">
        <v>0.77</v>
      </c>
      <c r="E1465" s="122">
        <v>0.51</v>
      </c>
      <c r="F1465" s="122">
        <v>0.54</v>
      </c>
      <c r="G1465" s="122">
        <v>35.087000000000003</v>
      </c>
    </row>
    <row r="1466" spans="2:7" x14ac:dyDescent="0.2">
      <c r="B1466" s="120" t="s">
        <v>2565</v>
      </c>
      <c r="C1466" s="121" t="s">
        <v>2566</v>
      </c>
      <c r="D1466" s="122">
        <v>0.43</v>
      </c>
      <c r="E1466" s="122">
        <v>1.18</v>
      </c>
      <c r="F1466" s="122">
        <v>2</v>
      </c>
      <c r="G1466" s="122">
        <v>66.69999</v>
      </c>
    </row>
    <row r="1467" spans="2:7" x14ac:dyDescent="0.2">
      <c r="B1467" s="120" t="s">
        <v>2567</v>
      </c>
      <c r="C1467" s="121" t="s">
        <v>2568</v>
      </c>
      <c r="D1467" s="122">
        <v>1.23</v>
      </c>
      <c r="E1467" s="122">
        <v>1.34</v>
      </c>
      <c r="F1467" s="122">
        <v>-0.01</v>
      </c>
      <c r="G1467" s="122"/>
    </row>
    <row r="1468" spans="2:7" x14ac:dyDescent="0.2">
      <c r="B1468" s="120" t="s">
        <v>4453</v>
      </c>
      <c r="C1468" s="121" t="s">
        <v>4454</v>
      </c>
      <c r="D1468" s="122"/>
      <c r="E1468" s="122">
        <v>15.06</v>
      </c>
      <c r="F1468" s="122">
        <v>0.08</v>
      </c>
      <c r="G1468" s="122">
        <v>6.9914899999999998</v>
      </c>
    </row>
    <row r="1469" spans="2:7" x14ac:dyDescent="0.2">
      <c r="B1469" s="120" t="s">
        <v>4455</v>
      </c>
      <c r="C1469" s="121" t="s">
        <v>4456</v>
      </c>
      <c r="D1469" s="122"/>
      <c r="E1469" s="122">
        <v>1.74</v>
      </c>
      <c r="F1469" s="122">
        <v>0.56000000000000005</v>
      </c>
      <c r="G1469" s="122">
        <v>36.091990000000003</v>
      </c>
    </row>
    <row r="1470" spans="2:7" x14ac:dyDescent="0.2">
      <c r="B1470" s="120" t="s">
        <v>2569</v>
      </c>
      <c r="C1470" s="121" t="s">
        <v>2570</v>
      </c>
      <c r="D1470" s="122">
        <v>1.9</v>
      </c>
      <c r="E1470" s="122">
        <v>3.29</v>
      </c>
      <c r="F1470" s="122">
        <v>0.92</v>
      </c>
      <c r="G1470" s="122">
        <v>47.898989999999998</v>
      </c>
    </row>
    <row r="1471" spans="2:7" x14ac:dyDescent="0.2">
      <c r="B1471" s="120" t="s">
        <v>2571</v>
      </c>
      <c r="C1471" s="121" t="s">
        <v>2572</v>
      </c>
      <c r="D1471" s="122">
        <v>1.1599999999999999</v>
      </c>
      <c r="E1471" s="122">
        <v>1.89</v>
      </c>
      <c r="F1471" s="122">
        <v>0.84</v>
      </c>
      <c r="G1471" s="122">
        <v>45.594000000000001</v>
      </c>
    </row>
    <row r="1472" spans="2:7" x14ac:dyDescent="0.2">
      <c r="B1472" s="120" t="s">
        <v>4457</v>
      </c>
      <c r="C1472" s="121" t="s">
        <v>4458</v>
      </c>
      <c r="D1472" s="122">
        <v>1.1299999999999999</v>
      </c>
      <c r="E1472" s="122">
        <v>1.93</v>
      </c>
      <c r="F1472" s="122">
        <v>0.21</v>
      </c>
      <c r="G1472" s="122">
        <v>17.62199</v>
      </c>
    </row>
    <row r="1473" spans="2:7" x14ac:dyDescent="0.2">
      <c r="B1473" s="120" t="s">
        <v>2573</v>
      </c>
      <c r="C1473" s="121" t="s">
        <v>2574</v>
      </c>
      <c r="D1473" s="122">
        <v>2.15</v>
      </c>
      <c r="E1473" s="122">
        <v>1.87</v>
      </c>
      <c r="F1473" s="122">
        <v>0.11</v>
      </c>
      <c r="G1473" s="122">
        <v>9.8030000000000008</v>
      </c>
    </row>
    <row r="1474" spans="2:7" x14ac:dyDescent="0.2">
      <c r="B1474" s="120" t="s">
        <v>2575</v>
      </c>
      <c r="C1474" s="121" t="s">
        <v>2576</v>
      </c>
      <c r="D1474" s="122">
        <v>0.45</v>
      </c>
      <c r="E1474" s="122">
        <v>0.54</v>
      </c>
      <c r="F1474" s="122">
        <v>0.43</v>
      </c>
      <c r="G1474" s="122">
        <v>29.849</v>
      </c>
    </row>
    <row r="1475" spans="2:7" x14ac:dyDescent="0.2">
      <c r="B1475" s="120" t="s">
        <v>2577</v>
      </c>
      <c r="C1475" s="121" t="s">
        <v>2578</v>
      </c>
      <c r="D1475" s="122">
        <v>2.92</v>
      </c>
      <c r="E1475" s="122">
        <v>3.38</v>
      </c>
      <c r="F1475" s="122">
        <v>-4.04</v>
      </c>
      <c r="G1475" s="122"/>
    </row>
    <row r="1476" spans="2:7" x14ac:dyDescent="0.2">
      <c r="B1476" s="120" t="s">
        <v>4459</v>
      </c>
      <c r="C1476" s="121" t="s">
        <v>4460</v>
      </c>
      <c r="D1476" s="122">
        <v>1.41</v>
      </c>
      <c r="E1476" s="122">
        <v>1.49</v>
      </c>
      <c r="F1476" s="122">
        <v>0.6</v>
      </c>
      <c r="G1476" s="122">
        <v>37.567999999999998</v>
      </c>
    </row>
    <row r="1477" spans="2:7" x14ac:dyDescent="0.2">
      <c r="B1477" s="120" t="s">
        <v>2579</v>
      </c>
      <c r="C1477" s="121" t="s">
        <v>2580</v>
      </c>
      <c r="D1477" s="122">
        <v>0.62</v>
      </c>
      <c r="E1477" s="122">
        <v>0.95</v>
      </c>
      <c r="F1477" s="122">
        <v>-2.64</v>
      </c>
      <c r="G1477" s="122"/>
    </row>
    <row r="1478" spans="2:7" x14ac:dyDescent="0.2">
      <c r="B1478" s="120" t="s">
        <v>2581</v>
      </c>
      <c r="C1478" s="121" t="s">
        <v>2582</v>
      </c>
      <c r="D1478" s="122">
        <v>0.87</v>
      </c>
      <c r="E1478" s="122">
        <v>0.9</v>
      </c>
      <c r="F1478" s="122">
        <v>1.27</v>
      </c>
      <c r="G1478" s="122">
        <v>55.853000000000002</v>
      </c>
    </row>
    <row r="1479" spans="2:7" x14ac:dyDescent="0.2">
      <c r="B1479" s="120" t="s">
        <v>2583</v>
      </c>
      <c r="C1479" s="121" t="s">
        <v>2584</v>
      </c>
      <c r="D1479" s="122">
        <v>0.97</v>
      </c>
      <c r="E1479" s="122">
        <v>0.99</v>
      </c>
      <c r="F1479" s="122">
        <v>0.57999999999999996</v>
      </c>
      <c r="G1479" s="122">
        <v>36.726999999999997</v>
      </c>
    </row>
    <row r="1480" spans="2:7" x14ac:dyDescent="0.2">
      <c r="B1480" s="120" t="s">
        <v>4461</v>
      </c>
      <c r="C1480" s="121" t="s">
        <v>4462</v>
      </c>
      <c r="D1480" s="122">
        <v>0.54</v>
      </c>
      <c r="E1480" s="122">
        <v>0.54</v>
      </c>
      <c r="F1480" s="122"/>
      <c r="G1480" s="122">
        <v>42.991</v>
      </c>
    </row>
    <row r="1481" spans="2:7" x14ac:dyDescent="0.2">
      <c r="B1481" s="120" t="s">
        <v>2585</v>
      </c>
      <c r="C1481" s="121" t="s">
        <v>2586</v>
      </c>
      <c r="D1481" s="122">
        <v>0.45</v>
      </c>
      <c r="E1481" s="122">
        <v>0.45</v>
      </c>
      <c r="F1481" s="122">
        <v>1.67</v>
      </c>
      <c r="G1481" s="122">
        <v>62.317</v>
      </c>
    </row>
    <row r="1482" spans="2:7" x14ac:dyDescent="0.2">
      <c r="B1482" s="120" t="s">
        <v>2587</v>
      </c>
      <c r="C1482" s="121" t="s">
        <v>2588</v>
      </c>
      <c r="D1482" s="122">
        <v>0.8</v>
      </c>
      <c r="E1482" s="122">
        <v>1.47</v>
      </c>
      <c r="F1482" s="122">
        <v>0.67</v>
      </c>
      <c r="G1482" s="122">
        <v>40.212000000000003</v>
      </c>
    </row>
    <row r="1483" spans="2:7" x14ac:dyDescent="0.2">
      <c r="B1483" s="120" t="s">
        <v>2589</v>
      </c>
      <c r="C1483" s="121" t="s">
        <v>2590</v>
      </c>
      <c r="D1483" s="122">
        <v>0.38</v>
      </c>
      <c r="E1483" s="122">
        <v>0.54</v>
      </c>
      <c r="F1483" s="122">
        <v>0.92</v>
      </c>
      <c r="G1483" s="122">
        <v>47.972990000000003</v>
      </c>
    </row>
    <row r="1484" spans="2:7" x14ac:dyDescent="0.2">
      <c r="B1484" s="120" t="s">
        <v>2591</v>
      </c>
      <c r="C1484" s="121" t="s">
        <v>2592</v>
      </c>
      <c r="D1484" s="122">
        <v>3.37</v>
      </c>
      <c r="E1484" s="122">
        <v>4.72</v>
      </c>
      <c r="F1484" s="122">
        <v>2.4300000000000002</v>
      </c>
      <c r="G1484" s="122">
        <v>70.858999999999995</v>
      </c>
    </row>
    <row r="1485" spans="2:7" x14ac:dyDescent="0.2">
      <c r="B1485" s="120" t="s">
        <v>2593</v>
      </c>
      <c r="C1485" s="121" t="s">
        <v>2594</v>
      </c>
      <c r="D1485" s="122">
        <v>0.79</v>
      </c>
      <c r="E1485" s="122">
        <v>2.35</v>
      </c>
      <c r="F1485" s="122">
        <v>2.2999999999999998</v>
      </c>
      <c r="G1485" s="122">
        <v>69.655990000000003</v>
      </c>
    </row>
    <row r="1486" spans="2:7" x14ac:dyDescent="0.2">
      <c r="B1486" s="120" t="s">
        <v>2595</v>
      </c>
      <c r="C1486" s="121" t="s">
        <v>2596</v>
      </c>
      <c r="D1486" s="122">
        <v>0.71</v>
      </c>
      <c r="E1486" s="122">
        <v>1</v>
      </c>
      <c r="F1486" s="122">
        <v>0.99</v>
      </c>
      <c r="G1486" s="122">
        <v>49.722990000000003</v>
      </c>
    </row>
    <row r="1487" spans="2:7" x14ac:dyDescent="0.2">
      <c r="B1487" s="120" t="s">
        <v>2597</v>
      </c>
      <c r="C1487" s="121" t="s">
        <v>2598</v>
      </c>
      <c r="D1487" s="122"/>
      <c r="E1487" s="122"/>
      <c r="F1487" s="122"/>
      <c r="G1487" s="122"/>
    </row>
    <row r="1488" spans="2:7" x14ac:dyDescent="0.2">
      <c r="B1488" s="120" t="s">
        <v>2599</v>
      </c>
      <c r="C1488" s="121" t="s">
        <v>2600</v>
      </c>
      <c r="D1488" s="122">
        <v>2.17</v>
      </c>
      <c r="E1488" s="122">
        <v>2.02</v>
      </c>
      <c r="F1488" s="122">
        <v>1.97</v>
      </c>
      <c r="G1488" s="122">
        <v>66.281989999999993</v>
      </c>
    </row>
    <row r="1489" spans="2:7" x14ac:dyDescent="0.2">
      <c r="B1489" s="120" t="s">
        <v>2601</v>
      </c>
      <c r="C1489" s="121" t="s">
        <v>2602</v>
      </c>
      <c r="D1489" s="122">
        <v>0.83</v>
      </c>
      <c r="E1489" s="122">
        <v>1.78</v>
      </c>
      <c r="F1489" s="122">
        <v>1.1100000000000001</v>
      </c>
      <c r="G1489" s="122">
        <v>52.64799</v>
      </c>
    </row>
    <row r="1490" spans="2:7" x14ac:dyDescent="0.2">
      <c r="B1490" s="120" t="s">
        <v>4463</v>
      </c>
      <c r="C1490" s="121" t="s">
        <v>4464</v>
      </c>
      <c r="D1490" s="122"/>
      <c r="E1490" s="122"/>
      <c r="F1490" s="122"/>
      <c r="G1490" s="122"/>
    </row>
    <row r="1491" spans="2:7" x14ac:dyDescent="0.2">
      <c r="B1491" s="120" t="s">
        <v>2603</v>
      </c>
      <c r="C1491" s="121" t="s">
        <v>2604</v>
      </c>
      <c r="D1491" s="122">
        <v>0.96</v>
      </c>
      <c r="E1491" s="122">
        <v>1.43</v>
      </c>
      <c r="F1491" s="122">
        <v>1.04</v>
      </c>
      <c r="G1491" s="122">
        <v>51.08399</v>
      </c>
    </row>
    <row r="1492" spans="2:7" x14ac:dyDescent="0.2">
      <c r="B1492" s="120" t="s">
        <v>2605</v>
      </c>
      <c r="C1492" s="121" t="s">
        <v>2606</v>
      </c>
      <c r="D1492" s="122">
        <v>0.47</v>
      </c>
      <c r="E1492" s="122">
        <v>0.55000000000000004</v>
      </c>
      <c r="F1492" s="122">
        <v>1.75</v>
      </c>
      <c r="G1492" s="122">
        <v>63.631</v>
      </c>
    </row>
    <row r="1493" spans="2:7" x14ac:dyDescent="0.2">
      <c r="B1493" s="120" t="s">
        <v>2607</v>
      </c>
      <c r="C1493" s="121" t="s">
        <v>2608</v>
      </c>
      <c r="D1493" s="122">
        <v>0.66</v>
      </c>
      <c r="E1493" s="122">
        <v>1.05</v>
      </c>
      <c r="F1493" s="122"/>
      <c r="G1493" s="122">
        <v>23.966989999999999</v>
      </c>
    </row>
    <row r="1494" spans="2:7" x14ac:dyDescent="0.2">
      <c r="B1494" s="120" t="s">
        <v>2609</v>
      </c>
      <c r="C1494" s="121" t="s">
        <v>2610</v>
      </c>
      <c r="D1494" s="122">
        <v>0.87</v>
      </c>
      <c r="E1494" s="122">
        <v>0.99</v>
      </c>
      <c r="F1494" s="122">
        <v>1.1100000000000001</v>
      </c>
      <c r="G1494" s="122">
        <v>52.576990000000002</v>
      </c>
    </row>
    <row r="1495" spans="2:7" x14ac:dyDescent="0.2">
      <c r="B1495" s="120" t="s">
        <v>2611</v>
      </c>
      <c r="C1495" s="121" t="s">
        <v>2612</v>
      </c>
      <c r="D1495" s="122">
        <v>1.32</v>
      </c>
      <c r="E1495" s="122">
        <v>1.92</v>
      </c>
      <c r="F1495" s="122">
        <v>0.54</v>
      </c>
      <c r="G1495" s="122">
        <v>35.006990000000002</v>
      </c>
    </row>
    <row r="1496" spans="2:7" x14ac:dyDescent="0.2">
      <c r="B1496" s="120" t="s">
        <v>2613</v>
      </c>
      <c r="C1496" s="121" t="s">
        <v>2614</v>
      </c>
      <c r="D1496" s="122">
        <v>0.56999999999999995</v>
      </c>
      <c r="E1496" s="122">
        <v>0.55000000000000004</v>
      </c>
      <c r="F1496" s="122">
        <v>0.04</v>
      </c>
      <c r="G1496" s="122">
        <v>3.3906999999999998</v>
      </c>
    </row>
    <row r="1497" spans="2:7" x14ac:dyDescent="0.2">
      <c r="B1497" s="120" t="s">
        <v>2615</v>
      </c>
      <c r="C1497" s="121" t="s">
        <v>2616</v>
      </c>
      <c r="D1497" s="122">
        <v>0.87</v>
      </c>
      <c r="E1497" s="122">
        <v>0.86</v>
      </c>
      <c r="F1497" s="122">
        <v>1.1299999999999999</v>
      </c>
      <c r="G1497" s="122">
        <v>53.081000000000003</v>
      </c>
    </row>
    <row r="1498" spans="2:7" x14ac:dyDescent="0.2">
      <c r="B1498" s="120" t="s">
        <v>2617</v>
      </c>
      <c r="C1498" s="121" t="s">
        <v>2618</v>
      </c>
      <c r="D1498" s="122">
        <v>0.14000000000000001</v>
      </c>
      <c r="E1498" s="122">
        <v>0.11</v>
      </c>
      <c r="F1498" s="122">
        <v>0.28999999999999998</v>
      </c>
      <c r="G1498" s="122">
        <v>22.302990000000001</v>
      </c>
    </row>
    <row r="1499" spans="2:7" x14ac:dyDescent="0.2">
      <c r="B1499" s="120" t="s">
        <v>2619</v>
      </c>
      <c r="C1499" s="121" t="s">
        <v>2620</v>
      </c>
      <c r="D1499" s="122">
        <v>0.97</v>
      </c>
      <c r="E1499" s="122">
        <v>0.88</v>
      </c>
      <c r="F1499" s="122">
        <v>0.38</v>
      </c>
      <c r="G1499" s="122">
        <v>17.82799</v>
      </c>
    </row>
    <row r="1500" spans="2:7" x14ac:dyDescent="0.2">
      <c r="B1500" s="120" t="s">
        <v>2621</v>
      </c>
      <c r="C1500" s="121" t="s">
        <v>2622</v>
      </c>
      <c r="D1500" s="122">
        <v>0.85</v>
      </c>
      <c r="E1500" s="122">
        <v>0.98</v>
      </c>
      <c r="F1500" s="122">
        <v>0</v>
      </c>
      <c r="G1500" s="122">
        <v>0</v>
      </c>
    </row>
    <row r="1501" spans="2:7" x14ac:dyDescent="0.2">
      <c r="B1501" s="120" t="s">
        <v>4465</v>
      </c>
      <c r="C1501" s="121" t="s">
        <v>4466</v>
      </c>
      <c r="D1501" s="122"/>
      <c r="E1501" s="122"/>
      <c r="F1501" s="122"/>
      <c r="G1501" s="122"/>
    </row>
    <row r="1502" spans="2:7" x14ac:dyDescent="0.2">
      <c r="B1502" s="120" t="s">
        <v>4467</v>
      </c>
      <c r="C1502" s="121" t="s">
        <v>4468</v>
      </c>
      <c r="D1502" s="122">
        <v>1.03</v>
      </c>
      <c r="E1502" s="122">
        <v>3.75</v>
      </c>
      <c r="F1502" s="122"/>
      <c r="G1502" s="122">
        <v>0</v>
      </c>
    </row>
    <row r="1503" spans="2:7" x14ac:dyDescent="0.2">
      <c r="B1503" s="120" t="s">
        <v>4469</v>
      </c>
      <c r="C1503" s="121" t="s">
        <v>4470</v>
      </c>
      <c r="D1503" s="122">
        <v>1.48</v>
      </c>
      <c r="E1503" s="122">
        <v>1.44</v>
      </c>
      <c r="F1503" s="122">
        <v>-0.32</v>
      </c>
      <c r="G1503" s="122"/>
    </row>
    <row r="1504" spans="2:7" x14ac:dyDescent="0.2">
      <c r="B1504" s="120" t="s">
        <v>4471</v>
      </c>
      <c r="C1504" s="121" t="s">
        <v>4472</v>
      </c>
      <c r="D1504" s="122">
        <v>2.06</v>
      </c>
      <c r="E1504" s="122">
        <v>1.95</v>
      </c>
      <c r="F1504" s="122">
        <v>0.44</v>
      </c>
      <c r="G1504" s="122">
        <v>30.335999999999999</v>
      </c>
    </row>
    <row r="1505" spans="2:7" x14ac:dyDescent="0.2">
      <c r="B1505" s="120" t="s">
        <v>2623</v>
      </c>
      <c r="C1505" s="121" t="s">
        <v>2624</v>
      </c>
      <c r="D1505" s="122">
        <v>3.25</v>
      </c>
      <c r="E1505" s="122">
        <v>3.21</v>
      </c>
      <c r="F1505" s="122">
        <v>0.76</v>
      </c>
      <c r="G1505" s="122">
        <v>43.073</v>
      </c>
    </row>
    <row r="1506" spans="2:7" x14ac:dyDescent="0.2">
      <c r="B1506" s="120" t="s">
        <v>2625</v>
      </c>
      <c r="C1506" s="121" t="s">
        <v>2626</v>
      </c>
      <c r="D1506" s="122">
        <v>1.08</v>
      </c>
      <c r="E1506" s="122">
        <v>1.28</v>
      </c>
      <c r="F1506" s="122">
        <v>0.39</v>
      </c>
      <c r="G1506" s="122">
        <v>28.288989999999998</v>
      </c>
    </row>
    <row r="1507" spans="2:7" x14ac:dyDescent="0.2">
      <c r="B1507" s="120" t="s">
        <v>2627</v>
      </c>
      <c r="C1507" s="121" t="s">
        <v>2628</v>
      </c>
      <c r="D1507" s="122">
        <v>0.43</v>
      </c>
      <c r="E1507" s="122">
        <v>0.76</v>
      </c>
      <c r="F1507" s="122">
        <v>1.88</v>
      </c>
      <c r="G1507" s="122">
        <v>57.332000000000001</v>
      </c>
    </row>
    <row r="1508" spans="2:7" x14ac:dyDescent="0.2">
      <c r="B1508" s="120" t="s">
        <v>2629</v>
      </c>
      <c r="C1508" s="121" t="s">
        <v>2630</v>
      </c>
      <c r="D1508" s="122">
        <v>0.86</v>
      </c>
      <c r="E1508" s="122">
        <v>1.25</v>
      </c>
      <c r="F1508" s="122">
        <v>0.56999999999999995</v>
      </c>
      <c r="G1508" s="122">
        <v>36.506</v>
      </c>
    </row>
    <row r="1509" spans="2:7" x14ac:dyDescent="0.2">
      <c r="B1509" s="120" t="s">
        <v>2631</v>
      </c>
      <c r="C1509" s="121" t="s">
        <v>2632</v>
      </c>
      <c r="D1509" s="122">
        <v>0.44</v>
      </c>
      <c r="E1509" s="122">
        <v>0.8</v>
      </c>
      <c r="F1509" s="122">
        <v>0.31</v>
      </c>
      <c r="G1509" s="122">
        <v>23.625990000000002</v>
      </c>
    </row>
    <row r="1510" spans="2:7" x14ac:dyDescent="0.2">
      <c r="B1510" s="120" t="s">
        <v>2633</v>
      </c>
      <c r="C1510" s="121" t="s">
        <v>2634</v>
      </c>
      <c r="D1510" s="122">
        <v>0.92</v>
      </c>
      <c r="E1510" s="122">
        <v>0.94</v>
      </c>
      <c r="F1510" s="122"/>
      <c r="G1510" s="122">
        <v>37.277990000000003</v>
      </c>
    </row>
    <row r="1511" spans="2:7" x14ac:dyDescent="0.2">
      <c r="B1511" s="120" t="s">
        <v>2635</v>
      </c>
      <c r="C1511" s="121" t="s">
        <v>2636</v>
      </c>
      <c r="D1511" s="122">
        <v>0.71</v>
      </c>
      <c r="E1511" s="122">
        <v>0.94</v>
      </c>
      <c r="F1511" s="122"/>
      <c r="G1511" s="122">
        <v>21.15399</v>
      </c>
    </row>
    <row r="1512" spans="2:7" x14ac:dyDescent="0.2">
      <c r="B1512" s="120" t="s">
        <v>2637</v>
      </c>
      <c r="C1512" s="121" t="s">
        <v>2638</v>
      </c>
      <c r="D1512" s="122">
        <v>0.04</v>
      </c>
      <c r="E1512" s="122">
        <v>0.42</v>
      </c>
      <c r="F1512" s="122">
        <v>0.38</v>
      </c>
      <c r="G1512" s="122">
        <v>27.42099</v>
      </c>
    </row>
    <row r="1513" spans="2:7" x14ac:dyDescent="0.2">
      <c r="B1513" s="120" t="s">
        <v>2639</v>
      </c>
      <c r="C1513" s="121" t="s">
        <v>2640</v>
      </c>
      <c r="D1513" s="122">
        <v>0.8</v>
      </c>
      <c r="E1513" s="122">
        <v>1.4</v>
      </c>
      <c r="F1513" s="122">
        <v>0.73</v>
      </c>
      <c r="G1513" s="122">
        <v>42.14799</v>
      </c>
    </row>
    <row r="1514" spans="2:7" x14ac:dyDescent="0.2">
      <c r="B1514" s="120" t="s">
        <v>2641</v>
      </c>
      <c r="C1514" s="121" t="s">
        <v>2642</v>
      </c>
      <c r="D1514" s="122">
        <v>2.2000000000000002</v>
      </c>
      <c r="E1514" s="122">
        <v>2.42</v>
      </c>
      <c r="F1514" s="122">
        <v>0.09</v>
      </c>
      <c r="G1514" s="122">
        <v>8.4038000000000004</v>
      </c>
    </row>
    <row r="1515" spans="2:7" x14ac:dyDescent="0.2">
      <c r="B1515" s="120" t="s">
        <v>2643</v>
      </c>
      <c r="C1515" s="121" t="s">
        <v>2644</v>
      </c>
      <c r="D1515" s="122">
        <v>1.78</v>
      </c>
      <c r="E1515" s="122">
        <v>1.97</v>
      </c>
      <c r="F1515" s="122">
        <v>0.45</v>
      </c>
      <c r="G1515" s="122">
        <v>31.161999999999999</v>
      </c>
    </row>
    <row r="1516" spans="2:7" x14ac:dyDescent="0.2">
      <c r="B1516" s="120" t="s">
        <v>2645</v>
      </c>
      <c r="C1516" s="121" t="s">
        <v>2646</v>
      </c>
      <c r="D1516" s="122">
        <v>1.29</v>
      </c>
      <c r="E1516" s="122">
        <v>0.86</v>
      </c>
      <c r="F1516" s="122">
        <v>0.17</v>
      </c>
      <c r="G1516" s="122">
        <v>14.60999</v>
      </c>
    </row>
    <row r="1517" spans="2:7" x14ac:dyDescent="0.2">
      <c r="B1517" s="120" t="s">
        <v>2647</v>
      </c>
      <c r="C1517" s="121" t="s">
        <v>2648</v>
      </c>
      <c r="D1517" s="122">
        <v>1.27</v>
      </c>
      <c r="E1517" s="122">
        <v>1.22</v>
      </c>
      <c r="F1517" s="122">
        <v>0</v>
      </c>
      <c r="G1517" s="122">
        <v>0</v>
      </c>
    </row>
    <row r="1518" spans="2:7" x14ac:dyDescent="0.2">
      <c r="B1518" s="120" t="s">
        <v>2649</v>
      </c>
      <c r="C1518" s="121" t="s">
        <v>2650</v>
      </c>
      <c r="D1518" s="122">
        <v>1.4</v>
      </c>
      <c r="E1518" s="122">
        <v>1.77</v>
      </c>
      <c r="F1518" s="122">
        <v>2.46</v>
      </c>
      <c r="G1518" s="122">
        <v>71.078000000000003</v>
      </c>
    </row>
    <row r="1519" spans="2:7" x14ac:dyDescent="0.2">
      <c r="B1519" s="120" t="s">
        <v>2651</v>
      </c>
      <c r="C1519" s="121" t="s">
        <v>2652</v>
      </c>
      <c r="D1519" s="122">
        <v>2.0499999999999998</v>
      </c>
      <c r="E1519" s="122">
        <v>1.77</v>
      </c>
      <c r="F1519" s="122">
        <v>0.54</v>
      </c>
      <c r="G1519" s="122">
        <v>34.88899</v>
      </c>
    </row>
    <row r="1520" spans="2:7" x14ac:dyDescent="0.2">
      <c r="B1520" s="120" t="s">
        <v>2653</v>
      </c>
      <c r="C1520" s="121" t="s">
        <v>2654</v>
      </c>
      <c r="D1520" s="122">
        <v>1.92</v>
      </c>
      <c r="E1520" s="122">
        <v>1.83</v>
      </c>
      <c r="F1520" s="122">
        <v>0</v>
      </c>
      <c r="G1520" s="122">
        <v>0</v>
      </c>
    </row>
    <row r="1521" spans="2:7" x14ac:dyDescent="0.2">
      <c r="B1521" s="120" t="s">
        <v>4473</v>
      </c>
      <c r="C1521" s="121" t="s">
        <v>4474</v>
      </c>
      <c r="D1521" s="122"/>
      <c r="E1521" s="122"/>
      <c r="F1521" s="122"/>
      <c r="G1521" s="122"/>
    </row>
    <row r="1522" spans="2:7" x14ac:dyDescent="0.2">
      <c r="B1522" s="120" t="s">
        <v>2655</v>
      </c>
      <c r="C1522" s="121" t="s">
        <v>2656</v>
      </c>
      <c r="D1522" s="122">
        <v>0.69</v>
      </c>
      <c r="E1522" s="122">
        <v>1.1100000000000001</v>
      </c>
      <c r="F1522" s="122">
        <v>1.1100000000000001</v>
      </c>
      <c r="G1522" s="122">
        <v>52.692</v>
      </c>
    </row>
    <row r="1523" spans="2:7" x14ac:dyDescent="0.2">
      <c r="B1523" s="120" t="s">
        <v>2655</v>
      </c>
      <c r="C1523" s="121" t="s">
        <v>4475</v>
      </c>
      <c r="D1523" s="122">
        <v>0.69</v>
      </c>
      <c r="E1523" s="122">
        <v>1.1100000000000001</v>
      </c>
      <c r="F1523" s="122">
        <v>1.1100000000000001</v>
      </c>
      <c r="G1523" s="122">
        <v>52.692</v>
      </c>
    </row>
    <row r="1524" spans="2:7" x14ac:dyDescent="0.2">
      <c r="B1524" s="120" t="s">
        <v>2657</v>
      </c>
      <c r="C1524" s="121" t="s">
        <v>2658</v>
      </c>
      <c r="D1524" s="122">
        <v>2.69</v>
      </c>
      <c r="E1524" s="122">
        <v>3.44</v>
      </c>
      <c r="F1524" s="122">
        <v>0.23</v>
      </c>
      <c r="G1524" s="122">
        <v>19.017990000000001</v>
      </c>
    </row>
    <row r="1525" spans="2:7" x14ac:dyDescent="0.2">
      <c r="B1525" s="120" t="s">
        <v>2659</v>
      </c>
      <c r="C1525" s="121" t="s">
        <v>2660</v>
      </c>
      <c r="D1525" s="122">
        <v>1.01</v>
      </c>
      <c r="E1525" s="122">
        <v>1.2</v>
      </c>
      <c r="F1525" s="122">
        <v>3.3</v>
      </c>
      <c r="G1525" s="122">
        <v>76.755989999999997</v>
      </c>
    </row>
    <row r="1526" spans="2:7" x14ac:dyDescent="0.2">
      <c r="B1526" s="120" t="s">
        <v>2661</v>
      </c>
      <c r="C1526" s="121" t="s">
        <v>2662</v>
      </c>
      <c r="D1526" s="122">
        <v>2.96</v>
      </c>
      <c r="E1526" s="122">
        <v>6.72</v>
      </c>
      <c r="F1526" s="122">
        <v>1.1399999999999999</v>
      </c>
      <c r="G1526" s="122">
        <v>53.301990000000004</v>
      </c>
    </row>
    <row r="1527" spans="2:7" x14ac:dyDescent="0.2">
      <c r="B1527" s="120" t="s">
        <v>2663</v>
      </c>
      <c r="C1527" s="121" t="s">
        <v>2664</v>
      </c>
      <c r="D1527" s="122">
        <v>3.15</v>
      </c>
      <c r="E1527" s="122">
        <v>3.77</v>
      </c>
      <c r="F1527" s="122">
        <v>1.48</v>
      </c>
      <c r="G1527" s="122">
        <v>59.692</v>
      </c>
    </row>
    <row r="1528" spans="2:7" x14ac:dyDescent="0.2">
      <c r="B1528" s="120" t="s">
        <v>4476</v>
      </c>
      <c r="C1528" s="121" t="s">
        <v>4477</v>
      </c>
      <c r="D1528" s="122">
        <v>5.14</v>
      </c>
      <c r="E1528" s="122">
        <v>5.01</v>
      </c>
      <c r="F1528" s="122"/>
      <c r="G1528" s="122">
        <v>0</v>
      </c>
    </row>
    <row r="1529" spans="2:7" x14ac:dyDescent="0.2">
      <c r="B1529" s="120" t="s">
        <v>2665</v>
      </c>
      <c r="C1529" s="121" t="s">
        <v>2666</v>
      </c>
      <c r="D1529" s="122">
        <v>12.53</v>
      </c>
      <c r="E1529" s="122">
        <v>9.4</v>
      </c>
      <c r="F1529" s="122">
        <v>0</v>
      </c>
      <c r="G1529" s="122">
        <v>0</v>
      </c>
    </row>
    <row r="1530" spans="2:7" x14ac:dyDescent="0.2">
      <c r="B1530" s="120" t="s">
        <v>4478</v>
      </c>
      <c r="C1530" s="121" t="s">
        <v>4479</v>
      </c>
      <c r="D1530" s="122">
        <v>1.1100000000000001</v>
      </c>
      <c r="E1530" s="122">
        <v>0.98</v>
      </c>
      <c r="F1530" s="122"/>
      <c r="G1530" s="122">
        <v>19.131989999999998</v>
      </c>
    </row>
    <row r="1531" spans="2:7" x14ac:dyDescent="0.2">
      <c r="B1531" s="120" t="s">
        <v>2667</v>
      </c>
      <c r="C1531" s="121" t="s">
        <v>2668</v>
      </c>
      <c r="D1531" s="122">
        <v>1.1100000000000001</v>
      </c>
      <c r="E1531" s="122">
        <v>1.24</v>
      </c>
      <c r="F1531" s="122">
        <v>0.82</v>
      </c>
      <c r="G1531" s="122">
        <v>45.070990000000002</v>
      </c>
    </row>
    <row r="1532" spans="2:7" x14ac:dyDescent="0.2">
      <c r="B1532" s="120" t="s">
        <v>2669</v>
      </c>
      <c r="C1532" s="121" t="s">
        <v>2670</v>
      </c>
      <c r="D1532" s="122">
        <v>1.54</v>
      </c>
      <c r="E1532" s="122">
        <v>2.79</v>
      </c>
      <c r="F1532" s="122">
        <v>0.53</v>
      </c>
      <c r="G1532" s="122">
        <v>34.507989999999999</v>
      </c>
    </row>
    <row r="1533" spans="2:7" x14ac:dyDescent="0.2">
      <c r="B1533" s="120" t="s">
        <v>2671</v>
      </c>
      <c r="C1533" s="121" t="s">
        <v>2672</v>
      </c>
      <c r="D1533" s="122">
        <v>0.48</v>
      </c>
      <c r="E1533" s="122">
        <v>0.65</v>
      </c>
      <c r="F1533" s="122"/>
      <c r="G1533" s="122">
        <v>39.535989999999998</v>
      </c>
    </row>
    <row r="1534" spans="2:7" x14ac:dyDescent="0.2">
      <c r="B1534" s="120" t="s">
        <v>2673</v>
      </c>
      <c r="C1534" s="121" t="s">
        <v>2674</v>
      </c>
      <c r="D1534" s="122">
        <v>0.97</v>
      </c>
      <c r="E1534" s="122">
        <v>1.05</v>
      </c>
      <c r="F1534" s="122">
        <v>0.21</v>
      </c>
      <c r="G1534" s="122">
        <v>17.5</v>
      </c>
    </row>
    <row r="1535" spans="2:7" x14ac:dyDescent="0.2">
      <c r="B1535" s="120" t="s">
        <v>4480</v>
      </c>
      <c r="C1535" s="121" t="s">
        <v>4481</v>
      </c>
      <c r="D1535" s="122">
        <v>1.0900000000000001</v>
      </c>
      <c r="E1535" s="122">
        <v>1.05</v>
      </c>
      <c r="F1535" s="122">
        <v>0.21</v>
      </c>
      <c r="G1535" s="122">
        <v>17.5</v>
      </c>
    </row>
    <row r="1536" spans="2:7" x14ac:dyDescent="0.2">
      <c r="B1536" s="120" t="s">
        <v>4482</v>
      </c>
      <c r="C1536" s="121" t="s">
        <v>4483</v>
      </c>
      <c r="D1536" s="122"/>
      <c r="E1536" s="122"/>
      <c r="F1536" s="122"/>
      <c r="G1536" s="122"/>
    </row>
    <row r="1537" spans="2:7" x14ac:dyDescent="0.2">
      <c r="B1537" s="120" t="s">
        <v>2675</v>
      </c>
      <c r="C1537" s="121" t="s">
        <v>2676</v>
      </c>
      <c r="D1537" s="122">
        <v>0.65</v>
      </c>
      <c r="E1537" s="122">
        <v>0.79</v>
      </c>
      <c r="F1537" s="122">
        <v>1.94</v>
      </c>
      <c r="G1537" s="122">
        <v>65.954999999999998</v>
      </c>
    </row>
    <row r="1538" spans="2:7" x14ac:dyDescent="0.2">
      <c r="B1538" s="120" t="s">
        <v>2677</v>
      </c>
      <c r="C1538" s="121" t="s">
        <v>2678</v>
      </c>
      <c r="D1538" s="122">
        <v>0.15</v>
      </c>
      <c r="E1538" s="122">
        <v>0.17</v>
      </c>
      <c r="F1538" s="122">
        <v>0.83</v>
      </c>
      <c r="G1538" s="122">
        <v>46.732999999999997</v>
      </c>
    </row>
    <row r="1539" spans="2:7" x14ac:dyDescent="0.2">
      <c r="B1539" s="120" t="s">
        <v>2679</v>
      </c>
      <c r="C1539" s="121" t="s">
        <v>2680</v>
      </c>
      <c r="D1539" s="122"/>
      <c r="E1539" s="122">
        <v>1.71</v>
      </c>
      <c r="F1539" s="122"/>
      <c r="G1539" s="122">
        <v>13.66699</v>
      </c>
    </row>
    <row r="1540" spans="2:7" x14ac:dyDescent="0.2">
      <c r="B1540" s="120" t="s">
        <v>2681</v>
      </c>
      <c r="C1540" s="121" t="s">
        <v>2682</v>
      </c>
      <c r="D1540" s="122">
        <v>1.4</v>
      </c>
      <c r="E1540" s="122">
        <v>1.71</v>
      </c>
      <c r="F1540" s="122">
        <v>0.28999999999999998</v>
      </c>
      <c r="G1540" s="122">
        <v>22.354990000000001</v>
      </c>
    </row>
    <row r="1541" spans="2:7" x14ac:dyDescent="0.2">
      <c r="B1541" s="120" t="s">
        <v>2683</v>
      </c>
      <c r="C1541" s="121" t="s">
        <v>2684</v>
      </c>
      <c r="D1541" s="122">
        <v>0.98</v>
      </c>
      <c r="E1541" s="122">
        <v>1.1000000000000001</v>
      </c>
      <c r="F1541" s="122">
        <v>0.39</v>
      </c>
      <c r="G1541" s="122">
        <v>27.922999999999998</v>
      </c>
    </row>
    <row r="1542" spans="2:7" x14ac:dyDescent="0.2">
      <c r="B1542" s="120" t="s">
        <v>2683</v>
      </c>
      <c r="C1542" s="121" t="s">
        <v>4484</v>
      </c>
      <c r="D1542" s="122">
        <v>0.98</v>
      </c>
      <c r="E1542" s="122">
        <v>1.1000000000000001</v>
      </c>
      <c r="F1542" s="122">
        <v>0.39</v>
      </c>
      <c r="G1542" s="122">
        <v>27.922999999999998</v>
      </c>
    </row>
    <row r="1543" spans="2:7" x14ac:dyDescent="0.2">
      <c r="B1543" s="120" t="s">
        <v>2685</v>
      </c>
      <c r="C1543" s="121" t="s">
        <v>2686</v>
      </c>
      <c r="D1543" s="122">
        <v>1.68</v>
      </c>
      <c r="E1543" s="122">
        <v>2.4500000000000002</v>
      </c>
      <c r="F1543" s="122"/>
      <c r="G1543" s="122">
        <v>22.524000000000001</v>
      </c>
    </row>
    <row r="1544" spans="2:7" x14ac:dyDescent="0.2">
      <c r="B1544" s="120" t="s">
        <v>2687</v>
      </c>
      <c r="C1544" s="121" t="s">
        <v>2688</v>
      </c>
      <c r="D1544" s="122">
        <v>1.36</v>
      </c>
      <c r="E1544" s="122">
        <v>1.89</v>
      </c>
      <c r="F1544" s="122">
        <v>0.11</v>
      </c>
      <c r="G1544" s="122">
        <v>10.241</v>
      </c>
    </row>
    <row r="1545" spans="2:7" x14ac:dyDescent="0.2">
      <c r="B1545" s="120" t="s">
        <v>2689</v>
      </c>
      <c r="C1545" s="121" t="s">
        <v>2690</v>
      </c>
      <c r="D1545" s="122">
        <v>0.35</v>
      </c>
      <c r="E1545" s="122">
        <v>0.37</v>
      </c>
      <c r="F1545" s="122">
        <v>7.0000000000000007E-2</v>
      </c>
      <c r="G1545" s="122">
        <v>6.6581900000000003</v>
      </c>
    </row>
    <row r="1546" spans="2:7" x14ac:dyDescent="0.2">
      <c r="B1546" s="120" t="s">
        <v>2691</v>
      </c>
      <c r="C1546" s="121" t="s">
        <v>2692</v>
      </c>
      <c r="D1546" s="122">
        <v>0.97</v>
      </c>
      <c r="E1546" s="122">
        <v>1.03</v>
      </c>
      <c r="F1546" s="122">
        <v>0.61</v>
      </c>
      <c r="G1546" s="122">
        <v>38.052999999999997</v>
      </c>
    </row>
    <row r="1547" spans="2:7" x14ac:dyDescent="0.2">
      <c r="B1547" s="120" t="s">
        <v>2693</v>
      </c>
      <c r="C1547" s="121" t="s">
        <v>2694</v>
      </c>
      <c r="D1547" s="122">
        <v>3.67</v>
      </c>
      <c r="E1547" s="122">
        <v>3.88</v>
      </c>
      <c r="F1547" s="122">
        <v>7.0000000000000007E-2</v>
      </c>
      <c r="G1547" s="122">
        <v>6.79549</v>
      </c>
    </row>
    <row r="1548" spans="2:7" x14ac:dyDescent="0.2">
      <c r="B1548" s="120" t="s">
        <v>4485</v>
      </c>
      <c r="C1548" s="121" t="s">
        <v>4486</v>
      </c>
      <c r="D1548" s="122">
        <v>0.4</v>
      </c>
      <c r="E1548" s="122">
        <v>0.45</v>
      </c>
      <c r="F1548" s="122">
        <v>2.58</v>
      </c>
      <c r="G1548" s="122">
        <v>72.099990000000005</v>
      </c>
    </row>
    <row r="1549" spans="2:7" x14ac:dyDescent="0.2">
      <c r="B1549" s="120" t="s">
        <v>4487</v>
      </c>
      <c r="C1549" s="121" t="s">
        <v>4488</v>
      </c>
      <c r="D1549" s="122">
        <v>0.68</v>
      </c>
      <c r="E1549" s="122">
        <v>2.5299999999999998</v>
      </c>
      <c r="F1549" s="122"/>
      <c r="G1549" s="122">
        <v>22.908999999999999</v>
      </c>
    </row>
    <row r="1550" spans="2:7" x14ac:dyDescent="0.2">
      <c r="B1550" s="120" t="s">
        <v>2695</v>
      </c>
      <c r="C1550" s="121" t="s">
        <v>2696</v>
      </c>
      <c r="D1550" s="122">
        <v>1.01</v>
      </c>
      <c r="E1550" s="122">
        <v>1.33</v>
      </c>
      <c r="F1550" s="122"/>
      <c r="G1550" s="122">
        <v>0</v>
      </c>
    </row>
    <row r="1551" spans="2:7" x14ac:dyDescent="0.2">
      <c r="B1551" s="120" t="s">
        <v>2697</v>
      </c>
      <c r="C1551" s="121" t="s">
        <v>2698</v>
      </c>
      <c r="D1551" s="122">
        <v>8.81</v>
      </c>
      <c r="E1551" s="122">
        <v>7.17</v>
      </c>
      <c r="F1551" s="122">
        <v>0.34</v>
      </c>
      <c r="G1551" s="122">
        <v>24.266999999999999</v>
      </c>
    </row>
    <row r="1552" spans="2:7" x14ac:dyDescent="0.2">
      <c r="B1552" s="120" t="s">
        <v>2699</v>
      </c>
      <c r="C1552" s="121" t="s">
        <v>2700</v>
      </c>
      <c r="D1552" s="122">
        <v>0.9</v>
      </c>
      <c r="E1552" s="122">
        <v>0.89</v>
      </c>
      <c r="F1552" s="122">
        <v>0.6</v>
      </c>
      <c r="G1552" s="122">
        <v>35.68</v>
      </c>
    </row>
    <row r="1553" spans="2:7" x14ac:dyDescent="0.2">
      <c r="B1553" s="120" t="s">
        <v>2701</v>
      </c>
      <c r="C1553" s="121" t="s">
        <v>2702</v>
      </c>
      <c r="D1553" s="122">
        <v>0.13</v>
      </c>
      <c r="E1553" s="122">
        <v>0.13</v>
      </c>
      <c r="F1553" s="122">
        <v>0.32</v>
      </c>
      <c r="G1553" s="122">
        <v>23.997990000000001</v>
      </c>
    </row>
    <row r="1554" spans="2:7" x14ac:dyDescent="0.2">
      <c r="B1554" s="120" t="s">
        <v>2703</v>
      </c>
      <c r="C1554" s="121" t="s">
        <v>2704</v>
      </c>
      <c r="D1554" s="122">
        <v>1.8</v>
      </c>
      <c r="E1554" s="122">
        <v>2.25</v>
      </c>
      <c r="F1554" s="122">
        <v>0.02</v>
      </c>
      <c r="G1554" s="122">
        <v>2.24749</v>
      </c>
    </row>
    <row r="1555" spans="2:7" x14ac:dyDescent="0.2">
      <c r="B1555" s="120" t="s">
        <v>2705</v>
      </c>
      <c r="C1555" s="121" t="s">
        <v>2706</v>
      </c>
      <c r="D1555" s="122">
        <v>4.26</v>
      </c>
      <c r="E1555" s="122">
        <v>4.5999999999999996</v>
      </c>
      <c r="F1555" s="122">
        <v>0.1</v>
      </c>
      <c r="G1555" s="122">
        <v>8.9959000000000007</v>
      </c>
    </row>
    <row r="1556" spans="2:7" x14ac:dyDescent="0.2">
      <c r="B1556" s="120" t="s">
        <v>2707</v>
      </c>
      <c r="C1556" s="121" t="s">
        <v>2708</v>
      </c>
      <c r="D1556" s="122">
        <v>0.16</v>
      </c>
      <c r="E1556" s="122">
        <v>0.71</v>
      </c>
      <c r="F1556" s="122">
        <v>-9.0500000000000007</v>
      </c>
      <c r="G1556" s="122"/>
    </row>
    <row r="1557" spans="2:7" x14ac:dyDescent="0.2">
      <c r="B1557" s="120" t="s">
        <v>2709</v>
      </c>
      <c r="C1557" s="121" t="s">
        <v>2710</v>
      </c>
      <c r="D1557" s="122">
        <v>1.1100000000000001</v>
      </c>
      <c r="E1557" s="122">
        <v>1.4</v>
      </c>
      <c r="F1557" s="122"/>
      <c r="G1557" s="122">
        <v>34.616999999999997</v>
      </c>
    </row>
    <row r="1558" spans="2:7" x14ac:dyDescent="0.2">
      <c r="B1558" s="120" t="s">
        <v>2711</v>
      </c>
      <c r="C1558" s="121" t="s">
        <v>2712</v>
      </c>
      <c r="D1558" s="122">
        <v>1.8</v>
      </c>
      <c r="E1558" s="122">
        <v>1.72</v>
      </c>
      <c r="F1558" s="122">
        <v>0.18</v>
      </c>
      <c r="G1558" s="122">
        <v>15.288</v>
      </c>
    </row>
    <row r="1559" spans="2:7" x14ac:dyDescent="0.2">
      <c r="B1559" s="120" t="s">
        <v>2713</v>
      </c>
      <c r="C1559" s="121" t="s">
        <v>2714</v>
      </c>
      <c r="D1559" s="122">
        <v>1.05</v>
      </c>
      <c r="E1559" s="122">
        <v>1.29</v>
      </c>
      <c r="F1559" s="122">
        <v>5.97</v>
      </c>
      <c r="G1559" s="122">
        <v>86.902990000000003</v>
      </c>
    </row>
    <row r="1560" spans="2:7" x14ac:dyDescent="0.2">
      <c r="B1560" s="120" t="s">
        <v>2715</v>
      </c>
      <c r="C1560" s="121" t="s">
        <v>2716</v>
      </c>
      <c r="D1560" s="122">
        <v>1.4</v>
      </c>
      <c r="E1560" s="122">
        <v>1.65</v>
      </c>
      <c r="F1560" s="122"/>
      <c r="G1560" s="122">
        <v>39.541989999999998</v>
      </c>
    </row>
    <row r="1561" spans="2:7" x14ac:dyDescent="0.2">
      <c r="B1561" s="120" t="s">
        <v>2717</v>
      </c>
      <c r="C1561" s="121" t="s">
        <v>2718</v>
      </c>
      <c r="D1561" s="122">
        <v>2.38</v>
      </c>
      <c r="E1561" s="122">
        <v>2.88</v>
      </c>
      <c r="F1561" s="122">
        <v>0.74</v>
      </c>
      <c r="G1561" s="122">
        <v>42.366999999999997</v>
      </c>
    </row>
    <row r="1562" spans="2:7" x14ac:dyDescent="0.2">
      <c r="B1562" s="120" t="s">
        <v>2719</v>
      </c>
      <c r="C1562" s="121" t="s">
        <v>2720</v>
      </c>
      <c r="D1562" s="122">
        <v>1.65</v>
      </c>
      <c r="E1562" s="122">
        <v>1.55</v>
      </c>
      <c r="F1562" s="122">
        <v>0.3</v>
      </c>
      <c r="G1562" s="122">
        <v>23.117999999999999</v>
      </c>
    </row>
    <row r="1563" spans="2:7" x14ac:dyDescent="0.2">
      <c r="B1563" s="120" t="s">
        <v>2721</v>
      </c>
      <c r="C1563" s="121" t="s">
        <v>2722</v>
      </c>
      <c r="D1563" s="122">
        <v>1.1000000000000001</v>
      </c>
      <c r="E1563" s="122">
        <v>1.1100000000000001</v>
      </c>
      <c r="F1563" s="122">
        <v>0.42</v>
      </c>
      <c r="G1563" s="122">
        <v>29.675999999999998</v>
      </c>
    </row>
    <row r="1564" spans="2:7" x14ac:dyDescent="0.2">
      <c r="B1564" s="120" t="s">
        <v>4489</v>
      </c>
      <c r="C1564" s="121" t="s">
        <v>4490</v>
      </c>
      <c r="D1564" s="122">
        <v>1.1499999999999999</v>
      </c>
      <c r="E1564" s="122">
        <v>1.1399999999999999</v>
      </c>
      <c r="F1564" s="122"/>
      <c r="G1564" s="122">
        <v>61.597990000000003</v>
      </c>
    </row>
    <row r="1565" spans="2:7" x14ac:dyDescent="0.2">
      <c r="B1565" s="120" t="s">
        <v>2723</v>
      </c>
      <c r="C1565" s="121" t="s">
        <v>20</v>
      </c>
      <c r="D1565" s="122">
        <v>2.31</v>
      </c>
      <c r="E1565" s="122">
        <v>2.2999999999999998</v>
      </c>
      <c r="F1565" s="122">
        <v>0.72</v>
      </c>
      <c r="G1565" s="122">
        <v>41.936</v>
      </c>
    </row>
    <row r="1566" spans="2:7" x14ac:dyDescent="0.2">
      <c r="B1566" s="120" t="s">
        <v>2724</v>
      </c>
      <c r="C1566" s="121" t="s">
        <v>2725</v>
      </c>
      <c r="D1566" s="122">
        <v>0.37</v>
      </c>
      <c r="E1566" s="122">
        <v>0.38</v>
      </c>
      <c r="F1566" s="122">
        <v>0.16</v>
      </c>
      <c r="G1566" s="122">
        <v>13.45199</v>
      </c>
    </row>
    <row r="1567" spans="2:7" x14ac:dyDescent="0.2">
      <c r="B1567" s="120" t="s">
        <v>2726</v>
      </c>
      <c r="C1567" s="121" t="s">
        <v>2727</v>
      </c>
      <c r="D1567" s="122">
        <v>1.43</v>
      </c>
      <c r="E1567" s="122">
        <v>2.06</v>
      </c>
      <c r="F1567" s="122">
        <v>0.61</v>
      </c>
      <c r="G1567" s="122">
        <v>37.791989999999998</v>
      </c>
    </row>
    <row r="1568" spans="2:7" x14ac:dyDescent="0.2">
      <c r="B1568" s="120" t="s">
        <v>2728</v>
      </c>
      <c r="C1568" s="121" t="s">
        <v>2729</v>
      </c>
      <c r="D1568" s="122">
        <v>3.55</v>
      </c>
      <c r="E1568" s="122">
        <v>2.99</v>
      </c>
      <c r="F1568" s="122">
        <v>1.1299999999999999</v>
      </c>
      <c r="G1568" s="122">
        <v>53.033000000000001</v>
      </c>
    </row>
    <row r="1569" spans="2:7" x14ac:dyDescent="0.2">
      <c r="B1569" s="120" t="s">
        <v>2730</v>
      </c>
      <c r="C1569" s="121" t="s">
        <v>2731</v>
      </c>
      <c r="D1569" s="122">
        <v>0.95</v>
      </c>
      <c r="E1569" s="122">
        <v>1.03</v>
      </c>
      <c r="F1569" s="122"/>
      <c r="G1569" s="122"/>
    </row>
    <row r="1570" spans="2:7" x14ac:dyDescent="0.2">
      <c r="B1570" s="120" t="s">
        <v>2732</v>
      </c>
      <c r="C1570" s="121" t="s">
        <v>2733</v>
      </c>
      <c r="D1570" s="122">
        <v>1.71</v>
      </c>
      <c r="E1570" s="122">
        <v>1.54</v>
      </c>
      <c r="F1570" s="122">
        <v>0.26</v>
      </c>
      <c r="G1570" s="122">
        <v>40.919989999999999</v>
      </c>
    </row>
    <row r="1571" spans="2:7" x14ac:dyDescent="0.2">
      <c r="B1571" s="120" t="s">
        <v>2734</v>
      </c>
      <c r="C1571" s="121" t="s">
        <v>2735</v>
      </c>
      <c r="D1571" s="122"/>
      <c r="E1571" s="122"/>
      <c r="F1571" s="122"/>
      <c r="G1571" s="122"/>
    </row>
    <row r="1572" spans="2:7" x14ac:dyDescent="0.2">
      <c r="B1572" s="120" t="s">
        <v>4491</v>
      </c>
      <c r="C1572" s="121" t="s">
        <v>4492</v>
      </c>
      <c r="D1572" s="122">
        <v>5.12</v>
      </c>
      <c r="E1572" s="122">
        <v>6.71</v>
      </c>
      <c r="F1572" s="122"/>
      <c r="G1572" s="122"/>
    </row>
    <row r="1573" spans="2:7" x14ac:dyDescent="0.2">
      <c r="B1573" s="120" t="s">
        <v>2736</v>
      </c>
      <c r="C1573" s="121" t="s">
        <v>2737</v>
      </c>
      <c r="D1573" s="122">
        <v>1.01</v>
      </c>
      <c r="E1573" s="122">
        <v>1.51</v>
      </c>
      <c r="F1573" s="122">
        <v>1.68</v>
      </c>
      <c r="G1573" s="122">
        <v>62.664999999999999</v>
      </c>
    </row>
    <row r="1574" spans="2:7" x14ac:dyDescent="0.2">
      <c r="B1574" s="120" t="s">
        <v>2738</v>
      </c>
      <c r="C1574" s="121" t="s">
        <v>2739</v>
      </c>
      <c r="D1574" s="122">
        <v>2.0499999999999998</v>
      </c>
      <c r="E1574" s="122">
        <v>2.73</v>
      </c>
      <c r="F1574" s="122">
        <v>0</v>
      </c>
      <c r="G1574" s="122">
        <v>0</v>
      </c>
    </row>
    <row r="1575" spans="2:7" x14ac:dyDescent="0.2">
      <c r="B1575" s="120" t="s">
        <v>2740</v>
      </c>
      <c r="C1575" s="121" t="s">
        <v>2741</v>
      </c>
      <c r="D1575" s="122">
        <v>0.9</v>
      </c>
      <c r="E1575" s="122">
        <v>0.77</v>
      </c>
      <c r="F1575" s="122">
        <v>0.45</v>
      </c>
      <c r="G1575" s="122">
        <v>30.834990000000001</v>
      </c>
    </row>
    <row r="1576" spans="2:7" x14ac:dyDescent="0.2">
      <c r="B1576" s="120" t="s">
        <v>2742</v>
      </c>
      <c r="C1576" s="121" t="s">
        <v>2743</v>
      </c>
      <c r="D1576" s="122">
        <v>1.87</v>
      </c>
      <c r="E1576" s="122">
        <v>5.15</v>
      </c>
      <c r="F1576" s="122">
        <v>0.05</v>
      </c>
      <c r="G1576" s="122">
        <v>4.5301999999999998</v>
      </c>
    </row>
    <row r="1577" spans="2:7" x14ac:dyDescent="0.2">
      <c r="B1577" s="120" t="s">
        <v>2744</v>
      </c>
      <c r="C1577" s="121" t="s">
        <v>2745</v>
      </c>
      <c r="D1577" s="122">
        <v>0.98</v>
      </c>
      <c r="E1577" s="122">
        <v>1.1100000000000001</v>
      </c>
      <c r="F1577" s="122">
        <v>0.56999999999999995</v>
      </c>
      <c r="G1577" s="122">
        <v>36.104990000000001</v>
      </c>
    </row>
    <row r="1578" spans="2:7" x14ac:dyDescent="0.2">
      <c r="B1578" s="120" t="s">
        <v>2746</v>
      </c>
      <c r="C1578" s="121" t="s">
        <v>2747</v>
      </c>
      <c r="D1578" s="122">
        <v>0.82</v>
      </c>
      <c r="E1578" s="122">
        <v>1.31</v>
      </c>
      <c r="F1578" s="122">
        <v>0.85</v>
      </c>
      <c r="G1578" s="122">
        <v>46.008989999999997</v>
      </c>
    </row>
    <row r="1579" spans="2:7" x14ac:dyDescent="0.2">
      <c r="B1579" s="120" t="s">
        <v>4493</v>
      </c>
      <c r="C1579" s="121" t="s">
        <v>4494</v>
      </c>
      <c r="D1579" s="122">
        <v>0.57999999999999996</v>
      </c>
      <c r="E1579" s="122">
        <v>0.72</v>
      </c>
      <c r="F1579" s="122"/>
      <c r="G1579" s="122">
        <v>42.665999999999997</v>
      </c>
    </row>
    <row r="1580" spans="2:7" x14ac:dyDescent="0.2">
      <c r="B1580" s="120" t="s">
        <v>2748</v>
      </c>
      <c r="C1580" s="121" t="s">
        <v>2749</v>
      </c>
      <c r="D1580" s="122">
        <v>1.31</v>
      </c>
      <c r="E1580" s="122">
        <v>0.81</v>
      </c>
      <c r="F1580" s="122">
        <v>0.35</v>
      </c>
      <c r="G1580" s="122">
        <v>25.783999999999999</v>
      </c>
    </row>
    <row r="1581" spans="2:7" x14ac:dyDescent="0.2">
      <c r="B1581" s="120" t="s">
        <v>2750</v>
      </c>
      <c r="C1581" s="121" t="s">
        <v>2751</v>
      </c>
      <c r="D1581" s="122">
        <v>1.0900000000000001</v>
      </c>
      <c r="E1581" s="122">
        <v>1.64</v>
      </c>
      <c r="F1581" s="122"/>
      <c r="G1581" s="122">
        <v>58.350999999999999</v>
      </c>
    </row>
    <row r="1582" spans="2:7" x14ac:dyDescent="0.2">
      <c r="B1582" s="120" t="s">
        <v>2752</v>
      </c>
      <c r="C1582" s="121" t="s">
        <v>2753</v>
      </c>
      <c r="D1582" s="122">
        <v>2.1</v>
      </c>
      <c r="E1582" s="122">
        <v>4.42</v>
      </c>
      <c r="F1582" s="122">
        <v>0.39</v>
      </c>
      <c r="G1582" s="122">
        <v>28.209990000000001</v>
      </c>
    </row>
    <row r="1583" spans="2:7" x14ac:dyDescent="0.2">
      <c r="B1583" s="120" t="s">
        <v>2754</v>
      </c>
      <c r="C1583" s="121" t="s">
        <v>2755</v>
      </c>
      <c r="D1583" s="122">
        <v>0.57999999999999996</v>
      </c>
      <c r="E1583" s="122">
        <v>0.41</v>
      </c>
      <c r="F1583" s="122">
        <v>0.87</v>
      </c>
      <c r="G1583" s="122">
        <v>46.389989999999997</v>
      </c>
    </row>
    <row r="1584" spans="2:7" x14ac:dyDescent="0.2">
      <c r="B1584" s="120" t="s">
        <v>4495</v>
      </c>
      <c r="C1584" s="121" t="s">
        <v>4496</v>
      </c>
      <c r="D1584" s="122"/>
      <c r="E1584" s="122"/>
      <c r="F1584" s="122"/>
      <c r="G1584" s="122"/>
    </row>
    <row r="1585" spans="2:7" x14ac:dyDescent="0.2">
      <c r="B1585" s="120" t="s">
        <v>2756</v>
      </c>
      <c r="C1585" s="121" t="s">
        <v>2757</v>
      </c>
      <c r="D1585" s="122">
        <v>1.37</v>
      </c>
      <c r="E1585" s="122">
        <v>1.46</v>
      </c>
      <c r="F1585" s="122">
        <v>0.41</v>
      </c>
      <c r="G1585" s="122">
        <v>28.968</v>
      </c>
    </row>
    <row r="1586" spans="2:7" x14ac:dyDescent="0.2">
      <c r="B1586" s="120" t="s">
        <v>2758</v>
      </c>
      <c r="C1586" s="121" t="s">
        <v>2759</v>
      </c>
      <c r="D1586" s="122">
        <v>0.76</v>
      </c>
      <c r="E1586" s="122">
        <v>0.88</v>
      </c>
      <c r="F1586" s="122"/>
      <c r="G1586" s="122">
        <v>58.002989999999997</v>
      </c>
    </row>
    <row r="1587" spans="2:7" x14ac:dyDescent="0.2">
      <c r="B1587" s="120" t="s">
        <v>2760</v>
      </c>
      <c r="C1587" s="121" t="s">
        <v>2761</v>
      </c>
      <c r="D1587" s="122">
        <v>1.67</v>
      </c>
      <c r="E1587" s="122">
        <v>2.2400000000000002</v>
      </c>
      <c r="F1587" s="122"/>
      <c r="G1587" s="122">
        <v>5.6696999999999997</v>
      </c>
    </row>
    <row r="1588" spans="2:7" x14ac:dyDescent="0.2">
      <c r="B1588" s="120" t="s">
        <v>2762</v>
      </c>
      <c r="C1588" s="121" t="s">
        <v>2763</v>
      </c>
      <c r="D1588" s="122">
        <v>1.31</v>
      </c>
      <c r="E1588" s="122">
        <v>1.25</v>
      </c>
      <c r="F1588" s="122"/>
      <c r="G1588" s="122">
        <v>16.158999999999999</v>
      </c>
    </row>
    <row r="1589" spans="2:7" x14ac:dyDescent="0.2">
      <c r="B1589" s="120" t="s">
        <v>2764</v>
      </c>
      <c r="C1589" s="121" t="s">
        <v>2765</v>
      </c>
      <c r="D1589" s="122">
        <v>0.91</v>
      </c>
      <c r="E1589" s="122">
        <v>0.91</v>
      </c>
      <c r="F1589" s="122">
        <v>0.13</v>
      </c>
      <c r="G1589" s="122">
        <v>10.648999999999999</v>
      </c>
    </row>
    <row r="1590" spans="2:7" x14ac:dyDescent="0.2">
      <c r="B1590" s="120" t="s">
        <v>2766</v>
      </c>
      <c r="C1590" s="121" t="s">
        <v>2767</v>
      </c>
      <c r="D1590" s="122">
        <v>0.93</v>
      </c>
      <c r="E1590" s="122">
        <v>1.08</v>
      </c>
      <c r="F1590" s="122">
        <v>0.79</v>
      </c>
      <c r="G1590" s="122">
        <v>44.164000000000001</v>
      </c>
    </row>
    <row r="1591" spans="2:7" x14ac:dyDescent="0.2">
      <c r="B1591" s="120" t="s">
        <v>2768</v>
      </c>
      <c r="C1591" s="121" t="s">
        <v>2769</v>
      </c>
      <c r="D1591" s="122">
        <v>0.84</v>
      </c>
      <c r="E1591" s="122">
        <v>1.1299999999999999</v>
      </c>
      <c r="F1591" s="122"/>
      <c r="G1591" s="122"/>
    </row>
    <row r="1592" spans="2:7" x14ac:dyDescent="0.2">
      <c r="B1592" s="120" t="s">
        <v>2770</v>
      </c>
      <c r="C1592" s="121" t="s">
        <v>2771</v>
      </c>
      <c r="D1592" s="122">
        <v>3.02</v>
      </c>
      <c r="E1592" s="122">
        <v>2.56</v>
      </c>
      <c r="F1592" s="122">
        <v>0.61</v>
      </c>
      <c r="G1592" s="122">
        <v>37.807989999999997</v>
      </c>
    </row>
    <row r="1593" spans="2:7" x14ac:dyDescent="0.2">
      <c r="B1593" s="120" t="s">
        <v>2772</v>
      </c>
      <c r="C1593" s="121" t="s">
        <v>2773</v>
      </c>
      <c r="D1593" s="122">
        <v>0.98</v>
      </c>
      <c r="E1593" s="122">
        <v>0.94</v>
      </c>
      <c r="F1593" s="122">
        <v>1.57</v>
      </c>
      <c r="G1593" s="122">
        <v>61.033000000000001</v>
      </c>
    </row>
    <row r="1594" spans="2:7" x14ac:dyDescent="0.2">
      <c r="B1594" s="120" t="s">
        <v>2774</v>
      </c>
      <c r="C1594" s="121" t="s">
        <v>2775</v>
      </c>
      <c r="D1594" s="122">
        <v>1.17</v>
      </c>
      <c r="E1594" s="122">
        <v>1.03</v>
      </c>
      <c r="F1594" s="122">
        <v>3.59</v>
      </c>
      <c r="G1594" s="122">
        <v>78.198989999999995</v>
      </c>
    </row>
    <row r="1595" spans="2:7" x14ac:dyDescent="0.2">
      <c r="B1595" s="120" t="s">
        <v>2776</v>
      </c>
      <c r="C1595" s="121" t="s">
        <v>2777</v>
      </c>
      <c r="D1595" s="122">
        <v>1.64</v>
      </c>
      <c r="E1595" s="122">
        <v>2.94</v>
      </c>
      <c r="F1595" s="122">
        <v>0.02</v>
      </c>
      <c r="G1595" s="122">
        <v>2.0264000000000002</v>
      </c>
    </row>
    <row r="1596" spans="2:7" x14ac:dyDescent="0.2">
      <c r="B1596" s="120" t="s">
        <v>2778</v>
      </c>
      <c r="C1596" s="121" t="s">
        <v>2779</v>
      </c>
      <c r="D1596" s="122">
        <v>0.6</v>
      </c>
      <c r="E1596" s="122">
        <v>0.86</v>
      </c>
      <c r="F1596" s="122"/>
      <c r="G1596" s="122">
        <v>24.395</v>
      </c>
    </row>
    <row r="1597" spans="2:7" x14ac:dyDescent="0.2">
      <c r="B1597" s="120" t="s">
        <v>2780</v>
      </c>
      <c r="C1597" s="121" t="s">
        <v>2781</v>
      </c>
      <c r="D1597" s="122">
        <v>10.98</v>
      </c>
      <c r="E1597" s="122">
        <v>16</v>
      </c>
      <c r="F1597" s="122">
        <v>0.03</v>
      </c>
      <c r="G1597" s="122">
        <v>2.6944900000000001</v>
      </c>
    </row>
    <row r="1598" spans="2:7" x14ac:dyDescent="0.2">
      <c r="B1598" s="120" t="s">
        <v>2782</v>
      </c>
      <c r="C1598" s="121" t="s">
        <v>2783</v>
      </c>
      <c r="D1598" s="122">
        <v>1.52</v>
      </c>
      <c r="E1598" s="122">
        <v>1.17</v>
      </c>
      <c r="F1598" s="122">
        <v>1.4</v>
      </c>
      <c r="G1598" s="122">
        <v>58.312989999999999</v>
      </c>
    </row>
    <row r="1599" spans="2:7" x14ac:dyDescent="0.2">
      <c r="B1599" s="120" t="s">
        <v>2784</v>
      </c>
      <c r="C1599" s="121" t="s">
        <v>2785</v>
      </c>
      <c r="D1599" s="122">
        <v>1.34</v>
      </c>
      <c r="E1599" s="122">
        <v>0.95</v>
      </c>
      <c r="F1599" s="122">
        <v>0</v>
      </c>
      <c r="G1599" s="122">
        <v>0</v>
      </c>
    </row>
    <row r="1600" spans="2:7" x14ac:dyDescent="0.2">
      <c r="B1600" s="120" t="s">
        <v>2786</v>
      </c>
      <c r="C1600" s="121" t="s">
        <v>2787</v>
      </c>
      <c r="D1600" s="122">
        <v>0.31</v>
      </c>
      <c r="E1600" s="122">
        <v>2.08</v>
      </c>
      <c r="F1600" s="122">
        <v>11.13</v>
      </c>
      <c r="G1600" s="122">
        <v>91.755989999999997</v>
      </c>
    </row>
    <row r="1601" spans="2:7" x14ac:dyDescent="0.2">
      <c r="B1601" s="120" t="s">
        <v>2788</v>
      </c>
      <c r="C1601" s="121" t="s">
        <v>2789</v>
      </c>
      <c r="D1601" s="122">
        <v>1.59</v>
      </c>
      <c r="E1601" s="122">
        <v>0.95</v>
      </c>
      <c r="F1601" s="122">
        <v>0.51</v>
      </c>
      <c r="G1601" s="122">
        <v>33.726999999999997</v>
      </c>
    </row>
    <row r="1602" spans="2:7" x14ac:dyDescent="0.2">
      <c r="B1602" s="120" t="s">
        <v>2790</v>
      </c>
      <c r="C1602" s="121" t="s">
        <v>2791</v>
      </c>
      <c r="D1602" s="122"/>
      <c r="E1602" s="122"/>
      <c r="F1602" s="122"/>
      <c r="G1602" s="122"/>
    </row>
    <row r="1603" spans="2:7" x14ac:dyDescent="0.2">
      <c r="B1603" s="120" t="s">
        <v>2792</v>
      </c>
      <c r="C1603" s="121" t="s">
        <v>2793</v>
      </c>
      <c r="D1603" s="122">
        <v>0.9</v>
      </c>
      <c r="E1603" s="122">
        <v>1.53</v>
      </c>
      <c r="F1603" s="122">
        <v>0.95</v>
      </c>
      <c r="G1603" s="122">
        <v>48.698</v>
      </c>
    </row>
    <row r="1604" spans="2:7" x14ac:dyDescent="0.2">
      <c r="B1604" s="120" t="s">
        <v>2794</v>
      </c>
      <c r="C1604" s="121" t="s">
        <v>2795</v>
      </c>
      <c r="D1604" s="122">
        <v>2.61</v>
      </c>
      <c r="E1604" s="122">
        <v>6.1</v>
      </c>
      <c r="F1604" s="122">
        <v>0.62</v>
      </c>
      <c r="G1604" s="122">
        <v>38.43</v>
      </c>
    </row>
    <row r="1605" spans="2:7" x14ac:dyDescent="0.2">
      <c r="B1605" s="120" t="s">
        <v>2796</v>
      </c>
      <c r="C1605" s="121" t="s">
        <v>2797</v>
      </c>
      <c r="D1605" s="122"/>
      <c r="E1605" s="122"/>
      <c r="F1605" s="122"/>
      <c r="G1605" s="122"/>
    </row>
    <row r="1606" spans="2:7" x14ac:dyDescent="0.2">
      <c r="B1606" s="120" t="s">
        <v>4497</v>
      </c>
      <c r="C1606" s="121" t="s">
        <v>4498</v>
      </c>
      <c r="D1606" s="122">
        <v>0.14000000000000001</v>
      </c>
      <c r="E1606" s="122">
        <v>0.14000000000000001</v>
      </c>
      <c r="F1606" s="122"/>
      <c r="G1606" s="122">
        <v>26.57799</v>
      </c>
    </row>
    <row r="1607" spans="2:7" x14ac:dyDescent="0.2">
      <c r="B1607" s="120" t="s">
        <v>2798</v>
      </c>
      <c r="C1607" s="121" t="s">
        <v>2799</v>
      </c>
      <c r="D1607" s="122">
        <v>0.31</v>
      </c>
      <c r="E1607" s="122">
        <v>0.22</v>
      </c>
      <c r="F1607" s="122">
        <v>-2.62</v>
      </c>
      <c r="G1607" s="122"/>
    </row>
    <row r="1608" spans="2:7" x14ac:dyDescent="0.2">
      <c r="B1608" s="120" t="s">
        <v>2800</v>
      </c>
      <c r="C1608" s="121" t="s">
        <v>2801</v>
      </c>
      <c r="D1608" s="122">
        <v>3.12</v>
      </c>
      <c r="E1608" s="122">
        <v>3.11</v>
      </c>
      <c r="F1608" s="122">
        <v>2.59</v>
      </c>
      <c r="G1608" s="122">
        <v>72.128990000000002</v>
      </c>
    </row>
    <row r="1609" spans="2:7" x14ac:dyDescent="0.2">
      <c r="B1609" s="120" t="s">
        <v>4499</v>
      </c>
      <c r="C1609" s="121" t="s">
        <v>4500</v>
      </c>
      <c r="D1609" s="122">
        <v>1.01</v>
      </c>
      <c r="E1609" s="122">
        <v>1.32</v>
      </c>
      <c r="F1609" s="122"/>
      <c r="G1609" s="122">
        <v>0</v>
      </c>
    </row>
    <row r="1610" spans="2:7" x14ac:dyDescent="0.2">
      <c r="B1610" s="120" t="s">
        <v>4501</v>
      </c>
      <c r="C1610" s="121" t="s">
        <v>4502</v>
      </c>
      <c r="D1610" s="122"/>
      <c r="E1610" s="122"/>
      <c r="F1610" s="122"/>
      <c r="G1610" s="122"/>
    </row>
    <row r="1611" spans="2:7" x14ac:dyDescent="0.2">
      <c r="B1611" s="120" t="s">
        <v>4503</v>
      </c>
      <c r="C1611" s="121" t="s">
        <v>4504</v>
      </c>
      <c r="D1611" s="122"/>
      <c r="E1611" s="122"/>
      <c r="F1611" s="122"/>
      <c r="G1611" s="122"/>
    </row>
    <row r="1612" spans="2:7" x14ac:dyDescent="0.2">
      <c r="B1612" s="120" t="s">
        <v>2802</v>
      </c>
      <c r="C1612" s="121" t="s">
        <v>2803</v>
      </c>
      <c r="D1612" s="122">
        <v>0.97</v>
      </c>
      <c r="E1612" s="122">
        <v>1</v>
      </c>
      <c r="F1612" s="122">
        <v>1.26</v>
      </c>
      <c r="G1612" s="122">
        <v>55.715989999999998</v>
      </c>
    </row>
    <row r="1613" spans="2:7" x14ac:dyDescent="0.2">
      <c r="B1613" s="120" t="s">
        <v>2804</v>
      </c>
      <c r="C1613" s="121" t="s">
        <v>2805</v>
      </c>
      <c r="D1613" s="122">
        <v>1.83</v>
      </c>
      <c r="E1613" s="122">
        <v>1.68</v>
      </c>
      <c r="F1613" s="122">
        <v>0.82</v>
      </c>
      <c r="G1613" s="122">
        <v>45.169989999999999</v>
      </c>
    </row>
    <row r="1614" spans="2:7" x14ac:dyDescent="0.2">
      <c r="B1614" s="120" t="s">
        <v>4505</v>
      </c>
      <c r="C1614" s="121" t="s">
        <v>4506</v>
      </c>
      <c r="D1614" s="122">
        <v>1.23</v>
      </c>
      <c r="E1614" s="122">
        <v>1.23</v>
      </c>
      <c r="F1614" s="122">
        <v>0.33</v>
      </c>
      <c r="G1614" s="122">
        <v>24.556989999999999</v>
      </c>
    </row>
    <row r="1615" spans="2:7" x14ac:dyDescent="0.2">
      <c r="B1615" s="120" t="s">
        <v>2806</v>
      </c>
      <c r="C1615" s="121" t="s">
        <v>2807</v>
      </c>
      <c r="D1615" s="122">
        <v>1.03</v>
      </c>
      <c r="E1615" s="122">
        <v>1.01</v>
      </c>
      <c r="F1615" s="122"/>
      <c r="G1615" s="122">
        <v>34.612990000000003</v>
      </c>
    </row>
    <row r="1616" spans="2:7" x14ac:dyDescent="0.2">
      <c r="B1616" s="120" t="s">
        <v>2808</v>
      </c>
      <c r="C1616" s="121" t="s">
        <v>2809</v>
      </c>
      <c r="D1616" s="122">
        <v>1.95</v>
      </c>
      <c r="E1616" s="122">
        <v>1.31</v>
      </c>
      <c r="F1616" s="122">
        <v>-2.58</v>
      </c>
      <c r="G1616" s="122"/>
    </row>
    <row r="1617" spans="2:7" x14ac:dyDescent="0.2">
      <c r="B1617" s="120" t="s">
        <v>2810</v>
      </c>
      <c r="C1617" s="121" t="s">
        <v>2811</v>
      </c>
      <c r="D1617" s="122">
        <v>0.81</v>
      </c>
      <c r="E1617" s="122">
        <v>0.8</v>
      </c>
      <c r="F1617" s="122">
        <v>0</v>
      </c>
      <c r="G1617" s="122">
        <v>0</v>
      </c>
    </row>
    <row r="1618" spans="2:7" x14ac:dyDescent="0.2">
      <c r="B1618" s="120" t="s">
        <v>2812</v>
      </c>
      <c r="C1618" s="121" t="s">
        <v>2813</v>
      </c>
      <c r="D1618" s="122"/>
      <c r="E1618" s="122"/>
      <c r="F1618" s="122"/>
      <c r="G1618" s="122"/>
    </row>
    <row r="1619" spans="2:7" x14ac:dyDescent="0.2">
      <c r="B1619" s="120" t="s">
        <v>2814</v>
      </c>
      <c r="C1619" s="121" t="s">
        <v>2815</v>
      </c>
      <c r="D1619" s="122">
        <v>1.77</v>
      </c>
      <c r="E1619" s="122">
        <v>2.2400000000000002</v>
      </c>
      <c r="F1619" s="122">
        <v>0.82</v>
      </c>
      <c r="G1619" s="122">
        <v>45.034990000000001</v>
      </c>
    </row>
    <row r="1620" spans="2:7" x14ac:dyDescent="0.2">
      <c r="B1620" s="120" t="s">
        <v>2816</v>
      </c>
      <c r="C1620" s="121" t="s">
        <v>2817</v>
      </c>
      <c r="D1620" s="122"/>
      <c r="E1620" s="122">
        <v>1.42</v>
      </c>
      <c r="F1620" s="122">
        <v>3.52</v>
      </c>
      <c r="G1620" s="122">
        <v>77.851990000000001</v>
      </c>
    </row>
    <row r="1621" spans="2:7" x14ac:dyDescent="0.2">
      <c r="B1621" s="120" t="s">
        <v>2818</v>
      </c>
      <c r="C1621" s="121" t="s">
        <v>2819</v>
      </c>
      <c r="D1621" s="122">
        <v>0.83</v>
      </c>
      <c r="E1621" s="122">
        <v>0.31</v>
      </c>
      <c r="F1621" s="122">
        <v>0.4</v>
      </c>
      <c r="G1621" s="122">
        <v>25.82799</v>
      </c>
    </row>
    <row r="1622" spans="2:7" x14ac:dyDescent="0.2">
      <c r="B1622" s="120" t="s">
        <v>4507</v>
      </c>
      <c r="C1622" s="121" t="s">
        <v>4508</v>
      </c>
      <c r="D1622" s="122">
        <v>1.63</v>
      </c>
      <c r="E1622" s="122">
        <v>1.64</v>
      </c>
      <c r="F1622" s="122"/>
      <c r="G1622" s="122">
        <v>55.736989999999999</v>
      </c>
    </row>
    <row r="1623" spans="2:7" x14ac:dyDescent="0.2">
      <c r="B1623" s="120" t="s">
        <v>2820</v>
      </c>
      <c r="C1623" s="121" t="s">
        <v>2821</v>
      </c>
      <c r="D1623" s="122">
        <v>0.55000000000000004</v>
      </c>
      <c r="E1623" s="122">
        <v>0.64</v>
      </c>
      <c r="F1623" s="122">
        <v>1.99</v>
      </c>
      <c r="G1623" s="122">
        <v>66.515990000000002</v>
      </c>
    </row>
    <row r="1624" spans="2:7" x14ac:dyDescent="0.2">
      <c r="B1624" s="120" t="s">
        <v>2822</v>
      </c>
      <c r="C1624" s="121" t="s">
        <v>2823</v>
      </c>
      <c r="D1624" s="122">
        <v>0.88</v>
      </c>
      <c r="E1624" s="122">
        <v>0.98</v>
      </c>
      <c r="F1624" s="122"/>
      <c r="G1624" s="122">
        <v>49.426990000000004</v>
      </c>
    </row>
    <row r="1625" spans="2:7" x14ac:dyDescent="0.2">
      <c r="B1625" s="120" t="s">
        <v>2824</v>
      </c>
      <c r="C1625" s="121" t="s">
        <v>2825</v>
      </c>
      <c r="D1625" s="122">
        <v>8.98</v>
      </c>
      <c r="E1625" s="122">
        <v>8.98</v>
      </c>
      <c r="F1625" s="122"/>
      <c r="G1625" s="122">
        <v>28.481999999999999</v>
      </c>
    </row>
    <row r="1626" spans="2:7" x14ac:dyDescent="0.2">
      <c r="B1626" s="120" t="s">
        <v>2826</v>
      </c>
      <c r="C1626" s="121" t="s">
        <v>2827</v>
      </c>
      <c r="D1626" s="122">
        <v>1.51</v>
      </c>
      <c r="E1626" s="122">
        <v>2.0699999999999998</v>
      </c>
      <c r="F1626" s="122">
        <v>0.41</v>
      </c>
      <c r="G1626" s="122">
        <v>28.856000000000002</v>
      </c>
    </row>
    <row r="1627" spans="2:7" x14ac:dyDescent="0.2">
      <c r="B1627" s="120" t="s">
        <v>4509</v>
      </c>
      <c r="C1627" s="121" t="s">
        <v>4510</v>
      </c>
      <c r="D1627" s="122"/>
      <c r="E1627" s="122"/>
      <c r="F1627" s="122"/>
      <c r="G1627" s="122"/>
    </row>
    <row r="1628" spans="2:7" x14ac:dyDescent="0.2">
      <c r="B1628" s="120" t="s">
        <v>4511</v>
      </c>
      <c r="C1628" s="121" t="s">
        <v>4512</v>
      </c>
      <c r="D1628" s="122"/>
      <c r="E1628" s="122"/>
      <c r="F1628" s="122"/>
      <c r="G1628" s="122"/>
    </row>
    <row r="1629" spans="2:7" x14ac:dyDescent="0.2">
      <c r="B1629" s="120" t="s">
        <v>2828</v>
      </c>
      <c r="C1629" s="121" t="s">
        <v>2829</v>
      </c>
      <c r="D1629" s="122">
        <v>1.41</v>
      </c>
      <c r="E1629" s="122">
        <v>1.89</v>
      </c>
      <c r="F1629" s="122">
        <v>0.4</v>
      </c>
      <c r="G1629" s="122">
        <v>28.7</v>
      </c>
    </row>
    <row r="1630" spans="2:7" x14ac:dyDescent="0.2">
      <c r="B1630" s="120" t="s">
        <v>4513</v>
      </c>
      <c r="C1630" s="121" t="s">
        <v>4514</v>
      </c>
      <c r="D1630" s="122">
        <v>2.82</v>
      </c>
      <c r="E1630" s="122">
        <v>3.4</v>
      </c>
      <c r="F1630" s="122">
        <v>0.33</v>
      </c>
      <c r="G1630" s="122">
        <v>24.757989999999999</v>
      </c>
    </row>
    <row r="1631" spans="2:7" x14ac:dyDescent="0.2">
      <c r="B1631" s="120" t="s">
        <v>2830</v>
      </c>
      <c r="C1631" s="121" t="s">
        <v>2831</v>
      </c>
      <c r="D1631" s="122">
        <v>2.38</v>
      </c>
      <c r="E1631" s="122">
        <v>2.4900000000000002</v>
      </c>
      <c r="F1631" s="122">
        <v>0.05</v>
      </c>
      <c r="G1631" s="122">
        <v>4.9649999999999999</v>
      </c>
    </row>
    <row r="1632" spans="2:7" x14ac:dyDescent="0.2">
      <c r="B1632" s="120" t="s">
        <v>2832</v>
      </c>
      <c r="C1632" s="121" t="s">
        <v>2833</v>
      </c>
      <c r="D1632" s="122">
        <v>0.68</v>
      </c>
      <c r="E1632" s="122">
        <v>0.99</v>
      </c>
      <c r="F1632" s="122">
        <v>-9.65</v>
      </c>
      <c r="G1632" s="122"/>
    </row>
    <row r="1633" spans="2:7" x14ac:dyDescent="0.2">
      <c r="B1633" s="120" t="s">
        <v>2834</v>
      </c>
      <c r="C1633" s="121" t="s">
        <v>2835</v>
      </c>
      <c r="D1633" s="122">
        <v>0.89</v>
      </c>
      <c r="E1633" s="122">
        <v>0.89</v>
      </c>
      <c r="F1633" s="122"/>
      <c r="G1633" s="122">
        <v>25.472989999999999</v>
      </c>
    </row>
    <row r="1634" spans="2:7" x14ac:dyDescent="0.2">
      <c r="B1634" s="120" t="s">
        <v>2836</v>
      </c>
      <c r="C1634" s="121" t="s">
        <v>2837</v>
      </c>
      <c r="D1634" s="122">
        <v>3.92</v>
      </c>
      <c r="E1634" s="122">
        <v>5.78</v>
      </c>
      <c r="F1634" s="122">
        <v>0.02</v>
      </c>
      <c r="G1634" s="122">
        <v>2.3553999999999999</v>
      </c>
    </row>
    <row r="1635" spans="2:7" x14ac:dyDescent="0.2">
      <c r="B1635" s="129" t="s">
        <v>2838</v>
      </c>
      <c r="C1635" s="122" t="s">
        <v>2839</v>
      </c>
      <c r="D1635" s="122"/>
      <c r="E1635" s="122"/>
      <c r="F1635" s="122"/>
      <c r="G1635" s="122"/>
    </row>
    <row r="1636" spans="2:7" x14ac:dyDescent="0.2">
      <c r="B1636" s="129" t="s">
        <v>4515</v>
      </c>
      <c r="C1636" s="122" t="s">
        <v>4516</v>
      </c>
      <c r="D1636" s="122">
        <v>0.85</v>
      </c>
      <c r="E1636" s="122">
        <v>1.35</v>
      </c>
      <c r="F1636" s="122"/>
      <c r="G1636" s="122">
        <v>25.174990000000001</v>
      </c>
    </row>
    <row r="1637" spans="2:7" x14ac:dyDescent="0.2">
      <c r="B1637" s="129" t="s">
        <v>2840</v>
      </c>
      <c r="C1637" s="122" t="s">
        <v>2841</v>
      </c>
      <c r="D1637" s="122">
        <v>1.0900000000000001</v>
      </c>
      <c r="E1637" s="122">
        <v>1.6</v>
      </c>
      <c r="F1637" s="122"/>
      <c r="G1637" s="122">
        <v>23.27</v>
      </c>
    </row>
    <row r="1638" spans="2:7" x14ac:dyDescent="0.2">
      <c r="B1638" s="129" t="s">
        <v>2842</v>
      </c>
      <c r="C1638" s="122" t="s">
        <v>2843</v>
      </c>
      <c r="D1638" s="122">
        <v>2.16</v>
      </c>
      <c r="E1638" s="122">
        <v>1.17</v>
      </c>
      <c r="F1638" s="122">
        <v>0.59</v>
      </c>
      <c r="G1638" s="122">
        <v>37.002989999999997</v>
      </c>
    </row>
    <row r="1639" spans="2:7" x14ac:dyDescent="0.2">
      <c r="B1639" s="129" t="s">
        <v>2844</v>
      </c>
      <c r="C1639" s="122" t="s">
        <v>2845</v>
      </c>
      <c r="D1639" s="122">
        <v>0.68</v>
      </c>
      <c r="E1639" s="122">
        <v>0.74</v>
      </c>
      <c r="F1639" s="122">
        <v>0.69</v>
      </c>
      <c r="G1639" s="122">
        <v>38.76699</v>
      </c>
    </row>
    <row r="1640" spans="2:7" x14ac:dyDescent="0.2">
      <c r="B1640" s="129" t="s">
        <v>4517</v>
      </c>
      <c r="C1640" s="122" t="s">
        <v>4518</v>
      </c>
      <c r="D1640" s="122"/>
      <c r="E1640" s="122">
        <v>1.06</v>
      </c>
      <c r="F1640" s="122"/>
      <c r="G1640" s="122">
        <v>57.948999999999998</v>
      </c>
    </row>
    <row r="1641" spans="2:7" x14ac:dyDescent="0.2">
      <c r="B1641" s="129" t="s">
        <v>4519</v>
      </c>
      <c r="C1641" s="122" t="s">
        <v>4520</v>
      </c>
      <c r="D1641" s="122">
        <v>0.76</v>
      </c>
      <c r="E1641" s="122">
        <v>0.8</v>
      </c>
      <c r="F1641" s="122"/>
      <c r="G1641" s="122">
        <v>22.76</v>
      </c>
    </row>
    <row r="1642" spans="2:7" x14ac:dyDescent="0.2">
      <c r="B1642" s="129" t="s">
        <v>4521</v>
      </c>
      <c r="C1642" s="122" t="s">
        <v>4522</v>
      </c>
      <c r="D1642" s="122"/>
      <c r="E1642" s="122"/>
      <c r="F1642" s="122"/>
      <c r="G1642" s="122"/>
    </row>
    <row r="1643" spans="2:7" x14ac:dyDescent="0.2">
      <c r="B1643" s="129" t="s">
        <v>2846</v>
      </c>
      <c r="C1643" s="122" t="s">
        <v>2847</v>
      </c>
      <c r="D1643" s="122">
        <v>2.67</v>
      </c>
      <c r="E1643" s="122">
        <v>3.03</v>
      </c>
      <c r="F1643" s="122">
        <v>0</v>
      </c>
      <c r="G1643" s="122">
        <v>0</v>
      </c>
    </row>
    <row r="1644" spans="2:7" x14ac:dyDescent="0.2">
      <c r="B1644" s="129" t="s">
        <v>2848</v>
      </c>
      <c r="C1644" s="122" t="s">
        <v>2849</v>
      </c>
      <c r="D1644" s="122">
        <v>0.84</v>
      </c>
      <c r="E1644" s="122">
        <v>0.75</v>
      </c>
      <c r="F1644" s="122"/>
      <c r="G1644" s="122">
        <v>35.703989999999997</v>
      </c>
    </row>
    <row r="1645" spans="2:7" x14ac:dyDescent="0.2">
      <c r="B1645" s="129" t="s">
        <v>2850</v>
      </c>
      <c r="C1645" s="122" t="s">
        <v>2851</v>
      </c>
      <c r="D1645" s="122">
        <v>1.53</v>
      </c>
      <c r="E1645" s="122">
        <v>1.49</v>
      </c>
      <c r="F1645" s="122">
        <v>1.9</v>
      </c>
      <c r="G1645" s="122">
        <v>65.512</v>
      </c>
    </row>
    <row r="1646" spans="2:7" x14ac:dyDescent="0.2">
      <c r="B1646" s="129" t="s">
        <v>4523</v>
      </c>
      <c r="C1646" s="122" t="s">
        <v>4524</v>
      </c>
      <c r="D1646" s="122"/>
      <c r="E1646" s="122">
        <v>3.53</v>
      </c>
      <c r="F1646" s="122"/>
      <c r="G1646" s="122"/>
    </row>
    <row r="1647" spans="2:7" x14ac:dyDescent="0.2">
      <c r="B1647" s="129" t="s">
        <v>2852</v>
      </c>
      <c r="C1647" s="122" t="s">
        <v>2853</v>
      </c>
      <c r="D1647" s="122">
        <v>1.66</v>
      </c>
      <c r="E1647" s="122">
        <v>1.1000000000000001</v>
      </c>
      <c r="F1647" s="122">
        <v>0.97</v>
      </c>
      <c r="G1647" s="122">
        <v>49.323</v>
      </c>
    </row>
    <row r="1648" spans="2:7" x14ac:dyDescent="0.2">
      <c r="B1648" s="129" t="s">
        <v>4525</v>
      </c>
      <c r="C1648" s="122" t="s">
        <v>4526</v>
      </c>
      <c r="D1648" s="122">
        <v>1.0900000000000001</v>
      </c>
      <c r="E1648" s="122">
        <v>1.1100000000000001</v>
      </c>
      <c r="F1648" s="122"/>
      <c r="G1648" s="122">
        <v>41.33</v>
      </c>
    </row>
    <row r="1649" spans="2:7" x14ac:dyDescent="0.2">
      <c r="B1649" s="129" t="s">
        <v>2854</v>
      </c>
      <c r="C1649" s="122" t="s">
        <v>2855</v>
      </c>
      <c r="D1649" s="122">
        <v>1.1000000000000001</v>
      </c>
      <c r="E1649" s="122">
        <v>1.24</v>
      </c>
      <c r="F1649" s="122">
        <v>2.0099999999999998</v>
      </c>
      <c r="G1649" s="122">
        <v>66.791989999999998</v>
      </c>
    </row>
    <row r="1650" spans="2:7" x14ac:dyDescent="0.2">
      <c r="B1650" s="129" t="s">
        <v>2856</v>
      </c>
      <c r="C1650" s="122" t="s">
        <v>2857</v>
      </c>
      <c r="D1650" s="122"/>
      <c r="E1650" s="122"/>
      <c r="F1650" s="122"/>
      <c r="G1650" s="122"/>
    </row>
    <row r="1651" spans="2:7" x14ac:dyDescent="0.2">
      <c r="B1651" s="129" t="s">
        <v>2858</v>
      </c>
      <c r="C1651" s="122" t="s">
        <v>2859</v>
      </c>
      <c r="D1651" s="122">
        <v>1.08</v>
      </c>
      <c r="E1651" s="122">
        <v>1.08</v>
      </c>
      <c r="F1651" s="122">
        <v>1.71</v>
      </c>
      <c r="G1651" s="122">
        <v>63.127989999999997</v>
      </c>
    </row>
    <row r="1652" spans="2:7" x14ac:dyDescent="0.2">
      <c r="B1652" s="129" t="s">
        <v>2860</v>
      </c>
      <c r="C1652" s="122" t="s">
        <v>2861</v>
      </c>
      <c r="D1652" s="122">
        <v>1.23</v>
      </c>
      <c r="E1652" s="122">
        <v>1.65</v>
      </c>
      <c r="F1652" s="122"/>
      <c r="G1652" s="122">
        <v>0</v>
      </c>
    </row>
    <row r="1653" spans="2:7" x14ac:dyDescent="0.2">
      <c r="B1653" s="129" t="s">
        <v>2862</v>
      </c>
      <c r="C1653" s="122" t="s">
        <v>2863</v>
      </c>
      <c r="D1653" s="122">
        <v>5.43</v>
      </c>
      <c r="E1653" s="122">
        <v>6.81</v>
      </c>
      <c r="F1653" s="122">
        <v>-3.55</v>
      </c>
      <c r="G1653" s="122"/>
    </row>
    <row r="1654" spans="2:7" x14ac:dyDescent="0.2">
      <c r="B1654" s="129" t="s">
        <v>4527</v>
      </c>
      <c r="C1654" s="122" t="s">
        <v>4528</v>
      </c>
      <c r="D1654" s="122"/>
      <c r="E1654" s="122"/>
      <c r="F1654" s="122"/>
      <c r="G1654" s="122"/>
    </row>
    <row r="1655" spans="2:7" x14ac:dyDescent="0.2">
      <c r="B1655" s="129" t="s">
        <v>4529</v>
      </c>
      <c r="C1655" s="122" t="s">
        <v>4530</v>
      </c>
      <c r="D1655" s="122">
        <v>1.3</v>
      </c>
      <c r="E1655" s="122">
        <v>1.37</v>
      </c>
      <c r="F1655" s="122">
        <v>0.22</v>
      </c>
      <c r="G1655" s="122">
        <v>18.152989999999999</v>
      </c>
    </row>
    <row r="1656" spans="2:7" x14ac:dyDescent="0.2">
      <c r="B1656" s="129" t="s">
        <v>2864</v>
      </c>
      <c r="C1656" s="122" t="s">
        <v>2865</v>
      </c>
      <c r="D1656" s="122"/>
      <c r="E1656" s="122"/>
      <c r="F1656" s="122"/>
      <c r="G1656" s="122"/>
    </row>
    <row r="1657" spans="2:7" x14ac:dyDescent="0.2">
      <c r="B1657" s="129" t="s">
        <v>2866</v>
      </c>
      <c r="C1657" s="122" t="s">
        <v>2867</v>
      </c>
      <c r="D1657" s="122">
        <v>3.9</v>
      </c>
      <c r="E1657" s="122">
        <v>6.97</v>
      </c>
      <c r="F1657" s="122">
        <v>0.41</v>
      </c>
      <c r="G1657" s="122">
        <v>27.666989999999998</v>
      </c>
    </row>
    <row r="1658" spans="2:7" x14ac:dyDescent="0.2">
      <c r="B1658" s="129" t="s">
        <v>2868</v>
      </c>
      <c r="C1658" s="122" t="s">
        <v>2869</v>
      </c>
      <c r="D1658" s="122">
        <v>15.35</v>
      </c>
      <c r="E1658" s="122">
        <v>11.44</v>
      </c>
      <c r="F1658" s="122">
        <v>0.05</v>
      </c>
      <c r="G1658" s="122">
        <v>4.7960000000000003</v>
      </c>
    </row>
    <row r="1659" spans="2:7" x14ac:dyDescent="0.2">
      <c r="B1659" s="129" t="s">
        <v>4531</v>
      </c>
      <c r="C1659" s="122" t="s">
        <v>4532</v>
      </c>
      <c r="D1659" s="122"/>
      <c r="E1659" s="122"/>
      <c r="F1659" s="122"/>
      <c r="G1659" s="122"/>
    </row>
    <row r="1660" spans="2:7" x14ac:dyDescent="0.2">
      <c r="B1660" s="129" t="s">
        <v>2870</v>
      </c>
      <c r="C1660" s="122" t="s">
        <v>2871</v>
      </c>
      <c r="D1660" s="122">
        <v>0.59</v>
      </c>
      <c r="E1660" s="122">
        <v>0.8</v>
      </c>
      <c r="F1660" s="122">
        <v>2.29</v>
      </c>
      <c r="G1660" s="122">
        <v>69.58</v>
      </c>
    </row>
    <row r="1661" spans="2:7" x14ac:dyDescent="0.2">
      <c r="B1661" s="129" t="s">
        <v>2872</v>
      </c>
      <c r="C1661" s="122" t="s">
        <v>2873</v>
      </c>
      <c r="D1661" s="122">
        <v>0.96</v>
      </c>
      <c r="E1661" s="122">
        <v>1.38</v>
      </c>
      <c r="F1661" s="122"/>
      <c r="G1661" s="122">
        <v>26.155000000000001</v>
      </c>
    </row>
    <row r="1662" spans="2:7" x14ac:dyDescent="0.2">
      <c r="B1662" s="129" t="s">
        <v>4533</v>
      </c>
      <c r="C1662" s="122" t="s">
        <v>4534</v>
      </c>
      <c r="D1662" s="122"/>
      <c r="E1662" s="122"/>
      <c r="F1662" s="122"/>
      <c r="G1662" s="122"/>
    </row>
    <row r="1663" spans="2:7" x14ac:dyDescent="0.2">
      <c r="B1663" s="129" t="s">
        <v>4535</v>
      </c>
      <c r="C1663" s="122" t="s">
        <v>4536</v>
      </c>
      <c r="D1663" s="122"/>
      <c r="E1663" s="122"/>
      <c r="F1663" s="122"/>
      <c r="G1663" s="122"/>
    </row>
    <row r="1664" spans="2:7" x14ac:dyDescent="0.2">
      <c r="B1664" s="129" t="s">
        <v>4537</v>
      </c>
      <c r="C1664" s="122" t="s">
        <v>4538</v>
      </c>
      <c r="D1664" s="122"/>
      <c r="E1664" s="122">
        <v>1.02</v>
      </c>
      <c r="F1664" s="122">
        <v>0.35</v>
      </c>
      <c r="G1664" s="122">
        <v>25.754989999999999</v>
      </c>
    </row>
    <row r="1665" spans="2:7" x14ac:dyDescent="0.2">
      <c r="B1665" s="129" t="s">
        <v>2874</v>
      </c>
      <c r="C1665" s="122" t="s">
        <v>2875</v>
      </c>
      <c r="D1665" s="122">
        <v>0.61</v>
      </c>
      <c r="E1665" s="122">
        <v>1.23</v>
      </c>
      <c r="F1665" s="122">
        <v>1.9</v>
      </c>
      <c r="G1665" s="122">
        <v>65.561989999999994</v>
      </c>
    </row>
    <row r="1666" spans="2:7" x14ac:dyDescent="0.2">
      <c r="B1666" s="129" t="s">
        <v>2876</v>
      </c>
      <c r="C1666" s="122" t="s">
        <v>2877</v>
      </c>
      <c r="D1666" s="122">
        <v>1.06</v>
      </c>
      <c r="E1666" s="122">
        <v>1.26</v>
      </c>
      <c r="F1666" s="122">
        <v>0.55000000000000004</v>
      </c>
      <c r="G1666" s="122">
        <v>35.5</v>
      </c>
    </row>
    <row r="1667" spans="2:7" x14ac:dyDescent="0.2">
      <c r="B1667" s="129" t="s">
        <v>2878</v>
      </c>
      <c r="C1667" s="122" t="s">
        <v>2879</v>
      </c>
      <c r="D1667" s="122">
        <v>0.31</v>
      </c>
      <c r="E1667" s="122">
        <v>0.32</v>
      </c>
      <c r="F1667" s="122">
        <v>0.27</v>
      </c>
      <c r="G1667" s="122">
        <v>21.1</v>
      </c>
    </row>
    <row r="1668" spans="2:7" x14ac:dyDescent="0.2">
      <c r="B1668" s="129" t="s">
        <v>2880</v>
      </c>
      <c r="C1668" s="122" t="s">
        <v>2881</v>
      </c>
      <c r="D1668" s="122">
        <v>2.91</v>
      </c>
      <c r="E1668" s="122">
        <v>2.52</v>
      </c>
      <c r="F1668" s="122">
        <v>0.24</v>
      </c>
      <c r="G1668" s="122">
        <v>19.12199</v>
      </c>
    </row>
    <row r="1669" spans="2:7" x14ac:dyDescent="0.2">
      <c r="B1669" s="129" t="s">
        <v>2882</v>
      </c>
      <c r="C1669" s="122" t="s">
        <v>2883</v>
      </c>
      <c r="D1669" s="122">
        <v>0.16</v>
      </c>
      <c r="E1669" s="122">
        <v>0.33</v>
      </c>
      <c r="F1669" s="122">
        <v>-16.89</v>
      </c>
      <c r="G1669" s="122">
        <v>97.9</v>
      </c>
    </row>
    <row r="1670" spans="2:7" x14ac:dyDescent="0.2">
      <c r="B1670" s="129" t="s">
        <v>2884</v>
      </c>
      <c r="C1670" s="122" t="s">
        <v>2885</v>
      </c>
      <c r="D1670" s="122">
        <v>1.25</v>
      </c>
      <c r="E1670" s="122">
        <v>2.5</v>
      </c>
      <c r="F1670" s="122">
        <v>2.33</v>
      </c>
      <c r="G1670" s="122">
        <v>69.968000000000004</v>
      </c>
    </row>
    <row r="1671" spans="2:7" x14ac:dyDescent="0.2">
      <c r="B1671" s="129" t="s">
        <v>2886</v>
      </c>
      <c r="C1671" s="122" t="s">
        <v>2887</v>
      </c>
      <c r="D1671" s="122">
        <v>0.65</v>
      </c>
      <c r="E1671" s="122">
        <v>0.71</v>
      </c>
      <c r="F1671" s="122">
        <v>0.12</v>
      </c>
      <c r="G1671" s="122">
        <v>10.885</v>
      </c>
    </row>
    <row r="1672" spans="2:7" x14ac:dyDescent="0.2">
      <c r="B1672" s="129" t="s">
        <v>2888</v>
      </c>
      <c r="C1672" s="122" t="s">
        <v>2889</v>
      </c>
      <c r="D1672" s="122">
        <v>0.57999999999999996</v>
      </c>
      <c r="E1672" s="122">
        <v>0.86</v>
      </c>
      <c r="F1672" s="122">
        <v>-3.29</v>
      </c>
      <c r="G1672" s="122"/>
    </row>
    <row r="1673" spans="2:7" x14ac:dyDescent="0.2">
      <c r="B1673" s="129" t="s">
        <v>2892</v>
      </c>
      <c r="C1673" s="122" t="s">
        <v>2893</v>
      </c>
      <c r="D1673" s="122">
        <v>0.31</v>
      </c>
      <c r="E1673" s="122">
        <v>0.7</v>
      </c>
      <c r="F1673" s="122">
        <v>0.6</v>
      </c>
      <c r="G1673" s="122">
        <v>37.469000000000001</v>
      </c>
    </row>
    <row r="1674" spans="2:7" x14ac:dyDescent="0.2">
      <c r="B1674" s="129" t="s">
        <v>4539</v>
      </c>
      <c r="C1674" s="122" t="s">
        <v>4540</v>
      </c>
      <c r="D1674" s="122"/>
      <c r="E1674" s="122"/>
      <c r="F1674" s="122"/>
      <c r="G1674" s="122"/>
    </row>
    <row r="1675" spans="2:7" x14ac:dyDescent="0.2">
      <c r="B1675" s="129" t="s">
        <v>4541</v>
      </c>
      <c r="C1675" s="122" t="s">
        <v>4542</v>
      </c>
      <c r="D1675" s="122"/>
      <c r="E1675" s="122">
        <v>0.76</v>
      </c>
      <c r="F1675" s="122"/>
      <c r="G1675" s="122">
        <v>39.412990000000001</v>
      </c>
    </row>
    <row r="1676" spans="2:7" x14ac:dyDescent="0.2">
      <c r="B1676" s="129" t="s">
        <v>2894</v>
      </c>
      <c r="C1676" s="122" t="s">
        <v>2895</v>
      </c>
      <c r="D1676" s="122">
        <v>1.41</v>
      </c>
      <c r="E1676" s="122">
        <v>2.09</v>
      </c>
      <c r="F1676" s="122">
        <v>0.5</v>
      </c>
      <c r="G1676" s="122">
        <v>33.174990000000001</v>
      </c>
    </row>
    <row r="1677" spans="2:7" x14ac:dyDescent="0.2">
      <c r="B1677" s="129" t="s">
        <v>4543</v>
      </c>
      <c r="C1677" s="122" t="s">
        <v>4544</v>
      </c>
      <c r="D1677" s="122">
        <v>0.63</v>
      </c>
      <c r="E1677" s="122">
        <v>2.11</v>
      </c>
      <c r="F1677" s="122"/>
      <c r="G1677" s="122">
        <v>24.481000000000002</v>
      </c>
    </row>
    <row r="1678" spans="2:7" x14ac:dyDescent="0.2">
      <c r="B1678" s="129" t="s">
        <v>2896</v>
      </c>
      <c r="C1678" s="122" t="s">
        <v>2897</v>
      </c>
      <c r="D1678" s="122">
        <v>1.1200000000000001</v>
      </c>
      <c r="E1678" s="122">
        <v>1.05</v>
      </c>
      <c r="F1678" s="122"/>
      <c r="G1678" s="122">
        <v>28.270990000000001</v>
      </c>
    </row>
    <row r="1679" spans="2:7" x14ac:dyDescent="0.2">
      <c r="B1679" s="129" t="s">
        <v>2898</v>
      </c>
      <c r="C1679" s="122" t="s">
        <v>2899</v>
      </c>
      <c r="D1679" s="122">
        <v>1.89</v>
      </c>
      <c r="E1679" s="122">
        <v>2.5099999999999998</v>
      </c>
      <c r="F1679" s="122">
        <v>0.43</v>
      </c>
      <c r="G1679" s="122">
        <v>30.175999999999998</v>
      </c>
    </row>
    <row r="1680" spans="2:7" x14ac:dyDescent="0.2">
      <c r="B1680" s="129" t="s">
        <v>2900</v>
      </c>
      <c r="C1680" s="122" t="s">
        <v>2901</v>
      </c>
      <c r="D1680" s="122">
        <v>0.97</v>
      </c>
      <c r="E1680" s="122">
        <v>0.84</v>
      </c>
      <c r="F1680" s="122">
        <v>1.45</v>
      </c>
      <c r="G1680" s="122">
        <v>59.255000000000003</v>
      </c>
    </row>
    <row r="1681" spans="2:7" x14ac:dyDescent="0.2">
      <c r="B1681" s="129" t="s">
        <v>2902</v>
      </c>
      <c r="C1681" s="122" t="s">
        <v>2903</v>
      </c>
      <c r="D1681" s="122">
        <v>5.19</v>
      </c>
      <c r="E1681" s="122">
        <v>6.47</v>
      </c>
      <c r="F1681" s="122">
        <v>0.34</v>
      </c>
      <c r="G1681" s="122">
        <v>25.58399</v>
      </c>
    </row>
    <row r="1682" spans="2:7" x14ac:dyDescent="0.2">
      <c r="B1682" s="129" t="s">
        <v>2904</v>
      </c>
      <c r="C1682" s="122" t="s">
        <v>2905</v>
      </c>
      <c r="D1682" s="122">
        <v>0.87</v>
      </c>
      <c r="E1682" s="122">
        <v>1.39</v>
      </c>
      <c r="F1682" s="122">
        <v>0.47</v>
      </c>
      <c r="G1682" s="122">
        <v>31.882989999999999</v>
      </c>
    </row>
    <row r="1683" spans="2:7" x14ac:dyDescent="0.2">
      <c r="B1683" s="129" t="s">
        <v>2906</v>
      </c>
      <c r="C1683" s="122" t="s">
        <v>2907</v>
      </c>
      <c r="D1683" s="122"/>
      <c r="E1683" s="122"/>
      <c r="F1683" s="122">
        <v>0.18</v>
      </c>
      <c r="G1683" s="122">
        <v>14.229990000000001</v>
      </c>
    </row>
    <row r="1684" spans="2:7" x14ac:dyDescent="0.2">
      <c r="B1684" s="129" t="s">
        <v>2908</v>
      </c>
      <c r="C1684" s="122" t="s">
        <v>2909</v>
      </c>
      <c r="D1684" s="122">
        <v>6.63</v>
      </c>
      <c r="E1684" s="122">
        <v>1.1100000000000001</v>
      </c>
      <c r="F1684" s="122">
        <v>0.09</v>
      </c>
      <c r="G1684" s="122">
        <v>8.2782999999999998</v>
      </c>
    </row>
    <row r="1685" spans="2:7" x14ac:dyDescent="0.2">
      <c r="B1685" s="129" t="s">
        <v>2910</v>
      </c>
      <c r="C1685" s="122" t="s">
        <v>2911</v>
      </c>
      <c r="D1685" s="122">
        <v>2.0499999999999998</v>
      </c>
      <c r="E1685" s="122">
        <v>1.91</v>
      </c>
      <c r="F1685" s="122">
        <v>1.01</v>
      </c>
      <c r="G1685" s="122">
        <v>48.26399</v>
      </c>
    </row>
    <row r="1686" spans="2:7" x14ac:dyDescent="0.2">
      <c r="B1686" s="129" t="s">
        <v>2912</v>
      </c>
      <c r="C1686" s="122" t="s">
        <v>2913</v>
      </c>
      <c r="D1686" s="122">
        <v>0.61</v>
      </c>
      <c r="E1686" s="122">
        <v>0.98</v>
      </c>
      <c r="F1686" s="122">
        <v>1.96</v>
      </c>
      <c r="G1686" s="122">
        <v>66.239990000000006</v>
      </c>
    </row>
    <row r="1687" spans="2:7" x14ac:dyDescent="0.2">
      <c r="B1687" s="129" t="s">
        <v>2914</v>
      </c>
      <c r="C1687" s="122" t="s">
        <v>2915</v>
      </c>
      <c r="D1687" s="122">
        <v>1.38</v>
      </c>
      <c r="E1687" s="122">
        <v>1.37</v>
      </c>
      <c r="F1687" s="122">
        <v>1.8</v>
      </c>
      <c r="G1687" s="122">
        <v>61.088999999999999</v>
      </c>
    </row>
    <row r="1688" spans="2:7" x14ac:dyDescent="0.2">
      <c r="B1688" s="129" t="s">
        <v>4545</v>
      </c>
      <c r="C1688" s="122" t="s">
        <v>4546</v>
      </c>
      <c r="D1688" s="122"/>
      <c r="E1688" s="122"/>
      <c r="F1688" s="122"/>
      <c r="G1688" s="122"/>
    </row>
    <row r="1689" spans="2:7" x14ac:dyDescent="0.2">
      <c r="B1689" s="129" t="s">
        <v>2916</v>
      </c>
      <c r="C1689" s="122" t="s">
        <v>2917</v>
      </c>
      <c r="D1689" s="122">
        <v>1.81</v>
      </c>
      <c r="E1689" s="122">
        <v>3.5</v>
      </c>
      <c r="F1689" s="122">
        <v>0.08</v>
      </c>
      <c r="G1689" s="122">
        <v>7.77379</v>
      </c>
    </row>
    <row r="1690" spans="2:7" x14ac:dyDescent="0.2">
      <c r="B1690" s="129" t="s">
        <v>2918</v>
      </c>
      <c r="C1690" s="122" t="s">
        <v>2919</v>
      </c>
      <c r="D1690" s="122">
        <v>6.27</v>
      </c>
      <c r="E1690" s="122">
        <v>8.15</v>
      </c>
      <c r="F1690" s="122">
        <v>0.01</v>
      </c>
      <c r="G1690" s="122">
        <v>0.60126000000000002</v>
      </c>
    </row>
    <row r="1691" spans="2:7" x14ac:dyDescent="0.2">
      <c r="B1691" s="129" t="s">
        <v>2920</v>
      </c>
      <c r="C1691" s="122" t="s">
        <v>2921</v>
      </c>
      <c r="D1691" s="122">
        <v>1.1100000000000001</v>
      </c>
      <c r="E1691" s="122">
        <v>1.06</v>
      </c>
      <c r="F1691" s="122">
        <v>1.98</v>
      </c>
      <c r="G1691" s="122">
        <v>66.481999999999999</v>
      </c>
    </row>
    <row r="1692" spans="2:7" x14ac:dyDescent="0.2">
      <c r="B1692" s="129" t="s">
        <v>2922</v>
      </c>
      <c r="C1692" s="122" t="s">
        <v>2923</v>
      </c>
      <c r="D1692" s="122">
        <v>0.99</v>
      </c>
      <c r="E1692" s="122">
        <v>1.39</v>
      </c>
      <c r="F1692" s="122"/>
      <c r="G1692" s="122">
        <v>53.848990000000001</v>
      </c>
    </row>
    <row r="1693" spans="2:7" x14ac:dyDescent="0.2">
      <c r="B1693" s="129" t="s">
        <v>2924</v>
      </c>
      <c r="C1693" s="122" t="s">
        <v>2925</v>
      </c>
      <c r="D1693" s="122">
        <v>0.66</v>
      </c>
      <c r="E1693" s="122">
        <v>1.45</v>
      </c>
      <c r="F1693" s="122">
        <v>1.94</v>
      </c>
      <c r="G1693" s="122">
        <v>66.007000000000005</v>
      </c>
    </row>
    <row r="1694" spans="2:7" x14ac:dyDescent="0.2">
      <c r="B1694" s="129" t="s">
        <v>4547</v>
      </c>
      <c r="C1694" s="122" t="s">
        <v>4548</v>
      </c>
      <c r="D1694" s="122">
        <v>1.08</v>
      </c>
      <c r="E1694" s="122">
        <v>1.37</v>
      </c>
      <c r="F1694" s="122"/>
      <c r="G1694" s="122">
        <v>57.20299</v>
      </c>
    </row>
    <row r="1695" spans="2:7" x14ac:dyDescent="0.2">
      <c r="B1695" s="129" t="s">
        <v>2926</v>
      </c>
      <c r="C1695" s="122" t="s">
        <v>2927</v>
      </c>
      <c r="D1695" s="122"/>
      <c r="E1695" s="122">
        <v>2.36</v>
      </c>
      <c r="F1695" s="122"/>
      <c r="G1695" s="122">
        <v>39.226999999999997</v>
      </c>
    </row>
    <row r="1696" spans="2:7" x14ac:dyDescent="0.2">
      <c r="B1696" s="129" t="s">
        <v>2928</v>
      </c>
      <c r="C1696" s="122" t="s">
        <v>2929</v>
      </c>
      <c r="D1696" s="122">
        <v>1.94</v>
      </c>
      <c r="E1696" s="122">
        <v>2.0299999999999998</v>
      </c>
      <c r="F1696" s="122">
        <v>0.28000000000000003</v>
      </c>
      <c r="G1696" s="122">
        <v>21.63599</v>
      </c>
    </row>
    <row r="1697" spans="2:7" x14ac:dyDescent="0.2">
      <c r="B1697" s="129" t="s">
        <v>4549</v>
      </c>
      <c r="C1697" s="122" t="s">
        <v>4550</v>
      </c>
      <c r="D1697" s="122"/>
      <c r="E1697" s="122"/>
      <c r="F1697" s="122"/>
      <c r="G1697" s="122"/>
    </row>
    <row r="1698" spans="2:7" x14ac:dyDescent="0.2">
      <c r="B1698" s="129" t="s">
        <v>4551</v>
      </c>
      <c r="C1698" s="122" t="s">
        <v>4552</v>
      </c>
      <c r="D1698" s="122"/>
      <c r="E1698" s="122"/>
      <c r="F1698" s="122"/>
      <c r="G1698" s="122"/>
    </row>
    <row r="1699" spans="2:7" x14ac:dyDescent="0.2">
      <c r="B1699" s="129" t="s">
        <v>2930</v>
      </c>
      <c r="C1699" s="122" t="s">
        <v>2931</v>
      </c>
      <c r="D1699" s="122">
        <v>3.25</v>
      </c>
      <c r="E1699" s="122">
        <v>4.0999999999999996</v>
      </c>
      <c r="F1699" s="122">
        <v>0.27</v>
      </c>
      <c r="G1699" s="122">
        <v>21.035990000000002</v>
      </c>
    </row>
    <row r="1700" spans="2:7" x14ac:dyDescent="0.2">
      <c r="B1700" s="129" t="s">
        <v>2932</v>
      </c>
      <c r="C1700" s="122" t="s">
        <v>2933</v>
      </c>
      <c r="D1700" s="122">
        <v>1.62</v>
      </c>
      <c r="E1700" s="122">
        <v>2.48</v>
      </c>
      <c r="F1700" s="122">
        <v>0.3</v>
      </c>
      <c r="G1700" s="122">
        <v>22.914999999999999</v>
      </c>
    </row>
    <row r="1701" spans="2:7" x14ac:dyDescent="0.2">
      <c r="B1701" s="129" t="s">
        <v>2934</v>
      </c>
      <c r="C1701" s="122" t="s">
        <v>2935</v>
      </c>
      <c r="D1701" s="122">
        <v>5.73</v>
      </c>
      <c r="E1701" s="122">
        <v>4.53</v>
      </c>
      <c r="F1701" s="122">
        <v>0.15</v>
      </c>
      <c r="G1701" s="122">
        <v>12.83399</v>
      </c>
    </row>
    <row r="1702" spans="2:7" x14ac:dyDescent="0.2">
      <c r="B1702" s="129" t="s">
        <v>2936</v>
      </c>
      <c r="C1702" s="122" t="s">
        <v>2937</v>
      </c>
      <c r="D1702" s="122">
        <v>2.42</v>
      </c>
      <c r="E1702" s="122">
        <v>1.98</v>
      </c>
      <c r="F1702" s="122">
        <v>0.15</v>
      </c>
      <c r="G1702" s="122">
        <v>13.273999999999999</v>
      </c>
    </row>
    <row r="1703" spans="2:7" x14ac:dyDescent="0.2">
      <c r="B1703" s="129" t="s">
        <v>2938</v>
      </c>
      <c r="C1703" s="122" t="s">
        <v>2939</v>
      </c>
      <c r="D1703" s="122">
        <v>0.76</v>
      </c>
      <c r="E1703" s="122">
        <v>0.83</v>
      </c>
      <c r="F1703" s="122">
        <v>0.17</v>
      </c>
      <c r="G1703" s="122">
        <v>14.899990000000001</v>
      </c>
    </row>
    <row r="1704" spans="2:7" x14ac:dyDescent="0.2">
      <c r="B1704" s="129" t="s">
        <v>4553</v>
      </c>
      <c r="C1704" s="122" t="s">
        <v>4554</v>
      </c>
      <c r="D1704" s="122"/>
      <c r="E1704" s="122"/>
      <c r="F1704" s="122"/>
      <c r="G1704" s="122"/>
    </row>
    <row r="1705" spans="2:7" x14ac:dyDescent="0.2">
      <c r="B1705" s="129" t="s">
        <v>2940</v>
      </c>
      <c r="C1705" s="122" t="s">
        <v>2941</v>
      </c>
      <c r="D1705" s="122">
        <v>1.1499999999999999</v>
      </c>
      <c r="E1705" s="122">
        <v>2</v>
      </c>
      <c r="F1705" s="122">
        <v>0.4</v>
      </c>
      <c r="G1705" s="122">
        <v>28.562989999999999</v>
      </c>
    </row>
    <row r="1706" spans="2:7" x14ac:dyDescent="0.2">
      <c r="B1706" s="129" t="s">
        <v>2942</v>
      </c>
      <c r="C1706" s="122" t="s">
        <v>2943</v>
      </c>
      <c r="D1706" s="122">
        <v>0.56999999999999995</v>
      </c>
      <c r="E1706" s="122">
        <v>0.9</v>
      </c>
      <c r="F1706" s="122">
        <v>0.31</v>
      </c>
      <c r="G1706" s="122">
        <v>23.895990000000001</v>
      </c>
    </row>
    <row r="1707" spans="2:7" x14ac:dyDescent="0.2">
      <c r="B1707" s="129" t="s">
        <v>2944</v>
      </c>
      <c r="C1707" s="122" t="s">
        <v>2945</v>
      </c>
      <c r="D1707" s="122">
        <v>0.68</v>
      </c>
      <c r="E1707" s="122">
        <v>0.99</v>
      </c>
      <c r="F1707" s="122">
        <v>0.03</v>
      </c>
      <c r="G1707" s="122">
        <v>3.08209</v>
      </c>
    </row>
    <row r="1708" spans="2:7" x14ac:dyDescent="0.2">
      <c r="B1708" s="129" t="s">
        <v>2946</v>
      </c>
      <c r="C1708" s="122" t="s">
        <v>2947</v>
      </c>
      <c r="D1708" s="122"/>
      <c r="E1708" s="122"/>
      <c r="F1708" s="122"/>
      <c r="G1708" s="122"/>
    </row>
    <row r="1709" spans="2:7" x14ac:dyDescent="0.2">
      <c r="B1709" s="129" t="s">
        <v>2948</v>
      </c>
      <c r="C1709" s="122" t="s">
        <v>2949</v>
      </c>
      <c r="D1709" s="122">
        <v>0.97</v>
      </c>
      <c r="E1709" s="122">
        <v>0.94</v>
      </c>
      <c r="F1709" s="122">
        <v>0.51</v>
      </c>
      <c r="G1709" s="122">
        <v>32.664000000000001</v>
      </c>
    </row>
    <row r="1710" spans="2:7" x14ac:dyDescent="0.2">
      <c r="B1710" s="129" t="s">
        <v>2950</v>
      </c>
      <c r="C1710" s="122" t="s">
        <v>2951</v>
      </c>
      <c r="D1710" s="122">
        <v>0.94</v>
      </c>
      <c r="E1710" s="122">
        <v>1.57</v>
      </c>
      <c r="F1710" s="122"/>
      <c r="G1710" s="122">
        <v>44.119990000000001</v>
      </c>
    </row>
    <row r="1711" spans="2:7" x14ac:dyDescent="0.2">
      <c r="B1711" s="129" t="s">
        <v>2952</v>
      </c>
      <c r="C1711" s="122" t="s">
        <v>2953</v>
      </c>
      <c r="D1711" s="122">
        <v>0.98</v>
      </c>
      <c r="E1711" s="122">
        <v>1.32</v>
      </c>
      <c r="F1711" s="122">
        <v>0.39</v>
      </c>
      <c r="G1711" s="122">
        <v>28.059989999999999</v>
      </c>
    </row>
    <row r="1712" spans="2:7" x14ac:dyDescent="0.2">
      <c r="B1712" s="129" t="s">
        <v>4555</v>
      </c>
      <c r="C1712" s="122" t="s">
        <v>4556</v>
      </c>
      <c r="D1712" s="122"/>
      <c r="E1712" s="122"/>
      <c r="F1712" s="122"/>
      <c r="G1712" s="122"/>
    </row>
    <row r="1713" spans="2:7" x14ac:dyDescent="0.2">
      <c r="B1713" s="129" t="s">
        <v>2954</v>
      </c>
      <c r="C1713" s="122" t="s">
        <v>2955</v>
      </c>
      <c r="D1713" s="122">
        <v>0.54</v>
      </c>
      <c r="E1713" s="122">
        <v>0.76</v>
      </c>
      <c r="F1713" s="122">
        <v>1.33</v>
      </c>
      <c r="G1713" s="122">
        <v>56.840989999999998</v>
      </c>
    </row>
    <row r="1714" spans="2:7" x14ac:dyDescent="0.2">
      <c r="B1714" s="129" t="s">
        <v>4557</v>
      </c>
      <c r="C1714" s="122" t="s">
        <v>4558</v>
      </c>
      <c r="D1714" s="122"/>
      <c r="E1714" s="122"/>
      <c r="F1714" s="122"/>
      <c r="G1714" s="122"/>
    </row>
    <row r="1715" spans="2:7" x14ac:dyDescent="0.2">
      <c r="B1715" s="129" t="s">
        <v>2956</v>
      </c>
      <c r="C1715" s="122" t="s">
        <v>2957</v>
      </c>
      <c r="D1715" s="122"/>
      <c r="E1715" s="122"/>
      <c r="F1715" s="122"/>
      <c r="G1715" s="122"/>
    </row>
    <row r="1716" spans="2:7" x14ac:dyDescent="0.2">
      <c r="B1716" s="129" t="s">
        <v>2958</v>
      </c>
      <c r="C1716" s="122" t="s">
        <v>2959</v>
      </c>
      <c r="D1716" s="122"/>
      <c r="E1716" s="122"/>
      <c r="F1716" s="122"/>
      <c r="G1716" s="122"/>
    </row>
    <row r="1717" spans="2:7" x14ac:dyDescent="0.2">
      <c r="B1717" s="129" t="s">
        <v>2960</v>
      </c>
      <c r="C1717" s="122" t="s">
        <v>2961</v>
      </c>
      <c r="D1717" s="122">
        <v>0.95</v>
      </c>
      <c r="E1717" s="122">
        <v>1.24</v>
      </c>
      <c r="F1717" s="122">
        <v>0.64</v>
      </c>
      <c r="G1717" s="122">
        <v>39.058990000000001</v>
      </c>
    </row>
    <row r="1718" spans="2:7" x14ac:dyDescent="0.2">
      <c r="B1718" s="129" t="s">
        <v>2962</v>
      </c>
      <c r="C1718" s="122" t="s">
        <v>2963</v>
      </c>
      <c r="D1718" s="122">
        <v>1</v>
      </c>
      <c r="E1718" s="122">
        <v>1.27</v>
      </c>
      <c r="F1718" s="122"/>
      <c r="G1718" s="122">
        <v>13.555</v>
      </c>
    </row>
    <row r="1719" spans="2:7" x14ac:dyDescent="0.2">
      <c r="B1719" s="129" t="s">
        <v>2964</v>
      </c>
      <c r="C1719" s="122" t="s">
        <v>2965</v>
      </c>
      <c r="D1719" s="122"/>
      <c r="E1719" s="122"/>
      <c r="F1719" s="122"/>
      <c r="G1719" s="122"/>
    </row>
    <row r="1720" spans="2:7" x14ac:dyDescent="0.2">
      <c r="B1720" s="129" t="s">
        <v>2966</v>
      </c>
      <c r="C1720" s="122" t="s">
        <v>2967</v>
      </c>
      <c r="D1720" s="122">
        <v>0.97</v>
      </c>
      <c r="E1720" s="122">
        <v>0.99</v>
      </c>
      <c r="F1720" s="122">
        <v>7.02</v>
      </c>
      <c r="G1720" s="122">
        <v>87.504990000000006</v>
      </c>
    </row>
    <row r="1721" spans="2:7" x14ac:dyDescent="0.2">
      <c r="B1721" s="129" t="s">
        <v>2968</v>
      </c>
      <c r="C1721" s="122" t="s">
        <v>2969</v>
      </c>
      <c r="D1721" s="122">
        <v>1.37</v>
      </c>
      <c r="E1721" s="122">
        <v>1.37</v>
      </c>
      <c r="F1721" s="122">
        <v>7.52</v>
      </c>
      <c r="G1721" s="122">
        <v>91.549000000000007</v>
      </c>
    </row>
    <row r="1722" spans="2:7" x14ac:dyDescent="0.2">
      <c r="B1722" s="129" t="s">
        <v>4559</v>
      </c>
      <c r="C1722" s="122" t="s">
        <v>4560</v>
      </c>
      <c r="D1722" s="122">
        <v>0.86</v>
      </c>
      <c r="E1722" s="122">
        <v>0.97</v>
      </c>
      <c r="F1722" s="122">
        <v>0.97</v>
      </c>
      <c r="G1722" s="122">
        <v>49.237990000000003</v>
      </c>
    </row>
    <row r="1723" spans="2:7" x14ac:dyDescent="0.2">
      <c r="B1723" s="129" t="s">
        <v>2970</v>
      </c>
      <c r="C1723" s="122" t="s">
        <v>2971</v>
      </c>
      <c r="D1723" s="122">
        <v>3.23</v>
      </c>
      <c r="E1723" s="122">
        <v>3.06</v>
      </c>
      <c r="F1723" s="122">
        <v>1.3</v>
      </c>
      <c r="G1723" s="122">
        <v>56.535989999999998</v>
      </c>
    </row>
    <row r="1724" spans="2:7" x14ac:dyDescent="0.2">
      <c r="B1724" s="129" t="s">
        <v>2972</v>
      </c>
      <c r="C1724" s="122" t="s">
        <v>2973</v>
      </c>
      <c r="D1724" s="122">
        <v>1.05</v>
      </c>
      <c r="E1724" s="122">
        <v>0.76</v>
      </c>
      <c r="F1724" s="122">
        <v>0.27</v>
      </c>
      <c r="G1724" s="122">
        <v>20.998999999999999</v>
      </c>
    </row>
    <row r="1725" spans="2:7" x14ac:dyDescent="0.2">
      <c r="B1725" s="129" t="s">
        <v>2974</v>
      </c>
      <c r="C1725" s="122" t="s">
        <v>2975</v>
      </c>
      <c r="D1725" s="122">
        <v>1.1599999999999999</v>
      </c>
      <c r="E1725" s="122">
        <v>1.96</v>
      </c>
      <c r="F1725" s="122">
        <v>1.47</v>
      </c>
      <c r="G1725" s="122">
        <v>59.503999999999998</v>
      </c>
    </row>
    <row r="1726" spans="2:7" x14ac:dyDescent="0.2">
      <c r="B1726" s="129" t="s">
        <v>2976</v>
      </c>
      <c r="C1726" s="122" t="s">
        <v>2977</v>
      </c>
      <c r="D1726" s="122"/>
      <c r="E1726" s="122"/>
      <c r="F1726" s="122"/>
      <c r="G1726" s="122"/>
    </row>
    <row r="1727" spans="2:7" x14ac:dyDescent="0.2">
      <c r="B1727" s="129" t="s">
        <v>4561</v>
      </c>
      <c r="C1727" s="122" t="s">
        <v>4562</v>
      </c>
      <c r="D1727" s="122"/>
      <c r="E1727" s="122"/>
      <c r="F1727" s="122"/>
      <c r="G1727" s="122"/>
    </row>
    <row r="1728" spans="2:7" x14ac:dyDescent="0.2">
      <c r="B1728" s="129" t="s">
        <v>2978</v>
      </c>
      <c r="C1728" s="122" t="s">
        <v>2979</v>
      </c>
      <c r="D1728" s="122">
        <v>2.0699999999999998</v>
      </c>
      <c r="E1728" s="122">
        <v>1.49</v>
      </c>
      <c r="F1728" s="122">
        <v>0.87</v>
      </c>
      <c r="G1728" s="122">
        <v>46.421999999999997</v>
      </c>
    </row>
    <row r="1729" spans="2:7" x14ac:dyDescent="0.2">
      <c r="B1729" s="129" t="s">
        <v>2980</v>
      </c>
      <c r="C1729" s="122" t="s">
        <v>2981</v>
      </c>
      <c r="D1729" s="122">
        <v>2.67</v>
      </c>
      <c r="E1729" s="122">
        <v>2.8</v>
      </c>
      <c r="F1729" s="122">
        <v>0.63</v>
      </c>
      <c r="G1729" s="122">
        <v>38.463000000000001</v>
      </c>
    </row>
    <row r="1730" spans="2:7" x14ac:dyDescent="0.2">
      <c r="B1730" s="129" t="s">
        <v>2982</v>
      </c>
      <c r="C1730" s="122" t="s">
        <v>2983</v>
      </c>
      <c r="D1730" s="122">
        <v>3.42</v>
      </c>
      <c r="E1730" s="122">
        <v>3.8</v>
      </c>
      <c r="F1730" s="122">
        <v>0</v>
      </c>
      <c r="G1730" s="122">
        <v>0</v>
      </c>
    </row>
    <row r="1731" spans="2:7" x14ac:dyDescent="0.2">
      <c r="B1731" s="129" t="s">
        <v>2984</v>
      </c>
      <c r="C1731" s="122" t="s">
        <v>2985</v>
      </c>
      <c r="D1731" s="122">
        <v>0.34</v>
      </c>
      <c r="E1731" s="122">
        <v>0.53</v>
      </c>
      <c r="F1731" s="122">
        <v>0.86</v>
      </c>
      <c r="G1731" s="122">
        <v>43.874000000000002</v>
      </c>
    </row>
    <row r="1732" spans="2:7" x14ac:dyDescent="0.2">
      <c r="B1732" s="129" t="s">
        <v>2986</v>
      </c>
      <c r="C1732" s="122" t="s">
        <v>2987</v>
      </c>
      <c r="D1732" s="122">
        <v>0.51</v>
      </c>
      <c r="E1732" s="122">
        <v>0.36</v>
      </c>
      <c r="F1732" s="122">
        <v>0.77</v>
      </c>
      <c r="G1732" s="122">
        <v>42.054000000000002</v>
      </c>
    </row>
    <row r="1733" spans="2:7" x14ac:dyDescent="0.2">
      <c r="B1733" s="129" t="s">
        <v>2988</v>
      </c>
      <c r="C1733" s="122" t="s">
        <v>2989</v>
      </c>
      <c r="D1733" s="122">
        <v>1.02</v>
      </c>
      <c r="E1733" s="122">
        <v>1.04</v>
      </c>
      <c r="F1733" s="122">
        <v>1.18</v>
      </c>
      <c r="G1733" s="122">
        <v>54.054000000000002</v>
      </c>
    </row>
    <row r="1734" spans="2:7" x14ac:dyDescent="0.2">
      <c r="B1734" s="129" t="s">
        <v>2990</v>
      </c>
      <c r="C1734" s="122" t="s">
        <v>2991</v>
      </c>
      <c r="D1734" s="122">
        <v>0.45</v>
      </c>
      <c r="E1734" s="122">
        <v>0.34</v>
      </c>
      <c r="F1734" s="122">
        <v>1.24</v>
      </c>
      <c r="G1734" s="122">
        <v>52.171999999999997</v>
      </c>
    </row>
    <row r="1735" spans="2:7" x14ac:dyDescent="0.2">
      <c r="B1735" s="129" t="s">
        <v>2992</v>
      </c>
      <c r="C1735" s="122" t="s">
        <v>2993</v>
      </c>
      <c r="D1735" s="122">
        <v>7.49</v>
      </c>
      <c r="E1735" s="122">
        <v>8.81</v>
      </c>
      <c r="F1735" s="122">
        <v>0.44</v>
      </c>
      <c r="G1735" s="122">
        <v>30.451000000000001</v>
      </c>
    </row>
    <row r="1736" spans="2:7" x14ac:dyDescent="0.2">
      <c r="B1736" s="129" t="s">
        <v>2994</v>
      </c>
      <c r="C1736" s="122" t="s">
        <v>2995</v>
      </c>
      <c r="D1736" s="122">
        <v>2.13</v>
      </c>
      <c r="E1736" s="122">
        <v>3.9</v>
      </c>
      <c r="F1736" s="122">
        <v>0.03</v>
      </c>
      <c r="G1736" s="122">
        <v>3.1412900000000001</v>
      </c>
    </row>
    <row r="1737" spans="2:7" x14ac:dyDescent="0.2">
      <c r="B1737" s="129" t="s">
        <v>2996</v>
      </c>
      <c r="C1737" s="122" t="s">
        <v>2997</v>
      </c>
      <c r="D1737" s="122">
        <v>1.07</v>
      </c>
      <c r="E1737" s="122">
        <v>1.37</v>
      </c>
      <c r="F1737" s="122"/>
      <c r="G1737" s="122">
        <v>13.177</v>
      </c>
    </row>
    <row r="1738" spans="2:7" x14ac:dyDescent="0.2">
      <c r="B1738" s="129" t="s">
        <v>2998</v>
      </c>
      <c r="C1738" s="122" t="s">
        <v>2999</v>
      </c>
      <c r="D1738" s="122">
        <v>1</v>
      </c>
      <c r="E1738" s="122">
        <v>1.03</v>
      </c>
      <c r="F1738" s="122"/>
      <c r="G1738" s="122">
        <v>59.603999999999999</v>
      </c>
    </row>
    <row r="1739" spans="2:7" x14ac:dyDescent="0.2">
      <c r="B1739" s="129" t="s">
        <v>3000</v>
      </c>
      <c r="C1739" s="122" t="s">
        <v>3001</v>
      </c>
      <c r="D1739" s="122"/>
      <c r="E1739" s="122">
        <v>1.57</v>
      </c>
      <c r="F1739" s="122"/>
      <c r="G1739" s="122">
        <v>33.353999999999999</v>
      </c>
    </row>
    <row r="1740" spans="2:7" x14ac:dyDescent="0.2">
      <c r="B1740" s="129" t="s">
        <v>4563</v>
      </c>
      <c r="C1740" s="122" t="s">
        <v>4564</v>
      </c>
      <c r="D1740" s="122">
        <v>2.1800000000000002</v>
      </c>
      <c r="E1740" s="122">
        <v>2.74</v>
      </c>
      <c r="F1740" s="122"/>
      <c r="G1740" s="122">
        <v>0.15625</v>
      </c>
    </row>
    <row r="1741" spans="2:7" x14ac:dyDescent="0.2">
      <c r="B1741" s="129" t="s">
        <v>3002</v>
      </c>
      <c r="C1741" s="122" t="s">
        <v>3003</v>
      </c>
      <c r="D1741" s="122">
        <v>1.07</v>
      </c>
      <c r="E1741" s="122">
        <v>1.0900000000000001</v>
      </c>
      <c r="F1741" s="122">
        <v>1.68</v>
      </c>
      <c r="G1741" s="122">
        <v>62.633989999999997</v>
      </c>
    </row>
    <row r="1742" spans="2:7" x14ac:dyDescent="0.2">
      <c r="B1742" s="129" t="s">
        <v>4565</v>
      </c>
      <c r="C1742" s="122" t="s">
        <v>4566</v>
      </c>
      <c r="D1742" s="122"/>
      <c r="E1742" s="122"/>
      <c r="F1742" s="122"/>
      <c r="G1742" s="122"/>
    </row>
    <row r="1743" spans="2:7" x14ac:dyDescent="0.2">
      <c r="B1743" s="129" t="s">
        <v>3004</v>
      </c>
      <c r="C1743" s="122" t="s">
        <v>3005</v>
      </c>
      <c r="D1743" s="122">
        <v>0.25</v>
      </c>
      <c r="E1743" s="122">
        <v>0.25</v>
      </c>
      <c r="F1743" s="122"/>
      <c r="G1743" s="122">
        <v>22.83699</v>
      </c>
    </row>
    <row r="1744" spans="2:7" x14ac:dyDescent="0.2">
      <c r="B1744" s="129" t="s">
        <v>4567</v>
      </c>
      <c r="C1744" s="122" t="s">
        <v>4568</v>
      </c>
      <c r="D1744" s="122">
        <v>1.1499999999999999</v>
      </c>
      <c r="E1744" s="122">
        <v>1.53</v>
      </c>
      <c r="F1744" s="122">
        <v>1.02</v>
      </c>
      <c r="G1744" s="122">
        <v>50.470999999999997</v>
      </c>
    </row>
    <row r="1745" spans="2:7" x14ac:dyDescent="0.2">
      <c r="B1745" s="129" t="s">
        <v>3006</v>
      </c>
      <c r="C1745" s="122" t="s">
        <v>3007</v>
      </c>
      <c r="D1745" s="122">
        <v>2.23</v>
      </c>
      <c r="E1745" s="122">
        <v>3.13</v>
      </c>
      <c r="F1745" s="122">
        <v>1.24</v>
      </c>
      <c r="G1745" s="122">
        <v>55.366</v>
      </c>
    </row>
    <row r="1746" spans="2:7" x14ac:dyDescent="0.2">
      <c r="B1746" s="129" t="s">
        <v>3008</v>
      </c>
      <c r="C1746" s="122" t="s">
        <v>3009</v>
      </c>
      <c r="D1746" s="122">
        <v>1.1000000000000001</v>
      </c>
      <c r="E1746" s="122">
        <v>1.02</v>
      </c>
      <c r="F1746" s="122">
        <v>0.72</v>
      </c>
      <c r="G1746" s="122">
        <v>40.820990000000002</v>
      </c>
    </row>
    <row r="1747" spans="2:7" x14ac:dyDescent="0.2">
      <c r="B1747" s="129" t="s">
        <v>4569</v>
      </c>
      <c r="C1747" s="122" t="s">
        <v>4570</v>
      </c>
      <c r="D1747" s="122"/>
      <c r="E1747" s="122"/>
      <c r="F1747" s="122"/>
      <c r="G1747" s="122"/>
    </row>
    <row r="1748" spans="2:7" x14ac:dyDescent="0.2">
      <c r="B1748" s="129" t="s">
        <v>3010</v>
      </c>
      <c r="C1748" s="122" t="s">
        <v>3011</v>
      </c>
      <c r="D1748" s="122">
        <v>1.82</v>
      </c>
      <c r="E1748" s="122">
        <v>2.41</v>
      </c>
      <c r="F1748" s="122">
        <v>0.4</v>
      </c>
      <c r="G1748" s="122">
        <v>28.79899</v>
      </c>
    </row>
    <row r="1749" spans="2:7" x14ac:dyDescent="0.2">
      <c r="B1749" s="129" t="s">
        <v>3012</v>
      </c>
      <c r="C1749" s="122" t="s">
        <v>3013</v>
      </c>
      <c r="D1749" s="122">
        <v>0.94</v>
      </c>
      <c r="E1749" s="122">
        <v>0.98</v>
      </c>
      <c r="F1749" s="122">
        <v>0.85</v>
      </c>
      <c r="G1749" s="122">
        <v>43.853999999999999</v>
      </c>
    </row>
    <row r="1750" spans="2:7" x14ac:dyDescent="0.2">
      <c r="B1750" s="129" t="s">
        <v>3014</v>
      </c>
      <c r="C1750" s="122" t="s">
        <v>3015</v>
      </c>
      <c r="D1750" s="122">
        <v>0.93</v>
      </c>
      <c r="E1750" s="122">
        <v>0.99</v>
      </c>
      <c r="F1750" s="122">
        <v>0.97</v>
      </c>
      <c r="G1750" s="122">
        <v>48.545999999999999</v>
      </c>
    </row>
    <row r="1751" spans="2:7" x14ac:dyDescent="0.2">
      <c r="B1751" s="129" t="s">
        <v>3016</v>
      </c>
      <c r="C1751" s="122" t="s">
        <v>3017</v>
      </c>
      <c r="D1751" s="122">
        <v>2.13</v>
      </c>
      <c r="E1751" s="122">
        <v>4.3499999999999996</v>
      </c>
      <c r="F1751" s="122">
        <v>0.6</v>
      </c>
      <c r="G1751" s="122">
        <v>38.972000000000001</v>
      </c>
    </row>
    <row r="1752" spans="2:7" x14ac:dyDescent="0.2">
      <c r="B1752" s="129" t="s">
        <v>3018</v>
      </c>
      <c r="C1752" s="122" t="s">
        <v>3019</v>
      </c>
      <c r="D1752" s="122">
        <v>2.02</v>
      </c>
      <c r="E1752" s="122">
        <v>2.77</v>
      </c>
      <c r="F1752" s="122">
        <v>0.31</v>
      </c>
      <c r="G1752" s="122">
        <v>23.576989999999999</v>
      </c>
    </row>
    <row r="1753" spans="2:7" x14ac:dyDescent="0.2">
      <c r="B1753" s="129" t="s">
        <v>3020</v>
      </c>
      <c r="C1753" s="122" t="s">
        <v>3021</v>
      </c>
      <c r="D1753" s="122">
        <v>2.0499999999999998</v>
      </c>
      <c r="E1753" s="122">
        <v>1.9</v>
      </c>
      <c r="F1753" s="122">
        <v>0.05</v>
      </c>
      <c r="G1753" s="122">
        <v>4.7126900000000003</v>
      </c>
    </row>
    <row r="1754" spans="2:7" x14ac:dyDescent="0.2">
      <c r="B1754" s="129" t="s">
        <v>3022</v>
      </c>
      <c r="C1754" s="122" t="s">
        <v>3023</v>
      </c>
      <c r="D1754" s="122">
        <v>0.37</v>
      </c>
      <c r="E1754" s="122">
        <v>0.35</v>
      </c>
      <c r="F1754" s="122">
        <v>0.52</v>
      </c>
      <c r="G1754" s="122">
        <v>34.103999999999999</v>
      </c>
    </row>
    <row r="1755" spans="2:7" x14ac:dyDescent="0.2">
      <c r="B1755" s="129" t="s">
        <v>3024</v>
      </c>
      <c r="C1755" s="122" t="s">
        <v>3025</v>
      </c>
      <c r="D1755" s="122">
        <v>3.36</v>
      </c>
      <c r="E1755" s="122">
        <v>3.19</v>
      </c>
      <c r="F1755" s="122">
        <v>0</v>
      </c>
      <c r="G1755" s="122">
        <v>0</v>
      </c>
    </row>
    <row r="1756" spans="2:7" x14ac:dyDescent="0.2">
      <c r="B1756" s="129" t="s">
        <v>3026</v>
      </c>
      <c r="C1756" s="122" t="s">
        <v>3027</v>
      </c>
      <c r="D1756" s="122">
        <v>0.53</v>
      </c>
      <c r="E1756" s="122">
        <v>0.48</v>
      </c>
      <c r="F1756" s="122">
        <v>0.52</v>
      </c>
      <c r="G1756" s="122">
        <v>30.884</v>
      </c>
    </row>
    <row r="1757" spans="2:7" x14ac:dyDescent="0.2">
      <c r="B1757" s="129" t="s">
        <v>3028</v>
      </c>
      <c r="C1757" s="122" t="s">
        <v>3029</v>
      </c>
      <c r="D1757" s="122">
        <v>2.52</v>
      </c>
      <c r="E1757" s="122">
        <v>2.61</v>
      </c>
      <c r="F1757" s="122">
        <v>2.29</v>
      </c>
      <c r="G1757" s="122">
        <v>69.569000000000003</v>
      </c>
    </row>
    <row r="1758" spans="2:7" x14ac:dyDescent="0.2">
      <c r="B1758" s="129" t="s">
        <v>3030</v>
      </c>
      <c r="C1758" s="122" t="s">
        <v>3031</v>
      </c>
      <c r="D1758" s="122">
        <v>1.52</v>
      </c>
      <c r="E1758" s="122">
        <v>1.95</v>
      </c>
      <c r="F1758" s="122">
        <v>1.97</v>
      </c>
      <c r="G1758" s="122">
        <v>66.297989999999999</v>
      </c>
    </row>
    <row r="1759" spans="2:7" x14ac:dyDescent="0.2">
      <c r="B1759" s="129" t="s">
        <v>3032</v>
      </c>
      <c r="C1759" s="122" t="s">
        <v>3033</v>
      </c>
      <c r="D1759" s="122">
        <v>0.49</v>
      </c>
      <c r="E1759" s="122">
        <v>1.22</v>
      </c>
      <c r="F1759" s="122"/>
      <c r="G1759" s="122">
        <v>48.46799</v>
      </c>
    </row>
    <row r="1760" spans="2:7" x14ac:dyDescent="0.2">
      <c r="B1760" s="129" t="s">
        <v>3032</v>
      </c>
      <c r="C1760" s="122" t="s">
        <v>4571</v>
      </c>
      <c r="D1760" s="122">
        <v>0.49</v>
      </c>
      <c r="E1760" s="122">
        <v>1.22</v>
      </c>
      <c r="F1760" s="122"/>
      <c r="G1760" s="122">
        <v>48.46799</v>
      </c>
    </row>
    <row r="1761" spans="2:7" x14ac:dyDescent="0.2">
      <c r="B1761" s="129" t="s">
        <v>3034</v>
      </c>
      <c r="C1761" s="122" t="s">
        <v>3035</v>
      </c>
      <c r="D1761" s="122">
        <v>0.54</v>
      </c>
      <c r="E1761" s="122">
        <v>0.98</v>
      </c>
      <c r="F1761" s="122">
        <v>0.34</v>
      </c>
      <c r="G1761" s="122">
        <v>25.62199</v>
      </c>
    </row>
    <row r="1762" spans="2:7" x14ac:dyDescent="0.2">
      <c r="B1762" s="129" t="s">
        <v>3036</v>
      </c>
      <c r="C1762" s="122" t="s">
        <v>3037</v>
      </c>
      <c r="D1762" s="122">
        <v>1.47</v>
      </c>
      <c r="E1762" s="122">
        <v>1.21</v>
      </c>
      <c r="F1762" s="122">
        <v>0.09</v>
      </c>
      <c r="G1762" s="122">
        <v>8.6511999999999993</v>
      </c>
    </row>
    <row r="1763" spans="2:7" x14ac:dyDescent="0.2">
      <c r="B1763" s="129" t="s">
        <v>3038</v>
      </c>
      <c r="C1763" s="122" t="s">
        <v>3039</v>
      </c>
      <c r="D1763" s="122"/>
      <c r="E1763" s="122">
        <v>12.66</v>
      </c>
      <c r="F1763" s="122"/>
      <c r="G1763" s="122">
        <v>12.987</v>
      </c>
    </row>
    <row r="1764" spans="2:7" x14ac:dyDescent="0.2">
      <c r="B1764" s="129" t="s">
        <v>3040</v>
      </c>
      <c r="C1764" s="122" t="s">
        <v>3041</v>
      </c>
      <c r="D1764" s="122"/>
      <c r="E1764" s="122"/>
      <c r="F1764" s="122">
        <v>0.85</v>
      </c>
      <c r="G1764" s="122">
        <v>46.13</v>
      </c>
    </row>
    <row r="1765" spans="2:7" x14ac:dyDescent="0.2">
      <c r="B1765" s="129" t="s">
        <v>3042</v>
      </c>
      <c r="C1765" s="122" t="s">
        <v>3043</v>
      </c>
      <c r="D1765" s="122">
        <v>0.61</v>
      </c>
      <c r="E1765" s="122">
        <v>1.24</v>
      </c>
      <c r="F1765" s="122">
        <v>4.51</v>
      </c>
      <c r="G1765" s="122">
        <v>81.858000000000004</v>
      </c>
    </row>
    <row r="1766" spans="2:7" x14ac:dyDescent="0.2">
      <c r="B1766" s="129" t="s">
        <v>3044</v>
      </c>
      <c r="C1766" s="122" t="s">
        <v>3045</v>
      </c>
      <c r="D1766" s="122">
        <v>1.4</v>
      </c>
      <c r="E1766" s="122">
        <v>3.18</v>
      </c>
      <c r="F1766" s="122"/>
      <c r="G1766" s="122">
        <v>27.40699</v>
      </c>
    </row>
    <row r="1767" spans="2:7" x14ac:dyDescent="0.2">
      <c r="B1767" s="129" t="s">
        <v>4572</v>
      </c>
      <c r="C1767" s="122" t="s">
        <v>4573</v>
      </c>
      <c r="D1767" s="122"/>
      <c r="E1767" s="122"/>
      <c r="F1767" s="122"/>
      <c r="G1767" s="122"/>
    </row>
    <row r="1768" spans="2:7" x14ac:dyDescent="0.2">
      <c r="B1768" s="129" t="s">
        <v>4574</v>
      </c>
      <c r="C1768" s="122" t="s">
        <v>4575</v>
      </c>
      <c r="D1768" s="122">
        <v>4.78</v>
      </c>
      <c r="E1768" s="122">
        <v>1.79</v>
      </c>
      <c r="F1768" s="122">
        <v>2.92</v>
      </c>
      <c r="G1768" s="122">
        <v>74.474990000000005</v>
      </c>
    </row>
    <row r="1769" spans="2:7" x14ac:dyDescent="0.2">
      <c r="B1769" s="129" t="s">
        <v>3046</v>
      </c>
      <c r="C1769" s="122" t="s">
        <v>3047</v>
      </c>
      <c r="D1769" s="122">
        <v>0.6</v>
      </c>
      <c r="E1769" s="122">
        <v>1.2</v>
      </c>
      <c r="F1769" s="122">
        <v>0.18</v>
      </c>
      <c r="G1769" s="122">
        <v>14.975989999999999</v>
      </c>
    </row>
    <row r="1770" spans="2:7" x14ac:dyDescent="0.2">
      <c r="B1770" s="129" t="s">
        <v>4576</v>
      </c>
      <c r="C1770" s="122" t="s">
        <v>4577</v>
      </c>
      <c r="D1770" s="122"/>
      <c r="E1770" s="122"/>
      <c r="F1770" s="122"/>
      <c r="G1770" s="122"/>
    </row>
    <row r="1771" spans="2:7" x14ac:dyDescent="0.2">
      <c r="B1771" s="129" t="s">
        <v>4578</v>
      </c>
      <c r="C1771" s="122" t="s">
        <v>4579</v>
      </c>
      <c r="D1771" s="122">
        <v>1.0900000000000001</v>
      </c>
      <c r="E1771" s="122">
        <v>1.1399999999999999</v>
      </c>
      <c r="F1771" s="122"/>
      <c r="G1771" s="122">
        <v>23.01399</v>
      </c>
    </row>
    <row r="1772" spans="2:7" x14ac:dyDescent="0.2">
      <c r="B1772" s="129" t="s">
        <v>3048</v>
      </c>
      <c r="C1772" s="122" t="s">
        <v>3049</v>
      </c>
      <c r="D1772" s="122">
        <v>1.44</v>
      </c>
      <c r="E1772" s="122">
        <v>0.97</v>
      </c>
      <c r="F1772" s="122">
        <v>0.87</v>
      </c>
      <c r="G1772" s="122">
        <v>46.408000000000001</v>
      </c>
    </row>
    <row r="1773" spans="2:7" x14ac:dyDescent="0.2">
      <c r="B1773" s="129" t="s">
        <v>4580</v>
      </c>
      <c r="C1773" s="122" t="s">
        <v>4581</v>
      </c>
      <c r="D1773" s="122">
        <v>1.67</v>
      </c>
      <c r="E1773" s="122">
        <v>1.65</v>
      </c>
      <c r="F1773" s="122">
        <v>7.27</v>
      </c>
      <c r="G1773" s="122">
        <v>87.902000000000001</v>
      </c>
    </row>
    <row r="1774" spans="2:7" x14ac:dyDescent="0.2">
      <c r="B1774" s="129" t="s">
        <v>4582</v>
      </c>
      <c r="C1774" s="122" t="s">
        <v>4583</v>
      </c>
      <c r="D1774" s="122">
        <v>1.64</v>
      </c>
      <c r="E1774" s="122">
        <v>5.74</v>
      </c>
      <c r="F1774" s="122">
        <v>0</v>
      </c>
      <c r="G1774" s="122">
        <v>0.19619</v>
      </c>
    </row>
    <row r="1775" spans="2:7" x14ac:dyDescent="0.2">
      <c r="B1775" s="129" t="s">
        <v>3050</v>
      </c>
      <c r="C1775" s="122" t="s">
        <v>3051</v>
      </c>
      <c r="D1775" s="122">
        <v>1.36</v>
      </c>
      <c r="E1775" s="122">
        <v>0.74</v>
      </c>
      <c r="F1775" s="122">
        <v>0.72</v>
      </c>
      <c r="G1775" s="122">
        <v>41.893000000000001</v>
      </c>
    </row>
    <row r="1776" spans="2:7" x14ac:dyDescent="0.2">
      <c r="B1776" s="129" t="s">
        <v>3052</v>
      </c>
      <c r="C1776" s="122" t="s">
        <v>3053</v>
      </c>
      <c r="D1776" s="122">
        <v>0.55000000000000004</v>
      </c>
      <c r="E1776" s="122">
        <v>0.95</v>
      </c>
      <c r="F1776" s="122">
        <v>0.52</v>
      </c>
      <c r="G1776" s="122">
        <v>32.194000000000003</v>
      </c>
    </row>
    <row r="1777" spans="2:7" x14ac:dyDescent="0.2">
      <c r="B1777" s="129" t="s">
        <v>3054</v>
      </c>
      <c r="C1777" s="122" t="s">
        <v>3055</v>
      </c>
      <c r="D1777" s="122">
        <v>4.55</v>
      </c>
      <c r="E1777" s="122">
        <v>5.56</v>
      </c>
      <c r="F1777" s="122">
        <v>0</v>
      </c>
      <c r="G1777" s="122">
        <v>0</v>
      </c>
    </row>
    <row r="1778" spans="2:7" x14ac:dyDescent="0.2">
      <c r="B1778" s="129" t="s">
        <v>3056</v>
      </c>
      <c r="C1778" s="122" t="s">
        <v>3057</v>
      </c>
      <c r="D1778" s="122">
        <v>0.98</v>
      </c>
      <c r="E1778" s="122">
        <v>1.1200000000000001</v>
      </c>
      <c r="F1778" s="122"/>
      <c r="G1778" s="122">
        <v>15.635</v>
      </c>
    </row>
    <row r="1779" spans="2:7" x14ac:dyDescent="0.2">
      <c r="B1779" s="129" t="s">
        <v>4584</v>
      </c>
      <c r="C1779" s="122" t="s">
        <v>4585</v>
      </c>
      <c r="D1779" s="122"/>
      <c r="E1779" s="122"/>
      <c r="F1779" s="122"/>
      <c r="G1779" s="122"/>
    </row>
    <row r="1780" spans="2:7" x14ac:dyDescent="0.2">
      <c r="B1780" s="129" t="s">
        <v>3058</v>
      </c>
      <c r="C1780" s="122" t="s">
        <v>3059</v>
      </c>
      <c r="D1780" s="122">
        <v>0.89</v>
      </c>
      <c r="E1780" s="122">
        <v>1.04</v>
      </c>
      <c r="F1780" s="122">
        <v>0.98</v>
      </c>
      <c r="G1780" s="122">
        <v>50.377989999999997</v>
      </c>
    </row>
    <row r="1781" spans="2:7" x14ac:dyDescent="0.2">
      <c r="B1781" s="129" t="s">
        <v>3060</v>
      </c>
      <c r="C1781" s="122" t="s">
        <v>3061</v>
      </c>
      <c r="D1781" s="122">
        <v>1.41</v>
      </c>
      <c r="E1781" s="122">
        <v>1.36</v>
      </c>
      <c r="F1781" s="122">
        <v>1.44</v>
      </c>
      <c r="G1781" s="122">
        <v>59.046999999999997</v>
      </c>
    </row>
    <row r="1782" spans="2:7" x14ac:dyDescent="0.2">
      <c r="B1782" s="129" t="s">
        <v>4586</v>
      </c>
      <c r="C1782" s="122" t="s">
        <v>4587</v>
      </c>
      <c r="D1782" s="122"/>
      <c r="E1782" s="122"/>
      <c r="F1782" s="122"/>
      <c r="G1782" s="122"/>
    </row>
    <row r="1783" spans="2:7" x14ac:dyDescent="0.2">
      <c r="B1783" s="129" t="s">
        <v>3062</v>
      </c>
      <c r="C1783" s="122" t="s">
        <v>3063</v>
      </c>
      <c r="D1783" s="122">
        <v>1.41</v>
      </c>
      <c r="E1783" s="122">
        <v>2.0699999999999998</v>
      </c>
      <c r="F1783" s="122">
        <v>0.67</v>
      </c>
      <c r="G1783" s="122">
        <v>40.035989999999998</v>
      </c>
    </row>
    <row r="1784" spans="2:7" x14ac:dyDescent="0.2">
      <c r="B1784" s="129" t="s">
        <v>3064</v>
      </c>
      <c r="C1784" s="122" t="s">
        <v>3065</v>
      </c>
      <c r="D1784" s="122">
        <v>0.85</v>
      </c>
      <c r="E1784" s="122">
        <v>0.71</v>
      </c>
      <c r="F1784" s="122">
        <v>0.79</v>
      </c>
      <c r="G1784" s="122">
        <v>44.012</v>
      </c>
    </row>
    <row r="1785" spans="2:7" x14ac:dyDescent="0.2">
      <c r="B1785" s="129" t="s">
        <v>3066</v>
      </c>
      <c r="C1785" s="122" t="s">
        <v>3067</v>
      </c>
      <c r="D1785" s="122">
        <v>0.99</v>
      </c>
      <c r="E1785" s="122">
        <v>0.89</v>
      </c>
      <c r="F1785" s="122">
        <v>0.99</v>
      </c>
      <c r="G1785" s="122">
        <v>49.715000000000003</v>
      </c>
    </row>
    <row r="1786" spans="2:7" x14ac:dyDescent="0.2">
      <c r="B1786" s="129" t="s">
        <v>3068</v>
      </c>
      <c r="C1786" s="122" t="s">
        <v>3069</v>
      </c>
      <c r="D1786" s="122">
        <v>0.81</v>
      </c>
      <c r="E1786" s="122">
        <v>1.33</v>
      </c>
      <c r="F1786" s="122">
        <v>3.25</v>
      </c>
      <c r="G1786" s="122">
        <v>76.524000000000001</v>
      </c>
    </row>
    <row r="1787" spans="2:7" x14ac:dyDescent="0.2">
      <c r="B1787" s="129" t="s">
        <v>4588</v>
      </c>
      <c r="C1787" s="122" t="s">
        <v>4589</v>
      </c>
      <c r="D1787" s="122">
        <v>0.89</v>
      </c>
      <c r="E1787" s="122">
        <v>0.92</v>
      </c>
      <c r="F1787" s="122">
        <v>1.17</v>
      </c>
      <c r="G1787" s="122">
        <v>54.008989999999997</v>
      </c>
    </row>
    <row r="1788" spans="2:7" x14ac:dyDescent="0.2">
      <c r="B1788" s="129" t="s">
        <v>3070</v>
      </c>
      <c r="C1788" s="122" t="s">
        <v>3071</v>
      </c>
      <c r="D1788" s="122">
        <v>0.95</v>
      </c>
      <c r="E1788" s="122">
        <v>1.22</v>
      </c>
      <c r="F1788" s="122">
        <v>0.13</v>
      </c>
      <c r="G1788" s="122">
        <v>11.42</v>
      </c>
    </row>
    <row r="1789" spans="2:7" x14ac:dyDescent="0.2">
      <c r="B1789" s="129" t="s">
        <v>3072</v>
      </c>
      <c r="C1789" s="122" t="s">
        <v>3073</v>
      </c>
      <c r="D1789" s="122">
        <v>0.8</v>
      </c>
      <c r="E1789" s="122">
        <v>0.71</v>
      </c>
      <c r="F1789" s="122">
        <v>0.81</v>
      </c>
      <c r="G1789" s="122">
        <v>44.84299</v>
      </c>
    </row>
    <row r="1790" spans="2:7" x14ac:dyDescent="0.2">
      <c r="B1790" s="129" t="s">
        <v>3074</v>
      </c>
      <c r="C1790" s="122" t="s">
        <v>3075</v>
      </c>
      <c r="D1790" s="122">
        <v>0.82</v>
      </c>
      <c r="E1790" s="122">
        <v>1.46</v>
      </c>
      <c r="F1790" s="122">
        <v>1.05</v>
      </c>
      <c r="G1790" s="122">
        <v>51.286990000000003</v>
      </c>
    </row>
    <row r="1791" spans="2:7" x14ac:dyDescent="0.2">
      <c r="B1791" s="129" t="s">
        <v>3076</v>
      </c>
      <c r="C1791" s="122" t="s">
        <v>3077</v>
      </c>
      <c r="D1791" s="122">
        <v>1.47</v>
      </c>
      <c r="E1791" s="122">
        <v>1.27</v>
      </c>
      <c r="F1791" s="122"/>
      <c r="G1791" s="122">
        <v>24.100989999999999</v>
      </c>
    </row>
    <row r="1792" spans="2:7" x14ac:dyDescent="0.2">
      <c r="B1792" s="129" t="s">
        <v>3078</v>
      </c>
      <c r="C1792" s="122" t="s">
        <v>3079</v>
      </c>
      <c r="D1792" s="122">
        <v>0.51</v>
      </c>
      <c r="E1792" s="122">
        <v>0.64</v>
      </c>
      <c r="F1792" s="122">
        <v>0.6</v>
      </c>
      <c r="G1792" s="122">
        <v>37.584989999999998</v>
      </c>
    </row>
    <row r="1793" spans="2:7" x14ac:dyDescent="0.2">
      <c r="B1793" s="129" t="s">
        <v>3080</v>
      </c>
      <c r="C1793" s="122" t="s">
        <v>3081</v>
      </c>
      <c r="D1793" s="122">
        <v>6.16</v>
      </c>
      <c r="E1793" s="122">
        <v>8.1</v>
      </c>
      <c r="F1793" s="122">
        <v>0</v>
      </c>
      <c r="G1793" s="122">
        <v>0</v>
      </c>
    </row>
    <row r="1794" spans="2:7" x14ac:dyDescent="0.2">
      <c r="B1794" s="129" t="s">
        <v>3082</v>
      </c>
      <c r="C1794" s="122" t="s">
        <v>3083</v>
      </c>
      <c r="D1794" s="122">
        <v>0.97</v>
      </c>
      <c r="E1794" s="122">
        <v>1.61</v>
      </c>
      <c r="F1794" s="122"/>
      <c r="G1794" s="122">
        <v>20.03199</v>
      </c>
    </row>
    <row r="1795" spans="2:7" x14ac:dyDescent="0.2">
      <c r="B1795" s="129" t="s">
        <v>3084</v>
      </c>
      <c r="C1795" s="122" t="s">
        <v>3085</v>
      </c>
      <c r="D1795" s="122">
        <v>1.07</v>
      </c>
      <c r="E1795" s="122">
        <v>1.06</v>
      </c>
      <c r="F1795" s="122"/>
      <c r="G1795" s="122">
        <v>26.228000000000002</v>
      </c>
    </row>
    <row r="1796" spans="2:7" x14ac:dyDescent="0.2">
      <c r="B1796" s="129" t="s">
        <v>4590</v>
      </c>
      <c r="C1796" s="122" t="s">
        <v>4591</v>
      </c>
      <c r="D1796" s="122"/>
      <c r="E1796" s="122"/>
      <c r="F1796" s="122"/>
      <c r="G1796" s="122"/>
    </row>
    <row r="1797" spans="2:7" x14ac:dyDescent="0.2">
      <c r="B1797" s="129" t="s">
        <v>3086</v>
      </c>
      <c r="C1797" s="122" t="s">
        <v>3087</v>
      </c>
      <c r="D1797" s="122">
        <v>0.91</v>
      </c>
      <c r="E1797" s="122">
        <v>1.01</v>
      </c>
      <c r="F1797" s="122">
        <v>0.13</v>
      </c>
      <c r="G1797" s="122">
        <v>10.925990000000001</v>
      </c>
    </row>
    <row r="1798" spans="2:7" x14ac:dyDescent="0.2">
      <c r="B1798" s="129" t="s">
        <v>3088</v>
      </c>
      <c r="C1798" s="122" t="s">
        <v>3089</v>
      </c>
      <c r="D1798" s="122">
        <v>1.39</v>
      </c>
      <c r="E1798" s="122">
        <v>1.31</v>
      </c>
      <c r="F1798" s="122">
        <v>1.54</v>
      </c>
      <c r="G1798" s="122">
        <v>60.58</v>
      </c>
    </row>
    <row r="1799" spans="2:7" x14ac:dyDescent="0.2">
      <c r="B1799" s="129" t="s">
        <v>3090</v>
      </c>
      <c r="C1799" s="122" t="s">
        <v>3091</v>
      </c>
      <c r="D1799" s="122">
        <v>3.17</v>
      </c>
      <c r="E1799" s="122">
        <v>3.92</v>
      </c>
      <c r="F1799" s="122">
        <v>-12.59</v>
      </c>
      <c r="G1799" s="122"/>
    </row>
    <row r="1800" spans="2:7" x14ac:dyDescent="0.2">
      <c r="B1800" s="129" t="s">
        <v>3092</v>
      </c>
      <c r="C1800" s="122" t="s">
        <v>3093</v>
      </c>
      <c r="D1800" s="122">
        <v>8.5299999999999994</v>
      </c>
      <c r="E1800" s="122">
        <v>7.56</v>
      </c>
      <c r="F1800" s="122">
        <v>0.43</v>
      </c>
      <c r="G1800" s="122">
        <v>29.876999999999999</v>
      </c>
    </row>
    <row r="1801" spans="2:7" x14ac:dyDescent="0.2">
      <c r="B1801" s="129" t="s">
        <v>3094</v>
      </c>
      <c r="C1801" s="122" t="s">
        <v>3095</v>
      </c>
      <c r="D1801" s="122">
        <v>1.04</v>
      </c>
      <c r="E1801" s="122">
        <v>1.63</v>
      </c>
      <c r="F1801" s="122">
        <v>0.31</v>
      </c>
      <c r="G1801" s="122">
        <v>23.933</v>
      </c>
    </row>
    <row r="1802" spans="2:7" x14ac:dyDescent="0.2">
      <c r="B1802" s="129" t="s">
        <v>3096</v>
      </c>
      <c r="C1802" s="122" t="s">
        <v>3097</v>
      </c>
      <c r="D1802" s="122">
        <v>0.88</v>
      </c>
      <c r="E1802" s="122">
        <v>0.88</v>
      </c>
      <c r="F1802" s="122">
        <v>0</v>
      </c>
      <c r="G1802" s="122">
        <v>0</v>
      </c>
    </row>
    <row r="1803" spans="2:7" x14ac:dyDescent="0.2">
      <c r="B1803" s="129" t="s">
        <v>3098</v>
      </c>
      <c r="C1803" s="122" t="s">
        <v>3099</v>
      </c>
      <c r="D1803" s="122">
        <v>0.86</v>
      </c>
      <c r="E1803" s="122">
        <v>1.27</v>
      </c>
      <c r="F1803" s="122">
        <v>0.45</v>
      </c>
      <c r="G1803" s="122">
        <v>30.982990000000001</v>
      </c>
    </row>
    <row r="1804" spans="2:7" x14ac:dyDescent="0.2">
      <c r="B1804" s="129" t="s">
        <v>3100</v>
      </c>
      <c r="C1804" s="122" t="s">
        <v>3101</v>
      </c>
      <c r="D1804" s="122">
        <v>3.15</v>
      </c>
      <c r="E1804" s="122">
        <v>4.05</v>
      </c>
      <c r="F1804" s="122">
        <v>0.42</v>
      </c>
      <c r="G1804" s="122">
        <v>29.709990000000001</v>
      </c>
    </row>
    <row r="1805" spans="2:7" x14ac:dyDescent="0.2">
      <c r="B1805" s="129" t="s">
        <v>3102</v>
      </c>
      <c r="C1805" s="122" t="s">
        <v>3103</v>
      </c>
      <c r="D1805" s="122">
        <v>1.29</v>
      </c>
      <c r="E1805" s="122">
        <v>2.4700000000000002</v>
      </c>
      <c r="F1805" s="122">
        <v>0.2</v>
      </c>
      <c r="G1805" s="122">
        <v>16.410990000000002</v>
      </c>
    </row>
    <row r="1806" spans="2:7" x14ac:dyDescent="0.2">
      <c r="B1806" s="129" t="s">
        <v>3104</v>
      </c>
      <c r="C1806" s="122" t="s">
        <v>3105</v>
      </c>
      <c r="D1806" s="122">
        <v>0.73</v>
      </c>
      <c r="E1806" s="122">
        <v>0.84</v>
      </c>
      <c r="F1806" s="122">
        <v>1.98</v>
      </c>
      <c r="G1806" s="122">
        <v>66.393990000000002</v>
      </c>
    </row>
    <row r="1807" spans="2:7" x14ac:dyDescent="0.2">
      <c r="B1807" s="129" t="s">
        <v>3106</v>
      </c>
      <c r="C1807" s="122" t="s">
        <v>3107</v>
      </c>
      <c r="D1807" s="122">
        <v>0.98</v>
      </c>
      <c r="E1807" s="122">
        <v>1.47</v>
      </c>
      <c r="F1807" s="122">
        <v>0.32</v>
      </c>
      <c r="G1807" s="122">
        <v>24.430990000000001</v>
      </c>
    </row>
    <row r="1808" spans="2:7" x14ac:dyDescent="0.2">
      <c r="B1808" s="129" t="s">
        <v>3108</v>
      </c>
      <c r="C1808" s="122" t="s">
        <v>3109</v>
      </c>
      <c r="D1808" s="122">
        <v>0.63</v>
      </c>
      <c r="E1808" s="122">
        <v>0.82</v>
      </c>
      <c r="F1808" s="122">
        <v>2.21</v>
      </c>
      <c r="G1808" s="122">
        <v>68.819000000000003</v>
      </c>
    </row>
    <row r="1809" spans="2:7" x14ac:dyDescent="0.2">
      <c r="B1809" s="129" t="s">
        <v>3110</v>
      </c>
      <c r="C1809" s="122" t="s">
        <v>3111</v>
      </c>
      <c r="D1809" s="122">
        <v>0.57999999999999996</v>
      </c>
      <c r="E1809" s="122">
        <v>0.7</v>
      </c>
      <c r="F1809" s="122">
        <v>0.27</v>
      </c>
      <c r="G1809" s="122">
        <v>21.469989999999999</v>
      </c>
    </row>
    <row r="1810" spans="2:7" x14ac:dyDescent="0.2">
      <c r="B1810" s="129" t="s">
        <v>3112</v>
      </c>
      <c r="C1810" s="122" t="s">
        <v>3113</v>
      </c>
      <c r="D1810" s="122">
        <v>3.32</v>
      </c>
      <c r="E1810" s="122">
        <v>3.46</v>
      </c>
      <c r="F1810" s="122">
        <v>0.28999999999999998</v>
      </c>
      <c r="G1810" s="122">
        <v>22.67</v>
      </c>
    </row>
    <row r="1811" spans="2:7" x14ac:dyDescent="0.2">
      <c r="B1811" s="129" t="s">
        <v>3114</v>
      </c>
      <c r="C1811" s="122" t="s">
        <v>3115</v>
      </c>
      <c r="D1811" s="122">
        <v>0.73</v>
      </c>
      <c r="E1811" s="122">
        <v>0.65</v>
      </c>
      <c r="F1811" s="122">
        <v>2.08</v>
      </c>
      <c r="G1811" s="122">
        <v>67.672989999999999</v>
      </c>
    </row>
    <row r="1812" spans="2:7" x14ac:dyDescent="0.2">
      <c r="B1812" s="129" t="s">
        <v>3116</v>
      </c>
      <c r="C1812" s="122" t="s">
        <v>3117</v>
      </c>
      <c r="D1812" s="122">
        <v>0.63</v>
      </c>
      <c r="E1812" s="122">
        <v>0.96</v>
      </c>
      <c r="F1812" s="122">
        <v>1.73</v>
      </c>
      <c r="G1812" s="122">
        <v>63.366999999999997</v>
      </c>
    </row>
    <row r="1813" spans="2:7" x14ac:dyDescent="0.2">
      <c r="B1813" s="129" t="s">
        <v>4592</v>
      </c>
      <c r="C1813" s="122" t="s">
        <v>4593</v>
      </c>
      <c r="D1813" s="122"/>
      <c r="E1813" s="122"/>
      <c r="F1813" s="122"/>
      <c r="G1813" s="122"/>
    </row>
    <row r="1814" spans="2:7" x14ac:dyDescent="0.2">
      <c r="B1814" s="129" t="s">
        <v>4594</v>
      </c>
      <c r="C1814" s="122" t="s">
        <v>4595</v>
      </c>
      <c r="D1814" s="122">
        <v>1.55</v>
      </c>
      <c r="E1814" s="122">
        <v>1.52</v>
      </c>
      <c r="F1814" s="122">
        <v>2.2400000000000002</v>
      </c>
      <c r="G1814" s="122">
        <v>69.147999999999996</v>
      </c>
    </row>
    <row r="1815" spans="2:7" x14ac:dyDescent="0.2">
      <c r="B1815" s="129" t="s">
        <v>3118</v>
      </c>
      <c r="C1815" s="122" t="s">
        <v>3119</v>
      </c>
      <c r="D1815" s="122">
        <v>1.39</v>
      </c>
      <c r="E1815" s="122">
        <v>2.52</v>
      </c>
      <c r="F1815" s="122">
        <v>0.82</v>
      </c>
      <c r="G1815" s="122">
        <v>44.972000000000001</v>
      </c>
    </row>
    <row r="1816" spans="2:7" x14ac:dyDescent="0.2">
      <c r="B1816" s="129" t="s">
        <v>3120</v>
      </c>
      <c r="C1816" s="122" t="s">
        <v>3121</v>
      </c>
      <c r="D1816" s="122">
        <v>0.59</v>
      </c>
      <c r="E1816" s="122">
        <v>0.69</v>
      </c>
      <c r="F1816" s="122">
        <v>1.51</v>
      </c>
      <c r="G1816" s="122">
        <v>60.100999999999999</v>
      </c>
    </row>
    <row r="1817" spans="2:7" x14ac:dyDescent="0.2">
      <c r="B1817" s="129" t="s">
        <v>3122</v>
      </c>
      <c r="C1817" s="122" t="s">
        <v>3123</v>
      </c>
      <c r="D1817" s="122">
        <v>1.72</v>
      </c>
      <c r="E1817" s="122">
        <v>1.94</v>
      </c>
      <c r="F1817" s="122">
        <v>2.0499999999999998</v>
      </c>
      <c r="G1817" s="122">
        <v>67.236990000000006</v>
      </c>
    </row>
    <row r="1818" spans="2:7" x14ac:dyDescent="0.2">
      <c r="B1818" s="129" t="s">
        <v>3124</v>
      </c>
      <c r="C1818" s="122" t="s">
        <v>3125</v>
      </c>
      <c r="D1818" s="122">
        <v>0.2</v>
      </c>
      <c r="E1818" s="122">
        <v>0.84</v>
      </c>
      <c r="F1818" s="122">
        <v>1.05</v>
      </c>
      <c r="G1818" s="122">
        <v>51.316000000000003</v>
      </c>
    </row>
    <row r="1819" spans="2:7" x14ac:dyDescent="0.2">
      <c r="B1819" s="129" t="s">
        <v>3126</v>
      </c>
      <c r="C1819" s="122" t="s">
        <v>3127</v>
      </c>
      <c r="D1819" s="122">
        <v>0.51</v>
      </c>
      <c r="E1819" s="122">
        <v>0.4</v>
      </c>
      <c r="F1819" s="122">
        <v>0.22</v>
      </c>
      <c r="G1819" s="122">
        <v>18.17099</v>
      </c>
    </row>
    <row r="1820" spans="2:7" x14ac:dyDescent="0.2">
      <c r="B1820" s="129" t="s">
        <v>4596</v>
      </c>
      <c r="C1820" s="122" t="s">
        <v>4597</v>
      </c>
      <c r="D1820" s="122"/>
      <c r="E1820" s="122"/>
      <c r="F1820" s="122"/>
      <c r="G1820" s="122"/>
    </row>
    <row r="1821" spans="2:7" x14ac:dyDescent="0.2">
      <c r="B1821" s="129" t="s">
        <v>3128</v>
      </c>
      <c r="C1821" s="122" t="s">
        <v>3129</v>
      </c>
      <c r="D1821" s="122">
        <v>0.69</v>
      </c>
      <c r="E1821" s="122">
        <v>1.71</v>
      </c>
      <c r="F1821" s="122">
        <v>1.24</v>
      </c>
      <c r="G1821" s="122">
        <v>55.283999999999999</v>
      </c>
    </row>
    <row r="1822" spans="2:7" x14ac:dyDescent="0.2">
      <c r="B1822" s="129" t="s">
        <v>3134</v>
      </c>
      <c r="C1822" s="122" t="s">
        <v>4598</v>
      </c>
      <c r="D1822" s="122">
        <v>0.65</v>
      </c>
      <c r="E1822" s="122">
        <v>0.74</v>
      </c>
      <c r="F1822" s="122"/>
      <c r="G1822" s="122">
        <v>52.980989999999998</v>
      </c>
    </row>
    <row r="1823" spans="2:7" x14ac:dyDescent="0.2">
      <c r="B1823" s="129" t="s">
        <v>3130</v>
      </c>
      <c r="C1823" s="122" t="s">
        <v>3131</v>
      </c>
      <c r="D1823" s="122">
        <v>1.85</v>
      </c>
      <c r="E1823" s="122">
        <v>4.22</v>
      </c>
      <c r="F1823" s="122">
        <v>0.57999999999999996</v>
      </c>
      <c r="G1823" s="122">
        <v>36.728999999999999</v>
      </c>
    </row>
    <row r="1824" spans="2:7" x14ac:dyDescent="0.2">
      <c r="B1824" s="129" t="s">
        <v>3132</v>
      </c>
      <c r="C1824" s="122" t="s">
        <v>3133</v>
      </c>
      <c r="D1824" s="122">
        <v>0.56000000000000005</v>
      </c>
      <c r="E1824" s="122">
        <v>0.79</v>
      </c>
      <c r="F1824" s="122">
        <v>2.17</v>
      </c>
      <c r="G1824" s="122">
        <v>68.415000000000006</v>
      </c>
    </row>
    <row r="1825" spans="2:7" x14ac:dyDescent="0.2">
      <c r="B1825" s="129" t="s">
        <v>3134</v>
      </c>
      <c r="C1825" s="122" t="s">
        <v>3135</v>
      </c>
      <c r="D1825" s="122">
        <v>0.65</v>
      </c>
      <c r="E1825" s="122">
        <v>0.74</v>
      </c>
      <c r="F1825" s="122"/>
      <c r="G1825" s="122">
        <v>52.980989999999998</v>
      </c>
    </row>
    <row r="1826" spans="2:7" x14ac:dyDescent="0.2">
      <c r="B1826" s="129" t="s">
        <v>4599</v>
      </c>
      <c r="C1826" s="122" t="s">
        <v>4600</v>
      </c>
      <c r="D1826" s="122">
        <v>1.26</v>
      </c>
      <c r="E1826" s="122">
        <v>1.75</v>
      </c>
      <c r="F1826" s="122"/>
      <c r="G1826" s="122">
        <v>36.029989999999998</v>
      </c>
    </row>
    <row r="1827" spans="2:7" x14ac:dyDescent="0.2">
      <c r="B1827" s="129" t="s">
        <v>4601</v>
      </c>
      <c r="C1827" s="122" t="s">
        <v>4602</v>
      </c>
      <c r="D1827" s="122"/>
      <c r="E1827" s="122"/>
      <c r="F1827" s="122"/>
      <c r="G1827" s="122"/>
    </row>
    <row r="1828" spans="2:7" x14ac:dyDescent="0.2">
      <c r="B1828" s="129" t="s">
        <v>3136</v>
      </c>
      <c r="C1828" s="122" t="s">
        <v>3137</v>
      </c>
      <c r="D1828" s="122">
        <v>0.7</v>
      </c>
      <c r="E1828" s="122">
        <v>1.25</v>
      </c>
      <c r="F1828" s="122">
        <v>1.88</v>
      </c>
      <c r="G1828" s="122">
        <v>65.297989999999999</v>
      </c>
    </row>
    <row r="1829" spans="2:7" x14ac:dyDescent="0.2">
      <c r="B1829" s="129" t="s">
        <v>3138</v>
      </c>
      <c r="C1829" s="122" t="s">
        <v>3139</v>
      </c>
      <c r="D1829" s="122">
        <v>0.74</v>
      </c>
      <c r="E1829" s="122">
        <v>0.75</v>
      </c>
      <c r="F1829" s="122">
        <v>1.35</v>
      </c>
      <c r="G1829" s="122">
        <v>57.453989999999997</v>
      </c>
    </row>
    <row r="1830" spans="2:7" x14ac:dyDescent="0.2">
      <c r="B1830" s="129" t="s">
        <v>3140</v>
      </c>
      <c r="C1830" s="122" t="s">
        <v>3141</v>
      </c>
      <c r="D1830" s="122">
        <v>0.88</v>
      </c>
      <c r="E1830" s="122">
        <v>1.1200000000000001</v>
      </c>
      <c r="F1830" s="122"/>
      <c r="G1830" s="122">
        <v>64.134</v>
      </c>
    </row>
    <row r="1831" spans="2:7" x14ac:dyDescent="0.2">
      <c r="B1831" s="129" t="s">
        <v>3142</v>
      </c>
      <c r="C1831" s="122" t="s">
        <v>3143</v>
      </c>
      <c r="D1831" s="122">
        <v>1.55</v>
      </c>
      <c r="E1831" s="122">
        <v>1.73</v>
      </c>
      <c r="F1831" s="122">
        <v>0.84</v>
      </c>
      <c r="G1831" s="122">
        <v>45.65399</v>
      </c>
    </row>
    <row r="1832" spans="2:7" x14ac:dyDescent="0.2">
      <c r="B1832" s="129" t="s">
        <v>3144</v>
      </c>
      <c r="C1832" s="122" t="s">
        <v>3145</v>
      </c>
      <c r="D1832" s="122"/>
      <c r="E1832" s="122"/>
      <c r="F1832" s="122"/>
      <c r="G1832" s="122"/>
    </row>
    <row r="1833" spans="2:7" x14ac:dyDescent="0.2">
      <c r="B1833" s="129" t="s">
        <v>3146</v>
      </c>
      <c r="C1833" s="122" t="s">
        <v>3147</v>
      </c>
      <c r="D1833" s="122">
        <v>1.31</v>
      </c>
      <c r="E1833" s="122">
        <v>2.68</v>
      </c>
      <c r="F1833" s="122">
        <v>0.96</v>
      </c>
      <c r="G1833" s="122">
        <v>49.027990000000003</v>
      </c>
    </row>
    <row r="1834" spans="2:7" x14ac:dyDescent="0.2">
      <c r="B1834" s="129" t="s">
        <v>4603</v>
      </c>
      <c r="C1834" s="122" t="s">
        <v>4604</v>
      </c>
      <c r="D1834" s="122">
        <v>0.91</v>
      </c>
      <c r="E1834" s="122">
        <v>0.93</v>
      </c>
      <c r="F1834" s="122">
        <v>0.42</v>
      </c>
      <c r="G1834" s="122">
        <v>29.628</v>
      </c>
    </row>
    <row r="1835" spans="2:7" x14ac:dyDescent="0.2">
      <c r="B1835" s="129" t="s">
        <v>3148</v>
      </c>
      <c r="C1835" s="122" t="s">
        <v>3149</v>
      </c>
      <c r="D1835" s="122">
        <v>1.17</v>
      </c>
      <c r="E1835" s="122">
        <v>0.92</v>
      </c>
      <c r="F1835" s="122">
        <v>1.0900000000000001</v>
      </c>
      <c r="G1835" s="122">
        <v>52.231990000000003</v>
      </c>
    </row>
    <row r="1836" spans="2:7" x14ac:dyDescent="0.2">
      <c r="B1836" s="129" t="s">
        <v>3150</v>
      </c>
      <c r="C1836" s="122" t="s">
        <v>3151</v>
      </c>
      <c r="D1836" s="122"/>
      <c r="E1836" s="122"/>
      <c r="F1836" s="122"/>
      <c r="G1836" s="122"/>
    </row>
    <row r="1837" spans="2:7" x14ac:dyDescent="0.2">
      <c r="B1837" s="129" t="s">
        <v>4605</v>
      </c>
      <c r="C1837" s="122" t="s">
        <v>4606</v>
      </c>
      <c r="D1837" s="122"/>
      <c r="E1837" s="122"/>
      <c r="F1837" s="122"/>
      <c r="G1837" s="122"/>
    </row>
    <row r="1838" spans="2:7" x14ac:dyDescent="0.2">
      <c r="B1838" s="129" t="s">
        <v>3152</v>
      </c>
      <c r="C1838" s="122" t="s">
        <v>3153</v>
      </c>
      <c r="D1838" s="122">
        <v>1.1299999999999999</v>
      </c>
      <c r="E1838" s="122">
        <v>0.97</v>
      </c>
      <c r="F1838" s="122">
        <v>0.8</v>
      </c>
      <c r="G1838" s="122">
        <v>44.383989999999997</v>
      </c>
    </row>
    <row r="1839" spans="2:7" x14ac:dyDescent="0.2">
      <c r="B1839" s="129" t="s">
        <v>3154</v>
      </c>
      <c r="C1839" s="122" t="s">
        <v>3155</v>
      </c>
      <c r="D1839" s="122">
        <v>0.89</v>
      </c>
      <c r="E1839" s="122">
        <v>1.08</v>
      </c>
      <c r="F1839" s="122">
        <v>0.52</v>
      </c>
      <c r="G1839" s="122">
        <v>34.261000000000003</v>
      </c>
    </row>
    <row r="1840" spans="2:7" x14ac:dyDescent="0.2">
      <c r="B1840" s="129" t="s">
        <v>3156</v>
      </c>
      <c r="C1840" s="122" t="s">
        <v>3157</v>
      </c>
      <c r="D1840" s="122">
        <v>3.33</v>
      </c>
      <c r="E1840" s="122">
        <v>3.31</v>
      </c>
      <c r="F1840" s="122">
        <v>0</v>
      </c>
      <c r="G1840" s="122">
        <v>0.20039000000000001</v>
      </c>
    </row>
    <row r="1841" spans="2:7" x14ac:dyDescent="0.2">
      <c r="B1841" s="129" t="s">
        <v>3158</v>
      </c>
      <c r="C1841" s="122" t="s">
        <v>3159</v>
      </c>
      <c r="D1841" s="122">
        <v>2.13</v>
      </c>
      <c r="E1841" s="122">
        <v>1.91</v>
      </c>
      <c r="F1841" s="122"/>
      <c r="G1841" s="122">
        <v>0</v>
      </c>
    </row>
    <row r="1842" spans="2:7" x14ac:dyDescent="0.2">
      <c r="B1842" s="129" t="s">
        <v>4607</v>
      </c>
      <c r="C1842" s="122" t="s">
        <v>4608</v>
      </c>
      <c r="D1842" s="122"/>
      <c r="E1842" s="122"/>
      <c r="F1842" s="122"/>
      <c r="G1842" s="122"/>
    </row>
    <row r="1843" spans="2:7" x14ac:dyDescent="0.2">
      <c r="B1843" s="129" t="s">
        <v>3160</v>
      </c>
      <c r="C1843" s="122" t="s">
        <v>3161</v>
      </c>
      <c r="D1843" s="122">
        <v>1.24</v>
      </c>
      <c r="E1843" s="122">
        <v>1.49</v>
      </c>
      <c r="F1843" s="122">
        <v>0.57999999999999996</v>
      </c>
      <c r="G1843" s="122">
        <v>36.70899</v>
      </c>
    </row>
    <row r="1844" spans="2:7" x14ac:dyDescent="0.2">
      <c r="B1844" s="129" t="s">
        <v>3162</v>
      </c>
      <c r="C1844" s="122" t="s">
        <v>3163</v>
      </c>
      <c r="D1844" s="122">
        <v>0.7</v>
      </c>
      <c r="E1844" s="122">
        <v>0.62</v>
      </c>
      <c r="F1844" s="122">
        <v>1.43</v>
      </c>
      <c r="G1844" s="122">
        <v>58.898989999999998</v>
      </c>
    </row>
    <row r="1845" spans="2:7" x14ac:dyDescent="0.2">
      <c r="B1845" s="129" t="s">
        <v>4609</v>
      </c>
      <c r="C1845" s="122" t="s">
        <v>4610</v>
      </c>
      <c r="D1845" s="122"/>
      <c r="E1845" s="122"/>
      <c r="F1845" s="122"/>
      <c r="G1845" s="122"/>
    </row>
    <row r="1846" spans="2:7" x14ac:dyDescent="0.2">
      <c r="B1846" s="129" t="s">
        <v>3164</v>
      </c>
      <c r="C1846" s="122" t="s">
        <v>3165</v>
      </c>
      <c r="D1846" s="122">
        <v>2.5299999999999998</v>
      </c>
      <c r="E1846" s="122">
        <v>2.5299999999999998</v>
      </c>
      <c r="F1846" s="122">
        <v>0.11</v>
      </c>
      <c r="G1846" s="122">
        <v>10.255000000000001</v>
      </c>
    </row>
    <row r="1847" spans="2:7" x14ac:dyDescent="0.2">
      <c r="B1847" s="129" t="s">
        <v>3166</v>
      </c>
      <c r="C1847" s="122" t="s">
        <v>3167</v>
      </c>
      <c r="D1847" s="122">
        <v>1.1599999999999999</v>
      </c>
      <c r="E1847" s="122">
        <v>1.19</v>
      </c>
      <c r="F1847" s="122">
        <v>0.87</v>
      </c>
      <c r="G1847" s="122">
        <v>46.39799</v>
      </c>
    </row>
    <row r="1848" spans="2:7" x14ac:dyDescent="0.2">
      <c r="B1848" s="129" t="s">
        <v>3168</v>
      </c>
      <c r="C1848" s="122" t="s">
        <v>3169</v>
      </c>
      <c r="D1848" s="122"/>
      <c r="E1848" s="122"/>
      <c r="F1848" s="122"/>
      <c r="G1848" s="122"/>
    </row>
    <row r="1849" spans="2:7" x14ac:dyDescent="0.2">
      <c r="B1849" s="129" t="s">
        <v>3170</v>
      </c>
      <c r="C1849" s="122" t="s">
        <v>3171</v>
      </c>
      <c r="D1849" s="122">
        <v>1.27</v>
      </c>
      <c r="E1849" s="122">
        <v>7.43</v>
      </c>
      <c r="F1849" s="122">
        <v>0.75</v>
      </c>
      <c r="G1849" s="122">
        <v>42.94699</v>
      </c>
    </row>
    <row r="1850" spans="2:7" x14ac:dyDescent="0.2">
      <c r="B1850" s="129" t="s">
        <v>4611</v>
      </c>
      <c r="C1850" s="122" t="s">
        <v>4612</v>
      </c>
      <c r="D1850" s="122">
        <v>1.37</v>
      </c>
      <c r="E1850" s="122">
        <v>1.62</v>
      </c>
      <c r="F1850" s="122"/>
      <c r="G1850" s="122">
        <v>14.38199</v>
      </c>
    </row>
    <row r="1851" spans="2:7" x14ac:dyDescent="0.2">
      <c r="B1851" s="129" t="s">
        <v>3172</v>
      </c>
      <c r="C1851" s="122" t="s">
        <v>3173</v>
      </c>
      <c r="D1851" s="122">
        <v>1.04</v>
      </c>
      <c r="E1851" s="122">
        <v>1.25</v>
      </c>
      <c r="F1851" s="122">
        <v>0.38</v>
      </c>
      <c r="G1851" s="122">
        <v>27.574999999999999</v>
      </c>
    </row>
    <row r="1852" spans="2:7" x14ac:dyDescent="0.2">
      <c r="B1852" s="129" t="s">
        <v>4613</v>
      </c>
      <c r="C1852" s="122" t="s">
        <v>4614</v>
      </c>
      <c r="D1852" s="122">
        <v>16.03</v>
      </c>
      <c r="E1852" s="122">
        <v>9.76</v>
      </c>
      <c r="F1852" s="122">
        <v>0.01</v>
      </c>
      <c r="G1852" s="122">
        <v>0.90232999999999997</v>
      </c>
    </row>
    <row r="1853" spans="2:7" x14ac:dyDescent="0.2">
      <c r="B1853" s="129" t="s">
        <v>4615</v>
      </c>
      <c r="C1853" s="122" t="s">
        <v>4616</v>
      </c>
      <c r="D1853" s="122">
        <v>1.94</v>
      </c>
      <c r="E1853" s="122">
        <v>2.79</v>
      </c>
      <c r="F1853" s="122">
        <v>0.46</v>
      </c>
      <c r="G1853" s="122">
        <v>31.315989999999999</v>
      </c>
    </row>
    <row r="1854" spans="2:7" x14ac:dyDescent="0.2">
      <c r="B1854" s="129" t="s">
        <v>3174</v>
      </c>
      <c r="C1854" s="122" t="s">
        <v>3175</v>
      </c>
      <c r="D1854" s="122">
        <v>0.87</v>
      </c>
      <c r="E1854" s="122">
        <v>1.21</v>
      </c>
      <c r="F1854" s="122">
        <v>5.79</v>
      </c>
      <c r="G1854" s="122">
        <v>85.279989999999998</v>
      </c>
    </row>
    <row r="1855" spans="2:7" x14ac:dyDescent="0.2">
      <c r="B1855" s="129" t="s">
        <v>3176</v>
      </c>
      <c r="C1855" s="122" t="s">
        <v>3177</v>
      </c>
      <c r="D1855" s="122">
        <v>0.89</v>
      </c>
      <c r="E1855" s="122">
        <v>0.67</v>
      </c>
      <c r="F1855" s="122">
        <v>0.69</v>
      </c>
      <c r="G1855" s="122">
        <v>40.790999999999997</v>
      </c>
    </row>
    <row r="1856" spans="2:7" x14ac:dyDescent="0.2">
      <c r="B1856" s="129" t="s">
        <v>3178</v>
      </c>
      <c r="C1856" s="122" t="s">
        <v>3179</v>
      </c>
      <c r="D1856" s="122">
        <v>2.29</v>
      </c>
      <c r="E1856" s="122">
        <v>3.51</v>
      </c>
      <c r="F1856" s="122">
        <v>0.09</v>
      </c>
      <c r="G1856" s="122">
        <v>8.6459899999999994</v>
      </c>
    </row>
    <row r="1857" spans="2:7" x14ac:dyDescent="0.2">
      <c r="B1857" s="129" t="s">
        <v>3180</v>
      </c>
      <c r="C1857" s="122" t="s">
        <v>3181</v>
      </c>
      <c r="D1857" s="122">
        <v>0.45</v>
      </c>
      <c r="E1857" s="122">
        <v>0.73</v>
      </c>
      <c r="F1857" s="122">
        <v>0.74</v>
      </c>
      <c r="G1857" s="122">
        <v>41.912990000000001</v>
      </c>
    </row>
    <row r="1858" spans="2:7" x14ac:dyDescent="0.2">
      <c r="B1858" s="129" t="s">
        <v>3182</v>
      </c>
      <c r="C1858" s="122" t="s">
        <v>3183</v>
      </c>
      <c r="D1858" s="122">
        <v>1.84</v>
      </c>
      <c r="E1858" s="122">
        <v>1.93</v>
      </c>
      <c r="F1858" s="122">
        <v>0.36</v>
      </c>
      <c r="G1858" s="122">
        <v>26.218</v>
      </c>
    </row>
    <row r="1859" spans="2:7" x14ac:dyDescent="0.2">
      <c r="B1859" s="129" t="s">
        <v>3184</v>
      </c>
      <c r="C1859" s="122" t="s">
        <v>3185</v>
      </c>
      <c r="D1859" s="122">
        <v>2.33</v>
      </c>
      <c r="E1859" s="122">
        <v>1.99</v>
      </c>
      <c r="F1859" s="122">
        <v>0</v>
      </c>
      <c r="G1859" s="122">
        <v>0</v>
      </c>
    </row>
    <row r="1860" spans="2:7" x14ac:dyDescent="0.2">
      <c r="B1860" s="129" t="s">
        <v>3186</v>
      </c>
      <c r="C1860" s="122" t="s">
        <v>3187</v>
      </c>
      <c r="D1860" s="122">
        <v>0.75</v>
      </c>
      <c r="E1860" s="122">
        <v>1.04</v>
      </c>
      <c r="F1860" s="122">
        <v>0.56999999999999995</v>
      </c>
      <c r="G1860" s="122">
        <v>36.481990000000003</v>
      </c>
    </row>
    <row r="1861" spans="2:7" x14ac:dyDescent="0.2">
      <c r="B1861" s="129" t="s">
        <v>3188</v>
      </c>
      <c r="C1861" s="122" t="s">
        <v>3189</v>
      </c>
      <c r="D1861" s="122">
        <v>1.25</v>
      </c>
      <c r="E1861" s="122">
        <v>4.96</v>
      </c>
      <c r="F1861" s="122">
        <v>0.32</v>
      </c>
      <c r="G1861" s="122">
        <v>24.082000000000001</v>
      </c>
    </row>
    <row r="1862" spans="2:7" x14ac:dyDescent="0.2">
      <c r="B1862" s="129" t="s">
        <v>3190</v>
      </c>
      <c r="C1862" s="122" t="s">
        <v>3191</v>
      </c>
      <c r="D1862" s="122">
        <v>4.8600000000000003</v>
      </c>
      <c r="E1862" s="122">
        <v>3.91</v>
      </c>
      <c r="F1862" s="122">
        <v>0.02</v>
      </c>
      <c r="G1862" s="122">
        <v>15.06799</v>
      </c>
    </row>
    <row r="1863" spans="2:7" x14ac:dyDescent="0.2">
      <c r="B1863" s="129" t="s">
        <v>3192</v>
      </c>
      <c r="C1863" s="122" t="s">
        <v>3193</v>
      </c>
      <c r="D1863" s="122">
        <v>0.36</v>
      </c>
      <c r="E1863" s="122">
        <v>0.44</v>
      </c>
      <c r="F1863" s="122">
        <v>1.53</v>
      </c>
      <c r="G1863" s="122">
        <v>57.258989999999997</v>
      </c>
    </row>
    <row r="1864" spans="2:7" x14ac:dyDescent="0.2">
      <c r="B1864" s="129" t="s">
        <v>3194</v>
      </c>
      <c r="C1864" s="122" t="s">
        <v>3195</v>
      </c>
      <c r="D1864" s="122">
        <v>1.53</v>
      </c>
      <c r="E1864" s="122">
        <v>1.51</v>
      </c>
      <c r="F1864" s="122">
        <v>1.82</v>
      </c>
      <c r="G1864" s="122">
        <v>64.502989999999997</v>
      </c>
    </row>
    <row r="1865" spans="2:7" x14ac:dyDescent="0.2">
      <c r="B1865" s="129" t="s">
        <v>4617</v>
      </c>
      <c r="C1865" s="122" t="s">
        <v>4618</v>
      </c>
      <c r="D1865" s="122"/>
      <c r="E1865" s="122"/>
      <c r="F1865" s="122"/>
      <c r="G1865" s="122"/>
    </row>
    <row r="1866" spans="2:7" x14ac:dyDescent="0.2">
      <c r="B1866" s="129" t="s">
        <v>3196</v>
      </c>
      <c r="C1866" s="122" t="s">
        <v>3197</v>
      </c>
      <c r="D1866" s="122">
        <v>0.38</v>
      </c>
      <c r="E1866" s="122">
        <v>0.38</v>
      </c>
      <c r="F1866" s="122">
        <v>0.26</v>
      </c>
      <c r="G1866" s="122">
        <v>20.571999999999999</v>
      </c>
    </row>
    <row r="1867" spans="2:7" x14ac:dyDescent="0.2">
      <c r="B1867" s="129" t="s">
        <v>3198</v>
      </c>
      <c r="C1867" s="122" t="s">
        <v>3199</v>
      </c>
      <c r="D1867" s="122"/>
      <c r="E1867" s="122"/>
      <c r="F1867" s="122"/>
      <c r="G1867" s="122"/>
    </row>
    <row r="1868" spans="2:7" x14ac:dyDescent="0.2">
      <c r="B1868" s="129" t="s">
        <v>3200</v>
      </c>
      <c r="C1868" s="122" t="s">
        <v>3201</v>
      </c>
      <c r="D1868" s="122">
        <v>1.71</v>
      </c>
      <c r="E1868" s="122">
        <v>2.94</v>
      </c>
      <c r="F1868" s="122">
        <v>0.02</v>
      </c>
      <c r="G1868" s="122">
        <v>1.9562999999999999</v>
      </c>
    </row>
    <row r="1869" spans="2:7" x14ac:dyDescent="0.2">
      <c r="B1869" s="129" t="s">
        <v>3202</v>
      </c>
      <c r="C1869" s="122" t="s">
        <v>3203</v>
      </c>
      <c r="D1869" s="122">
        <v>0.49</v>
      </c>
      <c r="E1869" s="122">
        <v>0.61</v>
      </c>
      <c r="F1869" s="122"/>
      <c r="G1869" s="122">
        <v>27.663989999999998</v>
      </c>
    </row>
    <row r="1870" spans="2:7" x14ac:dyDescent="0.2">
      <c r="B1870" s="129" t="s">
        <v>3204</v>
      </c>
      <c r="C1870" s="122" t="s">
        <v>3205</v>
      </c>
      <c r="D1870" s="122">
        <v>0.22</v>
      </c>
      <c r="E1870" s="122">
        <v>1.52</v>
      </c>
      <c r="F1870" s="122">
        <v>1.57</v>
      </c>
      <c r="G1870" s="122">
        <v>61.055</v>
      </c>
    </row>
    <row r="1871" spans="2:7" x14ac:dyDescent="0.2">
      <c r="B1871" s="129" t="s">
        <v>3206</v>
      </c>
      <c r="C1871" s="122" t="s">
        <v>3207</v>
      </c>
      <c r="D1871" s="122">
        <v>1.03</v>
      </c>
      <c r="E1871" s="122">
        <v>0.96</v>
      </c>
      <c r="F1871" s="122">
        <v>1.17</v>
      </c>
      <c r="G1871" s="122">
        <v>53.84299</v>
      </c>
    </row>
    <row r="1872" spans="2:7" x14ac:dyDescent="0.2">
      <c r="B1872" s="129" t="s">
        <v>4619</v>
      </c>
      <c r="C1872" s="122" t="s">
        <v>4620</v>
      </c>
      <c r="D1872" s="122"/>
      <c r="E1872" s="122"/>
      <c r="F1872" s="122"/>
      <c r="G1872" s="122"/>
    </row>
    <row r="1873" spans="2:7" x14ac:dyDescent="0.2">
      <c r="B1873" s="129" t="s">
        <v>3208</v>
      </c>
      <c r="C1873" s="122" t="s">
        <v>3209</v>
      </c>
      <c r="D1873" s="122">
        <v>0.52</v>
      </c>
      <c r="E1873" s="122">
        <v>1.06</v>
      </c>
      <c r="F1873" s="122">
        <v>1.71</v>
      </c>
      <c r="G1873" s="122">
        <v>64.263000000000005</v>
      </c>
    </row>
    <row r="1874" spans="2:7" x14ac:dyDescent="0.2">
      <c r="B1874" s="129" t="s">
        <v>3210</v>
      </c>
      <c r="C1874" s="122" t="s">
        <v>3211</v>
      </c>
      <c r="D1874" s="122">
        <v>2.38</v>
      </c>
      <c r="E1874" s="122">
        <v>1.62</v>
      </c>
      <c r="F1874" s="122">
        <v>0.03</v>
      </c>
      <c r="G1874" s="122">
        <v>3.1589900000000002</v>
      </c>
    </row>
    <row r="1875" spans="2:7" x14ac:dyDescent="0.2">
      <c r="B1875" s="129" t="s">
        <v>3212</v>
      </c>
      <c r="C1875" s="122" t="s">
        <v>3213</v>
      </c>
      <c r="D1875" s="122">
        <v>0.43</v>
      </c>
      <c r="E1875" s="122">
        <v>1.33</v>
      </c>
      <c r="F1875" s="122">
        <v>0.74</v>
      </c>
      <c r="G1875" s="122">
        <v>42.520989999999998</v>
      </c>
    </row>
    <row r="1876" spans="2:7" x14ac:dyDescent="0.2">
      <c r="B1876" s="129" t="s">
        <v>3214</v>
      </c>
      <c r="C1876" s="122" t="s">
        <v>3215</v>
      </c>
      <c r="D1876" s="122">
        <v>0.82</v>
      </c>
      <c r="E1876" s="122">
        <v>1.06</v>
      </c>
      <c r="F1876" s="122">
        <v>0.38</v>
      </c>
      <c r="G1876" s="122">
        <v>27.332999999999998</v>
      </c>
    </row>
    <row r="1877" spans="2:7" x14ac:dyDescent="0.2">
      <c r="B1877" s="129" t="s">
        <v>4621</v>
      </c>
      <c r="C1877" s="122" t="s">
        <v>4622</v>
      </c>
      <c r="D1877" s="122"/>
      <c r="E1877" s="122"/>
      <c r="F1877" s="122"/>
      <c r="G1877" s="122"/>
    </row>
    <row r="1878" spans="2:7" x14ac:dyDescent="0.2">
      <c r="B1878" s="129" t="s">
        <v>3216</v>
      </c>
      <c r="C1878" s="122" t="s">
        <v>3217</v>
      </c>
      <c r="D1878" s="122">
        <v>1.01</v>
      </c>
      <c r="E1878" s="122">
        <v>1.49</v>
      </c>
      <c r="F1878" s="122">
        <v>0.74</v>
      </c>
      <c r="G1878" s="122">
        <v>42.387</v>
      </c>
    </row>
    <row r="1879" spans="2:7" x14ac:dyDescent="0.2">
      <c r="B1879" s="129" t="s">
        <v>3218</v>
      </c>
      <c r="C1879" s="122" t="s">
        <v>3219</v>
      </c>
      <c r="D1879" s="122">
        <v>1.48</v>
      </c>
      <c r="E1879" s="122">
        <v>1.62</v>
      </c>
      <c r="F1879" s="122">
        <v>0.15</v>
      </c>
      <c r="G1879" s="122">
        <v>12.713990000000001</v>
      </c>
    </row>
    <row r="1880" spans="2:7" x14ac:dyDescent="0.2">
      <c r="B1880" s="129" t="s">
        <v>3220</v>
      </c>
      <c r="C1880" s="122" t="s">
        <v>3221</v>
      </c>
      <c r="D1880" s="122"/>
      <c r="E1880" s="122"/>
      <c r="F1880" s="122"/>
      <c r="G1880" s="122"/>
    </row>
    <row r="1881" spans="2:7" x14ac:dyDescent="0.2">
      <c r="B1881" s="129" t="s">
        <v>3222</v>
      </c>
      <c r="C1881" s="122" t="s">
        <v>3223</v>
      </c>
      <c r="D1881" s="122">
        <v>1.7</v>
      </c>
      <c r="E1881" s="122">
        <v>1.73</v>
      </c>
      <c r="F1881" s="122">
        <v>0.32</v>
      </c>
      <c r="G1881" s="122">
        <v>24.187000000000001</v>
      </c>
    </row>
    <row r="1882" spans="2:7" x14ac:dyDescent="0.2">
      <c r="B1882" s="129" t="s">
        <v>3224</v>
      </c>
      <c r="C1882" s="122" t="s">
        <v>3225</v>
      </c>
      <c r="D1882" s="122">
        <v>0.57999999999999996</v>
      </c>
      <c r="E1882" s="122">
        <v>0.85</v>
      </c>
      <c r="F1882" s="122"/>
      <c r="G1882" s="122">
        <v>55.923000000000002</v>
      </c>
    </row>
    <row r="1883" spans="2:7" x14ac:dyDescent="0.2">
      <c r="B1883" s="129" t="s">
        <v>4623</v>
      </c>
      <c r="C1883" s="122" t="s">
        <v>4624</v>
      </c>
      <c r="D1883" s="122">
        <v>0.94</v>
      </c>
      <c r="E1883" s="122">
        <v>1.62</v>
      </c>
      <c r="F1883" s="122"/>
      <c r="G1883" s="122">
        <v>15.03299</v>
      </c>
    </row>
    <row r="1884" spans="2:7" x14ac:dyDescent="0.2">
      <c r="B1884" s="129" t="s">
        <v>3226</v>
      </c>
      <c r="C1884" s="122" t="s">
        <v>3227</v>
      </c>
      <c r="D1884" s="122">
        <v>1.43</v>
      </c>
      <c r="E1884" s="122">
        <v>1.45</v>
      </c>
      <c r="F1884" s="122">
        <v>0.06</v>
      </c>
      <c r="G1884" s="122">
        <v>5.6581900000000003</v>
      </c>
    </row>
    <row r="1885" spans="2:7" x14ac:dyDescent="0.2">
      <c r="B1885" s="129" t="s">
        <v>3228</v>
      </c>
      <c r="C1885" s="122" t="s">
        <v>3229</v>
      </c>
      <c r="D1885" s="122">
        <v>0.72</v>
      </c>
      <c r="E1885" s="122">
        <v>0.71</v>
      </c>
      <c r="F1885" s="122">
        <v>1.42</v>
      </c>
      <c r="G1885" s="122">
        <v>58.626989999999999</v>
      </c>
    </row>
    <row r="1886" spans="2:7" x14ac:dyDescent="0.2">
      <c r="B1886" s="129" t="s">
        <v>4625</v>
      </c>
      <c r="C1886" s="122" t="s">
        <v>4626</v>
      </c>
      <c r="D1886" s="122">
        <v>0.7</v>
      </c>
      <c r="E1886" s="122">
        <v>0.52</v>
      </c>
      <c r="F1886" s="122"/>
      <c r="G1886" s="122">
        <v>43.285989999999998</v>
      </c>
    </row>
    <row r="1887" spans="2:7" x14ac:dyDescent="0.2">
      <c r="B1887" s="129" t="s">
        <v>3230</v>
      </c>
      <c r="C1887" s="122" t="s">
        <v>3231</v>
      </c>
      <c r="D1887" s="122">
        <v>1.46</v>
      </c>
      <c r="E1887" s="122">
        <v>1.59</v>
      </c>
      <c r="F1887" s="122">
        <v>1.38</v>
      </c>
      <c r="G1887" s="122">
        <v>58.037990000000001</v>
      </c>
    </row>
    <row r="1888" spans="2:7" x14ac:dyDescent="0.2">
      <c r="B1888" s="129" t="s">
        <v>3232</v>
      </c>
      <c r="C1888" s="122" t="s">
        <v>3233</v>
      </c>
      <c r="D1888" s="122"/>
      <c r="E1888" s="122"/>
      <c r="F1888" s="122"/>
      <c r="G1888" s="122"/>
    </row>
    <row r="1889" spans="2:7" x14ac:dyDescent="0.2">
      <c r="B1889" s="129" t="s">
        <v>4627</v>
      </c>
      <c r="C1889" s="122" t="s">
        <v>4628</v>
      </c>
      <c r="D1889" s="122"/>
      <c r="E1889" s="122">
        <v>1.73</v>
      </c>
      <c r="F1889" s="122">
        <v>0.01</v>
      </c>
      <c r="G1889" s="122">
        <v>0.76910999999999996</v>
      </c>
    </row>
    <row r="1890" spans="2:7" x14ac:dyDescent="0.2">
      <c r="B1890" s="129" t="s">
        <v>3234</v>
      </c>
      <c r="C1890" s="122" t="s">
        <v>3235</v>
      </c>
      <c r="D1890" s="122">
        <v>6.33</v>
      </c>
      <c r="E1890" s="122">
        <v>10.210000000000001</v>
      </c>
      <c r="F1890" s="122">
        <v>0.14000000000000001</v>
      </c>
      <c r="G1890" s="122">
        <v>12.163</v>
      </c>
    </row>
    <row r="1891" spans="2:7" x14ac:dyDescent="0.2">
      <c r="B1891" s="129" t="s">
        <v>3236</v>
      </c>
      <c r="C1891" s="122" t="s">
        <v>3237</v>
      </c>
      <c r="D1891" s="122">
        <v>1.1499999999999999</v>
      </c>
      <c r="E1891" s="122">
        <v>1.1200000000000001</v>
      </c>
      <c r="F1891" s="122">
        <v>0.09</v>
      </c>
      <c r="G1891" s="122">
        <v>6.4256000000000002</v>
      </c>
    </row>
    <row r="1892" spans="2:7" x14ac:dyDescent="0.2">
      <c r="B1892" s="129" t="s">
        <v>4629</v>
      </c>
      <c r="C1892" s="122" t="s">
        <v>4630</v>
      </c>
      <c r="D1892" s="122"/>
      <c r="E1892" s="122"/>
      <c r="F1892" s="122"/>
      <c r="G1892" s="122"/>
    </row>
    <row r="1893" spans="2:7" x14ac:dyDescent="0.2">
      <c r="B1893" s="129" t="s">
        <v>3238</v>
      </c>
      <c r="C1893" s="122" t="s">
        <v>3239</v>
      </c>
      <c r="D1893" s="122">
        <v>4.6900000000000004</v>
      </c>
      <c r="E1893" s="122">
        <v>4.33</v>
      </c>
      <c r="F1893" s="122">
        <v>0.28999999999999998</v>
      </c>
      <c r="G1893" s="122">
        <v>22.29899</v>
      </c>
    </row>
    <row r="1894" spans="2:7" x14ac:dyDescent="0.2">
      <c r="B1894" s="129" t="s">
        <v>3240</v>
      </c>
      <c r="C1894" s="122" t="s">
        <v>3241</v>
      </c>
      <c r="D1894" s="122">
        <v>0.95</v>
      </c>
      <c r="E1894" s="122">
        <v>2.2999999999999998</v>
      </c>
      <c r="F1894" s="122">
        <v>0.27</v>
      </c>
      <c r="G1894" s="122">
        <v>21.434000000000001</v>
      </c>
    </row>
    <row r="1895" spans="2:7" x14ac:dyDescent="0.2">
      <c r="B1895" s="129" t="s">
        <v>3242</v>
      </c>
      <c r="C1895" s="122" t="s">
        <v>3243</v>
      </c>
      <c r="D1895" s="122">
        <v>2.38</v>
      </c>
      <c r="E1895" s="122">
        <v>3.01</v>
      </c>
      <c r="F1895" s="122">
        <v>0.54</v>
      </c>
      <c r="G1895" s="122">
        <v>34.942999999999998</v>
      </c>
    </row>
    <row r="1896" spans="2:7" x14ac:dyDescent="0.2">
      <c r="B1896" s="129" t="s">
        <v>3244</v>
      </c>
      <c r="C1896" s="122" t="s">
        <v>3245</v>
      </c>
      <c r="D1896" s="122">
        <v>0.85</v>
      </c>
      <c r="E1896" s="122">
        <v>0.61</v>
      </c>
      <c r="F1896" s="122">
        <v>0.57999999999999996</v>
      </c>
      <c r="G1896" s="122">
        <v>36.555990000000001</v>
      </c>
    </row>
    <row r="1897" spans="2:7" x14ac:dyDescent="0.2">
      <c r="B1897" s="129" t="s">
        <v>3246</v>
      </c>
      <c r="C1897" s="122" t="s">
        <v>3247</v>
      </c>
      <c r="D1897" s="122">
        <v>1.05</v>
      </c>
      <c r="E1897" s="122">
        <v>2.17</v>
      </c>
      <c r="F1897" s="122">
        <v>0.68</v>
      </c>
      <c r="G1897" s="122">
        <v>40.372999999999998</v>
      </c>
    </row>
    <row r="1898" spans="2:7" x14ac:dyDescent="0.2">
      <c r="B1898" s="129" t="s">
        <v>4631</v>
      </c>
      <c r="C1898" s="122" t="s">
        <v>4632</v>
      </c>
      <c r="D1898" s="122"/>
      <c r="E1898" s="122"/>
      <c r="F1898" s="122"/>
      <c r="G1898" s="122"/>
    </row>
    <row r="1899" spans="2:7" x14ac:dyDescent="0.2">
      <c r="B1899" s="129" t="s">
        <v>3248</v>
      </c>
      <c r="C1899" s="122" t="s">
        <v>3249</v>
      </c>
      <c r="D1899" s="122">
        <v>1.22</v>
      </c>
      <c r="E1899" s="122">
        <v>1</v>
      </c>
      <c r="F1899" s="122">
        <v>0.02</v>
      </c>
      <c r="G1899" s="122">
        <v>2.3203</v>
      </c>
    </row>
    <row r="1900" spans="2:7" x14ac:dyDescent="0.2">
      <c r="B1900" s="129" t="s">
        <v>3250</v>
      </c>
      <c r="C1900" s="122" t="s">
        <v>4633</v>
      </c>
      <c r="D1900" s="122">
        <v>1.2</v>
      </c>
      <c r="E1900" s="122">
        <v>1.83</v>
      </c>
      <c r="F1900" s="122">
        <v>0.57999999999999996</v>
      </c>
      <c r="G1900" s="122">
        <v>36.807989999999997</v>
      </c>
    </row>
    <row r="1901" spans="2:7" x14ac:dyDescent="0.2">
      <c r="B1901" s="129" t="s">
        <v>3250</v>
      </c>
      <c r="C1901" s="122" t="s">
        <v>3251</v>
      </c>
      <c r="D1901" s="122">
        <v>1.2</v>
      </c>
      <c r="E1901" s="122">
        <v>1.83</v>
      </c>
      <c r="F1901" s="122">
        <v>0.57999999999999996</v>
      </c>
      <c r="G1901" s="122">
        <v>36.807989999999997</v>
      </c>
    </row>
    <row r="1902" spans="2:7" x14ac:dyDescent="0.2">
      <c r="B1902" s="129" t="s">
        <v>3252</v>
      </c>
      <c r="C1902" s="122" t="s">
        <v>3253</v>
      </c>
      <c r="D1902" s="122">
        <v>0.47</v>
      </c>
      <c r="E1902" s="122">
        <v>0.55000000000000004</v>
      </c>
      <c r="F1902" s="122">
        <v>1.76</v>
      </c>
      <c r="G1902" s="122">
        <v>63.781999999999996</v>
      </c>
    </row>
    <row r="1903" spans="2:7" x14ac:dyDescent="0.2">
      <c r="B1903" s="129" t="s">
        <v>4634</v>
      </c>
      <c r="C1903" s="122" t="s">
        <v>4635</v>
      </c>
      <c r="D1903" s="122">
        <v>2.0299999999999998</v>
      </c>
      <c r="E1903" s="122">
        <v>2.57</v>
      </c>
      <c r="F1903" s="122">
        <v>0.36</v>
      </c>
      <c r="G1903" s="122">
        <v>26.65399</v>
      </c>
    </row>
    <row r="1904" spans="2:7" x14ac:dyDescent="0.2">
      <c r="B1904" s="129" t="s">
        <v>3254</v>
      </c>
      <c r="C1904" s="122" t="s">
        <v>3255</v>
      </c>
      <c r="D1904" s="122">
        <v>1</v>
      </c>
      <c r="E1904" s="122">
        <v>0.96</v>
      </c>
      <c r="F1904" s="122">
        <v>3.54</v>
      </c>
      <c r="G1904" s="122">
        <v>77.966999999999999</v>
      </c>
    </row>
    <row r="1905" spans="2:7" x14ac:dyDescent="0.2">
      <c r="B1905" s="129" t="s">
        <v>4636</v>
      </c>
      <c r="C1905" s="122" t="s">
        <v>4637</v>
      </c>
      <c r="D1905" s="122"/>
      <c r="E1905" s="122"/>
      <c r="F1905" s="122"/>
      <c r="G1905" s="122"/>
    </row>
    <row r="1906" spans="2:7" x14ac:dyDescent="0.2">
      <c r="B1906" s="129" t="s">
        <v>3256</v>
      </c>
      <c r="C1906" s="122" t="s">
        <v>3257</v>
      </c>
      <c r="D1906" s="122">
        <v>1.01</v>
      </c>
      <c r="E1906" s="122">
        <v>1.04</v>
      </c>
      <c r="F1906" s="122">
        <v>0.53</v>
      </c>
      <c r="G1906" s="122">
        <v>34.853000000000002</v>
      </c>
    </row>
    <row r="1907" spans="2:7" x14ac:dyDescent="0.2">
      <c r="B1907" s="129" t="s">
        <v>4638</v>
      </c>
      <c r="C1907" s="122" t="s">
        <v>4639</v>
      </c>
      <c r="D1907" s="122"/>
      <c r="E1907" s="122"/>
      <c r="F1907" s="122"/>
      <c r="G1907" s="122"/>
    </row>
    <row r="1908" spans="2:7" x14ac:dyDescent="0.2">
      <c r="B1908" s="129" t="s">
        <v>3258</v>
      </c>
      <c r="C1908" s="122" t="s">
        <v>3259</v>
      </c>
      <c r="D1908" s="122"/>
      <c r="E1908" s="122"/>
      <c r="F1908" s="122"/>
      <c r="G1908" s="122"/>
    </row>
    <row r="1909" spans="2:7" x14ac:dyDescent="0.2">
      <c r="B1909" s="129" t="s">
        <v>3260</v>
      </c>
      <c r="C1909" s="122" t="s">
        <v>3261</v>
      </c>
      <c r="D1909" s="122">
        <v>7.61</v>
      </c>
      <c r="E1909" s="122">
        <v>6.43</v>
      </c>
      <c r="F1909" s="122">
        <v>1.32</v>
      </c>
      <c r="G1909" s="122">
        <v>62.137999999999998</v>
      </c>
    </row>
    <row r="1910" spans="2:7" x14ac:dyDescent="0.2">
      <c r="B1910" s="129" t="s">
        <v>3262</v>
      </c>
      <c r="C1910" s="122" t="s">
        <v>3263</v>
      </c>
      <c r="D1910" s="122">
        <v>0.91</v>
      </c>
      <c r="E1910" s="122">
        <v>1.08</v>
      </c>
      <c r="F1910" s="122">
        <v>1.03</v>
      </c>
      <c r="G1910" s="122">
        <v>50.69699</v>
      </c>
    </row>
    <row r="1911" spans="2:7" x14ac:dyDescent="0.2">
      <c r="B1911" s="129" t="s">
        <v>3264</v>
      </c>
      <c r="C1911" s="122" t="s">
        <v>3265</v>
      </c>
      <c r="D1911" s="122">
        <v>2.0299999999999998</v>
      </c>
      <c r="E1911" s="122">
        <v>3.01</v>
      </c>
      <c r="F1911" s="122">
        <v>1.45</v>
      </c>
      <c r="G1911" s="122">
        <v>59.244990000000001</v>
      </c>
    </row>
    <row r="1912" spans="2:7" x14ac:dyDescent="0.2">
      <c r="B1912" s="129" t="s">
        <v>3266</v>
      </c>
      <c r="C1912" s="122" t="s">
        <v>3267</v>
      </c>
      <c r="D1912" s="122">
        <v>1.93</v>
      </c>
      <c r="E1912" s="122">
        <v>1.78</v>
      </c>
      <c r="F1912" s="122">
        <v>1.1100000000000001</v>
      </c>
      <c r="G1912" s="122">
        <v>53.485999999999997</v>
      </c>
    </row>
    <row r="1913" spans="2:7" x14ac:dyDescent="0.2">
      <c r="B1913" s="129" t="s">
        <v>3268</v>
      </c>
      <c r="C1913" s="122" t="s">
        <v>3269</v>
      </c>
      <c r="D1913" s="122">
        <v>1.24</v>
      </c>
      <c r="E1913" s="122">
        <v>1.27</v>
      </c>
      <c r="F1913" s="122">
        <v>0.79</v>
      </c>
      <c r="G1913" s="122">
        <v>44.247</v>
      </c>
    </row>
    <row r="1914" spans="2:7" x14ac:dyDescent="0.2">
      <c r="B1914" s="129" t="s">
        <v>3270</v>
      </c>
      <c r="C1914" s="122" t="s">
        <v>3271</v>
      </c>
      <c r="D1914" s="122">
        <v>2.73</v>
      </c>
      <c r="E1914" s="122">
        <v>4.21</v>
      </c>
      <c r="F1914" s="122">
        <v>4.68</v>
      </c>
      <c r="G1914" s="122">
        <v>82.397000000000006</v>
      </c>
    </row>
    <row r="1915" spans="2:7" x14ac:dyDescent="0.2">
      <c r="B1915" s="129" t="s">
        <v>3272</v>
      </c>
      <c r="C1915" s="122" t="s">
        <v>3273</v>
      </c>
      <c r="D1915" s="122">
        <v>0.56999999999999995</v>
      </c>
      <c r="E1915" s="122">
        <v>0.81</v>
      </c>
      <c r="F1915" s="122"/>
      <c r="G1915" s="122">
        <v>0</v>
      </c>
    </row>
    <row r="1916" spans="2:7" x14ac:dyDescent="0.2">
      <c r="B1916" s="129" t="s">
        <v>3274</v>
      </c>
      <c r="C1916" s="122" t="s">
        <v>3275</v>
      </c>
      <c r="D1916" s="122">
        <v>0.85</v>
      </c>
      <c r="E1916" s="122">
        <v>1.8</v>
      </c>
      <c r="F1916" s="122">
        <v>0.92</v>
      </c>
      <c r="G1916" s="122">
        <v>47.79</v>
      </c>
    </row>
    <row r="1917" spans="2:7" x14ac:dyDescent="0.2">
      <c r="B1917" s="129" t="s">
        <v>3276</v>
      </c>
      <c r="C1917" s="122" t="s">
        <v>3277</v>
      </c>
      <c r="D1917" s="122">
        <v>0.69</v>
      </c>
      <c r="E1917" s="122">
        <v>0.68</v>
      </c>
      <c r="F1917" s="122">
        <v>0.04</v>
      </c>
      <c r="G1917" s="122">
        <v>3.4512</v>
      </c>
    </row>
    <row r="1918" spans="2:7" x14ac:dyDescent="0.2">
      <c r="B1918" s="129" t="s">
        <v>4640</v>
      </c>
      <c r="C1918" s="122" t="s">
        <v>4641</v>
      </c>
      <c r="D1918" s="122">
        <v>2.46</v>
      </c>
      <c r="E1918" s="122">
        <v>1.95</v>
      </c>
      <c r="F1918" s="122">
        <v>0.25</v>
      </c>
      <c r="G1918" s="122">
        <v>20.08399</v>
      </c>
    </row>
    <row r="1919" spans="2:7" x14ac:dyDescent="0.2">
      <c r="B1919" s="129" t="s">
        <v>3278</v>
      </c>
      <c r="C1919" s="122" t="s">
        <v>3279</v>
      </c>
      <c r="D1919" s="122">
        <v>0.98</v>
      </c>
      <c r="E1919" s="122">
        <v>1.01</v>
      </c>
      <c r="F1919" s="122">
        <v>0.28000000000000003</v>
      </c>
      <c r="G1919" s="122">
        <v>21.92399</v>
      </c>
    </row>
    <row r="1920" spans="2:7" x14ac:dyDescent="0.2">
      <c r="B1920" s="129" t="s">
        <v>3280</v>
      </c>
      <c r="C1920" s="122" t="s">
        <v>3281</v>
      </c>
      <c r="D1920" s="122">
        <v>0.56999999999999995</v>
      </c>
      <c r="E1920" s="122">
        <v>0.81</v>
      </c>
      <c r="F1920" s="122"/>
      <c r="G1920" s="122">
        <v>0</v>
      </c>
    </row>
    <row r="1921" spans="2:7" x14ac:dyDescent="0.2">
      <c r="B1921" s="129" t="s">
        <v>3282</v>
      </c>
      <c r="C1921" s="122" t="s">
        <v>3283</v>
      </c>
      <c r="D1921" s="122"/>
      <c r="E1921" s="122"/>
      <c r="F1921" s="122"/>
      <c r="G1921" s="122"/>
    </row>
    <row r="1922" spans="2:7" x14ac:dyDescent="0.2">
      <c r="B1922" s="129" t="s">
        <v>3284</v>
      </c>
      <c r="C1922" s="122" t="s">
        <v>3285</v>
      </c>
      <c r="D1922" s="122"/>
      <c r="E1922" s="122">
        <v>4.95</v>
      </c>
      <c r="F1922" s="122"/>
      <c r="G1922" s="122">
        <v>0</v>
      </c>
    </row>
    <row r="1923" spans="2:7" x14ac:dyDescent="0.2">
      <c r="B1923" s="129" t="s">
        <v>3286</v>
      </c>
      <c r="C1923" s="122" t="s">
        <v>3287</v>
      </c>
      <c r="D1923" s="122">
        <v>0.73</v>
      </c>
      <c r="E1923" s="122">
        <v>0.67</v>
      </c>
      <c r="F1923" s="122">
        <v>0.62</v>
      </c>
      <c r="G1923" s="122">
        <v>39.636000000000003</v>
      </c>
    </row>
    <row r="1924" spans="2:7" x14ac:dyDescent="0.2">
      <c r="B1924" s="129" t="s">
        <v>4642</v>
      </c>
      <c r="C1924" s="122" t="s">
        <v>4643</v>
      </c>
      <c r="D1924" s="122"/>
      <c r="E1924" s="122"/>
      <c r="F1924" s="122"/>
      <c r="G1924" s="122"/>
    </row>
    <row r="1925" spans="2:7" x14ac:dyDescent="0.2">
      <c r="B1925" s="129" t="s">
        <v>3288</v>
      </c>
      <c r="C1925" s="122" t="s">
        <v>3289</v>
      </c>
      <c r="D1925" s="122">
        <v>0.17</v>
      </c>
      <c r="E1925" s="122">
        <v>0.17</v>
      </c>
      <c r="F1925" s="122">
        <v>0.35</v>
      </c>
      <c r="G1925" s="122">
        <v>26.114989999999999</v>
      </c>
    </row>
    <row r="1926" spans="2:7" x14ac:dyDescent="0.2">
      <c r="B1926" s="129" t="s">
        <v>3290</v>
      </c>
      <c r="C1926" s="122" t="s">
        <v>3291</v>
      </c>
      <c r="D1926" s="122">
        <v>0.74</v>
      </c>
      <c r="E1926" s="122">
        <v>0.72</v>
      </c>
      <c r="F1926" s="122">
        <v>1.26</v>
      </c>
      <c r="G1926" s="122">
        <v>55.816000000000003</v>
      </c>
    </row>
    <row r="1927" spans="2:7" x14ac:dyDescent="0.2">
      <c r="B1927" s="129" t="s">
        <v>3292</v>
      </c>
      <c r="C1927" s="122" t="s">
        <v>3293</v>
      </c>
      <c r="D1927" s="122">
        <v>1.04</v>
      </c>
      <c r="E1927" s="122">
        <v>1.75</v>
      </c>
      <c r="F1927" s="122">
        <v>1.76</v>
      </c>
      <c r="G1927" s="122">
        <v>63.723990000000001</v>
      </c>
    </row>
    <row r="1928" spans="2:7" x14ac:dyDescent="0.2">
      <c r="B1928" s="129" t="s">
        <v>3294</v>
      </c>
      <c r="C1928" s="122" t="s">
        <v>3295</v>
      </c>
      <c r="D1928" s="122"/>
      <c r="E1928" s="122"/>
      <c r="F1928" s="122"/>
      <c r="G1928" s="122"/>
    </row>
    <row r="1929" spans="2:7" x14ac:dyDescent="0.2">
      <c r="B1929" s="129" t="s">
        <v>3296</v>
      </c>
      <c r="C1929" s="122" t="s">
        <v>3297</v>
      </c>
      <c r="D1929" s="122">
        <v>1.1499999999999999</v>
      </c>
      <c r="E1929" s="122">
        <v>1.0900000000000001</v>
      </c>
      <c r="F1929" s="122">
        <v>4.62</v>
      </c>
      <c r="G1929" s="122">
        <v>82.200990000000004</v>
      </c>
    </row>
    <row r="1930" spans="2:7" x14ac:dyDescent="0.2">
      <c r="B1930" s="129" t="s">
        <v>3298</v>
      </c>
      <c r="C1930" s="122" t="s">
        <v>3299</v>
      </c>
      <c r="D1930" s="122">
        <v>0.78</v>
      </c>
      <c r="E1930" s="122">
        <v>0.73</v>
      </c>
      <c r="F1930" s="122">
        <v>3.08</v>
      </c>
      <c r="G1930" s="122">
        <v>75.468999999999994</v>
      </c>
    </row>
    <row r="1931" spans="2:7" x14ac:dyDescent="0.2">
      <c r="B1931" s="129" t="s">
        <v>3300</v>
      </c>
      <c r="C1931" s="122" t="s">
        <v>3301</v>
      </c>
      <c r="D1931" s="122">
        <v>0.85</v>
      </c>
      <c r="E1931" s="122">
        <v>0.84</v>
      </c>
      <c r="F1931" s="122">
        <v>0.86</v>
      </c>
      <c r="G1931" s="122">
        <v>43.372999999999998</v>
      </c>
    </row>
    <row r="1932" spans="2:7" x14ac:dyDescent="0.2">
      <c r="B1932" s="129" t="s">
        <v>3302</v>
      </c>
      <c r="C1932" s="122" t="s">
        <v>3303</v>
      </c>
      <c r="D1932" s="122">
        <v>0.82</v>
      </c>
      <c r="E1932" s="122">
        <v>1.37</v>
      </c>
      <c r="F1932" s="122">
        <v>0.9</v>
      </c>
      <c r="G1932" s="122">
        <v>47.444989999999997</v>
      </c>
    </row>
    <row r="1933" spans="2:7" x14ac:dyDescent="0.2">
      <c r="B1933" s="129" t="s">
        <v>3304</v>
      </c>
      <c r="C1933" s="122" t="s">
        <v>3305</v>
      </c>
      <c r="D1933" s="122">
        <v>2.42</v>
      </c>
      <c r="E1933" s="122">
        <v>2.3199999999999998</v>
      </c>
      <c r="F1933" s="122">
        <v>0.59</v>
      </c>
      <c r="G1933" s="122">
        <v>37.113990000000001</v>
      </c>
    </row>
    <row r="1934" spans="2:7" x14ac:dyDescent="0.2">
      <c r="B1934" s="129" t="s">
        <v>3306</v>
      </c>
      <c r="C1934" s="122" t="s">
        <v>3307</v>
      </c>
      <c r="D1934" s="122"/>
      <c r="E1934" s="122"/>
      <c r="F1934" s="122"/>
      <c r="G1934" s="122"/>
    </row>
    <row r="1935" spans="2:7" x14ac:dyDescent="0.2">
      <c r="B1935" s="129" t="s">
        <v>3308</v>
      </c>
      <c r="C1935" s="122" t="s">
        <v>3309</v>
      </c>
      <c r="D1935" s="122">
        <v>6.03</v>
      </c>
      <c r="E1935" s="122">
        <v>4.62</v>
      </c>
      <c r="F1935" s="122">
        <v>0.31</v>
      </c>
      <c r="G1935" s="122">
        <v>23.820989999999998</v>
      </c>
    </row>
    <row r="1936" spans="2:7" x14ac:dyDescent="0.2">
      <c r="B1936" s="129" t="s">
        <v>3310</v>
      </c>
      <c r="C1936" s="122" t="s">
        <v>3311</v>
      </c>
      <c r="D1936" s="122">
        <v>0.81</v>
      </c>
      <c r="E1936" s="122">
        <v>1.05</v>
      </c>
      <c r="F1936" s="122">
        <v>0.93</v>
      </c>
      <c r="G1936" s="122">
        <v>48.377989999999997</v>
      </c>
    </row>
    <row r="1937" spans="2:7" x14ac:dyDescent="0.2">
      <c r="B1937" s="129" t="s">
        <v>4644</v>
      </c>
      <c r="C1937" s="122" t="s">
        <v>4645</v>
      </c>
      <c r="D1937" s="122"/>
      <c r="E1937" s="122"/>
      <c r="F1937" s="122"/>
      <c r="G1937" s="122"/>
    </row>
    <row r="1938" spans="2:7" x14ac:dyDescent="0.2">
      <c r="B1938" s="129" t="s">
        <v>3312</v>
      </c>
      <c r="C1938" s="122" t="s">
        <v>3313</v>
      </c>
      <c r="D1938" s="122">
        <v>1.61</v>
      </c>
      <c r="E1938" s="122">
        <v>1.69</v>
      </c>
      <c r="F1938" s="122">
        <v>0.56999999999999995</v>
      </c>
      <c r="G1938" s="122">
        <v>32.296999999999997</v>
      </c>
    </row>
    <row r="1939" spans="2:7" x14ac:dyDescent="0.2">
      <c r="B1939" s="129" t="s">
        <v>3314</v>
      </c>
      <c r="C1939" s="122" t="s">
        <v>3315</v>
      </c>
      <c r="D1939" s="122">
        <v>2.71</v>
      </c>
      <c r="E1939" s="122">
        <v>3.41</v>
      </c>
      <c r="F1939" s="122">
        <v>1.21</v>
      </c>
      <c r="G1939" s="122">
        <v>54.70299</v>
      </c>
    </row>
    <row r="1940" spans="2:7" x14ac:dyDescent="0.2">
      <c r="B1940" s="129" t="s">
        <v>3316</v>
      </c>
      <c r="C1940" s="122" t="s">
        <v>3317</v>
      </c>
      <c r="D1940" s="122">
        <v>1.19</v>
      </c>
      <c r="E1940" s="122">
        <v>1.24</v>
      </c>
      <c r="F1940" s="122">
        <v>0.37</v>
      </c>
      <c r="G1940" s="122">
        <v>27.103999999999999</v>
      </c>
    </row>
    <row r="1941" spans="2:7" x14ac:dyDescent="0.2">
      <c r="B1941" s="129" t="s">
        <v>3318</v>
      </c>
      <c r="C1941" s="122" t="s">
        <v>3319</v>
      </c>
      <c r="D1941" s="122">
        <v>1.31</v>
      </c>
      <c r="E1941" s="122">
        <v>1.29</v>
      </c>
      <c r="F1941" s="122">
        <v>0</v>
      </c>
      <c r="G1941" s="122">
        <v>0</v>
      </c>
    </row>
    <row r="1942" spans="2:7" x14ac:dyDescent="0.2">
      <c r="B1942" s="129" t="s">
        <v>4646</v>
      </c>
      <c r="C1942" s="122" t="s">
        <v>4647</v>
      </c>
      <c r="D1942" s="122">
        <v>0.88</v>
      </c>
      <c r="E1942" s="122">
        <v>0.92</v>
      </c>
      <c r="F1942" s="122"/>
      <c r="G1942" s="122">
        <v>49.736989999999999</v>
      </c>
    </row>
    <row r="1943" spans="2:7" x14ac:dyDescent="0.2">
      <c r="B1943" s="129" t="s">
        <v>4648</v>
      </c>
      <c r="C1943" s="122" t="s">
        <v>4649</v>
      </c>
      <c r="D1943" s="122">
        <v>0.61</v>
      </c>
      <c r="E1943" s="122">
        <v>0.78</v>
      </c>
      <c r="F1943" s="122"/>
      <c r="G1943" s="122">
        <v>32.229990000000001</v>
      </c>
    </row>
    <row r="1944" spans="2:7" x14ac:dyDescent="0.2">
      <c r="B1944" s="129" t="s">
        <v>3320</v>
      </c>
      <c r="C1944" s="122" t="s">
        <v>3321</v>
      </c>
      <c r="D1944" s="122">
        <v>3.57</v>
      </c>
      <c r="E1944" s="122">
        <v>4.2300000000000004</v>
      </c>
      <c r="F1944" s="122">
        <v>0.01</v>
      </c>
      <c r="G1944" s="122">
        <v>1.0625</v>
      </c>
    </row>
    <row r="1945" spans="2:7" x14ac:dyDescent="0.2">
      <c r="B1945" s="129" t="s">
        <v>3322</v>
      </c>
      <c r="C1945" s="122" t="s">
        <v>3323</v>
      </c>
      <c r="D1945" s="122"/>
      <c r="E1945" s="122"/>
      <c r="F1945" s="122"/>
      <c r="G1945" s="122"/>
    </row>
    <row r="1946" spans="2:7" x14ac:dyDescent="0.2">
      <c r="B1946" s="129" t="s">
        <v>3324</v>
      </c>
      <c r="C1946" s="122" t="s">
        <v>3325</v>
      </c>
      <c r="D1946" s="122">
        <v>0.67</v>
      </c>
      <c r="E1946" s="122">
        <v>0.61</v>
      </c>
      <c r="F1946" s="122">
        <v>2.6</v>
      </c>
      <c r="G1946" s="122">
        <v>72.23</v>
      </c>
    </row>
    <row r="1947" spans="2:7" x14ac:dyDescent="0.2">
      <c r="B1947" s="129" t="s">
        <v>3326</v>
      </c>
      <c r="C1947" s="122" t="s">
        <v>3327</v>
      </c>
      <c r="D1947" s="122">
        <v>0.78</v>
      </c>
      <c r="E1947" s="122">
        <v>1.1000000000000001</v>
      </c>
      <c r="F1947" s="122">
        <v>0.75</v>
      </c>
      <c r="G1947" s="122">
        <v>42.738990000000001</v>
      </c>
    </row>
    <row r="1948" spans="2:7" x14ac:dyDescent="0.2">
      <c r="B1948" s="129" t="s">
        <v>3328</v>
      </c>
      <c r="C1948" s="122" t="s">
        <v>3329</v>
      </c>
      <c r="D1948" s="122">
        <v>1.03</v>
      </c>
      <c r="E1948" s="122">
        <v>2.0499999999999998</v>
      </c>
      <c r="F1948" s="122">
        <v>0.76</v>
      </c>
      <c r="G1948" s="122">
        <v>43.299990000000001</v>
      </c>
    </row>
    <row r="1949" spans="2:7" x14ac:dyDescent="0.2">
      <c r="B1949" s="129" t="s">
        <v>4650</v>
      </c>
      <c r="C1949" s="122" t="s">
        <v>4651</v>
      </c>
      <c r="D1949" s="122"/>
      <c r="E1949" s="122"/>
      <c r="F1949" s="122"/>
      <c r="G1949" s="122"/>
    </row>
    <row r="1950" spans="2:7" x14ac:dyDescent="0.2">
      <c r="B1950" s="129" t="s">
        <v>3332</v>
      </c>
      <c r="C1950" s="122" t="s">
        <v>4652</v>
      </c>
      <c r="D1950" s="122">
        <v>1.28</v>
      </c>
      <c r="E1950" s="122">
        <v>1.36</v>
      </c>
      <c r="F1950" s="122">
        <v>1.02</v>
      </c>
      <c r="G1950" s="122">
        <v>51.165999999999997</v>
      </c>
    </row>
    <row r="1951" spans="2:7" x14ac:dyDescent="0.2">
      <c r="B1951" s="129" t="s">
        <v>4653</v>
      </c>
      <c r="C1951" s="122" t="s">
        <v>4654</v>
      </c>
      <c r="D1951" s="122"/>
      <c r="E1951" s="122"/>
      <c r="F1951" s="122"/>
      <c r="G1951" s="122"/>
    </row>
    <row r="1952" spans="2:7" x14ac:dyDescent="0.2">
      <c r="B1952" s="129" t="s">
        <v>3332</v>
      </c>
      <c r="C1952" s="122" t="s">
        <v>3333</v>
      </c>
      <c r="D1952" s="122">
        <v>1.28</v>
      </c>
      <c r="E1952" s="122">
        <v>1.36</v>
      </c>
      <c r="F1952" s="122">
        <v>1.02</v>
      </c>
      <c r="G1952" s="122">
        <v>51.165999999999997</v>
      </c>
    </row>
    <row r="1953" spans="2:7" x14ac:dyDescent="0.2">
      <c r="B1953" s="129" t="s">
        <v>3334</v>
      </c>
      <c r="C1953" s="122" t="s">
        <v>3335</v>
      </c>
      <c r="D1953" s="122">
        <v>2.87</v>
      </c>
      <c r="E1953" s="122">
        <v>3.23</v>
      </c>
      <c r="F1953" s="122">
        <v>0.8</v>
      </c>
      <c r="G1953" s="122">
        <v>44.366</v>
      </c>
    </row>
    <row r="1954" spans="2:7" x14ac:dyDescent="0.2">
      <c r="B1954" s="129" t="s">
        <v>3336</v>
      </c>
      <c r="C1954" s="122" t="s">
        <v>3337</v>
      </c>
      <c r="D1954" s="122">
        <v>162.33000000000001</v>
      </c>
      <c r="E1954" s="122">
        <v>179.91</v>
      </c>
      <c r="F1954" s="122">
        <v>0.51</v>
      </c>
      <c r="G1954" s="122">
        <v>33.816000000000003</v>
      </c>
    </row>
    <row r="1955" spans="2:7" x14ac:dyDescent="0.2">
      <c r="B1955" s="129" t="s">
        <v>3338</v>
      </c>
      <c r="C1955" s="122" t="s">
        <v>3339</v>
      </c>
      <c r="D1955" s="122">
        <v>0.85</v>
      </c>
      <c r="E1955" s="122">
        <v>1.07</v>
      </c>
      <c r="F1955" s="122">
        <v>0</v>
      </c>
      <c r="G1955" s="122">
        <v>0</v>
      </c>
    </row>
    <row r="1956" spans="2:7" x14ac:dyDescent="0.2">
      <c r="B1956" s="129" t="s">
        <v>3340</v>
      </c>
      <c r="C1956" s="122" t="s">
        <v>3341</v>
      </c>
      <c r="D1956" s="122">
        <v>0.68</v>
      </c>
      <c r="E1956" s="122">
        <v>0.63</v>
      </c>
      <c r="F1956" s="122">
        <v>1.72</v>
      </c>
      <c r="G1956" s="122">
        <v>63.181989999999999</v>
      </c>
    </row>
    <row r="1957" spans="2:7" x14ac:dyDescent="0.2">
      <c r="B1957" s="129" t="s">
        <v>3342</v>
      </c>
      <c r="C1957" s="122" t="s">
        <v>3343</v>
      </c>
      <c r="D1957" s="122">
        <v>1.04</v>
      </c>
      <c r="E1957" s="122">
        <v>1.02</v>
      </c>
      <c r="F1957" s="122">
        <v>0.17</v>
      </c>
      <c r="G1957" s="122">
        <v>14.262</v>
      </c>
    </row>
    <row r="1958" spans="2:7" x14ac:dyDescent="0.2">
      <c r="B1958" s="129" t="s">
        <v>3344</v>
      </c>
      <c r="C1958" s="122" t="s">
        <v>3345</v>
      </c>
      <c r="D1958" s="122">
        <v>1.0900000000000001</v>
      </c>
      <c r="E1958" s="122">
        <v>1.1100000000000001</v>
      </c>
      <c r="F1958" s="122"/>
      <c r="G1958" s="122">
        <v>16.433</v>
      </c>
    </row>
    <row r="1959" spans="2:7" x14ac:dyDescent="0.2">
      <c r="B1959" s="129" t="s">
        <v>3346</v>
      </c>
      <c r="C1959" s="122" t="s">
        <v>3347</v>
      </c>
      <c r="D1959" s="122">
        <v>0.71</v>
      </c>
      <c r="E1959" s="122">
        <v>0.95</v>
      </c>
      <c r="F1959" s="122"/>
      <c r="G1959" s="122">
        <v>39.189990000000002</v>
      </c>
    </row>
    <row r="1960" spans="2:7" x14ac:dyDescent="0.2">
      <c r="B1960" s="129" t="s">
        <v>3348</v>
      </c>
      <c r="C1960" s="122" t="s">
        <v>3349</v>
      </c>
      <c r="D1960" s="122">
        <v>1.04</v>
      </c>
      <c r="E1960" s="122">
        <v>1.42</v>
      </c>
      <c r="F1960" s="122">
        <v>0.42</v>
      </c>
      <c r="G1960" s="122">
        <v>29.566990000000001</v>
      </c>
    </row>
    <row r="1961" spans="2:7" x14ac:dyDescent="0.2">
      <c r="B1961" s="129" t="s">
        <v>3350</v>
      </c>
      <c r="C1961" s="122" t="s">
        <v>3351</v>
      </c>
      <c r="D1961" s="122"/>
      <c r="E1961" s="122">
        <v>1.51</v>
      </c>
      <c r="F1961" s="122"/>
      <c r="G1961" s="122">
        <v>31.363</v>
      </c>
    </row>
    <row r="1962" spans="2:7" x14ac:dyDescent="0.2">
      <c r="B1962" s="129" t="s">
        <v>3352</v>
      </c>
      <c r="C1962" s="122" t="s">
        <v>3353</v>
      </c>
      <c r="D1962" s="122">
        <v>0.87</v>
      </c>
      <c r="E1962" s="122">
        <v>1.25</v>
      </c>
      <c r="F1962" s="122">
        <v>0.8</v>
      </c>
      <c r="G1962" s="122">
        <v>44.416989999999998</v>
      </c>
    </row>
    <row r="1963" spans="2:7" x14ac:dyDescent="0.2">
      <c r="B1963" s="129" t="s">
        <v>3354</v>
      </c>
      <c r="C1963" s="122" t="s">
        <v>3355</v>
      </c>
      <c r="D1963" s="122">
        <v>0.95</v>
      </c>
      <c r="E1963" s="122">
        <v>0.96</v>
      </c>
      <c r="F1963" s="122">
        <v>0.56000000000000005</v>
      </c>
      <c r="G1963" s="122">
        <v>34.622999999999998</v>
      </c>
    </row>
    <row r="1964" spans="2:7" x14ac:dyDescent="0.2">
      <c r="B1964" s="129" t="s">
        <v>3356</v>
      </c>
      <c r="C1964" s="122" t="s">
        <v>3357</v>
      </c>
      <c r="D1964" s="122">
        <v>1.08</v>
      </c>
      <c r="E1964" s="122">
        <v>1.89</v>
      </c>
      <c r="F1964" s="122">
        <v>0.59</v>
      </c>
      <c r="G1964" s="122">
        <v>37.177999999999997</v>
      </c>
    </row>
    <row r="1965" spans="2:7" x14ac:dyDescent="0.2">
      <c r="B1965" s="129" t="s">
        <v>3360</v>
      </c>
      <c r="C1965" s="122" t="s">
        <v>3361</v>
      </c>
      <c r="D1965" s="122">
        <v>0.99</v>
      </c>
      <c r="E1965" s="122">
        <v>0.96</v>
      </c>
      <c r="F1965" s="122">
        <v>0.93</v>
      </c>
      <c r="G1965" s="122">
        <v>48.180990000000001</v>
      </c>
    </row>
    <row r="1966" spans="2:7" x14ac:dyDescent="0.2">
      <c r="B1966" s="129" t="s">
        <v>3362</v>
      </c>
      <c r="C1966" s="122" t="s">
        <v>3363</v>
      </c>
      <c r="D1966" s="122">
        <v>4</v>
      </c>
      <c r="E1966" s="122">
        <v>4.87</v>
      </c>
      <c r="F1966" s="122">
        <v>1.1399999999999999</v>
      </c>
      <c r="G1966" s="122">
        <v>52.811999999999998</v>
      </c>
    </row>
    <row r="1967" spans="2:7" x14ac:dyDescent="0.2">
      <c r="B1967" s="129" t="s">
        <v>3364</v>
      </c>
      <c r="C1967" s="122" t="s">
        <v>3365</v>
      </c>
      <c r="D1967" s="122">
        <v>10.84</v>
      </c>
      <c r="E1967" s="122">
        <v>17.7</v>
      </c>
      <c r="F1967" s="122">
        <v>0.13</v>
      </c>
      <c r="G1967" s="122">
        <v>11.697990000000001</v>
      </c>
    </row>
    <row r="1968" spans="2:7" x14ac:dyDescent="0.2">
      <c r="B1968" s="129" t="s">
        <v>4655</v>
      </c>
      <c r="C1968" s="122" t="s">
        <v>4656</v>
      </c>
      <c r="D1968" s="122"/>
      <c r="E1968" s="122"/>
      <c r="F1968" s="122"/>
      <c r="G1968" s="122"/>
    </row>
    <row r="1969" spans="2:7" x14ac:dyDescent="0.2">
      <c r="B1969" s="129" t="s">
        <v>3366</v>
      </c>
      <c r="C1969" s="122" t="s">
        <v>3367</v>
      </c>
      <c r="D1969" s="122">
        <v>1.52</v>
      </c>
      <c r="E1969" s="122">
        <v>1.55</v>
      </c>
      <c r="F1969" s="122"/>
      <c r="G1969" s="122">
        <v>43.417990000000003</v>
      </c>
    </row>
    <row r="1970" spans="2:7" x14ac:dyDescent="0.2">
      <c r="B1970" s="129" t="s">
        <v>4657</v>
      </c>
      <c r="C1970" s="122" t="s">
        <v>4658</v>
      </c>
      <c r="D1970" s="122"/>
      <c r="E1970" s="122"/>
      <c r="F1970" s="122"/>
      <c r="G1970" s="122"/>
    </row>
    <row r="1971" spans="2:7" x14ac:dyDescent="0.2">
      <c r="B1971" s="129" t="s">
        <v>3368</v>
      </c>
      <c r="C1971" s="122" t="s">
        <v>3369</v>
      </c>
      <c r="D1971" s="122">
        <v>0.69</v>
      </c>
      <c r="E1971" s="122">
        <v>0.69</v>
      </c>
      <c r="F1971" s="122"/>
      <c r="G1971" s="122">
        <v>37.834989999999998</v>
      </c>
    </row>
    <row r="1972" spans="2:7" x14ac:dyDescent="0.2">
      <c r="B1972" s="129" t="s">
        <v>3370</v>
      </c>
      <c r="C1972" s="122" t="s">
        <v>3371</v>
      </c>
      <c r="D1972" s="122">
        <v>0.17</v>
      </c>
      <c r="E1972" s="122">
        <v>0.17</v>
      </c>
      <c r="F1972" s="122">
        <v>0.47</v>
      </c>
      <c r="G1972" s="122">
        <v>31.824999999999999</v>
      </c>
    </row>
    <row r="1973" spans="2:7" x14ac:dyDescent="0.2">
      <c r="B1973" s="129" t="s">
        <v>3372</v>
      </c>
      <c r="C1973" s="122" t="s">
        <v>3373</v>
      </c>
      <c r="D1973" s="122">
        <v>1.48</v>
      </c>
      <c r="E1973" s="122">
        <v>1.5</v>
      </c>
      <c r="F1973" s="122">
        <v>0.68</v>
      </c>
      <c r="G1973" s="122">
        <v>40.472990000000003</v>
      </c>
    </row>
    <row r="1974" spans="2:7" x14ac:dyDescent="0.2">
      <c r="B1974" s="129" t="s">
        <v>3374</v>
      </c>
      <c r="C1974" s="122" t="s">
        <v>3375</v>
      </c>
      <c r="D1974" s="122">
        <v>0.49</v>
      </c>
      <c r="E1974" s="122">
        <v>0.77</v>
      </c>
      <c r="F1974" s="122">
        <v>1.21</v>
      </c>
      <c r="G1974" s="122">
        <v>54.685000000000002</v>
      </c>
    </row>
    <row r="1975" spans="2:7" x14ac:dyDescent="0.2">
      <c r="B1975" s="129" t="s">
        <v>3376</v>
      </c>
      <c r="C1975" s="122" t="s">
        <v>3377</v>
      </c>
      <c r="D1975" s="122">
        <v>1.39</v>
      </c>
      <c r="E1975" s="122">
        <v>1.39</v>
      </c>
      <c r="F1975" s="122">
        <v>-1.45</v>
      </c>
      <c r="G1975" s="122"/>
    </row>
    <row r="1976" spans="2:7" x14ac:dyDescent="0.2">
      <c r="B1976" s="129" t="s">
        <v>3378</v>
      </c>
      <c r="C1976" s="122" t="s">
        <v>3379</v>
      </c>
      <c r="D1976" s="122">
        <v>3.32</v>
      </c>
      <c r="E1976" s="122">
        <v>3.74</v>
      </c>
      <c r="F1976" s="122">
        <v>0.12</v>
      </c>
      <c r="G1976" s="122">
        <v>10.77</v>
      </c>
    </row>
    <row r="1977" spans="2:7" x14ac:dyDescent="0.2">
      <c r="B1977" s="129" t="s">
        <v>3380</v>
      </c>
      <c r="C1977" s="122" t="s">
        <v>3381</v>
      </c>
      <c r="D1977" s="122">
        <v>1.34</v>
      </c>
      <c r="E1977" s="122">
        <v>1.64</v>
      </c>
      <c r="F1977" s="122">
        <v>0.85</v>
      </c>
      <c r="G1977" s="122">
        <v>45.997999999999998</v>
      </c>
    </row>
    <row r="1978" spans="2:7" x14ac:dyDescent="0.2">
      <c r="B1978" s="129" t="s">
        <v>3382</v>
      </c>
      <c r="C1978" s="122" t="s">
        <v>3383</v>
      </c>
      <c r="D1978" s="122">
        <v>3.39</v>
      </c>
      <c r="E1978" s="122">
        <v>4.33</v>
      </c>
      <c r="F1978" s="122">
        <v>4.7699999999999996</v>
      </c>
      <c r="G1978" s="122">
        <v>82.668989999999994</v>
      </c>
    </row>
    <row r="1979" spans="2:7" x14ac:dyDescent="0.2">
      <c r="B1979" s="129" t="s">
        <v>3384</v>
      </c>
      <c r="C1979" s="122" t="s">
        <v>3385</v>
      </c>
      <c r="D1979" s="122">
        <v>0.83</v>
      </c>
      <c r="E1979" s="122">
        <v>1.24</v>
      </c>
      <c r="F1979" s="122">
        <v>1.42</v>
      </c>
      <c r="G1979" s="122">
        <v>58.698</v>
      </c>
    </row>
    <row r="1980" spans="2:7" x14ac:dyDescent="0.2">
      <c r="B1980" s="129" t="s">
        <v>4659</v>
      </c>
      <c r="C1980" s="122" t="s">
        <v>4660</v>
      </c>
      <c r="D1980" s="122"/>
      <c r="E1980" s="122"/>
      <c r="F1980" s="122"/>
      <c r="G1980" s="122"/>
    </row>
    <row r="1981" spans="2:7" x14ac:dyDescent="0.2">
      <c r="B1981" s="129" t="s">
        <v>3386</v>
      </c>
      <c r="C1981" s="122" t="s">
        <v>3387</v>
      </c>
      <c r="D1981" s="122">
        <v>0.53</v>
      </c>
      <c r="E1981" s="122">
        <v>0.67</v>
      </c>
      <c r="F1981" s="122">
        <v>0.94</v>
      </c>
      <c r="G1981" s="122">
        <v>48.531999999999996</v>
      </c>
    </row>
    <row r="1982" spans="2:7" x14ac:dyDescent="0.2">
      <c r="B1982" s="129" t="s">
        <v>3388</v>
      </c>
      <c r="C1982" s="122" t="s">
        <v>3389</v>
      </c>
      <c r="D1982" s="122">
        <v>1.34</v>
      </c>
      <c r="E1982" s="122">
        <v>1.94</v>
      </c>
      <c r="F1982" s="122">
        <v>-5.29</v>
      </c>
      <c r="G1982" s="122"/>
    </row>
    <row r="1983" spans="2:7" x14ac:dyDescent="0.2">
      <c r="B1983" s="129" t="s">
        <v>3390</v>
      </c>
      <c r="C1983" s="122" t="s">
        <v>3391</v>
      </c>
      <c r="D1983" s="122">
        <v>0.82</v>
      </c>
      <c r="E1983" s="122">
        <v>1.1100000000000001</v>
      </c>
      <c r="F1983" s="122"/>
      <c r="G1983" s="122">
        <v>0</v>
      </c>
    </row>
    <row r="1984" spans="2:7" x14ac:dyDescent="0.2">
      <c r="B1984" s="129" t="s">
        <v>4661</v>
      </c>
      <c r="C1984" s="122" t="s">
        <v>4662</v>
      </c>
      <c r="D1984" s="122">
        <v>0.75</v>
      </c>
      <c r="E1984" s="122">
        <v>1.1299999999999999</v>
      </c>
      <c r="F1984" s="122"/>
      <c r="G1984" s="122">
        <v>17.58399</v>
      </c>
    </row>
    <row r="1985" spans="2:7" x14ac:dyDescent="0.2">
      <c r="B1985" s="129" t="s">
        <v>4663</v>
      </c>
      <c r="C1985" s="122" t="s">
        <v>4664</v>
      </c>
      <c r="D1985" s="122"/>
      <c r="E1985" s="122"/>
      <c r="F1985" s="122"/>
      <c r="G1985" s="122"/>
    </row>
    <row r="1986" spans="2:7" x14ac:dyDescent="0.2">
      <c r="B1986" s="129" t="s">
        <v>3392</v>
      </c>
      <c r="C1986" s="122" t="s">
        <v>3393</v>
      </c>
      <c r="D1986" s="122">
        <v>0.88</v>
      </c>
      <c r="E1986" s="122">
        <v>0.87</v>
      </c>
      <c r="F1986" s="122">
        <v>2.12</v>
      </c>
      <c r="G1986" s="122">
        <v>67.948989999999995</v>
      </c>
    </row>
    <row r="1987" spans="2:7" x14ac:dyDescent="0.2">
      <c r="B1987" s="129" t="s">
        <v>3394</v>
      </c>
      <c r="C1987" s="122" t="s">
        <v>3395</v>
      </c>
      <c r="D1987" s="122">
        <v>1.06</v>
      </c>
      <c r="E1987" s="122">
        <v>0.79</v>
      </c>
      <c r="F1987" s="122">
        <v>-2.39</v>
      </c>
      <c r="G1987" s="122"/>
    </row>
    <row r="1988" spans="2:7" x14ac:dyDescent="0.2">
      <c r="B1988" s="129" t="s">
        <v>3396</v>
      </c>
      <c r="C1988" s="122" t="s">
        <v>3397</v>
      </c>
      <c r="D1988" s="122">
        <v>2.19</v>
      </c>
      <c r="E1988" s="122">
        <v>1.32</v>
      </c>
      <c r="F1988" s="122">
        <v>0.46</v>
      </c>
      <c r="G1988" s="122">
        <v>31.52899</v>
      </c>
    </row>
    <row r="1989" spans="2:7" x14ac:dyDescent="0.2">
      <c r="B1989" s="129" t="s">
        <v>3398</v>
      </c>
      <c r="C1989" s="122" t="s">
        <v>3399</v>
      </c>
      <c r="D1989" s="122">
        <v>0.94</v>
      </c>
      <c r="E1989" s="122">
        <v>0.94</v>
      </c>
      <c r="F1989" s="122">
        <v>0.14000000000000001</v>
      </c>
      <c r="G1989" s="122">
        <v>11.956989999999999</v>
      </c>
    </row>
    <row r="1990" spans="2:7" x14ac:dyDescent="0.2">
      <c r="B1990" s="129" t="s">
        <v>3400</v>
      </c>
      <c r="C1990" s="122" t="s">
        <v>3401</v>
      </c>
      <c r="D1990" s="122">
        <v>5.28</v>
      </c>
      <c r="E1990" s="122">
        <v>2.65</v>
      </c>
      <c r="F1990" s="122">
        <v>2</v>
      </c>
      <c r="G1990" s="122">
        <v>66.718999999999994</v>
      </c>
    </row>
    <row r="1991" spans="2:7" x14ac:dyDescent="0.2">
      <c r="B1991" s="129" t="s">
        <v>3402</v>
      </c>
      <c r="C1991" s="122" t="s">
        <v>3403</v>
      </c>
      <c r="D1991" s="122">
        <v>3.92</v>
      </c>
      <c r="E1991" s="122">
        <v>3.58</v>
      </c>
      <c r="F1991" s="122">
        <v>0.44</v>
      </c>
      <c r="G1991" s="122">
        <v>30.448989999999998</v>
      </c>
    </row>
    <row r="1992" spans="2:7" x14ac:dyDescent="0.2">
      <c r="B1992" s="129" t="s">
        <v>4665</v>
      </c>
      <c r="C1992" s="122" t="s">
        <v>4666</v>
      </c>
      <c r="D1992" s="122"/>
      <c r="E1992" s="122">
        <v>0.76</v>
      </c>
      <c r="F1992" s="122"/>
      <c r="G1992" s="122">
        <v>32.866</v>
      </c>
    </row>
    <row r="1993" spans="2:7" x14ac:dyDescent="0.2">
      <c r="B1993" s="129" t="s">
        <v>3404</v>
      </c>
      <c r="C1993" s="122" t="s">
        <v>3405</v>
      </c>
      <c r="D1993" s="122">
        <v>2.48</v>
      </c>
      <c r="E1993" s="122">
        <v>2.98</v>
      </c>
      <c r="F1993" s="122">
        <v>0.65</v>
      </c>
      <c r="G1993" s="122">
        <v>39.415999999999997</v>
      </c>
    </row>
    <row r="1994" spans="2:7" x14ac:dyDescent="0.2">
      <c r="B1994" s="129" t="s">
        <v>3406</v>
      </c>
      <c r="C1994" s="122" t="s">
        <v>3407</v>
      </c>
      <c r="D1994" s="122">
        <v>1.26</v>
      </c>
      <c r="E1994" s="122">
        <v>1.26</v>
      </c>
      <c r="F1994" s="122"/>
      <c r="G1994" s="122">
        <v>76.269990000000007</v>
      </c>
    </row>
    <row r="1995" spans="2:7" x14ac:dyDescent="0.2">
      <c r="B1995" s="129" t="s">
        <v>3408</v>
      </c>
      <c r="C1995" s="122" t="s">
        <v>3409</v>
      </c>
      <c r="D1995" s="122">
        <v>0.83</v>
      </c>
      <c r="E1995" s="122">
        <v>0.83</v>
      </c>
      <c r="F1995" s="122">
        <v>0.67</v>
      </c>
      <c r="G1995" s="122">
        <v>39.063989999999997</v>
      </c>
    </row>
    <row r="1996" spans="2:7" x14ac:dyDescent="0.2">
      <c r="B1996" s="129" t="s">
        <v>4667</v>
      </c>
      <c r="C1996" s="122" t="s">
        <v>4668</v>
      </c>
      <c r="D1996" s="122"/>
      <c r="E1996" s="122"/>
      <c r="F1996" s="122"/>
      <c r="G1996" s="122"/>
    </row>
    <row r="1997" spans="2:7" x14ac:dyDescent="0.2">
      <c r="B1997" s="129" t="s">
        <v>3410</v>
      </c>
      <c r="C1997" s="122" t="s">
        <v>3411</v>
      </c>
      <c r="D1997" s="122">
        <v>1.36</v>
      </c>
      <c r="E1997" s="122">
        <v>1.23</v>
      </c>
      <c r="F1997" s="122">
        <v>0.45</v>
      </c>
      <c r="G1997" s="122">
        <v>31.103999999999999</v>
      </c>
    </row>
    <row r="1998" spans="2:7" x14ac:dyDescent="0.2">
      <c r="B1998" s="129" t="s">
        <v>3412</v>
      </c>
      <c r="C1998" s="122" t="s">
        <v>3413</v>
      </c>
      <c r="D1998" s="122">
        <v>1.27</v>
      </c>
      <c r="E1998" s="122">
        <v>1.05</v>
      </c>
      <c r="F1998" s="122">
        <v>0.64</v>
      </c>
      <c r="G1998" s="122">
        <v>39.056989999999999</v>
      </c>
    </row>
    <row r="1999" spans="2:7" x14ac:dyDescent="0.2">
      <c r="B1999" s="129" t="s">
        <v>3414</v>
      </c>
      <c r="C1999" s="122" t="s">
        <v>3415</v>
      </c>
      <c r="D1999" s="122">
        <v>1.1100000000000001</v>
      </c>
      <c r="E1999" s="122">
        <v>0.81</v>
      </c>
      <c r="F1999" s="122">
        <v>0.11</v>
      </c>
      <c r="G1999" s="122">
        <v>9.9367999999999999</v>
      </c>
    </row>
    <row r="2000" spans="2:7" x14ac:dyDescent="0.2">
      <c r="B2000" s="129" t="s">
        <v>3416</v>
      </c>
      <c r="C2000" s="122" t="s">
        <v>3417</v>
      </c>
      <c r="D2000" s="122">
        <v>1.36</v>
      </c>
      <c r="E2000" s="122">
        <v>2.2200000000000002</v>
      </c>
      <c r="F2000" s="122">
        <v>1.03</v>
      </c>
      <c r="G2000" s="122">
        <v>50.689990000000002</v>
      </c>
    </row>
    <row r="2001" spans="2:7" x14ac:dyDescent="0.2">
      <c r="B2001" s="129" t="s">
        <v>3418</v>
      </c>
      <c r="C2001" s="122" t="s">
        <v>3419</v>
      </c>
      <c r="D2001" s="122">
        <v>0.51</v>
      </c>
      <c r="E2001" s="122">
        <v>0.55000000000000004</v>
      </c>
      <c r="F2001" s="122">
        <v>0.98</v>
      </c>
      <c r="G2001" s="122">
        <v>49.433990000000001</v>
      </c>
    </row>
    <row r="2002" spans="2:7" x14ac:dyDescent="0.2">
      <c r="B2002" s="129" t="s">
        <v>3420</v>
      </c>
      <c r="C2002" s="122" t="s">
        <v>3421</v>
      </c>
      <c r="D2002" s="122">
        <v>0.85</v>
      </c>
      <c r="E2002" s="122">
        <v>1.3</v>
      </c>
      <c r="F2002" s="122"/>
      <c r="G2002" s="122">
        <v>25.638000000000002</v>
      </c>
    </row>
    <row r="2003" spans="2:7" x14ac:dyDescent="0.2">
      <c r="B2003" s="129" t="s">
        <v>4669</v>
      </c>
      <c r="C2003" s="122" t="s">
        <v>4670</v>
      </c>
      <c r="D2003" s="122"/>
      <c r="E2003" s="122"/>
      <c r="F2003" s="122"/>
      <c r="G2003" s="122"/>
    </row>
    <row r="2004" spans="2:7" x14ac:dyDescent="0.2">
      <c r="B2004" s="129" t="s">
        <v>3422</v>
      </c>
      <c r="C2004" s="122" t="s">
        <v>3423</v>
      </c>
      <c r="D2004" s="122">
        <v>1.64</v>
      </c>
      <c r="E2004" s="122">
        <v>1.73</v>
      </c>
      <c r="F2004" s="122">
        <v>0.95</v>
      </c>
      <c r="G2004" s="122">
        <v>49.469000000000001</v>
      </c>
    </row>
    <row r="2005" spans="2:7" x14ac:dyDescent="0.2">
      <c r="B2005" s="129" t="s">
        <v>3424</v>
      </c>
      <c r="C2005" s="122" t="s">
        <v>3425</v>
      </c>
      <c r="D2005" s="122">
        <v>2.33</v>
      </c>
      <c r="E2005" s="122">
        <v>1.97</v>
      </c>
      <c r="F2005" s="122">
        <v>5.67</v>
      </c>
      <c r="G2005" s="122">
        <v>84.995999999999995</v>
      </c>
    </row>
    <row r="2006" spans="2:7" x14ac:dyDescent="0.2">
      <c r="B2006" s="129" t="s">
        <v>3426</v>
      </c>
      <c r="C2006" s="122" t="s">
        <v>3427</v>
      </c>
      <c r="D2006" s="122">
        <v>0.63</v>
      </c>
      <c r="E2006" s="122">
        <v>0.67</v>
      </c>
      <c r="F2006" s="122">
        <v>2.15</v>
      </c>
      <c r="G2006" s="122">
        <v>68.206000000000003</v>
      </c>
    </row>
    <row r="2007" spans="2:7" x14ac:dyDescent="0.2">
      <c r="B2007" s="129" t="s">
        <v>3428</v>
      </c>
      <c r="C2007" s="122" t="s">
        <v>3429</v>
      </c>
      <c r="D2007" s="122">
        <v>1.47</v>
      </c>
      <c r="E2007" s="122">
        <v>1.42</v>
      </c>
      <c r="F2007" s="122">
        <v>1.5</v>
      </c>
      <c r="G2007" s="122">
        <v>60.991999999999997</v>
      </c>
    </row>
    <row r="2008" spans="2:7" x14ac:dyDescent="0.2">
      <c r="B2008" s="129" t="s">
        <v>3430</v>
      </c>
      <c r="C2008" s="122" t="s">
        <v>3431</v>
      </c>
      <c r="D2008" s="122">
        <v>1.06</v>
      </c>
      <c r="E2008" s="122">
        <v>1.07</v>
      </c>
      <c r="F2008" s="122">
        <v>0.85</v>
      </c>
      <c r="G2008" s="122">
        <v>45.853000000000002</v>
      </c>
    </row>
    <row r="2009" spans="2:7" x14ac:dyDescent="0.2">
      <c r="B2009" s="129" t="s">
        <v>3432</v>
      </c>
      <c r="C2009" s="122" t="s">
        <v>3433</v>
      </c>
      <c r="D2009" s="122">
        <v>0.87</v>
      </c>
      <c r="E2009" s="122">
        <v>0.89</v>
      </c>
      <c r="F2009" s="122">
        <v>1.36</v>
      </c>
      <c r="G2009" s="122">
        <v>54.692999999999998</v>
      </c>
    </row>
    <row r="2010" spans="2:7" x14ac:dyDescent="0.2">
      <c r="B2010" s="129" t="s">
        <v>3434</v>
      </c>
      <c r="C2010" s="122" t="s">
        <v>3435</v>
      </c>
      <c r="D2010" s="122">
        <v>1.23</v>
      </c>
      <c r="E2010" s="122">
        <v>1.24</v>
      </c>
      <c r="F2010" s="122">
        <v>1.62</v>
      </c>
      <c r="G2010" s="122">
        <v>61.876989999999999</v>
      </c>
    </row>
    <row r="2011" spans="2:7" x14ac:dyDescent="0.2">
      <c r="B2011" s="129" t="s">
        <v>3436</v>
      </c>
      <c r="C2011" s="122" t="s">
        <v>3437</v>
      </c>
      <c r="D2011" s="122">
        <v>0.55000000000000004</v>
      </c>
      <c r="E2011" s="122">
        <v>0.84</v>
      </c>
      <c r="F2011" s="122">
        <v>1.31</v>
      </c>
      <c r="G2011" s="122">
        <v>56.76699</v>
      </c>
    </row>
    <row r="2012" spans="2:7" x14ac:dyDescent="0.2">
      <c r="B2012" s="129" t="s">
        <v>3438</v>
      </c>
      <c r="C2012" s="122" t="s">
        <v>3439</v>
      </c>
      <c r="D2012" s="122">
        <v>0.57999999999999996</v>
      </c>
      <c r="E2012" s="122">
        <v>0.8</v>
      </c>
      <c r="F2012" s="122"/>
      <c r="G2012" s="122">
        <v>23.462990000000001</v>
      </c>
    </row>
    <row r="2013" spans="2:7" x14ac:dyDescent="0.2">
      <c r="B2013" s="129" t="s">
        <v>3440</v>
      </c>
      <c r="C2013" s="122" t="s">
        <v>3441</v>
      </c>
      <c r="D2013" s="122">
        <v>2.65</v>
      </c>
      <c r="E2013" s="122">
        <v>2.71</v>
      </c>
      <c r="F2013" s="122">
        <v>0.04</v>
      </c>
      <c r="G2013" s="122">
        <v>3.6350899999999999</v>
      </c>
    </row>
    <row r="2014" spans="2:7" x14ac:dyDescent="0.2">
      <c r="B2014" s="129" t="s">
        <v>3442</v>
      </c>
      <c r="C2014" s="122" t="s">
        <v>3443</v>
      </c>
      <c r="D2014" s="122">
        <v>2.15</v>
      </c>
      <c r="E2014" s="122">
        <v>1.93</v>
      </c>
      <c r="F2014" s="122">
        <v>2.02</v>
      </c>
      <c r="G2014" s="122">
        <v>66.924999999999997</v>
      </c>
    </row>
    <row r="2015" spans="2:7" x14ac:dyDescent="0.2">
      <c r="B2015" s="129" t="s">
        <v>3444</v>
      </c>
      <c r="C2015" s="122" t="s">
        <v>3445</v>
      </c>
      <c r="D2015" s="122">
        <v>0.57999999999999996</v>
      </c>
      <c r="E2015" s="122">
        <v>0.75</v>
      </c>
      <c r="F2015" s="122"/>
      <c r="G2015" s="122">
        <v>42.881990000000002</v>
      </c>
    </row>
    <row r="2016" spans="2:7" x14ac:dyDescent="0.2">
      <c r="B2016" s="129" t="s">
        <v>3446</v>
      </c>
      <c r="C2016" s="122" t="s">
        <v>3447</v>
      </c>
      <c r="D2016" s="122">
        <v>1.55</v>
      </c>
      <c r="E2016" s="122">
        <v>2.0699999999999998</v>
      </c>
      <c r="F2016" s="122">
        <v>0.47</v>
      </c>
      <c r="G2016" s="122">
        <v>32.130000000000003</v>
      </c>
    </row>
    <row r="2017" spans="2:7" x14ac:dyDescent="0.2">
      <c r="B2017" s="129" t="s">
        <v>4671</v>
      </c>
      <c r="C2017" s="122" t="s">
        <v>4672</v>
      </c>
      <c r="D2017" s="122">
        <v>0.81</v>
      </c>
      <c r="E2017" s="122">
        <v>1.1499999999999999</v>
      </c>
      <c r="F2017" s="122"/>
      <c r="G2017" s="122">
        <v>25.1</v>
      </c>
    </row>
    <row r="2018" spans="2:7" x14ac:dyDescent="0.2">
      <c r="B2018" s="129" t="s">
        <v>3448</v>
      </c>
      <c r="C2018" s="122" t="s">
        <v>3449</v>
      </c>
      <c r="D2018" s="122">
        <v>1.86</v>
      </c>
      <c r="E2018" s="122">
        <v>1.83</v>
      </c>
      <c r="F2018" s="122">
        <v>0.51</v>
      </c>
      <c r="G2018" s="122">
        <v>33.984999999999999</v>
      </c>
    </row>
    <row r="2019" spans="2:7" x14ac:dyDescent="0.2">
      <c r="B2019" s="129" t="s">
        <v>4673</v>
      </c>
      <c r="C2019" s="122" t="s">
        <v>4674</v>
      </c>
      <c r="D2019" s="122"/>
      <c r="E2019" s="122"/>
      <c r="F2019" s="122"/>
      <c r="G2019" s="122"/>
    </row>
    <row r="2020" spans="2:7" x14ac:dyDescent="0.2">
      <c r="B2020" s="129" t="s">
        <v>3450</v>
      </c>
      <c r="C2020" s="122" t="s">
        <v>3451</v>
      </c>
      <c r="D2020" s="122">
        <v>0.82</v>
      </c>
      <c r="E2020" s="122">
        <v>1.7</v>
      </c>
      <c r="F2020" s="122">
        <v>1.95</v>
      </c>
      <c r="G2020" s="122">
        <v>66.123999999999995</v>
      </c>
    </row>
    <row r="2021" spans="2:7" x14ac:dyDescent="0.2">
      <c r="B2021" s="129" t="s">
        <v>3452</v>
      </c>
      <c r="C2021" s="122" t="s">
        <v>3453</v>
      </c>
      <c r="D2021" s="122">
        <v>0.74</v>
      </c>
      <c r="E2021" s="122">
        <v>0.6</v>
      </c>
      <c r="F2021" s="122">
        <v>1.22</v>
      </c>
      <c r="G2021" s="122">
        <v>54.802999999999997</v>
      </c>
    </row>
    <row r="2022" spans="2:7" x14ac:dyDescent="0.2">
      <c r="B2022" s="129" t="s">
        <v>3454</v>
      </c>
      <c r="C2022" s="122" t="s">
        <v>3455</v>
      </c>
      <c r="D2022" s="122">
        <v>0.46</v>
      </c>
      <c r="E2022" s="122">
        <v>0.86</v>
      </c>
      <c r="F2022" s="122">
        <v>0.33</v>
      </c>
      <c r="G2022" s="122">
        <v>25.088999999999999</v>
      </c>
    </row>
    <row r="2023" spans="2:7" x14ac:dyDescent="0.2">
      <c r="B2023" s="129" t="s">
        <v>3456</v>
      </c>
      <c r="C2023" s="122" t="s">
        <v>21</v>
      </c>
      <c r="D2023" s="122">
        <v>0.23</v>
      </c>
      <c r="E2023" s="122">
        <v>0.76</v>
      </c>
      <c r="F2023" s="122">
        <v>0.83</v>
      </c>
      <c r="G2023" s="122">
        <v>45.501989999999999</v>
      </c>
    </row>
    <row r="2024" spans="2:7" x14ac:dyDescent="0.2">
      <c r="B2024" s="129" t="s">
        <v>4675</v>
      </c>
      <c r="C2024" s="122" t="s">
        <v>4676</v>
      </c>
      <c r="D2024" s="122">
        <v>0.71</v>
      </c>
      <c r="E2024" s="122">
        <v>1.26</v>
      </c>
      <c r="F2024" s="122">
        <v>1.38</v>
      </c>
      <c r="G2024" s="122">
        <v>57.912990000000001</v>
      </c>
    </row>
    <row r="2025" spans="2:7" x14ac:dyDescent="0.2">
      <c r="B2025" s="129" t="s">
        <v>3457</v>
      </c>
      <c r="C2025" s="122" t="s">
        <v>3458</v>
      </c>
      <c r="D2025" s="122">
        <v>2.0699999999999998</v>
      </c>
      <c r="E2025" s="122">
        <v>1.77</v>
      </c>
      <c r="F2025" s="122">
        <v>0.06</v>
      </c>
      <c r="G2025" s="122">
        <v>5.8426999999999998</v>
      </c>
    </row>
    <row r="2026" spans="2:7" x14ac:dyDescent="0.2">
      <c r="B2026" s="129" t="s">
        <v>4677</v>
      </c>
      <c r="C2026" s="122" t="s">
        <v>4678</v>
      </c>
      <c r="D2026" s="122"/>
      <c r="E2026" s="122"/>
      <c r="F2026" s="122"/>
      <c r="G2026" s="122"/>
    </row>
    <row r="2027" spans="2:7" x14ac:dyDescent="0.2">
      <c r="B2027" s="129" t="s">
        <v>4679</v>
      </c>
      <c r="C2027" s="122" t="s">
        <v>4680</v>
      </c>
      <c r="D2027" s="122">
        <v>2.96</v>
      </c>
      <c r="E2027" s="122">
        <v>2.2799999999999998</v>
      </c>
      <c r="F2027" s="122">
        <v>0</v>
      </c>
      <c r="G2027" s="122">
        <v>0</v>
      </c>
    </row>
    <row r="2028" spans="2:7" x14ac:dyDescent="0.2">
      <c r="B2028" s="129" t="s">
        <v>3459</v>
      </c>
      <c r="C2028" s="122" t="s">
        <v>3460</v>
      </c>
      <c r="D2028" s="122">
        <v>0.44</v>
      </c>
      <c r="E2028" s="122">
        <v>0.35</v>
      </c>
      <c r="F2028" s="122">
        <v>0.87</v>
      </c>
      <c r="G2028" s="122">
        <v>46.457999999999998</v>
      </c>
    </row>
    <row r="2029" spans="2:7" x14ac:dyDescent="0.2">
      <c r="B2029" s="129" t="s">
        <v>3461</v>
      </c>
      <c r="C2029" s="122" t="s">
        <v>3462</v>
      </c>
      <c r="D2029" s="122">
        <v>2.76</v>
      </c>
      <c r="E2029" s="122">
        <v>3.65</v>
      </c>
      <c r="F2029" s="122">
        <v>0.22</v>
      </c>
      <c r="G2029" s="122">
        <v>17.698989999999998</v>
      </c>
    </row>
    <row r="2030" spans="2:7" x14ac:dyDescent="0.2">
      <c r="B2030" s="129" t="s">
        <v>3463</v>
      </c>
      <c r="C2030" s="122" t="s">
        <v>3464</v>
      </c>
      <c r="D2030" s="122">
        <v>0.96</v>
      </c>
      <c r="E2030" s="122">
        <v>0.95</v>
      </c>
      <c r="F2030" s="122">
        <v>0.72</v>
      </c>
      <c r="G2030" s="122">
        <v>41.997</v>
      </c>
    </row>
    <row r="2031" spans="2:7" x14ac:dyDescent="0.2">
      <c r="B2031" s="129" t="s">
        <v>3465</v>
      </c>
      <c r="C2031" s="122" t="s">
        <v>3466</v>
      </c>
      <c r="D2031" s="122">
        <v>0.97</v>
      </c>
      <c r="E2031" s="122">
        <v>0.75</v>
      </c>
      <c r="F2031" s="122">
        <v>0.47</v>
      </c>
      <c r="G2031" s="122">
        <v>32.107999999999997</v>
      </c>
    </row>
    <row r="2032" spans="2:7" x14ac:dyDescent="0.2">
      <c r="B2032" s="129" t="s">
        <v>3467</v>
      </c>
      <c r="C2032" s="122" t="s">
        <v>3468</v>
      </c>
      <c r="D2032" s="122">
        <v>0.35</v>
      </c>
      <c r="E2032" s="122">
        <v>0.48</v>
      </c>
      <c r="F2032" s="122">
        <v>0.46</v>
      </c>
      <c r="G2032" s="122">
        <v>31.603999999999999</v>
      </c>
    </row>
    <row r="2033" spans="2:7" x14ac:dyDescent="0.2">
      <c r="B2033" s="129" t="s">
        <v>3469</v>
      </c>
      <c r="C2033" s="122" t="s">
        <v>3470</v>
      </c>
      <c r="D2033" s="122">
        <v>1.54</v>
      </c>
      <c r="E2033" s="122">
        <v>2.1800000000000002</v>
      </c>
      <c r="F2033" s="122">
        <v>1</v>
      </c>
      <c r="G2033" s="122">
        <v>49.895989999999998</v>
      </c>
    </row>
    <row r="2034" spans="2:7" x14ac:dyDescent="0.2">
      <c r="B2034" s="129" t="s">
        <v>3471</v>
      </c>
      <c r="C2034" s="122" t="s">
        <v>3472</v>
      </c>
      <c r="D2034" s="122">
        <v>0.89</v>
      </c>
      <c r="E2034" s="122">
        <v>1.45</v>
      </c>
      <c r="F2034" s="122">
        <v>0.82</v>
      </c>
      <c r="G2034" s="122">
        <v>45.188989999999997</v>
      </c>
    </row>
    <row r="2035" spans="2:7" x14ac:dyDescent="0.2">
      <c r="B2035" s="129" t="s">
        <v>4681</v>
      </c>
      <c r="C2035" s="122" t="s">
        <v>4682</v>
      </c>
      <c r="D2035" s="122">
        <v>1</v>
      </c>
      <c r="E2035" s="122">
        <v>1.43</v>
      </c>
      <c r="F2035" s="122">
        <v>0.45</v>
      </c>
      <c r="G2035" s="122">
        <v>31.145</v>
      </c>
    </row>
    <row r="2036" spans="2:7" x14ac:dyDescent="0.2">
      <c r="B2036" s="129" t="s">
        <v>3473</v>
      </c>
      <c r="C2036" s="122" t="s">
        <v>3474</v>
      </c>
      <c r="D2036" s="122">
        <v>0.53</v>
      </c>
      <c r="E2036" s="122">
        <v>1.31</v>
      </c>
      <c r="F2036" s="122">
        <v>1.29</v>
      </c>
      <c r="G2036" s="122">
        <v>56.347000000000001</v>
      </c>
    </row>
    <row r="2037" spans="2:7" x14ac:dyDescent="0.2">
      <c r="B2037" s="129" t="s">
        <v>3475</v>
      </c>
      <c r="C2037" s="122" t="s">
        <v>3476</v>
      </c>
      <c r="D2037" s="122">
        <v>1.69</v>
      </c>
      <c r="E2037" s="122">
        <v>2.92</v>
      </c>
      <c r="F2037" s="122">
        <v>0.14000000000000001</v>
      </c>
      <c r="G2037" s="122">
        <v>11.93299</v>
      </c>
    </row>
    <row r="2038" spans="2:7" x14ac:dyDescent="0.2">
      <c r="B2038" s="129" t="s">
        <v>3475</v>
      </c>
      <c r="C2038" s="122" t="s">
        <v>4683</v>
      </c>
      <c r="D2038" s="122">
        <v>1.69</v>
      </c>
      <c r="E2038" s="122">
        <v>2.92</v>
      </c>
      <c r="F2038" s="122">
        <v>0.14000000000000001</v>
      </c>
      <c r="G2038" s="122">
        <v>11.93299</v>
      </c>
    </row>
    <row r="2039" spans="2:7" x14ac:dyDescent="0.2">
      <c r="B2039" s="129" t="s">
        <v>3477</v>
      </c>
      <c r="C2039" s="122" t="s">
        <v>3478</v>
      </c>
      <c r="D2039" s="122">
        <v>2.4</v>
      </c>
      <c r="E2039" s="122">
        <v>3.02</v>
      </c>
      <c r="F2039" s="122">
        <v>0.18</v>
      </c>
      <c r="G2039" s="122">
        <v>15.366989999999999</v>
      </c>
    </row>
    <row r="2040" spans="2:7" x14ac:dyDescent="0.2">
      <c r="B2040" s="129" t="s">
        <v>3479</v>
      </c>
      <c r="C2040" s="122" t="s">
        <v>3480</v>
      </c>
      <c r="D2040" s="122">
        <v>0.98</v>
      </c>
      <c r="E2040" s="122">
        <v>1</v>
      </c>
      <c r="F2040" s="122">
        <v>0.51</v>
      </c>
      <c r="G2040" s="122">
        <v>32.799990000000001</v>
      </c>
    </row>
    <row r="2041" spans="2:7" x14ac:dyDescent="0.2">
      <c r="B2041" s="129" t="s">
        <v>4684</v>
      </c>
      <c r="C2041" s="122" t="s">
        <v>4685</v>
      </c>
      <c r="D2041" s="122">
        <v>0.66</v>
      </c>
      <c r="E2041" s="122">
        <v>0.68</v>
      </c>
      <c r="F2041" s="122"/>
      <c r="G2041" s="122">
        <v>47.619990000000001</v>
      </c>
    </row>
    <row r="2042" spans="2:7" x14ac:dyDescent="0.2">
      <c r="B2042" s="129" t="s">
        <v>4686</v>
      </c>
      <c r="C2042" s="122" t="s">
        <v>4687</v>
      </c>
      <c r="D2042" s="122">
        <v>1.41</v>
      </c>
      <c r="E2042" s="122">
        <v>1.39</v>
      </c>
      <c r="F2042" s="122">
        <v>0.08</v>
      </c>
      <c r="G2042" s="122">
        <v>7.1177000000000001</v>
      </c>
    </row>
    <row r="2043" spans="2:7" x14ac:dyDescent="0.2">
      <c r="B2043" s="129" t="s">
        <v>3481</v>
      </c>
      <c r="C2043" s="122" t="s">
        <v>3482</v>
      </c>
      <c r="D2043" s="122">
        <v>0.33</v>
      </c>
      <c r="E2043" s="122">
        <v>5.31</v>
      </c>
      <c r="F2043" s="122">
        <v>0.72</v>
      </c>
      <c r="G2043" s="122">
        <v>41.924990000000001</v>
      </c>
    </row>
    <row r="2044" spans="2:7" x14ac:dyDescent="0.2">
      <c r="B2044" s="129" t="s">
        <v>3483</v>
      </c>
      <c r="C2044" s="122" t="s">
        <v>3484</v>
      </c>
      <c r="D2044" s="122">
        <v>1.25</v>
      </c>
      <c r="E2044" s="122">
        <v>1.86</v>
      </c>
      <c r="F2044" s="122">
        <v>0.26</v>
      </c>
      <c r="G2044" s="122">
        <v>20.357990000000001</v>
      </c>
    </row>
    <row r="2045" spans="2:7" x14ac:dyDescent="0.2">
      <c r="B2045" s="129" t="s">
        <v>3485</v>
      </c>
      <c r="C2045" s="122" t="s">
        <v>3486</v>
      </c>
      <c r="D2045" s="122">
        <v>0.88</v>
      </c>
      <c r="E2045" s="122">
        <v>0.94</v>
      </c>
      <c r="F2045" s="122">
        <v>101.99</v>
      </c>
      <c r="G2045" s="122">
        <v>99.028989999999993</v>
      </c>
    </row>
    <row r="2046" spans="2:7" x14ac:dyDescent="0.2">
      <c r="B2046" s="129" t="s">
        <v>3487</v>
      </c>
      <c r="C2046" s="122" t="s">
        <v>3488</v>
      </c>
      <c r="D2046" s="122">
        <v>1.31</v>
      </c>
      <c r="E2046" s="122">
        <v>1.41</v>
      </c>
      <c r="F2046" s="122">
        <v>0.01</v>
      </c>
      <c r="G2046" s="122">
        <v>7.2922000000000002</v>
      </c>
    </row>
    <row r="2047" spans="2:7" x14ac:dyDescent="0.2">
      <c r="B2047" s="129" t="s">
        <v>3489</v>
      </c>
      <c r="C2047" s="122" t="s">
        <v>3490</v>
      </c>
      <c r="D2047" s="122">
        <v>0.96</v>
      </c>
      <c r="E2047" s="122">
        <v>2.02</v>
      </c>
      <c r="F2047" s="122">
        <v>0.59</v>
      </c>
      <c r="G2047" s="122">
        <v>37.236989999999999</v>
      </c>
    </row>
    <row r="2048" spans="2:7" x14ac:dyDescent="0.2">
      <c r="B2048" s="129" t="s">
        <v>3491</v>
      </c>
      <c r="C2048" s="122" t="s">
        <v>3492</v>
      </c>
      <c r="D2048" s="122">
        <v>1.3</v>
      </c>
      <c r="E2048" s="122">
        <v>1.24</v>
      </c>
      <c r="F2048" s="122">
        <v>0.13</v>
      </c>
      <c r="G2048" s="122">
        <v>11.645</v>
      </c>
    </row>
    <row r="2049" spans="2:7" x14ac:dyDescent="0.2">
      <c r="B2049" s="129" t="s">
        <v>4688</v>
      </c>
      <c r="C2049" s="122" t="s">
        <v>4689</v>
      </c>
      <c r="D2049" s="122"/>
      <c r="E2049" s="122"/>
      <c r="F2049" s="122"/>
      <c r="G2049" s="122"/>
    </row>
    <row r="2050" spans="2:7" x14ac:dyDescent="0.2">
      <c r="B2050" s="129" t="s">
        <v>4690</v>
      </c>
      <c r="C2050" s="122" t="s">
        <v>4691</v>
      </c>
      <c r="D2050" s="122"/>
      <c r="E2050" s="122"/>
      <c r="F2050" s="122"/>
      <c r="G2050" s="122"/>
    </row>
    <row r="2051" spans="2:7" x14ac:dyDescent="0.2">
      <c r="B2051" s="129" t="s">
        <v>3493</v>
      </c>
      <c r="C2051" s="122" t="s">
        <v>3494</v>
      </c>
      <c r="D2051" s="122">
        <v>0.63</v>
      </c>
      <c r="E2051" s="122">
        <v>1.39</v>
      </c>
      <c r="F2051" s="122">
        <v>0.71</v>
      </c>
      <c r="G2051" s="122">
        <v>41.359000000000002</v>
      </c>
    </row>
    <row r="2052" spans="2:7" x14ac:dyDescent="0.2">
      <c r="B2052" s="129" t="s">
        <v>3495</v>
      </c>
      <c r="C2052" s="122" t="s">
        <v>3496</v>
      </c>
      <c r="D2052" s="122">
        <v>2.3199999999999998</v>
      </c>
      <c r="E2052" s="122">
        <v>1.27</v>
      </c>
      <c r="F2052" s="122">
        <v>-5.46</v>
      </c>
      <c r="G2052" s="122"/>
    </row>
    <row r="2053" spans="2:7" x14ac:dyDescent="0.2">
      <c r="B2053" s="129" t="s">
        <v>4692</v>
      </c>
      <c r="C2053" s="122" t="s">
        <v>4693</v>
      </c>
      <c r="D2053" s="122"/>
      <c r="E2053" s="122"/>
      <c r="F2053" s="122"/>
      <c r="G2053" s="122"/>
    </row>
    <row r="2054" spans="2:7" x14ac:dyDescent="0.2">
      <c r="B2054" s="129" t="s">
        <v>3497</v>
      </c>
      <c r="C2054" s="122" t="s">
        <v>3498</v>
      </c>
      <c r="D2054" s="122">
        <v>1.37</v>
      </c>
      <c r="E2054" s="122">
        <v>1</v>
      </c>
      <c r="F2054" s="122">
        <v>5</v>
      </c>
      <c r="G2054" s="122">
        <v>83.320989999999995</v>
      </c>
    </row>
    <row r="2055" spans="2:7" x14ac:dyDescent="0.2">
      <c r="B2055" s="129" t="s">
        <v>4694</v>
      </c>
      <c r="C2055" s="122" t="s">
        <v>4695</v>
      </c>
      <c r="D2055" s="122"/>
      <c r="E2055" s="122"/>
      <c r="F2055" s="122"/>
      <c r="G2055" s="122"/>
    </row>
    <row r="2056" spans="2:7" x14ac:dyDescent="0.2">
      <c r="B2056" s="129" t="s">
        <v>3499</v>
      </c>
      <c r="C2056" s="122" t="s">
        <v>3500</v>
      </c>
      <c r="D2056" s="122">
        <v>1.93</v>
      </c>
      <c r="E2056" s="122">
        <v>0.64</v>
      </c>
      <c r="F2056" s="122">
        <v>0.56000000000000005</v>
      </c>
      <c r="G2056" s="122">
        <v>36.034990000000001</v>
      </c>
    </row>
    <row r="2057" spans="2:7" x14ac:dyDescent="0.2">
      <c r="B2057" s="129" t="s">
        <v>3501</v>
      </c>
      <c r="C2057" s="122" t="s">
        <v>3502</v>
      </c>
      <c r="D2057" s="122">
        <v>0.56999999999999995</v>
      </c>
      <c r="E2057" s="122">
        <v>0.57999999999999996</v>
      </c>
      <c r="F2057" s="122">
        <v>1.29</v>
      </c>
      <c r="G2057" s="122">
        <v>56.398989999999998</v>
      </c>
    </row>
    <row r="2058" spans="2:7" x14ac:dyDescent="0.2">
      <c r="B2058" s="129" t="s">
        <v>4696</v>
      </c>
      <c r="C2058" s="122" t="s">
        <v>4697</v>
      </c>
      <c r="D2058" s="122"/>
      <c r="E2058" s="122"/>
      <c r="F2058" s="122"/>
      <c r="G2058" s="122"/>
    </row>
    <row r="2059" spans="2:7" x14ac:dyDescent="0.2">
      <c r="B2059" s="129" t="s">
        <v>4698</v>
      </c>
      <c r="C2059" s="122" t="s">
        <v>4699</v>
      </c>
      <c r="D2059" s="122"/>
      <c r="E2059" s="122"/>
      <c r="F2059" s="122"/>
      <c r="G2059" s="122"/>
    </row>
    <row r="2060" spans="2:7" x14ac:dyDescent="0.2">
      <c r="B2060" s="129" t="s">
        <v>3503</v>
      </c>
      <c r="C2060" s="122" t="s">
        <v>3504</v>
      </c>
      <c r="D2060" s="122">
        <v>7.53</v>
      </c>
      <c r="E2060" s="122">
        <v>7.22</v>
      </c>
      <c r="F2060" s="122">
        <v>0.48</v>
      </c>
      <c r="G2060" s="122">
        <v>32.27899</v>
      </c>
    </row>
    <row r="2061" spans="2:7" x14ac:dyDescent="0.2">
      <c r="B2061" s="129" t="s">
        <v>4700</v>
      </c>
      <c r="C2061" s="122" t="s">
        <v>4701</v>
      </c>
      <c r="D2061" s="122"/>
      <c r="E2061" s="122"/>
      <c r="F2061" s="122"/>
      <c r="G2061" s="122"/>
    </row>
    <row r="2062" spans="2:7" x14ac:dyDescent="0.2">
      <c r="B2062" s="129" t="s">
        <v>4702</v>
      </c>
      <c r="C2062" s="122" t="s">
        <v>4703</v>
      </c>
      <c r="D2062" s="122"/>
      <c r="E2062" s="122"/>
      <c r="F2062" s="122"/>
      <c r="G2062" s="122"/>
    </row>
    <row r="2063" spans="2:7" x14ac:dyDescent="0.2">
      <c r="B2063" s="129" t="s">
        <v>3505</v>
      </c>
      <c r="C2063" s="122" t="s">
        <v>3506</v>
      </c>
      <c r="D2063" s="122">
        <v>0.61</v>
      </c>
      <c r="E2063" s="122">
        <v>0.65</v>
      </c>
      <c r="F2063" s="122"/>
      <c r="G2063" s="122">
        <v>27.332999999999998</v>
      </c>
    </row>
    <row r="2064" spans="2:7" x14ac:dyDescent="0.2">
      <c r="B2064" s="129" t="s">
        <v>3507</v>
      </c>
      <c r="C2064" s="122" t="s">
        <v>22</v>
      </c>
      <c r="D2064" s="122">
        <v>0.51</v>
      </c>
      <c r="E2064" s="122">
        <v>0.74</v>
      </c>
      <c r="F2064" s="122">
        <v>0.1</v>
      </c>
      <c r="G2064" s="122">
        <v>8.7375000000000007</v>
      </c>
    </row>
    <row r="2065" spans="2:7" x14ac:dyDescent="0.2">
      <c r="B2065" s="129" t="s">
        <v>3508</v>
      </c>
      <c r="C2065" s="122" t="s">
        <v>3509</v>
      </c>
      <c r="D2065" s="122">
        <v>1.1100000000000001</v>
      </c>
      <c r="E2065" s="122">
        <v>1.03</v>
      </c>
      <c r="F2065" s="122">
        <v>2.35</v>
      </c>
      <c r="G2065" s="122">
        <v>69.846000000000004</v>
      </c>
    </row>
    <row r="2066" spans="2:7" x14ac:dyDescent="0.2">
      <c r="B2066" s="129" t="s">
        <v>3510</v>
      </c>
      <c r="C2066" s="122" t="s">
        <v>3511</v>
      </c>
      <c r="D2066" s="122">
        <v>1.27</v>
      </c>
      <c r="E2066" s="122">
        <v>2.08</v>
      </c>
      <c r="F2066" s="122">
        <v>0.3</v>
      </c>
      <c r="G2066" s="122">
        <v>23.141999999999999</v>
      </c>
    </row>
    <row r="2067" spans="2:7" x14ac:dyDescent="0.2">
      <c r="B2067" s="129" t="s">
        <v>3512</v>
      </c>
      <c r="C2067" s="122" t="s">
        <v>3513</v>
      </c>
      <c r="D2067" s="122">
        <v>1.19</v>
      </c>
      <c r="E2067" s="122">
        <v>1.33</v>
      </c>
      <c r="F2067" s="122">
        <v>0.79</v>
      </c>
      <c r="G2067" s="122">
        <v>43.215989999999998</v>
      </c>
    </row>
    <row r="2068" spans="2:7" x14ac:dyDescent="0.2">
      <c r="B2068" s="129" t="s">
        <v>4704</v>
      </c>
      <c r="C2068" s="122" t="s">
        <v>4705</v>
      </c>
      <c r="D2068" s="122"/>
      <c r="E2068" s="122"/>
      <c r="F2068" s="122"/>
      <c r="G2068" s="122"/>
    </row>
    <row r="2069" spans="2:7" x14ac:dyDescent="0.2">
      <c r="B2069" s="129" t="s">
        <v>3514</v>
      </c>
      <c r="C2069" s="122" t="s">
        <v>3515</v>
      </c>
      <c r="D2069" s="122">
        <v>1.08</v>
      </c>
      <c r="E2069" s="122">
        <v>1.47</v>
      </c>
      <c r="F2069" s="122">
        <v>0.71</v>
      </c>
      <c r="G2069" s="122">
        <v>41.375990000000002</v>
      </c>
    </row>
    <row r="2070" spans="2:7" x14ac:dyDescent="0.2">
      <c r="B2070" s="129" t="s">
        <v>3516</v>
      </c>
      <c r="C2070" s="122" t="s">
        <v>3517</v>
      </c>
      <c r="D2070" s="122">
        <v>0.33</v>
      </c>
      <c r="E2070" s="122">
        <v>0.33</v>
      </c>
      <c r="F2070" s="122">
        <v>0.2</v>
      </c>
      <c r="G2070" s="122">
        <v>17.872990000000001</v>
      </c>
    </row>
    <row r="2071" spans="2:7" x14ac:dyDescent="0.2">
      <c r="B2071" s="129" t="s">
        <v>3518</v>
      </c>
      <c r="C2071" s="122" t="s">
        <v>3519</v>
      </c>
      <c r="D2071" s="122"/>
      <c r="E2071" s="122"/>
      <c r="F2071" s="122"/>
      <c r="G2071" s="122"/>
    </row>
    <row r="2072" spans="2:7" x14ac:dyDescent="0.2">
      <c r="B2072" s="129" t="s">
        <v>3520</v>
      </c>
      <c r="C2072" s="122" t="s">
        <v>3521</v>
      </c>
      <c r="D2072" s="122">
        <v>0.93</v>
      </c>
      <c r="E2072" s="122">
        <v>1.58</v>
      </c>
      <c r="F2072" s="122">
        <v>0.14000000000000001</v>
      </c>
      <c r="G2072" s="122">
        <v>12.462999999999999</v>
      </c>
    </row>
    <row r="2073" spans="2:7" x14ac:dyDescent="0.2">
      <c r="B2073" s="129" t="s">
        <v>4706</v>
      </c>
      <c r="C2073" s="122" t="s">
        <v>4707</v>
      </c>
      <c r="D2073" s="122">
        <v>0.76</v>
      </c>
      <c r="E2073" s="122">
        <v>1.4</v>
      </c>
      <c r="F2073" s="122">
        <v>0.34</v>
      </c>
      <c r="G2073" s="122">
        <v>25.215990000000001</v>
      </c>
    </row>
    <row r="2074" spans="2:7" x14ac:dyDescent="0.2">
      <c r="B2074" s="129" t="s">
        <v>4708</v>
      </c>
      <c r="C2074" s="122" t="s">
        <v>4709</v>
      </c>
      <c r="D2074" s="122">
        <v>1.27</v>
      </c>
      <c r="E2074" s="122">
        <v>1.82</v>
      </c>
      <c r="F2074" s="122"/>
      <c r="G2074" s="122">
        <v>6.4596999999999998</v>
      </c>
    </row>
    <row r="2075" spans="2:7" x14ac:dyDescent="0.2">
      <c r="B2075" s="129" t="s">
        <v>3522</v>
      </c>
      <c r="C2075" s="122" t="s">
        <v>3523</v>
      </c>
      <c r="D2075" s="122">
        <v>3.89</v>
      </c>
      <c r="E2075" s="122">
        <v>3.03</v>
      </c>
      <c r="F2075" s="122">
        <v>0.05</v>
      </c>
      <c r="G2075" s="122">
        <v>10.092000000000001</v>
      </c>
    </row>
    <row r="2076" spans="2:7" x14ac:dyDescent="0.2">
      <c r="B2076" s="129" t="s">
        <v>3524</v>
      </c>
      <c r="C2076" s="122" t="s">
        <v>3525</v>
      </c>
      <c r="D2076" s="122">
        <v>0.87</v>
      </c>
      <c r="E2076" s="122">
        <v>1.1200000000000001</v>
      </c>
      <c r="F2076" s="122">
        <v>0.83</v>
      </c>
      <c r="G2076" s="122">
        <v>45.271990000000002</v>
      </c>
    </row>
    <row r="2077" spans="2:7" x14ac:dyDescent="0.2">
      <c r="B2077" s="129" t="s">
        <v>4710</v>
      </c>
      <c r="C2077" s="122" t="s">
        <v>4711</v>
      </c>
      <c r="D2077" s="122">
        <v>1.1399999999999999</v>
      </c>
      <c r="E2077" s="122">
        <v>1.91</v>
      </c>
      <c r="F2077" s="122"/>
      <c r="G2077" s="122">
        <v>22.607990000000001</v>
      </c>
    </row>
    <row r="2078" spans="2:7" x14ac:dyDescent="0.2">
      <c r="B2078" s="129" t="s">
        <v>3526</v>
      </c>
      <c r="C2078" s="122" t="s">
        <v>3527</v>
      </c>
      <c r="D2078" s="122">
        <v>0.93</v>
      </c>
      <c r="E2078" s="122">
        <v>0.95</v>
      </c>
      <c r="F2078" s="122">
        <v>-1.23</v>
      </c>
      <c r="G2078" s="122"/>
    </row>
    <row r="2079" spans="2:7" x14ac:dyDescent="0.2">
      <c r="B2079" s="129" t="s">
        <v>3528</v>
      </c>
      <c r="C2079" s="122" t="s">
        <v>3529</v>
      </c>
      <c r="D2079" s="122">
        <v>1.31</v>
      </c>
      <c r="E2079" s="122">
        <v>1.31</v>
      </c>
      <c r="F2079" s="122">
        <v>0.01</v>
      </c>
      <c r="G2079" s="122">
        <v>0.80567</v>
      </c>
    </row>
    <row r="2080" spans="2:7" x14ac:dyDescent="0.2">
      <c r="B2080" s="129" t="s">
        <v>3530</v>
      </c>
      <c r="C2080" s="122" t="s">
        <v>3531</v>
      </c>
      <c r="D2080" s="122">
        <v>4.28</v>
      </c>
      <c r="E2080" s="122">
        <v>4.29</v>
      </c>
      <c r="F2080" s="122">
        <v>0.13</v>
      </c>
      <c r="G2080" s="122">
        <v>12.54899</v>
      </c>
    </row>
    <row r="2081" spans="2:7" x14ac:dyDescent="0.2">
      <c r="B2081" s="129" t="s">
        <v>4712</v>
      </c>
      <c r="C2081" s="122" t="s">
        <v>4713</v>
      </c>
      <c r="D2081" s="122"/>
      <c r="E2081" s="122"/>
      <c r="F2081" s="122"/>
      <c r="G2081" s="122"/>
    </row>
    <row r="2082" spans="2:7" x14ac:dyDescent="0.2">
      <c r="B2082" s="129" t="s">
        <v>4714</v>
      </c>
      <c r="C2082" s="122" t="s">
        <v>4715</v>
      </c>
      <c r="D2082" s="122">
        <v>6.02</v>
      </c>
      <c r="E2082" s="122">
        <v>3.67</v>
      </c>
      <c r="F2082" s="122">
        <v>0.28000000000000003</v>
      </c>
      <c r="G2082" s="122">
        <v>22.070989999999998</v>
      </c>
    </row>
    <row r="2083" spans="2:7" x14ac:dyDescent="0.2">
      <c r="B2083" s="129" t="s">
        <v>3532</v>
      </c>
      <c r="C2083" s="122" t="s">
        <v>3533</v>
      </c>
      <c r="D2083" s="122">
        <v>0.75</v>
      </c>
      <c r="E2083" s="122">
        <v>0.75</v>
      </c>
      <c r="F2083" s="122">
        <v>4.4800000000000004</v>
      </c>
      <c r="G2083" s="122">
        <v>81.757000000000005</v>
      </c>
    </row>
    <row r="2084" spans="2:7" x14ac:dyDescent="0.2">
      <c r="B2084" s="129" t="s">
        <v>3534</v>
      </c>
      <c r="C2084" s="122" t="s">
        <v>3535</v>
      </c>
      <c r="D2084" s="122">
        <v>0.9</v>
      </c>
      <c r="E2084" s="122">
        <v>1.19</v>
      </c>
      <c r="F2084" s="122">
        <v>0.57999999999999996</v>
      </c>
      <c r="G2084" s="122">
        <v>36.555</v>
      </c>
    </row>
    <row r="2085" spans="2:7" x14ac:dyDescent="0.2">
      <c r="B2085" s="129" t="s">
        <v>3536</v>
      </c>
      <c r="C2085" s="122" t="s">
        <v>3537</v>
      </c>
      <c r="D2085" s="122">
        <v>0.49</v>
      </c>
      <c r="E2085" s="122">
        <v>0.99</v>
      </c>
      <c r="F2085" s="122">
        <v>1.07</v>
      </c>
      <c r="G2085" s="122">
        <v>51.643999999999998</v>
      </c>
    </row>
    <row r="2086" spans="2:7" x14ac:dyDescent="0.2">
      <c r="B2086" s="129" t="s">
        <v>3538</v>
      </c>
      <c r="C2086" s="122" t="s">
        <v>3539</v>
      </c>
      <c r="D2086" s="122">
        <v>1.67</v>
      </c>
      <c r="E2086" s="122">
        <v>0.67</v>
      </c>
      <c r="F2086" s="122">
        <v>0.23</v>
      </c>
      <c r="G2086" s="122">
        <v>18.645990000000001</v>
      </c>
    </row>
    <row r="2087" spans="2:7" x14ac:dyDescent="0.2">
      <c r="B2087" s="129" t="s">
        <v>4714</v>
      </c>
      <c r="C2087" s="122" t="s">
        <v>4716</v>
      </c>
      <c r="D2087" s="122">
        <v>6.02</v>
      </c>
      <c r="E2087" s="122">
        <v>3.67</v>
      </c>
      <c r="F2087" s="122">
        <v>0.28000000000000003</v>
      </c>
      <c r="G2087" s="122">
        <v>22.070989999999998</v>
      </c>
    </row>
    <row r="2088" spans="2:7" x14ac:dyDescent="0.2">
      <c r="B2088" s="129" t="s">
        <v>3540</v>
      </c>
      <c r="C2088" s="122" t="s">
        <v>3541</v>
      </c>
      <c r="D2088" s="122">
        <v>0.91</v>
      </c>
      <c r="E2088" s="122">
        <v>0.83</v>
      </c>
      <c r="F2088" s="122">
        <v>0.18</v>
      </c>
      <c r="G2088" s="122">
        <v>13.989990000000001</v>
      </c>
    </row>
    <row r="2089" spans="2:7" x14ac:dyDescent="0.2">
      <c r="B2089" s="129" t="s">
        <v>4717</v>
      </c>
      <c r="C2089" s="122" t="s">
        <v>4718</v>
      </c>
      <c r="D2089" s="122">
        <v>1.02</v>
      </c>
      <c r="E2089" s="122">
        <v>1.43</v>
      </c>
      <c r="F2089" s="122"/>
      <c r="G2089" s="122">
        <v>22.851990000000001</v>
      </c>
    </row>
    <row r="2090" spans="2:7" x14ac:dyDescent="0.2">
      <c r="B2090" s="129" t="s">
        <v>4719</v>
      </c>
      <c r="C2090" s="122" t="s">
        <v>4720</v>
      </c>
      <c r="D2090" s="122"/>
      <c r="E2090" s="122">
        <v>4</v>
      </c>
      <c r="F2090" s="122">
        <v>0.06</v>
      </c>
      <c r="G2090" s="122">
        <v>6.0744999999999996</v>
      </c>
    </row>
    <row r="2091" spans="2:7" x14ac:dyDescent="0.2">
      <c r="B2091" s="129" t="s">
        <v>3542</v>
      </c>
      <c r="C2091" s="122" t="s">
        <v>3543</v>
      </c>
      <c r="D2091" s="122">
        <v>1.56</v>
      </c>
      <c r="E2091" s="122">
        <v>1.99</v>
      </c>
      <c r="F2091" s="122">
        <v>0.33</v>
      </c>
      <c r="G2091" s="122">
        <v>25.065000000000001</v>
      </c>
    </row>
    <row r="2092" spans="2:7" x14ac:dyDescent="0.2">
      <c r="B2092" s="129" t="s">
        <v>3544</v>
      </c>
      <c r="C2092" s="122" t="s">
        <v>3545</v>
      </c>
      <c r="D2092" s="122">
        <v>0.27</v>
      </c>
      <c r="E2092" s="122">
        <v>0.2</v>
      </c>
      <c r="F2092" s="122">
        <v>1.61</v>
      </c>
      <c r="G2092" s="122">
        <v>61.69699</v>
      </c>
    </row>
    <row r="2093" spans="2:7" x14ac:dyDescent="0.2">
      <c r="B2093" s="129" t="s">
        <v>3546</v>
      </c>
      <c r="C2093" s="122" t="s">
        <v>3547</v>
      </c>
      <c r="D2093" s="122"/>
      <c r="E2093" s="122">
        <v>1.89</v>
      </c>
      <c r="F2093" s="122">
        <v>0</v>
      </c>
      <c r="G2093" s="122">
        <v>0</v>
      </c>
    </row>
    <row r="2094" spans="2:7" x14ac:dyDescent="0.2">
      <c r="B2094" s="129" t="s">
        <v>3548</v>
      </c>
      <c r="C2094" s="122" t="s">
        <v>3549</v>
      </c>
      <c r="D2094" s="122">
        <v>0.76</v>
      </c>
      <c r="E2094" s="122">
        <v>1.04</v>
      </c>
      <c r="F2094" s="122"/>
      <c r="G2094" s="122">
        <v>9.56569</v>
      </c>
    </row>
    <row r="2095" spans="2:7" x14ac:dyDescent="0.2">
      <c r="B2095" s="129" t="s">
        <v>3550</v>
      </c>
      <c r="C2095" s="122" t="s">
        <v>3551</v>
      </c>
      <c r="D2095" s="122">
        <v>4.12</v>
      </c>
      <c r="E2095" s="122">
        <v>3.77</v>
      </c>
      <c r="F2095" s="122">
        <v>0.01</v>
      </c>
      <c r="G2095" s="122">
        <v>1.1012999999999999</v>
      </c>
    </row>
    <row r="2096" spans="2:7" x14ac:dyDescent="0.2">
      <c r="B2096" s="129" t="s">
        <v>3552</v>
      </c>
      <c r="C2096" s="122" t="s">
        <v>3553</v>
      </c>
      <c r="D2096" s="122">
        <v>2.46</v>
      </c>
      <c r="E2096" s="122">
        <v>4.17</v>
      </c>
      <c r="F2096" s="122">
        <v>2.74</v>
      </c>
      <c r="G2096" s="122">
        <v>73.287999999999997</v>
      </c>
    </row>
    <row r="2097" spans="2:7" x14ac:dyDescent="0.2">
      <c r="B2097" s="129" t="s">
        <v>3554</v>
      </c>
      <c r="C2097" s="122" t="s">
        <v>3555</v>
      </c>
      <c r="D2097" s="122">
        <v>20.420000000000002</v>
      </c>
      <c r="E2097" s="122">
        <v>20.420000000000002</v>
      </c>
      <c r="F2097" s="122"/>
      <c r="G2097" s="122">
        <v>27.416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E2948-7A50-4C9B-BDE7-AD4D82693831}">
  <dimension ref="B2:H2097"/>
  <sheetViews>
    <sheetView zoomScale="150" zoomScaleNormal="150" workbookViewId="0">
      <selection activeCell="I14" sqref="I14"/>
    </sheetView>
  </sheetViews>
  <sheetFormatPr baseColWidth="10" defaultColWidth="9.1640625" defaultRowHeight="15" x14ac:dyDescent="0.2"/>
  <cols>
    <col min="1" max="1" width="9.1640625" style="6"/>
    <col min="2" max="2" width="29" style="6" customWidth="1"/>
    <col min="3" max="3" width="29" style="7" customWidth="1"/>
    <col min="4" max="6" width="33" style="7" customWidth="1"/>
    <col min="7" max="16384" width="9.1640625" style="6"/>
  </cols>
  <sheetData>
    <row r="2" spans="2:8" ht="16" thickBot="1" x14ac:dyDescent="0.25"/>
    <row r="3" spans="2:8" x14ac:dyDescent="0.2">
      <c r="B3" s="116" t="s">
        <v>307</v>
      </c>
      <c r="C3" s="117" t="s">
        <v>308</v>
      </c>
      <c r="D3" s="117" t="s">
        <v>4740</v>
      </c>
      <c r="E3" s="117" t="s">
        <v>4742</v>
      </c>
      <c r="F3" s="117" t="s">
        <v>4743</v>
      </c>
    </row>
    <row r="4" spans="2:8" x14ac:dyDescent="0.2">
      <c r="B4" s="120" t="s">
        <v>309</v>
      </c>
      <c r="C4" s="121" t="s">
        <v>310</v>
      </c>
      <c r="D4" s="122">
        <v>4.74</v>
      </c>
      <c r="E4" s="122">
        <v>5.08</v>
      </c>
      <c r="F4" s="122">
        <v>20</v>
      </c>
      <c r="H4" s="6" t="s">
        <v>4741</v>
      </c>
    </row>
    <row r="5" spans="2:8" x14ac:dyDescent="0.2">
      <c r="B5" s="120" t="s">
        <v>311</v>
      </c>
      <c r="C5" s="121" t="s">
        <v>312</v>
      </c>
      <c r="D5" s="122">
        <v>0.33</v>
      </c>
      <c r="E5" s="122">
        <v>0.59</v>
      </c>
      <c r="F5" s="122">
        <v>2.78</v>
      </c>
    </row>
    <row r="6" spans="2:8" x14ac:dyDescent="0.2">
      <c r="B6" s="120" t="s">
        <v>3807</v>
      </c>
      <c r="C6" s="121" t="s">
        <v>3808</v>
      </c>
      <c r="D6" s="122"/>
      <c r="E6" s="122"/>
      <c r="F6" s="122"/>
    </row>
    <row r="7" spans="2:8" x14ac:dyDescent="0.2">
      <c r="B7" s="120" t="s">
        <v>313</v>
      </c>
      <c r="C7" s="121" t="s">
        <v>314</v>
      </c>
      <c r="D7" s="122">
        <v>2.75</v>
      </c>
      <c r="E7" s="122">
        <v>2.59</v>
      </c>
      <c r="F7" s="122">
        <v>22.06</v>
      </c>
    </row>
    <row r="8" spans="2:8" x14ac:dyDescent="0.2">
      <c r="B8" s="120" t="s">
        <v>3809</v>
      </c>
      <c r="C8" s="121" t="s">
        <v>3810</v>
      </c>
      <c r="D8" s="122"/>
      <c r="E8" s="122"/>
      <c r="F8" s="122"/>
    </row>
    <row r="9" spans="2:8" x14ac:dyDescent="0.2">
      <c r="B9" s="120" t="s">
        <v>315</v>
      </c>
      <c r="C9" s="121" t="s">
        <v>316</v>
      </c>
      <c r="D9" s="122">
        <v>0.28000000000000003</v>
      </c>
      <c r="E9" s="122"/>
      <c r="F9" s="122">
        <v>-588.1</v>
      </c>
    </row>
    <row r="10" spans="2:8" x14ac:dyDescent="0.2">
      <c r="B10" s="120" t="s">
        <v>317</v>
      </c>
      <c r="C10" s="121" t="s">
        <v>318</v>
      </c>
      <c r="D10" s="122">
        <v>1.04</v>
      </c>
      <c r="E10" s="122">
        <v>2.25</v>
      </c>
      <c r="F10" s="122">
        <v>14.34</v>
      </c>
    </row>
    <row r="11" spans="2:8" x14ac:dyDescent="0.2">
      <c r="B11" s="120" t="s">
        <v>319</v>
      </c>
      <c r="C11" s="121" t="s">
        <v>320</v>
      </c>
      <c r="D11" s="122">
        <v>1.1499999999999999</v>
      </c>
      <c r="E11" s="122">
        <v>3.04</v>
      </c>
      <c r="F11" s="122">
        <v>15.16</v>
      </c>
    </row>
    <row r="12" spans="2:8" x14ac:dyDescent="0.2">
      <c r="B12" s="120" t="s">
        <v>321</v>
      </c>
      <c r="C12" s="121" t="s">
        <v>322</v>
      </c>
      <c r="D12" s="122">
        <v>3.8</v>
      </c>
      <c r="E12" s="122">
        <v>10.199999999999999</v>
      </c>
      <c r="F12" s="122">
        <v>52.13</v>
      </c>
    </row>
    <row r="13" spans="2:8" x14ac:dyDescent="0.2">
      <c r="B13" s="120" t="s">
        <v>323</v>
      </c>
      <c r="C13" s="121" t="s">
        <v>324</v>
      </c>
      <c r="D13" s="122">
        <v>8.41</v>
      </c>
      <c r="E13" s="122">
        <v>7.7</v>
      </c>
      <c r="F13" s="122">
        <v>3.19</v>
      </c>
    </row>
    <row r="14" spans="2:8" x14ac:dyDescent="0.2">
      <c r="B14" s="120" t="s">
        <v>325</v>
      </c>
      <c r="C14" s="121" t="s">
        <v>326</v>
      </c>
      <c r="D14" s="122">
        <v>1.4</v>
      </c>
      <c r="E14" s="122">
        <v>3.21</v>
      </c>
      <c r="F14" s="122">
        <v>18.97</v>
      </c>
    </row>
    <row r="15" spans="2:8" x14ac:dyDescent="0.2">
      <c r="B15" s="120" t="s">
        <v>327</v>
      </c>
      <c r="C15" s="121" t="s">
        <v>328</v>
      </c>
      <c r="D15" s="122">
        <v>3.28</v>
      </c>
      <c r="E15" s="122"/>
      <c r="F15" s="122">
        <v>-182.7</v>
      </c>
    </row>
    <row r="16" spans="2:8" x14ac:dyDescent="0.2">
      <c r="B16" s="120" t="s">
        <v>329</v>
      </c>
      <c r="C16" s="121" t="s">
        <v>330</v>
      </c>
      <c r="D16" s="122">
        <v>0.1</v>
      </c>
      <c r="E16" s="122">
        <v>5.76</v>
      </c>
      <c r="F16" s="122">
        <v>47.88</v>
      </c>
    </row>
    <row r="17" spans="2:6" x14ac:dyDescent="0.2">
      <c r="B17" s="120" t="s">
        <v>333</v>
      </c>
      <c r="C17" s="121" t="s">
        <v>334</v>
      </c>
      <c r="D17" s="122">
        <v>5.52</v>
      </c>
      <c r="E17" s="122">
        <v>4.53</v>
      </c>
      <c r="F17" s="122">
        <v>19.48</v>
      </c>
    </row>
    <row r="18" spans="2:6" x14ac:dyDescent="0.2">
      <c r="B18" s="120" t="s">
        <v>335</v>
      </c>
      <c r="C18" s="121" t="s">
        <v>336</v>
      </c>
      <c r="D18" s="122">
        <v>10.97</v>
      </c>
      <c r="E18" s="122">
        <v>8.7200000000000006</v>
      </c>
      <c r="F18" s="122">
        <v>19.84</v>
      </c>
    </row>
    <row r="19" spans="2:6" x14ac:dyDescent="0.2">
      <c r="B19" s="120" t="s">
        <v>337</v>
      </c>
      <c r="C19" s="121" t="s">
        <v>338</v>
      </c>
      <c r="D19" s="122">
        <v>4.78</v>
      </c>
      <c r="E19" s="122">
        <v>4.63</v>
      </c>
      <c r="F19" s="122">
        <v>17.260000000000002</v>
      </c>
    </row>
    <row r="20" spans="2:6" x14ac:dyDescent="0.2">
      <c r="B20" s="120" t="s">
        <v>339</v>
      </c>
      <c r="C20" s="121" t="s">
        <v>340</v>
      </c>
      <c r="D20" s="122">
        <v>22.29</v>
      </c>
      <c r="E20" s="122">
        <v>15.14</v>
      </c>
      <c r="F20" s="122">
        <v>-70.97</v>
      </c>
    </row>
    <row r="21" spans="2:6" x14ac:dyDescent="0.2">
      <c r="B21" s="120" t="s">
        <v>341</v>
      </c>
      <c r="C21" s="121" t="s">
        <v>342</v>
      </c>
      <c r="D21" s="122">
        <v>25.86</v>
      </c>
      <c r="E21" s="122">
        <v>1.54</v>
      </c>
      <c r="F21" s="122">
        <v>-0.83</v>
      </c>
    </row>
    <row r="22" spans="2:6" x14ac:dyDescent="0.2">
      <c r="B22" s="120" t="s">
        <v>343</v>
      </c>
      <c r="C22" s="121" t="s">
        <v>344</v>
      </c>
      <c r="D22" s="122">
        <v>7.05</v>
      </c>
      <c r="E22" s="122">
        <v>1.88</v>
      </c>
      <c r="F22" s="122">
        <v>2.0499999999999998</v>
      </c>
    </row>
    <row r="23" spans="2:6" x14ac:dyDescent="0.2">
      <c r="B23" s="120" t="s">
        <v>3811</v>
      </c>
      <c r="C23" s="121" t="s">
        <v>3812</v>
      </c>
      <c r="D23" s="122">
        <v>0.6</v>
      </c>
      <c r="E23" s="122">
        <v>3.43</v>
      </c>
      <c r="F23" s="122">
        <v>22.87</v>
      </c>
    </row>
    <row r="24" spans="2:6" x14ac:dyDescent="0.2">
      <c r="B24" s="120" t="s">
        <v>3813</v>
      </c>
      <c r="C24" s="121" t="s">
        <v>3814</v>
      </c>
      <c r="D24" s="122"/>
      <c r="E24" s="122">
        <v>0.56000000000000005</v>
      </c>
      <c r="F24" s="122"/>
    </row>
    <row r="25" spans="2:6" x14ac:dyDescent="0.2">
      <c r="B25" s="120" t="s">
        <v>345</v>
      </c>
      <c r="C25" s="121" t="s">
        <v>346</v>
      </c>
      <c r="D25" s="122">
        <v>2.65</v>
      </c>
      <c r="E25" s="122">
        <v>1.53</v>
      </c>
      <c r="F25" s="122">
        <v>10.58</v>
      </c>
    </row>
    <row r="26" spans="2:6" x14ac:dyDescent="0.2">
      <c r="B26" s="120" t="s">
        <v>3815</v>
      </c>
      <c r="C26" s="121" t="s">
        <v>3816</v>
      </c>
      <c r="D26" s="122">
        <v>0.2</v>
      </c>
      <c r="E26" s="122">
        <v>0.48</v>
      </c>
      <c r="F26" s="122">
        <v>0.97</v>
      </c>
    </row>
    <row r="27" spans="2:6" x14ac:dyDescent="0.2">
      <c r="B27" s="120" t="s">
        <v>347</v>
      </c>
      <c r="C27" s="121" t="s">
        <v>348</v>
      </c>
      <c r="D27" s="122">
        <v>3.48</v>
      </c>
      <c r="E27" s="122">
        <v>3.35</v>
      </c>
      <c r="F27" s="122">
        <v>10.14</v>
      </c>
    </row>
    <row r="28" spans="2:6" x14ac:dyDescent="0.2">
      <c r="B28" s="120" t="s">
        <v>349</v>
      </c>
      <c r="C28" s="121" t="s">
        <v>350</v>
      </c>
      <c r="D28" s="122">
        <v>0.28999999999999998</v>
      </c>
      <c r="E28" s="122">
        <v>1.31</v>
      </c>
      <c r="F28" s="122">
        <v>10.27</v>
      </c>
    </row>
    <row r="29" spans="2:6" x14ac:dyDescent="0.2">
      <c r="B29" s="120" t="s">
        <v>351</v>
      </c>
      <c r="C29" s="121" t="s">
        <v>352</v>
      </c>
      <c r="D29" s="122">
        <v>3.03</v>
      </c>
      <c r="E29" s="122">
        <v>9.17</v>
      </c>
      <c r="F29" s="122">
        <v>36.24</v>
      </c>
    </row>
    <row r="30" spans="2:6" x14ac:dyDescent="0.2">
      <c r="B30" s="120" t="s">
        <v>3817</v>
      </c>
      <c r="C30" s="121" t="s">
        <v>3818</v>
      </c>
      <c r="D30" s="122"/>
      <c r="E30" s="122"/>
      <c r="F30" s="122"/>
    </row>
    <row r="31" spans="2:6" x14ac:dyDescent="0.2">
      <c r="B31" s="120" t="s">
        <v>353</v>
      </c>
      <c r="C31" s="121" t="s">
        <v>354</v>
      </c>
      <c r="D31" s="122">
        <v>12.67</v>
      </c>
      <c r="E31" s="122">
        <v>13.17</v>
      </c>
      <c r="F31" s="122">
        <v>30.49</v>
      </c>
    </row>
    <row r="32" spans="2:6" x14ac:dyDescent="0.2">
      <c r="B32" s="120" t="s">
        <v>355</v>
      </c>
      <c r="C32" s="121" t="s">
        <v>356</v>
      </c>
      <c r="D32" s="122">
        <v>18.64</v>
      </c>
      <c r="E32" s="122">
        <v>2.1</v>
      </c>
      <c r="F32" s="122">
        <v>5.19</v>
      </c>
    </row>
    <row r="33" spans="2:6" x14ac:dyDescent="0.2">
      <c r="B33" s="120" t="s">
        <v>357</v>
      </c>
      <c r="C33" s="121" t="s">
        <v>358</v>
      </c>
      <c r="D33" s="122">
        <v>2.33</v>
      </c>
      <c r="E33" s="122">
        <v>8.09</v>
      </c>
      <c r="F33" s="122">
        <v>27.74</v>
      </c>
    </row>
    <row r="34" spans="2:6" x14ac:dyDescent="0.2">
      <c r="B34" s="120" t="s">
        <v>359</v>
      </c>
      <c r="C34" s="121" t="s">
        <v>360</v>
      </c>
      <c r="D34" s="122">
        <v>6.93</v>
      </c>
      <c r="E34" s="122">
        <v>3.61</v>
      </c>
      <c r="F34" s="122">
        <v>17.87</v>
      </c>
    </row>
    <row r="35" spans="2:6" x14ac:dyDescent="0.2">
      <c r="B35" s="120" t="s">
        <v>361</v>
      </c>
      <c r="C35" s="121" t="s">
        <v>362</v>
      </c>
      <c r="D35" s="122">
        <v>0.36</v>
      </c>
      <c r="E35" s="122">
        <v>1.21</v>
      </c>
      <c r="F35" s="122">
        <v>8.5299999999999994</v>
      </c>
    </row>
    <row r="36" spans="2:6" x14ac:dyDescent="0.2">
      <c r="B36" s="120" t="s">
        <v>363</v>
      </c>
      <c r="C36" s="121" t="s">
        <v>364</v>
      </c>
      <c r="D36" s="122">
        <v>4.88</v>
      </c>
      <c r="E36" s="122">
        <v>12.84</v>
      </c>
      <c r="F36" s="122">
        <v>47.48</v>
      </c>
    </row>
    <row r="37" spans="2:6" x14ac:dyDescent="0.2">
      <c r="B37" s="120" t="s">
        <v>3819</v>
      </c>
      <c r="C37" s="121" t="s">
        <v>3820</v>
      </c>
      <c r="D37" s="122"/>
      <c r="E37" s="122"/>
      <c r="F37" s="122"/>
    </row>
    <row r="38" spans="2:6" x14ac:dyDescent="0.2">
      <c r="B38" s="120" t="s">
        <v>365</v>
      </c>
      <c r="C38" s="121" t="s">
        <v>366</v>
      </c>
      <c r="D38" s="122">
        <v>0.38</v>
      </c>
      <c r="E38" s="122">
        <v>1.71</v>
      </c>
      <c r="F38" s="122">
        <v>13.56</v>
      </c>
    </row>
    <row r="39" spans="2:6" x14ac:dyDescent="0.2">
      <c r="B39" s="120" t="s">
        <v>3821</v>
      </c>
      <c r="C39" s="121" t="s">
        <v>3822</v>
      </c>
      <c r="D39" s="122">
        <v>0.5</v>
      </c>
      <c r="E39" s="122">
        <v>2.73</v>
      </c>
      <c r="F39" s="122">
        <v>15.95</v>
      </c>
    </row>
    <row r="40" spans="2:6" x14ac:dyDescent="0.2">
      <c r="B40" s="120" t="s">
        <v>367</v>
      </c>
      <c r="C40" s="121" t="s">
        <v>368</v>
      </c>
      <c r="D40" s="122">
        <v>1</v>
      </c>
      <c r="E40" s="122">
        <v>2.78</v>
      </c>
      <c r="F40" s="122">
        <v>46.72</v>
      </c>
    </row>
    <row r="41" spans="2:6" x14ac:dyDescent="0.2">
      <c r="B41" s="120" t="s">
        <v>369</v>
      </c>
      <c r="C41" s="121" t="s">
        <v>370</v>
      </c>
      <c r="D41" s="122">
        <v>11.49</v>
      </c>
      <c r="E41" s="122"/>
      <c r="F41" s="122">
        <v>-59.32</v>
      </c>
    </row>
    <row r="42" spans="2:6" x14ac:dyDescent="0.2">
      <c r="B42" s="120" t="s">
        <v>371</v>
      </c>
      <c r="C42" s="121" t="s">
        <v>372</v>
      </c>
      <c r="D42" s="122">
        <v>0.93</v>
      </c>
      <c r="E42" s="122">
        <v>1.19</v>
      </c>
      <c r="F42" s="122">
        <v>-1.75</v>
      </c>
    </row>
    <row r="43" spans="2:6" x14ac:dyDescent="0.2">
      <c r="B43" s="120" t="s">
        <v>373</v>
      </c>
      <c r="C43" s="121" t="s">
        <v>374</v>
      </c>
      <c r="D43" s="122">
        <v>3.2</v>
      </c>
      <c r="E43" s="122">
        <v>2.4500000000000002</v>
      </c>
      <c r="F43" s="122">
        <v>10.31</v>
      </c>
    </row>
    <row r="44" spans="2:6" x14ac:dyDescent="0.2">
      <c r="B44" s="120" t="s">
        <v>375</v>
      </c>
      <c r="C44" s="121" t="s">
        <v>376</v>
      </c>
      <c r="D44" s="122"/>
      <c r="E44" s="122">
        <v>0.41</v>
      </c>
      <c r="F44" s="122"/>
    </row>
    <row r="45" spans="2:6" x14ac:dyDescent="0.2">
      <c r="B45" s="120" t="s">
        <v>377</v>
      </c>
      <c r="C45" s="121" t="s">
        <v>378</v>
      </c>
      <c r="D45" s="122">
        <v>6.56</v>
      </c>
      <c r="E45" s="122">
        <v>2.97</v>
      </c>
      <c r="F45" s="122">
        <v>1.92</v>
      </c>
    </row>
    <row r="46" spans="2:6" x14ac:dyDescent="0.2">
      <c r="B46" s="120" t="s">
        <v>379</v>
      </c>
      <c r="C46" s="121" t="s">
        <v>380</v>
      </c>
      <c r="D46" s="122">
        <v>2.92</v>
      </c>
      <c r="E46" s="122">
        <v>2.37</v>
      </c>
      <c r="F46" s="122">
        <v>10.69</v>
      </c>
    </row>
    <row r="47" spans="2:6" x14ac:dyDescent="0.2">
      <c r="B47" s="120" t="s">
        <v>381</v>
      </c>
      <c r="C47" s="121" t="s">
        <v>382</v>
      </c>
      <c r="D47" s="122">
        <v>1.55</v>
      </c>
      <c r="E47" s="122">
        <v>0.92</v>
      </c>
      <c r="F47" s="122">
        <v>11.85</v>
      </c>
    </row>
    <row r="48" spans="2:6" x14ac:dyDescent="0.2">
      <c r="B48" s="120" t="s">
        <v>383</v>
      </c>
      <c r="C48" s="121" t="s">
        <v>384</v>
      </c>
      <c r="D48" s="122">
        <v>1.01</v>
      </c>
      <c r="E48" s="122">
        <v>1.95</v>
      </c>
      <c r="F48" s="122">
        <v>18.940000000000001</v>
      </c>
    </row>
    <row r="49" spans="2:6" x14ac:dyDescent="0.2">
      <c r="B49" s="120" t="s">
        <v>3823</v>
      </c>
      <c r="C49" s="121" t="s">
        <v>3824</v>
      </c>
      <c r="D49" s="122"/>
      <c r="E49" s="122">
        <v>0.99</v>
      </c>
      <c r="F49" s="122"/>
    </row>
    <row r="50" spans="2:6" x14ac:dyDescent="0.2">
      <c r="B50" s="120" t="s">
        <v>385</v>
      </c>
      <c r="C50" s="121" t="s">
        <v>386</v>
      </c>
      <c r="D50" s="122">
        <v>1.26</v>
      </c>
      <c r="E50" s="122">
        <v>1.59</v>
      </c>
      <c r="F50" s="122">
        <v>13.39</v>
      </c>
    </row>
    <row r="51" spans="2:6" x14ac:dyDescent="0.2">
      <c r="B51" s="120" t="s">
        <v>387</v>
      </c>
      <c r="C51" s="121" t="s">
        <v>388</v>
      </c>
      <c r="D51" s="122">
        <v>1.76</v>
      </c>
      <c r="E51" s="122">
        <v>1.36</v>
      </c>
      <c r="F51" s="122">
        <v>12.94</v>
      </c>
    </row>
    <row r="52" spans="2:6" x14ac:dyDescent="0.2">
      <c r="B52" s="120" t="s">
        <v>389</v>
      </c>
      <c r="C52" s="121" t="s">
        <v>390</v>
      </c>
      <c r="D52" s="122">
        <v>0.14000000000000001</v>
      </c>
      <c r="E52" s="122">
        <v>1.95</v>
      </c>
      <c r="F52" s="122">
        <v>12.8</v>
      </c>
    </row>
    <row r="53" spans="2:6" x14ac:dyDescent="0.2">
      <c r="B53" s="120" t="s">
        <v>391</v>
      </c>
      <c r="C53" s="121" t="s">
        <v>392</v>
      </c>
      <c r="D53" s="122">
        <v>0.63</v>
      </c>
      <c r="E53" s="122">
        <v>1.88</v>
      </c>
      <c r="F53" s="122">
        <v>12.64</v>
      </c>
    </row>
    <row r="54" spans="2:6" x14ac:dyDescent="0.2">
      <c r="B54" s="120" t="s">
        <v>393</v>
      </c>
      <c r="C54" s="121" t="s">
        <v>394</v>
      </c>
      <c r="D54" s="122">
        <v>0.7</v>
      </c>
      <c r="E54" s="122">
        <v>0.8</v>
      </c>
      <c r="F54" s="122">
        <v>8.11</v>
      </c>
    </row>
    <row r="55" spans="2:6" x14ac:dyDescent="0.2">
      <c r="B55" s="120" t="s">
        <v>3825</v>
      </c>
      <c r="C55" s="121" t="s">
        <v>3826</v>
      </c>
      <c r="D55" s="122"/>
      <c r="E55" s="122"/>
      <c r="F55" s="122"/>
    </row>
    <row r="56" spans="2:6" x14ac:dyDescent="0.2">
      <c r="B56" s="120" t="s">
        <v>395</v>
      </c>
      <c r="C56" s="121" t="s">
        <v>396</v>
      </c>
      <c r="D56" s="122">
        <v>3.48</v>
      </c>
      <c r="E56" s="122">
        <v>0.91</v>
      </c>
      <c r="F56" s="122">
        <v>8.73</v>
      </c>
    </row>
    <row r="57" spans="2:6" x14ac:dyDescent="0.2">
      <c r="B57" s="120" t="s">
        <v>397</v>
      </c>
      <c r="C57" s="121" t="s">
        <v>398</v>
      </c>
      <c r="D57" s="122">
        <v>7.24</v>
      </c>
      <c r="E57" s="122">
        <v>0.91</v>
      </c>
      <c r="F57" s="122">
        <v>11.47</v>
      </c>
    </row>
    <row r="58" spans="2:6" x14ac:dyDescent="0.2">
      <c r="B58" s="120" t="s">
        <v>3827</v>
      </c>
      <c r="C58" s="121" t="s">
        <v>3828</v>
      </c>
      <c r="D58" s="122">
        <v>4.7300000000000004</v>
      </c>
      <c r="E58" s="122">
        <v>0.69</v>
      </c>
      <c r="F58" s="122">
        <v>7.24</v>
      </c>
    </row>
    <row r="59" spans="2:6" x14ac:dyDescent="0.2">
      <c r="B59" s="120" t="s">
        <v>3829</v>
      </c>
      <c r="C59" s="121" t="s">
        <v>3830</v>
      </c>
      <c r="D59" s="122"/>
      <c r="E59" s="122">
        <v>0.63</v>
      </c>
      <c r="F59" s="122"/>
    </row>
    <row r="60" spans="2:6" x14ac:dyDescent="0.2">
      <c r="B60" s="120" t="s">
        <v>399</v>
      </c>
      <c r="C60" s="121" t="s">
        <v>400</v>
      </c>
      <c r="D60" s="122">
        <v>2.4700000000000002</v>
      </c>
      <c r="E60" s="122">
        <v>1.02</v>
      </c>
      <c r="F60" s="122">
        <v>4.09</v>
      </c>
    </row>
    <row r="61" spans="2:6" x14ac:dyDescent="0.2">
      <c r="B61" s="120" t="s">
        <v>401</v>
      </c>
      <c r="C61" s="121" t="s">
        <v>402</v>
      </c>
      <c r="D61" s="122"/>
      <c r="E61" s="122">
        <v>0.44</v>
      </c>
      <c r="F61" s="122"/>
    </row>
    <row r="62" spans="2:6" x14ac:dyDescent="0.2">
      <c r="B62" s="120" t="s">
        <v>3831</v>
      </c>
      <c r="C62" s="121" t="s">
        <v>3832</v>
      </c>
      <c r="D62" s="122">
        <v>0.34</v>
      </c>
      <c r="E62" s="122">
        <v>2.2200000000000002</v>
      </c>
      <c r="F62" s="122">
        <v>18.36</v>
      </c>
    </row>
    <row r="63" spans="2:6" x14ac:dyDescent="0.2">
      <c r="B63" s="120" t="s">
        <v>403</v>
      </c>
      <c r="C63" s="121" t="s">
        <v>404</v>
      </c>
      <c r="D63" s="122">
        <v>0.73</v>
      </c>
      <c r="E63" s="122">
        <v>1.1599999999999999</v>
      </c>
      <c r="F63" s="122">
        <v>10.98</v>
      </c>
    </row>
    <row r="64" spans="2:6" x14ac:dyDescent="0.2">
      <c r="B64" s="120" t="s">
        <v>405</v>
      </c>
      <c r="C64" s="121" t="s">
        <v>406</v>
      </c>
      <c r="D64" s="122">
        <v>1.02</v>
      </c>
      <c r="E64" s="122">
        <v>0.76</v>
      </c>
      <c r="F64" s="122">
        <v>2.97</v>
      </c>
    </row>
    <row r="65" spans="2:6" x14ac:dyDescent="0.2">
      <c r="B65" s="120" t="s">
        <v>407</v>
      </c>
      <c r="C65" s="121" t="s">
        <v>408</v>
      </c>
      <c r="D65" s="122"/>
      <c r="E65" s="122">
        <v>3.04</v>
      </c>
      <c r="F65" s="122"/>
    </row>
    <row r="66" spans="2:6" x14ac:dyDescent="0.2">
      <c r="B66" s="120" t="s">
        <v>409</v>
      </c>
      <c r="C66" s="121" t="s">
        <v>410</v>
      </c>
      <c r="D66" s="122">
        <v>0.64</v>
      </c>
      <c r="E66" s="122">
        <v>0.28999999999999998</v>
      </c>
      <c r="F66" s="122">
        <v>7.35</v>
      </c>
    </row>
    <row r="67" spans="2:6" x14ac:dyDescent="0.2">
      <c r="B67" s="120" t="s">
        <v>411</v>
      </c>
      <c r="C67" s="121" t="s">
        <v>412</v>
      </c>
      <c r="D67" s="122">
        <v>8.19</v>
      </c>
      <c r="E67" s="122">
        <v>4.13</v>
      </c>
      <c r="F67" s="122">
        <v>49.61</v>
      </c>
    </row>
    <row r="68" spans="2:6" x14ac:dyDescent="0.2">
      <c r="B68" s="120" t="s">
        <v>413</v>
      </c>
      <c r="C68" s="121" t="s">
        <v>414</v>
      </c>
      <c r="D68" s="122">
        <v>0.81</v>
      </c>
      <c r="E68" s="122">
        <v>1.35</v>
      </c>
      <c r="F68" s="122">
        <v>7.58</v>
      </c>
    </row>
    <row r="69" spans="2:6" x14ac:dyDescent="0.2">
      <c r="B69" s="120" t="s">
        <v>415</v>
      </c>
      <c r="C69" s="121" t="s">
        <v>416</v>
      </c>
      <c r="D69" s="122">
        <v>2.34</v>
      </c>
      <c r="E69" s="122">
        <v>3.34</v>
      </c>
      <c r="F69" s="122">
        <v>14.19</v>
      </c>
    </row>
    <row r="70" spans="2:6" x14ac:dyDescent="0.2">
      <c r="B70" s="120" t="s">
        <v>3833</v>
      </c>
      <c r="C70" s="121" t="s">
        <v>3834</v>
      </c>
      <c r="D70" s="122">
        <v>0.96</v>
      </c>
      <c r="E70" s="122">
        <v>1.62</v>
      </c>
      <c r="F70" s="122"/>
    </row>
    <row r="71" spans="2:6" x14ac:dyDescent="0.2">
      <c r="B71" s="120" t="s">
        <v>417</v>
      </c>
      <c r="C71" s="121" t="s">
        <v>418</v>
      </c>
      <c r="D71" s="122"/>
      <c r="E71" s="122"/>
      <c r="F71" s="122"/>
    </row>
    <row r="72" spans="2:6" x14ac:dyDescent="0.2">
      <c r="B72" s="120" t="s">
        <v>419</v>
      </c>
      <c r="C72" s="121" t="s">
        <v>420</v>
      </c>
      <c r="D72" s="122">
        <v>2.12</v>
      </c>
      <c r="E72" s="122">
        <v>7.78</v>
      </c>
      <c r="F72" s="122">
        <v>30.58</v>
      </c>
    </row>
    <row r="73" spans="2:6" x14ac:dyDescent="0.2">
      <c r="B73" s="120" t="s">
        <v>421</v>
      </c>
      <c r="C73" s="121" t="s">
        <v>422</v>
      </c>
      <c r="D73" s="122">
        <v>5.28</v>
      </c>
      <c r="E73" s="122">
        <v>4.32</v>
      </c>
      <c r="F73" s="122">
        <v>16.32</v>
      </c>
    </row>
    <row r="74" spans="2:6" x14ac:dyDescent="0.2">
      <c r="B74" s="120" t="s">
        <v>3835</v>
      </c>
      <c r="C74" s="121" t="s">
        <v>3836</v>
      </c>
      <c r="D74" s="122">
        <v>0.77</v>
      </c>
      <c r="E74" s="122">
        <v>0.73</v>
      </c>
      <c r="F74" s="122">
        <v>12.37</v>
      </c>
    </row>
    <row r="75" spans="2:6" x14ac:dyDescent="0.2">
      <c r="B75" s="120" t="s">
        <v>423</v>
      </c>
      <c r="C75" s="121" t="s">
        <v>424</v>
      </c>
      <c r="D75" s="122">
        <v>1.75</v>
      </c>
      <c r="E75" s="122">
        <v>2.23</v>
      </c>
      <c r="F75" s="122">
        <v>5.79</v>
      </c>
    </row>
    <row r="76" spans="2:6" x14ac:dyDescent="0.2">
      <c r="B76" s="120" t="s">
        <v>425</v>
      </c>
      <c r="C76" s="121" t="s">
        <v>426</v>
      </c>
      <c r="D76" s="122">
        <v>2.59</v>
      </c>
      <c r="E76" s="122">
        <v>0.89</v>
      </c>
      <c r="F76" s="122">
        <v>11.16</v>
      </c>
    </row>
    <row r="77" spans="2:6" x14ac:dyDescent="0.2">
      <c r="B77" s="120" t="s">
        <v>427</v>
      </c>
      <c r="C77" s="121" t="s">
        <v>428</v>
      </c>
      <c r="D77" s="122">
        <v>2.14</v>
      </c>
      <c r="E77" s="122">
        <v>1.84</v>
      </c>
      <c r="F77" s="122">
        <v>15.71</v>
      </c>
    </row>
    <row r="78" spans="2:6" x14ac:dyDescent="0.2">
      <c r="B78" s="120" t="s">
        <v>429</v>
      </c>
      <c r="C78" s="121" t="s">
        <v>430</v>
      </c>
      <c r="D78" s="122">
        <v>3.12</v>
      </c>
      <c r="E78" s="122">
        <v>2.04</v>
      </c>
      <c r="F78" s="122">
        <v>9.14</v>
      </c>
    </row>
    <row r="79" spans="2:6" x14ac:dyDescent="0.2">
      <c r="B79" s="120" t="s">
        <v>3837</v>
      </c>
      <c r="C79" s="121" t="s">
        <v>3838</v>
      </c>
      <c r="D79" s="122">
        <v>1.71</v>
      </c>
      <c r="E79" s="122">
        <v>3.06</v>
      </c>
      <c r="F79" s="122">
        <v>20.68</v>
      </c>
    </row>
    <row r="80" spans="2:6" x14ac:dyDescent="0.2">
      <c r="B80" s="120" t="s">
        <v>431</v>
      </c>
      <c r="C80" s="121" t="s">
        <v>432</v>
      </c>
      <c r="D80" s="122">
        <v>6.81</v>
      </c>
      <c r="E80" s="122">
        <v>10.85</v>
      </c>
      <c r="F80" s="122">
        <v>29.26</v>
      </c>
    </row>
    <row r="81" spans="2:6" x14ac:dyDescent="0.2">
      <c r="B81" s="120" t="s">
        <v>433</v>
      </c>
      <c r="C81" s="121" t="s">
        <v>434</v>
      </c>
      <c r="D81" s="122">
        <v>0.95</v>
      </c>
      <c r="E81" s="122">
        <v>2.02</v>
      </c>
      <c r="F81" s="122">
        <v>16.28</v>
      </c>
    </row>
    <row r="82" spans="2:6" x14ac:dyDescent="0.2">
      <c r="B82" s="120" t="s">
        <v>435</v>
      </c>
      <c r="C82" s="121" t="s">
        <v>436</v>
      </c>
      <c r="D82" s="122">
        <v>3.12</v>
      </c>
      <c r="E82" s="122">
        <v>3.05</v>
      </c>
      <c r="F82" s="122">
        <v>-4.13</v>
      </c>
    </row>
    <row r="83" spans="2:6" x14ac:dyDescent="0.2">
      <c r="B83" s="120" t="s">
        <v>437</v>
      </c>
      <c r="C83" s="121" t="s">
        <v>438</v>
      </c>
      <c r="D83" s="122">
        <v>0.84</v>
      </c>
      <c r="E83" s="122">
        <v>1.58</v>
      </c>
      <c r="F83" s="122">
        <v>12.66</v>
      </c>
    </row>
    <row r="84" spans="2:6" x14ac:dyDescent="0.2">
      <c r="B84" s="120" t="s">
        <v>439</v>
      </c>
      <c r="C84" s="121" t="s">
        <v>440</v>
      </c>
      <c r="D84" s="122">
        <v>3.39</v>
      </c>
      <c r="E84" s="122">
        <v>14.29</v>
      </c>
      <c r="F84" s="122">
        <v>68.47</v>
      </c>
    </row>
    <row r="85" spans="2:6" x14ac:dyDescent="0.2">
      <c r="B85" s="120" t="s">
        <v>441</v>
      </c>
      <c r="C85" s="121" t="s">
        <v>442</v>
      </c>
      <c r="D85" s="122"/>
      <c r="E85" s="122">
        <v>24.76</v>
      </c>
      <c r="F85" s="122">
        <v>-36.97</v>
      </c>
    </row>
    <row r="86" spans="2:6" x14ac:dyDescent="0.2">
      <c r="B86" s="120" t="s">
        <v>443</v>
      </c>
      <c r="C86" s="121" t="s">
        <v>444</v>
      </c>
      <c r="D86" s="122"/>
      <c r="E86" s="122">
        <v>6.12</v>
      </c>
      <c r="F86" s="122">
        <v>-31</v>
      </c>
    </row>
    <row r="87" spans="2:6" x14ac:dyDescent="0.2">
      <c r="B87" s="120" t="s">
        <v>445</v>
      </c>
      <c r="C87" s="121" t="s">
        <v>446</v>
      </c>
      <c r="D87" s="122">
        <v>2.16</v>
      </c>
      <c r="E87" s="122">
        <v>0.92</v>
      </c>
      <c r="F87" s="122">
        <v>10.89</v>
      </c>
    </row>
    <row r="88" spans="2:6" x14ac:dyDescent="0.2">
      <c r="B88" s="120" t="s">
        <v>3839</v>
      </c>
      <c r="C88" s="121" t="s">
        <v>3840</v>
      </c>
      <c r="D88" s="122">
        <v>0.62</v>
      </c>
      <c r="E88" s="122">
        <v>1.1599999999999999</v>
      </c>
      <c r="F88" s="122">
        <v>9.8800000000000008</v>
      </c>
    </row>
    <row r="89" spans="2:6" x14ac:dyDescent="0.2">
      <c r="B89" s="120" t="s">
        <v>447</v>
      </c>
      <c r="C89" s="121" t="s">
        <v>448</v>
      </c>
      <c r="D89" s="122">
        <v>95.14</v>
      </c>
      <c r="E89" s="122">
        <v>5.24</v>
      </c>
      <c r="F89" s="122">
        <v>-56.42</v>
      </c>
    </row>
    <row r="90" spans="2:6" x14ac:dyDescent="0.2">
      <c r="B90" s="120" t="s">
        <v>3841</v>
      </c>
      <c r="C90" s="121" t="s">
        <v>3842</v>
      </c>
      <c r="D90" s="122">
        <v>2.39</v>
      </c>
      <c r="E90" s="122">
        <v>2.4700000000000002</v>
      </c>
      <c r="F90" s="122">
        <v>17.71</v>
      </c>
    </row>
    <row r="91" spans="2:6" x14ac:dyDescent="0.2">
      <c r="B91" s="120" t="s">
        <v>3843</v>
      </c>
      <c r="C91" s="121" t="s">
        <v>3844</v>
      </c>
      <c r="D91" s="122"/>
      <c r="E91" s="122">
        <v>1.9</v>
      </c>
      <c r="F91" s="122"/>
    </row>
    <row r="92" spans="2:6" x14ac:dyDescent="0.2">
      <c r="B92" s="120" t="s">
        <v>449</v>
      </c>
      <c r="C92" s="121" t="s">
        <v>450</v>
      </c>
      <c r="D92" s="122">
        <v>2.0299999999999998</v>
      </c>
      <c r="E92" s="122">
        <v>8.36</v>
      </c>
      <c r="F92" s="122">
        <v>96.05</v>
      </c>
    </row>
    <row r="93" spans="2:6" x14ac:dyDescent="0.2">
      <c r="B93" s="120" t="s">
        <v>451</v>
      </c>
      <c r="C93" s="121" t="s">
        <v>452</v>
      </c>
      <c r="D93" s="122">
        <v>0.8</v>
      </c>
      <c r="E93" s="122">
        <v>3.35</v>
      </c>
      <c r="F93" s="122">
        <v>23.49</v>
      </c>
    </row>
    <row r="94" spans="2:6" x14ac:dyDescent="0.2">
      <c r="B94" s="120" t="s">
        <v>453</v>
      </c>
      <c r="C94" s="121" t="s">
        <v>454</v>
      </c>
      <c r="D94" s="122">
        <v>5.3</v>
      </c>
      <c r="E94" s="122">
        <v>2.35</v>
      </c>
      <c r="F94" s="122">
        <v>20.23</v>
      </c>
    </row>
    <row r="95" spans="2:6" x14ac:dyDescent="0.2">
      <c r="B95" s="120" t="s">
        <v>455</v>
      </c>
      <c r="C95" s="121" t="s">
        <v>456</v>
      </c>
      <c r="D95" s="122">
        <v>9.5299999999999994</v>
      </c>
      <c r="E95" s="122">
        <v>0.94</v>
      </c>
      <c r="F95" s="122">
        <v>10.52</v>
      </c>
    </row>
    <row r="96" spans="2:6" x14ac:dyDescent="0.2">
      <c r="B96" s="120" t="s">
        <v>457</v>
      </c>
      <c r="C96" s="121" t="s">
        <v>458</v>
      </c>
      <c r="D96" s="122">
        <v>5.66</v>
      </c>
      <c r="E96" s="122">
        <v>8.67</v>
      </c>
      <c r="F96" s="122"/>
    </row>
    <row r="97" spans="2:6" x14ac:dyDescent="0.2">
      <c r="B97" s="120" t="s">
        <v>459</v>
      </c>
      <c r="C97" s="121" t="s">
        <v>460</v>
      </c>
      <c r="D97" s="122">
        <v>3.17</v>
      </c>
      <c r="E97" s="122">
        <v>5.8</v>
      </c>
      <c r="F97" s="122">
        <v>39.369999999999997</v>
      </c>
    </row>
    <row r="98" spans="2:6" x14ac:dyDescent="0.2">
      <c r="B98" s="120" t="s">
        <v>3845</v>
      </c>
      <c r="C98" s="121" t="s">
        <v>3846</v>
      </c>
      <c r="D98" s="122">
        <v>1.5</v>
      </c>
      <c r="E98" s="122">
        <v>2.76</v>
      </c>
      <c r="F98" s="122">
        <v>22.1</v>
      </c>
    </row>
    <row r="99" spans="2:6" x14ac:dyDescent="0.2">
      <c r="B99" s="120" t="s">
        <v>461</v>
      </c>
      <c r="C99" s="121" t="s">
        <v>462</v>
      </c>
      <c r="D99" s="122">
        <v>5.55</v>
      </c>
      <c r="E99" s="122">
        <v>17.16</v>
      </c>
      <c r="F99" s="122">
        <v>16.04</v>
      </c>
    </row>
    <row r="100" spans="2:6" x14ac:dyDescent="0.2">
      <c r="B100" s="120" t="s">
        <v>3847</v>
      </c>
      <c r="C100" s="121" t="s">
        <v>3848</v>
      </c>
      <c r="D100" s="122">
        <v>1.22</v>
      </c>
      <c r="E100" s="122">
        <v>0.93</v>
      </c>
      <c r="F100" s="122">
        <v>7.57</v>
      </c>
    </row>
    <row r="101" spans="2:6" x14ac:dyDescent="0.2">
      <c r="B101" s="120" t="s">
        <v>463</v>
      </c>
      <c r="C101" s="121" t="s">
        <v>464</v>
      </c>
      <c r="D101" s="122">
        <v>4.07</v>
      </c>
      <c r="E101" s="122">
        <v>4.4000000000000004</v>
      </c>
      <c r="F101" s="122">
        <v>19.27</v>
      </c>
    </row>
    <row r="102" spans="2:6" x14ac:dyDescent="0.2">
      <c r="B102" s="120" t="s">
        <v>465</v>
      </c>
      <c r="C102" s="121" t="s">
        <v>466</v>
      </c>
      <c r="D102" s="122">
        <v>2.4</v>
      </c>
      <c r="E102" s="122">
        <v>7.74</v>
      </c>
      <c r="F102" s="122">
        <v>27.23</v>
      </c>
    </row>
    <row r="103" spans="2:6" x14ac:dyDescent="0.2">
      <c r="B103" s="120" t="s">
        <v>467</v>
      </c>
      <c r="C103" s="121" t="s">
        <v>468</v>
      </c>
      <c r="D103" s="122">
        <v>1.89</v>
      </c>
      <c r="E103" s="122">
        <v>1.1299999999999999</v>
      </c>
      <c r="F103" s="122">
        <v>17.68</v>
      </c>
    </row>
    <row r="104" spans="2:6" x14ac:dyDescent="0.2">
      <c r="B104" s="120" t="s">
        <v>469</v>
      </c>
      <c r="C104" s="121" t="s">
        <v>470</v>
      </c>
      <c r="D104" s="122">
        <v>5.01</v>
      </c>
      <c r="E104" s="122">
        <v>10.94</v>
      </c>
      <c r="F104" s="122">
        <v>76.17</v>
      </c>
    </row>
    <row r="105" spans="2:6" x14ac:dyDescent="0.2">
      <c r="B105" s="120" t="s">
        <v>471</v>
      </c>
      <c r="C105" s="121" t="s">
        <v>472</v>
      </c>
      <c r="D105" s="122">
        <v>6.85</v>
      </c>
      <c r="E105" s="122">
        <v>1.27</v>
      </c>
      <c r="F105" s="122">
        <v>1.86</v>
      </c>
    </row>
    <row r="106" spans="2:6" x14ac:dyDescent="0.2">
      <c r="B106" s="120" t="s">
        <v>473</v>
      </c>
      <c r="C106" s="121" t="s">
        <v>474</v>
      </c>
      <c r="D106" s="122">
        <v>0.6</v>
      </c>
      <c r="E106" s="122">
        <v>0.72</v>
      </c>
      <c r="F106" s="122">
        <v>0.85</v>
      </c>
    </row>
    <row r="107" spans="2:6" x14ac:dyDescent="0.2">
      <c r="B107" s="120" t="s">
        <v>475</v>
      </c>
      <c r="C107" s="121" t="s">
        <v>476</v>
      </c>
      <c r="D107" s="122">
        <v>1.49</v>
      </c>
      <c r="E107" s="122">
        <v>3.16</v>
      </c>
      <c r="F107" s="122">
        <v>37.729999999999997</v>
      </c>
    </row>
    <row r="108" spans="2:6" x14ac:dyDescent="0.2">
      <c r="B108" s="120" t="s">
        <v>477</v>
      </c>
      <c r="C108" s="121" t="s">
        <v>478</v>
      </c>
      <c r="D108" s="122">
        <v>19.61</v>
      </c>
      <c r="E108" s="122">
        <v>43.85</v>
      </c>
      <c r="F108" s="122">
        <v>-111.75</v>
      </c>
    </row>
    <row r="109" spans="2:6" x14ac:dyDescent="0.2">
      <c r="B109" s="120" t="s">
        <v>3849</v>
      </c>
      <c r="C109" s="121" t="s">
        <v>3850</v>
      </c>
      <c r="D109" s="122">
        <v>2.17</v>
      </c>
      <c r="E109" s="122">
        <v>2.64</v>
      </c>
      <c r="F109" s="122">
        <v>2.41</v>
      </c>
    </row>
    <row r="110" spans="2:6" x14ac:dyDescent="0.2">
      <c r="B110" s="120" t="s">
        <v>479</v>
      </c>
      <c r="C110" s="121" t="s">
        <v>480</v>
      </c>
      <c r="D110" s="122">
        <v>13.1</v>
      </c>
      <c r="E110" s="122">
        <v>16.510000000000002</v>
      </c>
      <c r="F110" s="122">
        <v>24.75</v>
      </c>
    </row>
    <row r="111" spans="2:6" x14ac:dyDescent="0.2">
      <c r="B111" s="120" t="s">
        <v>481</v>
      </c>
      <c r="C111" s="121" t="s">
        <v>482</v>
      </c>
      <c r="D111" s="122">
        <v>4.62</v>
      </c>
      <c r="E111" s="122">
        <v>3.18</v>
      </c>
      <c r="F111" s="122">
        <v>27.13</v>
      </c>
    </row>
    <row r="112" spans="2:6" x14ac:dyDescent="0.2">
      <c r="B112" s="120" t="s">
        <v>483</v>
      </c>
      <c r="C112" s="121" t="s">
        <v>484</v>
      </c>
      <c r="D112" s="122">
        <v>0.96</v>
      </c>
      <c r="E112" s="122">
        <v>3.84</v>
      </c>
      <c r="F112" s="122">
        <v>26.07</v>
      </c>
    </row>
    <row r="113" spans="2:6" x14ac:dyDescent="0.2">
      <c r="B113" s="120" t="s">
        <v>485</v>
      </c>
      <c r="C113" s="121" t="s">
        <v>10</v>
      </c>
      <c r="D113" s="122">
        <v>3.52</v>
      </c>
      <c r="E113" s="122">
        <v>16.73</v>
      </c>
      <c r="F113" s="122">
        <v>26.27</v>
      </c>
    </row>
    <row r="114" spans="2:6" x14ac:dyDescent="0.2">
      <c r="B114" s="120" t="s">
        <v>486</v>
      </c>
      <c r="C114" s="121" t="s">
        <v>487</v>
      </c>
      <c r="D114" s="122">
        <v>0.21</v>
      </c>
      <c r="E114" s="122">
        <v>1.56</v>
      </c>
      <c r="F114" s="122">
        <v>15.1</v>
      </c>
    </row>
    <row r="115" spans="2:6" x14ac:dyDescent="0.2">
      <c r="B115" s="120" t="s">
        <v>3851</v>
      </c>
      <c r="C115" s="121" t="s">
        <v>3852</v>
      </c>
      <c r="D115" s="122">
        <v>0.91</v>
      </c>
      <c r="E115" s="122">
        <v>0.56999999999999995</v>
      </c>
      <c r="F115" s="122">
        <v>4.3600000000000003</v>
      </c>
    </row>
    <row r="116" spans="2:6" x14ac:dyDescent="0.2">
      <c r="B116" s="120" t="s">
        <v>488</v>
      </c>
      <c r="C116" s="121" t="s">
        <v>489</v>
      </c>
      <c r="D116" s="122">
        <v>7.79</v>
      </c>
      <c r="E116" s="122">
        <v>7.29</v>
      </c>
      <c r="F116" s="122">
        <v>28.76</v>
      </c>
    </row>
    <row r="117" spans="2:6" x14ac:dyDescent="0.2">
      <c r="B117" s="120" t="s">
        <v>490</v>
      </c>
      <c r="C117" s="121" t="s">
        <v>491</v>
      </c>
      <c r="D117" s="122">
        <v>2.91</v>
      </c>
      <c r="E117" s="122">
        <v>2.66</v>
      </c>
      <c r="F117" s="122">
        <v>6.42</v>
      </c>
    </row>
    <row r="118" spans="2:6" x14ac:dyDescent="0.2">
      <c r="B118" s="120" t="s">
        <v>492</v>
      </c>
      <c r="C118" s="121" t="s">
        <v>493</v>
      </c>
      <c r="D118" s="122"/>
      <c r="E118" s="122"/>
      <c r="F118" s="122"/>
    </row>
    <row r="119" spans="2:6" x14ac:dyDescent="0.2">
      <c r="B119" s="120" t="s">
        <v>494</v>
      </c>
      <c r="C119" s="121" t="s">
        <v>495</v>
      </c>
      <c r="D119" s="122">
        <v>13.1</v>
      </c>
      <c r="E119" s="122">
        <v>6.45</v>
      </c>
      <c r="F119" s="122">
        <v>17.170000000000002</v>
      </c>
    </row>
    <row r="120" spans="2:6" x14ac:dyDescent="0.2">
      <c r="B120" s="120" t="s">
        <v>496</v>
      </c>
      <c r="C120" s="121" t="s">
        <v>497</v>
      </c>
      <c r="D120" s="122">
        <v>0.67</v>
      </c>
      <c r="E120" s="122">
        <v>2.09</v>
      </c>
      <c r="F120" s="122">
        <v>15.02</v>
      </c>
    </row>
    <row r="121" spans="2:6" x14ac:dyDescent="0.2">
      <c r="B121" s="120" t="s">
        <v>498</v>
      </c>
      <c r="C121" s="121" t="s">
        <v>499</v>
      </c>
      <c r="D121" s="122"/>
      <c r="E121" s="122">
        <v>1.26</v>
      </c>
      <c r="F121" s="122"/>
    </row>
    <row r="122" spans="2:6" x14ac:dyDescent="0.2">
      <c r="B122" s="120" t="s">
        <v>500</v>
      </c>
      <c r="C122" s="121" t="s">
        <v>501</v>
      </c>
      <c r="D122" s="122">
        <v>4.1900000000000004</v>
      </c>
      <c r="E122" s="122">
        <v>11.63</v>
      </c>
      <c r="F122" s="122">
        <v>48.75</v>
      </c>
    </row>
    <row r="123" spans="2:6" x14ac:dyDescent="0.2">
      <c r="B123" s="120" t="s">
        <v>502</v>
      </c>
      <c r="C123" s="121" t="s">
        <v>503</v>
      </c>
      <c r="D123" s="122">
        <v>2.5299999999999998</v>
      </c>
      <c r="E123" s="122">
        <v>4.5999999999999996</v>
      </c>
      <c r="F123" s="122">
        <v>24.31</v>
      </c>
    </row>
    <row r="124" spans="2:6" x14ac:dyDescent="0.2">
      <c r="B124" s="120" t="s">
        <v>504</v>
      </c>
      <c r="C124" s="121" t="s">
        <v>505</v>
      </c>
      <c r="D124" s="122">
        <v>1.39</v>
      </c>
      <c r="E124" s="122">
        <v>1.19</v>
      </c>
      <c r="F124" s="122">
        <v>5.12</v>
      </c>
    </row>
    <row r="125" spans="2:6" x14ac:dyDescent="0.2">
      <c r="B125" s="120" t="s">
        <v>506</v>
      </c>
      <c r="C125" s="121" t="s">
        <v>507</v>
      </c>
      <c r="D125" s="122">
        <v>5.46</v>
      </c>
      <c r="E125" s="122">
        <v>4.16</v>
      </c>
      <c r="F125" s="122">
        <v>15.42</v>
      </c>
    </row>
    <row r="126" spans="2:6" x14ac:dyDescent="0.2">
      <c r="B126" s="120" t="s">
        <v>508</v>
      </c>
      <c r="C126" s="121" t="s">
        <v>509</v>
      </c>
      <c r="D126" s="122"/>
      <c r="E126" s="122"/>
      <c r="F126" s="122"/>
    </row>
    <row r="127" spans="2:6" x14ac:dyDescent="0.2">
      <c r="B127" s="120" t="s">
        <v>510</v>
      </c>
      <c r="C127" s="121" t="s">
        <v>511</v>
      </c>
      <c r="D127" s="122">
        <v>3.35</v>
      </c>
      <c r="E127" s="122">
        <v>6.64</v>
      </c>
      <c r="F127" s="122">
        <v>29.08</v>
      </c>
    </row>
    <row r="128" spans="2:6" x14ac:dyDescent="0.2">
      <c r="B128" s="120" t="s">
        <v>3853</v>
      </c>
      <c r="C128" s="121" t="s">
        <v>3854</v>
      </c>
      <c r="D128" s="122">
        <v>2.88</v>
      </c>
      <c r="E128" s="122">
        <v>1.0900000000000001</v>
      </c>
      <c r="F128" s="122">
        <v>5.75</v>
      </c>
    </row>
    <row r="129" spans="2:6" x14ac:dyDescent="0.2">
      <c r="B129" s="120" t="s">
        <v>512</v>
      </c>
      <c r="C129" s="121" t="s">
        <v>513</v>
      </c>
      <c r="D129" s="122">
        <v>4.01</v>
      </c>
      <c r="E129" s="122">
        <v>4.04</v>
      </c>
      <c r="F129" s="122">
        <v>23.77</v>
      </c>
    </row>
    <row r="130" spans="2:6" x14ac:dyDescent="0.2">
      <c r="B130" s="120" t="s">
        <v>514</v>
      </c>
      <c r="C130" s="121" t="s">
        <v>515</v>
      </c>
      <c r="D130" s="122">
        <v>14.9</v>
      </c>
      <c r="E130" s="122">
        <v>27.87</v>
      </c>
      <c r="F130" s="122">
        <v>33.909999999999997</v>
      </c>
    </row>
    <row r="131" spans="2:6" x14ac:dyDescent="0.2">
      <c r="B131" s="120" t="s">
        <v>516</v>
      </c>
      <c r="C131" s="121" t="s">
        <v>517</v>
      </c>
      <c r="D131" s="122">
        <v>13.06</v>
      </c>
      <c r="E131" s="122">
        <v>54.6</v>
      </c>
      <c r="F131" s="122">
        <v>-80.44</v>
      </c>
    </row>
    <row r="132" spans="2:6" x14ac:dyDescent="0.2">
      <c r="B132" s="120" t="s">
        <v>518</v>
      </c>
      <c r="C132" s="121" t="s">
        <v>519</v>
      </c>
      <c r="D132" s="122">
        <v>1.56</v>
      </c>
      <c r="E132" s="122">
        <v>5.98</v>
      </c>
      <c r="F132" s="122">
        <v>34.92</v>
      </c>
    </row>
    <row r="133" spans="2:6" x14ac:dyDescent="0.2">
      <c r="B133" s="120" t="s">
        <v>520</v>
      </c>
      <c r="C133" s="121" t="s">
        <v>521</v>
      </c>
      <c r="D133" s="122">
        <v>4.1900000000000004</v>
      </c>
      <c r="E133" s="122">
        <v>1.79</v>
      </c>
      <c r="F133" s="122">
        <v>7.57</v>
      </c>
    </row>
    <row r="134" spans="2:6" x14ac:dyDescent="0.2">
      <c r="B134" s="120" t="s">
        <v>522</v>
      </c>
      <c r="C134" s="121" t="s">
        <v>523</v>
      </c>
      <c r="D134" s="122">
        <v>5.58</v>
      </c>
      <c r="E134" s="122">
        <v>1.0900000000000001</v>
      </c>
      <c r="F134" s="122">
        <v>10.72</v>
      </c>
    </row>
    <row r="135" spans="2:6" x14ac:dyDescent="0.2">
      <c r="B135" s="120" t="s">
        <v>524</v>
      </c>
      <c r="C135" s="121" t="s">
        <v>525</v>
      </c>
      <c r="D135" s="122">
        <v>12.3</v>
      </c>
      <c r="E135" s="122">
        <v>2.09</v>
      </c>
      <c r="F135" s="122">
        <v>5</v>
      </c>
    </row>
    <row r="136" spans="2:6" x14ac:dyDescent="0.2">
      <c r="B136" s="120" t="s">
        <v>526</v>
      </c>
      <c r="C136" s="121" t="s">
        <v>527</v>
      </c>
      <c r="D136" s="122">
        <v>2.34</v>
      </c>
      <c r="E136" s="122">
        <v>2.42</v>
      </c>
      <c r="F136" s="122">
        <v>22.54</v>
      </c>
    </row>
    <row r="137" spans="2:6" x14ac:dyDescent="0.2">
      <c r="B137" s="120" t="s">
        <v>528</v>
      </c>
      <c r="C137" s="121" t="s">
        <v>529</v>
      </c>
      <c r="D137" s="122"/>
      <c r="E137" s="122">
        <v>6.39</v>
      </c>
      <c r="F137" s="122"/>
    </row>
    <row r="138" spans="2:6" x14ac:dyDescent="0.2">
      <c r="B138" s="120" t="s">
        <v>3855</v>
      </c>
      <c r="C138" s="121" t="s">
        <v>3856</v>
      </c>
      <c r="D138" s="122">
        <v>9.2799999999999994</v>
      </c>
      <c r="E138" s="122">
        <v>1.1200000000000001</v>
      </c>
      <c r="F138" s="122">
        <v>10.220000000000001</v>
      </c>
    </row>
    <row r="139" spans="2:6" x14ac:dyDescent="0.2">
      <c r="B139" s="120" t="s">
        <v>530</v>
      </c>
      <c r="C139" s="121" t="s">
        <v>531</v>
      </c>
      <c r="D139" s="122">
        <v>0.71</v>
      </c>
      <c r="E139" s="122">
        <v>1.25</v>
      </c>
      <c r="F139" s="122">
        <v>12.9</v>
      </c>
    </row>
    <row r="140" spans="2:6" x14ac:dyDescent="0.2">
      <c r="B140" s="120" t="s">
        <v>532</v>
      </c>
      <c r="C140" s="121" t="s">
        <v>533</v>
      </c>
      <c r="D140" s="122">
        <v>0.64</v>
      </c>
      <c r="E140" s="122">
        <v>3.17</v>
      </c>
      <c r="F140" s="122">
        <v>17.39</v>
      </c>
    </row>
    <row r="141" spans="2:6" x14ac:dyDescent="0.2">
      <c r="B141" s="120" t="s">
        <v>534</v>
      </c>
      <c r="C141" s="121" t="s">
        <v>535</v>
      </c>
      <c r="D141" s="122">
        <v>0.83</v>
      </c>
      <c r="E141" s="122">
        <v>2.44</v>
      </c>
      <c r="F141" s="122">
        <v>15.38</v>
      </c>
    </row>
    <row r="142" spans="2:6" x14ac:dyDescent="0.2">
      <c r="B142" s="120" t="s">
        <v>536</v>
      </c>
      <c r="C142" s="121" t="s">
        <v>537</v>
      </c>
      <c r="D142" s="122">
        <v>0.21</v>
      </c>
      <c r="E142" s="122">
        <v>1.27</v>
      </c>
      <c r="F142" s="122">
        <v>13.59</v>
      </c>
    </row>
    <row r="143" spans="2:6" x14ac:dyDescent="0.2">
      <c r="B143" s="120" t="s">
        <v>538</v>
      </c>
      <c r="C143" s="121" t="s">
        <v>539</v>
      </c>
      <c r="D143" s="122">
        <v>2.5499999999999998</v>
      </c>
      <c r="E143" s="122">
        <v>4.38</v>
      </c>
      <c r="F143" s="122">
        <v>18.309999999999999</v>
      </c>
    </row>
    <row r="144" spans="2:6" x14ac:dyDescent="0.2">
      <c r="B144" s="120" t="s">
        <v>540</v>
      </c>
      <c r="C144" s="121" t="s">
        <v>541</v>
      </c>
      <c r="D144" s="122">
        <v>2.09</v>
      </c>
      <c r="E144" s="122">
        <v>0.9</v>
      </c>
      <c r="F144" s="122">
        <v>9.86</v>
      </c>
    </row>
    <row r="145" spans="2:6" x14ac:dyDescent="0.2">
      <c r="B145" s="120" t="s">
        <v>542</v>
      </c>
      <c r="C145" s="121" t="s">
        <v>543</v>
      </c>
      <c r="D145" s="122"/>
      <c r="E145" s="122">
        <v>1.91</v>
      </c>
      <c r="F145" s="122"/>
    </row>
    <row r="146" spans="2:6" x14ac:dyDescent="0.2">
      <c r="B146" s="120" t="s">
        <v>544</v>
      </c>
      <c r="C146" s="121" t="s">
        <v>545</v>
      </c>
      <c r="D146" s="122">
        <v>0.25</v>
      </c>
      <c r="E146" s="122">
        <v>0.53</v>
      </c>
      <c r="F146" s="122">
        <v>5.96</v>
      </c>
    </row>
    <row r="147" spans="2:6" x14ac:dyDescent="0.2">
      <c r="B147" s="120" t="s">
        <v>3857</v>
      </c>
      <c r="C147" s="121" t="s">
        <v>3858</v>
      </c>
      <c r="D147" s="122">
        <v>0.49</v>
      </c>
      <c r="E147" s="122">
        <v>0.57999999999999996</v>
      </c>
      <c r="F147" s="122">
        <v>7.23</v>
      </c>
    </row>
    <row r="148" spans="2:6" x14ac:dyDescent="0.2">
      <c r="B148" s="120" t="s">
        <v>546</v>
      </c>
      <c r="C148" s="121" t="s">
        <v>547</v>
      </c>
      <c r="D148" s="122">
        <v>0.9</v>
      </c>
      <c r="E148" s="122">
        <v>2.61</v>
      </c>
      <c r="F148" s="122">
        <v>19.559999999999999</v>
      </c>
    </row>
    <row r="149" spans="2:6" x14ac:dyDescent="0.2">
      <c r="B149" s="120" t="s">
        <v>548</v>
      </c>
      <c r="C149" s="121" t="s">
        <v>549</v>
      </c>
      <c r="D149" s="122">
        <v>1.65</v>
      </c>
      <c r="E149" s="122">
        <v>1.46</v>
      </c>
      <c r="F149" s="122">
        <v>5.15</v>
      </c>
    </row>
    <row r="150" spans="2:6" x14ac:dyDescent="0.2">
      <c r="B150" s="120" t="s">
        <v>550</v>
      </c>
      <c r="C150" s="121" t="s">
        <v>551</v>
      </c>
      <c r="D150" s="122">
        <v>2.44</v>
      </c>
      <c r="E150" s="122">
        <v>3.87</v>
      </c>
      <c r="F150" s="122">
        <v>29.01</v>
      </c>
    </row>
    <row r="151" spans="2:6" x14ac:dyDescent="0.2">
      <c r="B151" s="120" t="s">
        <v>3859</v>
      </c>
      <c r="C151" s="121" t="s">
        <v>3860</v>
      </c>
      <c r="D151" s="122">
        <v>3.77</v>
      </c>
      <c r="E151" s="122">
        <v>2.2799999999999998</v>
      </c>
      <c r="F151" s="122">
        <v>15.58</v>
      </c>
    </row>
    <row r="152" spans="2:6" x14ac:dyDescent="0.2">
      <c r="B152" s="120" t="s">
        <v>552</v>
      </c>
      <c r="C152" s="121" t="s">
        <v>553</v>
      </c>
      <c r="D152" s="122">
        <v>8.42</v>
      </c>
      <c r="E152" s="122">
        <v>7.98</v>
      </c>
      <c r="F152" s="122">
        <v>21.3</v>
      </c>
    </row>
    <row r="153" spans="2:6" x14ac:dyDescent="0.2">
      <c r="B153" s="120" t="s">
        <v>554</v>
      </c>
      <c r="C153" s="121" t="s">
        <v>555</v>
      </c>
      <c r="D153" s="122">
        <v>211.82</v>
      </c>
      <c r="E153" s="122">
        <v>6.08</v>
      </c>
      <c r="F153" s="122">
        <v>-35.99</v>
      </c>
    </row>
    <row r="154" spans="2:6" x14ac:dyDescent="0.2">
      <c r="B154" s="120" t="s">
        <v>556</v>
      </c>
      <c r="C154" s="121" t="s">
        <v>557</v>
      </c>
      <c r="D154" s="122">
        <v>5.87</v>
      </c>
      <c r="E154" s="122">
        <v>2.4900000000000002</v>
      </c>
      <c r="F154" s="122">
        <v>14.65</v>
      </c>
    </row>
    <row r="155" spans="2:6" x14ac:dyDescent="0.2">
      <c r="B155" s="120" t="s">
        <v>558</v>
      </c>
      <c r="C155" s="121" t="s">
        <v>559</v>
      </c>
      <c r="D155" s="122">
        <v>0.75</v>
      </c>
      <c r="E155" s="122">
        <v>1.39</v>
      </c>
      <c r="F155" s="122">
        <v>7.52</v>
      </c>
    </row>
    <row r="156" spans="2:6" x14ac:dyDescent="0.2">
      <c r="B156" s="120" t="s">
        <v>3861</v>
      </c>
      <c r="C156" s="121" t="s">
        <v>3862</v>
      </c>
      <c r="D156" s="122"/>
      <c r="E156" s="122">
        <v>1.1200000000000001</v>
      </c>
      <c r="F156" s="122"/>
    </row>
    <row r="157" spans="2:6" x14ac:dyDescent="0.2">
      <c r="B157" s="120" t="s">
        <v>3863</v>
      </c>
      <c r="C157" s="121" t="s">
        <v>3864</v>
      </c>
      <c r="D157" s="122"/>
      <c r="E157" s="122">
        <v>78.41</v>
      </c>
      <c r="F157" s="122"/>
    </row>
    <row r="158" spans="2:6" x14ac:dyDescent="0.2">
      <c r="B158" s="120" t="s">
        <v>560</v>
      </c>
      <c r="C158" s="121" t="s">
        <v>561</v>
      </c>
      <c r="D158" s="122">
        <v>3.42</v>
      </c>
      <c r="E158" s="122">
        <v>4.71</v>
      </c>
      <c r="F158" s="122">
        <v>28.78</v>
      </c>
    </row>
    <row r="159" spans="2:6" x14ac:dyDescent="0.2">
      <c r="B159" s="120" t="s">
        <v>562</v>
      </c>
      <c r="C159" s="121" t="s">
        <v>563</v>
      </c>
      <c r="D159" s="122">
        <v>0.66</v>
      </c>
      <c r="E159" s="122">
        <v>0.64</v>
      </c>
      <c r="F159" s="122">
        <v>12.84</v>
      </c>
    </row>
    <row r="160" spans="2:6" x14ac:dyDescent="0.2">
      <c r="B160" s="120" t="s">
        <v>564</v>
      </c>
      <c r="C160" s="121" t="s">
        <v>565</v>
      </c>
      <c r="D160" s="122">
        <v>9.27</v>
      </c>
      <c r="E160" s="122">
        <v>5.86</v>
      </c>
      <c r="F160" s="122">
        <v>29.47</v>
      </c>
    </row>
    <row r="161" spans="2:6" x14ac:dyDescent="0.2">
      <c r="B161" s="120" t="s">
        <v>566</v>
      </c>
      <c r="C161" s="121" t="s">
        <v>567</v>
      </c>
      <c r="D161" s="122">
        <v>3.64</v>
      </c>
      <c r="E161" s="122">
        <v>8.36</v>
      </c>
      <c r="F161" s="122">
        <v>38.979999999999997</v>
      </c>
    </row>
    <row r="162" spans="2:6" x14ac:dyDescent="0.2">
      <c r="B162" s="120" t="s">
        <v>568</v>
      </c>
      <c r="C162" s="121" t="s">
        <v>569</v>
      </c>
      <c r="D162" s="122">
        <v>4.5999999999999996</v>
      </c>
      <c r="E162" s="122">
        <v>2.34</v>
      </c>
      <c r="F162" s="122">
        <v>9.3800000000000008</v>
      </c>
    </row>
    <row r="163" spans="2:6" x14ac:dyDescent="0.2">
      <c r="B163" s="120" t="s">
        <v>570</v>
      </c>
      <c r="C163" s="121" t="s">
        <v>571</v>
      </c>
      <c r="D163" s="122">
        <v>2.66</v>
      </c>
      <c r="E163" s="122">
        <v>4.78</v>
      </c>
      <c r="F163" s="122">
        <v>18.510000000000002</v>
      </c>
    </row>
    <row r="164" spans="2:6" x14ac:dyDescent="0.2">
      <c r="B164" s="120" t="s">
        <v>572</v>
      </c>
      <c r="C164" s="121" t="s">
        <v>573</v>
      </c>
      <c r="D164" s="122">
        <v>1.96</v>
      </c>
      <c r="E164" s="122">
        <v>7.59</v>
      </c>
      <c r="F164" s="122">
        <v>13.57</v>
      </c>
    </row>
    <row r="165" spans="2:6" x14ac:dyDescent="0.2">
      <c r="B165" s="120" t="s">
        <v>574</v>
      </c>
      <c r="C165" s="121" t="s">
        <v>575</v>
      </c>
      <c r="D165" s="122">
        <v>5.9</v>
      </c>
      <c r="E165" s="122">
        <v>3.5</v>
      </c>
      <c r="F165" s="122">
        <v>15.54</v>
      </c>
    </row>
    <row r="166" spans="2:6" x14ac:dyDescent="0.2">
      <c r="B166" s="120" t="s">
        <v>576</v>
      </c>
      <c r="C166" s="121" t="s">
        <v>577</v>
      </c>
      <c r="D166" s="122"/>
      <c r="E166" s="122">
        <v>3.02</v>
      </c>
      <c r="F166" s="122"/>
    </row>
    <row r="167" spans="2:6" x14ac:dyDescent="0.2">
      <c r="B167" s="120" t="s">
        <v>578</v>
      </c>
      <c r="C167" s="121" t="s">
        <v>579</v>
      </c>
      <c r="D167" s="122">
        <v>4.38</v>
      </c>
      <c r="E167" s="122">
        <v>1.25</v>
      </c>
      <c r="F167" s="122">
        <v>8.81</v>
      </c>
    </row>
    <row r="168" spans="2:6" x14ac:dyDescent="0.2">
      <c r="B168" s="120" t="s">
        <v>580</v>
      </c>
      <c r="C168" s="121" t="s">
        <v>581</v>
      </c>
      <c r="D168" s="122"/>
      <c r="E168" s="122">
        <v>4.47</v>
      </c>
      <c r="F168" s="122"/>
    </row>
    <row r="169" spans="2:6" x14ac:dyDescent="0.2">
      <c r="B169" s="120" t="s">
        <v>582</v>
      </c>
      <c r="C169" s="121" t="s">
        <v>583</v>
      </c>
      <c r="D169" s="122">
        <v>1.86</v>
      </c>
      <c r="E169" s="122">
        <v>0.82</v>
      </c>
      <c r="F169" s="122">
        <v>2.3199999999999998</v>
      </c>
    </row>
    <row r="170" spans="2:6" x14ac:dyDescent="0.2">
      <c r="B170" s="120" t="s">
        <v>584</v>
      </c>
      <c r="C170" s="121" t="s">
        <v>585</v>
      </c>
      <c r="D170" s="122">
        <v>2.3199999999999998</v>
      </c>
      <c r="E170" s="122">
        <v>1.67</v>
      </c>
      <c r="F170" s="122">
        <v>6.35</v>
      </c>
    </row>
    <row r="171" spans="2:6" x14ac:dyDescent="0.2">
      <c r="B171" s="120" t="s">
        <v>586</v>
      </c>
      <c r="C171" s="121" t="s">
        <v>587</v>
      </c>
      <c r="D171" s="122">
        <v>1.07</v>
      </c>
      <c r="E171" s="122">
        <v>0.92</v>
      </c>
      <c r="F171" s="122">
        <v>12.99</v>
      </c>
    </row>
    <row r="172" spans="2:6" x14ac:dyDescent="0.2">
      <c r="B172" s="120" t="s">
        <v>588</v>
      </c>
      <c r="C172" s="121" t="s">
        <v>589</v>
      </c>
      <c r="D172" s="122">
        <v>13.32</v>
      </c>
      <c r="E172" s="122">
        <v>2.71</v>
      </c>
      <c r="F172" s="122">
        <v>8.6300000000000008</v>
      </c>
    </row>
    <row r="173" spans="2:6" x14ac:dyDescent="0.2">
      <c r="B173" s="120" t="s">
        <v>590</v>
      </c>
      <c r="C173" s="121" t="s">
        <v>591</v>
      </c>
      <c r="D173" s="122">
        <v>5.0599999999999996</v>
      </c>
      <c r="E173" s="122">
        <v>5.24</v>
      </c>
      <c r="F173" s="122">
        <v>34.1</v>
      </c>
    </row>
    <row r="174" spans="2:6" x14ac:dyDescent="0.2">
      <c r="B174" s="120" t="s">
        <v>3865</v>
      </c>
      <c r="C174" s="121" t="s">
        <v>3866</v>
      </c>
      <c r="D174" s="122">
        <v>4.05</v>
      </c>
      <c r="E174" s="122">
        <v>12.03</v>
      </c>
      <c r="F174" s="122">
        <v>52.58</v>
      </c>
    </row>
    <row r="175" spans="2:6" x14ac:dyDescent="0.2">
      <c r="B175" s="120" t="s">
        <v>592</v>
      </c>
      <c r="C175" s="121" t="s">
        <v>593</v>
      </c>
      <c r="D175" s="122">
        <v>18.5</v>
      </c>
      <c r="E175" s="122">
        <v>13.2</v>
      </c>
      <c r="F175" s="122">
        <v>-23.05</v>
      </c>
    </row>
    <row r="176" spans="2:6" x14ac:dyDescent="0.2">
      <c r="B176" s="120" t="s">
        <v>594</v>
      </c>
      <c r="C176" s="121" t="s">
        <v>595</v>
      </c>
      <c r="D176" s="122">
        <v>0.23</v>
      </c>
      <c r="E176" s="122">
        <v>1.08</v>
      </c>
      <c r="F176" s="122">
        <v>10.39</v>
      </c>
    </row>
    <row r="177" spans="2:6" x14ac:dyDescent="0.2">
      <c r="B177" s="120" t="s">
        <v>3867</v>
      </c>
      <c r="C177" s="121" t="s">
        <v>3868</v>
      </c>
      <c r="D177" s="122"/>
      <c r="E177" s="122"/>
      <c r="F177" s="122"/>
    </row>
    <row r="178" spans="2:6" x14ac:dyDescent="0.2">
      <c r="B178" s="120" t="s">
        <v>596</v>
      </c>
      <c r="C178" s="121" t="s">
        <v>597</v>
      </c>
      <c r="D178" s="122"/>
      <c r="E178" s="122">
        <v>0.8</v>
      </c>
      <c r="F178" s="122"/>
    </row>
    <row r="179" spans="2:6" x14ac:dyDescent="0.2">
      <c r="B179" s="120" t="s">
        <v>598</v>
      </c>
      <c r="C179" s="121" t="s">
        <v>599</v>
      </c>
      <c r="D179" s="122">
        <v>1.34</v>
      </c>
      <c r="E179" s="122">
        <v>8.94</v>
      </c>
      <c r="F179" s="122">
        <v>52.67</v>
      </c>
    </row>
    <row r="180" spans="2:6" x14ac:dyDescent="0.2">
      <c r="B180" s="120" t="s">
        <v>3869</v>
      </c>
      <c r="C180" s="121" t="s">
        <v>3870</v>
      </c>
      <c r="D180" s="122"/>
      <c r="E180" s="122">
        <v>2.23</v>
      </c>
      <c r="F180" s="122"/>
    </row>
    <row r="181" spans="2:6" x14ac:dyDescent="0.2">
      <c r="B181" s="120" t="s">
        <v>600</v>
      </c>
      <c r="C181" s="121" t="s">
        <v>601</v>
      </c>
      <c r="D181" s="122">
        <v>4.68</v>
      </c>
      <c r="E181" s="122">
        <v>19.53</v>
      </c>
      <c r="F181" s="122">
        <v>77.099999999999994</v>
      </c>
    </row>
    <row r="182" spans="2:6" x14ac:dyDescent="0.2">
      <c r="B182" s="120" t="s">
        <v>602</v>
      </c>
      <c r="C182" s="121" t="s">
        <v>603</v>
      </c>
      <c r="D182" s="122">
        <v>6.3</v>
      </c>
      <c r="E182" s="122">
        <v>3.68</v>
      </c>
      <c r="F182" s="122">
        <v>10.51</v>
      </c>
    </row>
    <row r="183" spans="2:6" x14ac:dyDescent="0.2">
      <c r="B183" s="120" t="s">
        <v>604</v>
      </c>
      <c r="C183" s="121" t="s">
        <v>605</v>
      </c>
      <c r="D183" s="122">
        <v>7.19</v>
      </c>
      <c r="E183" s="122">
        <v>5.73</v>
      </c>
      <c r="F183" s="122">
        <v>13.04</v>
      </c>
    </row>
    <row r="184" spans="2:6" x14ac:dyDescent="0.2">
      <c r="B184" s="120" t="s">
        <v>606</v>
      </c>
      <c r="C184" s="121" t="s">
        <v>607</v>
      </c>
      <c r="D184" s="122"/>
      <c r="E184" s="122">
        <v>0.72</v>
      </c>
      <c r="F184" s="122"/>
    </row>
    <row r="185" spans="2:6" x14ac:dyDescent="0.2">
      <c r="B185" s="120" t="s">
        <v>608</v>
      </c>
      <c r="C185" s="121" t="s">
        <v>609</v>
      </c>
      <c r="D185" s="122">
        <v>2.3199999999999998</v>
      </c>
      <c r="E185" s="122">
        <v>4.2</v>
      </c>
      <c r="F185" s="122">
        <v>29.75</v>
      </c>
    </row>
    <row r="186" spans="2:6" x14ac:dyDescent="0.2">
      <c r="B186" s="120" t="s">
        <v>610</v>
      </c>
      <c r="C186" s="121" t="s">
        <v>611</v>
      </c>
      <c r="D186" s="122">
        <v>1.07</v>
      </c>
      <c r="E186" s="122">
        <v>1.1499999999999999</v>
      </c>
      <c r="F186" s="122">
        <v>4.5599999999999996</v>
      </c>
    </row>
    <row r="187" spans="2:6" x14ac:dyDescent="0.2">
      <c r="B187" s="120" t="s">
        <v>612</v>
      </c>
      <c r="C187" s="121" t="s">
        <v>613</v>
      </c>
      <c r="D187" s="122">
        <v>1.55</v>
      </c>
      <c r="E187" s="122">
        <v>5.43</v>
      </c>
      <c r="F187" s="122">
        <v>27.59</v>
      </c>
    </row>
    <row r="188" spans="2:6" x14ac:dyDescent="0.2">
      <c r="B188" s="120" t="s">
        <v>614</v>
      </c>
      <c r="C188" s="121" t="s">
        <v>615</v>
      </c>
      <c r="D188" s="122">
        <v>1.43</v>
      </c>
      <c r="E188" s="122">
        <v>2.87</v>
      </c>
      <c r="F188" s="122">
        <v>19.899999999999999</v>
      </c>
    </row>
    <row r="189" spans="2:6" x14ac:dyDescent="0.2">
      <c r="B189" s="120" t="s">
        <v>616</v>
      </c>
      <c r="C189" s="121" t="s">
        <v>617</v>
      </c>
      <c r="D189" s="122">
        <v>27.16</v>
      </c>
      <c r="E189" s="122">
        <v>22.34</v>
      </c>
      <c r="F189" s="122">
        <v>-1.93</v>
      </c>
    </row>
    <row r="190" spans="2:6" x14ac:dyDescent="0.2">
      <c r="B190" s="120" t="s">
        <v>618</v>
      </c>
      <c r="C190" s="121" t="s">
        <v>619</v>
      </c>
      <c r="D190" s="122">
        <v>5.14</v>
      </c>
      <c r="E190" s="122">
        <v>7.59</v>
      </c>
      <c r="F190" s="122">
        <v>35.83</v>
      </c>
    </row>
    <row r="191" spans="2:6" x14ac:dyDescent="0.2">
      <c r="B191" s="120" t="s">
        <v>620</v>
      </c>
      <c r="C191" s="121" t="s">
        <v>621</v>
      </c>
      <c r="D191" s="122">
        <v>2.4900000000000002</v>
      </c>
      <c r="E191" s="122"/>
      <c r="F191" s="122">
        <v>-97.19</v>
      </c>
    </row>
    <row r="192" spans="2:6" x14ac:dyDescent="0.2">
      <c r="B192" s="120" t="s">
        <v>622</v>
      </c>
      <c r="C192" s="121" t="s">
        <v>623</v>
      </c>
      <c r="D192" s="122">
        <v>14.49</v>
      </c>
      <c r="E192" s="122">
        <v>22.24</v>
      </c>
      <c r="F192" s="122">
        <v>62.06</v>
      </c>
    </row>
    <row r="193" spans="2:6" x14ac:dyDescent="0.2">
      <c r="B193" s="120" t="s">
        <v>624</v>
      </c>
      <c r="C193" s="121" t="s">
        <v>625</v>
      </c>
      <c r="D193" s="122">
        <v>0.63</v>
      </c>
      <c r="E193" s="122">
        <v>1.23</v>
      </c>
      <c r="F193" s="122">
        <v>11.34</v>
      </c>
    </row>
    <row r="194" spans="2:6" x14ac:dyDescent="0.2">
      <c r="B194" s="120" t="s">
        <v>626</v>
      </c>
      <c r="C194" s="121" t="s">
        <v>627</v>
      </c>
      <c r="D194" s="122">
        <v>5.57</v>
      </c>
      <c r="E194" s="122"/>
      <c r="F194" s="122">
        <v>38.51</v>
      </c>
    </row>
    <row r="195" spans="2:6" x14ac:dyDescent="0.2">
      <c r="B195" s="120" t="s">
        <v>628</v>
      </c>
      <c r="C195" s="121" t="s">
        <v>629</v>
      </c>
      <c r="D195" s="122">
        <v>2.3199999999999998</v>
      </c>
      <c r="E195" s="122"/>
      <c r="F195" s="122">
        <v>-632.25</v>
      </c>
    </row>
    <row r="196" spans="2:6" x14ac:dyDescent="0.2">
      <c r="B196" s="120" t="s">
        <v>630</v>
      </c>
      <c r="C196" s="121" t="s">
        <v>631</v>
      </c>
      <c r="D196" s="122">
        <v>7.72</v>
      </c>
      <c r="E196" s="122">
        <v>5</v>
      </c>
      <c r="F196" s="122">
        <v>14.36</v>
      </c>
    </row>
    <row r="197" spans="2:6" x14ac:dyDescent="0.2">
      <c r="B197" s="120" t="s">
        <v>632</v>
      </c>
      <c r="C197" s="121" t="s">
        <v>633</v>
      </c>
      <c r="D197" s="122">
        <v>2.41</v>
      </c>
      <c r="E197" s="122">
        <v>1.1200000000000001</v>
      </c>
      <c r="F197" s="122">
        <v>11.95</v>
      </c>
    </row>
    <row r="198" spans="2:6" x14ac:dyDescent="0.2">
      <c r="B198" s="120" t="s">
        <v>3871</v>
      </c>
      <c r="C198" s="121" t="s">
        <v>3872</v>
      </c>
      <c r="D198" s="122">
        <v>1</v>
      </c>
      <c r="E198" s="122"/>
      <c r="F198" s="122"/>
    </row>
    <row r="199" spans="2:6" x14ac:dyDescent="0.2">
      <c r="B199" s="120" t="s">
        <v>634</v>
      </c>
      <c r="C199" s="121" t="s">
        <v>635</v>
      </c>
      <c r="D199" s="122"/>
      <c r="E199" s="122">
        <v>3.04</v>
      </c>
      <c r="F199" s="122"/>
    </row>
    <row r="200" spans="2:6" x14ac:dyDescent="0.2">
      <c r="B200" s="120" t="s">
        <v>636</v>
      </c>
      <c r="C200" s="121" t="s">
        <v>637</v>
      </c>
      <c r="D200" s="122">
        <v>1.43</v>
      </c>
      <c r="E200" s="122">
        <v>13.14</v>
      </c>
      <c r="F200" s="122">
        <v>59.44</v>
      </c>
    </row>
    <row r="201" spans="2:6" x14ac:dyDescent="0.2">
      <c r="B201" s="120" t="s">
        <v>3873</v>
      </c>
      <c r="C201" s="121" t="s">
        <v>3874</v>
      </c>
      <c r="D201" s="122">
        <v>0.85</v>
      </c>
      <c r="E201" s="122">
        <v>0.54</v>
      </c>
      <c r="F201" s="122">
        <v>3.31</v>
      </c>
    </row>
    <row r="202" spans="2:6" x14ac:dyDescent="0.2">
      <c r="B202" s="120" t="s">
        <v>638</v>
      </c>
      <c r="C202" s="121" t="s">
        <v>639</v>
      </c>
      <c r="D202" s="122">
        <v>0.38</v>
      </c>
      <c r="E202" s="122">
        <v>0.67</v>
      </c>
      <c r="F202" s="122">
        <v>8.16</v>
      </c>
    </row>
    <row r="203" spans="2:6" x14ac:dyDescent="0.2">
      <c r="B203" s="120" t="s">
        <v>640</v>
      </c>
      <c r="C203" s="121" t="s">
        <v>641</v>
      </c>
      <c r="D203" s="122">
        <v>3.38</v>
      </c>
      <c r="E203" s="122">
        <v>2.15</v>
      </c>
      <c r="F203" s="122">
        <v>16.48</v>
      </c>
    </row>
    <row r="204" spans="2:6" x14ac:dyDescent="0.2">
      <c r="B204" s="120" t="s">
        <v>642</v>
      </c>
      <c r="C204" s="121" t="s">
        <v>643</v>
      </c>
      <c r="D204" s="122">
        <v>0.9</v>
      </c>
      <c r="E204" s="122">
        <v>1.39</v>
      </c>
      <c r="F204" s="122">
        <v>9.98</v>
      </c>
    </row>
    <row r="205" spans="2:6" x14ac:dyDescent="0.2">
      <c r="B205" s="120" t="s">
        <v>644</v>
      </c>
      <c r="C205" s="121" t="s">
        <v>645</v>
      </c>
      <c r="D205" s="122">
        <v>4.03</v>
      </c>
      <c r="E205" s="122">
        <v>5.69</v>
      </c>
      <c r="F205" s="122">
        <v>21.21</v>
      </c>
    </row>
    <row r="206" spans="2:6" x14ac:dyDescent="0.2">
      <c r="B206" s="120" t="s">
        <v>646</v>
      </c>
      <c r="C206" s="121" t="s">
        <v>647</v>
      </c>
      <c r="D206" s="122">
        <v>1.33</v>
      </c>
      <c r="E206" s="122">
        <v>1.37</v>
      </c>
      <c r="F206" s="122">
        <v>10.78</v>
      </c>
    </row>
    <row r="207" spans="2:6" x14ac:dyDescent="0.2">
      <c r="B207" s="120" t="s">
        <v>648</v>
      </c>
      <c r="C207" s="121" t="s">
        <v>649</v>
      </c>
      <c r="D207" s="122">
        <v>4.41</v>
      </c>
      <c r="E207" s="122">
        <v>1.59</v>
      </c>
      <c r="F207" s="122">
        <v>1.84</v>
      </c>
    </row>
    <row r="208" spans="2:6" x14ac:dyDescent="0.2">
      <c r="B208" s="120" t="s">
        <v>650</v>
      </c>
      <c r="C208" s="121" t="s">
        <v>651</v>
      </c>
      <c r="D208" s="122"/>
      <c r="E208" s="122">
        <v>2.08</v>
      </c>
      <c r="F208" s="122"/>
    </row>
    <row r="209" spans="2:6" x14ac:dyDescent="0.2">
      <c r="B209" s="120" t="s">
        <v>652</v>
      </c>
      <c r="C209" s="121" t="s">
        <v>653</v>
      </c>
      <c r="D209" s="122">
        <v>1.85</v>
      </c>
      <c r="E209" s="122">
        <v>1.91</v>
      </c>
      <c r="F209" s="122">
        <v>19.010000000000002</v>
      </c>
    </row>
    <row r="210" spans="2:6" x14ac:dyDescent="0.2">
      <c r="B210" s="120" t="s">
        <v>652</v>
      </c>
      <c r="C210" s="121" t="s">
        <v>3875</v>
      </c>
      <c r="D210" s="122">
        <v>1.71</v>
      </c>
      <c r="E210" s="122">
        <v>1.76</v>
      </c>
      <c r="F210" s="122">
        <v>19.010000000000002</v>
      </c>
    </row>
    <row r="211" spans="2:6" x14ac:dyDescent="0.2">
      <c r="B211" s="120" t="s">
        <v>3876</v>
      </c>
      <c r="C211" s="121" t="s">
        <v>3877</v>
      </c>
      <c r="D211" s="122"/>
      <c r="E211" s="122"/>
      <c r="F211" s="122"/>
    </row>
    <row r="212" spans="2:6" x14ac:dyDescent="0.2">
      <c r="B212" s="120" t="s">
        <v>654</v>
      </c>
      <c r="C212" s="121" t="s">
        <v>655</v>
      </c>
      <c r="D212" s="122"/>
      <c r="E212" s="122">
        <v>0.9</v>
      </c>
      <c r="F212" s="122"/>
    </row>
    <row r="213" spans="2:6" x14ac:dyDescent="0.2">
      <c r="B213" s="120" t="s">
        <v>3878</v>
      </c>
      <c r="C213" s="121" t="s">
        <v>3879</v>
      </c>
      <c r="D213" s="122">
        <v>12.82</v>
      </c>
      <c r="E213" s="122">
        <v>9.2200000000000006</v>
      </c>
      <c r="F213" s="122">
        <v>46.22</v>
      </c>
    </row>
    <row r="214" spans="2:6" x14ac:dyDescent="0.2">
      <c r="B214" s="120" t="s">
        <v>656</v>
      </c>
      <c r="C214" s="121" t="s">
        <v>657</v>
      </c>
      <c r="D214" s="122">
        <v>2.94</v>
      </c>
      <c r="E214" s="122">
        <v>1.4</v>
      </c>
      <c r="F214" s="122">
        <v>12.23</v>
      </c>
    </row>
    <row r="215" spans="2:6" x14ac:dyDescent="0.2">
      <c r="B215" s="120" t="s">
        <v>3880</v>
      </c>
      <c r="C215" s="121" t="s">
        <v>3881</v>
      </c>
      <c r="D215" s="122">
        <v>0.08</v>
      </c>
      <c r="E215" s="122">
        <v>0.33</v>
      </c>
      <c r="F215" s="122">
        <v>10.89</v>
      </c>
    </row>
    <row r="216" spans="2:6" x14ac:dyDescent="0.2">
      <c r="B216" s="120" t="s">
        <v>658</v>
      </c>
      <c r="C216" s="121" t="s">
        <v>659</v>
      </c>
      <c r="D216" s="122">
        <v>1.4</v>
      </c>
      <c r="E216" s="122">
        <v>0.57999999999999996</v>
      </c>
      <c r="F216" s="122">
        <v>9.6199999999999992</v>
      </c>
    </row>
    <row r="217" spans="2:6" x14ac:dyDescent="0.2">
      <c r="B217" s="120" t="s">
        <v>660</v>
      </c>
      <c r="C217" s="121" t="s">
        <v>661</v>
      </c>
      <c r="D217" s="122">
        <v>0.41</v>
      </c>
      <c r="E217" s="122">
        <v>5.36</v>
      </c>
      <c r="F217" s="122">
        <v>48.56</v>
      </c>
    </row>
    <row r="218" spans="2:6" x14ac:dyDescent="0.2">
      <c r="B218" s="120" t="s">
        <v>662</v>
      </c>
      <c r="C218" s="121" t="s">
        <v>663</v>
      </c>
      <c r="D218" s="122">
        <v>0.9</v>
      </c>
      <c r="E218" s="122">
        <v>2.96</v>
      </c>
      <c r="F218" s="122">
        <v>26.56</v>
      </c>
    </row>
    <row r="219" spans="2:6" x14ac:dyDescent="0.2">
      <c r="B219" s="120" t="s">
        <v>664</v>
      </c>
      <c r="C219" s="121" t="s">
        <v>665</v>
      </c>
      <c r="D219" s="122"/>
      <c r="E219" s="122">
        <v>1.1000000000000001</v>
      </c>
      <c r="F219" s="122"/>
    </row>
    <row r="220" spans="2:6" x14ac:dyDescent="0.2">
      <c r="B220" s="120" t="s">
        <v>666</v>
      </c>
      <c r="C220" s="121" t="s">
        <v>667</v>
      </c>
      <c r="D220" s="122">
        <v>2.42</v>
      </c>
      <c r="E220" s="122">
        <v>3.54</v>
      </c>
      <c r="F220" s="122">
        <v>19.149999999999999</v>
      </c>
    </row>
    <row r="221" spans="2:6" x14ac:dyDescent="0.2">
      <c r="B221" s="120" t="s">
        <v>668</v>
      </c>
      <c r="C221" s="121" t="s">
        <v>669</v>
      </c>
      <c r="D221" s="122">
        <v>4.03</v>
      </c>
      <c r="E221" s="122">
        <v>2.88</v>
      </c>
      <c r="F221" s="122">
        <v>17.059999999999999</v>
      </c>
    </row>
    <row r="222" spans="2:6" x14ac:dyDescent="0.2">
      <c r="B222" s="120" t="s">
        <v>3882</v>
      </c>
      <c r="C222" s="121" t="s">
        <v>3883</v>
      </c>
      <c r="D222" s="122"/>
      <c r="E222" s="122">
        <v>2.38</v>
      </c>
      <c r="F222" s="122"/>
    </row>
    <row r="223" spans="2:6" x14ac:dyDescent="0.2">
      <c r="B223" s="120" t="s">
        <v>670</v>
      </c>
      <c r="C223" s="121" t="s">
        <v>671</v>
      </c>
      <c r="D223" s="122"/>
      <c r="E223" s="122">
        <v>0.79</v>
      </c>
      <c r="F223" s="122"/>
    </row>
    <row r="224" spans="2:6" x14ac:dyDescent="0.2">
      <c r="B224" s="120" t="s">
        <v>3884</v>
      </c>
      <c r="C224" s="121" t="s">
        <v>3885</v>
      </c>
      <c r="D224" s="122"/>
      <c r="E224" s="122"/>
      <c r="F224" s="122"/>
    </row>
    <row r="225" spans="2:6" x14ac:dyDescent="0.2">
      <c r="B225" s="120" t="s">
        <v>672</v>
      </c>
      <c r="C225" s="121" t="s">
        <v>673</v>
      </c>
      <c r="D225" s="122">
        <v>1.1599999999999999</v>
      </c>
      <c r="E225" s="122">
        <v>19.829999999999998</v>
      </c>
      <c r="F225" s="122">
        <v>92.1</v>
      </c>
    </row>
    <row r="226" spans="2:6" x14ac:dyDescent="0.2">
      <c r="B226" s="120" t="s">
        <v>674</v>
      </c>
      <c r="C226" s="121" t="s">
        <v>675</v>
      </c>
      <c r="D226" s="122">
        <v>4.9800000000000004</v>
      </c>
      <c r="E226" s="122">
        <v>4.33</v>
      </c>
      <c r="F226" s="122">
        <v>13.87</v>
      </c>
    </row>
    <row r="227" spans="2:6" x14ac:dyDescent="0.2">
      <c r="B227" s="120" t="s">
        <v>676</v>
      </c>
      <c r="C227" s="121" t="s">
        <v>677</v>
      </c>
      <c r="D227" s="122">
        <v>1.19</v>
      </c>
      <c r="E227" s="122">
        <v>0.37</v>
      </c>
      <c r="F227" s="122">
        <v>5.03</v>
      </c>
    </row>
    <row r="228" spans="2:6" x14ac:dyDescent="0.2">
      <c r="B228" s="120" t="s">
        <v>3886</v>
      </c>
      <c r="C228" s="121" t="s">
        <v>3887</v>
      </c>
      <c r="D228" s="122">
        <v>0.99</v>
      </c>
      <c r="E228" s="122">
        <v>1.28</v>
      </c>
      <c r="F228" s="122">
        <v>14.83</v>
      </c>
    </row>
    <row r="229" spans="2:6" x14ac:dyDescent="0.2">
      <c r="B229" s="120" t="s">
        <v>678</v>
      </c>
      <c r="C229" s="121" t="s">
        <v>679</v>
      </c>
      <c r="D229" s="122">
        <v>4</v>
      </c>
      <c r="E229" s="122">
        <v>3.18</v>
      </c>
      <c r="F229" s="122">
        <v>14.78</v>
      </c>
    </row>
    <row r="230" spans="2:6" x14ac:dyDescent="0.2">
      <c r="B230" s="120" t="s">
        <v>680</v>
      </c>
      <c r="C230" s="121" t="s">
        <v>681</v>
      </c>
      <c r="D230" s="122">
        <v>2.5299999999999998</v>
      </c>
      <c r="E230" s="122">
        <v>1.4</v>
      </c>
      <c r="F230" s="122">
        <v>13.43</v>
      </c>
    </row>
    <row r="231" spans="2:6" x14ac:dyDescent="0.2">
      <c r="B231" s="120" t="s">
        <v>3888</v>
      </c>
      <c r="C231" s="121" t="s">
        <v>3889</v>
      </c>
      <c r="D231" s="122">
        <v>2.2000000000000002</v>
      </c>
      <c r="E231" s="122">
        <v>0.41</v>
      </c>
      <c r="F231" s="122">
        <v>1.8</v>
      </c>
    </row>
    <row r="232" spans="2:6" x14ac:dyDescent="0.2">
      <c r="B232" s="120" t="s">
        <v>682</v>
      </c>
      <c r="C232" s="121" t="s">
        <v>683</v>
      </c>
      <c r="D232" s="122">
        <v>0.65</v>
      </c>
      <c r="E232" s="122">
        <v>3.31</v>
      </c>
      <c r="F232" s="122">
        <v>30.65</v>
      </c>
    </row>
    <row r="233" spans="2:6" x14ac:dyDescent="0.2">
      <c r="B233" s="120" t="s">
        <v>684</v>
      </c>
      <c r="C233" s="121" t="s">
        <v>685</v>
      </c>
      <c r="D233" s="122">
        <v>8.84</v>
      </c>
      <c r="E233" s="122">
        <v>17.68</v>
      </c>
      <c r="F233" s="122">
        <v>52.13</v>
      </c>
    </row>
    <row r="234" spans="2:6" x14ac:dyDescent="0.2">
      <c r="B234" s="120" t="s">
        <v>686</v>
      </c>
      <c r="C234" s="121" t="s">
        <v>687</v>
      </c>
      <c r="D234" s="122">
        <v>9.14</v>
      </c>
      <c r="E234" s="122">
        <v>18.27</v>
      </c>
      <c r="F234" s="122">
        <v>52.13</v>
      </c>
    </row>
    <row r="235" spans="2:6" x14ac:dyDescent="0.2">
      <c r="B235" s="120" t="s">
        <v>688</v>
      </c>
      <c r="C235" s="121" t="s">
        <v>689</v>
      </c>
      <c r="D235" s="122">
        <v>4.5599999999999996</v>
      </c>
      <c r="E235" s="122">
        <v>10.28</v>
      </c>
      <c r="F235" s="122">
        <v>23.29</v>
      </c>
    </row>
    <row r="236" spans="2:6" x14ac:dyDescent="0.2">
      <c r="B236" s="120" t="s">
        <v>690</v>
      </c>
      <c r="C236" s="121" t="s">
        <v>691</v>
      </c>
      <c r="D236" s="122">
        <v>0.18</v>
      </c>
      <c r="E236" s="122">
        <v>1.36</v>
      </c>
      <c r="F236" s="122">
        <v>11.39</v>
      </c>
    </row>
    <row r="237" spans="2:6" x14ac:dyDescent="0.2">
      <c r="B237" s="120" t="s">
        <v>692</v>
      </c>
      <c r="C237" s="121" t="s">
        <v>693</v>
      </c>
      <c r="D237" s="122">
        <v>14.82</v>
      </c>
      <c r="E237" s="122">
        <v>4.0199999999999996</v>
      </c>
      <c r="F237" s="122">
        <v>-38.409999999999997</v>
      </c>
    </row>
    <row r="238" spans="2:6" x14ac:dyDescent="0.2">
      <c r="B238" s="120" t="s">
        <v>694</v>
      </c>
      <c r="C238" s="121" t="s">
        <v>695</v>
      </c>
      <c r="D238" s="122">
        <v>0.95</v>
      </c>
      <c r="E238" s="122">
        <v>2.99</v>
      </c>
      <c r="F238" s="122">
        <v>52.12</v>
      </c>
    </row>
    <row r="239" spans="2:6" x14ac:dyDescent="0.2">
      <c r="B239" s="120" t="s">
        <v>696</v>
      </c>
      <c r="C239" s="121" t="s">
        <v>697</v>
      </c>
      <c r="D239" s="122">
        <v>0.53</v>
      </c>
      <c r="E239" s="122">
        <v>0.28999999999999998</v>
      </c>
      <c r="F239" s="122">
        <v>6.74</v>
      </c>
    </row>
    <row r="240" spans="2:6" x14ac:dyDescent="0.2">
      <c r="B240" s="120" t="s">
        <v>698</v>
      </c>
      <c r="C240" s="121" t="s">
        <v>699</v>
      </c>
      <c r="D240" s="122">
        <v>1.04</v>
      </c>
      <c r="E240" s="122">
        <v>0.7</v>
      </c>
      <c r="F240" s="122">
        <v>1.07</v>
      </c>
    </row>
    <row r="241" spans="2:6" x14ac:dyDescent="0.2">
      <c r="B241" s="120" t="s">
        <v>3890</v>
      </c>
      <c r="C241" s="121" t="s">
        <v>3891</v>
      </c>
      <c r="D241" s="122"/>
      <c r="E241" s="122">
        <v>0.97</v>
      </c>
      <c r="F241" s="122"/>
    </row>
    <row r="242" spans="2:6" x14ac:dyDescent="0.2">
      <c r="B242" s="120" t="s">
        <v>700</v>
      </c>
      <c r="C242" s="121" t="s">
        <v>701</v>
      </c>
      <c r="D242" s="122"/>
      <c r="E242" s="122"/>
      <c r="F242" s="122"/>
    </row>
    <row r="243" spans="2:6" x14ac:dyDescent="0.2">
      <c r="B243" s="120" t="s">
        <v>702</v>
      </c>
      <c r="C243" s="121" t="s">
        <v>703</v>
      </c>
      <c r="D243" s="122"/>
      <c r="E243" s="122">
        <v>1.58</v>
      </c>
      <c r="F243" s="122"/>
    </row>
    <row r="244" spans="2:6" x14ac:dyDescent="0.2">
      <c r="B244" s="120" t="s">
        <v>704</v>
      </c>
      <c r="C244" s="121" t="s">
        <v>705</v>
      </c>
      <c r="D244" s="122">
        <v>2.37</v>
      </c>
      <c r="E244" s="122">
        <v>1.42</v>
      </c>
      <c r="F244" s="122">
        <v>6.06</v>
      </c>
    </row>
    <row r="245" spans="2:6" x14ac:dyDescent="0.2">
      <c r="B245" s="120" t="s">
        <v>706</v>
      </c>
      <c r="C245" s="121" t="s">
        <v>707</v>
      </c>
      <c r="D245" s="122">
        <v>3.13</v>
      </c>
      <c r="E245" s="122">
        <v>3.4</v>
      </c>
      <c r="F245" s="122">
        <v>44.89</v>
      </c>
    </row>
    <row r="246" spans="2:6" x14ac:dyDescent="0.2">
      <c r="B246" s="120" t="s">
        <v>708</v>
      </c>
      <c r="C246" s="121" t="s">
        <v>709</v>
      </c>
      <c r="D246" s="122">
        <v>5.64</v>
      </c>
      <c r="E246" s="122">
        <v>3.43</v>
      </c>
      <c r="F246" s="122">
        <v>-13.32</v>
      </c>
    </row>
    <row r="247" spans="2:6" x14ac:dyDescent="0.2">
      <c r="B247" s="120" t="s">
        <v>710</v>
      </c>
      <c r="C247" s="121" t="s">
        <v>711</v>
      </c>
      <c r="D247" s="122">
        <v>4.49</v>
      </c>
      <c r="E247" s="122">
        <v>1.88</v>
      </c>
      <c r="F247" s="122">
        <v>3.92</v>
      </c>
    </row>
    <row r="248" spans="2:6" x14ac:dyDescent="0.2">
      <c r="B248" s="120" t="s">
        <v>710</v>
      </c>
      <c r="C248" s="121" t="s">
        <v>3892</v>
      </c>
      <c r="D248" s="122">
        <v>4.46</v>
      </c>
      <c r="E248" s="122">
        <v>1.86</v>
      </c>
      <c r="F248" s="122">
        <v>3.92</v>
      </c>
    </row>
    <row r="249" spans="2:6" x14ac:dyDescent="0.2">
      <c r="B249" s="120" t="s">
        <v>712</v>
      </c>
      <c r="C249" s="121" t="s">
        <v>713</v>
      </c>
      <c r="D249" s="122">
        <v>2.27</v>
      </c>
      <c r="E249" s="122">
        <v>0.87</v>
      </c>
      <c r="F249" s="122">
        <v>1.4</v>
      </c>
    </row>
    <row r="250" spans="2:6" x14ac:dyDescent="0.2">
      <c r="B250" s="120" t="s">
        <v>714</v>
      </c>
      <c r="C250" s="121" t="s">
        <v>715</v>
      </c>
      <c r="D250" s="122">
        <v>0.27</v>
      </c>
      <c r="E250" s="122"/>
      <c r="F250" s="122">
        <v>-107.71</v>
      </c>
    </row>
    <row r="251" spans="2:6" x14ac:dyDescent="0.2">
      <c r="B251" s="120" t="s">
        <v>716</v>
      </c>
      <c r="C251" s="121" t="s">
        <v>717</v>
      </c>
      <c r="D251" s="122">
        <v>2.2000000000000002</v>
      </c>
      <c r="E251" s="122">
        <v>1.1499999999999999</v>
      </c>
      <c r="F251" s="122">
        <v>10.74</v>
      </c>
    </row>
    <row r="252" spans="2:6" x14ac:dyDescent="0.2">
      <c r="B252" s="120" t="s">
        <v>718</v>
      </c>
      <c r="C252" s="121" t="s">
        <v>719</v>
      </c>
      <c r="D252" s="122"/>
      <c r="E252" s="122">
        <v>0.53</v>
      </c>
      <c r="F252" s="122"/>
    </row>
    <row r="253" spans="2:6" x14ac:dyDescent="0.2">
      <c r="B253" s="120" t="s">
        <v>720</v>
      </c>
      <c r="C253" s="121" t="s">
        <v>721</v>
      </c>
      <c r="D253" s="122"/>
      <c r="E253" s="122">
        <v>1.68</v>
      </c>
      <c r="F253" s="122"/>
    </row>
    <row r="254" spans="2:6" x14ac:dyDescent="0.2">
      <c r="B254" s="120" t="s">
        <v>722</v>
      </c>
      <c r="C254" s="121" t="s">
        <v>723</v>
      </c>
      <c r="D254" s="122">
        <v>2.67</v>
      </c>
      <c r="E254" s="122">
        <v>1.92</v>
      </c>
      <c r="F254" s="122">
        <v>8.99</v>
      </c>
    </row>
    <row r="255" spans="2:6" x14ac:dyDescent="0.2">
      <c r="B255" s="120" t="s">
        <v>3893</v>
      </c>
      <c r="C255" s="121" t="s">
        <v>3894</v>
      </c>
      <c r="D255" s="122">
        <v>2.2999999999999998</v>
      </c>
      <c r="E255" s="122">
        <v>0.93</v>
      </c>
      <c r="F255" s="122">
        <v>5.74</v>
      </c>
    </row>
    <row r="256" spans="2:6" x14ac:dyDescent="0.2">
      <c r="B256" s="120" t="s">
        <v>724</v>
      </c>
      <c r="C256" s="121" t="s">
        <v>725</v>
      </c>
      <c r="D256" s="122">
        <v>8.0299999999999994</v>
      </c>
      <c r="E256" s="122">
        <v>5</v>
      </c>
      <c r="F256" s="122">
        <v>13.51</v>
      </c>
    </row>
    <row r="257" spans="2:6" x14ac:dyDescent="0.2">
      <c r="B257" s="120" t="s">
        <v>726</v>
      </c>
      <c r="C257" s="121" t="s">
        <v>727</v>
      </c>
      <c r="D257" s="122">
        <v>5.86</v>
      </c>
      <c r="E257" s="122">
        <v>16.57</v>
      </c>
      <c r="F257" s="122">
        <v>56.7</v>
      </c>
    </row>
    <row r="258" spans="2:6" x14ac:dyDescent="0.2">
      <c r="B258" s="120" t="s">
        <v>728</v>
      </c>
      <c r="C258" s="121" t="s">
        <v>729</v>
      </c>
      <c r="D258" s="122">
        <v>1.87</v>
      </c>
      <c r="E258" s="122">
        <v>1.1100000000000001</v>
      </c>
      <c r="F258" s="122">
        <v>15.77</v>
      </c>
    </row>
    <row r="259" spans="2:6" x14ac:dyDescent="0.2">
      <c r="B259" s="120" t="s">
        <v>730</v>
      </c>
      <c r="C259" s="121" t="s">
        <v>731</v>
      </c>
      <c r="D259" s="122">
        <v>2.04</v>
      </c>
      <c r="E259" s="122">
        <v>1.1499999999999999</v>
      </c>
      <c r="F259" s="122">
        <v>10.210000000000001</v>
      </c>
    </row>
    <row r="260" spans="2:6" x14ac:dyDescent="0.2">
      <c r="B260" s="120" t="s">
        <v>732</v>
      </c>
      <c r="C260" s="121" t="s">
        <v>733</v>
      </c>
      <c r="D260" s="122">
        <v>1.27</v>
      </c>
      <c r="E260" s="122">
        <v>2.86</v>
      </c>
      <c r="F260" s="122">
        <v>15.65</v>
      </c>
    </row>
    <row r="261" spans="2:6" x14ac:dyDescent="0.2">
      <c r="B261" s="120" t="s">
        <v>734</v>
      </c>
      <c r="C261" s="121" t="s">
        <v>735</v>
      </c>
      <c r="D261" s="122">
        <v>4.95</v>
      </c>
      <c r="E261" s="122">
        <v>2.15</v>
      </c>
      <c r="F261" s="122">
        <v>13.24</v>
      </c>
    </row>
    <row r="262" spans="2:6" x14ac:dyDescent="0.2">
      <c r="B262" s="120" t="s">
        <v>736</v>
      </c>
      <c r="C262" s="121" t="s">
        <v>737</v>
      </c>
      <c r="D262" s="122">
        <v>5.14</v>
      </c>
      <c r="E262" s="122">
        <v>12.02</v>
      </c>
      <c r="F262" s="122">
        <v>20.51</v>
      </c>
    </row>
    <row r="263" spans="2:6" x14ac:dyDescent="0.2">
      <c r="B263" s="120" t="s">
        <v>738</v>
      </c>
      <c r="C263" s="121" t="s">
        <v>739</v>
      </c>
      <c r="D263" s="122">
        <v>2.12</v>
      </c>
      <c r="E263" s="122">
        <v>6.94</v>
      </c>
      <c r="F263" s="122">
        <v>21.32</v>
      </c>
    </row>
    <row r="264" spans="2:6" x14ac:dyDescent="0.2">
      <c r="B264" s="120" t="s">
        <v>740</v>
      </c>
      <c r="C264" s="121" t="s">
        <v>741</v>
      </c>
      <c r="D264" s="122">
        <v>104.41</v>
      </c>
      <c r="E264" s="122">
        <v>3.61</v>
      </c>
      <c r="F264" s="122">
        <v>-35.9</v>
      </c>
    </row>
    <row r="265" spans="2:6" x14ac:dyDescent="0.2">
      <c r="B265" s="120" t="s">
        <v>3895</v>
      </c>
      <c r="C265" s="121" t="s">
        <v>3896</v>
      </c>
      <c r="D265" s="122"/>
      <c r="E265" s="122">
        <v>1.36</v>
      </c>
      <c r="F265" s="122"/>
    </row>
    <row r="266" spans="2:6" x14ac:dyDescent="0.2">
      <c r="B266" s="120" t="s">
        <v>3897</v>
      </c>
      <c r="C266" s="121" t="s">
        <v>3898</v>
      </c>
      <c r="D266" s="122">
        <v>0.34</v>
      </c>
      <c r="E266" s="122"/>
      <c r="F266" s="122"/>
    </row>
    <row r="267" spans="2:6" x14ac:dyDescent="0.2">
      <c r="B267" s="120" t="s">
        <v>742</v>
      </c>
      <c r="C267" s="121" t="s">
        <v>743</v>
      </c>
      <c r="D267" s="122">
        <v>1.63</v>
      </c>
      <c r="E267" s="122">
        <v>1.38</v>
      </c>
      <c r="F267" s="122">
        <v>14.14</v>
      </c>
    </row>
    <row r="268" spans="2:6" x14ac:dyDescent="0.2">
      <c r="B268" s="120" t="s">
        <v>744</v>
      </c>
      <c r="C268" s="121" t="s">
        <v>745</v>
      </c>
      <c r="D268" s="122">
        <v>8.77</v>
      </c>
      <c r="E268" s="122">
        <v>4.54</v>
      </c>
      <c r="F268" s="122">
        <v>-3.12</v>
      </c>
    </row>
    <row r="269" spans="2:6" x14ac:dyDescent="0.2">
      <c r="B269" s="120" t="s">
        <v>746</v>
      </c>
      <c r="C269" s="121" t="s">
        <v>747</v>
      </c>
      <c r="D269" s="122"/>
      <c r="E269" s="122">
        <v>3.36</v>
      </c>
      <c r="F269" s="122"/>
    </row>
    <row r="270" spans="2:6" x14ac:dyDescent="0.2">
      <c r="B270" s="120" t="s">
        <v>748</v>
      </c>
      <c r="C270" s="121" t="s">
        <v>749</v>
      </c>
      <c r="D270" s="122">
        <v>3.47</v>
      </c>
      <c r="E270" s="122">
        <v>5.12</v>
      </c>
      <c r="F270" s="122">
        <v>47.63</v>
      </c>
    </row>
    <row r="271" spans="2:6" x14ac:dyDescent="0.2">
      <c r="B271" s="120" t="s">
        <v>750</v>
      </c>
      <c r="C271" s="121" t="s">
        <v>751</v>
      </c>
      <c r="D271" s="122">
        <v>1.27</v>
      </c>
      <c r="E271" s="122">
        <v>0.51</v>
      </c>
      <c r="F271" s="122">
        <v>7.36</v>
      </c>
    </row>
    <row r="272" spans="2:6" x14ac:dyDescent="0.2">
      <c r="B272" s="120" t="s">
        <v>752</v>
      </c>
      <c r="C272" s="121" t="s">
        <v>753</v>
      </c>
      <c r="D272" s="122">
        <v>1.99</v>
      </c>
      <c r="E272" s="122">
        <v>1.38</v>
      </c>
      <c r="F272" s="122">
        <v>13.53</v>
      </c>
    </row>
    <row r="273" spans="2:6" x14ac:dyDescent="0.2">
      <c r="B273" s="120" t="s">
        <v>754</v>
      </c>
      <c r="C273" s="121" t="s">
        <v>755</v>
      </c>
      <c r="D273" s="122">
        <v>0.52</v>
      </c>
      <c r="E273" s="122">
        <v>2.06</v>
      </c>
      <c r="F273" s="122">
        <v>14.08</v>
      </c>
    </row>
    <row r="274" spans="2:6" x14ac:dyDescent="0.2">
      <c r="B274" s="120" t="s">
        <v>756</v>
      </c>
      <c r="C274" s="121" t="s">
        <v>757</v>
      </c>
      <c r="D274" s="122">
        <v>4.66</v>
      </c>
      <c r="E274" s="122">
        <v>2.72</v>
      </c>
      <c r="F274" s="122">
        <v>17.850000000000001</v>
      </c>
    </row>
    <row r="275" spans="2:6" x14ac:dyDescent="0.2">
      <c r="B275" s="120" t="s">
        <v>758</v>
      </c>
      <c r="C275" s="121" t="s">
        <v>759</v>
      </c>
      <c r="D275" s="122">
        <v>2.78</v>
      </c>
      <c r="E275" s="122">
        <v>1.22</v>
      </c>
      <c r="F275" s="122">
        <v>11.41</v>
      </c>
    </row>
    <row r="276" spans="2:6" x14ac:dyDescent="0.2">
      <c r="B276" s="120" t="s">
        <v>3899</v>
      </c>
      <c r="C276" s="121" t="s">
        <v>3900</v>
      </c>
      <c r="D276" s="122">
        <v>1.23</v>
      </c>
      <c r="E276" s="122">
        <v>3.4</v>
      </c>
      <c r="F276" s="122">
        <v>23.31</v>
      </c>
    </row>
    <row r="277" spans="2:6" x14ac:dyDescent="0.2">
      <c r="B277" s="120" t="s">
        <v>760</v>
      </c>
      <c r="C277" s="121" t="s">
        <v>761</v>
      </c>
      <c r="D277" s="122">
        <v>1.69</v>
      </c>
      <c r="E277" s="122">
        <v>5.51</v>
      </c>
      <c r="F277" s="122">
        <v>12.26</v>
      </c>
    </row>
    <row r="278" spans="2:6" x14ac:dyDescent="0.2">
      <c r="B278" s="120" t="s">
        <v>762</v>
      </c>
      <c r="C278" s="121" t="s">
        <v>763</v>
      </c>
      <c r="D278" s="122">
        <v>0.44</v>
      </c>
      <c r="E278" s="122">
        <v>1.28</v>
      </c>
      <c r="F278" s="122">
        <v>12.12</v>
      </c>
    </row>
    <row r="279" spans="2:6" x14ac:dyDescent="0.2">
      <c r="B279" s="120" t="s">
        <v>764</v>
      </c>
      <c r="C279" s="121" t="s">
        <v>765</v>
      </c>
      <c r="D279" s="122">
        <v>1.66</v>
      </c>
      <c r="E279" s="122">
        <v>1.55</v>
      </c>
      <c r="F279" s="122">
        <v>9.82</v>
      </c>
    </row>
    <row r="280" spans="2:6" x14ac:dyDescent="0.2">
      <c r="B280" s="120" t="s">
        <v>766</v>
      </c>
      <c r="C280" s="121" t="s">
        <v>767</v>
      </c>
      <c r="D280" s="122">
        <v>498.68</v>
      </c>
      <c r="E280" s="122">
        <v>6.7</v>
      </c>
      <c r="F280" s="122">
        <v>-73.73</v>
      </c>
    </row>
    <row r="281" spans="2:6" x14ac:dyDescent="0.2">
      <c r="B281" s="120" t="s">
        <v>768</v>
      </c>
      <c r="C281" s="121" t="s">
        <v>769</v>
      </c>
      <c r="D281" s="122">
        <v>1.88</v>
      </c>
      <c r="E281" s="122">
        <v>0.93</v>
      </c>
      <c r="F281" s="122">
        <v>11.29</v>
      </c>
    </row>
    <row r="282" spans="2:6" x14ac:dyDescent="0.2">
      <c r="B282" s="120" t="s">
        <v>3901</v>
      </c>
      <c r="C282" s="121" t="s">
        <v>3902</v>
      </c>
      <c r="D282" s="122">
        <v>1.33</v>
      </c>
      <c r="E282" s="122">
        <v>0.19</v>
      </c>
      <c r="F282" s="122">
        <v>3.04</v>
      </c>
    </row>
    <row r="283" spans="2:6" x14ac:dyDescent="0.2">
      <c r="B283" s="120" t="s">
        <v>770</v>
      </c>
      <c r="C283" s="121" t="s">
        <v>771</v>
      </c>
      <c r="D283" s="122">
        <v>3.32</v>
      </c>
      <c r="E283" s="122">
        <v>13.05</v>
      </c>
      <c r="F283" s="122">
        <v>46.61</v>
      </c>
    </row>
    <row r="284" spans="2:6" x14ac:dyDescent="0.2">
      <c r="B284" s="120" t="s">
        <v>772</v>
      </c>
      <c r="C284" s="121" t="s">
        <v>773</v>
      </c>
      <c r="D284" s="122">
        <v>0.88</v>
      </c>
      <c r="E284" s="122">
        <v>1.36</v>
      </c>
      <c r="F284" s="122">
        <v>9.76</v>
      </c>
    </row>
    <row r="285" spans="2:6" x14ac:dyDescent="0.2">
      <c r="B285" s="120" t="s">
        <v>774</v>
      </c>
      <c r="C285" s="121" t="s">
        <v>775</v>
      </c>
      <c r="D285" s="122">
        <v>0.88</v>
      </c>
      <c r="E285" s="122">
        <v>3.93</v>
      </c>
      <c r="F285" s="122">
        <v>-9.4600000000000009</v>
      </c>
    </row>
    <row r="286" spans="2:6" x14ac:dyDescent="0.2">
      <c r="B286" s="120" t="s">
        <v>776</v>
      </c>
      <c r="C286" s="121" t="s">
        <v>3903</v>
      </c>
      <c r="D286" s="122">
        <v>2.04</v>
      </c>
      <c r="E286" s="122">
        <v>1.33</v>
      </c>
      <c r="F286" s="122">
        <v>6.52</v>
      </c>
    </row>
    <row r="287" spans="2:6" x14ac:dyDescent="0.2">
      <c r="B287" s="120" t="s">
        <v>776</v>
      </c>
      <c r="C287" s="121" t="s">
        <v>777</v>
      </c>
      <c r="D287" s="122">
        <v>2.0299999999999998</v>
      </c>
      <c r="E287" s="122">
        <v>1.32</v>
      </c>
      <c r="F287" s="122">
        <v>6.52</v>
      </c>
    </row>
    <row r="288" spans="2:6" x14ac:dyDescent="0.2">
      <c r="B288" s="120" t="s">
        <v>778</v>
      </c>
      <c r="C288" s="121" t="s">
        <v>779</v>
      </c>
      <c r="D288" s="122">
        <v>0.41</v>
      </c>
      <c r="E288" s="122">
        <v>3.01</v>
      </c>
      <c r="F288" s="122">
        <v>26.7</v>
      </c>
    </row>
    <row r="289" spans="2:6" x14ac:dyDescent="0.2">
      <c r="B289" s="120" t="s">
        <v>780</v>
      </c>
      <c r="C289" s="121" t="s">
        <v>781</v>
      </c>
      <c r="D289" s="122">
        <v>3.42</v>
      </c>
      <c r="E289" s="122">
        <v>7.85</v>
      </c>
      <c r="F289" s="122">
        <v>27.1</v>
      </c>
    </row>
    <row r="290" spans="2:6" x14ac:dyDescent="0.2">
      <c r="B290" s="120" t="s">
        <v>782</v>
      </c>
      <c r="C290" s="121" t="s">
        <v>783</v>
      </c>
      <c r="D290" s="122">
        <v>4.5599999999999996</v>
      </c>
      <c r="E290" s="122">
        <v>3.2</v>
      </c>
      <c r="F290" s="122">
        <v>12.64</v>
      </c>
    </row>
    <row r="291" spans="2:6" x14ac:dyDescent="0.2">
      <c r="B291" s="120" t="s">
        <v>3904</v>
      </c>
      <c r="C291" s="121" t="s">
        <v>3905</v>
      </c>
      <c r="D291" s="122">
        <v>0.8</v>
      </c>
      <c r="E291" s="122">
        <v>1.22</v>
      </c>
      <c r="F291" s="122">
        <v>11.62</v>
      </c>
    </row>
    <row r="292" spans="2:6" x14ac:dyDescent="0.2">
      <c r="B292" s="120" t="s">
        <v>784</v>
      </c>
      <c r="C292" s="121" t="s">
        <v>785</v>
      </c>
      <c r="D292" s="122">
        <v>4.97</v>
      </c>
      <c r="E292" s="122">
        <v>2.13</v>
      </c>
      <c r="F292" s="122">
        <v>12.66</v>
      </c>
    </row>
    <row r="293" spans="2:6" x14ac:dyDescent="0.2">
      <c r="B293" s="120" t="s">
        <v>786</v>
      </c>
      <c r="C293" s="121" t="s">
        <v>787</v>
      </c>
      <c r="D293" s="122">
        <v>3.48</v>
      </c>
      <c r="E293" s="122">
        <v>2.74</v>
      </c>
      <c r="F293" s="122">
        <v>17.28</v>
      </c>
    </row>
    <row r="294" spans="2:6" x14ac:dyDescent="0.2">
      <c r="B294" s="120" t="s">
        <v>788</v>
      </c>
      <c r="C294" s="121" t="s">
        <v>789</v>
      </c>
      <c r="D294" s="122">
        <v>1.69</v>
      </c>
      <c r="E294" s="122">
        <v>1.6</v>
      </c>
      <c r="F294" s="122">
        <v>14.88</v>
      </c>
    </row>
    <row r="295" spans="2:6" x14ac:dyDescent="0.2">
      <c r="B295" s="120" t="s">
        <v>792</v>
      </c>
      <c r="C295" s="121" t="s">
        <v>793</v>
      </c>
      <c r="D295" s="122">
        <v>1.21</v>
      </c>
      <c r="E295" s="122">
        <v>1.25</v>
      </c>
      <c r="F295" s="122">
        <v>15.56</v>
      </c>
    </row>
    <row r="296" spans="2:6" x14ac:dyDescent="0.2">
      <c r="B296" s="120" t="s">
        <v>794</v>
      </c>
      <c r="C296" s="121" t="s">
        <v>795</v>
      </c>
      <c r="D296" s="122">
        <v>5.98</v>
      </c>
      <c r="E296" s="122">
        <v>6.4</v>
      </c>
      <c r="F296" s="122">
        <v>23.29</v>
      </c>
    </row>
    <row r="297" spans="2:6" x14ac:dyDescent="0.2">
      <c r="B297" s="120" t="s">
        <v>796</v>
      </c>
      <c r="C297" s="121" t="s">
        <v>797</v>
      </c>
      <c r="D297" s="122"/>
      <c r="E297" s="122">
        <v>1.25</v>
      </c>
      <c r="F297" s="122"/>
    </row>
    <row r="298" spans="2:6" x14ac:dyDescent="0.2">
      <c r="B298" s="120" t="s">
        <v>798</v>
      </c>
      <c r="C298" s="121" t="s">
        <v>799</v>
      </c>
      <c r="D298" s="122">
        <v>2.99</v>
      </c>
      <c r="E298" s="122">
        <v>1.97</v>
      </c>
      <c r="F298" s="122">
        <v>8.75</v>
      </c>
    </row>
    <row r="299" spans="2:6" x14ac:dyDescent="0.2">
      <c r="B299" s="120" t="s">
        <v>800</v>
      </c>
      <c r="C299" s="121" t="s">
        <v>801</v>
      </c>
      <c r="D299" s="122"/>
      <c r="E299" s="122">
        <v>0.92</v>
      </c>
      <c r="F299" s="122"/>
    </row>
    <row r="300" spans="2:6" x14ac:dyDescent="0.2">
      <c r="B300" s="120" t="s">
        <v>3906</v>
      </c>
      <c r="C300" s="121" t="s">
        <v>3907</v>
      </c>
      <c r="D300" s="122"/>
      <c r="E300" s="122">
        <v>0.61</v>
      </c>
      <c r="F300" s="122"/>
    </row>
    <row r="301" spans="2:6" x14ac:dyDescent="0.2">
      <c r="B301" s="120" t="s">
        <v>802</v>
      </c>
      <c r="C301" s="121" t="s">
        <v>803</v>
      </c>
      <c r="D301" s="122"/>
      <c r="E301" s="122">
        <v>1.64</v>
      </c>
      <c r="F301" s="122"/>
    </row>
    <row r="302" spans="2:6" x14ac:dyDescent="0.2">
      <c r="B302" s="120" t="s">
        <v>3908</v>
      </c>
      <c r="C302" s="121" t="s">
        <v>3909</v>
      </c>
      <c r="D302" s="122"/>
      <c r="E302" s="122"/>
      <c r="F302" s="122"/>
    </row>
    <row r="303" spans="2:6" x14ac:dyDescent="0.2">
      <c r="B303" s="120" t="s">
        <v>804</v>
      </c>
      <c r="C303" s="121" t="s">
        <v>805</v>
      </c>
      <c r="D303" s="122">
        <v>2.91</v>
      </c>
      <c r="E303" s="122">
        <v>2.0099999999999998</v>
      </c>
      <c r="F303" s="122">
        <v>21.79</v>
      </c>
    </row>
    <row r="304" spans="2:6" x14ac:dyDescent="0.2">
      <c r="B304" s="120" t="s">
        <v>806</v>
      </c>
      <c r="C304" s="121" t="s">
        <v>807</v>
      </c>
      <c r="D304" s="122"/>
      <c r="E304" s="122">
        <v>5.96</v>
      </c>
      <c r="F304" s="122"/>
    </row>
    <row r="305" spans="2:6" x14ac:dyDescent="0.2">
      <c r="B305" s="120" t="s">
        <v>808</v>
      </c>
      <c r="C305" s="121" t="s">
        <v>809</v>
      </c>
      <c r="D305" s="122">
        <v>1.91</v>
      </c>
      <c r="E305" s="122">
        <v>42.08</v>
      </c>
      <c r="F305" s="122">
        <v>163.5</v>
      </c>
    </row>
    <row r="306" spans="2:6" x14ac:dyDescent="0.2">
      <c r="B306" s="120" t="s">
        <v>810</v>
      </c>
      <c r="C306" s="121" t="s">
        <v>811</v>
      </c>
      <c r="D306" s="122">
        <v>4.05</v>
      </c>
      <c r="E306" s="122">
        <v>1.24</v>
      </c>
      <c r="F306" s="122">
        <v>1.37</v>
      </c>
    </row>
    <row r="307" spans="2:6" x14ac:dyDescent="0.2">
      <c r="B307" s="120" t="s">
        <v>812</v>
      </c>
      <c r="C307" s="121" t="s">
        <v>813</v>
      </c>
      <c r="D307" s="122"/>
      <c r="E307" s="122"/>
      <c r="F307" s="122"/>
    </row>
    <row r="308" spans="2:6" x14ac:dyDescent="0.2">
      <c r="B308" s="120" t="s">
        <v>814</v>
      </c>
      <c r="C308" s="121" t="s">
        <v>815</v>
      </c>
      <c r="D308" s="122">
        <v>0.75</v>
      </c>
      <c r="E308" s="122">
        <v>1.69</v>
      </c>
      <c r="F308" s="122">
        <v>20.13</v>
      </c>
    </row>
    <row r="309" spans="2:6" x14ac:dyDescent="0.2">
      <c r="B309" s="120" t="s">
        <v>816</v>
      </c>
      <c r="C309" s="121" t="s">
        <v>817</v>
      </c>
      <c r="D309" s="122">
        <v>3.17</v>
      </c>
      <c r="E309" s="122">
        <v>19.29</v>
      </c>
      <c r="F309" s="122">
        <v>83.2</v>
      </c>
    </row>
    <row r="310" spans="2:6" x14ac:dyDescent="0.2">
      <c r="B310" s="120" t="s">
        <v>818</v>
      </c>
      <c r="C310" s="121" t="s">
        <v>819</v>
      </c>
      <c r="D310" s="122">
        <v>5.89</v>
      </c>
      <c r="E310" s="122">
        <v>2.5</v>
      </c>
      <c r="F310" s="122">
        <v>11.3</v>
      </c>
    </row>
    <row r="311" spans="2:6" x14ac:dyDescent="0.2">
      <c r="B311" s="120" t="s">
        <v>3910</v>
      </c>
      <c r="C311" s="121" t="s">
        <v>3911</v>
      </c>
      <c r="D311" s="122"/>
      <c r="E311" s="122">
        <v>4.33</v>
      </c>
      <c r="F311" s="122"/>
    </row>
    <row r="312" spans="2:6" x14ac:dyDescent="0.2">
      <c r="B312" s="120" t="s">
        <v>820</v>
      </c>
      <c r="C312" s="121" t="s">
        <v>821</v>
      </c>
      <c r="D312" s="122">
        <v>7.47</v>
      </c>
      <c r="E312" s="122">
        <v>1.3</v>
      </c>
      <c r="F312" s="122">
        <v>9.06</v>
      </c>
    </row>
    <row r="313" spans="2:6" x14ac:dyDescent="0.2">
      <c r="B313" s="120" t="s">
        <v>822</v>
      </c>
      <c r="C313" s="121" t="s">
        <v>823</v>
      </c>
      <c r="D313" s="122">
        <v>7.05</v>
      </c>
      <c r="E313" s="122">
        <v>2.57</v>
      </c>
      <c r="F313" s="122">
        <v>6.8</v>
      </c>
    </row>
    <row r="314" spans="2:6" x14ac:dyDescent="0.2">
      <c r="B314" s="120" t="s">
        <v>3912</v>
      </c>
      <c r="C314" s="121" t="s">
        <v>3913</v>
      </c>
      <c r="D314" s="122"/>
      <c r="E314" s="122">
        <v>28.16</v>
      </c>
      <c r="F314" s="122"/>
    </row>
    <row r="315" spans="2:6" x14ac:dyDescent="0.2">
      <c r="B315" s="120" t="s">
        <v>824</v>
      </c>
      <c r="C315" s="121" t="s">
        <v>825</v>
      </c>
      <c r="D315" s="122"/>
      <c r="E315" s="122">
        <v>3.89</v>
      </c>
      <c r="F315" s="122"/>
    </row>
    <row r="316" spans="2:6" x14ac:dyDescent="0.2">
      <c r="B316" s="120" t="s">
        <v>3914</v>
      </c>
      <c r="C316" s="121" t="s">
        <v>3915</v>
      </c>
      <c r="D316" s="122"/>
      <c r="E316" s="122"/>
      <c r="F316" s="122"/>
    </row>
    <row r="317" spans="2:6" x14ac:dyDescent="0.2">
      <c r="B317" s="120" t="s">
        <v>826</v>
      </c>
      <c r="C317" s="121" t="s">
        <v>827</v>
      </c>
      <c r="D317" s="122">
        <v>1.55</v>
      </c>
      <c r="E317" s="122">
        <v>0.87</v>
      </c>
      <c r="F317" s="122">
        <v>10.1</v>
      </c>
    </row>
    <row r="318" spans="2:6" x14ac:dyDescent="0.2">
      <c r="B318" s="120" t="s">
        <v>828</v>
      </c>
      <c r="C318" s="121" t="s">
        <v>829</v>
      </c>
      <c r="D318" s="122"/>
      <c r="E318" s="122">
        <v>2.93</v>
      </c>
      <c r="F318" s="122"/>
    </row>
    <row r="319" spans="2:6" x14ac:dyDescent="0.2">
      <c r="B319" s="120" t="s">
        <v>830</v>
      </c>
      <c r="C319" s="121" t="s">
        <v>831</v>
      </c>
      <c r="D319" s="122">
        <v>6.43</v>
      </c>
      <c r="E319" s="122">
        <v>9.2799999999999994</v>
      </c>
      <c r="F319" s="122">
        <v>21.26</v>
      </c>
    </row>
    <row r="320" spans="2:6" x14ac:dyDescent="0.2">
      <c r="B320" s="120" t="s">
        <v>832</v>
      </c>
      <c r="C320" s="121" t="s">
        <v>833</v>
      </c>
      <c r="D320" s="122">
        <v>6.38</v>
      </c>
      <c r="E320" s="122">
        <v>4.03</v>
      </c>
      <c r="F320" s="122">
        <v>30.02</v>
      </c>
    </row>
    <row r="321" spans="2:6" x14ac:dyDescent="0.2">
      <c r="B321" s="120" t="s">
        <v>834</v>
      </c>
      <c r="C321" s="121" t="s">
        <v>835</v>
      </c>
      <c r="D321" s="122">
        <v>1.1399999999999999</v>
      </c>
      <c r="E321" s="122">
        <v>2.39</v>
      </c>
      <c r="F321" s="122">
        <v>11.61</v>
      </c>
    </row>
    <row r="322" spans="2:6" x14ac:dyDescent="0.2">
      <c r="B322" s="120" t="s">
        <v>836</v>
      </c>
      <c r="C322" s="121" t="s">
        <v>837</v>
      </c>
      <c r="D322" s="122">
        <v>2.6</v>
      </c>
      <c r="E322" s="122">
        <v>3.78</v>
      </c>
      <c r="F322" s="122">
        <v>13.94</v>
      </c>
    </row>
    <row r="323" spans="2:6" x14ac:dyDescent="0.2">
      <c r="B323" s="120" t="s">
        <v>838</v>
      </c>
      <c r="C323" s="121" t="s">
        <v>839</v>
      </c>
      <c r="D323" s="122">
        <v>1.52</v>
      </c>
      <c r="E323" s="122">
        <v>1.94</v>
      </c>
      <c r="F323" s="122">
        <v>13.74</v>
      </c>
    </row>
    <row r="324" spans="2:6" x14ac:dyDescent="0.2">
      <c r="B324" s="120" t="s">
        <v>840</v>
      </c>
      <c r="C324" s="121" t="s">
        <v>841</v>
      </c>
      <c r="D324" s="122">
        <v>0.1</v>
      </c>
      <c r="E324" s="122">
        <v>2.2599999999999998</v>
      </c>
      <c r="F324" s="122">
        <v>25.96</v>
      </c>
    </row>
    <row r="325" spans="2:6" x14ac:dyDescent="0.2">
      <c r="B325" s="120" t="s">
        <v>842</v>
      </c>
      <c r="C325" s="121" t="s">
        <v>843</v>
      </c>
      <c r="D325" s="122">
        <v>0.85</v>
      </c>
      <c r="E325" s="122">
        <v>1.08</v>
      </c>
      <c r="F325" s="122">
        <v>6.07</v>
      </c>
    </row>
    <row r="326" spans="2:6" x14ac:dyDescent="0.2">
      <c r="B326" s="120" t="s">
        <v>3916</v>
      </c>
      <c r="C326" s="121" t="s">
        <v>3917</v>
      </c>
      <c r="D326" s="122"/>
      <c r="E326" s="122"/>
      <c r="F326" s="122"/>
    </row>
    <row r="327" spans="2:6" x14ac:dyDescent="0.2">
      <c r="B327" s="120" t="s">
        <v>844</v>
      </c>
      <c r="C327" s="121" t="s">
        <v>845</v>
      </c>
      <c r="D327" s="122">
        <v>8.34</v>
      </c>
      <c r="E327" s="122">
        <v>16.61</v>
      </c>
      <c r="F327" s="122">
        <v>17.12</v>
      </c>
    </row>
    <row r="328" spans="2:6" x14ac:dyDescent="0.2">
      <c r="B328" s="120" t="s">
        <v>846</v>
      </c>
      <c r="C328" s="121" t="s">
        <v>847</v>
      </c>
      <c r="D328" s="122">
        <v>0.64</v>
      </c>
      <c r="E328" s="122">
        <v>4.0599999999999996</v>
      </c>
      <c r="F328" s="122">
        <v>15.55</v>
      </c>
    </row>
    <row r="329" spans="2:6" x14ac:dyDescent="0.2">
      <c r="B329" s="120" t="s">
        <v>848</v>
      </c>
      <c r="C329" s="121" t="s">
        <v>849</v>
      </c>
      <c r="D329" s="122">
        <v>1.29</v>
      </c>
      <c r="E329" s="122">
        <v>4.8499999999999996</v>
      </c>
      <c r="F329" s="122">
        <v>43.35</v>
      </c>
    </row>
    <row r="330" spans="2:6" x14ac:dyDescent="0.2">
      <c r="B330" s="120" t="s">
        <v>850</v>
      </c>
      <c r="C330" s="121" t="s">
        <v>851</v>
      </c>
      <c r="D330" s="122">
        <v>2.09</v>
      </c>
      <c r="E330" s="122">
        <v>1.34</v>
      </c>
      <c r="F330" s="122">
        <v>8.5299999999999994</v>
      </c>
    </row>
    <row r="331" spans="2:6" x14ac:dyDescent="0.2">
      <c r="B331" s="120" t="s">
        <v>852</v>
      </c>
      <c r="C331" s="121" t="s">
        <v>853</v>
      </c>
      <c r="D331" s="122">
        <v>0.4</v>
      </c>
      <c r="E331" s="122">
        <v>1.96</v>
      </c>
      <c r="F331" s="122">
        <v>7.2</v>
      </c>
    </row>
    <row r="332" spans="2:6" x14ac:dyDescent="0.2">
      <c r="B332" s="120" t="s">
        <v>3918</v>
      </c>
      <c r="C332" s="121" t="s">
        <v>3919</v>
      </c>
      <c r="D332" s="122"/>
      <c r="E332" s="122">
        <v>2.93</v>
      </c>
      <c r="F332" s="122"/>
    </row>
    <row r="333" spans="2:6" x14ac:dyDescent="0.2">
      <c r="B333" s="120" t="s">
        <v>854</v>
      </c>
      <c r="C333" s="121" t="s">
        <v>855</v>
      </c>
      <c r="D333" s="122">
        <v>5.07</v>
      </c>
      <c r="E333" s="122">
        <v>3.88</v>
      </c>
      <c r="F333" s="122">
        <v>16.63</v>
      </c>
    </row>
    <row r="334" spans="2:6" x14ac:dyDescent="0.2">
      <c r="B334" s="120" t="s">
        <v>856</v>
      </c>
      <c r="C334" s="121" t="s">
        <v>857</v>
      </c>
      <c r="D334" s="122">
        <v>9</v>
      </c>
      <c r="E334" s="122">
        <v>2.46</v>
      </c>
      <c r="F334" s="122">
        <v>8.56</v>
      </c>
    </row>
    <row r="335" spans="2:6" x14ac:dyDescent="0.2">
      <c r="B335" s="120" t="s">
        <v>858</v>
      </c>
      <c r="C335" s="121" t="s">
        <v>859</v>
      </c>
      <c r="D335" s="122">
        <v>0.8</v>
      </c>
      <c r="E335" s="122">
        <v>3.34</v>
      </c>
      <c r="F335" s="122">
        <v>24.14</v>
      </c>
    </row>
    <row r="336" spans="2:6" x14ac:dyDescent="0.2">
      <c r="B336" s="120" t="s">
        <v>860</v>
      </c>
      <c r="C336" s="121" t="s">
        <v>861</v>
      </c>
      <c r="D336" s="122">
        <v>1.3</v>
      </c>
      <c r="E336" s="122">
        <v>6.6</v>
      </c>
      <c r="F336" s="122">
        <v>36.01</v>
      </c>
    </row>
    <row r="337" spans="2:6" x14ac:dyDescent="0.2">
      <c r="B337" s="120" t="s">
        <v>862</v>
      </c>
      <c r="C337" s="121" t="s">
        <v>863</v>
      </c>
      <c r="D337" s="122">
        <v>1.03</v>
      </c>
      <c r="E337" s="122">
        <v>3.3</v>
      </c>
      <c r="F337" s="122">
        <v>55.03</v>
      </c>
    </row>
    <row r="338" spans="2:6" x14ac:dyDescent="0.2">
      <c r="B338" s="120" t="s">
        <v>862</v>
      </c>
      <c r="C338" s="121" t="s">
        <v>3920</v>
      </c>
      <c r="D338" s="122">
        <v>1.08</v>
      </c>
      <c r="E338" s="122">
        <v>3.47</v>
      </c>
      <c r="F338" s="122">
        <v>55.03</v>
      </c>
    </row>
    <row r="339" spans="2:6" x14ac:dyDescent="0.2">
      <c r="B339" s="120" t="s">
        <v>3921</v>
      </c>
      <c r="C339" s="121" t="s">
        <v>3922</v>
      </c>
      <c r="D339" s="122">
        <v>4.66</v>
      </c>
      <c r="E339" s="122">
        <v>2.21</v>
      </c>
      <c r="F339" s="122">
        <v>15.02</v>
      </c>
    </row>
    <row r="340" spans="2:6" x14ac:dyDescent="0.2">
      <c r="B340" s="120" t="s">
        <v>864</v>
      </c>
      <c r="C340" s="121" t="s">
        <v>865</v>
      </c>
      <c r="D340" s="122">
        <v>5.47</v>
      </c>
      <c r="E340" s="122">
        <v>1.8</v>
      </c>
      <c r="F340" s="122">
        <v>10.1</v>
      </c>
    </row>
    <row r="341" spans="2:6" x14ac:dyDescent="0.2">
      <c r="B341" s="120" t="s">
        <v>3923</v>
      </c>
      <c r="C341" s="121" t="s">
        <v>3924</v>
      </c>
      <c r="D341" s="122"/>
      <c r="E341" s="122">
        <v>3.86</v>
      </c>
      <c r="F341" s="122">
        <v>2.88</v>
      </c>
    </row>
    <row r="342" spans="2:6" x14ac:dyDescent="0.2">
      <c r="B342" s="120" t="s">
        <v>866</v>
      </c>
      <c r="C342" s="121" t="s">
        <v>867</v>
      </c>
      <c r="D342" s="122"/>
      <c r="E342" s="122"/>
      <c r="F342" s="122"/>
    </row>
    <row r="343" spans="2:6" x14ac:dyDescent="0.2">
      <c r="B343" s="120" t="s">
        <v>868</v>
      </c>
      <c r="C343" s="121" t="s">
        <v>869</v>
      </c>
      <c r="D343" s="122">
        <v>2</v>
      </c>
      <c r="E343" s="122">
        <v>3.82</v>
      </c>
      <c r="F343" s="122">
        <v>16.440000000000001</v>
      </c>
    </row>
    <row r="344" spans="2:6" x14ac:dyDescent="0.2">
      <c r="B344" s="120" t="s">
        <v>870</v>
      </c>
      <c r="C344" s="121" t="s">
        <v>871</v>
      </c>
      <c r="D344" s="122"/>
      <c r="E344" s="122">
        <v>4.4800000000000004</v>
      </c>
      <c r="F344" s="122"/>
    </row>
    <row r="345" spans="2:6" x14ac:dyDescent="0.2">
      <c r="B345" s="120" t="s">
        <v>872</v>
      </c>
      <c r="C345" s="121" t="s">
        <v>873</v>
      </c>
      <c r="D345" s="122">
        <v>10.26</v>
      </c>
      <c r="E345" s="122">
        <v>5.07</v>
      </c>
      <c r="F345" s="122">
        <v>7</v>
      </c>
    </row>
    <row r="346" spans="2:6" x14ac:dyDescent="0.2">
      <c r="B346" s="120" t="s">
        <v>874</v>
      </c>
      <c r="C346" s="121" t="s">
        <v>875</v>
      </c>
      <c r="D346" s="122">
        <v>2.44</v>
      </c>
      <c r="E346" s="122">
        <v>1</v>
      </c>
      <c r="F346" s="122">
        <v>3.37</v>
      </c>
    </row>
    <row r="347" spans="2:6" x14ac:dyDescent="0.2">
      <c r="B347" s="120" t="s">
        <v>876</v>
      </c>
      <c r="C347" s="121" t="s">
        <v>877</v>
      </c>
      <c r="D347" s="122">
        <v>0.73</v>
      </c>
      <c r="E347" s="122">
        <v>5.0199999999999996</v>
      </c>
      <c r="F347" s="122">
        <v>48.36</v>
      </c>
    </row>
    <row r="348" spans="2:6" x14ac:dyDescent="0.2">
      <c r="B348" s="120" t="s">
        <v>878</v>
      </c>
      <c r="C348" s="121" t="s">
        <v>879</v>
      </c>
      <c r="D348" s="122">
        <v>1.28</v>
      </c>
      <c r="E348" s="122">
        <v>1.05</v>
      </c>
      <c r="F348" s="122">
        <v>12.15</v>
      </c>
    </row>
    <row r="349" spans="2:6" x14ac:dyDescent="0.2">
      <c r="B349" s="120" t="s">
        <v>880</v>
      </c>
      <c r="C349" s="121" t="s">
        <v>881</v>
      </c>
      <c r="D349" s="122"/>
      <c r="E349" s="122">
        <v>3.98</v>
      </c>
      <c r="F349" s="122"/>
    </row>
    <row r="350" spans="2:6" x14ac:dyDescent="0.2">
      <c r="B350" s="120" t="s">
        <v>882</v>
      </c>
      <c r="C350" s="121" t="s">
        <v>883</v>
      </c>
      <c r="D350" s="122">
        <v>4.5999999999999996</v>
      </c>
      <c r="E350" s="122">
        <v>4.1100000000000003</v>
      </c>
      <c r="F350" s="122">
        <v>21.77</v>
      </c>
    </row>
    <row r="351" spans="2:6" x14ac:dyDescent="0.2">
      <c r="B351" s="120" t="s">
        <v>3925</v>
      </c>
      <c r="C351" s="121" t="s">
        <v>3926</v>
      </c>
      <c r="D351" s="122"/>
      <c r="E351" s="122">
        <v>6.52</v>
      </c>
      <c r="F351" s="122"/>
    </row>
    <row r="352" spans="2:6" x14ac:dyDescent="0.2">
      <c r="B352" s="120" t="s">
        <v>3927</v>
      </c>
      <c r="C352" s="121" t="s">
        <v>3928</v>
      </c>
      <c r="D352" s="122"/>
      <c r="E352" s="122">
        <v>0.91</v>
      </c>
      <c r="F352" s="122"/>
    </row>
    <row r="353" spans="2:6" x14ac:dyDescent="0.2">
      <c r="B353" s="120" t="s">
        <v>884</v>
      </c>
      <c r="C353" s="121" t="s">
        <v>885</v>
      </c>
      <c r="D353" s="122">
        <v>0.34</v>
      </c>
      <c r="E353" s="122">
        <v>0.33</v>
      </c>
      <c r="F353" s="122">
        <v>4.17</v>
      </c>
    </row>
    <row r="354" spans="2:6" x14ac:dyDescent="0.2">
      <c r="B354" s="120" t="s">
        <v>886</v>
      </c>
      <c r="C354" s="121" t="s">
        <v>887</v>
      </c>
      <c r="D354" s="122">
        <v>1.52</v>
      </c>
      <c r="E354" s="122">
        <v>1.98</v>
      </c>
      <c r="F354" s="122">
        <v>11.29</v>
      </c>
    </row>
    <row r="355" spans="2:6" x14ac:dyDescent="0.2">
      <c r="B355" s="120" t="s">
        <v>888</v>
      </c>
      <c r="C355" s="121" t="s">
        <v>889</v>
      </c>
      <c r="D355" s="122">
        <v>9.52</v>
      </c>
      <c r="E355" s="122">
        <v>4.1900000000000004</v>
      </c>
      <c r="F355" s="122">
        <v>2.34</v>
      </c>
    </row>
    <row r="356" spans="2:6" x14ac:dyDescent="0.2">
      <c r="B356" s="120" t="s">
        <v>890</v>
      </c>
      <c r="C356" s="121" t="s">
        <v>891</v>
      </c>
      <c r="D356" s="122">
        <v>2.56</v>
      </c>
      <c r="E356" s="122">
        <v>0.7</v>
      </c>
      <c r="F356" s="122">
        <v>4.84</v>
      </c>
    </row>
    <row r="357" spans="2:6" x14ac:dyDescent="0.2">
      <c r="B357" s="120" t="s">
        <v>892</v>
      </c>
      <c r="C357" s="121" t="s">
        <v>893</v>
      </c>
      <c r="D357" s="122">
        <v>2.59</v>
      </c>
      <c r="E357" s="122"/>
      <c r="F357" s="122">
        <v>-90.04</v>
      </c>
    </row>
    <row r="358" spans="2:6" x14ac:dyDescent="0.2">
      <c r="B358" s="120" t="s">
        <v>894</v>
      </c>
      <c r="C358" s="121" t="s">
        <v>895</v>
      </c>
      <c r="D358" s="122">
        <v>8.18</v>
      </c>
      <c r="E358" s="122">
        <v>12.93</v>
      </c>
      <c r="F358" s="122">
        <v>31.86</v>
      </c>
    </row>
    <row r="359" spans="2:6" x14ac:dyDescent="0.2">
      <c r="B359" s="120" t="s">
        <v>896</v>
      </c>
      <c r="C359" s="121" t="s">
        <v>897</v>
      </c>
      <c r="D359" s="122">
        <v>1.03</v>
      </c>
      <c r="E359" s="122">
        <v>18.72</v>
      </c>
      <c r="F359" s="122">
        <v>82.78</v>
      </c>
    </row>
    <row r="360" spans="2:6" x14ac:dyDescent="0.2">
      <c r="B360" s="120" t="s">
        <v>898</v>
      </c>
      <c r="C360" s="121" t="s">
        <v>899</v>
      </c>
      <c r="D360" s="122">
        <v>2.25</v>
      </c>
      <c r="E360" s="122">
        <v>4.67</v>
      </c>
      <c r="F360" s="122">
        <v>38.56</v>
      </c>
    </row>
    <row r="361" spans="2:6" x14ac:dyDescent="0.2">
      <c r="B361" s="120" t="s">
        <v>900</v>
      </c>
      <c r="C361" s="121" t="s">
        <v>901</v>
      </c>
      <c r="D361" s="122">
        <v>0.41</v>
      </c>
      <c r="E361" s="122">
        <v>0.8</v>
      </c>
      <c r="F361" s="122">
        <v>4.32</v>
      </c>
    </row>
    <row r="362" spans="2:6" x14ac:dyDescent="0.2">
      <c r="B362" s="120" t="s">
        <v>902</v>
      </c>
      <c r="C362" s="121" t="s">
        <v>903</v>
      </c>
      <c r="D362" s="122">
        <v>4.3099999999999996</v>
      </c>
      <c r="E362" s="122">
        <v>7.01</v>
      </c>
      <c r="F362" s="122">
        <v>89.93</v>
      </c>
    </row>
    <row r="363" spans="2:6" x14ac:dyDescent="0.2">
      <c r="B363" s="120" t="s">
        <v>904</v>
      </c>
      <c r="C363" s="121" t="s">
        <v>905</v>
      </c>
      <c r="D363" s="122"/>
      <c r="E363" s="122">
        <v>1.1299999999999999</v>
      </c>
      <c r="F363" s="122"/>
    </row>
    <row r="364" spans="2:6" x14ac:dyDescent="0.2">
      <c r="B364" s="120" t="s">
        <v>906</v>
      </c>
      <c r="C364" s="121" t="s">
        <v>907</v>
      </c>
      <c r="D364" s="122">
        <v>3.94</v>
      </c>
      <c r="E364" s="122">
        <v>4.62</v>
      </c>
      <c r="F364" s="122">
        <v>15.14</v>
      </c>
    </row>
    <row r="365" spans="2:6" x14ac:dyDescent="0.2">
      <c r="B365" s="120" t="s">
        <v>908</v>
      </c>
      <c r="C365" s="121" t="s">
        <v>909</v>
      </c>
      <c r="D365" s="122">
        <v>2.2999999999999998</v>
      </c>
      <c r="E365" s="122">
        <v>1.85</v>
      </c>
      <c r="F365" s="122">
        <v>7.22</v>
      </c>
    </row>
    <row r="366" spans="2:6" x14ac:dyDescent="0.2">
      <c r="B366" s="120" t="s">
        <v>910</v>
      </c>
      <c r="C366" s="121" t="s">
        <v>911</v>
      </c>
      <c r="D366" s="122">
        <v>2.0299999999999998</v>
      </c>
      <c r="E366" s="122">
        <v>0.79</v>
      </c>
      <c r="F366" s="122">
        <v>8.94</v>
      </c>
    </row>
    <row r="367" spans="2:6" x14ac:dyDescent="0.2">
      <c r="B367" s="120" t="s">
        <v>3929</v>
      </c>
      <c r="C367" s="121" t="s">
        <v>3930</v>
      </c>
      <c r="D367" s="122">
        <v>3.76</v>
      </c>
      <c r="E367" s="122">
        <v>1.54</v>
      </c>
      <c r="F367" s="122">
        <v>13.85</v>
      </c>
    </row>
    <row r="368" spans="2:6" x14ac:dyDescent="0.2">
      <c r="B368" s="120" t="s">
        <v>3931</v>
      </c>
      <c r="C368" s="121" t="s">
        <v>3932</v>
      </c>
      <c r="D368" s="122"/>
      <c r="E368" s="122"/>
      <c r="F368" s="122"/>
    </row>
    <row r="369" spans="2:6" x14ac:dyDescent="0.2">
      <c r="B369" s="120" t="s">
        <v>912</v>
      </c>
      <c r="C369" s="121" t="s">
        <v>913</v>
      </c>
      <c r="D369" s="122">
        <v>0.89</v>
      </c>
      <c r="E369" s="122">
        <v>1.03</v>
      </c>
      <c r="F369" s="122">
        <v>8.69</v>
      </c>
    </row>
    <row r="370" spans="2:6" x14ac:dyDescent="0.2">
      <c r="B370" s="120" t="s">
        <v>914</v>
      </c>
      <c r="C370" s="121" t="s">
        <v>915</v>
      </c>
      <c r="D370" s="122">
        <v>40.58</v>
      </c>
      <c r="E370" s="122">
        <v>2.0099999999999998</v>
      </c>
      <c r="F370" s="122">
        <v>-13.01</v>
      </c>
    </row>
    <row r="371" spans="2:6" x14ac:dyDescent="0.2">
      <c r="B371" s="120" t="s">
        <v>3933</v>
      </c>
      <c r="C371" s="121" t="s">
        <v>3934</v>
      </c>
      <c r="D371" s="122"/>
      <c r="E371" s="122">
        <v>2.23</v>
      </c>
      <c r="F371" s="122"/>
    </row>
    <row r="372" spans="2:6" x14ac:dyDescent="0.2">
      <c r="B372" s="120" t="s">
        <v>916</v>
      </c>
      <c r="C372" s="121" t="s">
        <v>917</v>
      </c>
      <c r="D372" s="122">
        <v>10.31</v>
      </c>
      <c r="E372" s="122">
        <v>6.9</v>
      </c>
      <c r="F372" s="122">
        <v>17.809999999999999</v>
      </c>
    </row>
    <row r="373" spans="2:6" x14ac:dyDescent="0.2">
      <c r="B373" s="120" t="s">
        <v>918</v>
      </c>
      <c r="C373" s="121" t="s">
        <v>919</v>
      </c>
      <c r="D373" s="122"/>
      <c r="E373" s="122">
        <v>0.72</v>
      </c>
      <c r="F373" s="122"/>
    </row>
    <row r="374" spans="2:6" x14ac:dyDescent="0.2">
      <c r="B374" s="120" t="s">
        <v>3935</v>
      </c>
      <c r="C374" s="121" t="s">
        <v>3936</v>
      </c>
      <c r="D374" s="122">
        <v>1.93</v>
      </c>
      <c r="E374" s="122">
        <v>0.47</v>
      </c>
      <c r="F374" s="122">
        <v>5.27</v>
      </c>
    </row>
    <row r="375" spans="2:6" x14ac:dyDescent="0.2">
      <c r="B375" s="120" t="s">
        <v>3937</v>
      </c>
      <c r="C375" s="121" t="s">
        <v>3938</v>
      </c>
      <c r="D375" s="122"/>
      <c r="E375" s="122"/>
      <c r="F375" s="122"/>
    </row>
    <row r="376" spans="2:6" x14ac:dyDescent="0.2">
      <c r="B376" s="120" t="s">
        <v>920</v>
      </c>
      <c r="C376" s="121" t="s">
        <v>921</v>
      </c>
      <c r="D376" s="122">
        <v>4.25</v>
      </c>
      <c r="E376" s="122">
        <v>6.91</v>
      </c>
      <c r="F376" s="122">
        <v>24.57</v>
      </c>
    </row>
    <row r="377" spans="2:6" x14ac:dyDescent="0.2">
      <c r="B377" s="120" t="s">
        <v>922</v>
      </c>
      <c r="C377" s="121" t="s">
        <v>923</v>
      </c>
      <c r="D377" s="122">
        <v>4.16</v>
      </c>
      <c r="E377" s="122">
        <v>8.9</v>
      </c>
      <c r="F377" s="122">
        <v>34.229999999999997</v>
      </c>
    </row>
    <row r="378" spans="2:6" x14ac:dyDescent="0.2">
      <c r="B378" s="120" t="s">
        <v>924</v>
      </c>
      <c r="C378" s="121" t="s">
        <v>925</v>
      </c>
      <c r="D378" s="122">
        <v>3.69</v>
      </c>
      <c r="E378" s="122">
        <v>10.97</v>
      </c>
      <c r="F378" s="122">
        <v>35.630000000000003</v>
      </c>
    </row>
    <row r="379" spans="2:6" x14ac:dyDescent="0.2">
      <c r="B379" s="120" t="s">
        <v>3939</v>
      </c>
      <c r="C379" s="121" t="s">
        <v>3940</v>
      </c>
      <c r="D379" s="122"/>
      <c r="E379" s="122"/>
      <c r="F379" s="122"/>
    </row>
    <row r="380" spans="2:6" x14ac:dyDescent="0.2">
      <c r="B380" s="120" t="s">
        <v>926</v>
      </c>
      <c r="C380" s="121" t="s">
        <v>927</v>
      </c>
      <c r="D380" s="122">
        <v>11.02</v>
      </c>
      <c r="E380" s="122">
        <v>8.66</v>
      </c>
      <c r="F380" s="122">
        <v>7.12</v>
      </c>
    </row>
    <row r="381" spans="2:6" x14ac:dyDescent="0.2">
      <c r="B381" s="120" t="s">
        <v>928</v>
      </c>
      <c r="C381" s="121" t="s">
        <v>929</v>
      </c>
      <c r="D381" s="122">
        <v>4.71</v>
      </c>
      <c r="E381" s="122"/>
      <c r="F381" s="122">
        <v>-141.56</v>
      </c>
    </row>
    <row r="382" spans="2:6" x14ac:dyDescent="0.2">
      <c r="B382" s="120" t="s">
        <v>930</v>
      </c>
      <c r="C382" s="121" t="s">
        <v>931</v>
      </c>
      <c r="D382" s="122">
        <v>8.4700000000000006</v>
      </c>
      <c r="E382" s="122">
        <v>4.53</v>
      </c>
      <c r="F382" s="122">
        <v>22.05</v>
      </c>
    </row>
    <row r="383" spans="2:6" x14ac:dyDescent="0.2">
      <c r="B383" s="120" t="s">
        <v>932</v>
      </c>
      <c r="C383" s="121" t="s">
        <v>933</v>
      </c>
      <c r="D383" s="122"/>
      <c r="E383" s="122">
        <v>1.06</v>
      </c>
      <c r="F383" s="122"/>
    </row>
    <row r="384" spans="2:6" x14ac:dyDescent="0.2">
      <c r="B384" s="120" t="s">
        <v>934</v>
      </c>
      <c r="C384" s="121" t="s">
        <v>935</v>
      </c>
      <c r="D384" s="122">
        <v>0.71</v>
      </c>
      <c r="E384" s="122">
        <v>6.95</v>
      </c>
      <c r="F384" s="122">
        <v>42.88</v>
      </c>
    </row>
    <row r="385" spans="2:6" x14ac:dyDescent="0.2">
      <c r="B385" s="120" t="s">
        <v>3941</v>
      </c>
      <c r="C385" s="121" t="s">
        <v>3942</v>
      </c>
      <c r="D385" s="122">
        <v>4.1100000000000003</v>
      </c>
      <c r="E385" s="122">
        <v>2.36</v>
      </c>
      <c r="F385" s="122">
        <v>8.9499999999999993</v>
      </c>
    </row>
    <row r="386" spans="2:6" x14ac:dyDescent="0.2">
      <c r="B386" s="120" t="s">
        <v>936</v>
      </c>
      <c r="C386" s="121" t="s">
        <v>937</v>
      </c>
      <c r="D386" s="122">
        <v>2.08</v>
      </c>
      <c r="E386" s="122">
        <v>2.16</v>
      </c>
      <c r="F386" s="122">
        <v>3.08</v>
      </c>
    </row>
    <row r="387" spans="2:6" x14ac:dyDescent="0.2">
      <c r="B387" s="120" t="s">
        <v>938</v>
      </c>
      <c r="C387" s="121" t="s">
        <v>939</v>
      </c>
      <c r="D387" s="122"/>
      <c r="E387" s="122">
        <v>0.69</v>
      </c>
      <c r="F387" s="122"/>
    </row>
    <row r="388" spans="2:6" x14ac:dyDescent="0.2">
      <c r="B388" s="120" t="s">
        <v>3943</v>
      </c>
      <c r="C388" s="121" t="s">
        <v>3944</v>
      </c>
      <c r="D388" s="122"/>
      <c r="E388" s="122"/>
      <c r="F388" s="122"/>
    </row>
    <row r="389" spans="2:6" x14ac:dyDescent="0.2">
      <c r="B389" s="120" t="s">
        <v>940</v>
      </c>
      <c r="C389" s="121" t="s">
        <v>941</v>
      </c>
      <c r="D389" s="122">
        <v>0.59</v>
      </c>
      <c r="E389" s="122">
        <v>1.39</v>
      </c>
      <c r="F389" s="122">
        <v>13.24</v>
      </c>
    </row>
    <row r="390" spans="2:6" x14ac:dyDescent="0.2">
      <c r="B390" s="120" t="s">
        <v>3945</v>
      </c>
      <c r="C390" s="121" t="s">
        <v>3946</v>
      </c>
      <c r="D390" s="122"/>
      <c r="E390" s="122">
        <v>3.49</v>
      </c>
      <c r="F390" s="122"/>
    </row>
    <row r="391" spans="2:6" x14ac:dyDescent="0.2">
      <c r="B391" s="120" t="s">
        <v>942</v>
      </c>
      <c r="C391" s="121" t="s">
        <v>943</v>
      </c>
      <c r="D391" s="122">
        <v>1.86</v>
      </c>
      <c r="E391" s="122">
        <v>1.48</v>
      </c>
      <c r="F391" s="122">
        <v>13.4</v>
      </c>
    </row>
    <row r="392" spans="2:6" x14ac:dyDescent="0.2">
      <c r="B392" s="120" t="s">
        <v>3947</v>
      </c>
      <c r="C392" s="121" t="s">
        <v>3948</v>
      </c>
      <c r="D392" s="122">
        <v>1.38</v>
      </c>
      <c r="E392" s="122"/>
      <c r="F392" s="122"/>
    </row>
    <row r="393" spans="2:6" x14ac:dyDescent="0.2">
      <c r="B393" s="120" t="s">
        <v>944</v>
      </c>
      <c r="C393" s="121" t="s">
        <v>945</v>
      </c>
      <c r="D393" s="122"/>
      <c r="E393" s="122"/>
      <c r="F393" s="122"/>
    </row>
    <row r="394" spans="2:6" x14ac:dyDescent="0.2">
      <c r="B394" s="120" t="s">
        <v>946</v>
      </c>
      <c r="C394" s="121" t="s">
        <v>947</v>
      </c>
      <c r="D394" s="122">
        <v>1.75</v>
      </c>
      <c r="E394" s="122">
        <v>2.89</v>
      </c>
      <c r="F394" s="122">
        <v>13.64</v>
      </c>
    </row>
    <row r="395" spans="2:6" x14ac:dyDescent="0.2">
      <c r="B395" s="120" t="s">
        <v>3949</v>
      </c>
      <c r="C395" s="121" t="s">
        <v>3950</v>
      </c>
      <c r="D395" s="122">
        <v>0.81</v>
      </c>
      <c r="E395" s="122">
        <v>1.1200000000000001</v>
      </c>
      <c r="F395" s="122">
        <v>10.68</v>
      </c>
    </row>
    <row r="396" spans="2:6" x14ac:dyDescent="0.2">
      <c r="B396" s="120" t="s">
        <v>3951</v>
      </c>
      <c r="C396" s="121" t="s">
        <v>3952</v>
      </c>
      <c r="D396" s="122">
        <v>2.2999999999999998</v>
      </c>
      <c r="E396" s="122"/>
      <c r="F396" s="122"/>
    </row>
    <row r="397" spans="2:6" x14ac:dyDescent="0.2">
      <c r="B397" s="120" t="s">
        <v>948</v>
      </c>
      <c r="C397" s="121" t="s">
        <v>949</v>
      </c>
      <c r="D397" s="122">
        <v>2.75</v>
      </c>
      <c r="E397" s="122">
        <v>0.94</v>
      </c>
      <c r="F397" s="122">
        <v>12.51</v>
      </c>
    </row>
    <row r="398" spans="2:6" x14ac:dyDescent="0.2">
      <c r="B398" s="120" t="s">
        <v>950</v>
      </c>
      <c r="C398" s="121" t="s">
        <v>951</v>
      </c>
      <c r="D398" s="122">
        <v>2.78</v>
      </c>
      <c r="E398" s="122">
        <v>2.04</v>
      </c>
      <c r="F398" s="122">
        <v>7.17</v>
      </c>
    </row>
    <row r="399" spans="2:6" x14ac:dyDescent="0.2">
      <c r="B399" s="120" t="s">
        <v>3953</v>
      </c>
      <c r="C399" s="121" t="s">
        <v>3954</v>
      </c>
      <c r="D399" s="122">
        <v>1.88</v>
      </c>
      <c r="E399" s="122">
        <v>1.63</v>
      </c>
      <c r="F399" s="122">
        <v>19.91</v>
      </c>
    </row>
    <row r="400" spans="2:6" x14ac:dyDescent="0.2">
      <c r="B400" s="120" t="s">
        <v>952</v>
      </c>
      <c r="C400" s="121" t="s">
        <v>953</v>
      </c>
      <c r="D400" s="122">
        <v>1.33</v>
      </c>
      <c r="E400" s="122">
        <v>0.77</v>
      </c>
      <c r="F400" s="122">
        <v>9.02</v>
      </c>
    </row>
    <row r="401" spans="2:6" x14ac:dyDescent="0.2">
      <c r="B401" s="120" t="s">
        <v>3955</v>
      </c>
      <c r="C401" s="121" t="s">
        <v>3956</v>
      </c>
      <c r="D401" s="122"/>
      <c r="E401" s="122">
        <v>2.16</v>
      </c>
      <c r="F401" s="122"/>
    </row>
    <row r="402" spans="2:6" x14ac:dyDescent="0.2">
      <c r="B402" s="120" t="s">
        <v>954</v>
      </c>
      <c r="C402" s="121" t="s">
        <v>955</v>
      </c>
      <c r="D402" s="122">
        <v>2.36</v>
      </c>
      <c r="E402" s="122">
        <v>1.23</v>
      </c>
      <c r="F402" s="122">
        <v>12.97</v>
      </c>
    </row>
    <row r="403" spans="2:6" x14ac:dyDescent="0.2">
      <c r="B403" s="120" t="s">
        <v>3957</v>
      </c>
      <c r="C403" s="121" t="s">
        <v>3958</v>
      </c>
      <c r="D403" s="122"/>
      <c r="E403" s="122">
        <v>0.45</v>
      </c>
      <c r="F403" s="122"/>
    </row>
    <row r="404" spans="2:6" x14ac:dyDescent="0.2">
      <c r="B404" s="120" t="s">
        <v>956</v>
      </c>
      <c r="C404" s="121" t="s">
        <v>957</v>
      </c>
      <c r="D404" s="122">
        <v>3.95</v>
      </c>
      <c r="E404" s="122"/>
      <c r="F404" s="122">
        <v>-10821.98</v>
      </c>
    </row>
    <row r="405" spans="2:6" x14ac:dyDescent="0.2">
      <c r="B405" s="120" t="s">
        <v>958</v>
      </c>
      <c r="C405" s="121" t="s">
        <v>959</v>
      </c>
      <c r="D405" s="122">
        <v>2.12</v>
      </c>
      <c r="E405" s="122">
        <v>3.85</v>
      </c>
      <c r="F405" s="122">
        <v>17.14</v>
      </c>
    </row>
    <row r="406" spans="2:6" x14ac:dyDescent="0.2">
      <c r="B406" s="120" t="s">
        <v>960</v>
      </c>
      <c r="C406" s="121" t="s">
        <v>961</v>
      </c>
      <c r="D406" s="122">
        <v>1.28</v>
      </c>
      <c r="E406" s="122">
        <v>3.54</v>
      </c>
      <c r="F406" s="122">
        <v>7.46</v>
      </c>
    </row>
    <row r="407" spans="2:6" x14ac:dyDescent="0.2">
      <c r="B407" s="120" t="s">
        <v>3959</v>
      </c>
      <c r="C407" s="121" t="s">
        <v>3960</v>
      </c>
      <c r="D407" s="122">
        <v>2.76</v>
      </c>
      <c r="E407" s="122">
        <v>0.43</v>
      </c>
      <c r="F407" s="122">
        <v>5.2</v>
      </c>
    </row>
    <row r="408" spans="2:6" x14ac:dyDescent="0.2">
      <c r="B408" s="120" t="s">
        <v>3961</v>
      </c>
      <c r="C408" s="121" t="s">
        <v>3962</v>
      </c>
      <c r="D408" s="122">
        <v>9.5399999999999991</v>
      </c>
      <c r="E408" s="122">
        <v>27.44</v>
      </c>
      <c r="F408" s="122">
        <v>70.05</v>
      </c>
    </row>
    <row r="409" spans="2:6" x14ac:dyDescent="0.2">
      <c r="B409" s="120" t="s">
        <v>962</v>
      </c>
      <c r="C409" s="121" t="s">
        <v>963</v>
      </c>
      <c r="D409" s="122"/>
      <c r="E409" s="122">
        <v>1.64</v>
      </c>
      <c r="F409" s="122"/>
    </row>
    <row r="410" spans="2:6" x14ac:dyDescent="0.2">
      <c r="B410" s="120" t="s">
        <v>964</v>
      </c>
      <c r="C410" s="121" t="s">
        <v>965</v>
      </c>
      <c r="D410" s="122">
        <v>2.68</v>
      </c>
      <c r="E410" s="122">
        <v>1.88</v>
      </c>
      <c r="F410" s="122">
        <v>15.09</v>
      </c>
    </row>
    <row r="411" spans="2:6" x14ac:dyDescent="0.2">
      <c r="B411" s="120" t="s">
        <v>966</v>
      </c>
      <c r="C411" s="121" t="s">
        <v>967</v>
      </c>
      <c r="D411" s="122">
        <v>3.07</v>
      </c>
      <c r="E411" s="122">
        <v>34.14</v>
      </c>
      <c r="F411" s="122">
        <v>118.88</v>
      </c>
    </row>
    <row r="412" spans="2:6" x14ac:dyDescent="0.2">
      <c r="B412" s="120" t="s">
        <v>968</v>
      </c>
      <c r="C412" s="121" t="s">
        <v>969</v>
      </c>
      <c r="D412" s="122">
        <v>1.75</v>
      </c>
      <c r="E412" s="122">
        <v>1.41</v>
      </c>
      <c r="F412" s="122">
        <v>15.92</v>
      </c>
    </row>
    <row r="413" spans="2:6" x14ac:dyDescent="0.2">
      <c r="B413" s="120" t="s">
        <v>970</v>
      </c>
      <c r="C413" s="121" t="s">
        <v>971</v>
      </c>
      <c r="D413" s="122">
        <v>2.6</v>
      </c>
      <c r="E413" s="122">
        <v>1.35</v>
      </c>
      <c r="F413" s="122">
        <v>16.920000000000002</v>
      </c>
    </row>
    <row r="414" spans="2:6" x14ac:dyDescent="0.2">
      <c r="B414" s="120" t="s">
        <v>3963</v>
      </c>
      <c r="C414" s="121" t="s">
        <v>3964</v>
      </c>
      <c r="D414" s="122"/>
      <c r="E414" s="122"/>
      <c r="F414" s="122"/>
    </row>
    <row r="415" spans="2:6" x14ac:dyDescent="0.2">
      <c r="B415" s="120" t="s">
        <v>972</v>
      </c>
      <c r="C415" s="121" t="s">
        <v>973</v>
      </c>
      <c r="D415" s="122">
        <v>2.0299999999999998</v>
      </c>
      <c r="E415" s="122">
        <v>2.71</v>
      </c>
      <c r="F415" s="122">
        <v>17.5</v>
      </c>
    </row>
    <row r="416" spans="2:6" x14ac:dyDescent="0.2">
      <c r="B416" s="120" t="s">
        <v>974</v>
      </c>
      <c r="C416" s="121" t="s">
        <v>975</v>
      </c>
      <c r="D416" s="122">
        <v>3.91</v>
      </c>
      <c r="E416" s="122">
        <v>5.41</v>
      </c>
      <c r="F416" s="122">
        <v>15.52</v>
      </c>
    </row>
    <row r="417" spans="2:6" x14ac:dyDescent="0.2">
      <c r="B417" s="120" t="s">
        <v>976</v>
      </c>
      <c r="C417" s="121" t="s">
        <v>977</v>
      </c>
      <c r="D417" s="122">
        <v>16.46</v>
      </c>
      <c r="E417" s="122">
        <v>2.85</v>
      </c>
      <c r="F417" s="122">
        <v>9.14</v>
      </c>
    </row>
    <row r="418" spans="2:6" x14ac:dyDescent="0.2">
      <c r="B418" s="120" t="s">
        <v>978</v>
      </c>
      <c r="C418" s="121" t="s">
        <v>979</v>
      </c>
      <c r="D418" s="122">
        <v>4.46</v>
      </c>
      <c r="E418" s="122">
        <v>15.04</v>
      </c>
      <c r="F418" s="122">
        <v>21.5</v>
      </c>
    </row>
    <row r="419" spans="2:6" x14ac:dyDescent="0.2">
      <c r="B419" s="120" t="s">
        <v>3965</v>
      </c>
      <c r="C419" s="121" t="s">
        <v>3966</v>
      </c>
      <c r="D419" s="122"/>
      <c r="E419" s="122">
        <v>0.48</v>
      </c>
      <c r="F419" s="122"/>
    </row>
    <row r="420" spans="2:6" x14ac:dyDescent="0.2">
      <c r="B420" s="120" t="s">
        <v>980</v>
      </c>
      <c r="C420" s="121" t="s">
        <v>981</v>
      </c>
      <c r="D420" s="122">
        <v>1.05</v>
      </c>
      <c r="E420" s="122">
        <v>2.77</v>
      </c>
      <c r="F420" s="122">
        <v>29.75</v>
      </c>
    </row>
    <row r="421" spans="2:6" x14ac:dyDescent="0.2">
      <c r="B421" s="120" t="s">
        <v>982</v>
      </c>
      <c r="C421" s="121" t="s">
        <v>983</v>
      </c>
      <c r="D421" s="122"/>
      <c r="E421" s="122">
        <v>10.71</v>
      </c>
      <c r="F421" s="122"/>
    </row>
    <row r="422" spans="2:6" x14ac:dyDescent="0.2">
      <c r="B422" s="120" t="s">
        <v>984</v>
      </c>
      <c r="C422" s="121" t="s">
        <v>985</v>
      </c>
      <c r="D422" s="122">
        <v>1.43</v>
      </c>
      <c r="E422" s="122">
        <v>30.23</v>
      </c>
      <c r="F422" s="122">
        <v>85.75</v>
      </c>
    </row>
    <row r="423" spans="2:6" x14ac:dyDescent="0.2">
      <c r="B423" s="120" t="s">
        <v>986</v>
      </c>
      <c r="C423" s="121" t="s">
        <v>987</v>
      </c>
      <c r="D423" s="122">
        <v>2.58</v>
      </c>
      <c r="E423" s="122">
        <v>3.66</v>
      </c>
      <c r="F423" s="122">
        <v>12.13</v>
      </c>
    </row>
    <row r="424" spans="2:6" x14ac:dyDescent="0.2">
      <c r="B424" s="120" t="s">
        <v>3967</v>
      </c>
      <c r="C424" s="121" t="s">
        <v>3968</v>
      </c>
      <c r="D424" s="122"/>
      <c r="E424" s="122"/>
      <c r="F424" s="122"/>
    </row>
    <row r="425" spans="2:6" x14ac:dyDescent="0.2">
      <c r="B425" s="120" t="s">
        <v>988</v>
      </c>
      <c r="C425" s="121" t="s">
        <v>989</v>
      </c>
      <c r="D425" s="122">
        <v>1.29</v>
      </c>
      <c r="E425" s="122">
        <v>1.1100000000000001</v>
      </c>
      <c r="F425" s="122">
        <v>7.83</v>
      </c>
    </row>
    <row r="426" spans="2:6" x14ac:dyDescent="0.2">
      <c r="B426" s="120" t="s">
        <v>990</v>
      </c>
      <c r="C426" s="121" t="s">
        <v>991</v>
      </c>
      <c r="D426" s="122">
        <v>0.28000000000000003</v>
      </c>
      <c r="E426" s="122">
        <v>1.57</v>
      </c>
      <c r="F426" s="122">
        <v>15.87</v>
      </c>
    </row>
    <row r="427" spans="2:6" x14ac:dyDescent="0.2">
      <c r="B427" s="120" t="s">
        <v>992</v>
      </c>
      <c r="C427" s="121" t="s">
        <v>993</v>
      </c>
      <c r="D427" s="122">
        <v>0.5</v>
      </c>
      <c r="E427" s="122">
        <v>2.63</v>
      </c>
      <c r="F427" s="122">
        <v>22.56</v>
      </c>
    </row>
    <row r="428" spans="2:6" x14ac:dyDescent="0.2">
      <c r="B428" s="120" t="s">
        <v>994</v>
      </c>
      <c r="C428" s="121" t="s">
        <v>995</v>
      </c>
      <c r="D428" s="122">
        <v>5.69</v>
      </c>
      <c r="E428" s="122">
        <v>4.8</v>
      </c>
      <c r="F428" s="122">
        <v>24.15</v>
      </c>
    </row>
    <row r="429" spans="2:6" x14ac:dyDescent="0.2">
      <c r="B429" s="120" t="s">
        <v>996</v>
      </c>
      <c r="C429" s="121" t="s">
        <v>997</v>
      </c>
      <c r="D429" s="122">
        <v>1.38</v>
      </c>
      <c r="E429" s="122">
        <v>2.91</v>
      </c>
      <c r="F429" s="122">
        <v>13.75</v>
      </c>
    </row>
    <row r="430" spans="2:6" x14ac:dyDescent="0.2">
      <c r="B430" s="120" t="s">
        <v>998</v>
      </c>
      <c r="C430" s="121" t="s">
        <v>999</v>
      </c>
      <c r="D430" s="122">
        <v>1.32</v>
      </c>
      <c r="E430" s="122">
        <v>2.34</v>
      </c>
      <c r="F430" s="122">
        <v>13.59</v>
      </c>
    </row>
    <row r="431" spans="2:6" x14ac:dyDescent="0.2">
      <c r="B431" s="120" t="s">
        <v>1000</v>
      </c>
      <c r="C431" s="121" t="s">
        <v>1001</v>
      </c>
      <c r="D431" s="122">
        <v>2</v>
      </c>
      <c r="E431" s="122">
        <v>1.28</v>
      </c>
      <c r="F431" s="122">
        <v>8.6199999999999992</v>
      </c>
    </row>
    <row r="432" spans="2:6" x14ac:dyDescent="0.2">
      <c r="B432" s="120" t="s">
        <v>1002</v>
      </c>
      <c r="C432" s="121" t="s">
        <v>1003</v>
      </c>
      <c r="D432" s="122">
        <v>1.32</v>
      </c>
      <c r="E432" s="122">
        <v>0.78</v>
      </c>
      <c r="F432" s="122">
        <v>10.68</v>
      </c>
    </row>
    <row r="433" spans="2:6" x14ac:dyDescent="0.2">
      <c r="B433" s="120" t="s">
        <v>1004</v>
      </c>
      <c r="C433" s="121" t="s">
        <v>1005</v>
      </c>
      <c r="D433" s="122">
        <v>3.1</v>
      </c>
      <c r="E433" s="122">
        <v>3.22</v>
      </c>
      <c r="F433" s="122">
        <v>34.79</v>
      </c>
    </row>
    <row r="434" spans="2:6" x14ac:dyDescent="0.2">
      <c r="B434" s="120" t="s">
        <v>1006</v>
      </c>
      <c r="C434" s="121" t="s">
        <v>1007</v>
      </c>
      <c r="D434" s="122">
        <v>2.33</v>
      </c>
      <c r="E434" s="122">
        <v>2.83</v>
      </c>
      <c r="F434" s="122">
        <v>13.38</v>
      </c>
    </row>
    <row r="435" spans="2:6" x14ac:dyDescent="0.2">
      <c r="B435" s="120" t="s">
        <v>1008</v>
      </c>
      <c r="C435" s="121" t="s">
        <v>1009</v>
      </c>
      <c r="D435" s="122"/>
      <c r="E435" s="122"/>
      <c r="F435" s="122"/>
    </row>
    <row r="436" spans="2:6" x14ac:dyDescent="0.2">
      <c r="B436" s="120" t="s">
        <v>1010</v>
      </c>
      <c r="C436" s="121" t="s">
        <v>1011</v>
      </c>
      <c r="D436" s="122">
        <v>4.28</v>
      </c>
      <c r="E436" s="122">
        <v>3.8</v>
      </c>
      <c r="F436" s="122">
        <v>2.77</v>
      </c>
    </row>
    <row r="437" spans="2:6" x14ac:dyDescent="0.2">
      <c r="B437" s="120" t="s">
        <v>1012</v>
      </c>
      <c r="C437" s="121" t="s">
        <v>1013</v>
      </c>
      <c r="D437" s="122">
        <v>2.23</v>
      </c>
      <c r="E437" s="122">
        <v>3.9</v>
      </c>
      <c r="F437" s="122">
        <v>18.14</v>
      </c>
    </row>
    <row r="438" spans="2:6" x14ac:dyDescent="0.2">
      <c r="B438" s="120" t="s">
        <v>1014</v>
      </c>
      <c r="C438" s="121" t="s">
        <v>1015</v>
      </c>
      <c r="D438" s="122">
        <v>9.7100000000000009</v>
      </c>
      <c r="E438" s="122">
        <v>3.57</v>
      </c>
      <c r="F438" s="122">
        <v>-2.4500000000000002</v>
      </c>
    </row>
    <row r="439" spans="2:6" x14ac:dyDescent="0.2">
      <c r="B439" s="120" t="s">
        <v>1016</v>
      </c>
      <c r="C439" s="121" t="s">
        <v>1017</v>
      </c>
      <c r="D439" s="122">
        <v>5.73</v>
      </c>
      <c r="E439" s="122">
        <v>4.1500000000000004</v>
      </c>
      <c r="F439" s="122">
        <v>17.149999999999999</v>
      </c>
    </row>
    <row r="440" spans="2:6" x14ac:dyDescent="0.2">
      <c r="B440" s="120" t="s">
        <v>1018</v>
      </c>
      <c r="C440" s="121" t="s">
        <v>1019</v>
      </c>
      <c r="D440" s="122">
        <v>1.73</v>
      </c>
      <c r="E440" s="122">
        <v>2.04</v>
      </c>
      <c r="F440" s="122">
        <v>15.96</v>
      </c>
    </row>
    <row r="441" spans="2:6" x14ac:dyDescent="0.2">
      <c r="B441" s="120" t="s">
        <v>1020</v>
      </c>
      <c r="C441" s="121" t="s">
        <v>1021</v>
      </c>
      <c r="D441" s="122">
        <v>7.89</v>
      </c>
      <c r="E441" s="122">
        <v>16.010000000000002</v>
      </c>
      <c r="F441" s="122">
        <v>24.19</v>
      </c>
    </row>
    <row r="442" spans="2:6" x14ac:dyDescent="0.2">
      <c r="B442" s="120" t="s">
        <v>1022</v>
      </c>
      <c r="C442" s="121" t="s">
        <v>1023</v>
      </c>
      <c r="D442" s="122">
        <v>0.84</v>
      </c>
      <c r="E442" s="122">
        <v>8.5</v>
      </c>
      <c r="F442" s="122">
        <v>25.03</v>
      </c>
    </row>
    <row r="443" spans="2:6" x14ac:dyDescent="0.2">
      <c r="B443" s="120" t="s">
        <v>1024</v>
      </c>
      <c r="C443" s="121" t="s">
        <v>1025</v>
      </c>
      <c r="D443" s="122">
        <v>0.89</v>
      </c>
      <c r="E443" s="122">
        <v>1.67</v>
      </c>
      <c r="F443" s="122">
        <v>6.89</v>
      </c>
    </row>
    <row r="444" spans="2:6" x14ac:dyDescent="0.2">
      <c r="B444" s="120" t="s">
        <v>1026</v>
      </c>
      <c r="C444" s="121" t="s">
        <v>1027</v>
      </c>
      <c r="D444" s="122">
        <v>27.7</v>
      </c>
      <c r="E444" s="122">
        <v>19.45</v>
      </c>
      <c r="F444" s="122">
        <v>-13.73</v>
      </c>
    </row>
    <row r="445" spans="2:6" x14ac:dyDescent="0.2">
      <c r="B445" s="120" t="s">
        <v>1028</v>
      </c>
      <c r="C445" s="121" t="s">
        <v>1029</v>
      </c>
      <c r="D445" s="122">
        <v>0.55000000000000004</v>
      </c>
      <c r="E445" s="122">
        <v>1.51</v>
      </c>
      <c r="F445" s="122"/>
    </row>
    <row r="446" spans="2:6" x14ac:dyDescent="0.2">
      <c r="B446" s="120" t="s">
        <v>1030</v>
      </c>
      <c r="C446" s="121" t="s">
        <v>1031</v>
      </c>
      <c r="D446" s="122">
        <v>5.56</v>
      </c>
      <c r="E446" s="122">
        <v>6.03</v>
      </c>
      <c r="F446" s="122">
        <v>32.03</v>
      </c>
    </row>
    <row r="447" spans="2:6" x14ac:dyDescent="0.2">
      <c r="B447" s="120" t="s">
        <v>1032</v>
      </c>
      <c r="C447" s="121" t="s">
        <v>1033</v>
      </c>
      <c r="D447" s="122">
        <v>1.52</v>
      </c>
      <c r="E447" s="122">
        <v>2.13</v>
      </c>
      <c r="F447" s="122">
        <v>12.35</v>
      </c>
    </row>
    <row r="448" spans="2:6" x14ac:dyDescent="0.2">
      <c r="B448" s="120" t="s">
        <v>1034</v>
      </c>
      <c r="C448" s="121" t="s">
        <v>1035</v>
      </c>
      <c r="D448" s="122">
        <v>1.5</v>
      </c>
      <c r="E448" s="122">
        <v>12.66</v>
      </c>
      <c r="F448" s="122">
        <v>62.59</v>
      </c>
    </row>
    <row r="449" spans="2:6" x14ac:dyDescent="0.2">
      <c r="B449" s="120" t="s">
        <v>1036</v>
      </c>
      <c r="C449" s="121" t="s">
        <v>1037</v>
      </c>
      <c r="D449" s="122"/>
      <c r="E449" s="122">
        <v>0.62</v>
      </c>
      <c r="F449" s="122"/>
    </row>
    <row r="450" spans="2:6" x14ac:dyDescent="0.2">
      <c r="B450" s="120" t="s">
        <v>3969</v>
      </c>
      <c r="C450" s="121" t="s">
        <v>3970</v>
      </c>
      <c r="D450" s="122">
        <v>1.2</v>
      </c>
      <c r="E450" s="122">
        <v>2.04</v>
      </c>
      <c r="F450" s="122">
        <v>17.52</v>
      </c>
    </row>
    <row r="451" spans="2:6" x14ac:dyDescent="0.2">
      <c r="B451" s="120" t="s">
        <v>1038</v>
      </c>
      <c r="C451" s="121" t="s">
        <v>1039</v>
      </c>
      <c r="D451" s="122">
        <v>0.91</v>
      </c>
      <c r="E451" s="122">
        <v>2.09</v>
      </c>
      <c r="F451" s="122">
        <v>30.29</v>
      </c>
    </row>
    <row r="452" spans="2:6" x14ac:dyDescent="0.2">
      <c r="B452" s="120" t="s">
        <v>1040</v>
      </c>
      <c r="C452" s="121" t="s">
        <v>1041</v>
      </c>
      <c r="D452" s="122">
        <v>9.27</v>
      </c>
      <c r="E452" s="122">
        <v>11.69</v>
      </c>
      <c r="F452" s="122">
        <v>33.840000000000003</v>
      </c>
    </row>
    <row r="453" spans="2:6" x14ac:dyDescent="0.2">
      <c r="B453" s="120" t="s">
        <v>1042</v>
      </c>
      <c r="C453" s="121" t="s">
        <v>1043</v>
      </c>
      <c r="D453" s="122">
        <v>10.75</v>
      </c>
      <c r="E453" s="122">
        <v>2.89</v>
      </c>
      <c r="F453" s="122">
        <v>4.4800000000000004</v>
      </c>
    </row>
    <row r="454" spans="2:6" x14ac:dyDescent="0.2">
      <c r="B454" s="120" t="s">
        <v>1044</v>
      </c>
      <c r="C454" s="121" t="s">
        <v>1045</v>
      </c>
      <c r="D454" s="122"/>
      <c r="E454" s="122">
        <v>1.45</v>
      </c>
      <c r="F454" s="122"/>
    </row>
    <row r="455" spans="2:6" x14ac:dyDescent="0.2">
      <c r="B455" s="120" t="s">
        <v>1046</v>
      </c>
      <c r="C455" s="121" t="s">
        <v>1047</v>
      </c>
      <c r="D455" s="122">
        <v>3.33</v>
      </c>
      <c r="E455" s="122">
        <v>29.19</v>
      </c>
      <c r="F455" s="122">
        <v>157.9</v>
      </c>
    </row>
    <row r="456" spans="2:6" x14ac:dyDescent="0.2">
      <c r="B456" s="120" t="s">
        <v>1048</v>
      </c>
      <c r="C456" s="121" t="s">
        <v>1049</v>
      </c>
      <c r="D456" s="122">
        <v>1.43</v>
      </c>
      <c r="E456" s="122">
        <v>2.89</v>
      </c>
      <c r="F456" s="122">
        <v>24.24</v>
      </c>
    </row>
    <row r="457" spans="2:6" x14ac:dyDescent="0.2">
      <c r="B457" s="120" t="s">
        <v>1050</v>
      </c>
      <c r="C457" s="121" t="s">
        <v>1051</v>
      </c>
      <c r="D457" s="122">
        <v>1.51</v>
      </c>
      <c r="E457" s="122">
        <v>0.45</v>
      </c>
      <c r="F457" s="122">
        <v>6.68</v>
      </c>
    </row>
    <row r="458" spans="2:6" x14ac:dyDescent="0.2">
      <c r="B458" s="120" t="s">
        <v>1052</v>
      </c>
      <c r="C458" s="121" t="s">
        <v>1053</v>
      </c>
      <c r="D458" s="122">
        <v>3.96</v>
      </c>
      <c r="E458" s="122">
        <v>2.57</v>
      </c>
      <c r="F458" s="122">
        <v>1.23</v>
      </c>
    </row>
    <row r="459" spans="2:6" x14ac:dyDescent="0.2">
      <c r="B459" s="120" t="s">
        <v>3971</v>
      </c>
      <c r="C459" s="121" t="s">
        <v>3972</v>
      </c>
      <c r="D459" s="122"/>
      <c r="E459" s="122">
        <v>1.57</v>
      </c>
      <c r="F459" s="122"/>
    </row>
    <row r="460" spans="2:6" x14ac:dyDescent="0.2">
      <c r="B460" s="120" t="s">
        <v>3973</v>
      </c>
      <c r="C460" s="121" t="s">
        <v>3974</v>
      </c>
      <c r="D460" s="122"/>
      <c r="E460" s="122">
        <v>6.27</v>
      </c>
      <c r="F460" s="122"/>
    </row>
    <row r="461" spans="2:6" x14ac:dyDescent="0.2">
      <c r="B461" s="120" t="s">
        <v>1054</v>
      </c>
      <c r="C461" s="121" t="s">
        <v>1055</v>
      </c>
      <c r="D461" s="122">
        <v>1.1399999999999999</v>
      </c>
      <c r="E461" s="122">
        <v>4.82</v>
      </c>
      <c r="F461" s="122">
        <v>34.450000000000003</v>
      </c>
    </row>
    <row r="462" spans="2:6" x14ac:dyDescent="0.2">
      <c r="B462" s="120" t="s">
        <v>1056</v>
      </c>
      <c r="C462" s="121" t="s">
        <v>1057</v>
      </c>
      <c r="D462" s="122">
        <v>2.76</v>
      </c>
      <c r="E462" s="122">
        <v>4.6399999999999997</v>
      </c>
      <c r="F462" s="122">
        <v>22.01</v>
      </c>
    </row>
    <row r="463" spans="2:6" x14ac:dyDescent="0.2">
      <c r="B463" s="120" t="s">
        <v>1058</v>
      </c>
      <c r="C463" s="121" t="s">
        <v>1059</v>
      </c>
      <c r="D463" s="122">
        <v>9.24</v>
      </c>
      <c r="E463" s="122">
        <v>7.93</v>
      </c>
      <c r="F463" s="122">
        <v>7.26</v>
      </c>
    </row>
    <row r="464" spans="2:6" x14ac:dyDescent="0.2">
      <c r="B464" s="120" t="s">
        <v>1060</v>
      </c>
      <c r="C464" s="121" t="s">
        <v>1061</v>
      </c>
      <c r="D464" s="122">
        <v>178.8</v>
      </c>
      <c r="E464" s="122">
        <v>3.78</v>
      </c>
      <c r="F464" s="122">
        <v>60.2</v>
      </c>
    </row>
    <row r="465" spans="2:6" x14ac:dyDescent="0.2">
      <c r="B465" s="120" t="s">
        <v>1062</v>
      </c>
      <c r="C465" s="121" t="s">
        <v>1063</v>
      </c>
      <c r="D465" s="122"/>
      <c r="E465" s="122">
        <v>0.63</v>
      </c>
      <c r="F465" s="122"/>
    </row>
    <row r="466" spans="2:6" x14ac:dyDescent="0.2">
      <c r="B466" s="120" t="s">
        <v>1064</v>
      </c>
      <c r="C466" s="121" t="s">
        <v>1065</v>
      </c>
      <c r="D466" s="122"/>
      <c r="E466" s="122">
        <v>1.03</v>
      </c>
      <c r="F466" s="122"/>
    </row>
    <row r="467" spans="2:6" x14ac:dyDescent="0.2">
      <c r="B467" s="120" t="s">
        <v>1066</v>
      </c>
      <c r="C467" s="121" t="s">
        <v>1067</v>
      </c>
      <c r="D467" s="122">
        <v>2.71</v>
      </c>
      <c r="E467" s="122">
        <v>2.83</v>
      </c>
      <c r="F467" s="122">
        <v>10.96</v>
      </c>
    </row>
    <row r="468" spans="2:6" x14ac:dyDescent="0.2">
      <c r="B468" s="120" t="s">
        <v>3975</v>
      </c>
      <c r="C468" s="121" t="s">
        <v>3976</v>
      </c>
      <c r="D468" s="122"/>
      <c r="E468" s="122">
        <v>20.78</v>
      </c>
      <c r="F468" s="122"/>
    </row>
    <row r="469" spans="2:6" x14ac:dyDescent="0.2">
      <c r="B469" s="120" t="s">
        <v>3977</v>
      </c>
      <c r="C469" s="121" t="s">
        <v>3978</v>
      </c>
      <c r="D469" s="122"/>
      <c r="E469" s="122">
        <v>0.47</v>
      </c>
      <c r="F469" s="122"/>
    </row>
    <row r="470" spans="2:6" x14ac:dyDescent="0.2">
      <c r="B470" s="120" t="s">
        <v>3979</v>
      </c>
      <c r="C470" s="121" t="s">
        <v>3980</v>
      </c>
      <c r="D470" s="122">
        <v>0.57999999999999996</v>
      </c>
      <c r="E470" s="122">
        <v>0.23</v>
      </c>
      <c r="F470" s="122">
        <v>2.54</v>
      </c>
    </row>
    <row r="471" spans="2:6" x14ac:dyDescent="0.2">
      <c r="B471" s="120" t="s">
        <v>1068</v>
      </c>
      <c r="C471" s="121" t="s">
        <v>1069</v>
      </c>
      <c r="D471" s="122">
        <v>0.95</v>
      </c>
      <c r="E471" s="122">
        <v>0.73</v>
      </c>
      <c r="F471" s="122">
        <v>5.46</v>
      </c>
    </row>
    <row r="472" spans="2:6" x14ac:dyDescent="0.2">
      <c r="B472" s="120" t="s">
        <v>1070</v>
      </c>
      <c r="C472" s="121" t="s">
        <v>1071</v>
      </c>
      <c r="D472" s="122">
        <v>4.0599999999999996</v>
      </c>
      <c r="E472" s="122">
        <v>6.27</v>
      </c>
      <c r="F472" s="122">
        <v>32.43</v>
      </c>
    </row>
    <row r="473" spans="2:6" x14ac:dyDescent="0.2">
      <c r="B473" s="120" t="s">
        <v>1072</v>
      </c>
      <c r="C473" s="121" t="s">
        <v>1073</v>
      </c>
      <c r="D473" s="122">
        <v>4.59</v>
      </c>
      <c r="E473" s="122">
        <v>1.1000000000000001</v>
      </c>
      <c r="F473" s="122">
        <v>9.64</v>
      </c>
    </row>
    <row r="474" spans="2:6" x14ac:dyDescent="0.2">
      <c r="B474" s="120" t="s">
        <v>1074</v>
      </c>
      <c r="C474" s="121" t="s">
        <v>1075</v>
      </c>
      <c r="D474" s="122">
        <v>16.82</v>
      </c>
      <c r="E474" s="122">
        <v>6.79</v>
      </c>
      <c r="F474" s="122">
        <v>10.42</v>
      </c>
    </row>
    <row r="475" spans="2:6" x14ac:dyDescent="0.2">
      <c r="B475" s="120" t="s">
        <v>3981</v>
      </c>
      <c r="C475" s="121" t="s">
        <v>3982</v>
      </c>
      <c r="D475" s="122">
        <v>1.37</v>
      </c>
      <c r="E475" s="122">
        <v>1.98</v>
      </c>
      <c r="F475" s="122">
        <v>10.97</v>
      </c>
    </row>
    <row r="476" spans="2:6" x14ac:dyDescent="0.2">
      <c r="B476" s="120" t="s">
        <v>1076</v>
      </c>
      <c r="C476" s="121" t="s">
        <v>1077</v>
      </c>
      <c r="D476" s="122">
        <v>1.77</v>
      </c>
      <c r="E476" s="122">
        <v>3.18</v>
      </c>
      <c r="F476" s="122">
        <v>16.52</v>
      </c>
    </row>
    <row r="477" spans="2:6" x14ac:dyDescent="0.2">
      <c r="B477" s="120" t="s">
        <v>1078</v>
      </c>
      <c r="C477" s="121" t="s">
        <v>1079</v>
      </c>
      <c r="D477" s="122"/>
      <c r="E477" s="122">
        <v>13.75</v>
      </c>
      <c r="F477" s="122"/>
    </row>
    <row r="478" spans="2:6" x14ac:dyDescent="0.2">
      <c r="B478" s="120" t="s">
        <v>1080</v>
      </c>
      <c r="C478" s="121" t="s">
        <v>1081</v>
      </c>
      <c r="D478" s="122">
        <v>6.02</v>
      </c>
      <c r="E478" s="122">
        <v>33.700000000000003</v>
      </c>
      <c r="F478" s="122">
        <v>-11.18</v>
      </c>
    </row>
    <row r="479" spans="2:6" x14ac:dyDescent="0.2">
      <c r="B479" s="120" t="s">
        <v>3983</v>
      </c>
      <c r="C479" s="121" t="s">
        <v>3984</v>
      </c>
      <c r="D479" s="122">
        <v>1.05</v>
      </c>
      <c r="E479" s="122">
        <v>0.68</v>
      </c>
      <c r="F479" s="122">
        <v>3.79</v>
      </c>
    </row>
    <row r="480" spans="2:6" x14ac:dyDescent="0.2">
      <c r="B480" s="120" t="s">
        <v>1082</v>
      </c>
      <c r="C480" s="121" t="s">
        <v>1083</v>
      </c>
      <c r="D480" s="122">
        <v>4.4400000000000004</v>
      </c>
      <c r="E480" s="122">
        <v>4.46</v>
      </c>
      <c r="F480" s="122">
        <v>26.96</v>
      </c>
    </row>
    <row r="481" spans="2:6" x14ac:dyDescent="0.2">
      <c r="B481" s="120" t="s">
        <v>1084</v>
      </c>
      <c r="C481" s="121" t="s">
        <v>1085</v>
      </c>
      <c r="D481" s="122">
        <v>3.86</v>
      </c>
      <c r="E481" s="122">
        <v>8.84</v>
      </c>
      <c r="F481" s="122">
        <v>26.77</v>
      </c>
    </row>
    <row r="482" spans="2:6" x14ac:dyDescent="0.2">
      <c r="B482" s="120" t="s">
        <v>1086</v>
      </c>
      <c r="C482" s="121" t="s">
        <v>1087</v>
      </c>
      <c r="D482" s="122">
        <v>0.6</v>
      </c>
      <c r="E482" s="122">
        <v>1</v>
      </c>
      <c r="F482" s="122">
        <v>8.3000000000000007</v>
      </c>
    </row>
    <row r="483" spans="2:6" x14ac:dyDescent="0.2">
      <c r="B483" s="120" t="s">
        <v>1088</v>
      </c>
      <c r="C483" s="121" t="s">
        <v>1089</v>
      </c>
      <c r="D483" s="122">
        <v>2.99</v>
      </c>
      <c r="E483" s="122">
        <v>4.47</v>
      </c>
      <c r="F483" s="122">
        <v>15.89</v>
      </c>
    </row>
    <row r="484" spans="2:6" x14ac:dyDescent="0.2">
      <c r="B484" s="120" t="s">
        <v>3985</v>
      </c>
      <c r="C484" s="121" t="s">
        <v>3986</v>
      </c>
      <c r="D484" s="122"/>
      <c r="E484" s="122">
        <v>0.36</v>
      </c>
      <c r="F484" s="122"/>
    </row>
    <row r="485" spans="2:6" x14ac:dyDescent="0.2">
      <c r="B485" s="120" t="s">
        <v>1090</v>
      </c>
      <c r="C485" s="121" t="s">
        <v>1091</v>
      </c>
      <c r="D485" s="122">
        <v>3.69</v>
      </c>
      <c r="E485" s="122">
        <v>1.34</v>
      </c>
      <c r="F485" s="122">
        <v>3.91</v>
      </c>
    </row>
    <row r="486" spans="2:6" x14ac:dyDescent="0.2">
      <c r="B486" s="120" t="s">
        <v>3987</v>
      </c>
      <c r="C486" s="121" t="s">
        <v>3988</v>
      </c>
      <c r="D486" s="122"/>
      <c r="E486" s="122">
        <v>0.94</v>
      </c>
      <c r="F486" s="122"/>
    </row>
    <row r="487" spans="2:6" x14ac:dyDescent="0.2">
      <c r="B487" s="120" t="s">
        <v>1092</v>
      </c>
      <c r="C487" s="121" t="s">
        <v>1093</v>
      </c>
      <c r="D487" s="122">
        <v>2.0699999999999998</v>
      </c>
      <c r="E487" s="122">
        <v>3.23</v>
      </c>
      <c r="F487" s="122">
        <v>20.52</v>
      </c>
    </row>
    <row r="488" spans="2:6" x14ac:dyDescent="0.2">
      <c r="B488" s="120" t="s">
        <v>1094</v>
      </c>
      <c r="C488" s="121" t="s">
        <v>1095</v>
      </c>
      <c r="D488" s="122">
        <v>0.52</v>
      </c>
      <c r="E488" s="122">
        <v>1.21</v>
      </c>
      <c r="F488" s="122">
        <v>13.03</v>
      </c>
    </row>
    <row r="489" spans="2:6" x14ac:dyDescent="0.2">
      <c r="B489" s="120" t="s">
        <v>3989</v>
      </c>
      <c r="C489" s="121" t="s">
        <v>3990</v>
      </c>
      <c r="D489" s="122"/>
      <c r="E489" s="122">
        <v>0.83</v>
      </c>
      <c r="F489" s="122"/>
    </row>
    <row r="490" spans="2:6" x14ac:dyDescent="0.2">
      <c r="B490" s="120" t="s">
        <v>1096</v>
      </c>
      <c r="C490" s="121" t="s">
        <v>1097</v>
      </c>
      <c r="D490" s="122">
        <v>4.2300000000000004</v>
      </c>
      <c r="E490" s="122">
        <v>24.99</v>
      </c>
      <c r="F490" s="122">
        <v>95.52</v>
      </c>
    </row>
    <row r="491" spans="2:6" x14ac:dyDescent="0.2">
      <c r="B491" s="120" t="s">
        <v>1098</v>
      </c>
      <c r="C491" s="121" t="s">
        <v>1099</v>
      </c>
      <c r="D491" s="122">
        <v>11.43</v>
      </c>
      <c r="E491" s="122">
        <v>3.85</v>
      </c>
      <c r="F491" s="122">
        <v>10.19</v>
      </c>
    </row>
    <row r="492" spans="2:6" x14ac:dyDescent="0.2">
      <c r="B492" s="120" t="s">
        <v>878</v>
      </c>
      <c r="C492" s="121" t="s">
        <v>3991</v>
      </c>
      <c r="D492" s="122">
        <v>1.62</v>
      </c>
      <c r="E492" s="122">
        <v>1.33</v>
      </c>
      <c r="F492" s="122">
        <v>12.15</v>
      </c>
    </row>
    <row r="493" spans="2:6" x14ac:dyDescent="0.2">
      <c r="B493" s="120" t="s">
        <v>1100</v>
      </c>
      <c r="C493" s="121" t="s">
        <v>1101</v>
      </c>
      <c r="D493" s="122"/>
      <c r="E493" s="122">
        <v>3.15</v>
      </c>
      <c r="F493" s="122"/>
    </row>
    <row r="494" spans="2:6" x14ac:dyDescent="0.2">
      <c r="B494" s="120" t="s">
        <v>1102</v>
      </c>
      <c r="C494" s="121" t="s">
        <v>1103</v>
      </c>
      <c r="D494" s="122">
        <v>10.64</v>
      </c>
      <c r="E494" s="122">
        <v>1.26</v>
      </c>
      <c r="F494" s="122">
        <v>1.71</v>
      </c>
    </row>
    <row r="495" spans="2:6" x14ac:dyDescent="0.2">
      <c r="B495" s="120" t="s">
        <v>1104</v>
      </c>
      <c r="C495" s="121" t="s">
        <v>1105</v>
      </c>
      <c r="D495" s="122">
        <v>6.05</v>
      </c>
      <c r="E495" s="122">
        <v>1.57</v>
      </c>
      <c r="F495" s="122">
        <v>10.02</v>
      </c>
    </row>
    <row r="496" spans="2:6" x14ac:dyDescent="0.2">
      <c r="B496" s="120" t="s">
        <v>1106</v>
      </c>
      <c r="C496" s="121" t="s">
        <v>1107</v>
      </c>
      <c r="D496" s="122">
        <v>0.74</v>
      </c>
      <c r="E496" s="122">
        <v>0.86</v>
      </c>
      <c r="F496" s="122">
        <v>-8.6999999999999993</v>
      </c>
    </row>
    <row r="497" spans="2:6" x14ac:dyDescent="0.2">
      <c r="B497" s="120" t="s">
        <v>3992</v>
      </c>
      <c r="C497" s="121" t="s">
        <v>3993</v>
      </c>
      <c r="D497" s="122">
        <v>0.66</v>
      </c>
      <c r="E497" s="122">
        <v>2.66</v>
      </c>
      <c r="F497" s="122">
        <v>21.99</v>
      </c>
    </row>
    <row r="498" spans="2:6" x14ac:dyDescent="0.2">
      <c r="B498" s="120" t="s">
        <v>1108</v>
      </c>
      <c r="C498" s="121" t="s">
        <v>1109</v>
      </c>
      <c r="D498" s="122">
        <v>3.99</v>
      </c>
      <c r="E498" s="122">
        <v>28.97</v>
      </c>
      <c r="F498" s="122">
        <v>-30.55</v>
      </c>
    </row>
    <row r="499" spans="2:6" x14ac:dyDescent="0.2">
      <c r="B499" s="120" t="s">
        <v>1110</v>
      </c>
      <c r="C499" s="121" t="s">
        <v>1111</v>
      </c>
      <c r="D499" s="122">
        <v>0.37</v>
      </c>
      <c r="E499" s="122">
        <v>1.36</v>
      </c>
      <c r="F499" s="122">
        <v>16.149999999999999</v>
      </c>
    </row>
    <row r="500" spans="2:6" x14ac:dyDescent="0.2">
      <c r="B500" s="120" t="s">
        <v>1112</v>
      </c>
      <c r="C500" s="121" t="s">
        <v>1113</v>
      </c>
      <c r="D500" s="122">
        <v>1.47</v>
      </c>
      <c r="E500" s="122">
        <v>1.5</v>
      </c>
      <c r="F500" s="122">
        <v>9.58</v>
      </c>
    </row>
    <row r="501" spans="2:6" x14ac:dyDescent="0.2">
      <c r="B501" s="120" t="s">
        <v>1114</v>
      </c>
      <c r="C501" s="121" t="s">
        <v>1115</v>
      </c>
      <c r="D501" s="122">
        <v>2.23</v>
      </c>
      <c r="E501" s="122">
        <v>3.32</v>
      </c>
      <c r="F501" s="122">
        <v>18.54</v>
      </c>
    </row>
    <row r="502" spans="2:6" x14ac:dyDescent="0.2">
      <c r="B502" s="120" t="s">
        <v>1116</v>
      </c>
      <c r="C502" s="121" t="s">
        <v>1117</v>
      </c>
      <c r="D502" s="122">
        <v>3.42</v>
      </c>
      <c r="E502" s="122">
        <v>1.7</v>
      </c>
      <c r="F502" s="122">
        <v>-4.1399999999999997</v>
      </c>
    </row>
    <row r="503" spans="2:6" x14ac:dyDescent="0.2">
      <c r="B503" s="120" t="s">
        <v>1118</v>
      </c>
      <c r="C503" s="121" t="s">
        <v>1119</v>
      </c>
      <c r="D503" s="122">
        <v>0.48</v>
      </c>
      <c r="E503" s="122">
        <v>3.15</v>
      </c>
      <c r="F503" s="122">
        <v>4.21</v>
      </c>
    </row>
    <row r="504" spans="2:6" x14ac:dyDescent="0.2">
      <c r="B504" s="120" t="s">
        <v>3994</v>
      </c>
      <c r="C504" s="121" t="s">
        <v>3995</v>
      </c>
      <c r="D504" s="122">
        <v>0.16</v>
      </c>
      <c r="E504" s="122">
        <v>0.08</v>
      </c>
      <c r="F504" s="122"/>
    </row>
    <row r="505" spans="2:6" x14ac:dyDescent="0.2">
      <c r="B505" s="120" t="s">
        <v>3996</v>
      </c>
      <c r="C505" s="121" t="s">
        <v>3997</v>
      </c>
      <c r="D505" s="122">
        <v>6.91</v>
      </c>
      <c r="E505" s="122">
        <v>1.06</v>
      </c>
      <c r="F505" s="122">
        <v>6.98</v>
      </c>
    </row>
    <row r="506" spans="2:6" x14ac:dyDescent="0.2">
      <c r="B506" s="120" t="s">
        <v>1120</v>
      </c>
      <c r="C506" s="121" t="s">
        <v>1121</v>
      </c>
      <c r="D506" s="122">
        <v>0.44</v>
      </c>
      <c r="E506" s="122">
        <v>0.56000000000000005</v>
      </c>
      <c r="F506" s="122">
        <v>1.75</v>
      </c>
    </row>
    <row r="507" spans="2:6" x14ac:dyDescent="0.2">
      <c r="B507" s="120" t="s">
        <v>1122</v>
      </c>
      <c r="C507" s="121" t="s">
        <v>1123</v>
      </c>
      <c r="D507" s="122">
        <v>3.28</v>
      </c>
      <c r="E507" s="122">
        <v>0.82</v>
      </c>
      <c r="F507" s="122">
        <v>4.12</v>
      </c>
    </row>
    <row r="508" spans="2:6" x14ac:dyDescent="0.2">
      <c r="B508" s="120" t="s">
        <v>1124</v>
      </c>
      <c r="C508" s="121" t="s">
        <v>1125</v>
      </c>
      <c r="D508" s="122">
        <v>3.65</v>
      </c>
      <c r="E508" s="122">
        <v>4.07</v>
      </c>
      <c r="F508" s="122">
        <v>19.36</v>
      </c>
    </row>
    <row r="509" spans="2:6" x14ac:dyDescent="0.2">
      <c r="B509" s="120" t="s">
        <v>3998</v>
      </c>
      <c r="C509" s="121" t="s">
        <v>3999</v>
      </c>
      <c r="D509" s="122"/>
      <c r="E509" s="122"/>
      <c r="F509" s="122"/>
    </row>
    <row r="510" spans="2:6" x14ac:dyDescent="0.2">
      <c r="B510" s="120" t="s">
        <v>1126</v>
      </c>
      <c r="C510" s="121" t="s">
        <v>1127</v>
      </c>
      <c r="D510" s="122">
        <v>10.199999999999999</v>
      </c>
      <c r="E510" s="122">
        <v>7.44</v>
      </c>
      <c r="F510" s="122">
        <v>13.47</v>
      </c>
    </row>
    <row r="511" spans="2:6" x14ac:dyDescent="0.2">
      <c r="B511" s="120" t="s">
        <v>1128</v>
      </c>
      <c r="C511" s="121" t="s">
        <v>1129</v>
      </c>
      <c r="D511" s="122"/>
      <c r="E511" s="122"/>
      <c r="F511" s="122"/>
    </row>
    <row r="512" spans="2:6" x14ac:dyDescent="0.2">
      <c r="B512" s="120" t="s">
        <v>1130</v>
      </c>
      <c r="C512" s="121" t="s">
        <v>1131</v>
      </c>
      <c r="D512" s="122">
        <v>0.93</v>
      </c>
      <c r="E512" s="122">
        <v>2.85</v>
      </c>
      <c r="F512" s="122">
        <v>-12.38</v>
      </c>
    </row>
    <row r="513" spans="2:6" x14ac:dyDescent="0.2">
      <c r="B513" s="120" t="s">
        <v>1132</v>
      </c>
      <c r="C513" s="121" t="s">
        <v>1133</v>
      </c>
      <c r="D513" s="122">
        <v>0.73</v>
      </c>
      <c r="E513" s="122">
        <v>0.88</v>
      </c>
      <c r="F513" s="122">
        <v>8.32</v>
      </c>
    </row>
    <row r="514" spans="2:6" x14ac:dyDescent="0.2">
      <c r="B514" s="120" t="s">
        <v>1134</v>
      </c>
      <c r="C514" s="121" t="s">
        <v>1135</v>
      </c>
      <c r="D514" s="122">
        <v>4.4400000000000004</v>
      </c>
      <c r="E514" s="122">
        <v>2.42</v>
      </c>
      <c r="F514" s="122">
        <v>11.74</v>
      </c>
    </row>
    <row r="515" spans="2:6" x14ac:dyDescent="0.2">
      <c r="B515" s="120" t="s">
        <v>1136</v>
      </c>
      <c r="C515" s="121" t="s">
        <v>1137</v>
      </c>
      <c r="D515" s="122">
        <v>0.83</v>
      </c>
      <c r="E515" s="122">
        <v>2.73</v>
      </c>
      <c r="F515" s="122">
        <v>31.68</v>
      </c>
    </row>
    <row r="516" spans="2:6" x14ac:dyDescent="0.2">
      <c r="B516" s="120" t="s">
        <v>1138</v>
      </c>
      <c r="C516" s="121" t="s">
        <v>1139</v>
      </c>
      <c r="D516" s="122"/>
      <c r="E516" s="122">
        <v>2.94</v>
      </c>
      <c r="F516" s="122"/>
    </row>
    <row r="517" spans="2:6" x14ac:dyDescent="0.2">
      <c r="B517" s="120" t="s">
        <v>1140</v>
      </c>
      <c r="C517" s="121" t="s">
        <v>1141</v>
      </c>
      <c r="D517" s="122">
        <v>0.98</v>
      </c>
      <c r="E517" s="122">
        <v>1.36</v>
      </c>
      <c r="F517" s="122">
        <v>3.35</v>
      </c>
    </row>
    <row r="518" spans="2:6" x14ac:dyDescent="0.2">
      <c r="B518" s="120" t="s">
        <v>1142</v>
      </c>
      <c r="C518" s="121" t="s">
        <v>1143</v>
      </c>
      <c r="D518" s="122">
        <v>8.66</v>
      </c>
      <c r="E518" s="122">
        <v>6.83</v>
      </c>
      <c r="F518" s="122">
        <v>16.62</v>
      </c>
    </row>
    <row r="519" spans="2:6" x14ac:dyDescent="0.2">
      <c r="B519" s="120" t="s">
        <v>1144</v>
      </c>
      <c r="C519" s="121" t="s">
        <v>1145</v>
      </c>
      <c r="D519" s="122">
        <v>0.4</v>
      </c>
      <c r="E519" s="122">
        <v>0.23</v>
      </c>
      <c r="F519" s="122">
        <v>-4.63</v>
      </c>
    </row>
    <row r="520" spans="2:6" x14ac:dyDescent="0.2">
      <c r="B520" s="120" t="s">
        <v>4000</v>
      </c>
      <c r="C520" s="121" t="s">
        <v>4001</v>
      </c>
      <c r="D520" s="122">
        <v>7.84</v>
      </c>
      <c r="E520" s="122">
        <v>4.7</v>
      </c>
      <c r="F520" s="122">
        <v>20.38</v>
      </c>
    </row>
    <row r="521" spans="2:6" x14ac:dyDescent="0.2">
      <c r="B521" s="120" t="s">
        <v>1146</v>
      </c>
      <c r="C521" s="121" t="s">
        <v>1147</v>
      </c>
      <c r="D521" s="122">
        <v>3.37</v>
      </c>
      <c r="E521" s="122">
        <v>1.22</v>
      </c>
      <c r="F521" s="122">
        <v>11.57</v>
      </c>
    </row>
    <row r="522" spans="2:6" x14ac:dyDescent="0.2">
      <c r="B522" s="120" t="s">
        <v>1148</v>
      </c>
      <c r="C522" s="121" t="s">
        <v>1149</v>
      </c>
      <c r="D522" s="122">
        <v>5.71</v>
      </c>
      <c r="E522" s="122">
        <v>11.91</v>
      </c>
      <c r="F522" s="122">
        <v>-6.57</v>
      </c>
    </row>
    <row r="523" spans="2:6" x14ac:dyDescent="0.2">
      <c r="B523" s="120" t="s">
        <v>1150</v>
      </c>
      <c r="C523" s="121" t="s">
        <v>1151</v>
      </c>
      <c r="D523" s="122"/>
      <c r="E523" s="122"/>
      <c r="F523" s="122"/>
    </row>
    <row r="524" spans="2:6" x14ac:dyDescent="0.2">
      <c r="B524" s="120" t="s">
        <v>1152</v>
      </c>
      <c r="C524" s="121" t="s">
        <v>1153</v>
      </c>
      <c r="D524" s="122">
        <v>2.3199999999999998</v>
      </c>
      <c r="E524" s="122">
        <v>7.41</v>
      </c>
      <c r="F524" s="122">
        <v>32.29</v>
      </c>
    </row>
    <row r="525" spans="2:6" x14ac:dyDescent="0.2">
      <c r="B525" s="120" t="s">
        <v>4002</v>
      </c>
      <c r="C525" s="121" t="s">
        <v>4003</v>
      </c>
      <c r="D525" s="122">
        <v>1.98</v>
      </c>
      <c r="E525" s="122">
        <v>1.98</v>
      </c>
      <c r="F525" s="122">
        <v>11.59</v>
      </c>
    </row>
    <row r="526" spans="2:6" x14ac:dyDescent="0.2">
      <c r="B526" s="120" t="s">
        <v>1154</v>
      </c>
      <c r="C526" s="121" t="s">
        <v>1155</v>
      </c>
      <c r="D526" s="122">
        <v>0.42</v>
      </c>
      <c r="E526" s="122">
        <v>0.61</v>
      </c>
      <c r="F526" s="122">
        <v>7.72</v>
      </c>
    </row>
    <row r="527" spans="2:6" x14ac:dyDescent="0.2">
      <c r="B527" s="120" t="s">
        <v>1156</v>
      </c>
      <c r="C527" s="121" t="s">
        <v>1157</v>
      </c>
      <c r="D527" s="122">
        <v>0.82</v>
      </c>
      <c r="E527" s="122">
        <v>1.26</v>
      </c>
      <c r="F527" s="122">
        <v>7.63</v>
      </c>
    </row>
    <row r="528" spans="2:6" x14ac:dyDescent="0.2">
      <c r="B528" s="120" t="s">
        <v>1158</v>
      </c>
      <c r="C528" s="121" t="s">
        <v>1159</v>
      </c>
      <c r="D528" s="122">
        <v>0.28999999999999998</v>
      </c>
      <c r="E528" s="122">
        <v>0.8</v>
      </c>
      <c r="F528" s="122">
        <v>11.25</v>
      </c>
    </row>
    <row r="529" spans="2:6" x14ac:dyDescent="0.2">
      <c r="B529" s="120" t="s">
        <v>1160</v>
      </c>
      <c r="C529" s="121" t="s">
        <v>1161</v>
      </c>
      <c r="D529" s="122">
        <v>1.33</v>
      </c>
      <c r="E529" s="122">
        <v>4.21</v>
      </c>
      <c r="F529" s="122">
        <v>27.75</v>
      </c>
    </row>
    <row r="530" spans="2:6" x14ac:dyDescent="0.2">
      <c r="B530" s="120" t="s">
        <v>1162</v>
      </c>
      <c r="C530" s="121" t="s">
        <v>1163</v>
      </c>
      <c r="D530" s="122">
        <v>1.92</v>
      </c>
      <c r="E530" s="122">
        <v>3.97</v>
      </c>
      <c r="F530" s="122">
        <v>27.74</v>
      </c>
    </row>
    <row r="531" spans="2:6" x14ac:dyDescent="0.2">
      <c r="B531" s="120" t="s">
        <v>1164</v>
      </c>
      <c r="C531" s="121" t="s">
        <v>1165</v>
      </c>
      <c r="D531" s="122">
        <v>8.44</v>
      </c>
      <c r="E531" s="122">
        <v>1.78</v>
      </c>
      <c r="F531" s="122">
        <v>3.05</v>
      </c>
    </row>
    <row r="532" spans="2:6" x14ac:dyDescent="0.2">
      <c r="B532" s="120" t="s">
        <v>1166</v>
      </c>
      <c r="C532" s="121" t="s">
        <v>1167</v>
      </c>
      <c r="D532" s="122">
        <v>0.41</v>
      </c>
      <c r="E532" s="122">
        <v>12.04</v>
      </c>
      <c r="F532" s="122">
        <v>136.69</v>
      </c>
    </row>
    <row r="533" spans="2:6" x14ac:dyDescent="0.2">
      <c r="B533" s="120" t="s">
        <v>1168</v>
      </c>
      <c r="C533" s="121" t="s">
        <v>1169</v>
      </c>
      <c r="D533" s="122"/>
      <c r="E533" s="122">
        <v>7.99</v>
      </c>
      <c r="F533" s="122"/>
    </row>
    <row r="534" spans="2:6" x14ac:dyDescent="0.2">
      <c r="B534" s="120" t="s">
        <v>4004</v>
      </c>
      <c r="C534" s="121" t="s">
        <v>4005</v>
      </c>
      <c r="D534" s="122"/>
      <c r="E534" s="122">
        <v>5.96</v>
      </c>
      <c r="F534" s="122"/>
    </row>
    <row r="535" spans="2:6" x14ac:dyDescent="0.2">
      <c r="B535" s="120" t="s">
        <v>1170</v>
      </c>
      <c r="C535" s="121" t="s">
        <v>1171</v>
      </c>
      <c r="D535" s="122">
        <v>1.94</v>
      </c>
      <c r="E535" s="122">
        <v>2.41</v>
      </c>
      <c r="F535" s="122">
        <v>26.76</v>
      </c>
    </row>
    <row r="536" spans="2:6" x14ac:dyDescent="0.2">
      <c r="B536" s="120" t="s">
        <v>1172</v>
      </c>
      <c r="C536" s="121" t="s">
        <v>1173</v>
      </c>
      <c r="D536" s="122">
        <v>1.51</v>
      </c>
      <c r="E536" s="122">
        <v>5.95</v>
      </c>
      <c r="F536" s="122">
        <v>25.34</v>
      </c>
    </row>
    <row r="537" spans="2:6" x14ac:dyDescent="0.2">
      <c r="B537" s="120" t="s">
        <v>1174</v>
      </c>
      <c r="C537" s="121" t="s">
        <v>1175</v>
      </c>
      <c r="D537" s="122">
        <v>1.91</v>
      </c>
      <c r="E537" s="122">
        <v>2.63</v>
      </c>
      <c r="F537" s="122">
        <v>15.05</v>
      </c>
    </row>
    <row r="538" spans="2:6" x14ac:dyDescent="0.2">
      <c r="B538" s="120" t="s">
        <v>1176</v>
      </c>
      <c r="C538" s="121" t="s">
        <v>1177</v>
      </c>
      <c r="D538" s="122">
        <v>1.1200000000000001</v>
      </c>
      <c r="E538" s="122">
        <v>1.94</v>
      </c>
      <c r="F538" s="122">
        <v>16.71</v>
      </c>
    </row>
    <row r="539" spans="2:6" x14ac:dyDescent="0.2">
      <c r="B539" s="120" t="s">
        <v>1178</v>
      </c>
      <c r="C539" s="121" t="s">
        <v>1179</v>
      </c>
      <c r="D539" s="122">
        <v>5.19</v>
      </c>
      <c r="E539" s="122">
        <v>3.43</v>
      </c>
      <c r="F539" s="122">
        <v>11.53</v>
      </c>
    </row>
    <row r="540" spans="2:6" x14ac:dyDescent="0.2">
      <c r="B540" s="120" t="s">
        <v>4006</v>
      </c>
      <c r="C540" s="121" t="s">
        <v>4007</v>
      </c>
      <c r="D540" s="122"/>
      <c r="E540" s="122"/>
      <c r="F540" s="122"/>
    </row>
    <row r="541" spans="2:6" x14ac:dyDescent="0.2">
      <c r="B541" s="120" t="s">
        <v>4008</v>
      </c>
      <c r="C541" s="121" t="s">
        <v>4009</v>
      </c>
      <c r="D541" s="122"/>
      <c r="E541" s="122"/>
      <c r="F541" s="122"/>
    </row>
    <row r="542" spans="2:6" x14ac:dyDescent="0.2">
      <c r="B542" s="120" t="s">
        <v>4010</v>
      </c>
      <c r="C542" s="121" t="s">
        <v>4011</v>
      </c>
      <c r="D542" s="122">
        <v>0.27</v>
      </c>
      <c r="E542" s="122">
        <v>0.38</v>
      </c>
      <c r="F542" s="122">
        <v>1.47</v>
      </c>
    </row>
    <row r="543" spans="2:6" x14ac:dyDescent="0.2">
      <c r="B543" s="120" t="s">
        <v>1180</v>
      </c>
      <c r="C543" s="121" t="s">
        <v>1181</v>
      </c>
      <c r="D543" s="122">
        <v>3.68</v>
      </c>
      <c r="E543" s="122">
        <v>2.4700000000000002</v>
      </c>
      <c r="F543" s="122">
        <v>13.08</v>
      </c>
    </row>
    <row r="544" spans="2:6" x14ac:dyDescent="0.2">
      <c r="B544" s="120" t="s">
        <v>1182</v>
      </c>
      <c r="C544" s="121" t="s">
        <v>1183</v>
      </c>
      <c r="D544" s="122">
        <v>1.28</v>
      </c>
      <c r="E544" s="122">
        <v>1.26</v>
      </c>
      <c r="F544" s="122">
        <v>21.53</v>
      </c>
    </row>
    <row r="545" spans="2:6" x14ac:dyDescent="0.2">
      <c r="B545" s="120" t="s">
        <v>4012</v>
      </c>
      <c r="C545" s="121" t="s">
        <v>4013</v>
      </c>
      <c r="D545" s="122">
        <v>1.76</v>
      </c>
      <c r="E545" s="122">
        <v>1.73</v>
      </c>
      <c r="F545" s="122">
        <v>21.53</v>
      </c>
    </row>
    <row r="546" spans="2:6" x14ac:dyDescent="0.2">
      <c r="B546" s="120" t="s">
        <v>4012</v>
      </c>
      <c r="C546" s="121" t="s">
        <v>4014</v>
      </c>
      <c r="D546" s="122">
        <v>1.19</v>
      </c>
      <c r="E546" s="122">
        <v>1.17</v>
      </c>
      <c r="F546" s="122">
        <v>21.53</v>
      </c>
    </row>
    <row r="547" spans="2:6" x14ac:dyDescent="0.2">
      <c r="B547" s="120" t="s">
        <v>1184</v>
      </c>
      <c r="C547" s="121" t="s">
        <v>1185</v>
      </c>
      <c r="D547" s="122">
        <v>1.24</v>
      </c>
      <c r="E547" s="122">
        <v>1.74</v>
      </c>
      <c r="F547" s="122">
        <v>16.239999999999998</v>
      </c>
    </row>
    <row r="548" spans="2:6" x14ac:dyDescent="0.2">
      <c r="B548" s="120" t="s">
        <v>1186</v>
      </c>
      <c r="C548" s="121" t="s">
        <v>1187</v>
      </c>
      <c r="D548" s="122"/>
      <c r="E548" s="122"/>
      <c r="F548" s="122"/>
    </row>
    <row r="549" spans="2:6" x14ac:dyDescent="0.2">
      <c r="B549" s="120" t="s">
        <v>1188</v>
      </c>
      <c r="C549" s="121" t="s">
        <v>1189</v>
      </c>
      <c r="D549" s="122"/>
      <c r="E549" s="122">
        <v>2.98</v>
      </c>
      <c r="F549" s="122"/>
    </row>
    <row r="550" spans="2:6" x14ac:dyDescent="0.2">
      <c r="B550" s="120" t="s">
        <v>1190</v>
      </c>
      <c r="C550" s="121" t="s">
        <v>1191</v>
      </c>
      <c r="D550" s="122">
        <v>0.4</v>
      </c>
      <c r="E550" s="122">
        <v>1.94</v>
      </c>
      <c r="F550" s="122">
        <v>16.96</v>
      </c>
    </row>
    <row r="551" spans="2:6" x14ac:dyDescent="0.2">
      <c r="B551" s="120" t="s">
        <v>4015</v>
      </c>
      <c r="C551" s="121" t="s">
        <v>4016</v>
      </c>
      <c r="D551" s="122">
        <v>0.18</v>
      </c>
      <c r="E551" s="122">
        <v>0.67</v>
      </c>
      <c r="F551" s="122">
        <v>13.93</v>
      </c>
    </row>
    <row r="552" spans="2:6" x14ac:dyDescent="0.2">
      <c r="B552" s="120" t="s">
        <v>1192</v>
      </c>
      <c r="C552" s="121" t="s">
        <v>1193</v>
      </c>
      <c r="D552" s="122">
        <v>5.16</v>
      </c>
      <c r="E552" s="122">
        <v>2.69</v>
      </c>
      <c r="F552" s="122">
        <v>9</v>
      </c>
    </row>
    <row r="553" spans="2:6" x14ac:dyDescent="0.2">
      <c r="B553" s="120" t="s">
        <v>4017</v>
      </c>
      <c r="C553" s="121" t="s">
        <v>4018</v>
      </c>
      <c r="D553" s="122">
        <v>2.65</v>
      </c>
      <c r="E553" s="122">
        <v>2.79</v>
      </c>
      <c r="F553" s="122">
        <v>16.329999999999998</v>
      </c>
    </row>
    <row r="554" spans="2:6" x14ac:dyDescent="0.2">
      <c r="B554" s="120" t="s">
        <v>1194</v>
      </c>
      <c r="C554" s="121" t="s">
        <v>1195</v>
      </c>
      <c r="D554" s="122">
        <v>8.24</v>
      </c>
      <c r="E554" s="122">
        <v>2.78</v>
      </c>
      <c r="F554" s="122">
        <v>3.01</v>
      </c>
    </row>
    <row r="555" spans="2:6" x14ac:dyDescent="0.2">
      <c r="B555" s="120" t="s">
        <v>1196</v>
      </c>
      <c r="C555" s="121" t="s">
        <v>1197</v>
      </c>
      <c r="D555" s="122">
        <v>1.1299999999999999</v>
      </c>
      <c r="E555" s="122">
        <v>4.4800000000000004</v>
      </c>
      <c r="F555" s="122">
        <v>19.760000000000002</v>
      </c>
    </row>
    <row r="556" spans="2:6" x14ac:dyDescent="0.2">
      <c r="B556" s="120" t="s">
        <v>1198</v>
      </c>
      <c r="C556" s="121" t="s">
        <v>1199</v>
      </c>
      <c r="D556" s="122"/>
      <c r="E556" s="122"/>
      <c r="F556" s="122"/>
    </row>
    <row r="557" spans="2:6" x14ac:dyDescent="0.2">
      <c r="B557" s="120" t="s">
        <v>4019</v>
      </c>
      <c r="C557" s="121" t="s">
        <v>4020</v>
      </c>
      <c r="D557" s="122">
        <v>3.3</v>
      </c>
      <c r="E557" s="122">
        <v>1.08</v>
      </c>
      <c r="F557" s="122">
        <v>11.23</v>
      </c>
    </row>
    <row r="558" spans="2:6" x14ac:dyDescent="0.2">
      <c r="B558" s="120" t="s">
        <v>4021</v>
      </c>
      <c r="C558" s="121" t="s">
        <v>4022</v>
      </c>
      <c r="D558" s="122">
        <v>1.82</v>
      </c>
      <c r="E558" s="122">
        <v>0.5</v>
      </c>
      <c r="F558" s="122">
        <v>7.43</v>
      </c>
    </row>
    <row r="559" spans="2:6" x14ac:dyDescent="0.2">
      <c r="B559" s="120" t="s">
        <v>1200</v>
      </c>
      <c r="C559" s="121" t="s">
        <v>1201</v>
      </c>
      <c r="D559" s="122">
        <v>4.96</v>
      </c>
      <c r="E559" s="122"/>
      <c r="F559" s="122">
        <v>-36.53</v>
      </c>
    </row>
    <row r="560" spans="2:6" x14ac:dyDescent="0.2">
      <c r="B560" s="120" t="s">
        <v>4023</v>
      </c>
      <c r="C560" s="121" t="s">
        <v>4024</v>
      </c>
      <c r="D560" s="122"/>
      <c r="E560" s="122"/>
      <c r="F560" s="122"/>
    </row>
    <row r="561" spans="2:6" x14ac:dyDescent="0.2">
      <c r="B561" s="120" t="s">
        <v>4025</v>
      </c>
      <c r="C561" s="121" t="s">
        <v>4026</v>
      </c>
      <c r="D561" s="122">
        <v>0.62</v>
      </c>
      <c r="E561" s="122">
        <v>0.83</v>
      </c>
      <c r="F561" s="122">
        <v>3.69</v>
      </c>
    </row>
    <row r="562" spans="2:6" x14ac:dyDescent="0.2">
      <c r="B562" s="120" t="s">
        <v>1202</v>
      </c>
      <c r="C562" s="121" t="s">
        <v>1203</v>
      </c>
      <c r="D562" s="122">
        <v>0.7</v>
      </c>
      <c r="E562" s="122">
        <v>1.04</v>
      </c>
      <c r="F562" s="122">
        <v>6.94</v>
      </c>
    </row>
    <row r="563" spans="2:6" x14ac:dyDescent="0.2">
      <c r="B563" s="120" t="s">
        <v>1204</v>
      </c>
      <c r="C563" s="121" t="s">
        <v>1205</v>
      </c>
      <c r="D563" s="122">
        <v>7.88</v>
      </c>
      <c r="E563" s="122">
        <v>1.33</v>
      </c>
      <c r="F563" s="122">
        <v>2.11</v>
      </c>
    </row>
    <row r="564" spans="2:6" x14ac:dyDescent="0.2">
      <c r="B564" s="120" t="s">
        <v>1206</v>
      </c>
      <c r="C564" s="121" t="s">
        <v>1207</v>
      </c>
      <c r="D564" s="122">
        <v>13.78</v>
      </c>
      <c r="E564" s="122">
        <v>20.13</v>
      </c>
      <c r="F564" s="122">
        <v>-26.7</v>
      </c>
    </row>
    <row r="565" spans="2:6" x14ac:dyDescent="0.2">
      <c r="B565" s="120" t="s">
        <v>1208</v>
      </c>
      <c r="C565" s="121" t="s">
        <v>1209</v>
      </c>
      <c r="D565" s="122">
        <v>0.82</v>
      </c>
      <c r="E565" s="122"/>
      <c r="F565" s="122">
        <v>-73.27</v>
      </c>
    </row>
    <row r="566" spans="2:6" x14ac:dyDescent="0.2">
      <c r="B566" s="120" t="s">
        <v>1210</v>
      </c>
      <c r="C566" s="121" t="s">
        <v>1211</v>
      </c>
      <c r="D566" s="122">
        <v>2.0299999999999998</v>
      </c>
      <c r="E566" s="122">
        <v>4.87</v>
      </c>
      <c r="F566" s="122">
        <v>29.22</v>
      </c>
    </row>
    <row r="567" spans="2:6" x14ac:dyDescent="0.2">
      <c r="B567" s="120" t="s">
        <v>4027</v>
      </c>
      <c r="C567" s="121" t="s">
        <v>4028</v>
      </c>
      <c r="D567" s="122"/>
      <c r="E567" s="122">
        <v>1.94</v>
      </c>
      <c r="F567" s="122"/>
    </row>
    <row r="568" spans="2:6" x14ac:dyDescent="0.2">
      <c r="B568" s="120" t="s">
        <v>1212</v>
      </c>
      <c r="C568" s="121" t="s">
        <v>1213</v>
      </c>
      <c r="D568" s="122">
        <v>2.2599999999999998</v>
      </c>
      <c r="E568" s="122">
        <v>2.6</v>
      </c>
      <c r="F568" s="122">
        <v>15.7</v>
      </c>
    </row>
    <row r="569" spans="2:6" x14ac:dyDescent="0.2">
      <c r="B569" s="120" t="s">
        <v>4029</v>
      </c>
      <c r="C569" s="121" t="s">
        <v>4030</v>
      </c>
      <c r="D569" s="122"/>
      <c r="E569" s="122"/>
      <c r="F569" s="122"/>
    </row>
    <row r="570" spans="2:6" x14ac:dyDescent="0.2">
      <c r="B570" s="120" t="s">
        <v>1214</v>
      </c>
      <c r="C570" s="121" t="s">
        <v>1215</v>
      </c>
      <c r="D570" s="122">
        <v>0.56999999999999995</v>
      </c>
      <c r="E570" s="122">
        <v>2.91</v>
      </c>
      <c r="F570" s="122">
        <v>15.92</v>
      </c>
    </row>
    <row r="571" spans="2:6" x14ac:dyDescent="0.2">
      <c r="B571" s="120" t="s">
        <v>1216</v>
      </c>
      <c r="C571" s="121" t="s">
        <v>1217</v>
      </c>
      <c r="D571" s="122">
        <v>2.9</v>
      </c>
      <c r="E571" s="122"/>
      <c r="F571" s="122">
        <v>-12.81</v>
      </c>
    </row>
    <row r="572" spans="2:6" x14ac:dyDescent="0.2">
      <c r="B572" s="120" t="s">
        <v>1218</v>
      </c>
      <c r="C572" s="121" t="s">
        <v>1219</v>
      </c>
      <c r="D572" s="122">
        <v>11.93</v>
      </c>
      <c r="E572" s="122">
        <v>2.5499999999999998</v>
      </c>
      <c r="F572" s="122">
        <v>4.82</v>
      </c>
    </row>
    <row r="573" spans="2:6" x14ac:dyDescent="0.2">
      <c r="B573" s="120" t="s">
        <v>1220</v>
      </c>
      <c r="C573" s="121" t="s">
        <v>1221</v>
      </c>
      <c r="D573" s="122">
        <v>1.72</v>
      </c>
      <c r="E573" s="122">
        <v>6.19</v>
      </c>
      <c r="F573" s="122">
        <v>31.37</v>
      </c>
    </row>
    <row r="574" spans="2:6" x14ac:dyDescent="0.2">
      <c r="B574" s="120" t="s">
        <v>1222</v>
      </c>
      <c r="C574" s="121" t="s">
        <v>1223</v>
      </c>
      <c r="D574" s="122">
        <v>5.49</v>
      </c>
      <c r="E574" s="122">
        <v>3.69</v>
      </c>
      <c r="F574" s="122">
        <v>13.9</v>
      </c>
    </row>
    <row r="575" spans="2:6" x14ac:dyDescent="0.2">
      <c r="B575" s="120" t="s">
        <v>1224</v>
      </c>
      <c r="C575" s="121" t="s">
        <v>1225</v>
      </c>
      <c r="D575" s="122">
        <v>1.43</v>
      </c>
      <c r="E575" s="122">
        <v>7.82</v>
      </c>
      <c r="F575" s="122">
        <v>27.93</v>
      </c>
    </row>
    <row r="576" spans="2:6" x14ac:dyDescent="0.2">
      <c r="B576" s="120" t="s">
        <v>4031</v>
      </c>
      <c r="C576" s="121" t="s">
        <v>4032</v>
      </c>
      <c r="D576" s="122">
        <v>1.23</v>
      </c>
      <c r="E576" s="122">
        <v>0.71</v>
      </c>
      <c r="F576" s="122">
        <v>3.85</v>
      </c>
    </row>
    <row r="577" spans="2:6" x14ac:dyDescent="0.2">
      <c r="B577" s="120" t="s">
        <v>1226</v>
      </c>
      <c r="C577" s="121" t="s">
        <v>1227</v>
      </c>
      <c r="D577" s="122">
        <v>11.18</v>
      </c>
      <c r="E577" s="122">
        <v>4.21</v>
      </c>
      <c r="F577" s="122">
        <v>5.28</v>
      </c>
    </row>
    <row r="578" spans="2:6" x14ac:dyDescent="0.2">
      <c r="B578" s="120" t="s">
        <v>4033</v>
      </c>
      <c r="C578" s="121" t="s">
        <v>4034</v>
      </c>
      <c r="D578" s="122"/>
      <c r="E578" s="122"/>
      <c r="F578" s="122"/>
    </row>
    <row r="579" spans="2:6" x14ac:dyDescent="0.2">
      <c r="B579" s="120" t="s">
        <v>4035</v>
      </c>
      <c r="C579" s="121" t="s">
        <v>4036</v>
      </c>
      <c r="D579" s="122"/>
      <c r="E579" s="122"/>
      <c r="F579" s="122"/>
    </row>
    <row r="580" spans="2:6" x14ac:dyDescent="0.2">
      <c r="B580" s="120" t="s">
        <v>1228</v>
      </c>
      <c r="C580" s="121" t="s">
        <v>1229</v>
      </c>
      <c r="D580" s="122">
        <v>1.77</v>
      </c>
      <c r="E580" s="122">
        <v>2.29</v>
      </c>
      <c r="F580" s="122">
        <v>10.33</v>
      </c>
    </row>
    <row r="581" spans="2:6" x14ac:dyDescent="0.2">
      <c r="B581" s="120" t="s">
        <v>1230</v>
      </c>
      <c r="C581" s="121" t="s">
        <v>1231</v>
      </c>
      <c r="D581" s="122">
        <v>0.9</v>
      </c>
      <c r="E581" s="122">
        <v>1.67</v>
      </c>
      <c r="F581" s="122">
        <v>10.65</v>
      </c>
    </row>
    <row r="582" spans="2:6" x14ac:dyDescent="0.2">
      <c r="B582" s="120" t="s">
        <v>4037</v>
      </c>
      <c r="C582" s="121" t="s">
        <v>4038</v>
      </c>
      <c r="D582" s="122">
        <v>0.52</v>
      </c>
      <c r="E582" s="122">
        <v>1.32</v>
      </c>
      <c r="F582" s="122">
        <v>11.81</v>
      </c>
    </row>
    <row r="583" spans="2:6" x14ac:dyDescent="0.2">
      <c r="B583" s="120" t="s">
        <v>1232</v>
      </c>
      <c r="C583" s="121" t="s">
        <v>1233</v>
      </c>
      <c r="D583" s="122">
        <v>2.8</v>
      </c>
      <c r="E583" s="122">
        <v>1.56</v>
      </c>
      <c r="F583" s="122">
        <v>8.02</v>
      </c>
    </row>
    <row r="584" spans="2:6" x14ac:dyDescent="0.2">
      <c r="B584" s="120" t="s">
        <v>1234</v>
      </c>
      <c r="C584" s="121" t="s">
        <v>1235</v>
      </c>
      <c r="D584" s="122">
        <v>0.86</v>
      </c>
      <c r="E584" s="122">
        <v>2.35</v>
      </c>
      <c r="F584" s="122">
        <v>14.67</v>
      </c>
    </row>
    <row r="585" spans="2:6" x14ac:dyDescent="0.2">
      <c r="B585" s="120" t="s">
        <v>1236</v>
      </c>
      <c r="C585" s="121" t="s">
        <v>1237</v>
      </c>
      <c r="D585" s="122"/>
      <c r="E585" s="122">
        <v>4.04</v>
      </c>
      <c r="F585" s="122"/>
    </row>
    <row r="586" spans="2:6" x14ac:dyDescent="0.2">
      <c r="B586" s="120" t="s">
        <v>1238</v>
      </c>
      <c r="C586" s="121" t="s">
        <v>1239</v>
      </c>
      <c r="D586" s="122">
        <v>1.0900000000000001</v>
      </c>
      <c r="E586" s="122">
        <v>1.51</v>
      </c>
      <c r="F586" s="122">
        <v>8.42</v>
      </c>
    </row>
    <row r="587" spans="2:6" x14ac:dyDescent="0.2">
      <c r="B587" s="120" t="s">
        <v>4039</v>
      </c>
      <c r="C587" s="121" t="s">
        <v>4040</v>
      </c>
      <c r="D587" s="122"/>
      <c r="E587" s="122"/>
      <c r="F587" s="122"/>
    </row>
    <row r="588" spans="2:6" x14ac:dyDescent="0.2">
      <c r="B588" s="120" t="s">
        <v>4041</v>
      </c>
      <c r="C588" s="121" t="s">
        <v>4042</v>
      </c>
      <c r="D588" s="122"/>
      <c r="E588" s="122"/>
      <c r="F588" s="122"/>
    </row>
    <row r="589" spans="2:6" x14ac:dyDescent="0.2">
      <c r="B589" s="120" t="s">
        <v>1240</v>
      </c>
      <c r="C589" s="121" t="s">
        <v>1241</v>
      </c>
      <c r="D589" s="122"/>
      <c r="E589" s="122"/>
      <c r="F589" s="122"/>
    </row>
    <row r="590" spans="2:6" x14ac:dyDescent="0.2">
      <c r="B590" s="120" t="s">
        <v>1242</v>
      </c>
      <c r="C590" s="121" t="s">
        <v>1243</v>
      </c>
      <c r="D590" s="122">
        <v>0.41</v>
      </c>
      <c r="E590" s="122">
        <v>0.76</v>
      </c>
      <c r="F590" s="122">
        <v>19.57</v>
      </c>
    </row>
    <row r="591" spans="2:6" x14ac:dyDescent="0.2">
      <c r="B591" s="120" t="s">
        <v>1244</v>
      </c>
      <c r="C591" s="121" t="s">
        <v>1245</v>
      </c>
      <c r="D591" s="122">
        <v>11.53</v>
      </c>
      <c r="E591" s="122">
        <v>20.45</v>
      </c>
      <c r="F591" s="122">
        <v>10.41</v>
      </c>
    </row>
    <row r="592" spans="2:6" x14ac:dyDescent="0.2">
      <c r="B592" s="120" t="s">
        <v>1246</v>
      </c>
      <c r="C592" s="121" t="s">
        <v>1247</v>
      </c>
      <c r="D592" s="122">
        <v>0.65</v>
      </c>
      <c r="E592" s="122">
        <v>1.01</v>
      </c>
      <c r="F592" s="122">
        <v>8.51</v>
      </c>
    </row>
    <row r="593" spans="2:6" x14ac:dyDescent="0.2">
      <c r="B593" s="120" t="s">
        <v>1248</v>
      </c>
      <c r="C593" s="121" t="s">
        <v>1249</v>
      </c>
      <c r="D593" s="122">
        <v>5.79</v>
      </c>
      <c r="E593" s="122">
        <v>4.51</v>
      </c>
      <c r="F593" s="122">
        <v>19.63</v>
      </c>
    </row>
    <row r="594" spans="2:6" x14ac:dyDescent="0.2">
      <c r="B594" s="120" t="s">
        <v>4043</v>
      </c>
      <c r="C594" s="121" t="s">
        <v>4044</v>
      </c>
      <c r="D594" s="122">
        <v>1.29</v>
      </c>
      <c r="E594" s="122">
        <v>12.25</v>
      </c>
      <c r="F594" s="122">
        <v>39.57</v>
      </c>
    </row>
    <row r="595" spans="2:6" x14ac:dyDescent="0.2">
      <c r="B595" s="120" t="s">
        <v>1250</v>
      </c>
      <c r="C595" s="121" t="s">
        <v>1251</v>
      </c>
      <c r="D595" s="122">
        <v>1.99</v>
      </c>
      <c r="E595" s="122"/>
      <c r="F595" s="122">
        <v>-88.91</v>
      </c>
    </row>
    <row r="596" spans="2:6" x14ac:dyDescent="0.2">
      <c r="B596" s="120" t="s">
        <v>1252</v>
      </c>
      <c r="C596" s="121" t="s">
        <v>1253</v>
      </c>
      <c r="D596" s="122">
        <v>3.12</v>
      </c>
      <c r="E596" s="122">
        <v>8.24</v>
      </c>
      <c r="F596" s="122">
        <v>36.67</v>
      </c>
    </row>
    <row r="597" spans="2:6" x14ac:dyDescent="0.2">
      <c r="B597" s="120" t="s">
        <v>1254</v>
      </c>
      <c r="C597" s="121" t="s">
        <v>1255</v>
      </c>
      <c r="D597" s="122">
        <v>1.69</v>
      </c>
      <c r="E597" s="122">
        <v>0.68</v>
      </c>
      <c r="F597" s="122">
        <v>8.5</v>
      </c>
    </row>
    <row r="598" spans="2:6" x14ac:dyDescent="0.2">
      <c r="B598" s="120" t="s">
        <v>4045</v>
      </c>
      <c r="C598" s="121" t="s">
        <v>4046</v>
      </c>
      <c r="D598" s="122">
        <v>1.41</v>
      </c>
      <c r="E598" s="122">
        <v>0.81</v>
      </c>
      <c r="F598" s="122">
        <v>23.85</v>
      </c>
    </row>
    <row r="599" spans="2:6" x14ac:dyDescent="0.2">
      <c r="B599" s="120" t="s">
        <v>4047</v>
      </c>
      <c r="C599" s="121" t="s">
        <v>4048</v>
      </c>
      <c r="D599" s="122">
        <v>1.3</v>
      </c>
      <c r="E599" s="122">
        <v>0.86</v>
      </c>
      <c r="F599" s="122">
        <v>23.87</v>
      </c>
    </row>
    <row r="600" spans="2:6" x14ac:dyDescent="0.2">
      <c r="B600" s="120" t="s">
        <v>1256</v>
      </c>
      <c r="C600" s="121" t="s">
        <v>1257</v>
      </c>
      <c r="D600" s="122">
        <v>1.6</v>
      </c>
      <c r="E600" s="122">
        <v>2.11</v>
      </c>
      <c r="F600" s="122">
        <v>10.57</v>
      </c>
    </row>
    <row r="601" spans="2:6" x14ac:dyDescent="0.2">
      <c r="B601" s="120" t="s">
        <v>1258</v>
      </c>
      <c r="C601" s="121" t="s">
        <v>1259</v>
      </c>
      <c r="D601" s="122">
        <v>0.95</v>
      </c>
      <c r="E601" s="122">
        <v>0.7</v>
      </c>
      <c r="F601" s="122">
        <v>10.76</v>
      </c>
    </row>
    <row r="602" spans="2:6" x14ac:dyDescent="0.2">
      <c r="B602" s="120" t="s">
        <v>1260</v>
      </c>
      <c r="C602" s="121" t="s">
        <v>1261</v>
      </c>
      <c r="D602" s="122"/>
      <c r="E602" s="122">
        <v>0.55000000000000004</v>
      </c>
      <c r="F602" s="122"/>
    </row>
    <row r="603" spans="2:6" x14ac:dyDescent="0.2">
      <c r="B603" s="120" t="s">
        <v>1262</v>
      </c>
      <c r="C603" s="121" t="s">
        <v>1263</v>
      </c>
      <c r="D603" s="122">
        <v>3.82</v>
      </c>
      <c r="E603" s="122">
        <v>6.82</v>
      </c>
      <c r="F603" s="122">
        <v>19.809999999999999</v>
      </c>
    </row>
    <row r="604" spans="2:6" x14ac:dyDescent="0.2">
      <c r="B604" s="120" t="s">
        <v>1264</v>
      </c>
      <c r="C604" s="121" t="s">
        <v>1265</v>
      </c>
      <c r="D604" s="122">
        <v>2.4500000000000002</v>
      </c>
      <c r="E604" s="122">
        <v>1.69</v>
      </c>
      <c r="F604" s="122">
        <v>8.0399999999999991</v>
      </c>
    </row>
    <row r="605" spans="2:6" x14ac:dyDescent="0.2">
      <c r="B605" s="120" t="s">
        <v>4049</v>
      </c>
      <c r="C605" s="121" t="s">
        <v>4050</v>
      </c>
      <c r="D605" s="122"/>
      <c r="E605" s="122"/>
      <c r="F605" s="122"/>
    </row>
    <row r="606" spans="2:6" x14ac:dyDescent="0.2">
      <c r="B606" s="120" t="s">
        <v>4051</v>
      </c>
      <c r="C606" s="121" t="s">
        <v>4052</v>
      </c>
      <c r="D606" s="122">
        <v>0.81</v>
      </c>
      <c r="E606" s="122">
        <v>0.94</v>
      </c>
      <c r="F606" s="122">
        <v>5.45</v>
      </c>
    </row>
    <row r="607" spans="2:6" x14ac:dyDescent="0.2">
      <c r="B607" s="120" t="s">
        <v>1266</v>
      </c>
      <c r="C607" s="121" t="s">
        <v>1267</v>
      </c>
      <c r="D607" s="122">
        <v>5.13</v>
      </c>
      <c r="E607" s="122">
        <v>6.29</v>
      </c>
      <c r="F607" s="122">
        <v>12.97</v>
      </c>
    </row>
    <row r="608" spans="2:6" x14ac:dyDescent="0.2">
      <c r="B608" s="120" t="s">
        <v>1268</v>
      </c>
      <c r="C608" s="121" t="s">
        <v>1269</v>
      </c>
      <c r="D608" s="122">
        <v>3.02</v>
      </c>
      <c r="E608" s="122">
        <v>5.42</v>
      </c>
      <c r="F608" s="122">
        <v>24.94</v>
      </c>
    </row>
    <row r="609" spans="2:6" x14ac:dyDescent="0.2">
      <c r="B609" s="120" t="s">
        <v>4053</v>
      </c>
      <c r="C609" s="121" t="s">
        <v>4054</v>
      </c>
      <c r="D609" s="122"/>
      <c r="E609" s="122"/>
      <c r="F609" s="122"/>
    </row>
    <row r="610" spans="2:6" x14ac:dyDescent="0.2">
      <c r="B610" s="120" t="s">
        <v>4055</v>
      </c>
      <c r="C610" s="121" t="s">
        <v>4056</v>
      </c>
      <c r="D610" s="122"/>
      <c r="E610" s="122"/>
      <c r="F610" s="122"/>
    </row>
    <row r="611" spans="2:6" x14ac:dyDescent="0.2">
      <c r="B611" s="120" t="s">
        <v>1270</v>
      </c>
      <c r="C611" s="121" t="s">
        <v>1271</v>
      </c>
      <c r="D611" s="122">
        <v>5.0199999999999996</v>
      </c>
      <c r="E611" s="122">
        <v>6.59</v>
      </c>
      <c r="F611" s="122">
        <v>22.63</v>
      </c>
    </row>
    <row r="612" spans="2:6" x14ac:dyDescent="0.2">
      <c r="B612" s="120" t="s">
        <v>4057</v>
      </c>
      <c r="C612" s="121" t="s">
        <v>4058</v>
      </c>
      <c r="D612" s="122">
        <v>3.69</v>
      </c>
      <c r="E612" s="122">
        <v>5</v>
      </c>
      <c r="F612" s="122">
        <v>35.26</v>
      </c>
    </row>
    <row r="613" spans="2:6" x14ac:dyDescent="0.2">
      <c r="B613" s="120" t="s">
        <v>1272</v>
      </c>
      <c r="C613" s="121" t="s">
        <v>1273</v>
      </c>
      <c r="D613" s="122">
        <v>15.19</v>
      </c>
      <c r="E613" s="122">
        <v>4.7300000000000004</v>
      </c>
      <c r="F613" s="122">
        <v>9.8000000000000007</v>
      </c>
    </row>
    <row r="614" spans="2:6" x14ac:dyDescent="0.2">
      <c r="B614" s="120" t="s">
        <v>1274</v>
      </c>
      <c r="C614" s="121" t="s">
        <v>1275</v>
      </c>
      <c r="D614" s="122">
        <v>1.43</v>
      </c>
      <c r="E614" s="122">
        <v>4</v>
      </c>
      <c r="F614" s="122">
        <v>24.1</v>
      </c>
    </row>
    <row r="615" spans="2:6" x14ac:dyDescent="0.2">
      <c r="B615" s="120" t="s">
        <v>1276</v>
      </c>
      <c r="C615" s="121" t="s">
        <v>1277</v>
      </c>
      <c r="D615" s="122">
        <v>1.99</v>
      </c>
      <c r="E615" s="122">
        <v>1.84</v>
      </c>
      <c r="F615" s="122">
        <v>12.15</v>
      </c>
    </row>
    <row r="616" spans="2:6" x14ac:dyDescent="0.2">
      <c r="B616" s="120" t="s">
        <v>1278</v>
      </c>
      <c r="C616" s="121" t="s">
        <v>1279</v>
      </c>
      <c r="D616" s="122"/>
      <c r="E616" s="122">
        <v>1.39</v>
      </c>
      <c r="F616" s="122"/>
    </row>
    <row r="617" spans="2:6" x14ac:dyDescent="0.2">
      <c r="B617" s="120" t="s">
        <v>1280</v>
      </c>
      <c r="C617" s="121" t="s">
        <v>1281</v>
      </c>
      <c r="D617" s="122">
        <v>3.4</v>
      </c>
      <c r="E617" s="122">
        <v>5.88</v>
      </c>
      <c r="F617" s="122">
        <v>16.23</v>
      </c>
    </row>
    <row r="618" spans="2:6" x14ac:dyDescent="0.2">
      <c r="B618" s="120" t="s">
        <v>1282</v>
      </c>
      <c r="C618" s="121" t="s">
        <v>1283</v>
      </c>
      <c r="D618" s="122">
        <v>4.66</v>
      </c>
      <c r="E618" s="122">
        <v>15.71</v>
      </c>
      <c r="F618" s="122">
        <v>44.43</v>
      </c>
    </row>
    <row r="619" spans="2:6" x14ac:dyDescent="0.2">
      <c r="B619" s="120" t="s">
        <v>1284</v>
      </c>
      <c r="C619" s="121" t="s">
        <v>1285</v>
      </c>
      <c r="D619" s="122">
        <v>3.28</v>
      </c>
      <c r="E619" s="122">
        <v>1.91</v>
      </c>
      <c r="F619" s="122">
        <v>7.83</v>
      </c>
    </row>
    <row r="620" spans="2:6" x14ac:dyDescent="0.2">
      <c r="B620" s="120" t="s">
        <v>4059</v>
      </c>
      <c r="C620" s="121" t="s">
        <v>4060</v>
      </c>
      <c r="D620" s="122">
        <v>0.84</v>
      </c>
      <c r="E620" s="122">
        <v>0.77</v>
      </c>
      <c r="F620" s="122">
        <v>9.34</v>
      </c>
    </row>
    <row r="621" spans="2:6" x14ac:dyDescent="0.2">
      <c r="B621" s="120" t="s">
        <v>4061</v>
      </c>
      <c r="C621" s="121" t="s">
        <v>4062</v>
      </c>
      <c r="D621" s="122">
        <v>0.83</v>
      </c>
      <c r="E621" s="122">
        <v>0.83</v>
      </c>
      <c r="F621" s="122"/>
    </row>
    <row r="622" spans="2:6" x14ac:dyDescent="0.2">
      <c r="B622" s="120" t="s">
        <v>1286</v>
      </c>
      <c r="C622" s="121" t="s">
        <v>1287</v>
      </c>
      <c r="D622" s="122">
        <v>12.12</v>
      </c>
      <c r="E622" s="122">
        <v>9.34</v>
      </c>
      <c r="F622" s="122">
        <v>22</v>
      </c>
    </row>
    <row r="623" spans="2:6" x14ac:dyDescent="0.2">
      <c r="B623" s="120" t="s">
        <v>1288</v>
      </c>
      <c r="C623" s="121" t="s">
        <v>1289</v>
      </c>
      <c r="D623" s="122">
        <v>0.51</v>
      </c>
      <c r="E623" s="122">
        <v>3.17</v>
      </c>
      <c r="F623" s="122">
        <v>18.13</v>
      </c>
    </row>
    <row r="624" spans="2:6" x14ac:dyDescent="0.2">
      <c r="B624" s="120" t="s">
        <v>4063</v>
      </c>
      <c r="C624" s="121" t="s">
        <v>4064</v>
      </c>
      <c r="D624" s="122"/>
      <c r="E624" s="122"/>
      <c r="F624" s="122"/>
    </row>
    <row r="625" spans="2:6" x14ac:dyDescent="0.2">
      <c r="B625" s="120" t="s">
        <v>1290</v>
      </c>
      <c r="C625" s="121" t="s">
        <v>1291</v>
      </c>
      <c r="D625" s="122">
        <v>0.55000000000000004</v>
      </c>
      <c r="E625" s="122">
        <v>2.54</v>
      </c>
      <c r="F625" s="122">
        <v>17.47</v>
      </c>
    </row>
    <row r="626" spans="2:6" x14ac:dyDescent="0.2">
      <c r="B626" s="120" t="s">
        <v>1292</v>
      </c>
      <c r="C626" s="121" t="s">
        <v>1293</v>
      </c>
      <c r="D626" s="122">
        <v>1.03</v>
      </c>
      <c r="E626" s="122">
        <v>1.67</v>
      </c>
      <c r="F626" s="122">
        <v>17.760000000000002</v>
      </c>
    </row>
    <row r="627" spans="2:6" x14ac:dyDescent="0.2">
      <c r="B627" s="120" t="s">
        <v>1294</v>
      </c>
      <c r="C627" s="121" t="s">
        <v>1295</v>
      </c>
      <c r="D627" s="122">
        <v>2.1800000000000002</v>
      </c>
      <c r="E627" s="122">
        <v>4.53</v>
      </c>
      <c r="F627" s="122">
        <v>24.67</v>
      </c>
    </row>
    <row r="628" spans="2:6" x14ac:dyDescent="0.2">
      <c r="B628" s="120" t="s">
        <v>1296</v>
      </c>
      <c r="C628" s="121" t="s">
        <v>1297</v>
      </c>
      <c r="D628" s="122">
        <v>1.93</v>
      </c>
      <c r="E628" s="122">
        <v>1.47</v>
      </c>
      <c r="F628" s="122">
        <v>8.16</v>
      </c>
    </row>
    <row r="629" spans="2:6" x14ac:dyDescent="0.2">
      <c r="B629" s="120" t="s">
        <v>1298</v>
      </c>
      <c r="C629" s="121" t="s">
        <v>1299</v>
      </c>
      <c r="D629" s="122">
        <v>1.63</v>
      </c>
      <c r="E629" s="122">
        <v>0.77</v>
      </c>
      <c r="F629" s="122">
        <v>7.73</v>
      </c>
    </row>
    <row r="630" spans="2:6" x14ac:dyDescent="0.2">
      <c r="B630" s="120" t="s">
        <v>4065</v>
      </c>
      <c r="C630" s="121" t="s">
        <v>4066</v>
      </c>
      <c r="D630" s="122"/>
      <c r="E630" s="122">
        <v>1.89</v>
      </c>
      <c r="F630" s="122"/>
    </row>
    <row r="631" spans="2:6" x14ac:dyDescent="0.2">
      <c r="B631" s="120" t="s">
        <v>4067</v>
      </c>
      <c r="C631" s="121" t="s">
        <v>4068</v>
      </c>
      <c r="D631" s="122"/>
      <c r="E631" s="122">
        <v>0.8</v>
      </c>
      <c r="F631" s="122"/>
    </row>
    <row r="632" spans="2:6" x14ac:dyDescent="0.2">
      <c r="B632" s="120" t="s">
        <v>1300</v>
      </c>
      <c r="C632" s="121" t="s">
        <v>1301</v>
      </c>
      <c r="D632" s="122">
        <v>0.72</v>
      </c>
      <c r="E632" s="122">
        <v>1.1000000000000001</v>
      </c>
      <c r="F632" s="122">
        <v>14.78</v>
      </c>
    </row>
    <row r="633" spans="2:6" x14ac:dyDescent="0.2">
      <c r="B633" s="120" t="s">
        <v>4069</v>
      </c>
      <c r="C633" s="121" t="s">
        <v>4070</v>
      </c>
      <c r="D633" s="122">
        <v>1.07</v>
      </c>
      <c r="E633" s="122">
        <v>0.75</v>
      </c>
      <c r="F633" s="122">
        <v>12.15</v>
      </c>
    </row>
    <row r="634" spans="2:6" x14ac:dyDescent="0.2">
      <c r="B634" s="120" t="s">
        <v>4071</v>
      </c>
      <c r="C634" s="121" t="s">
        <v>4072</v>
      </c>
      <c r="D634" s="122">
        <v>0.81</v>
      </c>
      <c r="E634" s="122">
        <v>1.3</v>
      </c>
      <c r="F634" s="122">
        <v>10.11</v>
      </c>
    </row>
    <row r="635" spans="2:6" x14ac:dyDescent="0.2">
      <c r="B635" s="120" t="s">
        <v>1302</v>
      </c>
      <c r="C635" s="121" t="s">
        <v>1303</v>
      </c>
      <c r="D635" s="122">
        <v>0.54</v>
      </c>
      <c r="E635" s="122">
        <v>0.83</v>
      </c>
      <c r="F635" s="122">
        <v>-0.16</v>
      </c>
    </row>
    <row r="636" spans="2:6" x14ac:dyDescent="0.2">
      <c r="B636" s="120" t="s">
        <v>1304</v>
      </c>
      <c r="C636" s="121" t="s">
        <v>1305</v>
      </c>
      <c r="D636" s="122">
        <v>8.2799999999999994</v>
      </c>
      <c r="E636" s="122">
        <v>28.57</v>
      </c>
      <c r="F636" s="122">
        <v>31.17</v>
      </c>
    </row>
    <row r="637" spans="2:6" x14ac:dyDescent="0.2">
      <c r="B637" s="120" t="s">
        <v>1306</v>
      </c>
      <c r="C637" s="121" t="s">
        <v>1307</v>
      </c>
      <c r="D637" s="122">
        <v>4.09</v>
      </c>
      <c r="E637" s="122">
        <v>5.83</v>
      </c>
      <c r="F637" s="122">
        <v>24.13</v>
      </c>
    </row>
    <row r="638" spans="2:6" x14ac:dyDescent="0.2">
      <c r="B638" s="120" t="s">
        <v>4073</v>
      </c>
      <c r="C638" s="121" t="s">
        <v>4074</v>
      </c>
      <c r="D638" s="122"/>
      <c r="E638" s="122"/>
      <c r="F638" s="122"/>
    </row>
    <row r="639" spans="2:6" x14ac:dyDescent="0.2">
      <c r="B639" s="120" t="s">
        <v>1308</v>
      </c>
      <c r="C639" s="121" t="s">
        <v>1309</v>
      </c>
      <c r="D639" s="122">
        <v>3.75</v>
      </c>
      <c r="E639" s="122">
        <v>3.43</v>
      </c>
      <c r="F639" s="122">
        <v>9.15</v>
      </c>
    </row>
    <row r="640" spans="2:6" x14ac:dyDescent="0.2">
      <c r="B640" s="120" t="s">
        <v>4075</v>
      </c>
      <c r="C640" s="121" t="s">
        <v>4076</v>
      </c>
      <c r="D640" s="122">
        <v>1.71</v>
      </c>
      <c r="E640" s="122">
        <v>1.39</v>
      </c>
      <c r="F640" s="122">
        <v>38.36</v>
      </c>
    </row>
    <row r="641" spans="2:6" x14ac:dyDescent="0.2">
      <c r="B641" s="120" t="s">
        <v>1310</v>
      </c>
      <c r="C641" s="121" t="s">
        <v>1311</v>
      </c>
      <c r="D641" s="122">
        <v>2.6</v>
      </c>
      <c r="E641" s="122">
        <v>2.2799999999999998</v>
      </c>
      <c r="F641" s="122">
        <v>16.25</v>
      </c>
    </row>
    <row r="642" spans="2:6" x14ac:dyDescent="0.2">
      <c r="B642" s="120" t="s">
        <v>1312</v>
      </c>
      <c r="C642" s="121" t="s">
        <v>1313</v>
      </c>
      <c r="D642" s="122">
        <v>0.66</v>
      </c>
      <c r="E642" s="122">
        <v>2.87</v>
      </c>
      <c r="F642" s="122">
        <v>13.05</v>
      </c>
    </row>
    <row r="643" spans="2:6" x14ac:dyDescent="0.2">
      <c r="B643" s="120" t="s">
        <v>1314</v>
      </c>
      <c r="C643" s="121" t="s">
        <v>1315</v>
      </c>
      <c r="D643" s="122">
        <v>4.9800000000000004</v>
      </c>
      <c r="E643" s="122">
        <v>7.14</v>
      </c>
      <c r="F643" s="122">
        <v>18.899999999999999</v>
      </c>
    </row>
    <row r="644" spans="2:6" x14ac:dyDescent="0.2">
      <c r="B644" s="120" t="s">
        <v>1316</v>
      </c>
      <c r="C644" s="121" t="s">
        <v>1317</v>
      </c>
      <c r="D644" s="122">
        <v>1.79</v>
      </c>
      <c r="E644" s="122">
        <v>2.5499999999999998</v>
      </c>
      <c r="F644" s="122">
        <v>20.02</v>
      </c>
    </row>
    <row r="645" spans="2:6" x14ac:dyDescent="0.2">
      <c r="B645" s="120" t="s">
        <v>1318</v>
      </c>
      <c r="C645" s="121" t="s">
        <v>1319</v>
      </c>
      <c r="D645" s="122">
        <v>8.9</v>
      </c>
      <c r="E645" s="122">
        <v>1.93</v>
      </c>
      <c r="F645" s="122">
        <v>9.81</v>
      </c>
    </row>
    <row r="646" spans="2:6" x14ac:dyDescent="0.2">
      <c r="B646" s="120" t="s">
        <v>1320</v>
      </c>
      <c r="C646" s="121" t="s">
        <v>1321</v>
      </c>
      <c r="D646" s="122">
        <v>24.71</v>
      </c>
      <c r="E646" s="122">
        <v>1.1599999999999999</v>
      </c>
      <c r="F646" s="122">
        <v>15.53</v>
      </c>
    </row>
    <row r="647" spans="2:6" x14ac:dyDescent="0.2">
      <c r="B647" s="120" t="s">
        <v>1322</v>
      </c>
      <c r="C647" s="121" t="s">
        <v>1323</v>
      </c>
      <c r="D647" s="122">
        <v>1</v>
      </c>
      <c r="E647" s="122"/>
      <c r="F647" s="122"/>
    </row>
    <row r="648" spans="2:6" x14ac:dyDescent="0.2">
      <c r="B648" s="120" t="s">
        <v>1324</v>
      </c>
      <c r="C648" s="121" t="s">
        <v>1325</v>
      </c>
      <c r="D648" s="122">
        <v>8.57</v>
      </c>
      <c r="E648" s="122">
        <v>5.24</v>
      </c>
      <c r="F648" s="122">
        <v>6.29</v>
      </c>
    </row>
    <row r="649" spans="2:6" x14ac:dyDescent="0.2">
      <c r="B649" s="120" t="s">
        <v>1326</v>
      </c>
      <c r="C649" s="121" t="s">
        <v>1327</v>
      </c>
      <c r="D649" s="122">
        <v>4.3600000000000003</v>
      </c>
      <c r="E649" s="122">
        <v>1.29</v>
      </c>
      <c r="F649" s="122">
        <v>16.66</v>
      </c>
    </row>
    <row r="650" spans="2:6" x14ac:dyDescent="0.2">
      <c r="B650" s="120" t="s">
        <v>1328</v>
      </c>
      <c r="C650" s="121" t="s">
        <v>1329</v>
      </c>
      <c r="D650" s="122">
        <v>0.88</v>
      </c>
      <c r="E650" s="122">
        <v>1.47</v>
      </c>
      <c r="F650" s="122">
        <v>14.13</v>
      </c>
    </row>
    <row r="651" spans="2:6" x14ac:dyDescent="0.2">
      <c r="B651" s="120" t="s">
        <v>1330</v>
      </c>
      <c r="C651" s="121" t="s">
        <v>1331</v>
      </c>
      <c r="D651" s="122">
        <v>11.98</v>
      </c>
      <c r="E651" s="122">
        <v>3.05</v>
      </c>
      <c r="F651" s="122">
        <v>7.21</v>
      </c>
    </row>
    <row r="652" spans="2:6" x14ac:dyDescent="0.2">
      <c r="B652" s="120" t="s">
        <v>4077</v>
      </c>
      <c r="C652" s="121" t="s">
        <v>4078</v>
      </c>
      <c r="D652" s="122"/>
      <c r="E652" s="122">
        <v>2.68</v>
      </c>
      <c r="F652" s="122"/>
    </row>
    <row r="653" spans="2:6" x14ac:dyDescent="0.2">
      <c r="B653" s="120" t="s">
        <v>1334</v>
      </c>
      <c r="C653" s="121" t="s">
        <v>1335</v>
      </c>
      <c r="D653" s="122">
        <v>1.38</v>
      </c>
      <c r="E653" s="122">
        <v>3.08</v>
      </c>
      <c r="F653" s="122">
        <v>9.4700000000000006</v>
      </c>
    </row>
    <row r="654" spans="2:6" x14ac:dyDescent="0.2">
      <c r="B654" s="120" t="s">
        <v>1336</v>
      </c>
      <c r="C654" s="121" t="s">
        <v>1337</v>
      </c>
      <c r="D654" s="122">
        <v>1.1100000000000001</v>
      </c>
      <c r="E654" s="122">
        <v>3.06</v>
      </c>
      <c r="F654" s="122">
        <v>6.37</v>
      </c>
    </row>
    <row r="655" spans="2:6" x14ac:dyDescent="0.2">
      <c r="B655" s="120" t="s">
        <v>4079</v>
      </c>
      <c r="C655" s="121" t="s">
        <v>4080</v>
      </c>
      <c r="D655" s="122">
        <v>3.62</v>
      </c>
      <c r="E655" s="122">
        <v>8.26</v>
      </c>
      <c r="F655" s="122">
        <v>30.8</v>
      </c>
    </row>
    <row r="656" spans="2:6" x14ac:dyDescent="0.2">
      <c r="B656" s="120" t="s">
        <v>1338</v>
      </c>
      <c r="C656" s="121" t="s">
        <v>1339</v>
      </c>
      <c r="D656" s="122">
        <v>0.68</v>
      </c>
      <c r="E656" s="122">
        <v>0.88</v>
      </c>
      <c r="F656" s="122">
        <v>-2.84</v>
      </c>
    </row>
    <row r="657" spans="2:6" x14ac:dyDescent="0.2">
      <c r="B657" s="120" t="s">
        <v>1340</v>
      </c>
      <c r="C657" s="121" t="s">
        <v>1341</v>
      </c>
      <c r="D657" s="122">
        <v>3.13</v>
      </c>
      <c r="E657" s="122">
        <v>2.21</v>
      </c>
      <c r="F657" s="122">
        <v>9.24</v>
      </c>
    </row>
    <row r="658" spans="2:6" x14ac:dyDescent="0.2">
      <c r="B658" s="120" t="s">
        <v>1342</v>
      </c>
      <c r="C658" s="121" t="s">
        <v>1343</v>
      </c>
      <c r="D658" s="122">
        <v>2.54</v>
      </c>
      <c r="E658" s="122">
        <v>2.5099999999999998</v>
      </c>
      <c r="F658" s="122">
        <v>10.23</v>
      </c>
    </row>
    <row r="659" spans="2:6" x14ac:dyDescent="0.2">
      <c r="B659" s="120" t="s">
        <v>4081</v>
      </c>
      <c r="C659" s="121" t="s">
        <v>4082</v>
      </c>
      <c r="D659" s="122">
        <v>2.0499999999999998</v>
      </c>
      <c r="E659" s="122">
        <v>1.02</v>
      </c>
      <c r="F659" s="122">
        <v>4.49</v>
      </c>
    </row>
    <row r="660" spans="2:6" x14ac:dyDescent="0.2">
      <c r="B660" s="120" t="s">
        <v>4083</v>
      </c>
      <c r="C660" s="121" t="s">
        <v>4084</v>
      </c>
      <c r="D660" s="122"/>
      <c r="E660" s="122">
        <v>0.81</v>
      </c>
      <c r="F660" s="122"/>
    </row>
    <row r="661" spans="2:6" x14ac:dyDescent="0.2">
      <c r="B661" s="120" t="s">
        <v>4085</v>
      </c>
      <c r="C661" s="121" t="s">
        <v>4086</v>
      </c>
      <c r="D661" s="122">
        <v>1.69</v>
      </c>
      <c r="E661" s="122">
        <v>3.23</v>
      </c>
      <c r="F661" s="122">
        <v>14.52</v>
      </c>
    </row>
    <row r="662" spans="2:6" x14ac:dyDescent="0.2">
      <c r="B662" s="120" t="s">
        <v>1344</v>
      </c>
      <c r="C662" s="121" t="s">
        <v>1345</v>
      </c>
      <c r="D662" s="122">
        <v>6.39</v>
      </c>
      <c r="E662" s="122">
        <v>1.87</v>
      </c>
      <c r="F662" s="122">
        <v>21.05</v>
      </c>
    </row>
    <row r="663" spans="2:6" x14ac:dyDescent="0.2">
      <c r="B663" s="120" t="s">
        <v>1346</v>
      </c>
      <c r="C663" s="121" t="s">
        <v>1347</v>
      </c>
      <c r="D663" s="122">
        <v>14.92</v>
      </c>
      <c r="E663" s="122">
        <v>3.34</v>
      </c>
      <c r="F663" s="122">
        <v>6.43</v>
      </c>
    </row>
    <row r="664" spans="2:6" x14ac:dyDescent="0.2">
      <c r="B664" s="120" t="s">
        <v>1348</v>
      </c>
      <c r="C664" s="121" t="s">
        <v>1349</v>
      </c>
      <c r="D664" s="122">
        <v>23.68</v>
      </c>
      <c r="E664" s="122">
        <v>28.3</v>
      </c>
      <c r="F664" s="122">
        <v>-44.92</v>
      </c>
    </row>
    <row r="665" spans="2:6" x14ac:dyDescent="0.2">
      <c r="B665" s="120" t="s">
        <v>1350</v>
      </c>
      <c r="C665" s="121" t="s">
        <v>1351</v>
      </c>
      <c r="D665" s="122">
        <v>0.65</v>
      </c>
      <c r="E665" s="122">
        <v>1.1200000000000001</v>
      </c>
      <c r="F665" s="122">
        <v>9.1</v>
      </c>
    </row>
    <row r="666" spans="2:6" x14ac:dyDescent="0.2">
      <c r="B666" s="120" t="s">
        <v>1352</v>
      </c>
      <c r="C666" s="121" t="s">
        <v>1353</v>
      </c>
      <c r="D666" s="122">
        <v>3.8</v>
      </c>
      <c r="E666" s="122">
        <v>1.78</v>
      </c>
      <c r="F666" s="122">
        <v>18.440000000000001</v>
      </c>
    </row>
    <row r="667" spans="2:6" x14ac:dyDescent="0.2">
      <c r="B667" s="120" t="s">
        <v>1354</v>
      </c>
      <c r="C667" s="121" t="s">
        <v>1355</v>
      </c>
      <c r="D667" s="122">
        <v>1.62</v>
      </c>
      <c r="E667" s="122">
        <v>2.15</v>
      </c>
      <c r="F667" s="122">
        <v>14.88</v>
      </c>
    </row>
    <row r="668" spans="2:6" x14ac:dyDescent="0.2">
      <c r="B668" s="120" t="s">
        <v>1356</v>
      </c>
      <c r="C668" s="121" t="s">
        <v>1357</v>
      </c>
      <c r="D668" s="122">
        <v>2.1</v>
      </c>
      <c r="E668" s="122">
        <v>2.23</v>
      </c>
      <c r="F668" s="122">
        <v>13.75</v>
      </c>
    </row>
    <row r="669" spans="2:6" x14ac:dyDescent="0.2">
      <c r="B669" s="120" t="s">
        <v>1358</v>
      </c>
      <c r="C669" s="121" t="s">
        <v>1359</v>
      </c>
      <c r="D669" s="122">
        <v>2.25</v>
      </c>
      <c r="E669" s="122">
        <v>0.56000000000000005</v>
      </c>
      <c r="F669" s="122">
        <v>10.1</v>
      </c>
    </row>
    <row r="670" spans="2:6" x14ac:dyDescent="0.2">
      <c r="B670" s="120" t="s">
        <v>1360</v>
      </c>
      <c r="C670" s="121" t="s">
        <v>1361</v>
      </c>
      <c r="D670" s="122">
        <v>10.38</v>
      </c>
      <c r="E670" s="122">
        <v>16.45</v>
      </c>
      <c r="F670" s="122">
        <v>26.77</v>
      </c>
    </row>
    <row r="671" spans="2:6" x14ac:dyDescent="0.2">
      <c r="B671" s="120" t="s">
        <v>1362</v>
      </c>
      <c r="C671" s="121" t="s">
        <v>1363</v>
      </c>
      <c r="D671" s="122"/>
      <c r="E671" s="122"/>
      <c r="F671" s="122"/>
    </row>
    <row r="672" spans="2:6" x14ac:dyDescent="0.2">
      <c r="B672" s="120" t="s">
        <v>1364</v>
      </c>
      <c r="C672" s="121" t="s">
        <v>11</v>
      </c>
      <c r="D672" s="122">
        <v>3.02</v>
      </c>
      <c r="E672" s="122">
        <v>4.5</v>
      </c>
      <c r="F672" s="122">
        <v>35.450000000000003</v>
      </c>
    </row>
    <row r="673" spans="2:6" x14ac:dyDescent="0.2">
      <c r="B673" s="120" t="s">
        <v>1365</v>
      </c>
      <c r="C673" s="121" t="s">
        <v>1366</v>
      </c>
      <c r="D673" s="122">
        <v>1.6</v>
      </c>
      <c r="E673" s="122">
        <v>3.46</v>
      </c>
      <c r="F673" s="122">
        <v>45.23</v>
      </c>
    </row>
    <row r="674" spans="2:6" x14ac:dyDescent="0.2">
      <c r="B674" s="120" t="s">
        <v>1367</v>
      </c>
      <c r="C674" s="121" t="s">
        <v>1368</v>
      </c>
      <c r="D674" s="122">
        <v>2.98</v>
      </c>
      <c r="E674" s="122">
        <v>1.82</v>
      </c>
      <c r="F674" s="122">
        <v>6.44</v>
      </c>
    </row>
    <row r="675" spans="2:6" x14ac:dyDescent="0.2">
      <c r="B675" s="120" t="s">
        <v>4087</v>
      </c>
      <c r="C675" s="121" t="s">
        <v>4088</v>
      </c>
      <c r="D675" s="122"/>
      <c r="E675" s="122"/>
      <c r="F675" s="122"/>
    </row>
    <row r="676" spans="2:6" x14ac:dyDescent="0.2">
      <c r="B676" s="120" t="s">
        <v>1369</v>
      </c>
      <c r="C676" s="121" t="s">
        <v>1370</v>
      </c>
      <c r="D676" s="122">
        <v>7.29</v>
      </c>
      <c r="E676" s="122">
        <v>6.68</v>
      </c>
      <c r="F676" s="122">
        <v>15.24</v>
      </c>
    </row>
    <row r="677" spans="2:6" x14ac:dyDescent="0.2">
      <c r="B677" s="120" t="s">
        <v>1371</v>
      </c>
      <c r="C677" s="121" t="s">
        <v>1372</v>
      </c>
      <c r="D677" s="122">
        <v>11.52</v>
      </c>
      <c r="E677" s="122">
        <v>13.05</v>
      </c>
      <c r="F677" s="122">
        <v>31.25</v>
      </c>
    </row>
    <row r="678" spans="2:6" x14ac:dyDescent="0.2">
      <c r="B678" s="120" t="s">
        <v>1373</v>
      </c>
      <c r="C678" s="121" t="s">
        <v>1374</v>
      </c>
      <c r="D678" s="122">
        <v>3.3</v>
      </c>
      <c r="E678" s="122">
        <v>1.39</v>
      </c>
      <c r="F678" s="122">
        <v>15.42</v>
      </c>
    </row>
    <row r="679" spans="2:6" x14ac:dyDescent="0.2">
      <c r="B679" s="120" t="s">
        <v>4089</v>
      </c>
      <c r="C679" s="121" t="s">
        <v>4090</v>
      </c>
      <c r="D679" s="122"/>
      <c r="E679" s="122"/>
      <c r="F679" s="122"/>
    </row>
    <row r="680" spans="2:6" x14ac:dyDescent="0.2">
      <c r="B680" s="120" t="s">
        <v>4091</v>
      </c>
      <c r="C680" s="121" t="s">
        <v>4092</v>
      </c>
      <c r="D680" s="122"/>
      <c r="E680" s="122"/>
      <c r="F680" s="122"/>
    </row>
    <row r="681" spans="2:6" x14ac:dyDescent="0.2">
      <c r="B681" s="120" t="s">
        <v>4093</v>
      </c>
      <c r="C681" s="121" t="s">
        <v>4094</v>
      </c>
      <c r="D681" s="122"/>
      <c r="E681" s="122"/>
      <c r="F681" s="122"/>
    </row>
    <row r="682" spans="2:6" x14ac:dyDescent="0.2">
      <c r="B682" s="120" t="s">
        <v>1375</v>
      </c>
      <c r="C682" s="121" t="s">
        <v>1376</v>
      </c>
      <c r="D682" s="122">
        <v>21.6</v>
      </c>
      <c r="E682" s="122">
        <v>17.59</v>
      </c>
      <c r="F682" s="122">
        <v>-28.9</v>
      </c>
    </row>
    <row r="683" spans="2:6" x14ac:dyDescent="0.2">
      <c r="B683" s="120" t="s">
        <v>1377</v>
      </c>
      <c r="C683" s="121" t="s">
        <v>1378</v>
      </c>
      <c r="D683" s="122">
        <v>1.33</v>
      </c>
      <c r="E683" s="122">
        <v>1.39</v>
      </c>
      <c r="F683" s="122">
        <v>8.4700000000000006</v>
      </c>
    </row>
    <row r="684" spans="2:6" x14ac:dyDescent="0.2">
      <c r="B684" s="120" t="s">
        <v>1379</v>
      </c>
      <c r="C684" s="121" t="s">
        <v>1380</v>
      </c>
      <c r="D684" s="122">
        <v>6.51</v>
      </c>
      <c r="E684" s="122">
        <v>3.98</v>
      </c>
      <c r="F684" s="122">
        <v>31.31</v>
      </c>
    </row>
    <row r="685" spans="2:6" x14ac:dyDescent="0.2">
      <c r="B685" s="120" t="s">
        <v>1381</v>
      </c>
      <c r="C685" s="121" t="s">
        <v>1382</v>
      </c>
      <c r="D685" s="122">
        <v>2.78</v>
      </c>
      <c r="E685" s="122">
        <v>3.61</v>
      </c>
      <c r="F685" s="122">
        <v>17.21</v>
      </c>
    </row>
    <row r="686" spans="2:6" x14ac:dyDescent="0.2">
      <c r="B686" s="120" t="s">
        <v>1383</v>
      </c>
      <c r="C686" s="121" t="s">
        <v>1384</v>
      </c>
      <c r="D686" s="122">
        <v>1.51</v>
      </c>
      <c r="E686" s="122">
        <v>6.2</v>
      </c>
      <c r="F686" s="122">
        <v>31.26</v>
      </c>
    </row>
    <row r="687" spans="2:6" x14ac:dyDescent="0.2">
      <c r="B687" s="120" t="s">
        <v>1385</v>
      </c>
      <c r="C687" s="121" t="s">
        <v>1386</v>
      </c>
      <c r="D687" s="122">
        <v>1.73</v>
      </c>
      <c r="E687" s="122">
        <v>3.4</v>
      </c>
      <c r="F687" s="122">
        <v>14.2</v>
      </c>
    </row>
    <row r="688" spans="2:6" x14ac:dyDescent="0.2">
      <c r="B688" s="120" t="s">
        <v>1387</v>
      </c>
      <c r="C688" s="121" t="s">
        <v>1388</v>
      </c>
      <c r="D688" s="122"/>
      <c r="E688" s="122">
        <v>11.57</v>
      </c>
      <c r="F688" s="122"/>
    </row>
    <row r="689" spans="2:6" x14ac:dyDescent="0.2">
      <c r="B689" s="120" t="s">
        <v>1389</v>
      </c>
      <c r="C689" s="121" t="s">
        <v>1390</v>
      </c>
      <c r="D689" s="122">
        <v>9.34</v>
      </c>
      <c r="E689" s="122">
        <v>10.68</v>
      </c>
      <c r="F689" s="122">
        <v>23.44</v>
      </c>
    </row>
    <row r="690" spans="2:6" x14ac:dyDescent="0.2">
      <c r="B690" s="120" t="s">
        <v>1391</v>
      </c>
      <c r="C690" s="121" t="s">
        <v>1392</v>
      </c>
      <c r="D690" s="122">
        <v>11.93</v>
      </c>
      <c r="E690" s="122">
        <v>5.23</v>
      </c>
      <c r="F690" s="122">
        <v>16.71</v>
      </c>
    </row>
    <row r="691" spans="2:6" x14ac:dyDescent="0.2">
      <c r="B691" s="120" t="s">
        <v>4095</v>
      </c>
      <c r="C691" s="121" t="s">
        <v>4096</v>
      </c>
      <c r="D691" s="122"/>
      <c r="E691" s="122">
        <v>1.05</v>
      </c>
      <c r="F691" s="122"/>
    </row>
    <row r="692" spans="2:6" x14ac:dyDescent="0.2">
      <c r="B692" s="120" t="s">
        <v>4097</v>
      </c>
      <c r="C692" s="121" t="s">
        <v>4098</v>
      </c>
      <c r="D692" s="122"/>
      <c r="E692" s="122"/>
      <c r="F692" s="122"/>
    </row>
    <row r="693" spans="2:6" x14ac:dyDescent="0.2">
      <c r="B693" s="120" t="s">
        <v>1393</v>
      </c>
      <c r="C693" s="121" t="s">
        <v>1394</v>
      </c>
      <c r="D693" s="122">
        <v>0.23</v>
      </c>
      <c r="E693" s="122">
        <v>1.01</v>
      </c>
      <c r="F693" s="122">
        <v>14.92</v>
      </c>
    </row>
    <row r="694" spans="2:6" x14ac:dyDescent="0.2">
      <c r="B694" s="120" t="s">
        <v>1395</v>
      </c>
      <c r="C694" s="121" t="s">
        <v>1396</v>
      </c>
      <c r="D694" s="122">
        <v>1.1399999999999999</v>
      </c>
      <c r="E694" s="122">
        <v>1.61</v>
      </c>
      <c r="F694" s="122">
        <v>14.77</v>
      </c>
    </row>
    <row r="695" spans="2:6" x14ac:dyDescent="0.2">
      <c r="B695" s="120" t="s">
        <v>1397</v>
      </c>
      <c r="C695" s="121" t="s">
        <v>1398</v>
      </c>
      <c r="D695" s="122">
        <v>5.17</v>
      </c>
      <c r="E695" s="122">
        <v>1.03</v>
      </c>
      <c r="F695" s="122">
        <v>6.5</v>
      </c>
    </row>
    <row r="696" spans="2:6" x14ac:dyDescent="0.2">
      <c r="B696" s="120" t="s">
        <v>1399</v>
      </c>
      <c r="C696" s="121" t="s">
        <v>1400</v>
      </c>
      <c r="D696" s="122">
        <v>6.23</v>
      </c>
      <c r="E696" s="122">
        <v>2.75</v>
      </c>
      <c r="F696" s="122">
        <v>8.9</v>
      </c>
    </row>
    <row r="697" spans="2:6" x14ac:dyDescent="0.2">
      <c r="B697" s="120" t="s">
        <v>1401</v>
      </c>
      <c r="C697" s="121" t="s">
        <v>1402</v>
      </c>
      <c r="D697" s="122">
        <v>3.52</v>
      </c>
      <c r="E697" s="122">
        <v>7.3</v>
      </c>
      <c r="F697" s="122">
        <v>32.270000000000003</v>
      </c>
    </row>
    <row r="698" spans="2:6" x14ac:dyDescent="0.2">
      <c r="B698" s="120" t="s">
        <v>1403</v>
      </c>
      <c r="C698" s="121" t="s">
        <v>1404</v>
      </c>
      <c r="D698" s="122">
        <v>8.66</v>
      </c>
      <c r="E698" s="122">
        <v>6.11</v>
      </c>
      <c r="F698" s="122">
        <v>20.09</v>
      </c>
    </row>
    <row r="699" spans="2:6" x14ac:dyDescent="0.2">
      <c r="B699" s="120" t="s">
        <v>1405</v>
      </c>
      <c r="C699" s="121" t="s">
        <v>1406</v>
      </c>
      <c r="D699" s="122">
        <v>1.31</v>
      </c>
      <c r="E699" s="122">
        <v>3.15</v>
      </c>
      <c r="F699" s="122">
        <v>21.81</v>
      </c>
    </row>
    <row r="700" spans="2:6" x14ac:dyDescent="0.2">
      <c r="B700" s="120" t="s">
        <v>1407</v>
      </c>
      <c r="C700" s="121" t="s">
        <v>1408</v>
      </c>
      <c r="D700" s="122">
        <v>0.21</v>
      </c>
      <c r="E700" s="122">
        <v>0.86</v>
      </c>
      <c r="F700" s="122">
        <v>17.07</v>
      </c>
    </row>
    <row r="701" spans="2:6" x14ac:dyDescent="0.2">
      <c r="B701" s="120" t="s">
        <v>1409</v>
      </c>
      <c r="C701" s="121" t="s">
        <v>1410</v>
      </c>
      <c r="D701" s="122">
        <v>2.2200000000000002</v>
      </c>
      <c r="E701" s="122">
        <v>3.05</v>
      </c>
      <c r="F701" s="122">
        <v>12.31</v>
      </c>
    </row>
    <row r="702" spans="2:6" x14ac:dyDescent="0.2">
      <c r="B702" s="120" t="s">
        <v>1411</v>
      </c>
      <c r="C702" s="121" t="s">
        <v>1412</v>
      </c>
      <c r="D702" s="122">
        <v>1.87</v>
      </c>
      <c r="E702" s="122">
        <v>2.87</v>
      </c>
      <c r="F702" s="122">
        <v>14.42</v>
      </c>
    </row>
    <row r="703" spans="2:6" x14ac:dyDescent="0.2">
      <c r="B703" s="120" t="s">
        <v>4099</v>
      </c>
      <c r="C703" s="121" t="s">
        <v>4100</v>
      </c>
      <c r="D703" s="122">
        <v>3.06</v>
      </c>
      <c r="E703" s="122">
        <v>1.48</v>
      </c>
      <c r="F703" s="122">
        <v>12.42</v>
      </c>
    </row>
    <row r="704" spans="2:6" x14ac:dyDescent="0.2">
      <c r="B704" s="120" t="s">
        <v>1413</v>
      </c>
      <c r="C704" s="121" t="s">
        <v>1414</v>
      </c>
      <c r="D704" s="122">
        <v>0.95</v>
      </c>
      <c r="E704" s="122">
        <v>0.85</v>
      </c>
      <c r="F704" s="122">
        <v>4.08</v>
      </c>
    </row>
    <row r="705" spans="2:6" x14ac:dyDescent="0.2">
      <c r="B705" s="120" t="s">
        <v>4101</v>
      </c>
      <c r="C705" s="121" t="s">
        <v>4102</v>
      </c>
      <c r="D705" s="122"/>
      <c r="E705" s="122"/>
      <c r="F705" s="122"/>
    </row>
    <row r="706" spans="2:6" x14ac:dyDescent="0.2">
      <c r="B706" s="120" t="s">
        <v>1415</v>
      </c>
      <c r="C706" s="121" t="s">
        <v>1416</v>
      </c>
      <c r="D706" s="122">
        <v>7.62</v>
      </c>
      <c r="E706" s="122">
        <v>16.5</v>
      </c>
      <c r="F706" s="122">
        <v>64.19</v>
      </c>
    </row>
    <row r="707" spans="2:6" x14ac:dyDescent="0.2">
      <c r="B707" s="120" t="s">
        <v>1417</v>
      </c>
      <c r="C707" s="121" t="s">
        <v>1418</v>
      </c>
      <c r="D707" s="122">
        <v>0.56000000000000005</v>
      </c>
      <c r="E707" s="122">
        <v>2.14</v>
      </c>
      <c r="F707" s="122">
        <v>21.15</v>
      </c>
    </row>
    <row r="708" spans="2:6" x14ac:dyDescent="0.2">
      <c r="B708" s="120" t="s">
        <v>1419</v>
      </c>
      <c r="C708" s="121" t="s">
        <v>1420</v>
      </c>
      <c r="D708" s="122">
        <v>2.29</v>
      </c>
      <c r="E708" s="122">
        <v>3.48</v>
      </c>
      <c r="F708" s="122">
        <v>20.29</v>
      </c>
    </row>
    <row r="709" spans="2:6" x14ac:dyDescent="0.2">
      <c r="B709" s="120" t="s">
        <v>1421</v>
      </c>
      <c r="C709" s="121" t="s">
        <v>1422</v>
      </c>
      <c r="D709" s="122"/>
      <c r="E709" s="122"/>
      <c r="F709" s="122"/>
    </row>
    <row r="710" spans="2:6" x14ac:dyDescent="0.2">
      <c r="B710" s="120" t="s">
        <v>1423</v>
      </c>
      <c r="C710" s="121" t="s">
        <v>1424</v>
      </c>
      <c r="D710" s="122">
        <v>3.52</v>
      </c>
      <c r="E710" s="122">
        <v>4.1500000000000004</v>
      </c>
      <c r="F710" s="122">
        <v>-19.559999999999999</v>
      </c>
    </row>
    <row r="711" spans="2:6" x14ac:dyDescent="0.2">
      <c r="B711" s="120" t="s">
        <v>1425</v>
      </c>
      <c r="C711" s="121" t="s">
        <v>1426</v>
      </c>
      <c r="D711" s="122">
        <v>10.98</v>
      </c>
      <c r="E711" s="122">
        <v>3.85</v>
      </c>
      <c r="F711" s="122">
        <v>14.82</v>
      </c>
    </row>
    <row r="712" spans="2:6" x14ac:dyDescent="0.2">
      <c r="B712" s="120" t="s">
        <v>1427</v>
      </c>
      <c r="C712" s="121" t="s">
        <v>1428</v>
      </c>
      <c r="D712" s="122">
        <v>3.72</v>
      </c>
      <c r="E712" s="122">
        <v>5.08</v>
      </c>
      <c r="F712" s="122">
        <v>36.33</v>
      </c>
    </row>
    <row r="713" spans="2:6" x14ac:dyDescent="0.2">
      <c r="B713" s="120" t="s">
        <v>1429</v>
      </c>
      <c r="C713" s="121" t="s">
        <v>1430</v>
      </c>
      <c r="D713" s="122">
        <v>9.84</v>
      </c>
      <c r="E713" s="122">
        <v>5.3</v>
      </c>
      <c r="F713" s="122">
        <v>9.01</v>
      </c>
    </row>
    <row r="714" spans="2:6" x14ac:dyDescent="0.2">
      <c r="B714" s="120" t="s">
        <v>1431</v>
      </c>
      <c r="C714" s="121" t="s">
        <v>1432</v>
      </c>
      <c r="D714" s="122">
        <v>4.3099999999999996</v>
      </c>
      <c r="E714" s="122">
        <v>1.38</v>
      </c>
      <c r="F714" s="122">
        <v>11.48</v>
      </c>
    </row>
    <row r="715" spans="2:6" x14ac:dyDescent="0.2">
      <c r="B715" s="120" t="s">
        <v>1433</v>
      </c>
      <c r="C715" s="121" t="s">
        <v>1434</v>
      </c>
      <c r="D715" s="122">
        <v>2.16</v>
      </c>
      <c r="E715" s="122">
        <v>1.06</v>
      </c>
      <c r="F715" s="122">
        <v>10.14</v>
      </c>
    </row>
    <row r="716" spans="2:6" x14ac:dyDescent="0.2">
      <c r="B716" s="120" t="s">
        <v>1435</v>
      </c>
      <c r="C716" s="121" t="s">
        <v>1436</v>
      </c>
      <c r="D716" s="122">
        <v>7.95</v>
      </c>
      <c r="E716" s="122">
        <v>33.630000000000003</v>
      </c>
      <c r="F716" s="122">
        <v>63.47</v>
      </c>
    </row>
    <row r="717" spans="2:6" x14ac:dyDescent="0.2">
      <c r="B717" s="120" t="s">
        <v>1437</v>
      </c>
      <c r="C717" s="121" t="s">
        <v>1438</v>
      </c>
      <c r="D717" s="122">
        <v>2.6</v>
      </c>
      <c r="E717" s="122">
        <v>3.54</v>
      </c>
      <c r="F717" s="122">
        <v>27.29</v>
      </c>
    </row>
    <row r="718" spans="2:6" x14ac:dyDescent="0.2">
      <c r="B718" s="120" t="s">
        <v>4103</v>
      </c>
      <c r="C718" s="121" t="s">
        <v>4104</v>
      </c>
      <c r="D718" s="122"/>
      <c r="E718" s="122">
        <v>1.3</v>
      </c>
      <c r="F718" s="122"/>
    </row>
    <row r="719" spans="2:6" x14ac:dyDescent="0.2">
      <c r="B719" s="120" t="s">
        <v>1439</v>
      </c>
      <c r="C719" s="121" t="s">
        <v>1440</v>
      </c>
      <c r="D719" s="122">
        <v>9.6</v>
      </c>
      <c r="E719" s="122">
        <v>4.2699999999999996</v>
      </c>
      <c r="F719" s="122">
        <v>20.66</v>
      </c>
    </row>
    <row r="720" spans="2:6" x14ac:dyDescent="0.2">
      <c r="B720" s="120" t="s">
        <v>1441</v>
      </c>
      <c r="C720" s="121" t="s">
        <v>1442</v>
      </c>
      <c r="D720" s="122">
        <v>6.84</v>
      </c>
      <c r="E720" s="122">
        <v>16.059999999999999</v>
      </c>
      <c r="F720" s="122">
        <v>53.08</v>
      </c>
    </row>
    <row r="721" spans="2:6" x14ac:dyDescent="0.2">
      <c r="B721" s="120" t="s">
        <v>1443</v>
      </c>
      <c r="C721" s="121" t="s">
        <v>1444</v>
      </c>
      <c r="D721" s="122">
        <v>2.34</v>
      </c>
      <c r="E721" s="122">
        <v>1.06</v>
      </c>
      <c r="F721" s="122">
        <v>11.51</v>
      </c>
    </row>
    <row r="722" spans="2:6" x14ac:dyDescent="0.2">
      <c r="B722" s="120" t="s">
        <v>1445</v>
      </c>
      <c r="C722" s="121" t="s">
        <v>1446</v>
      </c>
      <c r="D722" s="122">
        <v>4.1500000000000004</v>
      </c>
      <c r="E722" s="122">
        <v>10.81</v>
      </c>
      <c r="F722" s="122">
        <v>24.52</v>
      </c>
    </row>
    <row r="723" spans="2:6" x14ac:dyDescent="0.2">
      <c r="B723" s="120" t="s">
        <v>1447</v>
      </c>
      <c r="C723" s="121" t="s">
        <v>1448</v>
      </c>
      <c r="D723" s="122">
        <v>12.24</v>
      </c>
      <c r="E723" s="122">
        <v>21.28</v>
      </c>
      <c r="F723" s="122">
        <v>8.9</v>
      </c>
    </row>
    <row r="724" spans="2:6" x14ac:dyDescent="0.2">
      <c r="B724" s="120" t="s">
        <v>1449</v>
      </c>
      <c r="C724" s="121" t="s">
        <v>1450</v>
      </c>
      <c r="D724" s="122">
        <v>0.47</v>
      </c>
      <c r="E724" s="122">
        <v>1.46</v>
      </c>
      <c r="F724" s="122">
        <v>3.05</v>
      </c>
    </row>
    <row r="725" spans="2:6" x14ac:dyDescent="0.2">
      <c r="B725" s="120" t="s">
        <v>1451</v>
      </c>
      <c r="C725" s="121" t="s">
        <v>1452</v>
      </c>
      <c r="D725" s="122">
        <v>0.53</v>
      </c>
      <c r="E725" s="122">
        <v>1.7</v>
      </c>
      <c r="F725" s="122">
        <v>21.05</v>
      </c>
    </row>
    <row r="726" spans="2:6" x14ac:dyDescent="0.2">
      <c r="B726" s="120" t="s">
        <v>1453</v>
      </c>
      <c r="C726" s="121" t="s">
        <v>1454</v>
      </c>
      <c r="D726" s="122">
        <v>0.21</v>
      </c>
      <c r="E726" s="122">
        <v>1.8</v>
      </c>
      <c r="F726" s="122">
        <v>0.73</v>
      </c>
    </row>
    <row r="727" spans="2:6" x14ac:dyDescent="0.2">
      <c r="B727" s="120" t="s">
        <v>1455</v>
      </c>
      <c r="C727" s="121" t="s">
        <v>1456</v>
      </c>
      <c r="D727" s="122">
        <v>3.98</v>
      </c>
      <c r="E727" s="122">
        <v>3.77</v>
      </c>
      <c r="F727" s="122">
        <v>16.559999999999999</v>
      </c>
    </row>
    <row r="728" spans="2:6" x14ac:dyDescent="0.2">
      <c r="B728" s="120" t="s">
        <v>1457</v>
      </c>
      <c r="C728" s="121" t="s">
        <v>1458</v>
      </c>
      <c r="D728" s="122">
        <v>1.2</v>
      </c>
      <c r="E728" s="122">
        <v>3.73</v>
      </c>
      <c r="F728" s="122">
        <v>15.95</v>
      </c>
    </row>
    <row r="729" spans="2:6" x14ac:dyDescent="0.2">
      <c r="B729" s="120" t="s">
        <v>1459</v>
      </c>
      <c r="C729" s="121" t="s">
        <v>1460</v>
      </c>
      <c r="D729" s="122">
        <v>1.63</v>
      </c>
      <c r="E729" s="122">
        <v>3.55</v>
      </c>
      <c r="F729" s="122">
        <v>15.75</v>
      </c>
    </row>
    <row r="730" spans="2:6" x14ac:dyDescent="0.2">
      <c r="B730" s="120" t="s">
        <v>1461</v>
      </c>
      <c r="C730" s="121" t="s">
        <v>1462</v>
      </c>
      <c r="D730" s="122">
        <v>9.8800000000000008</v>
      </c>
      <c r="E730" s="122">
        <v>6.51</v>
      </c>
      <c r="F730" s="122">
        <v>26.37</v>
      </c>
    </row>
    <row r="731" spans="2:6" x14ac:dyDescent="0.2">
      <c r="B731" s="120" t="s">
        <v>1463</v>
      </c>
      <c r="C731" s="121" t="s">
        <v>1464</v>
      </c>
      <c r="D731" s="122">
        <v>2.52</v>
      </c>
      <c r="E731" s="122">
        <v>4.2</v>
      </c>
      <c r="F731" s="122">
        <v>27.33</v>
      </c>
    </row>
    <row r="732" spans="2:6" x14ac:dyDescent="0.2">
      <c r="B732" s="120" t="s">
        <v>1465</v>
      </c>
      <c r="C732" s="121" t="s">
        <v>1466</v>
      </c>
      <c r="D732" s="122">
        <v>1.0900000000000001</v>
      </c>
      <c r="E732" s="122">
        <v>1.45</v>
      </c>
      <c r="F732" s="122">
        <v>10.18</v>
      </c>
    </row>
    <row r="733" spans="2:6" x14ac:dyDescent="0.2">
      <c r="B733" s="120" t="s">
        <v>1467</v>
      </c>
      <c r="C733" s="121" t="s">
        <v>1468</v>
      </c>
      <c r="D733" s="122">
        <v>1.34</v>
      </c>
      <c r="E733" s="122">
        <v>1.96</v>
      </c>
      <c r="F733" s="122">
        <v>6.88</v>
      </c>
    </row>
    <row r="734" spans="2:6" x14ac:dyDescent="0.2">
      <c r="B734" s="120" t="s">
        <v>1469</v>
      </c>
      <c r="C734" s="121" t="s">
        <v>1470</v>
      </c>
      <c r="D734" s="122">
        <v>2.44</v>
      </c>
      <c r="E734" s="122">
        <v>0.79</v>
      </c>
      <c r="F734" s="122">
        <v>8.5500000000000007</v>
      </c>
    </row>
    <row r="735" spans="2:6" x14ac:dyDescent="0.2">
      <c r="B735" s="120" t="s">
        <v>1471</v>
      </c>
      <c r="C735" s="121" t="s">
        <v>1472</v>
      </c>
      <c r="D735" s="122">
        <v>2.61</v>
      </c>
      <c r="E735" s="122">
        <v>7.24</v>
      </c>
      <c r="F735" s="122">
        <v>18.32</v>
      </c>
    </row>
    <row r="736" spans="2:6" x14ac:dyDescent="0.2">
      <c r="B736" s="120" t="s">
        <v>1473</v>
      </c>
      <c r="C736" s="121" t="s">
        <v>1474</v>
      </c>
      <c r="D736" s="122">
        <v>1.56</v>
      </c>
      <c r="E736" s="122">
        <v>2.4</v>
      </c>
      <c r="F736" s="122">
        <v>16.100000000000001</v>
      </c>
    </row>
    <row r="737" spans="2:6" x14ac:dyDescent="0.2">
      <c r="B737" s="120" t="s">
        <v>1475</v>
      </c>
      <c r="C737" s="121" t="s">
        <v>1476</v>
      </c>
      <c r="D737" s="122"/>
      <c r="E737" s="122"/>
      <c r="F737" s="122"/>
    </row>
    <row r="738" spans="2:6" x14ac:dyDescent="0.2">
      <c r="B738" s="120" t="s">
        <v>4105</v>
      </c>
      <c r="C738" s="121" t="s">
        <v>4106</v>
      </c>
      <c r="D738" s="122">
        <v>0.04</v>
      </c>
      <c r="E738" s="122"/>
      <c r="F738" s="122">
        <v>-9.7799999999999994</v>
      </c>
    </row>
    <row r="739" spans="2:6" x14ac:dyDescent="0.2">
      <c r="B739" s="120" t="s">
        <v>1477</v>
      </c>
      <c r="C739" s="121" t="s">
        <v>1478</v>
      </c>
      <c r="D739" s="122">
        <v>26.53</v>
      </c>
      <c r="E739" s="122">
        <v>3.7</v>
      </c>
      <c r="F739" s="122">
        <v>4.83</v>
      </c>
    </row>
    <row r="740" spans="2:6" x14ac:dyDescent="0.2">
      <c r="B740" s="120" t="s">
        <v>1479</v>
      </c>
      <c r="C740" s="121" t="s">
        <v>4107</v>
      </c>
      <c r="D740" s="122"/>
      <c r="E740" s="122">
        <v>2</v>
      </c>
      <c r="F740" s="122"/>
    </row>
    <row r="741" spans="2:6" x14ac:dyDescent="0.2">
      <c r="B741" s="120" t="s">
        <v>1479</v>
      </c>
      <c r="C741" s="121" t="s">
        <v>1480</v>
      </c>
      <c r="D741" s="122"/>
      <c r="E741" s="122">
        <v>2.0099999999999998</v>
      </c>
      <c r="F741" s="122"/>
    </row>
    <row r="742" spans="2:6" x14ac:dyDescent="0.2">
      <c r="B742" s="120" t="s">
        <v>4108</v>
      </c>
      <c r="C742" s="121" t="s">
        <v>4109</v>
      </c>
      <c r="D742" s="122">
        <v>1.66</v>
      </c>
      <c r="E742" s="122">
        <v>0.59</v>
      </c>
      <c r="F742" s="122">
        <v>4.63</v>
      </c>
    </row>
    <row r="743" spans="2:6" x14ac:dyDescent="0.2">
      <c r="B743" s="120" t="s">
        <v>1481</v>
      </c>
      <c r="C743" s="121" t="s">
        <v>1482</v>
      </c>
      <c r="D743" s="122">
        <v>12.09</v>
      </c>
      <c r="E743" s="122">
        <v>2.99</v>
      </c>
      <c r="F743" s="122">
        <v>8.6999999999999993</v>
      </c>
    </row>
    <row r="744" spans="2:6" x14ac:dyDescent="0.2">
      <c r="B744" s="120" t="s">
        <v>1483</v>
      </c>
      <c r="C744" s="121" t="s">
        <v>1484</v>
      </c>
      <c r="D744" s="122">
        <v>4.1100000000000003</v>
      </c>
      <c r="E744" s="122">
        <v>1.93</v>
      </c>
      <c r="F744" s="122">
        <v>11.3</v>
      </c>
    </row>
    <row r="745" spans="2:6" x14ac:dyDescent="0.2">
      <c r="B745" s="120" t="s">
        <v>4110</v>
      </c>
      <c r="C745" s="121" t="s">
        <v>4111</v>
      </c>
      <c r="D745" s="122">
        <v>0.62</v>
      </c>
      <c r="E745" s="122">
        <v>0.73</v>
      </c>
      <c r="F745" s="122">
        <v>4.58</v>
      </c>
    </row>
    <row r="746" spans="2:6" x14ac:dyDescent="0.2">
      <c r="B746" s="120" t="s">
        <v>4112</v>
      </c>
      <c r="C746" s="121" t="s">
        <v>4113</v>
      </c>
      <c r="D746" s="122"/>
      <c r="E746" s="122">
        <v>2.93</v>
      </c>
      <c r="F746" s="122"/>
    </row>
    <row r="747" spans="2:6" x14ac:dyDescent="0.2">
      <c r="B747" s="120" t="s">
        <v>1485</v>
      </c>
      <c r="C747" s="121" t="s">
        <v>1486</v>
      </c>
      <c r="D747" s="122">
        <v>10.85</v>
      </c>
      <c r="E747" s="122">
        <v>4.28</v>
      </c>
      <c r="F747" s="122">
        <v>11.13</v>
      </c>
    </row>
    <row r="748" spans="2:6" x14ac:dyDescent="0.2">
      <c r="B748" s="120" t="s">
        <v>4114</v>
      </c>
      <c r="C748" s="121" t="s">
        <v>4115</v>
      </c>
      <c r="D748" s="122">
        <v>5.16</v>
      </c>
      <c r="E748" s="122">
        <v>0.75</v>
      </c>
      <c r="F748" s="122">
        <v>8.66</v>
      </c>
    </row>
    <row r="749" spans="2:6" x14ac:dyDescent="0.2">
      <c r="B749" s="120" t="s">
        <v>1487</v>
      </c>
      <c r="C749" s="121" t="s">
        <v>1488</v>
      </c>
      <c r="D749" s="122">
        <v>2.83</v>
      </c>
      <c r="E749" s="122">
        <v>1.37</v>
      </c>
      <c r="F749" s="122">
        <v>0.46</v>
      </c>
    </row>
    <row r="750" spans="2:6" x14ac:dyDescent="0.2">
      <c r="B750" s="120" t="s">
        <v>4116</v>
      </c>
      <c r="C750" s="121" t="s">
        <v>4117</v>
      </c>
      <c r="D750" s="122">
        <v>0.67</v>
      </c>
      <c r="E750" s="122">
        <v>0.92</v>
      </c>
      <c r="F750" s="122">
        <v>11.82</v>
      </c>
    </row>
    <row r="751" spans="2:6" x14ac:dyDescent="0.2">
      <c r="B751" s="120" t="s">
        <v>1489</v>
      </c>
      <c r="C751" s="121" t="s">
        <v>1490</v>
      </c>
      <c r="D751" s="122"/>
      <c r="E751" s="122"/>
      <c r="F751" s="122"/>
    </row>
    <row r="752" spans="2:6" x14ac:dyDescent="0.2">
      <c r="B752" s="120" t="s">
        <v>1491</v>
      </c>
      <c r="C752" s="121" t="s">
        <v>1492</v>
      </c>
      <c r="D752" s="122">
        <v>1.97</v>
      </c>
      <c r="E752" s="122">
        <v>19.07</v>
      </c>
      <c r="F752" s="122">
        <v>28.17</v>
      </c>
    </row>
    <row r="753" spans="2:6" x14ac:dyDescent="0.2">
      <c r="B753" s="120" t="s">
        <v>1493</v>
      </c>
      <c r="C753" s="121" t="s">
        <v>1494</v>
      </c>
      <c r="D753" s="122">
        <v>3.35</v>
      </c>
      <c r="E753" s="122"/>
      <c r="F753" s="122">
        <v>-44.16</v>
      </c>
    </row>
    <row r="754" spans="2:6" x14ac:dyDescent="0.2">
      <c r="B754" s="120" t="s">
        <v>1495</v>
      </c>
      <c r="C754" s="121" t="s">
        <v>1496</v>
      </c>
      <c r="D754" s="122">
        <v>0.85</v>
      </c>
      <c r="E754" s="122">
        <v>1.05</v>
      </c>
      <c r="F754" s="122">
        <v>2.76</v>
      </c>
    </row>
    <row r="755" spans="2:6" x14ac:dyDescent="0.2">
      <c r="B755" s="120" t="s">
        <v>1497</v>
      </c>
      <c r="C755" s="121" t="s">
        <v>1498</v>
      </c>
      <c r="D755" s="122">
        <v>6.84</v>
      </c>
      <c r="E755" s="122">
        <v>11.9</v>
      </c>
      <c r="F755" s="122">
        <v>23.96</v>
      </c>
    </row>
    <row r="756" spans="2:6" x14ac:dyDescent="0.2">
      <c r="B756" s="120" t="s">
        <v>1499</v>
      </c>
      <c r="C756" s="121" t="s">
        <v>1500</v>
      </c>
      <c r="D756" s="122">
        <v>2.68</v>
      </c>
      <c r="E756" s="122">
        <v>1.43</v>
      </c>
      <c r="F756" s="122">
        <v>6.8</v>
      </c>
    </row>
    <row r="757" spans="2:6" x14ac:dyDescent="0.2">
      <c r="B757" s="120" t="s">
        <v>1501</v>
      </c>
      <c r="C757" s="121" t="s">
        <v>1502</v>
      </c>
      <c r="D757" s="122">
        <v>3.24</v>
      </c>
      <c r="E757" s="122">
        <v>3.26</v>
      </c>
      <c r="F757" s="122">
        <v>18.43</v>
      </c>
    </row>
    <row r="758" spans="2:6" x14ac:dyDescent="0.2">
      <c r="B758" s="120" t="s">
        <v>1503</v>
      </c>
      <c r="C758" s="121" t="s">
        <v>1504</v>
      </c>
      <c r="D758" s="122">
        <v>0.73</v>
      </c>
      <c r="E758" s="122">
        <v>1.41</v>
      </c>
      <c r="F758" s="122">
        <v>10.39</v>
      </c>
    </row>
    <row r="759" spans="2:6" x14ac:dyDescent="0.2">
      <c r="B759" s="120" t="s">
        <v>1505</v>
      </c>
      <c r="C759" s="121" t="s">
        <v>1506</v>
      </c>
      <c r="D759" s="122">
        <v>0.85</v>
      </c>
      <c r="E759" s="122">
        <v>0.91</v>
      </c>
      <c r="F759" s="122">
        <v>5.7</v>
      </c>
    </row>
    <row r="760" spans="2:6" x14ac:dyDescent="0.2">
      <c r="B760" s="120" t="s">
        <v>1507</v>
      </c>
      <c r="C760" s="121" t="s">
        <v>1508</v>
      </c>
      <c r="D760" s="122">
        <v>2.2000000000000002</v>
      </c>
      <c r="E760" s="122"/>
      <c r="F760" s="122">
        <v>-939.99</v>
      </c>
    </row>
    <row r="761" spans="2:6" x14ac:dyDescent="0.2">
      <c r="B761" s="120" t="s">
        <v>4118</v>
      </c>
      <c r="C761" s="121" t="s">
        <v>4119</v>
      </c>
      <c r="D761" s="122"/>
      <c r="E761" s="122"/>
      <c r="F761" s="122"/>
    </row>
    <row r="762" spans="2:6" x14ac:dyDescent="0.2">
      <c r="B762" s="120" t="s">
        <v>1509</v>
      </c>
      <c r="C762" s="121" t="s">
        <v>4120</v>
      </c>
      <c r="D762" s="122">
        <v>4.63</v>
      </c>
      <c r="E762" s="122">
        <v>0.41</v>
      </c>
      <c r="F762" s="122">
        <v>-1.64</v>
      </c>
    </row>
    <row r="763" spans="2:6" x14ac:dyDescent="0.2">
      <c r="B763" s="120" t="s">
        <v>4121</v>
      </c>
      <c r="C763" s="121" t="s">
        <v>4122</v>
      </c>
      <c r="D763" s="122">
        <v>4.4000000000000004</v>
      </c>
      <c r="E763" s="122">
        <v>0.39</v>
      </c>
      <c r="F763" s="122">
        <v>-1.63</v>
      </c>
    </row>
    <row r="764" spans="2:6" x14ac:dyDescent="0.2">
      <c r="B764" s="120" t="s">
        <v>1509</v>
      </c>
      <c r="C764" s="121" t="s">
        <v>1510</v>
      </c>
      <c r="D764" s="122">
        <v>4.88</v>
      </c>
      <c r="E764" s="122">
        <v>0.43</v>
      </c>
      <c r="F764" s="122">
        <v>-1.63</v>
      </c>
    </row>
    <row r="765" spans="2:6" x14ac:dyDescent="0.2">
      <c r="B765" s="120" t="s">
        <v>4123</v>
      </c>
      <c r="C765" s="121" t="s">
        <v>4124</v>
      </c>
      <c r="D765" s="122"/>
      <c r="E765" s="122"/>
      <c r="F765" s="122"/>
    </row>
    <row r="766" spans="2:6" x14ac:dyDescent="0.2">
      <c r="B766" s="120" t="s">
        <v>1511</v>
      </c>
      <c r="C766" s="121" t="s">
        <v>1512</v>
      </c>
      <c r="D766" s="122">
        <v>2.27</v>
      </c>
      <c r="E766" s="122">
        <v>4.68</v>
      </c>
      <c r="F766" s="122">
        <v>21.87</v>
      </c>
    </row>
    <row r="767" spans="2:6" x14ac:dyDescent="0.2">
      <c r="B767" s="120" t="s">
        <v>1513</v>
      </c>
      <c r="C767" s="121" t="s">
        <v>1514</v>
      </c>
      <c r="D767" s="122">
        <v>5.63</v>
      </c>
      <c r="E767" s="122">
        <v>2.09</v>
      </c>
      <c r="F767" s="122">
        <v>13.02</v>
      </c>
    </row>
    <row r="768" spans="2:6" x14ac:dyDescent="0.2">
      <c r="B768" s="120" t="s">
        <v>4125</v>
      </c>
      <c r="C768" s="121" t="s">
        <v>4126</v>
      </c>
      <c r="D768" s="122">
        <v>1.66</v>
      </c>
      <c r="E768" s="122">
        <v>1.69</v>
      </c>
      <c r="F768" s="122">
        <v>19.07</v>
      </c>
    </row>
    <row r="769" spans="2:6" x14ac:dyDescent="0.2">
      <c r="B769" s="120" t="s">
        <v>1515</v>
      </c>
      <c r="C769" s="121" t="s">
        <v>1516</v>
      </c>
      <c r="D769" s="122"/>
      <c r="E769" s="122">
        <v>4.38</v>
      </c>
      <c r="F769" s="122">
        <v>-34.44</v>
      </c>
    </row>
    <row r="770" spans="2:6" x14ac:dyDescent="0.2">
      <c r="B770" s="120" t="s">
        <v>4127</v>
      </c>
      <c r="C770" s="121" t="s">
        <v>4128</v>
      </c>
      <c r="D770" s="122"/>
      <c r="E770" s="122"/>
      <c r="F770" s="122"/>
    </row>
    <row r="771" spans="2:6" x14ac:dyDescent="0.2">
      <c r="B771" s="120" t="s">
        <v>1517</v>
      </c>
      <c r="C771" s="121" t="s">
        <v>1518</v>
      </c>
      <c r="D771" s="122">
        <v>1.41</v>
      </c>
      <c r="E771" s="122">
        <v>4.2</v>
      </c>
      <c r="F771" s="122">
        <v>26.81</v>
      </c>
    </row>
    <row r="772" spans="2:6" x14ac:dyDescent="0.2">
      <c r="B772" s="120" t="s">
        <v>1519</v>
      </c>
      <c r="C772" s="121" t="s">
        <v>1520</v>
      </c>
      <c r="D772" s="122">
        <v>4.21</v>
      </c>
      <c r="E772" s="122">
        <v>12.42</v>
      </c>
      <c r="F772" s="122">
        <v>11.44</v>
      </c>
    </row>
    <row r="773" spans="2:6" x14ac:dyDescent="0.2">
      <c r="B773" s="120" t="s">
        <v>1521</v>
      </c>
      <c r="C773" s="121" t="s">
        <v>1522</v>
      </c>
      <c r="D773" s="122">
        <v>2.27</v>
      </c>
      <c r="E773" s="122">
        <v>3.34</v>
      </c>
      <c r="F773" s="122">
        <v>15.17</v>
      </c>
    </row>
    <row r="774" spans="2:6" x14ac:dyDescent="0.2">
      <c r="B774" s="120" t="s">
        <v>1523</v>
      </c>
      <c r="C774" s="121" t="s">
        <v>1524</v>
      </c>
      <c r="D774" s="122">
        <v>10.08</v>
      </c>
      <c r="E774" s="122">
        <v>4.18</v>
      </c>
      <c r="F774" s="122">
        <v>-6.7</v>
      </c>
    </row>
    <row r="775" spans="2:6" x14ac:dyDescent="0.2">
      <c r="B775" s="120" t="s">
        <v>1525</v>
      </c>
      <c r="C775" s="121" t="s">
        <v>12</v>
      </c>
      <c r="D775" s="122">
        <v>0.69</v>
      </c>
      <c r="E775" s="122">
        <v>1.46</v>
      </c>
      <c r="F775" s="122">
        <v>10.64</v>
      </c>
    </row>
    <row r="776" spans="2:6" x14ac:dyDescent="0.2">
      <c r="B776" s="120" t="s">
        <v>1526</v>
      </c>
      <c r="C776" s="121" t="s">
        <v>1527</v>
      </c>
      <c r="D776" s="122">
        <v>0.93</v>
      </c>
      <c r="E776" s="122">
        <v>1.97</v>
      </c>
      <c r="F776" s="122">
        <v>5.13</v>
      </c>
    </row>
    <row r="777" spans="2:6" x14ac:dyDescent="0.2">
      <c r="B777" s="120" t="s">
        <v>1528</v>
      </c>
      <c r="C777" s="121" t="s">
        <v>1529</v>
      </c>
      <c r="D777" s="122"/>
      <c r="E777" s="122"/>
      <c r="F777" s="122"/>
    </row>
    <row r="778" spans="2:6" x14ac:dyDescent="0.2">
      <c r="B778" s="120" t="s">
        <v>1530</v>
      </c>
      <c r="C778" s="121" t="s">
        <v>1531</v>
      </c>
      <c r="D778" s="122"/>
      <c r="E778" s="122">
        <v>2.15</v>
      </c>
      <c r="F778" s="122"/>
    </row>
    <row r="779" spans="2:6" x14ac:dyDescent="0.2">
      <c r="B779" s="120" t="s">
        <v>4129</v>
      </c>
      <c r="C779" s="121" t="s">
        <v>4130</v>
      </c>
      <c r="D779" s="122">
        <v>3.97</v>
      </c>
      <c r="E779" s="122">
        <v>4.21</v>
      </c>
      <c r="F779" s="122">
        <v>21.76</v>
      </c>
    </row>
    <row r="780" spans="2:6" x14ac:dyDescent="0.2">
      <c r="B780" s="120" t="s">
        <v>1532</v>
      </c>
      <c r="C780" s="121" t="s">
        <v>1533</v>
      </c>
      <c r="D780" s="122"/>
      <c r="E780" s="122">
        <v>1.52</v>
      </c>
      <c r="F780" s="122"/>
    </row>
    <row r="781" spans="2:6" x14ac:dyDescent="0.2">
      <c r="B781" s="120" t="s">
        <v>1534</v>
      </c>
      <c r="C781" s="121" t="s">
        <v>1535</v>
      </c>
      <c r="D781" s="122"/>
      <c r="E781" s="122">
        <v>3.65</v>
      </c>
      <c r="F781" s="122"/>
    </row>
    <row r="782" spans="2:6" x14ac:dyDescent="0.2">
      <c r="B782" s="120" t="s">
        <v>1536</v>
      </c>
      <c r="C782" s="121" t="s">
        <v>1537</v>
      </c>
      <c r="D782" s="122">
        <v>0.46</v>
      </c>
      <c r="E782" s="122">
        <v>0.79</v>
      </c>
      <c r="F782" s="122">
        <v>7.97</v>
      </c>
    </row>
    <row r="783" spans="2:6" x14ac:dyDescent="0.2">
      <c r="B783" s="120" t="s">
        <v>1538</v>
      </c>
      <c r="C783" s="121" t="s">
        <v>1539</v>
      </c>
      <c r="D783" s="122">
        <v>4.6100000000000003</v>
      </c>
      <c r="E783" s="122">
        <v>8.24</v>
      </c>
      <c r="F783" s="122">
        <v>39.22</v>
      </c>
    </row>
    <row r="784" spans="2:6" x14ac:dyDescent="0.2">
      <c r="B784" s="120" t="s">
        <v>1540</v>
      </c>
      <c r="C784" s="121" t="s">
        <v>1541</v>
      </c>
      <c r="D784" s="122">
        <v>47.34</v>
      </c>
      <c r="E784" s="122">
        <v>7.9</v>
      </c>
      <c r="F784" s="122">
        <v>-22.93</v>
      </c>
    </row>
    <row r="785" spans="2:6" x14ac:dyDescent="0.2">
      <c r="B785" s="120" t="s">
        <v>4131</v>
      </c>
      <c r="C785" s="121" t="s">
        <v>4132</v>
      </c>
      <c r="D785" s="122">
        <v>1.29</v>
      </c>
      <c r="E785" s="122">
        <v>1.19</v>
      </c>
      <c r="F785" s="122">
        <v>7.88</v>
      </c>
    </row>
    <row r="786" spans="2:6" x14ac:dyDescent="0.2">
      <c r="B786" s="120" t="s">
        <v>1542</v>
      </c>
      <c r="C786" s="121" t="s">
        <v>1543</v>
      </c>
      <c r="D786" s="122">
        <v>2.3199999999999998</v>
      </c>
      <c r="E786" s="122">
        <v>4.28</v>
      </c>
      <c r="F786" s="122">
        <v>18.78</v>
      </c>
    </row>
    <row r="787" spans="2:6" x14ac:dyDescent="0.2">
      <c r="B787" s="120" t="s">
        <v>1544</v>
      </c>
      <c r="C787" s="121" t="s">
        <v>1545</v>
      </c>
      <c r="D787" s="122">
        <v>2.4700000000000002</v>
      </c>
      <c r="E787" s="122">
        <v>3.84</v>
      </c>
      <c r="F787" s="122">
        <v>18.48</v>
      </c>
    </row>
    <row r="788" spans="2:6" x14ac:dyDescent="0.2">
      <c r="B788" s="120" t="s">
        <v>1546</v>
      </c>
      <c r="C788" s="121" t="s">
        <v>1547</v>
      </c>
      <c r="D788" s="122">
        <v>3.76</v>
      </c>
      <c r="E788" s="122">
        <v>3.7</v>
      </c>
      <c r="F788" s="122">
        <v>37.119999999999997</v>
      </c>
    </row>
    <row r="789" spans="2:6" x14ac:dyDescent="0.2">
      <c r="B789" s="120" t="s">
        <v>1548</v>
      </c>
      <c r="C789" s="121" t="s">
        <v>1549</v>
      </c>
      <c r="D789" s="122">
        <v>1.96</v>
      </c>
      <c r="E789" s="122">
        <v>4.2699999999999996</v>
      </c>
      <c r="F789" s="122">
        <v>27.38</v>
      </c>
    </row>
    <row r="790" spans="2:6" x14ac:dyDescent="0.2">
      <c r="B790" s="120" t="s">
        <v>1550</v>
      </c>
      <c r="C790" s="121" t="s">
        <v>1551</v>
      </c>
      <c r="D790" s="122"/>
      <c r="E790" s="122">
        <v>1.1399999999999999</v>
      </c>
      <c r="F790" s="122"/>
    </row>
    <row r="791" spans="2:6" x14ac:dyDescent="0.2">
      <c r="B791" s="120" t="s">
        <v>1552</v>
      </c>
      <c r="C791" s="121" t="s">
        <v>1553</v>
      </c>
      <c r="D791" s="122">
        <v>2.35</v>
      </c>
      <c r="E791" s="122">
        <v>1.55</v>
      </c>
      <c r="F791" s="122">
        <v>12.34</v>
      </c>
    </row>
    <row r="792" spans="2:6" x14ac:dyDescent="0.2">
      <c r="B792" s="120" t="s">
        <v>1554</v>
      </c>
      <c r="C792" s="121" t="s">
        <v>1555</v>
      </c>
      <c r="D792" s="122"/>
      <c r="E792" s="122">
        <v>1.92</v>
      </c>
      <c r="F792" s="122"/>
    </row>
    <row r="793" spans="2:6" x14ac:dyDescent="0.2">
      <c r="B793" s="120" t="s">
        <v>4133</v>
      </c>
      <c r="C793" s="121" t="s">
        <v>4134</v>
      </c>
      <c r="D793" s="122"/>
      <c r="E793" s="122"/>
      <c r="F793" s="122"/>
    </row>
    <row r="794" spans="2:6" x14ac:dyDescent="0.2">
      <c r="B794" s="120" t="s">
        <v>1556</v>
      </c>
      <c r="C794" s="121" t="s">
        <v>1557</v>
      </c>
      <c r="D794" s="122">
        <v>7.6</v>
      </c>
      <c r="E794" s="122">
        <v>1.24</v>
      </c>
      <c r="F794" s="122">
        <v>-5.83</v>
      </c>
    </row>
    <row r="795" spans="2:6" x14ac:dyDescent="0.2">
      <c r="B795" s="120" t="s">
        <v>1558</v>
      </c>
      <c r="C795" s="121" t="s">
        <v>1559</v>
      </c>
      <c r="D795" s="122"/>
      <c r="E795" s="122">
        <v>1</v>
      </c>
      <c r="F795" s="122"/>
    </row>
    <row r="796" spans="2:6" x14ac:dyDescent="0.2">
      <c r="B796" s="120" t="s">
        <v>1560</v>
      </c>
      <c r="C796" s="121" t="s">
        <v>1561</v>
      </c>
      <c r="D796" s="122">
        <v>5.98</v>
      </c>
      <c r="E796" s="122">
        <v>8.9</v>
      </c>
      <c r="F796" s="122">
        <v>16.39</v>
      </c>
    </row>
    <row r="797" spans="2:6" x14ac:dyDescent="0.2">
      <c r="B797" s="120" t="s">
        <v>1562</v>
      </c>
      <c r="C797" s="121" t="s">
        <v>1563</v>
      </c>
      <c r="D797" s="122">
        <v>0.65</v>
      </c>
      <c r="E797" s="122">
        <v>1.92</v>
      </c>
      <c r="F797" s="122">
        <v>9.19</v>
      </c>
    </row>
    <row r="798" spans="2:6" x14ac:dyDescent="0.2">
      <c r="B798" s="120" t="s">
        <v>1564</v>
      </c>
      <c r="C798" s="121" t="s">
        <v>1565</v>
      </c>
      <c r="D798" s="122">
        <v>23.8</v>
      </c>
      <c r="E798" s="122">
        <v>6.87</v>
      </c>
      <c r="F798" s="122">
        <v>-5.45</v>
      </c>
    </row>
    <row r="799" spans="2:6" x14ac:dyDescent="0.2">
      <c r="B799" s="120" t="s">
        <v>1566</v>
      </c>
      <c r="C799" s="121" t="s">
        <v>1567</v>
      </c>
      <c r="D799" s="122">
        <v>7.34</v>
      </c>
      <c r="E799" s="122">
        <v>3.86</v>
      </c>
      <c r="F799" s="122">
        <v>14.98</v>
      </c>
    </row>
    <row r="800" spans="2:6" x14ac:dyDescent="0.2">
      <c r="B800" s="120" t="s">
        <v>1568</v>
      </c>
      <c r="C800" s="121" t="s">
        <v>1569</v>
      </c>
      <c r="D800" s="122">
        <v>1.84</v>
      </c>
      <c r="E800" s="122">
        <v>1.93</v>
      </c>
      <c r="F800" s="122">
        <v>15.6</v>
      </c>
    </row>
    <row r="801" spans="2:6" x14ac:dyDescent="0.2">
      <c r="B801" s="120" t="s">
        <v>1570</v>
      </c>
      <c r="C801" s="121" t="s">
        <v>1571</v>
      </c>
      <c r="D801" s="122">
        <v>0.37</v>
      </c>
      <c r="E801" s="122">
        <v>1.1299999999999999</v>
      </c>
      <c r="F801" s="122">
        <v>21.08</v>
      </c>
    </row>
    <row r="802" spans="2:6" x14ac:dyDescent="0.2">
      <c r="B802" s="120" t="s">
        <v>1572</v>
      </c>
      <c r="C802" s="121" t="s">
        <v>1573</v>
      </c>
      <c r="D802" s="122">
        <v>6.92</v>
      </c>
      <c r="E802" s="122">
        <v>3.99</v>
      </c>
      <c r="F802" s="122">
        <v>13.29</v>
      </c>
    </row>
    <row r="803" spans="2:6" x14ac:dyDescent="0.2">
      <c r="B803" s="120" t="s">
        <v>4135</v>
      </c>
      <c r="C803" s="121" t="s">
        <v>4136</v>
      </c>
      <c r="D803" s="122">
        <v>1.41</v>
      </c>
      <c r="E803" s="122">
        <v>1.87</v>
      </c>
      <c r="F803" s="122">
        <v>8.5</v>
      </c>
    </row>
    <row r="804" spans="2:6" x14ac:dyDescent="0.2">
      <c r="B804" s="120" t="s">
        <v>4137</v>
      </c>
      <c r="C804" s="121" t="s">
        <v>4138</v>
      </c>
      <c r="D804" s="122">
        <v>25.75</v>
      </c>
      <c r="E804" s="122">
        <v>10.08</v>
      </c>
      <c r="F804" s="122">
        <v>14.32</v>
      </c>
    </row>
    <row r="805" spans="2:6" x14ac:dyDescent="0.2">
      <c r="B805" s="120" t="s">
        <v>1574</v>
      </c>
      <c r="C805" s="121" t="s">
        <v>1575</v>
      </c>
      <c r="D805" s="122">
        <v>3.22</v>
      </c>
      <c r="E805" s="122">
        <v>7.52</v>
      </c>
      <c r="F805" s="122">
        <v>26.22</v>
      </c>
    </row>
    <row r="806" spans="2:6" x14ac:dyDescent="0.2">
      <c r="B806" s="120" t="s">
        <v>1576</v>
      </c>
      <c r="C806" s="121" t="s">
        <v>1577</v>
      </c>
      <c r="D806" s="122">
        <v>2.34</v>
      </c>
      <c r="E806" s="122">
        <v>5.72</v>
      </c>
      <c r="F806" s="122">
        <v>38.99</v>
      </c>
    </row>
    <row r="807" spans="2:6" x14ac:dyDescent="0.2">
      <c r="B807" s="120" t="s">
        <v>1578</v>
      </c>
      <c r="C807" s="121" t="s">
        <v>1579</v>
      </c>
      <c r="D807" s="122">
        <v>3.82</v>
      </c>
      <c r="E807" s="122">
        <v>3.71</v>
      </c>
      <c r="F807" s="122">
        <v>23.08</v>
      </c>
    </row>
    <row r="808" spans="2:6" x14ac:dyDescent="0.2">
      <c r="B808" s="120" t="s">
        <v>4139</v>
      </c>
      <c r="C808" s="121" t="s">
        <v>4140</v>
      </c>
      <c r="D808" s="122"/>
      <c r="E808" s="122">
        <v>4.55</v>
      </c>
      <c r="F808" s="122"/>
    </row>
    <row r="809" spans="2:6" x14ac:dyDescent="0.2">
      <c r="B809" s="120" t="s">
        <v>1580</v>
      </c>
      <c r="C809" s="121" t="s">
        <v>1581</v>
      </c>
      <c r="D809" s="122">
        <v>4.1500000000000004</v>
      </c>
      <c r="E809" s="122">
        <v>1.75</v>
      </c>
      <c r="F809" s="122">
        <v>3.49</v>
      </c>
    </row>
    <row r="810" spans="2:6" x14ac:dyDescent="0.2">
      <c r="B810" s="120" t="s">
        <v>1582</v>
      </c>
      <c r="C810" s="121" t="s">
        <v>4141</v>
      </c>
      <c r="D810" s="122">
        <v>5.75</v>
      </c>
      <c r="E810" s="122">
        <v>4.4400000000000004</v>
      </c>
      <c r="F810" s="122">
        <v>20.149999999999999</v>
      </c>
    </row>
    <row r="811" spans="2:6" x14ac:dyDescent="0.2">
      <c r="B811" s="120" t="s">
        <v>1582</v>
      </c>
      <c r="C811" s="121" t="s">
        <v>1583</v>
      </c>
      <c r="D811" s="122">
        <v>5.75</v>
      </c>
      <c r="E811" s="122">
        <v>4.4400000000000004</v>
      </c>
      <c r="F811" s="122">
        <v>20.149999999999999</v>
      </c>
    </row>
    <row r="812" spans="2:6" x14ac:dyDescent="0.2">
      <c r="B812" s="120" t="s">
        <v>1584</v>
      </c>
      <c r="C812" s="121" t="s">
        <v>13</v>
      </c>
      <c r="D812" s="122">
        <v>7.11</v>
      </c>
      <c r="E812" s="122">
        <v>18.559999999999999</v>
      </c>
      <c r="F812" s="122">
        <v>41.47</v>
      </c>
    </row>
    <row r="813" spans="2:6" x14ac:dyDescent="0.2">
      <c r="B813" s="120" t="s">
        <v>1585</v>
      </c>
      <c r="C813" s="121" t="s">
        <v>1586</v>
      </c>
      <c r="D813" s="122">
        <v>0.75</v>
      </c>
      <c r="E813" s="122">
        <v>3.86</v>
      </c>
      <c r="F813" s="122">
        <v>23.16</v>
      </c>
    </row>
    <row r="814" spans="2:6" x14ac:dyDescent="0.2">
      <c r="B814" s="120" t="s">
        <v>4142</v>
      </c>
      <c r="C814" s="121" t="s">
        <v>4143</v>
      </c>
      <c r="D814" s="122"/>
      <c r="E814" s="122"/>
      <c r="F814" s="122"/>
    </row>
    <row r="815" spans="2:6" x14ac:dyDescent="0.2">
      <c r="B815" s="120" t="s">
        <v>1587</v>
      </c>
      <c r="C815" s="121" t="s">
        <v>1588</v>
      </c>
      <c r="D815" s="122">
        <v>0.69</v>
      </c>
      <c r="E815" s="122">
        <v>2.04</v>
      </c>
      <c r="F815" s="122">
        <v>12.94</v>
      </c>
    </row>
    <row r="816" spans="2:6" x14ac:dyDescent="0.2">
      <c r="B816" s="120" t="s">
        <v>1589</v>
      </c>
      <c r="C816" s="121" t="s">
        <v>1590</v>
      </c>
      <c r="D816" s="122">
        <v>7.12</v>
      </c>
      <c r="E816" s="122">
        <v>6.06</v>
      </c>
      <c r="F816" s="122">
        <v>20.36</v>
      </c>
    </row>
    <row r="817" spans="2:6" x14ac:dyDescent="0.2">
      <c r="B817" s="120" t="s">
        <v>4144</v>
      </c>
      <c r="C817" s="121" t="s">
        <v>4145</v>
      </c>
      <c r="D817" s="122">
        <v>1.25</v>
      </c>
      <c r="E817" s="122">
        <v>1.31</v>
      </c>
      <c r="F817" s="122">
        <v>11.04</v>
      </c>
    </row>
    <row r="818" spans="2:6" x14ac:dyDescent="0.2">
      <c r="B818" s="120" t="s">
        <v>1591</v>
      </c>
      <c r="C818" s="121" t="s">
        <v>1592</v>
      </c>
      <c r="D818" s="122">
        <v>0.39</v>
      </c>
      <c r="E818" s="122">
        <v>1.78</v>
      </c>
      <c r="F818" s="122">
        <v>24.53</v>
      </c>
    </row>
    <row r="819" spans="2:6" x14ac:dyDescent="0.2">
      <c r="B819" s="120" t="s">
        <v>1593</v>
      </c>
      <c r="C819" s="121" t="s">
        <v>1594</v>
      </c>
      <c r="D819" s="122">
        <v>2.2599999999999998</v>
      </c>
      <c r="E819" s="122">
        <v>11.69</v>
      </c>
      <c r="F819" s="122">
        <v>85.42</v>
      </c>
    </row>
    <row r="820" spans="2:6" x14ac:dyDescent="0.2">
      <c r="B820" s="120" t="s">
        <v>1595</v>
      </c>
      <c r="C820" s="121" t="s">
        <v>1596</v>
      </c>
      <c r="D820" s="122">
        <v>2.5099999999999998</v>
      </c>
      <c r="E820" s="122">
        <v>2.57</v>
      </c>
      <c r="F820" s="122">
        <v>14.88</v>
      </c>
    </row>
    <row r="821" spans="2:6" x14ac:dyDescent="0.2">
      <c r="B821" s="120" t="s">
        <v>1597</v>
      </c>
      <c r="C821" s="121" t="s">
        <v>1598</v>
      </c>
      <c r="D821" s="122">
        <v>4.8600000000000003</v>
      </c>
      <c r="E821" s="122">
        <v>4.0599999999999996</v>
      </c>
      <c r="F821" s="122">
        <v>17.97</v>
      </c>
    </row>
    <row r="822" spans="2:6" x14ac:dyDescent="0.2">
      <c r="B822" s="120" t="s">
        <v>1599</v>
      </c>
      <c r="C822" s="121" t="s">
        <v>1600</v>
      </c>
      <c r="D822" s="122">
        <v>4.6100000000000003</v>
      </c>
      <c r="E822" s="122">
        <v>3.68</v>
      </c>
      <c r="F822" s="122">
        <v>4.25</v>
      </c>
    </row>
    <row r="823" spans="2:6" x14ac:dyDescent="0.2">
      <c r="B823" s="120" t="s">
        <v>1601</v>
      </c>
      <c r="C823" s="121" t="s">
        <v>1602</v>
      </c>
      <c r="D823" s="122">
        <v>1.74</v>
      </c>
      <c r="E823" s="122">
        <v>0.96</v>
      </c>
      <c r="F823" s="122">
        <v>12.43</v>
      </c>
    </row>
    <row r="824" spans="2:6" x14ac:dyDescent="0.2">
      <c r="B824" s="120" t="s">
        <v>1603</v>
      </c>
      <c r="C824" s="121" t="s">
        <v>1604</v>
      </c>
      <c r="D824" s="122">
        <v>2.6</v>
      </c>
      <c r="E824" s="122">
        <v>27.07</v>
      </c>
      <c r="F824" s="122">
        <v>175.45</v>
      </c>
    </row>
    <row r="825" spans="2:6" x14ac:dyDescent="0.2">
      <c r="B825" s="120" t="s">
        <v>4146</v>
      </c>
      <c r="C825" s="121" t="s">
        <v>4147</v>
      </c>
      <c r="D825" s="122"/>
      <c r="E825" s="122"/>
      <c r="F825" s="122"/>
    </row>
    <row r="826" spans="2:6" x14ac:dyDescent="0.2">
      <c r="B826" s="120" t="s">
        <v>1605</v>
      </c>
      <c r="C826" s="121" t="s">
        <v>1606</v>
      </c>
      <c r="D826" s="122">
        <v>0.21</v>
      </c>
      <c r="E826" s="122">
        <v>0.64</v>
      </c>
      <c r="F826" s="122">
        <v>7.66</v>
      </c>
    </row>
    <row r="827" spans="2:6" x14ac:dyDescent="0.2">
      <c r="B827" s="120" t="s">
        <v>4148</v>
      </c>
      <c r="C827" s="121" t="s">
        <v>4149</v>
      </c>
      <c r="D827" s="122"/>
      <c r="E827" s="122">
        <v>1.83</v>
      </c>
      <c r="F827" s="122"/>
    </row>
    <row r="828" spans="2:6" x14ac:dyDescent="0.2">
      <c r="B828" s="120" t="s">
        <v>1607</v>
      </c>
      <c r="C828" s="121" t="s">
        <v>1608</v>
      </c>
      <c r="D828" s="122">
        <v>33.090000000000003</v>
      </c>
      <c r="E828" s="122">
        <v>5.46</v>
      </c>
      <c r="F828" s="122">
        <v>-38.090000000000003</v>
      </c>
    </row>
    <row r="829" spans="2:6" x14ac:dyDescent="0.2">
      <c r="B829" s="120" t="s">
        <v>1609</v>
      </c>
      <c r="C829" s="121" t="s">
        <v>1610</v>
      </c>
      <c r="D829" s="122">
        <v>2.72</v>
      </c>
      <c r="E829" s="122">
        <v>1.7</v>
      </c>
      <c r="F829" s="122">
        <v>6.41</v>
      </c>
    </row>
    <row r="830" spans="2:6" x14ac:dyDescent="0.2">
      <c r="B830" s="120" t="s">
        <v>1611</v>
      </c>
      <c r="C830" s="121" t="s">
        <v>1612</v>
      </c>
      <c r="D830" s="122">
        <v>12.42</v>
      </c>
      <c r="E830" s="122">
        <v>5.83</v>
      </c>
      <c r="F830" s="122">
        <v>3.4</v>
      </c>
    </row>
    <row r="831" spans="2:6" x14ac:dyDescent="0.2">
      <c r="B831" s="120" t="s">
        <v>1613</v>
      </c>
      <c r="C831" s="121" t="s">
        <v>1614</v>
      </c>
      <c r="D831" s="122">
        <v>1.41</v>
      </c>
      <c r="E831" s="122">
        <v>7.54</v>
      </c>
      <c r="F831" s="122">
        <v>46.27</v>
      </c>
    </row>
    <row r="832" spans="2:6" x14ac:dyDescent="0.2">
      <c r="B832" s="120" t="s">
        <v>4150</v>
      </c>
      <c r="C832" s="121" t="s">
        <v>4151</v>
      </c>
      <c r="D832" s="122">
        <v>0.78</v>
      </c>
      <c r="E832" s="122">
        <v>0.99</v>
      </c>
      <c r="F832" s="122">
        <v>21.01</v>
      </c>
    </row>
    <row r="833" spans="2:6" x14ac:dyDescent="0.2">
      <c r="B833" s="120" t="s">
        <v>1615</v>
      </c>
      <c r="C833" s="121" t="s">
        <v>1616</v>
      </c>
      <c r="D833" s="122">
        <v>1.67</v>
      </c>
      <c r="E833" s="122">
        <v>2.1800000000000002</v>
      </c>
      <c r="F833" s="122">
        <v>6.34</v>
      </c>
    </row>
    <row r="834" spans="2:6" x14ac:dyDescent="0.2">
      <c r="B834" s="120" t="s">
        <v>1617</v>
      </c>
      <c r="C834" s="121" t="s">
        <v>1618</v>
      </c>
      <c r="D834" s="122">
        <v>6.73</v>
      </c>
      <c r="E834" s="122">
        <v>11.23</v>
      </c>
      <c r="F834" s="122">
        <v>21.07</v>
      </c>
    </row>
    <row r="835" spans="2:6" x14ac:dyDescent="0.2">
      <c r="B835" s="120" t="s">
        <v>1619</v>
      </c>
      <c r="C835" s="121" t="s">
        <v>1620</v>
      </c>
      <c r="D835" s="122">
        <v>0.75</v>
      </c>
      <c r="E835" s="122">
        <v>1.88</v>
      </c>
      <c r="F835" s="122">
        <v>13.76</v>
      </c>
    </row>
    <row r="836" spans="2:6" x14ac:dyDescent="0.2">
      <c r="B836" s="120" t="s">
        <v>1621</v>
      </c>
      <c r="C836" s="121" t="s">
        <v>1622</v>
      </c>
      <c r="D836" s="122">
        <v>3.17</v>
      </c>
      <c r="E836" s="122">
        <v>8.65</v>
      </c>
      <c r="F836" s="122">
        <v>30.92</v>
      </c>
    </row>
    <row r="837" spans="2:6" x14ac:dyDescent="0.2">
      <c r="B837" s="120" t="s">
        <v>4152</v>
      </c>
      <c r="C837" s="121" t="s">
        <v>4153</v>
      </c>
      <c r="D837" s="122"/>
      <c r="E837" s="122"/>
      <c r="F837" s="122"/>
    </row>
    <row r="838" spans="2:6" x14ac:dyDescent="0.2">
      <c r="B838" s="120" t="s">
        <v>1623</v>
      </c>
      <c r="C838" s="121" t="s">
        <v>1624</v>
      </c>
      <c r="D838" s="122">
        <v>2.69</v>
      </c>
      <c r="E838" s="122">
        <v>1.43</v>
      </c>
      <c r="F838" s="122">
        <v>14.23</v>
      </c>
    </row>
    <row r="839" spans="2:6" x14ac:dyDescent="0.2">
      <c r="B839" s="120" t="s">
        <v>1625</v>
      </c>
      <c r="C839" s="121" t="s">
        <v>1626</v>
      </c>
      <c r="D839" s="122">
        <v>0.74</v>
      </c>
      <c r="E839" s="122">
        <v>4.57</v>
      </c>
      <c r="F839" s="122">
        <v>63.57</v>
      </c>
    </row>
    <row r="840" spans="2:6" x14ac:dyDescent="0.2">
      <c r="B840" s="120" t="s">
        <v>1627</v>
      </c>
      <c r="C840" s="121" t="s">
        <v>1628</v>
      </c>
      <c r="D840" s="122">
        <v>0.87</v>
      </c>
      <c r="E840" s="122"/>
      <c r="F840" s="122">
        <v>-135.9</v>
      </c>
    </row>
    <row r="841" spans="2:6" x14ac:dyDescent="0.2">
      <c r="B841" s="120" t="s">
        <v>1629</v>
      </c>
      <c r="C841" s="121" t="s">
        <v>1630</v>
      </c>
      <c r="D841" s="122">
        <v>1.08</v>
      </c>
      <c r="E841" s="122">
        <v>1.7</v>
      </c>
      <c r="F841" s="122">
        <v>6.06</v>
      </c>
    </row>
    <row r="842" spans="2:6" x14ac:dyDescent="0.2">
      <c r="B842" s="120" t="s">
        <v>4154</v>
      </c>
      <c r="C842" s="121" t="s">
        <v>4155</v>
      </c>
      <c r="D842" s="122"/>
      <c r="E842" s="122">
        <v>0.97</v>
      </c>
      <c r="F842" s="122"/>
    </row>
    <row r="843" spans="2:6" x14ac:dyDescent="0.2">
      <c r="B843" s="120" t="s">
        <v>1631</v>
      </c>
      <c r="C843" s="121" t="s">
        <v>1632</v>
      </c>
      <c r="D843" s="122">
        <v>9.42</v>
      </c>
      <c r="E843" s="122">
        <v>2.6</v>
      </c>
      <c r="F843" s="122">
        <v>15.54</v>
      </c>
    </row>
    <row r="844" spans="2:6" x14ac:dyDescent="0.2">
      <c r="B844" s="120" t="s">
        <v>1633</v>
      </c>
      <c r="C844" s="121" t="s">
        <v>1634</v>
      </c>
      <c r="D844" s="122">
        <v>2.2400000000000002</v>
      </c>
      <c r="E844" s="122"/>
      <c r="F844" s="122">
        <v>-1179.69</v>
      </c>
    </row>
    <row r="845" spans="2:6" x14ac:dyDescent="0.2">
      <c r="B845" s="120" t="s">
        <v>1635</v>
      </c>
      <c r="C845" s="121" t="s">
        <v>1636</v>
      </c>
      <c r="D845" s="122">
        <v>5.85</v>
      </c>
      <c r="E845" s="122">
        <v>4.09</v>
      </c>
      <c r="F845" s="122">
        <v>13.23</v>
      </c>
    </row>
    <row r="846" spans="2:6" x14ac:dyDescent="0.2">
      <c r="B846" s="120" t="s">
        <v>4156</v>
      </c>
      <c r="C846" s="121" t="s">
        <v>4157</v>
      </c>
      <c r="D846" s="122">
        <v>0.68</v>
      </c>
      <c r="E846" s="122">
        <v>0.73</v>
      </c>
      <c r="F846" s="122">
        <v>7.24</v>
      </c>
    </row>
    <row r="847" spans="2:6" x14ac:dyDescent="0.2">
      <c r="B847" s="120" t="s">
        <v>1637</v>
      </c>
      <c r="C847" s="121" t="s">
        <v>1638</v>
      </c>
      <c r="D847" s="122">
        <v>1.05</v>
      </c>
      <c r="E847" s="122">
        <v>4.53</v>
      </c>
      <c r="F847" s="122">
        <v>44.51</v>
      </c>
    </row>
    <row r="848" spans="2:6" x14ac:dyDescent="0.2">
      <c r="B848" s="120" t="s">
        <v>1639</v>
      </c>
      <c r="C848" s="121" t="s">
        <v>1640</v>
      </c>
      <c r="D848" s="122">
        <v>1.68</v>
      </c>
      <c r="E848" s="122">
        <v>2.2000000000000002</v>
      </c>
      <c r="F848" s="122">
        <v>9.4700000000000006</v>
      </c>
    </row>
    <row r="849" spans="2:6" x14ac:dyDescent="0.2">
      <c r="B849" s="120" t="s">
        <v>1641</v>
      </c>
      <c r="C849" s="121" t="s">
        <v>1642</v>
      </c>
      <c r="D849" s="122"/>
      <c r="E849" s="122">
        <v>3.07</v>
      </c>
      <c r="F849" s="122"/>
    </row>
    <row r="850" spans="2:6" x14ac:dyDescent="0.2">
      <c r="B850" s="120" t="s">
        <v>1643</v>
      </c>
      <c r="C850" s="121" t="s">
        <v>1644</v>
      </c>
      <c r="D850" s="122">
        <v>8.6</v>
      </c>
      <c r="E850" s="122">
        <v>10.42</v>
      </c>
      <c r="F850" s="122">
        <v>18.579999999999998</v>
      </c>
    </row>
    <row r="851" spans="2:6" x14ac:dyDescent="0.2">
      <c r="B851" s="120" t="s">
        <v>1643</v>
      </c>
      <c r="C851" s="121" t="s">
        <v>4158</v>
      </c>
      <c r="D851" s="122">
        <v>6.73</v>
      </c>
      <c r="E851" s="122">
        <v>8.16</v>
      </c>
      <c r="F851" s="122">
        <v>18.2</v>
      </c>
    </row>
    <row r="852" spans="2:6" x14ac:dyDescent="0.2">
      <c r="B852" s="120" t="s">
        <v>1645</v>
      </c>
      <c r="C852" s="121" t="s">
        <v>1646</v>
      </c>
      <c r="D852" s="122"/>
      <c r="E852" s="122">
        <v>3.36</v>
      </c>
      <c r="F852" s="122"/>
    </row>
    <row r="853" spans="2:6" x14ac:dyDescent="0.2">
      <c r="B853" s="120" t="s">
        <v>1647</v>
      </c>
      <c r="C853" s="121" t="s">
        <v>1648</v>
      </c>
      <c r="D853" s="122">
        <v>2.46</v>
      </c>
      <c r="E853" s="122">
        <v>3.77</v>
      </c>
      <c r="F853" s="122">
        <v>18.61</v>
      </c>
    </row>
    <row r="854" spans="2:6" x14ac:dyDescent="0.2">
      <c r="B854" s="120" t="s">
        <v>1649</v>
      </c>
      <c r="C854" s="121" t="s">
        <v>1650</v>
      </c>
      <c r="D854" s="122">
        <v>1.79</v>
      </c>
      <c r="E854" s="122">
        <v>2.0099999999999998</v>
      </c>
      <c r="F854" s="122">
        <v>13.93</v>
      </c>
    </row>
    <row r="855" spans="2:6" x14ac:dyDescent="0.2">
      <c r="B855" s="120" t="s">
        <v>1651</v>
      </c>
      <c r="C855" s="121" t="s">
        <v>1652</v>
      </c>
      <c r="D855" s="122">
        <v>2.94</v>
      </c>
      <c r="E855" s="122">
        <v>1.9</v>
      </c>
      <c r="F855" s="122">
        <v>0.46</v>
      </c>
    </row>
    <row r="856" spans="2:6" x14ac:dyDescent="0.2">
      <c r="B856" s="120" t="s">
        <v>1653</v>
      </c>
      <c r="C856" s="121" t="s">
        <v>1654</v>
      </c>
      <c r="D856" s="122">
        <v>0.49</v>
      </c>
      <c r="E856" s="122">
        <v>1.33</v>
      </c>
      <c r="F856" s="122">
        <v>18.510000000000002</v>
      </c>
    </row>
    <row r="857" spans="2:6" x14ac:dyDescent="0.2">
      <c r="B857" s="120" t="s">
        <v>4159</v>
      </c>
      <c r="C857" s="121" t="s">
        <v>4160</v>
      </c>
      <c r="D857" s="122"/>
      <c r="E857" s="122">
        <v>1.35</v>
      </c>
      <c r="F857" s="122"/>
    </row>
    <row r="858" spans="2:6" x14ac:dyDescent="0.2">
      <c r="B858" s="120" t="s">
        <v>1655</v>
      </c>
      <c r="C858" s="121" t="s">
        <v>1656</v>
      </c>
      <c r="D858" s="122">
        <v>3.73</v>
      </c>
      <c r="E858" s="122">
        <v>1.67</v>
      </c>
      <c r="F858" s="122">
        <v>3.24</v>
      </c>
    </row>
    <row r="859" spans="2:6" x14ac:dyDescent="0.2">
      <c r="B859" s="120" t="s">
        <v>1657</v>
      </c>
      <c r="C859" s="121" t="s">
        <v>1658</v>
      </c>
      <c r="D859" s="122">
        <v>1.1200000000000001</v>
      </c>
      <c r="E859" s="122">
        <v>1.46</v>
      </c>
      <c r="F859" s="122">
        <v>12.44</v>
      </c>
    </row>
    <row r="860" spans="2:6" x14ac:dyDescent="0.2">
      <c r="B860" s="120" t="s">
        <v>1659</v>
      </c>
      <c r="C860" s="121" t="s">
        <v>1660</v>
      </c>
      <c r="D860" s="122">
        <v>1.04</v>
      </c>
      <c r="E860" s="122">
        <v>5.48</v>
      </c>
      <c r="F860" s="122">
        <v>42.07</v>
      </c>
    </row>
    <row r="861" spans="2:6" x14ac:dyDescent="0.2">
      <c r="B861" s="120" t="s">
        <v>1661</v>
      </c>
      <c r="C861" s="121" t="s">
        <v>1662</v>
      </c>
      <c r="D861" s="122">
        <v>0.28000000000000003</v>
      </c>
      <c r="E861" s="122">
        <v>0.92</v>
      </c>
      <c r="F861" s="122">
        <v>8.69</v>
      </c>
    </row>
    <row r="862" spans="2:6" x14ac:dyDescent="0.2">
      <c r="B862" s="120" t="s">
        <v>1663</v>
      </c>
      <c r="C862" s="121" t="s">
        <v>1664</v>
      </c>
      <c r="D862" s="122">
        <v>6.52</v>
      </c>
      <c r="E862" s="122">
        <v>2.14</v>
      </c>
      <c r="F862" s="122">
        <v>6.13</v>
      </c>
    </row>
    <row r="863" spans="2:6" x14ac:dyDescent="0.2">
      <c r="B863" s="120" t="s">
        <v>1665</v>
      </c>
      <c r="C863" s="121" t="s">
        <v>1666</v>
      </c>
      <c r="D863" s="122"/>
      <c r="E863" s="122">
        <v>3.57</v>
      </c>
      <c r="F863" s="122"/>
    </row>
    <row r="864" spans="2:6" x14ac:dyDescent="0.2">
      <c r="B864" s="120" t="s">
        <v>1667</v>
      </c>
      <c r="C864" s="121" t="s">
        <v>1668</v>
      </c>
      <c r="D864" s="122"/>
      <c r="E864" s="122">
        <v>0.56999999999999995</v>
      </c>
      <c r="F864" s="122"/>
    </row>
    <row r="865" spans="2:6" x14ac:dyDescent="0.2">
      <c r="B865" s="120" t="s">
        <v>1669</v>
      </c>
      <c r="C865" s="121" t="s">
        <v>1670</v>
      </c>
      <c r="D865" s="122">
        <v>1.26</v>
      </c>
      <c r="E865" s="122"/>
      <c r="F865" s="122">
        <v>-58.68</v>
      </c>
    </row>
    <row r="866" spans="2:6" x14ac:dyDescent="0.2">
      <c r="B866" s="120" t="s">
        <v>1671</v>
      </c>
      <c r="C866" s="121" t="s">
        <v>1672</v>
      </c>
      <c r="D866" s="122">
        <v>2.72</v>
      </c>
      <c r="E866" s="122">
        <v>3.39</v>
      </c>
      <c r="F866" s="122">
        <v>22.75</v>
      </c>
    </row>
    <row r="867" spans="2:6" x14ac:dyDescent="0.2">
      <c r="B867" s="120" t="s">
        <v>1673</v>
      </c>
      <c r="C867" s="121" t="s">
        <v>1674</v>
      </c>
      <c r="D867" s="122"/>
      <c r="E867" s="122">
        <v>7.48</v>
      </c>
      <c r="F867" s="122"/>
    </row>
    <row r="868" spans="2:6" x14ac:dyDescent="0.2">
      <c r="B868" s="120" t="s">
        <v>1675</v>
      </c>
      <c r="C868" s="121" t="s">
        <v>1676</v>
      </c>
      <c r="D868" s="122">
        <v>12.27</v>
      </c>
      <c r="E868" s="122">
        <v>17.489999999999998</v>
      </c>
      <c r="F868" s="122">
        <v>61.94</v>
      </c>
    </row>
    <row r="869" spans="2:6" x14ac:dyDescent="0.2">
      <c r="B869" s="120" t="s">
        <v>4161</v>
      </c>
      <c r="C869" s="121" t="s">
        <v>4162</v>
      </c>
      <c r="D869" s="122"/>
      <c r="E869" s="122">
        <v>0.55000000000000004</v>
      </c>
      <c r="F869" s="122"/>
    </row>
    <row r="870" spans="2:6" x14ac:dyDescent="0.2">
      <c r="B870" s="120" t="s">
        <v>1677</v>
      </c>
      <c r="C870" s="121" t="s">
        <v>1678</v>
      </c>
      <c r="D870" s="122">
        <v>2.96</v>
      </c>
      <c r="E870" s="122"/>
      <c r="F870" s="122">
        <v>330.66</v>
      </c>
    </row>
    <row r="871" spans="2:6" x14ac:dyDescent="0.2">
      <c r="B871" s="120" t="s">
        <v>4163</v>
      </c>
      <c r="C871" s="121" t="s">
        <v>4164</v>
      </c>
      <c r="D871" s="122">
        <v>1.53</v>
      </c>
      <c r="E871" s="122">
        <v>2.31</v>
      </c>
      <c r="F871" s="122">
        <v>10.32</v>
      </c>
    </row>
    <row r="872" spans="2:6" x14ac:dyDescent="0.2">
      <c r="B872" s="120" t="s">
        <v>1679</v>
      </c>
      <c r="C872" s="121" t="s">
        <v>1680</v>
      </c>
      <c r="D872" s="122">
        <v>2.58</v>
      </c>
      <c r="E872" s="122">
        <v>3.68</v>
      </c>
      <c r="F872" s="122">
        <v>33.35</v>
      </c>
    </row>
    <row r="873" spans="2:6" x14ac:dyDescent="0.2">
      <c r="B873" s="120" t="s">
        <v>1681</v>
      </c>
      <c r="C873" s="121" t="s">
        <v>1682</v>
      </c>
      <c r="D873" s="122">
        <v>0.33</v>
      </c>
      <c r="E873" s="122">
        <v>0.61</v>
      </c>
      <c r="F873" s="122">
        <v>6.26</v>
      </c>
    </row>
    <row r="874" spans="2:6" x14ac:dyDescent="0.2">
      <c r="B874" s="120" t="s">
        <v>1683</v>
      </c>
      <c r="C874" s="121" t="s">
        <v>1684</v>
      </c>
      <c r="D874" s="122">
        <v>5.16</v>
      </c>
      <c r="E874" s="122">
        <v>4.05</v>
      </c>
      <c r="F874" s="122">
        <v>15.22</v>
      </c>
    </row>
    <row r="875" spans="2:6" x14ac:dyDescent="0.2">
      <c r="B875" s="120" t="s">
        <v>4165</v>
      </c>
      <c r="C875" s="121" t="s">
        <v>4166</v>
      </c>
      <c r="D875" s="122"/>
      <c r="E875" s="122">
        <v>0.35</v>
      </c>
      <c r="F875" s="122"/>
    </row>
    <row r="876" spans="2:6" x14ac:dyDescent="0.2">
      <c r="B876" s="120" t="s">
        <v>4167</v>
      </c>
      <c r="C876" s="121" t="s">
        <v>4168</v>
      </c>
      <c r="D876" s="122"/>
      <c r="E876" s="122">
        <v>0.18</v>
      </c>
      <c r="F876" s="122"/>
    </row>
    <row r="877" spans="2:6" x14ac:dyDescent="0.2">
      <c r="B877" s="120" t="s">
        <v>4169</v>
      </c>
      <c r="C877" s="121" t="s">
        <v>4170</v>
      </c>
      <c r="D877" s="122">
        <v>1.3</v>
      </c>
      <c r="E877" s="122">
        <v>6.05</v>
      </c>
      <c r="F877" s="122">
        <v>21.2</v>
      </c>
    </row>
    <row r="878" spans="2:6" x14ac:dyDescent="0.2">
      <c r="B878" s="120" t="s">
        <v>1685</v>
      </c>
      <c r="C878" s="121" t="s">
        <v>1686</v>
      </c>
      <c r="D878" s="122">
        <v>0.45</v>
      </c>
      <c r="E878" s="122">
        <v>0.47</v>
      </c>
      <c r="F878" s="122">
        <v>1.98</v>
      </c>
    </row>
    <row r="879" spans="2:6" x14ac:dyDescent="0.2">
      <c r="B879" s="120" t="s">
        <v>1687</v>
      </c>
      <c r="C879" s="121" t="s">
        <v>1688</v>
      </c>
      <c r="D879" s="122">
        <v>6</v>
      </c>
      <c r="E879" s="122">
        <v>5.52</v>
      </c>
      <c r="F879" s="122">
        <v>20.75</v>
      </c>
    </row>
    <row r="880" spans="2:6" x14ac:dyDescent="0.2">
      <c r="B880" s="120" t="s">
        <v>1689</v>
      </c>
      <c r="C880" s="121" t="s">
        <v>1690</v>
      </c>
      <c r="D880" s="122">
        <v>1.01</v>
      </c>
      <c r="E880" s="122">
        <v>2.94</v>
      </c>
      <c r="F880" s="122">
        <v>28.67</v>
      </c>
    </row>
    <row r="881" spans="2:6" x14ac:dyDescent="0.2">
      <c r="B881" s="120" t="s">
        <v>4171</v>
      </c>
      <c r="C881" s="121" t="s">
        <v>4172</v>
      </c>
      <c r="D881" s="122"/>
      <c r="E881" s="122">
        <v>3.7</v>
      </c>
      <c r="F881" s="122"/>
    </row>
    <row r="882" spans="2:6" x14ac:dyDescent="0.2">
      <c r="B882" s="120" t="s">
        <v>1691</v>
      </c>
      <c r="C882" s="121" t="s">
        <v>1692</v>
      </c>
      <c r="D882" s="122">
        <v>4.03</v>
      </c>
      <c r="E882" s="122">
        <v>6.02</v>
      </c>
      <c r="F882" s="122">
        <v>27.95</v>
      </c>
    </row>
    <row r="883" spans="2:6" x14ac:dyDescent="0.2">
      <c r="B883" s="120" t="s">
        <v>1693</v>
      </c>
      <c r="C883" s="121" t="s">
        <v>1694</v>
      </c>
      <c r="D883" s="122">
        <v>3.91</v>
      </c>
      <c r="E883" s="122">
        <v>1.32</v>
      </c>
      <c r="F883" s="122">
        <v>12.64</v>
      </c>
    </row>
    <row r="884" spans="2:6" x14ac:dyDescent="0.2">
      <c r="B884" s="120" t="s">
        <v>1695</v>
      </c>
      <c r="C884" s="121" t="s">
        <v>1696</v>
      </c>
      <c r="D884" s="122">
        <v>3.14</v>
      </c>
      <c r="E884" s="122">
        <v>6.71</v>
      </c>
      <c r="F884" s="122">
        <v>32.020000000000003</v>
      </c>
    </row>
    <row r="885" spans="2:6" x14ac:dyDescent="0.2">
      <c r="B885" s="120" t="s">
        <v>1697</v>
      </c>
      <c r="C885" s="121" t="s">
        <v>1698</v>
      </c>
      <c r="D885" s="122">
        <v>1.66</v>
      </c>
      <c r="E885" s="122">
        <v>1.1599999999999999</v>
      </c>
      <c r="F885" s="122">
        <v>4.0599999999999996</v>
      </c>
    </row>
    <row r="886" spans="2:6" x14ac:dyDescent="0.2">
      <c r="B886" s="120" t="s">
        <v>1699</v>
      </c>
      <c r="C886" s="121" t="s">
        <v>1700</v>
      </c>
      <c r="D886" s="122">
        <v>0.63</v>
      </c>
      <c r="E886" s="122">
        <v>1.07</v>
      </c>
      <c r="F886" s="122">
        <v>12.92</v>
      </c>
    </row>
    <row r="887" spans="2:6" x14ac:dyDescent="0.2">
      <c r="B887" s="120" t="s">
        <v>1701</v>
      </c>
      <c r="C887" s="121" t="s">
        <v>1702</v>
      </c>
      <c r="D887" s="122">
        <v>6.79</v>
      </c>
      <c r="E887" s="122">
        <v>1.41</v>
      </c>
      <c r="F887" s="122">
        <v>0.16</v>
      </c>
    </row>
    <row r="888" spans="2:6" x14ac:dyDescent="0.2">
      <c r="B888" s="120" t="s">
        <v>1703</v>
      </c>
      <c r="C888" s="121" t="s">
        <v>1704</v>
      </c>
      <c r="D888" s="122">
        <v>0.47</v>
      </c>
      <c r="E888" s="122"/>
      <c r="F888" s="122">
        <v>-265.02</v>
      </c>
    </row>
    <row r="889" spans="2:6" x14ac:dyDescent="0.2">
      <c r="B889" s="120" t="s">
        <v>1705</v>
      </c>
      <c r="C889" s="121" t="s">
        <v>1706</v>
      </c>
      <c r="D889" s="122">
        <v>1.8</v>
      </c>
      <c r="E889" s="122">
        <v>1.55</v>
      </c>
      <c r="F889" s="122">
        <v>-7.74</v>
      </c>
    </row>
    <row r="890" spans="2:6" x14ac:dyDescent="0.2">
      <c r="B890" s="120" t="s">
        <v>1707</v>
      </c>
      <c r="C890" s="121" t="s">
        <v>1708</v>
      </c>
      <c r="D890" s="122">
        <v>13.44</v>
      </c>
      <c r="E890" s="122">
        <v>4.2300000000000004</v>
      </c>
      <c r="F890" s="122">
        <v>11.77</v>
      </c>
    </row>
    <row r="891" spans="2:6" x14ac:dyDescent="0.2">
      <c r="B891" s="120" t="s">
        <v>4173</v>
      </c>
      <c r="C891" s="121" t="s">
        <v>4174</v>
      </c>
      <c r="D891" s="122">
        <v>9.41</v>
      </c>
      <c r="E891" s="122">
        <v>2.42</v>
      </c>
      <c r="F891" s="122">
        <v>1.83</v>
      </c>
    </row>
    <row r="892" spans="2:6" x14ac:dyDescent="0.2">
      <c r="B892" s="120" t="s">
        <v>1709</v>
      </c>
      <c r="C892" s="121" t="s">
        <v>1710</v>
      </c>
      <c r="D892" s="122">
        <v>1.52</v>
      </c>
      <c r="E892" s="122">
        <v>16.170000000000002</v>
      </c>
      <c r="F892" s="122">
        <v>305.29000000000002</v>
      </c>
    </row>
    <row r="893" spans="2:6" x14ac:dyDescent="0.2">
      <c r="B893" s="120" t="s">
        <v>1711</v>
      </c>
      <c r="C893" s="121" t="s">
        <v>1712</v>
      </c>
      <c r="D893" s="122">
        <v>2.44</v>
      </c>
      <c r="E893" s="122">
        <v>4.33</v>
      </c>
      <c r="F893" s="122">
        <v>21.26</v>
      </c>
    </row>
    <row r="894" spans="2:6" x14ac:dyDescent="0.2">
      <c r="B894" s="120" t="s">
        <v>4175</v>
      </c>
      <c r="C894" s="121" t="s">
        <v>4176</v>
      </c>
      <c r="D894" s="122"/>
      <c r="E894" s="122">
        <v>1.86</v>
      </c>
      <c r="F894" s="122"/>
    </row>
    <row r="895" spans="2:6" x14ac:dyDescent="0.2">
      <c r="B895" s="120" t="s">
        <v>1713</v>
      </c>
      <c r="C895" s="121" t="s">
        <v>1714</v>
      </c>
      <c r="D895" s="122"/>
      <c r="E895" s="122">
        <v>20.21</v>
      </c>
      <c r="F895" s="122"/>
    </row>
    <row r="896" spans="2:6" x14ac:dyDescent="0.2">
      <c r="B896" s="120" t="s">
        <v>1715</v>
      </c>
      <c r="C896" s="121" t="s">
        <v>1716</v>
      </c>
      <c r="D896" s="122">
        <v>2.41</v>
      </c>
      <c r="E896" s="122">
        <v>3.89</v>
      </c>
      <c r="F896" s="122">
        <v>16.75</v>
      </c>
    </row>
    <row r="897" spans="2:6" x14ac:dyDescent="0.2">
      <c r="B897" s="120" t="s">
        <v>1717</v>
      </c>
      <c r="C897" s="121" t="s">
        <v>1718</v>
      </c>
      <c r="D897" s="122">
        <v>2.77</v>
      </c>
      <c r="E897" s="122">
        <v>0.76</v>
      </c>
      <c r="F897" s="122">
        <v>7.16</v>
      </c>
    </row>
    <row r="898" spans="2:6" x14ac:dyDescent="0.2">
      <c r="B898" s="120" t="s">
        <v>1719</v>
      </c>
      <c r="C898" s="121" t="s">
        <v>1720</v>
      </c>
      <c r="D898" s="122">
        <v>0.81</v>
      </c>
      <c r="E898" s="122">
        <v>2.7</v>
      </c>
      <c r="F898" s="122">
        <v>16.670000000000002</v>
      </c>
    </row>
    <row r="899" spans="2:6" x14ac:dyDescent="0.2">
      <c r="B899" s="120" t="s">
        <v>1721</v>
      </c>
      <c r="C899" s="121" t="s">
        <v>1722</v>
      </c>
      <c r="D899" s="122"/>
      <c r="E899" s="122">
        <v>1.91</v>
      </c>
      <c r="F899" s="122"/>
    </row>
    <row r="900" spans="2:6" x14ac:dyDescent="0.2">
      <c r="B900" s="120" t="s">
        <v>1723</v>
      </c>
      <c r="C900" s="121" t="s">
        <v>1724</v>
      </c>
      <c r="D900" s="122">
        <v>2.27</v>
      </c>
      <c r="E900" s="122">
        <v>1.71</v>
      </c>
      <c r="F900" s="122">
        <v>14.65</v>
      </c>
    </row>
    <row r="901" spans="2:6" x14ac:dyDescent="0.2">
      <c r="B901" s="120" t="s">
        <v>1725</v>
      </c>
      <c r="C901" s="121" t="s">
        <v>1726</v>
      </c>
      <c r="D901" s="122">
        <v>4.1100000000000003</v>
      </c>
      <c r="E901" s="122">
        <v>19.16</v>
      </c>
      <c r="F901" s="122">
        <v>83.29</v>
      </c>
    </row>
    <row r="902" spans="2:6" x14ac:dyDescent="0.2">
      <c r="B902" s="120" t="s">
        <v>1727</v>
      </c>
      <c r="C902" s="121" t="s">
        <v>1728</v>
      </c>
      <c r="D902" s="122">
        <v>8.52</v>
      </c>
      <c r="E902" s="122">
        <v>1.81</v>
      </c>
      <c r="F902" s="122">
        <v>6.73</v>
      </c>
    </row>
    <row r="903" spans="2:6" x14ac:dyDescent="0.2">
      <c r="B903" s="120" t="s">
        <v>4177</v>
      </c>
      <c r="C903" s="121" t="s">
        <v>4178</v>
      </c>
      <c r="D903" s="122">
        <v>0.5</v>
      </c>
      <c r="E903" s="122">
        <v>0.95</v>
      </c>
      <c r="F903" s="122">
        <v>13.34</v>
      </c>
    </row>
    <row r="904" spans="2:6" x14ac:dyDescent="0.2">
      <c r="B904" s="120" t="s">
        <v>1729</v>
      </c>
      <c r="C904" s="121" t="s">
        <v>1730</v>
      </c>
      <c r="D904" s="122">
        <v>0.42</v>
      </c>
      <c r="E904" s="122">
        <v>0.89</v>
      </c>
      <c r="F904" s="122">
        <v>7.26</v>
      </c>
    </row>
    <row r="905" spans="2:6" x14ac:dyDescent="0.2">
      <c r="B905" s="120" t="s">
        <v>1731</v>
      </c>
      <c r="C905" s="121" t="s">
        <v>1732</v>
      </c>
      <c r="D905" s="122">
        <v>6.5</v>
      </c>
      <c r="E905" s="122">
        <v>9.8000000000000007</v>
      </c>
      <c r="F905" s="122">
        <v>14.1</v>
      </c>
    </row>
    <row r="906" spans="2:6" x14ac:dyDescent="0.2">
      <c r="B906" s="120" t="s">
        <v>1733</v>
      </c>
      <c r="C906" s="121" t="s">
        <v>1734</v>
      </c>
      <c r="D906" s="122">
        <v>1.55</v>
      </c>
      <c r="E906" s="122">
        <v>3.86</v>
      </c>
      <c r="F906" s="122">
        <v>23.63</v>
      </c>
    </row>
    <row r="907" spans="2:6" x14ac:dyDescent="0.2">
      <c r="B907" s="120" t="s">
        <v>1735</v>
      </c>
      <c r="C907" s="121" t="s">
        <v>1736</v>
      </c>
      <c r="D907" s="122">
        <v>11.53</v>
      </c>
      <c r="E907" s="122">
        <v>10.92</v>
      </c>
      <c r="F907" s="122">
        <v>-7.93</v>
      </c>
    </row>
    <row r="908" spans="2:6" x14ac:dyDescent="0.2">
      <c r="B908" s="120" t="s">
        <v>1737</v>
      </c>
      <c r="C908" s="121" t="s">
        <v>1738</v>
      </c>
      <c r="D908" s="122">
        <v>0.62</v>
      </c>
      <c r="E908" s="122">
        <v>3.16</v>
      </c>
      <c r="F908" s="122">
        <v>22.47</v>
      </c>
    </row>
    <row r="909" spans="2:6" x14ac:dyDescent="0.2">
      <c r="B909" s="120" t="s">
        <v>1739</v>
      </c>
      <c r="C909" s="121" t="s">
        <v>1740</v>
      </c>
      <c r="D909" s="122">
        <v>0.57999999999999996</v>
      </c>
      <c r="E909" s="122">
        <v>1.83</v>
      </c>
      <c r="F909" s="122">
        <v>18.68</v>
      </c>
    </row>
    <row r="910" spans="2:6" x14ac:dyDescent="0.2">
      <c r="B910" s="120" t="s">
        <v>4179</v>
      </c>
      <c r="C910" s="121" t="s">
        <v>4180</v>
      </c>
      <c r="D910" s="122">
        <v>6.47</v>
      </c>
      <c r="E910" s="122">
        <v>4.76</v>
      </c>
      <c r="F910" s="122">
        <v>5.53</v>
      </c>
    </row>
    <row r="911" spans="2:6" x14ac:dyDescent="0.2">
      <c r="B911" s="120" t="s">
        <v>1741</v>
      </c>
      <c r="C911" s="121" t="s">
        <v>1742</v>
      </c>
      <c r="D911" s="122">
        <v>0.88</v>
      </c>
      <c r="E911" s="122">
        <v>1.7</v>
      </c>
      <c r="F911" s="122">
        <v>11.84</v>
      </c>
    </row>
    <row r="912" spans="2:6" x14ac:dyDescent="0.2">
      <c r="B912" s="120" t="s">
        <v>4181</v>
      </c>
      <c r="C912" s="121" t="s">
        <v>4182</v>
      </c>
      <c r="D912" s="122">
        <v>2.37</v>
      </c>
      <c r="E912" s="122">
        <v>0.99</v>
      </c>
      <c r="F912" s="122">
        <v>11.48</v>
      </c>
    </row>
    <row r="913" spans="2:6" x14ac:dyDescent="0.2">
      <c r="B913" s="120" t="s">
        <v>1743</v>
      </c>
      <c r="C913" s="121" t="s">
        <v>1744</v>
      </c>
      <c r="D913" s="122"/>
      <c r="E913" s="122"/>
      <c r="F913" s="122"/>
    </row>
    <row r="914" spans="2:6" x14ac:dyDescent="0.2">
      <c r="B914" s="120" t="s">
        <v>1745</v>
      </c>
      <c r="C914" s="121" t="s">
        <v>1746</v>
      </c>
      <c r="D914" s="122">
        <v>3.04</v>
      </c>
      <c r="E914" s="122">
        <v>4.9000000000000004</v>
      </c>
      <c r="F914" s="122">
        <v>21.45</v>
      </c>
    </row>
    <row r="915" spans="2:6" x14ac:dyDescent="0.2">
      <c r="B915" s="120" t="s">
        <v>4183</v>
      </c>
      <c r="C915" s="121" t="s">
        <v>4184</v>
      </c>
      <c r="D915" s="122"/>
      <c r="E915" s="122"/>
      <c r="F915" s="122"/>
    </row>
    <row r="916" spans="2:6" x14ac:dyDescent="0.2">
      <c r="B916" s="120" t="s">
        <v>4185</v>
      </c>
      <c r="C916" s="121" t="s">
        <v>4186</v>
      </c>
      <c r="D916" s="122">
        <v>0.23</v>
      </c>
      <c r="E916" s="122"/>
      <c r="F916" s="122"/>
    </row>
    <row r="917" spans="2:6" x14ac:dyDescent="0.2">
      <c r="B917" s="120" t="s">
        <v>4187</v>
      </c>
      <c r="C917" s="121" t="s">
        <v>4188</v>
      </c>
      <c r="D917" s="122">
        <v>6.97</v>
      </c>
      <c r="E917" s="122">
        <v>2.2999999999999998</v>
      </c>
      <c r="F917" s="122">
        <v>12.48</v>
      </c>
    </row>
    <row r="918" spans="2:6" x14ac:dyDescent="0.2">
      <c r="B918" s="120" t="s">
        <v>1747</v>
      </c>
      <c r="C918" s="121" t="s">
        <v>1748</v>
      </c>
      <c r="D918" s="122">
        <v>3.97</v>
      </c>
      <c r="E918" s="122">
        <v>3.32</v>
      </c>
      <c r="F918" s="122">
        <v>30.33</v>
      </c>
    </row>
    <row r="919" spans="2:6" x14ac:dyDescent="0.2">
      <c r="B919" s="120" t="s">
        <v>1749</v>
      </c>
      <c r="C919" s="121" t="s">
        <v>1750</v>
      </c>
      <c r="D919" s="122">
        <v>1.51</v>
      </c>
      <c r="E919" s="122"/>
      <c r="F919" s="122"/>
    </row>
    <row r="920" spans="2:6" x14ac:dyDescent="0.2">
      <c r="B920" s="120" t="s">
        <v>4189</v>
      </c>
      <c r="C920" s="121" t="s">
        <v>4190</v>
      </c>
      <c r="D920" s="122"/>
      <c r="E920" s="122"/>
      <c r="F920" s="122"/>
    </row>
    <row r="921" spans="2:6" x14ac:dyDescent="0.2">
      <c r="B921" s="120" t="s">
        <v>1751</v>
      </c>
      <c r="C921" s="121" t="s">
        <v>1752</v>
      </c>
      <c r="D921" s="122">
        <v>4.33</v>
      </c>
      <c r="E921" s="122">
        <v>5.0599999999999996</v>
      </c>
      <c r="F921" s="122">
        <v>12.44</v>
      </c>
    </row>
    <row r="922" spans="2:6" x14ac:dyDescent="0.2">
      <c r="B922" s="120" t="s">
        <v>1753</v>
      </c>
      <c r="C922" s="121" t="s">
        <v>1754</v>
      </c>
      <c r="D922" s="122">
        <v>3.5</v>
      </c>
      <c r="E922" s="122">
        <v>3.68</v>
      </c>
      <c r="F922" s="122">
        <v>16.3</v>
      </c>
    </row>
    <row r="923" spans="2:6" x14ac:dyDescent="0.2">
      <c r="B923" s="120" t="s">
        <v>4191</v>
      </c>
      <c r="C923" s="121" t="s">
        <v>4192</v>
      </c>
      <c r="D923" s="122"/>
      <c r="E923" s="122">
        <v>1.1499999999999999</v>
      </c>
      <c r="F923" s="122">
        <v>-2.54</v>
      </c>
    </row>
    <row r="924" spans="2:6" x14ac:dyDescent="0.2">
      <c r="B924" s="120" t="s">
        <v>4193</v>
      </c>
      <c r="C924" s="121" t="s">
        <v>4194</v>
      </c>
      <c r="D924" s="122"/>
      <c r="E924" s="122"/>
      <c r="F924" s="122"/>
    </row>
    <row r="925" spans="2:6" x14ac:dyDescent="0.2">
      <c r="B925" s="120" t="s">
        <v>4195</v>
      </c>
      <c r="C925" s="121" t="s">
        <v>4196</v>
      </c>
      <c r="D925" s="122">
        <v>1.62</v>
      </c>
      <c r="E925" s="122">
        <v>1.25</v>
      </c>
      <c r="F925" s="122">
        <v>7.76</v>
      </c>
    </row>
    <row r="926" spans="2:6" x14ac:dyDescent="0.2">
      <c r="B926" s="120" t="s">
        <v>1755</v>
      </c>
      <c r="C926" s="121" t="s">
        <v>1756</v>
      </c>
      <c r="D926" s="122">
        <v>2.72</v>
      </c>
      <c r="E926" s="122">
        <v>1</v>
      </c>
      <c r="F926" s="122">
        <v>10.33</v>
      </c>
    </row>
    <row r="927" spans="2:6" x14ac:dyDescent="0.2">
      <c r="B927" s="120" t="s">
        <v>1757</v>
      </c>
      <c r="C927" s="121" t="s">
        <v>1758</v>
      </c>
      <c r="D927" s="122">
        <v>8.67</v>
      </c>
      <c r="E927" s="122">
        <v>2.84</v>
      </c>
      <c r="F927" s="122">
        <v>2.2400000000000002</v>
      </c>
    </row>
    <row r="928" spans="2:6" x14ac:dyDescent="0.2">
      <c r="B928" s="120" t="s">
        <v>1759</v>
      </c>
      <c r="C928" s="121" t="s">
        <v>1760</v>
      </c>
      <c r="D928" s="122">
        <v>1.61</v>
      </c>
      <c r="E928" s="122">
        <v>7.07</v>
      </c>
      <c r="F928" s="122">
        <v>69.56</v>
      </c>
    </row>
    <row r="929" spans="2:6" x14ac:dyDescent="0.2">
      <c r="B929" s="120" t="s">
        <v>1761</v>
      </c>
      <c r="C929" s="121" t="s">
        <v>1762</v>
      </c>
      <c r="D929" s="122">
        <v>3.3</v>
      </c>
      <c r="E929" s="122">
        <v>2.14</v>
      </c>
      <c r="F929" s="122">
        <v>4.4000000000000004</v>
      </c>
    </row>
    <row r="930" spans="2:6" x14ac:dyDescent="0.2">
      <c r="B930" s="120" t="s">
        <v>4197</v>
      </c>
      <c r="C930" s="121" t="s">
        <v>4198</v>
      </c>
      <c r="D930" s="122">
        <v>0.16</v>
      </c>
      <c r="E930" s="122">
        <v>0.65</v>
      </c>
      <c r="F930" s="122">
        <v>72.94</v>
      </c>
    </row>
    <row r="931" spans="2:6" x14ac:dyDescent="0.2">
      <c r="B931" s="120" t="s">
        <v>1763</v>
      </c>
      <c r="C931" s="121" t="s">
        <v>1764</v>
      </c>
      <c r="D931" s="122">
        <v>8.14</v>
      </c>
      <c r="E931" s="122">
        <v>3.02</v>
      </c>
      <c r="F931" s="122">
        <v>12.22</v>
      </c>
    </row>
    <row r="932" spans="2:6" x14ac:dyDescent="0.2">
      <c r="B932" s="120" t="s">
        <v>1765</v>
      </c>
      <c r="C932" s="121" t="s">
        <v>1766</v>
      </c>
      <c r="D932" s="122">
        <v>1.1399999999999999</v>
      </c>
      <c r="E932" s="122">
        <v>1.57</v>
      </c>
      <c r="F932" s="122">
        <v>14.03</v>
      </c>
    </row>
    <row r="933" spans="2:6" x14ac:dyDescent="0.2">
      <c r="B933" s="120" t="s">
        <v>1767</v>
      </c>
      <c r="C933" s="121" t="s">
        <v>1768</v>
      </c>
      <c r="D933" s="122">
        <v>3.09</v>
      </c>
      <c r="E933" s="122">
        <v>5.46</v>
      </c>
      <c r="F933" s="122">
        <v>25.02</v>
      </c>
    </row>
    <row r="934" spans="2:6" x14ac:dyDescent="0.2">
      <c r="B934" s="120" t="s">
        <v>1769</v>
      </c>
      <c r="C934" s="121" t="s">
        <v>1770</v>
      </c>
      <c r="D934" s="122">
        <v>2.52</v>
      </c>
      <c r="E934" s="122">
        <v>2.5</v>
      </c>
      <c r="F934" s="122">
        <v>12.41</v>
      </c>
    </row>
    <row r="935" spans="2:6" x14ac:dyDescent="0.2">
      <c r="B935" s="120" t="s">
        <v>1771</v>
      </c>
      <c r="C935" s="121" t="s">
        <v>1772</v>
      </c>
      <c r="D935" s="122">
        <v>3.14</v>
      </c>
      <c r="E935" s="122">
        <v>1.81</v>
      </c>
      <c r="F935" s="122">
        <v>9.4</v>
      </c>
    </row>
    <row r="936" spans="2:6" x14ac:dyDescent="0.2">
      <c r="B936" s="120" t="s">
        <v>4199</v>
      </c>
      <c r="C936" s="121" t="s">
        <v>4200</v>
      </c>
      <c r="D936" s="122">
        <v>1.4</v>
      </c>
      <c r="E936" s="122">
        <v>0.16</v>
      </c>
      <c r="F936" s="122">
        <v>12.93</v>
      </c>
    </row>
    <row r="937" spans="2:6" x14ac:dyDescent="0.2">
      <c r="B937" s="120" t="s">
        <v>1773</v>
      </c>
      <c r="C937" s="121" t="s">
        <v>1774</v>
      </c>
      <c r="D937" s="122">
        <v>3.04</v>
      </c>
      <c r="E937" s="122">
        <v>6.16</v>
      </c>
      <c r="F937" s="122">
        <v>25.42</v>
      </c>
    </row>
    <row r="938" spans="2:6" x14ac:dyDescent="0.2">
      <c r="B938" s="120" t="s">
        <v>4201</v>
      </c>
      <c r="C938" s="121" t="s">
        <v>4202</v>
      </c>
      <c r="D938" s="122"/>
      <c r="E938" s="122"/>
      <c r="F938" s="122"/>
    </row>
    <row r="939" spans="2:6" x14ac:dyDescent="0.2">
      <c r="B939" s="120" t="s">
        <v>1775</v>
      </c>
      <c r="C939" s="121" t="s">
        <v>1776</v>
      </c>
      <c r="D939" s="122">
        <v>10.3</v>
      </c>
      <c r="E939" s="122">
        <v>137.59</v>
      </c>
      <c r="F939" s="122">
        <v>765.45</v>
      </c>
    </row>
    <row r="940" spans="2:6" x14ac:dyDescent="0.2">
      <c r="B940" s="120" t="s">
        <v>4203</v>
      </c>
      <c r="C940" s="121" t="s">
        <v>4204</v>
      </c>
      <c r="D940" s="122"/>
      <c r="E940" s="122"/>
      <c r="F940" s="122"/>
    </row>
    <row r="941" spans="2:6" x14ac:dyDescent="0.2">
      <c r="B941" s="120" t="s">
        <v>4205</v>
      </c>
      <c r="C941" s="121" t="s">
        <v>4206</v>
      </c>
      <c r="D941" s="122">
        <v>1.41</v>
      </c>
      <c r="E941" s="122">
        <v>1.1499999999999999</v>
      </c>
      <c r="F941" s="122">
        <v>-10.95</v>
      </c>
    </row>
    <row r="942" spans="2:6" x14ac:dyDescent="0.2">
      <c r="B942" s="120" t="s">
        <v>1777</v>
      </c>
      <c r="C942" s="121" t="s">
        <v>1778</v>
      </c>
      <c r="D942" s="122">
        <v>4.9800000000000004</v>
      </c>
      <c r="E942" s="122">
        <v>5.9</v>
      </c>
      <c r="F942" s="122">
        <v>21.2</v>
      </c>
    </row>
    <row r="943" spans="2:6" x14ac:dyDescent="0.2">
      <c r="B943" s="120" t="s">
        <v>1779</v>
      </c>
      <c r="C943" s="121" t="s">
        <v>1780</v>
      </c>
      <c r="D943" s="122">
        <v>2.72</v>
      </c>
      <c r="E943" s="122">
        <v>2.0699999999999998</v>
      </c>
      <c r="F943" s="122">
        <v>10.48</v>
      </c>
    </row>
    <row r="944" spans="2:6" x14ac:dyDescent="0.2">
      <c r="B944" s="120" t="s">
        <v>1781</v>
      </c>
      <c r="C944" s="121" t="s">
        <v>1782</v>
      </c>
      <c r="D944" s="122">
        <v>2.34</v>
      </c>
      <c r="E944" s="122">
        <v>2.85</v>
      </c>
      <c r="F944" s="122">
        <v>17.27</v>
      </c>
    </row>
    <row r="945" spans="2:6" x14ac:dyDescent="0.2">
      <c r="B945" s="120" t="s">
        <v>4207</v>
      </c>
      <c r="C945" s="121" t="s">
        <v>4208</v>
      </c>
      <c r="D945" s="122"/>
      <c r="E945" s="122"/>
      <c r="F945" s="122"/>
    </row>
    <row r="946" spans="2:6" x14ac:dyDescent="0.2">
      <c r="B946" s="120" t="s">
        <v>4209</v>
      </c>
      <c r="C946" s="121" t="s">
        <v>4210</v>
      </c>
      <c r="D946" s="122"/>
      <c r="E946" s="122"/>
      <c r="F946" s="122"/>
    </row>
    <row r="947" spans="2:6" x14ac:dyDescent="0.2">
      <c r="B947" s="120" t="s">
        <v>1783</v>
      </c>
      <c r="C947" s="121" t="s">
        <v>1784</v>
      </c>
      <c r="D947" s="122"/>
      <c r="E947" s="122"/>
      <c r="F947" s="122"/>
    </row>
    <row r="948" spans="2:6" x14ac:dyDescent="0.2">
      <c r="B948" s="120" t="s">
        <v>1785</v>
      </c>
      <c r="C948" s="121" t="s">
        <v>1786</v>
      </c>
      <c r="D948" s="122">
        <v>0.24</v>
      </c>
      <c r="E948" s="122">
        <v>0.95</v>
      </c>
      <c r="F948" s="122">
        <v>9.77</v>
      </c>
    </row>
    <row r="949" spans="2:6" x14ac:dyDescent="0.2">
      <c r="B949" s="120" t="s">
        <v>4211</v>
      </c>
      <c r="C949" s="121" t="s">
        <v>4212</v>
      </c>
      <c r="D949" s="122"/>
      <c r="E949" s="122"/>
      <c r="F949" s="122"/>
    </row>
    <row r="950" spans="2:6" x14ac:dyDescent="0.2">
      <c r="B950" s="120" t="s">
        <v>4213</v>
      </c>
      <c r="C950" s="121" t="s">
        <v>4214</v>
      </c>
      <c r="D950" s="122"/>
      <c r="E950" s="122"/>
      <c r="F950" s="122"/>
    </row>
    <row r="951" spans="2:6" x14ac:dyDescent="0.2">
      <c r="B951" s="120" t="s">
        <v>4215</v>
      </c>
      <c r="C951" s="121" t="s">
        <v>4216</v>
      </c>
      <c r="D951" s="122"/>
      <c r="E951" s="122"/>
      <c r="F951" s="122"/>
    </row>
    <row r="952" spans="2:6" x14ac:dyDescent="0.2">
      <c r="B952" s="120" t="s">
        <v>4217</v>
      </c>
      <c r="C952" s="121" t="s">
        <v>4218</v>
      </c>
      <c r="D952" s="122"/>
      <c r="E952" s="122"/>
      <c r="F952" s="122"/>
    </row>
    <row r="953" spans="2:6" x14ac:dyDescent="0.2">
      <c r="B953" s="120" t="s">
        <v>4219</v>
      </c>
      <c r="C953" s="121" t="s">
        <v>4220</v>
      </c>
      <c r="D953" s="122"/>
      <c r="E953" s="122"/>
      <c r="F953" s="122"/>
    </row>
    <row r="954" spans="2:6" x14ac:dyDescent="0.2">
      <c r="B954" s="120" t="s">
        <v>4221</v>
      </c>
      <c r="C954" s="121" t="s">
        <v>4222</v>
      </c>
      <c r="D954" s="122"/>
      <c r="E954" s="122"/>
      <c r="F954" s="122"/>
    </row>
    <row r="955" spans="2:6" x14ac:dyDescent="0.2">
      <c r="B955" s="120" t="s">
        <v>1787</v>
      </c>
      <c r="C955" s="121" t="s">
        <v>1788</v>
      </c>
      <c r="D955" s="122"/>
      <c r="E955" s="122">
        <v>9.09</v>
      </c>
      <c r="F955" s="122"/>
    </row>
    <row r="956" spans="2:6" x14ac:dyDescent="0.2">
      <c r="B956" s="120" t="s">
        <v>1789</v>
      </c>
      <c r="C956" s="121" t="s">
        <v>1790</v>
      </c>
      <c r="D956" s="122">
        <v>13.37</v>
      </c>
      <c r="E956" s="122">
        <v>10.5</v>
      </c>
      <c r="F956" s="122">
        <v>21.73</v>
      </c>
    </row>
    <row r="957" spans="2:6" x14ac:dyDescent="0.2">
      <c r="B957" s="120" t="s">
        <v>4223</v>
      </c>
      <c r="C957" s="121" t="s">
        <v>4224</v>
      </c>
      <c r="D957" s="122">
        <v>2.23</v>
      </c>
      <c r="E957" s="122">
        <v>3.09</v>
      </c>
      <c r="F957" s="122">
        <v>7.6</v>
      </c>
    </row>
    <row r="958" spans="2:6" x14ac:dyDescent="0.2">
      <c r="B958" s="120" t="s">
        <v>1791</v>
      </c>
      <c r="C958" s="121" t="s">
        <v>1792</v>
      </c>
      <c r="D958" s="122"/>
      <c r="E958" s="122"/>
      <c r="F958" s="122"/>
    </row>
    <row r="959" spans="2:6" x14ac:dyDescent="0.2">
      <c r="B959" s="120" t="s">
        <v>1793</v>
      </c>
      <c r="C959" s="121" t="s">
        <v>1794</v>
      </c>
      <c r="D959" s="122"/>
      <c r="E959" s="122"/>
      <c r="F959" s="122"/>
    </row>
    <row r="960" spans="2:6" x14ac:dyDescent="0.2">
      <c r="B960" s="120" t="s">
        <v>1795</v>
      </c>
      <c r="C960" s="121" t="s">
        <v>1796</v>
      </c>
      <c r="D960" s="122">
        <v>1477.23</v>
      </c>
      <c r="E960" s="122">
        <v>27.74</v>
      </c>
      <c r="F960" s="122">
        <v>-152.13999999999999</v>
      </c>
    </row>
    <row r="961" spans="2:6" x14ac:dyDescent="0.2">
      <c r="B961" s="120" t="s">
        <v>1797</v>
      </c>
      <c r="C961" s="121" t="s">
        <v>1798</v>
      </c>
      <c r="D961" s="122">
        <v>0.79</v>
      </c>
      <c r="E961" s="122">
        <v>1.1100000000000001</v>
      </c>
      <c r="F961" s="122">
        <v>10.66</v>
      </c>
    </row>
    <row r="962" spans="2:6" x14ac:dyDescent="0.2">
      <c r="B962" s="120" t="s">
        <v>1799</v>
      </c>
      <c r="C962" s="121" t="s">
        <v>1800</v>
      </c>
      <c r="D962" s="122"/>
      <c r="E962" s="122"/>
      <c r="F962" s="122"/>
    </row>
    <row r="963" spans="2:6" x14ac:dyDescent="0.2">
      <c r="B963" s="120" t="s">
        <v>1801</v>
      </c>
      <c r="C963" s="121" t="s">
        <v>1802</v>
      </c>
      <c r="D963" s="122">
        <v>8.7100000000000009</v>
      </c>
      <c r="E963" s="122">
        <v>7.77</v>
      </c>
      <c r="F963" s="122">
        <v>17.100000000000001</v>
      </c>
    </row>
    <row r="964" spans="2:6" x14ac:dyDescent="0.2">
      <c r="B964" s="120" t="s">
        <v>1803</v>
      </c>
      <c r="C964" s="121" t="s">
        <v>1804</v>
      </c>
      <c r="D964" s="122">
        <v>6.36</v>
      </c>
      <c r="E964" s="122">
        <v>3.22</v>
      </c>
      <c r="F964" s="122">
        <v>10.130000000000001</v>
      </c>
    </row>
    <row r="965" spans="2:6" x14ac:dyDescent="0.2">
      <c r="B965" s="120" t="s">
        <v>1805</v>
      </c>
      <c r="C965" s="121" t="s">
        <v>1806</v>
      </c>
      <c r="D965" s="122">
        <v>4.01</v>
      </c>
      <c r="E965" s="122">
        <v>5.89</v>
      </c>
      <c r="F965" s="122">
        <v>25.55</v>
      </c>
    </row>
    <row r="966" spans="2:6" x14ac:dyDescent="0.2">
      <c r="B966" s="120" t="s">
        <v>1807</v>
      </c>
      <c r="C966" s="121" t="s">
        <v>1808</v>
      </c>
      <c r="D966" s="122">
        <v>1.99</v>
      </c>
      <c r="E966" s="122">
        <v>0.73</v>
      </c>
      <c r="F966" s="122">
        <v>8.83</v>
      </c>
    </row>
    <row r="967" spans="2:6" x14ac:dyDescent="0.2">
      <c r="B967" s="120" t="s">
        <v>4225</v>
      </c>
      <c r="C967" s="121" t="s">
        <v>4226</v>
      </c>
      <c r="D967" s="122"/>
      <c r="E967" s="122">
        <v>2.79</v>
      </c>
      <c r="F967" s="122"/>
    </row>
    <row r="968" spans="2:6" x14ac:dyDescent="0.2">
      <c r="B968" s="120" t="s">
        <v>1809</v>
      </c>
      <c r="C968" s="121" t="s">
        <v>1810</v>
      </c>
      <c r="D968" s="122">
        <v>0.92</v>
      </c>
      <c r="E968" s="122">
        <v>2.1</v>
      </c>
      <c r="F968" s="122">
        <v>17.23</v>
      </c>
    </row>
    <row r="969" spans="2:6" x14ac:dyDescent="0.2">
      <c r="B969" s="120" t="s">
        <v>1811</v>
      </c>
      <c r="C969" s="121" t="s">
        <v>1812</v>
      </c>
      <c r="D969" s="122">
        <v>3.19</v>
      </c>
      <c r="E969" s="122">
        <v>3</v>
      </c>
      <c r="F969" s="122">
        <v>28.84</v>
      </c>
    </row>
    <row r="970" spans="2:6" x14ac:dyDescent="0.2">
      <c r="B970" s="120" t="s">
        <v>1813</v>
      </c>
      <c r="C970" s="121" t="s">
        <v>1814</v>
      </c>
      <c r="D970" s="122">
        <v>10.32</v>
      </c>
      <c r="E970" s="122">
        <v>18.670000000000002</v>
      </c>
      <c r="F970" s="122">
        <v>43.86</v>
      </c>
    </row>
    <row r="971" spans="2:6" x14ac:dyDescent="0.2">
      <c r="B971" s="120" t="s">
        <v>1815</v>
      </c>
      <c r="C971" s="121" t="s">
        <v>1816</v>
      </c>
      <c r="D971" s="122">
        <v>9.02</v>
      </c>
      <c r="E971" s="122">
        <v>1.96</v>
      </c>
      <c r="F971" s="122">
        <v>1.42</v>
      </c>
    </row>
    <row r="972" spans="2:6" x14ac:dyDescent="0.2">
      <c r="B972" s="120" t="s">
        <v>4227</v>
      </c>
      <c r="C972" s="121" t="s">
        <v>4228</v>
      </c>
      <c r="D972" s="122">
        <v>9.0399999999999991</v>
      </c>
      <c r="E972" s="122">
        <v>8.32</v>
      </c>
      <c r="F972" s="122">
        <v>5.29</v>
      </c>
    </row>
    <row r="973" spans="2:6" x14ac:dyDescent="0.2">
      <c r="B973" s="120" t="s">
        <v>1817</v>
      </c>
      <c r="C973" s="121" t="s">
        <v>1818</v>
      </c>
      <c r="D973" s="122">
        <v>11.03</v>
      </c>
      <c r="E973" s="122">
        <v>6.04</v>
      </c>
      <c r="F973" s="122">
        <v>38.700000000000003</v>
      </c>
    </row>
    <row r="974" spans="2:6" x14ac:dyDescent="0.2">
      <c r="B974" s="120" t="s">
        <v>1819</v>
      </c>
      <c r="C974" s="121" t="s">
        <v>1820</v>
      </c>
      <c r="D974" s="122">
        <v>0.69</v>
      </c>
      <c r="E974" s="122">
        <v>2.13</v>
      </c>
      <c r="F974" s="122">
        <v>30.14</v>
      </c>
    </row>
    <row r="975" spans="2:6" x14ac:dyDescent="0.2">
      <c r="B975" s="120" t="s">
        <v>1821</v>
      </c>
      <c r="C975" s="121" t="s">
        <v>1822</v>
      </c>
      <c r="D975" s="122">
        <v>0.82</v>
      </c>
      <c r="E975" s="122">
        <v>3.33</v>
      </c>
      <c r="F975" s="122">
        <v>32.03</v>
      </c>
    </row>
    <row r="976" spans="2:6" x14ac:dyDescent="0.2">
      <c r="B976" s="120" t="s">
        <v>1823</v>
      </c>
      <c r="C976" s="121" t="s">
        <v>1824</v>
      </c>
      <c r="D976" s="122">
        <v>5.19</v>
      </c>
      <c r="E976" s="122">
        <v>2.99</v>
      </c>
      <c r="F976" s="122">
        <v>13.68</v>
      </c>
    </row>
    <row r="977" spans="2:6" x14ac:dyDescent="0.2">
      <c r="B977" s="120" t="s">
        <v>1825</v>
      </c>
      <c r="C977" s="121" t="s">
        <v>1826</v>
      </c>
      <c r="D977" s="122"/>
      <c r="E977" s="122">
        <v>3.82</v>
      </c>
      <c r="F977" s="122"/>
    </row>
    <row r="978" spans="2:6" x14ac:dyDescent="0.2">
      <c r="B978" s="120" t="s">
        <v>4229</v>
      </c>
      <c r="C978" s="121" t="s">
        <v>4230</v>
      </c>
      <c r="D978" s="122">
        <v>1.65</v>
      </c>
      <c r="E978" s="122">
        <v>0.49</v>
      </c>
      <c r="F978" s="122">
        <v>3.77</v>
      </c>
    </row>
    <row r="979" spans="2:6" x14ac:dyDescent="0.2">
      <c r="B979" s="120" t="s">
        <v>1827</v>
      </c>
      <c r="C979" s="121" t="s">
        <v>1828</v>
      </c>
      <c r="D979" s="122">
        <v>3.26</v>
      </c>
      <c r="E979" s="122">
        <v>6.1</v>
      </c>
      <c r="F979" s="122">
        <v>-60.21</v>
      </c>
    </row>
    <row r="980" spans="2:6" x14ac:dyDescent="0.2">
      <c r="B980" s="120" t="s">
        <v>1829</v>
      </c>
      <c r="C980" s="121" t="s">
        <v>1830</v>
      </c>
      <c r="D980" s="122">
        <v>2.85</v>
      </c>
      <c r="E980" s="122">
        <v>4.5</v>
      </c>
      <c r="F980" s="122">
        <v>15.95</v>
      </c>
    </row>
    <row r="981" spans="2:6" x14ac:dyDescent="0.2">
      <c r="B981" s="120" t="s">
        <v>1831</v>
      </c>
      <c r="C981" s="121" t="s">
        <v>1832</v>
      </c>
      <c r="D981" s="122">
        <v>1.86</v>
      </c>
      <c r="E981" s="122">
        <v>4.1500000000000004</v>
      </c>
      <c r="F981" s="122">
        <v>20.97</v>
      </c>
    </row>
    <row r="982" spans="2:6" x14ac:dyDescent="0.2">
      <c r="B982" s="120" t="s">
        <v>1835</v>
      </c>
      <c r="C982" s="121" t="s">
        <v>1836</v>
      </c>
      <c r="D982" s="122">
        <v>2.17</v>
      </c>
      <c r="E982" s="122">
        <v>5.54</v>
      </c>
      <c r="F982" s="122">
        <v>19.649999999999999</v>
      </c>
    </row>
    <row r="983" spans="2:6" x14ac:dyDescent="0.2">
      <c r="B983" s="120" t="s">
        <v>1837</v>
      </c>
      <c r="C983" s="121" t="s">
        <v>1838</v>
      </c>
      <c r="D983" s="122">
        <v>3.1</v>
      </c>
      <c r="E983" s="122">
        <v>1.0900000000000001</v>
      </c>
      <c r="F983" s="122">
        <v>7.05</v>
      </c>
    </row>
    <row r="984" spans="2:6" x14ac:dyDescent="0.2">
      <c r="B984" s="120" t="s">
        <v>1839</v>
      </c>
      <c r="C984" s="121" t="s">
        <v>1840</v>
      </c>
      <c r="D984" s="122">
        <v>2.0299999999999998</v>
      </c>
      <c r="E984" s="122"/>
      <c r="F984" s="122"/>
    </row>
    <row r="985" spans="2:6" x14ac:dyDescent="0.2">
      <c r="B985" s="120" t="s">
        <v>1841</v>
      </c>
      <c r="C985" s="121" t="s">
        <v>1842</v>
      </c>
      <c r="D985" s="122">
        <v>15.15</v>
      </c>
      <c r="E985" s="122">
        <v>8.41</v>
      </c>
      <c r="F985" s="122">
        <v>17.350000000000001</v>
      </c>
    </row>
    <row r="986" spans="2:6" x14ac:dyDescent="0.2">
      <c r="B986" s="120" t="s">
        <v>4231</v>
      </c>
      <c r="C986" s="121" t="s">
        <v>4232</v>
      </c>
      <c r="D986" s="122">
        <v>0.42</v>
      </c>
      <c r="E986" s="122">
        <v>0.82</v>
      </c>
      <c r="F986" s="122">
        <v>9.57</v>
      </c>
    </row>
    <row r="987" spans="2:6" x14ac:dyDescent="0.2">
      <c r="B987" s="120" t="s">
        <v>1843</v>
      </c>
      <c r="C987" s="121" t="s">
        <v>1844</v>
      </c>
      <c r="D987" s="122">
        <v>3.2</v>
      </c>
      <c r="E987" s="122">
        <v>13.43</v>
      </c>
      <c r="F987" s="122">
        <v>41.29</v>
      </c>
    </row>
    <row r="988" spans="2:6" x14ac:dyDescent="0.2">
      <c r="B988" s="120" t="s">
        <v>4233</v>
      </c>
      <c r="C988" s="121" t="s">
        <v>4234</v>
      </c>
      <c r="D988" s="122">
        <v>1.24</v>
      </c>
      <c r="E988" s="122">
        <v>0.76</v>
      </c>
      <c r="F988" s="122">
        <v>5.04</v>
      </c>
    </row>
    <row r="989" spans="2:6" x14ac:dyDescent="0.2">
      <c r="B989" s="120" t="s">
        <v>4235</v>
      </c>
      <c r="C989" s="121" t="s">
        <v>4236</v>
      </c>
      <c r="D989" s="122">
        <v>0.31</v>
      </c>
      <c r="E989" s="122">
        <v>0.99</v>
      </c>
      <c r="F989" s="122">
        <v>12.67</v>
      </c>
    </row>
    <row r="990" spans="2:6" x14ac:dyDescent="0.2">
      <c r="B990" s="120" t="s">
        <v>1845</v>
      </c>
      <c r="C990" s="121" t="s">
        <v>1846</v>
      </c>
      <c r="D990" s="122">
        <v>1.25</v>
      </c>
      <c r="E990" s="122">
        <v>4.05</v>
      </c>
      <c r="F990" s="122">
        <v>19.510000000000002</v>
      </c>
    </row>
    <row r="991" spans="2:6" x14ac:dyDescent="0.2">
      <c r="B991" s="120" t="s">
        <v>1847</v>
      </c>
      <c r="C991" s="121" t="s">
        <v>1848</v>
      </c>
      <c r="D991" s="122">
        <v>1.89</v>
      </c>
      <c r="E991" s="122">
        <v>2.7</v>
      </c>
      <c r="F991" s="122">
        <v>16.68</v>
      </c>
    </row>
    <row r="992" spans="2:6" x14ac:dyDescent="0.2">
      <c r="B992" s="120" t="s">
        <v>1849</v>
      </c>
      <c r="C992" s="121" t="s">
        <v>1850</v>
      </c>
      <c r="D992" s="122">
        <v>1.89</v>
      </c>
      <c r="E992" s="122">
        <v>2.21</v>
      </c>
      <c r="F992" s="122">
        <v>18.399999999999999</v>
      </c>
    </row>
    <row r="993" spans="2:6" x14ac:dyDescent="0.2">
      <c r="B993" s="120" t="s">
        <v>4237</v>
      </c>
      <c r="C993" s="121" t="s">
        <v>4238</v>
      </c>
      <c r="D993" s="122"/>
      <c r="E993" s="122">
        <v>5.69</v>
      </c>
      <c r="F993" s="122"/>
    </row>
    <row r="994" spans="2:6" x14ac:dyDescent="0.2">
      <c r="B994" s="120" t="s">
        <v>1851</v>
      </c>
      <c r="C994" s="121" t="s">
        <v>1852</v>
      </c>
      <c r="D994" s="122">
        <v>3.49</v>
      </c>
      <c r="E994" s="122">
        <v>16.21</v>
      </c>
      <c r="F994" s="122">
        <v>76.17</v>
      </c>
    </row>
    <row r="995" spans="2:6" x14ac:dyDescent="0.2">
      <c r="B995" s="120" t="s">
        <v>4239</v>
      </c>
      <c r="C995" s="121" t="s">
        <v>4240</v>
      </c>
      <c r="D995" s="122"/>
      <c r="E995" s="122"/>
      <c r="F995" s="122"/>
    </row>
    <row r="996" spans="2:6" x14ac:dyDescent="0.2">
      <c r="B996" s="120" t="s">
        <v>1853</v>
      </c>
      <c r="C996" s="121" t="s">
        <v>1854</v>
      </c>
      <c r="D996" s="122">
        <v>1.51</v>
      </c>
      <c r="E996" s="122">
        <v>0.77</v>
      </c>
      <c r="F996" s="122">
        <v>10.23</v>
      </c>
    </row>
    <row r="997" spans="2:6" x14ac:dyDescent="0.2">
      <c r="B997" s="120" t="s">
        <v>4241</v>
      </c>
      <c r="C997" s="121" t="s">
        <v>4242</v>
      </c>
      <c r="D997" s="122"/>
      <c r="E997" s="122"/>
      <c r="F997" s="122"/>
    </row>
    <row r="998" spans="2:6" x14ac:dyDescent="0.2">
      <c r="B998" s="120" t="s">
        <v>4243</v>
      </c>
      <c r="C998" s="121" t="s">
        <v>4244</v>
      </c>
      <c r="D998" s="122"/>
      <c r="E998" s="122"/>
      <c r="F998" s="122"/>
    </row>
    <row r="999" spans="2:6" x14ac:dyDescent="0.2">
      <c r="B999" s="120" t="s">
        <v>4245</v>
      </c>
      <c r="C999" s="121" t="s">
        <v>4246</v>
      </c>
      <c r="D999" s="122"/>
      <c r="E999" s="122"/>
      <c r="F999" s="122"/>
    </row>
    <row r="1000" spans="2:6" x14ac:dyDescent="0.2">
      <c r="B1000" s="120" t="s">
        <v>4247</v>
      </c>
      <c r="C1000" s="121" t="s">
        <v>4248</v>
      </c>
      <c r="D1000" s="122"/>
      <c r="E1000" s="122"/>
      <c r="F1000" s="122"/>
    </row>
    <row r="1001" spans="2:6" x14ac:dyDescent="0.2">
      <c r="B1001" s="120" t="s">
        <v>4249</v>
      </c>
      <c r="C1001" s="121" t="s">
        <v>4250</v>
      </c>
      <c r="D1001" s="122"/>
      <c r="E1001" s="122"/>
      <c r="F1001" s="122"/>
    </row>
    <row r="1002" spans="2:6" x14ac:dyDescent="0.2">
      <c r="B1002" s="120" t="s">
        <v>4251</v>
      </c>
      <c r="C1002" s="121" t="s">
        <v>4252</v>
      </c>
      <c r="D1002" s="122"/>
      <c r="E1002" s="122"/>
      <c r="F1002" s="122"/>
    </row>
    <row r="1003" spans="2:6" x14ac:dyDescent="0.2">
      <c r="B1003" s="120" t="s">
        <v>4253</v>
      </c>
      <c r="C1003" s="121" t="s">
        <v>4254</v>
      </c>
      <c r="D1003" s="122"/>
      <c r="E1003" s="122"/>
      <c r="F1003" s="122"/>
    </row>
    <row r="1004" spans="2:6" x14ac:dyDescent="0.2">
      <c r="B1004" s="120" t="s">
        <v>4255</v>
      </c>
      <c r="C1004" s="121" t="s">
        <v>4256</v>
      </c>
      <c r="D1004" s="122"/>
      <c r="E1004" s="122"/>
      <c r="F1004" s="122"/>
    </row>
    <row r="1005" spans="2:6" x14ac:dyDescent="0.2">
      <c r="B1005" s="120" t="s">
        <v>1855</v>
      </c>
      <c r="C1005" s="121" t="s">
        <v>1856</v>
      </c>
      <c r="D1005" s="122">
        <v>0.97</v>
      </c>
      <c r="E1005" s="122">
        <v>0.78</v>
      </c>
      <c r="F1005" s="122">
        <v>10.69</v>
      </c>
    </row>
    <row r="1006" spans="2:6" x14ac:dyDescent="0.2">
      <c r="B1006" s="120" t="s">
        <v>4257</v>
      </c>
      <c r="C1006" s="121" t="s">
        <v>4258</v>
      </c>
      <c r="D1006" s="122"/>
      <c r="E1006" s="122"/>
      <c r="F1006" s="122"/>
    </row>
    <row r="1007" spans="2:6" x14ac:dyDescent="0.2">
      <c r="B1007" s="120" t="s">
        <v>4259</v>
      </c>
      <c r="C1007" s="121" t="s">
        <v>4260</v>
      </c>
      <c r="D1007" s="122"/>
      <c r="E1007" s="122"/>
      <c r="F1007" s="122"/>
    </row>
    <row r="1008" spans="2:6" x14ac:dyDescent="0.2">
      <c r="B1008" s="120" t="s">
        <v>1857</v>
      </c>
      <c r="C1008" s="121" t="s">
        <v>1858</v>
      </c>
      <c r="D1008" s="122">
        <v>1.91</v>
      </c>
      <c r="E1008" s="122">
        <v>1.58</v>
      </c>
      <c r="F1008" s="122">
        <v>14.73</v>
      </c>
    </row>
    <row r="1009" spans="2:6" x14ac:dyDescent="0.2">
      <c r="B1009" s="120" t="s">
        <v>4261</v>
      </c>
      <c r="C1009" s="121" t="s">
        <v>4262</v>
      </c>
      <c r="D1009" s="122">
        <v>0.82</v>
      </c>
      <c r="E1009" s="122">
        <v>1.01</v>
      </c>
      <c r="F1009" s="122">
        <v>25.55</v>
      </c>
    </row>
    <row r="1010" spans="2:6" x14ac:dyDescent="0.2">
      <c r="B1010" s="120" t="s">
        <v>1859</v>
      </c>
      <c r="C1010" s="121" t="s">
        <v>1860</v>
      </c>
      <c r="D1010" s="122">
        <v>3.68</v>
      </c>
      <c r="E1010" s="122">
        <v>2.4500000000000002</v>
      </c>
      <c r="F1010" s="122">
        <v>27.72</v>
      </c>
    </row>
    <row r="1011" spans="2:6" x14ac:dyDescent="0.2">
      <c r="B1011" s="120" t="s">
        <v>1861</v>
      </c>
      <c r="C1011" s="121" t="s">
        <v>1862</v>
      </c>
      <c r="D1011" s="122">
        <v>8.31</v>
      </c>
      <c r="E1011" s="122">
        <v>1.54</v>
      </c>
      <c r="F1011" s="122">
        <v>1.45</v>
      </c>
    </row>
    <row r="1012" spans="2:6" x14ac:dyDescent="0.2">
      <c r="B1012" s="120" t="s">
        <v>1863</v>
      </c>
      <c r="C1012" s="121" t="s">
        <v>1864</v>
      </c>
      <c r="D1012" s="122">
        <v>1.37</v>
      </c>
      <c r="E1012" s="122">
        <v>5.71</v>
      </c>
      <c r="F1012" s="122">
        <v>29.35</v>
      </c>
    </row>
    <row r="1013" spans="2:6" x14ac:dyDescent="0.2">
      <c r="B1013" s="120" t="s">
        <v>1865</v>
      </c>
      <c r="C1013" s="121" t="s">
        <v>1866</v>
      </c>
      <c r="D1013" s="122">
        <v>0.19</v>
      </c>
      <c r="E1013" s="122">
        <v>2.5099999999999998</v>
      </c>
      <c r="F1013" s="122">
        <v>18.57</v>
      </c>
    </row>
    <row r="1014" spans="2:6" x14ac:dyDescent="0.2">
      <c r="B1014" s="120" t="s">
        <v>1867</v>
      </c>
      <c r="C1014" s="121" t="s">
        <v>1868</v>
      </c>
      <c r="D1014" s="122">
        <v>0.63</v>
      </c>
      <c r="E1014" s="122">
        <v>1.07</v>
      </c>
      <c r="F1014" s="122">
        <v>11.35</v>
      </c>
    </row>
    <row r="1015" spans="2:6" x14ac:dyDescent="0.2">
      <c r="B1015" s="120" t="s">
        <v>4263</v>
      </c>
      <c r="C1015" s="121" t="s">
        <v>4264</v>
      </c>
      <c r="D1015" s="122">
        <v>0.42</v>
      </c>
      <c r="E1015" s="122">
        <v>2.6</v>
      </c>
      <c r="F1015" s="122">
        <v>1.81</v>
      </c>
    </row>
    <row r="1016" spans="2:6" x14ac:dyDescent="0.2">
      <c r="B1016" s="120" t="s">
        <v>1869</v>
      </c>
      <c r="C1016" s="121" t="s">
        <v>1870</v>
      </c>
      <c r="D1016" s="122">
        <v>1.69</v>
      </c>
      <c r="E1016" s="122">
        <v>6.52</v>
      </c>
      <c r="F1016" s="122">
        <v>33.68</v>
      </c>
    </row>
    <row r="1017" spans="2:6" x14ac:dyDescent="0.2">
      <c r="B1017" s="120" t="s">
        <v>4265</v>
      </c>
      <c r="C1017" s="121" t="s">
        <v>4266</v>
      </c>
      <c r="D1017" s="122"/>
      <c r="E1017" s="122">
        <v>1.96</v>
      </c>
      <c r="F1017" s="122"/>
    </row>
    <row r="1018" spans="2:6" x14ac:dyDescent="0.2">
      <c r="B1018" s="120" t="s">
        <v>1871</v>
      </c>
      <c r="C1018" s="121" t="s">
        <v>1872</v>
      </c>
      <c r="D1018" s="122">
        <v>1.34</v>
      </c>
      <c r="E1018" s="122">
        <v>1.63</v>
      </c>
      <c r="F1018" s="122">
        <v>9.02</v>
      </c>
    </row>
    <row r="1019" spans="2:6" x14ac:dyDescent="0.2">
      <c r="B1019" s="120" t="s">
        <v>1873</v>
      </c>
      <c r="C1019" s="121" t="s">
        <v>1874</v>
      </c>
      <c r="D1019" s="122">
        <v>3.52</v>
      </c>
      <c r="E1019" s="122">
        <v>4.1399999999999997</v>
      </c>
      <c r="F1019" s="122">
        <v>28.85</v>
      </c>
    </row>
    <row r="1020" spans="2:6" x14ac:dyDescent="0.2">
      <c r="B1020" s="120" t="s">
        <v>1875</v>
      </c>
      <c r="C1020" s="121" t="s">
        <v>1876</v>
      </c>
      <c r="D1020" s="122">
        <v>0.6</v>
      </c>
      <c r="E1020" s="122">
        <v>3.55</v>
      </c>
      <c r="F1020" s="122">
        <v>7.72</v>
      </c>
    </row>
    <row r="1021" spans="2:6" x14ac:dyDescent="0.2">
      <c r="B1021" s="120" t="s">
        <v>1877</v>
      </c>
      <c r="C1021" s="121" t="s">
        <v>1878</v>
      </c>
      <c r="D1021" s="122">
        <v>0.92</v>
      </c>
      <c r="E1021" s="122">
        <v>2.04</v>
      </c>
      <c r="F1021" s="122">
        <v>11.11</v>
      </c>
    </row>
    <row r="1022" spans="2:6" x14ac:dyDescent="0.2">
      <c r="B1022" s="120" t="s">
        <v>4267</v>
      </c>
      <c r="C1022" s="121" t="s">
        <v>4268</v>
      </c>
      <c r="D1022" s="122">
        <v>0.76</v>
      </c>
      <c r="E1022" s="122">
        <v>0.59</v>
      </c>
      <c r="F1022" s="122"/>
    </row>
    <row r="1023" spans="2:6" x14ac:dyDescent="0.2">
      <c r="B1023" s="120" t="s">
        <v>4269</v>
      </c>
      <c r="C1023" s="121" t="s">
        <v>4270</v>
      </c>
      <c r="D1023" s="122"/>
      <c r="E1023" s="122"/>
      <c r="F1023" s="122"/>
    </row>
    <row r="1024" spans="2:6" x14ac:dyDescent="0.2">
      <c r="B1024" s="120" t="s">
        <v>1879</v>
      </c>
      <c r="C1024" s="121" t="s">
        <v>1880</v>
      </c>
      <c r="D1024" s="122">
        <v>0.2</v>
      </c>
      <c r="E1024" s="122">
        <v>0.38</v>
      </c>
      <c r="F1024" s="122">
        <v>8.19</v>
      </c>
    </row>
    <row r="1025" spans="2:6" x14ac:dyDescent="0.2">
      <c r="B1025" s="120" t="s">
        <v>1881</v>
      </c>
      <c r="C1025" s="121" t="s">
        <v>1882</v>
      </c>
      <c r="D1025" s="122">
        <v>1.9</v>
      </c>
      <c r="E1025" s="122">
        <v>0.86</v>
      </c>
      <c r="F1025" s="122">
        <v>9.9700000000000006</v>
      </c>
    </row>
    <row r="1026" spans="2:6" x14ac:dyDescent="0.2">
      <c r="B1026" s="120" t="s">
        <v>4271</v>
      </c>
      <c r="C1026" s="121" t="s">
        <v>4272</v>
      </c>
      <c r="D1026" s="122">
        <v>2.95</v>
      </c>
      <c r="E1026" s="122">
        <v>7.81</v>
      </c>
      <c r="F1026" s="122">
        <v>24.5</v>
      </c>
    </row>
    <row r="1027" spans="2:6" x14ac:dyDescent="0.2">
      <c r="B1027" s="120" t="s">
        <v>1883</v>
      </c>
      <c r="C1027" s="121" t="s">
        <v>1884</v>
      </c>
      <c r="D1027" s="122">
        <v>3.07</v>
      </c>
      <c r="E1027" s="122">
        <v>4.46</v>
      </c>
      <c r="F1027" s="122">
        <v>11.65</v>
      </c>
    </row>
    <row r="1028" spans="2:6" x14ac:dyDescent="0.2">
      <c r="B1028" s="120" t="s">
        <v>1885</v>
      </c>
      <c r="C1028" s="121" t="s">
        <v>1886</v>
      </c>
      <c r="D1028" s="122">
        <v>7.32</v>
      </c>
      <c r="E1028" s="122">
        <v>7.98</v>
      </c>
      <c r="F1028" s="122">
        <v>19.37</v>
      </c>
    </row>
    <row r="1029" spans="2:6" x14ac:dyDescent="0.2">
      <c r="B1029" s="120" t="s">
        <v>1887</v>
      </c>
      <c r="C1029" s="121" t="s">
        <v>1888</v>
      </c>
      <c r="D1029" s="122">
        <v>0.42</v>
      </c>
      <c r="E1029" s="122">
        <v>1.62</v>
      </c>
      <c r="F1029" s="122">
        <v>15.79</v>
      </c>
    </row>
    <row r="1030" spans="2:6" x14ac:dyDescent="0.2">
      <c r="B1030" s="120" t="s">
        <v>4273</v>
      </c>
      <c r="C1030" s="121" t="s">
        <v>4274</v>
      </c>
      <c r="D1030" s="122"/>
      <c r="E1030" s="122">
        <v>0.68</v>
      </c>
      <c r="F1030" s="122"/>
    </row>
    <row r="1031" spans="2:6" x14ac:dyDescent="0.2">
      <c r="B1031" s="120" t="s">
        <v>1889</v>
      </c>
      <c r="C1031" s="121" t="s">
        <v>1890</v>
      </c>
      <c r="D1031" s="122"/>
      <c r="E1031" s="122">
        <v>2.2200000000000002</v>
      </c>
      <c r="F1031" s="122"/>
    </row>
    <row r="1032" spans="2:6" x14ac:dyDescent="0.2">
      <c r="B1032" s="120" t="s">
        <v>1891</v>
      </c>
      <c r="C1032" s="121" t="s">
        <v>1892</v>
      </c>
      <c r="D1032" s="122">
        <v>4.2699999999999996</v>
      </c>
      <c r="E1032" s="122">
        <v>5.72</v>
      </c>
      <c r="F1032" s="122">
        <v>38.630000000000003</v>
      </c>
    </row>
    <row r="1033" spans="2:6" x14ac:dyDescent="0.2">
      <c r="B1033" s="120" t="s">
        <v>4275</v>
      </c>
      <c r="C1033" s="121" t="s">
        <v>4276</v>
      </c>
      <c r="D1033" s="122"/>
      <c r="E1033" s="122"/>
      <c r="F1033" s="122"/>
    </row>
    <row r="1034" spans="2:6" x14ac:dyDescent="0.2">
      <c r="B1034" s="120" t="s">
        <v>1893</v>
      </c>
      <c r="C1034" s="121" t="s">
        <v>1894</v>
      </c>
      <c r="D1034" s="122">
        <v>1.85</v>
      </c>
      <c r="E1034" s="122">
        <v>1.81</v>
      </c>
      <c r="F1034" s="122">
        <v>10</v>
      </c>
    </row>
    <row r="1035" spans="2:6" x14ac:dyDescent="0.2">
      <c r="B1035" s="120" t="s">
        <v>4277</v>
      </c>
      <c r="C1035" s="121" t="s">
        <v>4278</v>
      </c>
      <c r="D1035" s="122">
        <v>8.39</v>
      </c>
      <c r="E1035" s="122">
        <v>3.03</v>
      </c>
      <c r="F1035" s="122">
        <v>17.75</v>
      </c>
    </row>
    <row r="1036" spans="2:6" x14ac:dyDescent="0.2">
      <c r="B1036" s="120" t="s">
        <v>1895</v>
      </c>
      <c r="C1036" s="121" t="s">
        <v>1896</v>
      </c>
      <c r="D1036" s="122">
        <v>2.74</v>
      </c>
      <c r="E1036" s="122">
        <v>1.61</v>
      </c>
      <c r="F1036" s="122">
        <v>14.4</v>
      </c>
    </row>
    <row r="1037" spans="2:6" x14ac:dyDescent="0.2">
      <c r="B1037" s="120" t="s">
        <v>1897</v>
      </c>
      <c r="C1037" s="121" t="s">
        <v>1898</v>
      </c>
      <c r="D1037" s="122">
        <v>0.53</v>
      </c>
      <c r="E1037" s="122">
        <v>4.62</v>
      </c>
      <c r="F1037" s="122">
        <v>19.45</v>
      </c>
    </row>
    <row r="1038" spans="2:6" x14ac:dyDescent="0.2">
      <c r="B1038" s="120" t="s">
        <v>1899</v>
      </c>
      <c r="C1038" s="121" t="s">
        <v>1900</v>
      </c>
      <c r="D1038" s="122"/>
      <c r="E1038" s="122">
        <v>0.54</v>
      </c>
      <c r="F1038" s="122"/>
    </row>
    <row r="1039" spans="2:6" x14ac:dyDescent="0.2">
      <c r="B1039" s="120" t="s">
        <v>1901</v>
      </c>
      <c r="C1039" s="121" t="s">
        <v>1902</v>
      </c>
      <c r="D1039" s="122">
        <v>0.77</v>
      </c>
      <c r="E1039" s="122">
        <v>0.9</v>
      </c>
      <c r="F1039" s="122">
        <v>6.72</v>
      </c>
    </row>
    <row r="1040" spans="2:6" x14ac:dyDescent="0.2">
      <c r="B1040" s="120" t="s">
        <v>4279</v>
      </c>
      <c r="C1040" s="121" t="s">
        <v>4280</v>
      </c>
      <c r="D1040" s="122"/>
      <c r="E1040" s="122">
        <v>0.59</v>
      </c>
      <c r="F1040" s="122"/>
    </row>
    <row r="1041" spans="2:6" x14ac:dyDescent="0.2">
      <c r="B1041" s="120" t="s">
        <v>1903</v>
      </c>
      <c r="C1041" s="121" t="s">
        <v>1904</v>
      </c>
      <c r="D1041" s="122">
        <v>0.32</v>
      </c>
      <c r="E1041" s="122">
        <v>6.56</v>
      </c>
      <c r="F1041" s="122">
        <v>62.11</v>
      </c>
    </row>
    <row r="1042" spans="2:6" x14ac:dyDescent="0.2">
      <c r="B1042" s="120" t="s">
        <v>1905</v>
      </c>
      <c r="C1042" s="121" t="s">
        <v>1906</v>
      </c>
      <c r="D1042" s="122">
        <v>1.58</v>
      </c>
      <c r="E1042" s="122">
        <v>6.76</v>
      </c>
      <c r="F1042" s="122">
        <v>41.91</v>
      </c>
    </row>
    <row r="1043" spans="2:6" x14ac:dyDescent="0.2">
      <c r="B1043" s="120" t="s">
        <v>1907</v>
      </c>
      <c r="C1043" s="121" t="s">
        <v>1908</v>
      </c>
      <c r="D1043" s="122">
        <v>0.93</v>
      </c>
      <c r="E1043" s="122">
        <v>1.93</v>
      </c>
      <c r="F1043" s="122">
        <v>19.93</v>
      </c>
    </row>
    <row r="1044" spans="2:6" x14ac:dyDescent="0.2">
      <c r="B1044" s="120" t="s">
        <v>1909</v>
      </c>
      <c r="C1044" s="121" t="s">
        <v>1910</v>
      </c>
      <c r="D1044" s="122">
        <v>0.96</v>
      </c>
      <c r="E1044" s="122">
        <v>481.91</v>
      </c>
      <c r="F1044" s="122">
        <v>10.94</v>
      </c>
    </row>
    <row r="1045" spans="2:6" x14ac:dyDescent="0.2">
      <c r="B1045" s="120" t="s">
        <v>1911</v>
      </c>
      <c r="C1045" s="121" t="s">
        <v>1912</v>
      </c>
      <c r="D1045" s="122">
        <v>2.5099999999999998</v>
      </c>
      <c r="E1045" s="122">
        <v>1.27</v>
      </c>
      <c r="F1045" s="122">
        <v>12.56</v>
      </c>
    </row>
    <row r="1046" spans="2:6" x14ac:dyDescent="0.2">
      <c r="B1046" s="120" t="s">
        <v>1913</v>
      </c>
      <c r="C1046" s="121" t="s">
        <v>1914</v>
      </c>
      <c r="D1046" s="122">
        <v>0.67</v>
      </c>
      <c r="E1046" s="122">
        <v>2</v>
      </c>
      <c r="F1046" s="122">
        <v>13.09</v>
      </c>
    </row>
    <row r="1047" spans="2:6" x14ac:dyDescent="0.2">
      <c r="B1047" s="120" t="s">
        <v>4281</v>
      </c>
      <c r="C1047" s="121" t="s">
        <v>4282</v>
      </c>
      <c r="D1047" s="122">
        <v>2.87</v>
      </c>
      <c r="E1047" s="122">
        <v>77.72</v>
      </c>
      <c r="F1047" s="122">
        <v>116.64</v>
      </c>
    </row>
    <row r="1048" spans="2:6" x14ac:dyDescent="0.2">
      <c r="B1048" s="120" t="s">
        <v>4283</v>
      </c>
      <c r="C1048" s="121" t="s">
        <v>4284</v>
      </c>
      <c r="D1048" s="122">
        <v>1.36</v>
      </c>
      <c r="E1048" s="122"/>
      <c r="F1048" s="122"/>
    </row>
    <row r="1049" spans="2:6" x14ac:dyDescent="0.2">
      <c r="B1049" s="120" t="s">
        <v>1915</v>
      </c>
      <c r="C1049" s="121" t="s">
        <v>1916</v>
      </c>
      <c r="D1049" s="122">
        <v>3.54</v>
      </c>
      <c r="E1049" s="122">
        <v>1.68</v>
      </c>
      <c r="F1049" s="122">
        <v>7.15</v>
      </c>
    </row>
    <row r="1050" spans="2:6" x14ac:dyDescent="0.2">
      <c r="B1050" s="120" t="s">
        <v>1917</v>
      </c>
      <c r="C1050" s="121" t="s">
        <v>1918</v>
      </c>
      <c r="D1050" s="122">
        <v>0.25</v>
      </c>
      <c r="E1050" s="122">
        <v>0.22</v>
      </c>
      <c r="F1050" s="122">
        <v>-1.75</v>
      </c>
    </row>
    <row r="1051" spans="2:6" x14ac:dyDescent="0.2">
      <c r="B1051" s="120" t="s">
        <v>1919</v>
      </c>
      <c r="C1051" s="121" t="s">
        <v>1920</v>
      </c>
      <c r="D1051" s="122">
        <v>1.64</v>
      </c>
      <c r="E1051" s="122">
        <v>1.45</v>
      </c>
      <c r="F1051" s="122">
        <v>5.47</v>
      </c>
    </row>
    <row r="1052" spans="2:6" x14ac:dyDescent="0.2">
      <c r="B1052" s="120" t="s">
        <v>1921</v>
      </c>
      <c r="C1052" s="121" t="s">
        <v>1922</v>
      </c>
      <c r="D1052" s="122">
        <v>2.35</v>
      </c>
      <c r="E1052" s="122">
        <v>1.18</v>
      </c>
      <c r="F1052" s="122">
        <v>12.82</v>
      </c>
    </row>
    <row r="1053" spans="2:6" x14ac:dyDescent="0.2">
      <c r="B1053" s="120" t="s">
        <v>1923</v>
      </c>
      <c r="C1053" s="121" t="s">
        <v>1924</v>
      </c>
      <c r="D1053" s="122">
        <v>4.38</v>
      </c>
      <c r="E1053" s="122">
        <v>6.31</v>
      </c>
      <c r="F1053" s="122">
        <v>28.65</v>
      </c>
    </row>
    <row r="1054" spans="2:6" x14ac:dyDescent="0.2">
      <c r="B1054" s="120" t="s">
        <v>1925</v>
      </c>
      <c r="C1054" s="121" t="s">
        <v>1926</v>
      </c>
      <c r="D1054" s="122">
        <v>2.0499999999999998</v>
      </c>
      <c r="E1054" s="122">
        <v>1.37</v>
      </c>
      <c r="F1054" s="122">
        <v>2.78</v>
      </c>
    </row>
    <row r="1055" spans="2:6" x14ac:dyDescent="0.2">
      <c r="B1055" s="120" t="s">
        <v>1927</v>
      </c>
      <c r="C1055" s="121" t="s">
        <v>1928</v>
      </c>
      <c r="D1055" s="122"/>
      <c r="E1055" s="122">
        <v>4.5999999999999996</v>
      </c>
      <c r="F1055" s="122"/>
    </row>
    <row r="1056" spans="2:6" x14ac:dyDescent="0.2">
      <c r="B1056" s="120" t="s">
        <v>1929</v>
      </c>
      <c r="C1056" s="121" t="s">
        <v>1930</v>
      </c>
      <c r="D1056" s="122"/>
      <c r="E1056" s="122">
        <v>0.61</v>
      </c>
      <c r="F1056" s="122"/>
    </row>
    <row r="1057" spans="2:6" x14ac:dyDescent="0.2">
      <c r="B1057" s="120" t="s">
        <v>1931</v>
      </c>
      <c r="C1057" s="121" t="s">
        <v>1932</v>
      </c>
      <c r="D1057" s="122">
        <v>1.34</v>
      </c>
      <c r="E1057" s="122">
        <v>0.66</v>
      </c>
      <c r="F1057" s="122">
        <v>6.06</v>
      </c>
    </row>
    <row r="1058" spans="2:6" x14ac:dyDescent="0.2">
      <c r="B1058" s="120" t="s">
        <v>1933</v>
      </c>
      <c r="C1058" s="121" t="s">
        <v>1934</v>
      </c>
      <c r="D1058" s="122">
        <v>0.84</v>
      </c>
      <c r="E1058" s="122">
        <v>7.14</v>
      </c>
      <c r="F1058" s="122">
        <v>32.69</v>
      </c>
    </row>
    <row r="1059" spans="2:6" x14ac:dyDescent="0.2">
      <c r="B1059" s="120" t="s">
        <v>1935</v>
      </c>
      <c r="C1059" s="121" t="s">
        <v>1936</v>
      </c>
      <c r="D1059" s="122">
        <v>0.62</v>
      </c>
      <c r="E1059" s="122">
        <v>1.52</v>
      </c>
      <c r="F1059" s="122">
        <v>12.98</v>
      </c>
    </row>
    <row r="1060" spans="2:6" x14ac:dyDescent="0.2">
      <c r="B1060" s="120" t="s">
        <v>4285</v>
      </c>
      <c r="C1060" s="121" t="s">
        <v>4286</v>
      </c>
      <c r="D1060" s="122">
        <v>7.46</v>
      </c>
      <c r="E1060" s="122">
        <v>1.59</v>
      </c>
      <c r="F1060" s="122">
        <v>7.23</v>
      </c>
    </row>
    <row r="1061" spans="2:6" x14ac:dyDescent="0.2">
      <c r="B1061" s="120" t="s">
        <v>4287</v>
      </c>
      <c r="C1061" s="121" t="s">
        <v>4288</v>
      </c>
      <c r="D1061" s="122"/>
      <c r="E1061" s="122">
        <v>2.5</v>
      </c>
      <c r="F1061" s="122"/>
    </row>
    <row r="1062" spans="2:6" x14ac:dyDescent="0.2">
      <c r="B1062" s="120" t="s">
        <v>1937</v>
      </c>
      <c r="C1062" s="121" t="s">
        <v>1938</v>
      </c>
      <c r="D1062" s="122"/>
      <c r="E1062" s="122"/>
      <c r="F1062" s="122"/>
    </row>
    <row r="1063" spans="2:6" x14ac:dyDescent="0.2">
      <c r="B1063" s="120" t="s">
        <v>1937</v>
      </c>
      <c r="C1063" s="121" t="s">
        <v>4289</v>
      </c>
      <c r="D1063" s="122"/>
      <c r="E1063" s="122">
        <v>5.76</v>
      </c>
      <c r="F1063" s="122"/>
    </row>
    <row r="1064" spans="2:6" x14ac:dyDescent="0.2">
      <c r="B1064" s="120" t="s">
        <v>1939</v>
      </c>
      <c r="C1064" s="121" t="s">
        <v>1940</v>
      </c>
      <c r="D1064" s="122">
        <v>4.5199999999999996</v>
      </c>
      <c r="E1064" s="122">
        <v>0.56999999999999995</v>
      </c>
      <c r="F1064" s="122">
        <v>5.27</v>
      </c>
    </row>
    <row r="1065" spans="2:6" x14ac:dyDescent="0.2">
      <c r="B1065" s="120" t="s">
        <v>1941</v>
      </c>
      <c r="C1065" s="121" t="s">
        <v>1942</v>
      </c>
      <c r="D1065" s="122">
        <v>9.11</v>
      </c>
      <c r="E1065" s="122">
        <v>6.74</v>
      </c>
      <c r="F1065" s="122">
        <v>29.11</v>
      </c>
    </row>
    <row r="1066" spans="2:6" x14ac:dyDescent="0.2">
      <c r="B1066" s="120" t="s">
        <v>1943</v>
      </c>
      <c r="C1066" s="121" t="s">
        <v>1944</v>
      </c>
      <c r="D1066" s="122">
        <v>5.42</v>
      </c>
      <c r="E1066" s="122">
        <v>9.25</v>
      </c>
      <c r="F1066" s="122">
        <v>60.86</v>
      </c>
    </row>
    <row r="1067" spans="2:6" x14ac:dyDescent="0.2">
      <c r="B1067" s="120" t="s">
        <v>4290</v>
      </c>
      <c r="C1067" s="121" t="s">
        <v>4291</v>
      </c>
      <c r="D1067" s="122">
        <v>7.1</v>
      </c>
      <c r="E1067" s="122">
        <v>10.08</v>
      </c>
      <c r="F1067" s="122">
        <v>-3.93</v>
      </c>
    </row>
    <row r="1068" spans="2:6" x14ac:dyDescent="0.2">
      <c r="B1068" s="120" t="s">
        <v>1945</v>
      </c>
      <c r="C1068" s="121" t="s">
        <v>1946</v>
      </c>
      <c r="D1068" s="122"/>
      <c r="E1068" s="122">
        <v>0.69</v>
      </c>
      <c r="F1068" s="122"/>
    </row>
    <row r="1069" spans="2:6" x14ac:dyDescent="0.2">
      <c r="B1069" s="120" t="s">
        <v>1947</v>
      </c>
      <c r="C1069" s="121" t="s">
        <v>1948</v>
      </c>
      <c r="D1069" s="122"/>
      <c r="E1069" s="122">
        <v>0.69</v>
      </c>
      <c r="F1069" s="122"/>
    </row>
    <row r="1070" spans="2:6" x14ac:dyDescent="0.2">
      <c r="B1070" s="120" t="s">
        <v>1949</v>
      </c>
      <c r="C1070" s="121" t="s">
        <v>1950</v>
      </c>
      <c r="D1070" s="122">
        <v>2.5299999999999998</v>
      </c>
      <c r="E1070" s="122">
        <v>929.45</v>
      </c>
      <c r="F1070" s="122">
        <v>27094.12</v>
      </c>
    </row>
    <row r="1071" spans="2:6" x14ac:dyDescent="0.2">
      <c r="B1071" s="120" t="s">
        <v>1951</v>
      </c>
      <c r="C1071" s="121" t="s">
        <v>1952</v>
      </c>
      <c r="D1071" s="122">
        <v>3.4</v>
      </c>
      <c r="E1071" s="122">
        <v>1.37</v>
      </c>
      <c r="F1071" s="122">
        <v>6.23</v>
      </c>
    </row>
    <row r="1072" spans="2:6" x14ac:dyDescent="0.2">
      <c r="B1072" s="120" t="s">
        <v>1953</v>
      </c>
      <c r="C1072" s="121" t="s">
        <v>1954</v>
      </c>
      <c r="D1072" s="122">
        <v>1.08</v>
      </c>
      <c r="E1072" s="122">
        <v>1.41</v>
      </c>
      <c r="F1072" s="122">
        <v>10.84</v>
      </c>
    </row>
    <row r="1073" spans="2:6" x14ac:dyDescent="0.2">
      <c r="B1073" s="120" t="s">
        <v>1955</v>
      </c>
      <c r="C1073" s="121" t="s">
        <v>1956</v>
      </c>
      <c r="D1073" s="122">
        <v>0.89</v>
      </c>
      <c r="E1073" s="122">
        <v>1.37</v>
      </c>
      <c r="F1073" s="122">
        <v>14.15</v>
      </c>
    </row>
    <row r="1074" spans="2:6" x14ac:dyDescent="0.2">
      <c r="B1074" s="120" t="s">
        <v>1957</v>
      </c>
      <c r="C1074" s="121" t="s">
        <v>1958</v>
      </c>
      <c r="D1074" s="122">
        <v>0.75</v>
      </c>
      <c r="E1074" s="122">
        <v>4.07</v>
      </c>
      <c r="F1074" s="122">
        <v>25.37</v>
      </c>
    </row>
    <row r="1075" spans="2:6" x14ac:dyDescent="0.2">
      <c r="B1075" s="120" t="s">
        <v>4292</v>
      </c>
      <c r="C1075" s="121" t="s">
        <v>4293</v>
      </c>
      <c r="D1075" s="122"/>
      <c r="E1075" s="122">
        <v>1.88</v>
      </c>
      <c r="F1075" s="122"/>
    </row>
    <row r="1076" spans="2:6" x14ac:dyDescent="0.2">
      <c r="B1076" s="120" t="s">
        <v>1959</v>
      </c>
      <c r="C1076" s="121" t="s">
        <v>1960</v>
      </c>
      <c r="D1076" s="122">
        <v>0.38</v>
      </c>
      <c r="E1076" s="122">
        <v>6.44</v>
      </c>
      <c r="F1076" s="122">
        <v>10.31</v>
      </c>
    </row>
    <row r="1077" spans="2:6" x14ac:dyDescent="0.2">
      <c r="B1077" s="120" t="s">
        <v>1961</v>
      </c>
      <c r="C1077" s="121" t="s">
        <v>1962</v>
      </c>
      <c r="D1077" s="122">
        <v>2.72</v>
      </c>
      <c r="E1077" s="122">
        <v>2.58</v>
      </c>
      <c r="F1077" s="122">
        <v>12.72</v>
      </c>
    </row>
    <row r="1078" spans="2:6" x14ac:dyDescent="0.2">
      <c r="B1078" s="120" t="s">
        <v>4294</v>
      </c>
      <c r="C1078" s="121" t="s">
        <v>4295</v>
      </c>
      <c r="D1078" s="122"/>
      <c r="E1078" s="122">
        <v>0.83</v>
      </c>
      <c r="F1078" s="122">
        <v>13.38</v>
      </c>
    </row>
    <row r="1079" spans="2:6" x14ac:dyDescent="0.2">
      <c r="B1079" s="120" t="s">
        <v>1963</v>
      </c>
      <c r="C1079" s="121" t="s">
        <v>1964</v>
      </c>
      <c r="D1079" s="122">
        <v>1.1499999999999999</v>
      </c>
      <c r="E1079" s="122">
        <v>1.08</v>
      </c>
      <c r="F1079" s="122">
        <v>8.66</v>
      </c>
    </row>
    <row r="1080" spans="2:6" x14ac:dyDescent="0.2">
      <c r="B1080" s="120" t="s">
        <v>1965</v>
      </c>
      <c r="C1080" s="121" t="s">
        <v>1966</v>
      </c>
      <c r="D1080" s="122">
        <v>6.92</v>
      </c>
      <c r="E1080" s="122">
        <v>11.36</v>
      </c>
      <c r="F1080" s="122">
        <v>45.67</v>
      </c>
    </row>
    <row r="1081" spans="2:6" x14ac:dyDescent="0.2">
      <c r="B1081" s="120" t="s">
        <v>1967</v>
      </c>
      <c r="C1081" s="121" t="s">
        <v>1968</v>
      </c>
      <c r="D1081" s="122">
        <v>1.35</v>
      </c>
      <c r="E1081" s="122">
        <v>1.95</v>
      </c>
      <c r="F1081" s="122">
        <v>9.02</v>
      </c>
    </row>
    <row r="1082" spans="2:6" x14ac:dyDescent="0.2">
      <c r="B1082" s="120" t="s">
        <v>4296</v>
      </c>
      <c r="C1082" s="121" t="s">
        <v>4297</v>
      </c>
      <c r="D1082" s="122">
        <v>1.72</v>
      </c>
      <c r="E1082" s="122">
        <v>0.93</v>
      </c>
      <c r="F1082" s="122">
        <v>6.06</v>
      </c>
    </row>
    <row r="1083" spans="2:6" x14ac:dyDescent="0.2">
      <c r="B1083" s="120" t="s">
        <v>1969</v>
      </c>
      <c r="C1083" s="121" t="s">
        <v>14</v>
      </c>
      <c r="D1083" s="122">
        <v>0.17</v>
      </c>
      <c r="E1083" s="122">
        <v>2.37</v>
      </c>
      <c r="F1083" s="122">
        <v>21.17</v>
      </c>
    </row>
    <row r="1084" spans="2:6" x14ac:dyDescent="0.2">
      <c r="B1084" s="120" t="s">
        <v>1970</v>
      </c>
      <c r="C1084" s="121" t="s">
        <v>1971</v>
      </c>
      <c r="D1084" s="122">
        <v>10.19</v>
      </c>
      <c r="E1084" s="122">
        <v>1.9</v>
      </c>
      <c r="F1084" s="122">
        <v>6.58</v>
      </c>
    </row>
    <row r="1085" spans="2:6" x14ac:dyDescent="0.2">
      <c r="B1085" s="120" t="s">
        <v>4298</v>
      </c>
      <c r="C1085" s="121" t="s">
        <v>4299</v>
      </c>
      <c r="D1085" s="122"/>
      <c r="E1085" s="122"/>
      <c r="F1085" s="122"/>
    </row>
    <row r="1086" spans="2:6" x14ac:dyDescent="0.2">
      <c r="B1086" s="120" t="s">
        <v>4300</v>
      </c>
      <c r="C1086" s="121" t="s">
        <v>4301</v>
      </c>
      <c r="D1086" s="122"/>
      <c r="E1086" s="122">
        <v>4.25</v>
      </c>
      <c r="F1086" s="122"/>
    </row>
    <row r="1087" spans="2:6" x14ac:dyDescent="0.2">
      <c r="B1087" s="120" t="s">
        <v>1972</v>
      </c>
      <c r="C1087" s="121" t="s">
        <v>1973</v>
      </c>
      <c r="D1087" s="122">
        <v>0.39</v>
      </c>
      <c r="E1087" s="122">
        <v>1.43</v>
      </c>
      <c r="F1087" s="122">
        <v>15.94</v>
      </c>
    </row>
    <row r="1088" spans="2:6" x14ac:dyDescent="0.2">
      <c r="B1088" s="120" t="s">
        <v>1974</v>
      </c>
      <c r="C1088" s="121" t="s">
        <v>1975</v>
      </c>
      <c r="D1088" s="122">
        <v>4.74</v>
      </c>
      <c r="E1088" s="122">
        <v>2.56</v>
      </c>
      <c r="F1088" s="122">
        <v>12.45</v>
      </c>
    </row>
    <row r="1089" spans="2:6" x14ac:dyDescent="0.2">
      <c r="B1089" s="120" t="s">
        <v>1976</v>
      </c>
      <c r="C1089" s="121" t="s">
        <v>1977</v>
      </c>
      <c r="D1089" s="122"/>
      <c r="E1089" s="122">
        <v>0.42</v>
      </c>
      <c r="F1089" s="122"/>
    </row>
    <row r="1090" spans="2:6" x14ac:dyDescent="0.2">
      <c r="B1090" s="120" t="s">
        <v>1978</v>
      </c>
      <c r="C1090" s="121" t="s">
        <v>1979</v>
      </c>
      <c r="D1090" s="122"/>
      <c r="E1090" s="122"/>
      <c r="F1090" s="122"/>
    </row>
    <row r="1091" spans="2:6" x14ac:dyDescent="0.2">
      <c r="B1091" s="120" t="s">
        <v>1980</v>
      </c>
      <c r="C1091" s="121" t="s">
        <v>1981</v>
      </c>
      <c r="D1091" s="122">
        <v>0.81</v>
      </c>
      <c r="E1091" s="122">
        <v>0.85</v>
      </c>
      <c r="F1091" s="122">
        <v>6.05</v>
      </c>
    </row>
    <row r="1092" spans="2:6" x14ac:dyDescent="0.2">
      <c r="B1092" s="120" t="s">
        <v>4302</v>
      </c>
      <c r="C1092" s="121" t="s">
        <v>4303</v>
      </c>
      <c r="D1092" s="122">
        <v>4.87</v>
      </c>
      <c r="E1092" s="122">
        <v>2.4500000000000002</v>
      </c>
      <c r="F1092" s="122">
        <v>13.49</v>
      </c>
    </row>
    <row r="1093" spans="2:6" x14ac:dyDescent="0.2">
      <c r="B1093" s="120" t="s">
        <v>1982</v>
      </c>
      <c r="C1093" s="121" t="s">
        <v>1983</v>
      </c>
      <c r="D1093" s="122">
        <v>0.25</v>
      </c>
      <c r="E1093" s="122">
        <v>0.84</v>
      </c>
      <c r="F1093" s="122">
        <v>3.42</v>
      </c>
    </row>
    <row r="1094" spans="2:6" x14ac:dyDescent="0.2">
      <c r="B1094" s="120" t="s">
        <v>1984</v>
      </c>
      <c r="C1094" s="121" t="s">
        <v>1985</v>
      </c>
      <c r="D1094" s="122">
        <v>1.57</v>
      </c>
      <c r="E1094" s="122">
        <v>1.03</v>
      </c>
      <c r="F1094" s="122">
        <v>3.83</v>
      </c>
    </row>
    <row r="1095" spans="2:6" x14ac:dyDescent="0.2">
      <c r="B1095" s="120" t="s">
        <v>1986</v>
      </c>
      <c r="C1095" s="121" t="s">
        <v>1987</v>
      </c>
      <c r="D1095" s="122">
        <v>1.08</v>
      </c>
      <c r="E1095" s="122">
        <v>0.69</v>
      </c>
      <c r="F1095" s="122">
        <v>4.72</v>
      </c>
    </row>
    <row r="1096" spans="2:6" x14ac:dyDescent="0.2">
      <c r="B1096" s="120" t="s">
        <v>1988</v>
      </c>
      <c r="C1096" s="121" t="s">
        <v>1989</v>
      </c>
      <c r="D1096" s="122">
        <v>0.25</v>
      </c>
      <c r="E1096" s="122">
        <v>2.37</v>
      </c>
      <c r="F1096" s="122">
        <v>20.74</v>
      </c>
    </row>
    <row r="1097" spans="2:6" x14ac:dyDescent="0.2">
      <c r="B1097" s="120" t="s">
        <v>1990</v>
      </c>
      <c r="C1097" s="121" t="s">
        <v>1991</v>
      </c>
      <c r="D1097" s="122">
        <v>4.78</v>
      </c>
      <c r="E1097" s="122">
        <v>7.03</v>
      </c>
      <c r="F1097" s="122">
        <v>32.1</v>
      </c>
    </row>
    <row r="1098" spans="2:6" x14ac:dyDescent="0.2">
      <c r="B1098" s="120" t="s">
        <v>4304</v>
      </c>
      <c r="C1098" s="121" t="s">
        <v>4305</v>
      </c>
      <c r="D1098" s="122">
        <v>3.01</v>
      </c>
      <c r="E1098" s="122">
        <v>5.42</v>
      </c>
      <c r="F1098" s="122">
        <v>19.88</v>
      </c>
    </row>
    <row r="1099" spans="2:6" x14ac:dyDescent="0.2">
      <c r="B1099" s="120" t="s">
        <v>1992</v>
      </c>
      <c r="C1099" s="121" t="s">
        <v>1993</v>
      </c>
      <c r="D1099" s="122">
        <v>1.18</v>
      </c>
      <c r="E1099" s="122">
        <v>1.26</v>
      </c>
      <c r="F1099" s="122">
        <v>-0.85</v>
      </c>
    </row>
    <row r="1100" spans="2:6" x14ac:dyDescent="0.2">
      <c r="B1100" s="120" t="s">
        <v>1994</v>
      </c>
      <c r="C1100" s="121" t="s">
        <v>1995</v>
      </c>
      <c r="D1100" s="122">
        <v>1.72</v>
      </c>
      <c r="E1100" s="122">
        <v>6.38</v>
      </c>
      <c r="F1100" s="122">
        <v>47.09</v>
      </c>
    </row>
    <row r="1101" spans="2:6" x14ac:dyDescent="0.2">
      <c r="B1101" s="120" t="s">
        <v>1996</v>
      </c>
      <c r="C1101" s="121" t="s">
        <v>1997</v>
      </c>
      <c r="D1101" s="122">
        <v>0.4</v>
      </c>
      <c r="E1101" s="122"/>
      <c r="F1101" s="122">
        <v>-74.73</v>
      </c>
    </row>
    <row r="1102" spans="2:6" x14ac:dyDescent="0.2">
      <c r="B1102" s="120" t="s">
        <v>1998</v>
      </c>
      <c r="C1102" s="121" t="s">
        <v>4306</v>
      </c>
      <c r="D1102" s="122">
        <v>1357.32</v>
      </c>
      <c r="E1102" s="122">
        <v>1.83</v>
      </c>
      <c r="F1102" s="122">
        <v>0.68</v>
      </c>
    </row>
    <row r="1103" spans="2:6" x14ac:dyDescent="0.2">
      <c r="B1103" s="120" t="s">
        <v>1998</v>
      </c>
      <c r="C1103" s="121" t="s">
        <v>1999</v>
      </c>
      <c r="D1103" s="122">
        <v>1359.61</v>
      </c>
      <c r="E1103" s="122">
        <v>1.84</v>
      </c>
      <c r="F1103" s="122">
        <v>0.68</v>
      </c>
    </row>
    <row r="1104" spans="2:6" x14ac:dyDescent="0.2">
      <c r="B1104" s="120" t="s">
        <v>2000</v>
      </c>
      <c r="C1104" s="121" t="s">
        <v>2001</v>
      </c>
      <c r="D1104" s="122">
        <v>1.64</v>
      </c>
      <c r="E1104" s="122">
        <v>5.19</v>
      </c>
      <c r="F1104" s="122">
        <v>-26.88</v>
      </c>
    </row>
    <row r="1105" spans="2:6" x14ac:dyDescent="0.2">
      <c r="B1105" s="120" t="s">
        <v>2000</v>
      </c>
      <c r="C1105" s="121" t="s">
        <v>4307</v>
      </c>
      <c r="D1105" s="122">
        <v>1.61</v>
      </c>
      <c r="E1105" s="122">
        <v>5.0999999999999996</v>
      </c>
      <c r="F1105" s="122">
        <v>-26.88</v>
      </c>
    </row>
    <row r="1106" spans="2:6" x14ac:dyDescent="0.2">
      <c r="B1106" s="120" t="s">
        <v>2000</v>
      </c>
      <c r="C1106" s="121" t="s">
        <v>4308</v>
      </c>
      <c r="D1106" s="122">
        <v>1.58</v>
      </c>
      <c r="E1106" s="122">
        <v>4.99</v>
      </c>
      <c r="F1106" s="122">
        <v>-26.88</v>
      </c>
    </row>
    <row r="1107" spans="2:6" x14ac:dyDescent="0.2">
      <c r="B1107" s="120" t="s">
        <v>2002</v>
      </c>
      <c r="C1107" s="121" t="s">
        <v>2003</v>
      </c>
      <c r="D1107" s="122">
        <v>1.18</v>
      </c>
      <c r="E1107" s="122">
        <v>3.69</v>
      </c>
      <c r="F1107" s="122">
        <v>20.11</v>
      </c>
    </row>
    <row r="1108" spans="2:6" x14ac:dyDescent="0.2">
      <c r="B1108" s="120" t="s">
        <v>2004</v>
      </c>
      <c r="C1108" s="121" t="s">
        <v>2005</v>
      </c>
      <c r="D1108" s="122">
        <v>0.36</v>
      </c>
      <c r="E1108" s="122">
        <v>1.65</v>
      </c>
      <c r="F1108" s="122">
        <v>23.18</v>
      </c>
    </row>
    <row r="1109" spans="2:6" x14ac:dyDescent="0.2">
      <c r="B1109" s="120" t="s">
        <v>2006</v>
      </c>
      <c r="C1109" s="121" t="s">
        <v>2007</v>
      </c>
      <c r="D1109" s="122">
        <v>1.77</v>
      </c>
      <c r="E1109" s="122">
        <v>6.31</v>
      </c>
      <c r="F1109" s="122">
        <v>36.159999999999997</v>
      </c>
    </row>
    <row r="1110" spans="2:6" x14ac:dyDescent="0.2">
      <c r="B1110" s="120" t="s">
        <v>2008</v>
      </c>
      <c r="C1110" s="121" t="s">
        <v>2009</v>
      </c>
      <c r="D1110" s="122">
        <v>1.19</v>
      </c>
      <c r="E1110" s="122">
        <v>4.32</v>
      </c>
      <c r="F1110" s="122">
        <v>27.47</v>
      </c>
    </row>
    <row r="1111" spans="2:6" x14ac:dyDescent="0.2">
      <c r="B1111" s="120" t="s">
        <v>4309</v>
      </c>
      <c r="C1111" s="121" t="s">
        <v>4310</v>
      </c>
      <c r="D1111" s="122"/>
      <c r="E1111" s="122"/>
      <c r="F1111" s="122"/>
    </row>
    <row r="1112" spans="2:6" x14ac:dyDescent="0.2">
      <c r="B1112" s="120" t="s">
        <v>2010</v>
      </c>
      <c r="C1112" s="121" t="s">
        <v>2011</v>
      </c>
      <c r="D1112" s="122">
        <v>0.81</v>
      </c>
      <c r="E1112" s="122">
        <v>1.1399999999999999</v>
      </c>
      <c r="F1112" s="122">
        <v>12.03</v>
      </c>
    </row>
    <row r="1113" spans="2:6" x14ac:dyDescent="0.2">
      <c r="B1113" s="120" t="s">
        <v>2010</v>
      </c>
      <c r="C1113" s="121" t="s">
        <v>4311</v>
      </c>
      <c r="D1113" s="122">
        <v>0.64</v>
      </c>
      <c r="E1113" s="122">
        <v>0.91</v>
      </c>
      <c r="F1113" s="122">
        <v>12.03</v>
      </c>
    </row>
    <row r="1114" spans="2:6" x14ac:dyDescent="0.2">
      <c r="B1114" s="120" t="s">
        <v>4312</v>
      </c>
      <c r="C1114" s="121" t="s">
        <v>4313</v>
      </c>
      <c r="D1114" s="122">
        <v>1.25</v>
      </c>
      <c r="E1114" s="122">
        <v>5.42</v>
      </c>
      <c r="F1114" s="122">
        <v>42.83</v>
      </c>
    </row>
    <row r="1115" spans="2:6" x14ac:dyDescent="0.2">
      <c r="B1115" s="120" t="s">
        <v>2012</v>
      </c>
      <c r="C1115" s="121" t="s">
        <v>2013</v>
      </c>
      <c r="D1115" s="122">
        <v>0.69</v>
      </c>
      <c r="E1115" s="122">
        <v>1.23</v>
      </c>
      <c r="F1115" s="122">
        <v>9.31</v>
      </c>
    </row>
    <row r="1116" spans="2:6" x14ac:dyDescent="0.2">
      <c r="B1116" s="120" t="s">
        <v>2014</v>
      </c>
      <c r="C1116" s="121" t="s">
        <v>2015</v>
      </c>
      <c r="D1116" s="122">
        <v>2.59</v>
      </c>
      <c r="E1116" s="122">
        <v>2.82</v>
      </c>
      <c r="F1116" s="122">
        <v>13.82</v>
      </c>
    </row>
    <row r="1117" spans="2:6" x14ac:dyDescent="0.2">
      <c r="B1117" s="120" t="s">
        <v>4314</v>
      </c>
      <c r="C1117" s="121" t="s">
        <v>4315</v>
      </c>
      <c r="D1117" s="122"/>
      <c r="E1117" s="122">
        <v>1.62</v>
      </c>
      <c r="F1117" s="122"/>
    </row>
    <row r="1118" spans="2:6" x14ac:dyDescent="0.2">
      <c r="B1118" s="120" t="s">
        <v>4316</v>
      </c>
      <c r="C1118" s="121" t="s">
        <v>4317</v>
      </c>
      <c r="D1118" s="122">
        <v>2.63</v>
      </c>
      <c r="E1118" s="122">
        <v>3.34</v>
      </c>
      <c r="F1118" s="122">
        <v>17.04</v>
      </c>
    </row>
    <row r="1119" spans="2:6" x14ac:dyDescent="0.2">
      <c r="B1119" s="120" t="s">
        <v>2016</v>
      </c>
      <c r="C1119" s="121" t="s">
        <v>2017</v>
      </c>
      <c r="D1119" s="122">
        <v>1.49</v>
      </c>
      <c r="E1119" s="122">
        <v>2.38</v>
      </c>
      <c r="F1119" s="122">
        <v>16.28</v>
      </c>
    </row>
    <row r="1120" spans="2:6" x14ac:dyDescent="0.2">
      <c r="B1120" s="120" t="s">
        <v>2018</v>
      </c>
      <c r="C1120" s="121" t="s">
        <v>2019</v>
      </c>
      <c r="D1120" s="122">
        <v>1.82</v>
      </c>
      <c r="E1120" s="122">
        <v>2.56</v>
      </c>
      <c r="F1120" s="122">
        <v>8.83</v>
      </c>
    </row>
    <row r="1121" spans="2:6" x14ac:dyDescent="0.2">
      <c r="B1121" s="120" t="s">
        <v>2020</v>
      </c>
      <c r="C1121" s="121" t="s">
        <v>2021</v>
      </c>
      <c r="D1121" s="122">
        <v>6.94</v>
      </c>
      <c r="E1121" s="122">
        <v>7.45</v>
      </c>
      <c r="F1121" s="122">
        <v>29.39</v>
      </c>
    </row>
    <row r="1122" spans="2:6" x14ac:dyDescent="0.2">
      <c r="B1122" s="120" t="s">
        <v>2022</v>
      </c>
      <c r="C1122" s="121" t="s">
        <v>2023</v>
      </c>
      <c r="D1122" s="122">
        <v>2.46</v>
      </c>
      <c r="E1122" s="122"/>
      <c r="F1122" s="122">
        <v>-244.79</v>
      </c>
    </row>
    <row r="1123" spans="2:6" x14ac:dyDescent="0.2">
      <c r="B1123" s="120" t="s">
        <v>2000</v>
      </c>
      <c r="C1123" s="121" t="s">
        <v>2024</v>
      </c>
      <c r="D1123" s="122">
        <v>0.86</v>
      </c>
      <c r="E1123" s="122"/>
      <c r="F1123" s="122"/>
    </row>
    <row r="1124" spans="2:6" x14ac:dyDescent="0.2">
      <c r="B1124" s="120" t="s">
        <v>2000</v>
      </c>
      <c r="C1124" s="121" t="s">
        <v>4318</v>
      </c>
      <c r="D1124" s="122">
        <v>0.86</v>
      </c>
      <c r="E1124" s="122"/>
      <c r="F1124" s="122"/>
    </row>
    <row r="1125" spans="2:6" x14ac:dyDescent="0.2">
      <c r="B1125" s="120" t="s">
        <v>2025</v>
      </c>
      <c r="C1125" s="121" t="s">
        <v>2026</v>
      </c>
      <c r="D1125" s="122">
        <v>4.59</v>
      </c>
      <c r="E1125" s="122">
        <v>2</v>
      </c>
      <c r="F1125" s="122">
        <v>12.1</v>
      </c>
    </row>
    <row r="1126" spans="2:6" x14ac:dyDescent="0.2">
      <c r="B1126" s="120" t="s">
        <v>2027</v>
      </c>
      <c r="C1126" s="121" t="s">
        <v>2028</v>
      </c>
      <c r="D1126" s="122">
        <v>1.78</v>
      </c>
      <c r="E1126" s="122"/>
      <c r="F1126" s="122">
        <v>12.85</v>
      </c>
    </row>
    <row r="1127" spans="2:6" x14ac:dyDescent="0.2">
      <c r="B1127" s="120" t="s">
        <v>2029</v>
      </c>
      <c r="C1127" s="121" t="s">
        <v>2030</v>
      </c>
      <c r="D1127" s="122">
        <v>2.89</v>
      </c>
      <c r="E1127" s="122">
        <v>3</v>
      </c>
      <c r="F1127" s="122">
        <v>18.190000000000001</v>
      </c>
    </row>
    <row r="1128" spans="2:6" x14ac:dyDescent="0.2">
      <c r="B1128" s="120" t="s">
        <v>2031</v>
      </c>
      <c r="C1128" s="121" t="s">
        <v>2032</v>
      </c>
      <c r="D1128" s="122">
        <v>3.46</v>
      </c>
      <c r="E1128" s="122">
        <v>2.56</v>
      </c>
      <c r="F1128" s="122">
        <v>8.56</v>
      </c>
    </row>
    <row r="1129" spans="2:6" x14ac:dyDescent="0.2">
      <c r="B1129" s="120" t="s">
        <v>4319</v>
      </c>
      <c r="C1129" s="121" t="s">
        <v>4320</v>
      </c>
      <c r="D1129" s="122"/>
      <c r="E1129" s="122">
        <v>5.08</v>
      </c>
      <c r="F1129" s="122"/>
    </row>
    <row r="1130" spans="2:6" x14ac:dyDescent="0.2">
      <c r="B1130" s="120" t="s">
        <v>2033</v>
      </c>
      <c r="C1130" s="121" t="s">
        <v>2034</v>
      </c>
      <c r="D1130" s="122">
        <v>0.79</v>
      </c>
      <c r="E1130" s="122">
        <v>2</v>
      </c>
      <c r="F1130" s="122">
        <v>14.54</v>
      </c>
    </row>
    <row r="1131" spans="2:6" x14ac:dyDescent="0.2">
      <c r="B1131" s="120" t="s">
        <v>2035</v>
      </c>
      <c r="C1131" s="121" t="s">
        <v>2036</v>
      </c>
      <c r="D1131" s="122">
        <v>4.83</v>
      </c>
      <c r="E1131" s="122">
        <v>39.25</v>
      </c>
      <c r="F1131" s="122">
        <v>70.86</v>
      </c>
    </row>
    <row r="1132" spans="2:6" x14ac:dyDescent="0.2">
      <c r="B1132" s="120" t="s">
        <v>2037</v>
      </c>
      <c r="C1132" s="121" t="s">
        <v>2038</v>
      </c>
      <c r="D1132" s="122">
        <v>1.1599999999999999</v>
      </c>
      <c r="E1132" s="122">
        <v>0.89</v>
      </c>
      <c r="F1132" s="122">
        <v>7.24</v>
      </c>
    </row>
    <row r="1133" spans="2:6" x14ac:dyDescent="0.2">
      <c r="B1133" s="120" t="s">
        <v>2039</v>
      </c>
      <c r="C1133" s="121" t="s">
        <v>2040</v>
      </c>
      <c r="D1133" s="122">
        <v>1.91</v>
      </c>
      <c r="E1133" s="122">
        <v>37.86</v>
      </c>
      <c r="F1133" s="122">
        <v>297.37</v>
      </c>
    </row>
    <row r="1134" spans="2:6" x14ac:dyDescent="0.2">
      <c r="B1134" s="120" t="s">
        <v>2041</v>
      </c>
      <c r="C1134" s="121" t="s">
        <v>2042</v>
      </c>
      <c r="D1134" s="122">
        <v>4.33</v>
      </c>
      <c r="E1134" s="122">
        <v>5.1100000000000003</v>
      </c>
      <c r="F1134" s="122">
        <v>-12.61</v>
      </c>
    </row>
    <row r="1135" spans="2:6" x14ac:dyDescent="0.2">
      <c r="B1135" s="120" t="s">
        <v>2043</v>
      </c>
      <c r="C1135" s="121" t="s">
        <v>2044</v>
      </c>
      <c r="D1135" s="122">
        <v>0.71</v>
      </c>
      <c r="E1135" s="122">
        <v>0.66</v>
      </c>
      <c r="F1135" s="122">
        <v>11.85</v>
      </c>
    </row>
    <row r="1136" spans="2:6" x14ac:dyDescent="0.2">
      <c r="B1136" s="120" t="s">
        <v>2045</v>
      </c>
      <c r="C1136" s="121" t="s">
        <v>2046</v>
      </c>
      <c r="D1136" s="122">
        <v>1.96</v>
      </c>
      <c r="E1136" s="122">
        <v>8.5</v>
      </c>
      <c r="F1136" s="122">
        <v>8.0299999999999994</v>
      </c>
    </row>
    <row r="1137" spans="2:6" x14ac:dyDescent="0.2">
      <c r="B1137" s="120" t="s">
        <v>4321</v>
      </c>
      <c r="C1137" s="121" t="s">
        <v>4322</v>
      </c>
      <c r="D1137" s="122"/>
      <c r="E1137" s="122">
        <v>6.94</v>
      </c>
      <c r="F1137" s="122"/>
    </row>
    <row r="1138" spans="2:6" x14ac:dyDescent="0.2">
      <c r="B1138" s="120" t="s">
        <v>2047</v>
      </c>
      <c r="C1138" s="121" t="s">
        <v>2048</v>
      </c>
      <c r="D1138" s="122">
        <v>3.53</v>
      </c>
      <c r="E1138" s="122">
        <v>2.69</v>
      </c>
      <c r="F1138" s="122">
        <v>11.11</v>
      </c>
    </row>
    <row r="1139" spans="2:6" x14ac:dyDescent="0.2">
      <c r="B1139" s="120" t="s">
        <v>2049</v>
      </c>
      <c r="C1139" s="121" t="s">
        <v>2050</v>
      </c>
      <c r="D1139" s="122">
        <v>0.16</v>
      </c>
      <c r="E1139" s="122">
        <v>1.85</v>
      </c>
      <c r="F1139" s="122">
        <v>17.14</v>
      </c>
    </row>
    <row r="1140" spans="2:6" x14ac:dyDescent="0.2">
      <c r="B1140" s="120" t="s">
        <v>2051</v>
      </c>
      <c r="C1140" s="121" t="s">
        <v>2052</v>
      </c>
      <c r="D1140" s="122">
        <v>2.36</v>
      </c>
      <c r="E1140" s="122">
        <v>5.56</v>
      </c>
      <c r="F1140" s="122">
        <v>26.38</v>
      </c>
    </row>
    <row r="1141" spans="2:6" x14ac:dyDescent="0.2">
      <c r="B1141" s="120" t="s">
        <v>2053</v>
      </c>
      <c r="C1141" s="121" t="s">
        <v>2054</v>
      </c>
      <c r="D1141" s="122">
        <v>2.91</v>
      </c>
      <c r="E1141" s="122">
        <v>1.28</v>
      </c>
      <c r="F1141" s="122">
        <v>7.44</v>
      </c>
    </row>
    <row r="1142" spans="2:6" x14ac:dyDescent="0.2">
      <c r="B1142" s="120" t="s">
        <v>2055</v>
      </c>
      <c r="C1142" s="121" t="s">
        <v>2056</v>
      </c>
      <c r="D1142" s="122">
        <v>7.63</v>
      </c>
      <c r="E1142" s="122">
        <v>4.04</v>
      </c>
      <c r="F1142" s="122">
        <v>21.06</v>
      </c>
    </row>
    <row r="1143" spans="2:6" x14ac:dyDescent="0.2">
      <c r="B1143" s="120" t="s">
        <v>2057</v>
      </c>
      <c r="C1143" s="121" t="s">
        <v>2058</v>
      </c>
      <c r="D1143" s="122">
        <v>1.19</v>
      </c>
      <c r="E1143" s="122">
        <v>32.44</v>
      </c>
      <c r="F1143" s="122">
        <v>111.09</v>
      </c>
    </row>
    <row r="1144" spans="2:6" x14ac:dyDescent="0.2">
      <c r="B1144" s="120" t="s">
        <v>2059</v>
      </c>
      <c r="C1144" s="121" t="s">
        <v>2060</v>
      </c>
      <c r="D1144" s="122">
        <v>0.2</v>
      </c>
      <c r="E1144" s="122">
        <v>0.33</v>
      </c>
      <c r="F1144" s="122">
        <v>-2.89</v>
      </c>
    </row>
    <row r="1145" spans="2:6" x14ac:dyDescent="0.2">
      <c r="B1145" s="120" t="s">
        <v>2061</v>
      </c>
      <c r="C1145" s="121" t="s">
        <v>2062</v>
      </c>
      <c r="D1145" s="122">
        <v>1.28</v>
      </c>
      <c r="E1145" s="122">
        <v>6.75</v>
      </c>
      <c r="F1145" s="122">
        <v>57.63</v>
      </c>
    </row>
    <row r="1146" spans="2:6" x14ac:dyDescent="0.2">
      <c r="B1146" s="120" t="s">
        <v>2063</v>
      </c>
      <c r="C1146" s="121" t="s">
        <v>2064</v>
      </c>
      <c r="D1146" s="122">
        <v>11.22</v>
      </c>
      <c r="E1146" s="122">
        <v>2.2000000000000002</v>
      </c>
      <c r="F1146" s="122">
        <v>5.71</v>
      </c>
    </row>
    <row r="1147" spans="2:6" x14ac:dyDescent="0.2">
      <c r="B1147" s="120" t="s">
        <v>2065</v>
      </c>
      <c r="C1147" s="121" t="s">
        <v>2066</v>
      </c>
      <c r="D1147" s="122">
        <v>1.24</v>
      </c>
      <c r="E1147" s="122">
        <v>2.42</v>
      </c>
      <c r="F1147" s="122">
        <v>11.7</v>
      </c>
    </row>
    <row r="1148" spans="2:6" x14ac:dyDescent="0.2">
      <c r="B1148" s="120" t="s">
        <v>4323</v>
      </c>
      <c r="C1148" s="121" t="s">
        <v>4324</v>
      </c>
      <c r="D1148" s="122"/>
      <c r="E1148" s="122"/>
      <c r="F1148" s="122"/>
    </row>
    <row r="1149" spans="2:6" x14ac:dyDescent="0.2">
      <c r="B1149" s="120" t="s">
        <v>2067</v>
      </c>
      <c r="C1149" s="121" t="s">
        <v>2068</v>
      </c>
      <c r="D1149" s="122">
        <v>3.52</v>
      </c>
      <c r="E1149" s="122">
        <v>7.47</v>
      </c>
      <c r="F1149" s="122">
        <v>43.72</v>
      </c>
    </row>
    <row r="1150" spans="2:6" x14ac:dyDescent="0.2">
      <c r="B1150" s="120" t="s">
        <v>2069</v>
      </c>
      <c r="C1150" s="121" t="s">
        <v>2070</v>
      </c>
      <c r="D1150" s="122"/>
      <c r="E1150" s="122">
        <v>4.8</v>
      </c>
      <c r="F1150" s="122"/>
    </row>
    <row r="1151" spans="2:6" x14ac:dyDescent="0.2">
      <c r="B1151" s="120" t="s">
        <v>2071</v>
      </c>
      <c r="C1151" s="121" t="s">
        <v>2072</v>
      </c>
      <c r="D1151" s="122">
        <v>8.6999999999999993</v>
      </c>
      <c r="E1151" s="122">
        <v>2.39</v>
      </c>
      <c r="F1151" s="122">
        <v>10.210000000000001</v>
      </c>
    </row>
    <row r="1152" spans="2:6" x14ac:dyDescent="0.2">
      <c r="B1152" s="120" t="s">
        <v>2073</v>
      </c>
      <c r="C1152" s="121" t="s">
        <v>2074</v>
      </c>
      <c r="D1152" s="122">
        <v>1.01</v>
      </c>
      <c r="E1152" s="122">
        <v>6.17</v>
      </c>
      <c r="F1152" s="122">
        <v>36.17</v>
      </c>
    </row>
    <row r="1153" spans="2:6" x14ac:dyDescent="0.2">
      <c r="B1153" s="120" t="s">
        <v>1509</v>
      </c>
      <c r="C1153" s="121" t="s">
        <v>4325</v>
      </c>
      <c r="D1153" s="122">
        <v>1.96</v>
      </c>
      <c r="E1153" s="122">
        <v>0.57999999999999996</v>
      </c>
      <c r="F1153" s="122">
        <v>2.4</v>
      </c>
    </row>
    <row r="1154" spans="2:6" x14ac:dyDescent="0.2">
      <c r="B1154" s="120" t="s">
        <v>1509</v>
      </c>
      <c r="C1154" s="121" t="s">
        <v>4326</v>
      </c>
      <c r="D1154" s="122">
        <v>1.99</v>
      </c>
      <c r="E1154" s="122"/>
      <c r="F1154" s="122"/>
    </row>
    <row r="1155" spans="2:6" x14ac:dyDescent="0.2">
      <c r="B1155" s="120" t="s">
        <v>1509</v>
      </c>
      <c r="C1155" s="121" t="s">
        <v>2075</v>
      </c>
      <c r="D1155" s="122">
        <v>1.28</v>
      </c>
      <c r="E1155" s="122"/>
      <c r="F1155" s="122"/>
    </row>
    <row r="1156" spans="2:6" x14ac:dyDescent="0.2">
      <c r="B1156" s="120" t="s">
        <v>2076</v>
      </c>
      <c r="C1156" s="121" t="s">
        <v>2077</v>
      </c>
      <c r="D1156" s="122">
        <v>0.56000000000000005</v>
      </c>
      <c r="E1156" s="122">
        <v>1.77</v>
      </c>
      <c r="F1156" s="122">
        <v>2.29</v>
      </c>
    </row>
    <row r="1157" spans="2:6" x14ac:dyDescent="0.2">
      <c r="B1157" s="120" t="s">
        <v>4327</v>
      </c>
      <c r="C1157" s="121" t="s">
        <v>4328</v>
      </c>
      <c r="D1157" s="122">
        <v>0.44</v>
      </c>
      <c r="E1157" s="122">
        <v>1.17</v>
      </c>
      <c r="F1157" s="122">
        <v>16.649999999999999</v>
      </c>
    </row>
    <row r="1158" spans="2:6" x14ac:dyDescent="0.2">
      <c r="B1158" s="120" t="s">
        <v>15</v>
      </c>
      <c r="C1158" s="121" t="s">
        <v>16</v>
      </c>
      <c r="D1158" s="122">
        <v>6.89</v>
      </c>
      <c r="E1158" s="122">
        <v>16.36</v>
      </c>
      <c r="F1158" s="122">
        <v>39.54</v>
      </c>
    </row>
    <row r="1159" spans="2:6" x14ac:dyDescent="0.2">
      <c r="B1159" s="120" t="s">
        <v>4329</v>
      </c>
      <c r="C1159" s="121" t="s">
        <v>4330</v>
      </c>
      <c r="D1159" s="122">
        <v>2.34</v>
      </c>
      <c r="E1159" s="122">
        <v>0.87</v>
      </c>
      <c r="F1159" s="122">
        <v>1.9</v>
      </c>
    </row>
    <row r="1160" spans="2:6" x14ac:dyDescent="0.2">
      <c r="B1160" s="120" t="s">
        <v>2078</v>
      </c>
      <c r="C1160" s="121" t="s">
        <v>2079</v>
      </c>
      <c r="D1160" s="122">
        <v>1.31</v>
      </c>
      <c r="E1160" s="122">
        <v>2.95</v>
      </c>
      <c r="F1160" s="122">
        <v>24.12</v>
      </c>
    </row>
    <row r="1161" spans="2:6" x14ac:dyDescent="0.2">
      <c r="B1161" s="120" t="s">
        <v>2080</v>
      </c>
      <c r="C1161" s="121" t="s">
        <v>2081</v>
      </c>
      <c r="D1161" s="122"/>
      <c r="E1161" s="122">
        <v>5.14</v>
      </c>
      <c r="F1161" s="122"/>
    </row>
    <row r="1162" spans="2:6" x14ac:dyDescent="0.2">
      <c r="B1162" s="120" t="s">
        <v>2082</v>
      </c>
      <c r="C1162" s="121" t="s">
        <v>2083</v>
      </c>
      <c r="D1162" s="122">
        <v>3.14</v>
      </c>
      <c r="E1162" s="122">
        <v>6.59</v>
      </c>
      <c r="F1162" s="122">
        <v>35.770000000000003</v>
      </c>
    </row>
    <row r="1163" spans="2:6" x14ac:dyDescent="0.2">
      <c r="B1163" s="120" t="s">
        <v>2084</v>
      </c>
      <c r="C1163" s="121" t="s">
        <v>2085</v>
      </c>
      <c r="D1163" s="122">
        <v>2.85</v>
      </c>
      <c r="E1163" s="122"/>
      <c r="F1163" s="122">
        <v>-402.03</v>
      </c>
    </row>
    <row r="1164" spans="2:6" x14ac:dyDescent="0.2">
      <c r="B1164" s="120" t="s">
        <v>2086</v>
      </c>
      <c r="C1164" s="121" t="s">
        <v>2087</v>
      </c>
      <c r="D1164" s="122">
        <v>0.8</v>
      </c>
      <c r="E1164" s="122">
        <v>2.76</v>
      </c>
      <c r="F1164" s="122">
        <v>35.200000000000003</v>
      </c>
    </row>
    <row r="1165" spans="2:6" x14ac:dyDescent="0.2">
      <c r="B1165" s="120" t="s">
        <v>4331</v>
      </c>
      <c r="C1165" s="121" t="s">
        <v>4332</v>
      </c>
      <c r="D1165" s="122"/>
      <c r="E1165" s="122">
        <v>4.1500000000000004</v>
      </c>
      <c r="F1165" s="122"/>
    </row>
    <row r="1166" spans="2:6" x14ac:dyDescent="0.2">
      <c r="B1166" s="120" t="s">
        <v>2088</v>
      </c>
      <c r="C1166" s="121" t="s">
        <v>2089</v>
      </c>
      <c r="D1166" s="122">
        <v>1.99</v>
      </c>
      <c r="E1166" s="122">
        <v>0.76</v>
      </c>
      <c r="F1166" s="122">
        <v>15.86</v>
      </c>
    </row>
    <row r="1167" spans="2:6" x14ac:dyDescent="0.2">
      <c r="B1167" s="120" t="s">
        <v>4333</v>
      </c>
      <c r="C1167" s="121" t="s">
        <v>4334</v>
      </c>
      <c r="D1167" s="122">
        <v>1.27</v>
      </c>
      <c r="E1167" s="122">
        <v>10.199999999999999</v>
      </c>
      <c r="F1167" s="122">
        <v>4.49</v>
      </c>
    </row>
    <row r="1168" spans="2:6" x14ac:dyDescent="0.2">
      <c r="B1168" s="120" t="s">
        <v>2090</v>
      </c>
      <c r="C1168" s="121" t="s">
        <v>2091</v>
      </c>
      <c r="D1168" s="122"/>
      <c r="E1168" s="122">
        <v>4.0199999999999996</v>
      </c>
      <c r="F1168" s="122"/>
    </row>
    <row r="1169" spans="2:6" x14ac:dyDescent="0.2">
      <c r="B1169" s="120" t="s">
        <v>2092</v>
      </c>
      <c r="C1169" s="121" t="s">
        <v>2093</v>
      </c>
      <c r="D1169" s="122">
        <v>0.19</v>
      </c>
      <c r="E1169" s="122">
        <v>0.75</v>
      </c>
      <c r="F1169" s="122">
        <v>18.739999999999998</v>
      </c>
    </row>
    <row r="1170" spans="2:6" x14ac:dyDescent="0.2">
      <c r="B1170" s="120" t="s">
        <v>2094</v>
      </c>
      <c r="C1170" s="121" t="s">
        <v>2095</v>
      </c>
      <c r="D1170" s="122">
        <v>17.52</v>
      </c>
      <c r="E1170" s="122">
        <v>54.72</v>
      </c>
      <c r="F1170" s="122">
        <v>135.02000000000001</v>
      </c>
    </row>
    <row r="1171" spans="2:6" x14ac:dyDescent="0.2">
      <c r="B1171" s="120" t="s">
        <v>2096</v>
      </c>
      <c r="C1171" s="121" t="s">
        <v>2097</v>
      </c>
      <c r="D1171" s="122">
        <v>9.18</v>
      </c>
      <c r="E1171" s="122">
        <v>2.35</v>
      </c>
      <c r="F1171" s="122">
        <v>3.76</v>
      </c>
    </row>
    <row r="1172" spans="2:6" x14ac:dyDescent="0.2">
      <c r="B1172" s="120" t="s">
        <v>2098</v>
      </c>
      <c r="C1172" s="121" t="s">
        <v>2099</v>
      </c>
      <c r="D1172" s="122">
        <v>4.8499999999999996</v>
      </c>
      <c r="E1172" s="122">
        <v>1.54</v>
      </c>
      <c r="F1172" s="122">
        <v>3.49</v>
      </c>
    </row>
    <row r="1173" spans="2:6" x14ac:dyDescent="0.2">
      <c r="B1173" s="120" t="s">
        <v>4335</v>
      </c>
      <c r="C1173" s="121" t="s">
        <v>4336</v>
      </c>
      <c r="D1173" s="122"/>
      <c r="E1173" s="122">
        <v>1.1200000000000001</v>
      </c>
      <c r="F1173" s="122"/>
    </row>
    <row r="1174" spans="2:6" x14ac:dyDescent="0.2">
      <c r="B1174" s="120" t="s">
        <v>2100</v>
      </c>
      <c r="C1174" s="121" t="s">
        <v>2101</v>
      </c>
      <c r="D1174" s="122">
        <v>0.24</v>
      </c>
      <c r="E1174" s="122">
        <v>1.91</v>
      </c>
      <c r="F1174" s="122">
        <v>19.190000000000001</v>
      </c>
    </row>
    <row r="1175" spans="2:6" x14ac:dyDescent="0.2">
      <c r="B1175" s="120" t="s">
        <v>2102</v>
      </c>
      <c r="C1175" s="121" t="s">
        <v>2103</v>
      </c>
      <c r="D1175" s="122">
        <v>9.11</v>
      </c>
      <c r="E1175" s="122">
        <v>34.729999999999997</v>
      </c>
      <c r="F1175" s="122">
        <v>66</v>
      </c>
    </row>
    <row r="1176" spans="2:6" x14ac:dyDescent="0.2">
      <c r="B1176" s="120" t="s">
        <v>2104</v>
      </c>
      <c r="C1176" s="121" t="s">
        <v>2105</v>
      </c>
      <c r="D1176" s="122">
        <v>2.02</v>
      </c>
      <c r="E1176" s="122">
        <v>33.72</v>
      </c>
      <c r="F1176" s="122">
        <v>113.75</v>
      </c>
    </row>
    <row r="1177" spans="2:6" x14ac:dyDescent="0.2">
      <c r="B1177" s="120" t="s">
        <v>4337</v>
      </c>
      <c r="C1177" s="121" t="s">
        <v>4338</v>
      </c>
      <c r="D1177" s="122">
        <v>0.18</v>
      </c>
      <c r="E1177" s="122">
        <v>0.67</v>
      </c>
      <c r="F1177" s="122">
        <v>13.7</v>
      </c>
    </row>
    <row r="1178" spans="2:6" x14ac:dyDescent="0.2">
      <c r="B1178" s="120" t="s">
        <v>2106</v>
      </c>
      <c r="C1178" s="121" t="s">
        <v>2107</v>
      </c>
      <c r="D1178" s="122">
        <v>1.41</v>
      </c>
      <c r="E1178" s="122">
        <v>165.64</v>
      </c>
      <c r="F1178" s="122">
        <v>792.8</v>
      </c>
    </row>
    <row r="1179" spans="2:6" x14ac:dyDescent="0.2">
      <c r="B1179" s="120" t="s">
        <v>2108</v>
      </c>
      <c r="C1179" s="121" t="s">
        <v>2109</v>
      </c>
      <c r="D1179" s="122">
        <v>9.06</v>
      </c>
      <c r="E1179" s="122">
        <v>7.8</v>
      </c>
      <c r="F1179" s="122">
        <v>17.82</v>
      </c>
    </row>
    <row r="1180" spans="2:6" x14ac:dyDescent="0.2">
      <c r="B1180" s="120" t="s">
        <v>2110</v>
      </c>
      <c r="C1180" s="121" t="s">
        <v>2111</v>
      </c>
      <c r="D1180" s="122">
        <v>0.87</v>
      </c>
      <c r="E1180" s="122">
        <v>9.31</v>
      </c>
      <c r="F1180" s="122">
        <v>-28.7</v>
      </c>
    </row>
    <row r="1181" spans="2:6" x14ac:dyDescent="0.2">
      <c r="B1181" s="120" t="s">
        <v>4339</v>
      </c>
      <c r="C1181" s="121" t="s">
        <v>4340</v>
      </c>
      <c r="D1181" s="122"/>
      <c r="E1181" s="122"/>
      <c r="F1181" s="122"/>
    </row>
    <row r="1182" spans="2:6" x14ac:dyDescent="0.2">
      <c r="B1182" s="120" t="s">
        <v>4341</v>
      </c>
      <c r="C1182" s="121" t="s">
        <v>4342</v>
      </c>
      <c r="D1182" s="122"/>
      <c r="E1182" s="122"/>
      <c r="F1182" s="122"/>
    </row>
    <row r="1183" spans="2:6" x14ac:dyDescent="0.2">
      <c r="B1183" s="120" t="s">
        <v>2112</v>
      </c>
      <c r="C1183" s="121" t="s">
        <v>2113</v>
      </c>
      <c r="D1183" s="122">
        <v>1</v>
      </c>
      <c r="E1183" s="122">
        <v>12.45</v>
      </c>
      <c r="F1183" s="122">
        <v>95.04</v>
      </c>
    </row>
    <row r="1184" spans="2:6" x14ac:dyDescent="0.2">
      <c r="B1184" s="120" t="s">
        <v>2114</v>
      </c>
      <c r="C1184" s="121" t="s">
        <v>2115</v>
      </c>
      <c r="D1184" s="122">
        <v>7.63</v>
      </c>
      <c r="E1184" s="122"/>
      <c r="F1184" s="122">
        <v>-92.02</v>
      </c>
    </row>
    <row r="1185" spans="2:6" x14ac:dyDescent="0.2">
      <c r="B1185" s="120" t="s">
        <v>2116</v>
      </c>
      <c r="C1185" s="121" t="s">
        <v>2117</v>
      </c>
      <c r="D1185" s="122">
        <v>3.94</v>
      </c>
      <c r="E1185" s="122">
        <v>4.07</v>
      </c>
      <c r="F1185" s="122">
        <v>27.79</v>
      </c>
    </row>
    <row r="1186" spans="2:6" x14ac:dyDescent="0.2">
      <c r="B1186" s="120" t="s">
        <v>2118</v>
      </c>
      <c r="C1186" s="121" t="s">
        <v>2119</v>
      </c>
      <c r="D1186" s="122">
        <v>0.12</v>
      </c>
      <c r="E1186" s="122">
        <v>3.36</v>
      </c>
      <c r="F1186" s="122">
        <v>30.73</v>
      </c>
    </row>
    <row r="1187" spans="2:6" x14ac:dyDescent="0.2">
      <c r="B1187" s="120" t="s">
        <v>2120</v>
      </c>
      <c r="C1187" s="121" t="s">
        <v>2121</v>
      </c>
      <c r="D1187" s="122">
        <v>9.01</v>
      </c>
      <c r="E1187" s="122">
        <v>70.48</v>
      </c>
      <c r="F1187" s="122">
        <v>266.42</v>
      </c>
    </row>
    <row r="1188" spans="2:6" x14ac:dyDescent="0.2">
      <c r="B1188" s="120" t="s">
        <v>2122</v>
      </c>
      <c r="C1188" s="121" t="s">
        <v>2123</v>
      </c>
      <c r="D1188" s="122">
        <v>0.83</v>
      </c>
      <c r="E1188" s="122">
        <v>1.74</v>
      </c>
      <c r="F1188" s="122">
        <v>7.97</v>
      </c>
    </row>
    <row r="1189" spans="2:6" x14ac:dyDescent="0.2">
      <c r="B1189" s="120" t="s">
        <v>2124</v>
      </c>
      <c r="C1189" s="121" t="s">
        <v>2125</v>
      </c>
      <c r="D1189" s="122">
        <v>21.88</v>
      </c>
      <c r="E1189" s="122">
        <v>31.02</v>
      </c>
      <c r="F1189" s="122">
        <v>-43.95</v>
      </c>
    </row>
    <row r="1190" spans="2:6" x14ac:dyDescent="0.2">
      <c r="B1190" s="120" t="s">
        <v>2126</v>
      </c>
      <c r="C1190" s="121" t="s">
        <v>2127</v>
      </c>
      <c r="D1190" s="122">
        <v>111.65</v>
      </c>
      <c r="E1190" s="122">
        <v>102.2</v>
      </c>
      <c r="F1190" s="122">
        <v>-2118.2399999999998</v>
      </c>
    </row>
    <row r="1191" spans="2:6" x14ac:dyDescent="0.2">
      <c r="B1191" s="120" t="s">
        <v>4343</v>
      </c>
      <c r="C1191" s="121" t="s">
        <v>4344</v>
      </c>
      <c r="D1191" s="122"/>
      <c r="E1191" s="122"/>
      <c r="F1191" s="122"/>
    </row>
    <row r="1192" spans="2:6" x14ac:dyDescent="0.2">
      <c r="B1192" s="120" t="s">
        <v>4345</v>
      </c>
      <c r="C1192" s="121" t="s">
        <v>4346</v>
      </c>
      <c r="D1192" s="122"/>
      <c r="E1192" s="122">
        <v>1.01</v>
      </c>
      <c r="F1192" s="122"/>
    </row>
    <row r="1193" spans="2:6" x14ac:dyDescent="0.2">
      <c r="B1193" s="120" t="s">
        <v>4347</v>
      </c>
      <c r="C1193" s="121" t="s">
        <v>4348</v>
      </c>
      <c r="D1193" s="122"/>
      <c r="E1193" s="122">
        <v>9.67</v>
      </c>
      <c r="F1193" s="122"/>
    </row>
    <row r="1194" spans="2:6" x14ac:dyDescent="0.2">
      <c r="B1194" s="120" t="s">
        <v>2128</v>
      </c>
      <c r="C1194" s="121" t="s">
        <v>2129</v>
      </c>
      <c r="D1194" s="122">
        <v>3.07</v>
      </c>
      <c r="E1194" s="122">
        <v>3.01</v>
      </c>
      <c r="F1194" s="122">
        <v>14.07</v>
      </c>
    </row>
    <row r="1195" spans="2:6" x14ac:dyDescent="0.2">
      <c r="B1195" s="120" t="s">
        <v>2130</v>
      </c>
      <c r="C1195" s="121" t="s">
        <v>2131</v>
      </c>
      <c r="D1195" s="122">
        <v>8.3699999999999992</v>
      </c>
      <c r="E1195" s="122">
        <v>8.68</v>
      </c>
      <c r="F1195" s="122">
        <v>8.64</v>
      </c>
    </row>
    <row r="1196" spans="2:6" x14ac:dyDescent="0.2">
      <c r="B1196" s="120" t="s">
        <v>2132</v>
      </c>
      <c r="C1196" s="121" t="s">
        <v>2133</v>
      </c>
      <c r="D1196" s="122">
        <v>4.8600000000000003</v>
      </c>
      <c r="E1196" s="122">
        <v>2.95</v>
      </c>
      <c r="F1196" s="122">
        <v>14.36</v>
      </c>
    </row>
    <row r="1197" spans="2:6" x14ac:dyDescent="0.2">
      <c r="B1197" s="120" t="s">
        <v>2134</v>
      </c>
      <c r="C1197" s="121" t="s">
        <v>2135</v>
      </c>
      <c r="D1197" s="122">
        <v>1.1399999999999999</v>
      </c>
      <c r="E1197" s="122">
        <v>2.1</v>
      </c>
      <c r="F1197" s="122">
        <v>11.11</v>
      </c>
    </row>
    <row r="1198" spans="2:6" x14ac:dyDescent="0.2">
      <c r="B1198" s="120" t="s">
        <v>2136</v>
      </c>
      <c r="C1198" s="121" t="s">
        <v>2137</v>
      </c>
      <c r="D1198" s="122">
        <v>3.88</v>
      </c>
      <c r="E1198" s="122">
        <v>4.6399999999999997</v>
      </c>
      <c r="F1198" s="122">
        <v>17.649999999999999</v>
      </c>
    </row>
    <row r="1199" spans="2:6" x14ac:dyDescent="0.2">
      <c r="B1199" s="120" t="s">
        <v>4349</v>
      </c>
      <c r="C1199" s="121" t="s">
        <v>4350</v>
      </c>
      <c r="D1199" s="122"/>
      <c r="E1199" s="122"/>
      <c r="F1199" s="122"/>
    </row>
    <row r="1200" spans="2:6" x14ac:dyDescent="0.2">
      <c r="B1200" s="120" t="s">
        <v>2138</v>
      </c>
      <c r="C1200" s="121" t="s">
        <v>2139</v>
      </c>
      <c r="D1200" s="122">
        <v>15.11</v>
      </c>
      <c r="E1200" s="122">
        <v>12.59</v>
      </c>
      <c r="F1200" s="122">
        <v>1.24</v>
      </c>
    </row>
    <row r="1201" spans="2:6" x14ac:dyDescent="0.2">
      <c r="B1201" s="120" t="s">
        <v>4351</v>
      </c>
      <c r="C1201" s="121" t="s">
        <v>4352</v>
      </c>
      <c r="D1201" s="122"/>
      <c r="E1201" s="122">
        <v>2.4700000000000002</v>
      </c>
      <c r="F1201" s="122"/>
    </row>
    <row r="1202" spans="2:6" x14ac:dyDescent="0.2">
      <c r="B1202" s="120" t="s">
        <v>2140</v>
      </c>
      <c r="C1202" s="121" t="s">
        <v>2141</v>
      </c>
      <c r="D1202" s="122">
        <v>0.68</v>
      </c>
      <c r="E1202" s="122">
        <v>0.7</v>
      </c>
      <c r="F1202" s="122">
        <v>9.75</v>
      </c>
    </row>
    <row r="1203" spans="2:6" x14ac:dyDescent="0.2">
      <c r="B1203" s="120" t="s">
        <v>2142</v>
      </c>
      <c r="C1203" s="121" t="s">
        <v>2143</v>
      </c>
      <c r="D1203" s="122">
        <v>6.27</v>
      </c>
      <c r="E1203" s="122">
        <v>0.99</v>
      </c>
      <c r="F1203" s="122">
        <v>9.39</v>
      </c>
    </row>
    <row r="1204" spans="2:6" x14ac:dyDescent="0.2">
      <c r="B1204" s="120" t="s">
        <v>2144</v>
      </c>
      <c r="C1204" s="121" t="s">
        <v>2145</v>
      </c>
      <c r="D1204" s="122">
        <v>0.77</v>
      </c>
      <c r="E1204" s="122">
        <v>1.05</v>
      </c>
      <c r="F1204" s="122">
        <v>13.27</v>
      </c>
    </row>
    <row r="1205" spans="2:6" x14ac:dyDescent="0.2">
      <c r="B1205" s="120" t="s">
        <v>2146</v>
      </c>
      <c r="C1205" s="121" t="s">
        <v>2147</v>
      </c>
      <c r="D1205" s="122">
        <v>1.1299999999999999</v>
      </c>
      <c r="E1205" s="122">
        <v>0.5</v>
      </c>
      <c r="F1205" s="122">
        <v>6.2</v>
      </c>
    </row>
    <row r="1206" spans="2:6" x14ac:dyDescent="0.2">
      <c r="B1206" s="120" t="s">
        <v>4353</v>
      </c>
      <c r="C1206" s="121" t="s">
        <v>4354</v>
      </c>
      <c r="D1206" s="122"/>
      <c r="E1206" s="122">
        <v>0.76</v>
      </c>
      <c r="F1206" s="122"/>
    </row>
    <row r="1207" spans="2:6" x14ac:dyDescent="0.2">
      <c r="B1207" s="120" t="s">
        <v>2148</v>
      </c>
      <c r="C1207" s="121" t="s">
        <v>2149</v>
      </c>
      <c r="D1207" s="122">
        <v>0.41</v>
      </c>
      <c r="E1207" s="122">
        <v>1.39</v>
      </c>
      <c r="F1207" s="122">
        <v>18.190000000000001</v>
      </c>
    </row>
    <row r="1208" spans="2:6" x14ac:dyDescent="0.2">
      <c r="B1208" s="120" t="s">
        <v>2150</v>
      </c>
      <c r="C1208" s="121" t="s">
        <v>2151</v>
      </c>
      <c r="D1208" s="122"/>
      <c r="E1208" s="122">
        <v>1.4</v>
      </c>
      <c r="F1208" s="122"/>
    </row>
    <row r="1209" spans="2:6" x14ac:dyDescent="0.2">
      <c r="B1209" s="120" t="s">
        <v>2152</v>
      </c>
      <c r="C1209" s="121" t="s">
        <v>2153</v>
      </c>
      <c r="D1209" s="122">
        <v>1.21</v>
      </c>
      <c r="E1209" s="122">
        <v>1.41</v>
      </c>
      <c r="F1209" s="122">
        <v>3.77</v>
      </c>
    </row>
    <row r="1210" spans="2:6" x14ac:dyDescent="0.2">
      <c r="B1210" s="120" t="s">
        <v>2154</v>
      </c>
      <c r="C1210" s="121" t="s">
        <v>2155</v>
      </c>
      <c r="D1210" s="122">
        <v>3.12</v>
      </c>
      <c r="E1210" s="122">
        <v>1.05</v>
      </c>
      <c r="F1210" s="122">
        <v>5.12</v>
      </c>
    </row>
    <row r="1211" spans="2:6" x14ac:dyDescent="0.2">
      <c r="B1211" s="120" t="s">
        <v>4355</v>
      </c>
      <c r="C1211" s="121" t="s">
        <v>4356</v>
      </c>
      <c r="D1211" s="122">
        <v>2.61</v>
      </c>
      <c r="E1211" s="122">
        <v>3.57</v>
      </c>
      <c r="F1211" s="122">
        <v>21.12</v>
      </c>
    </row>
    <row r="1212" spans="2:6" x14ac:dyDescent="0.2">
      <c r="B1212" s="120" t="s">
        <v>2156</v>
      </c>
      <c r="C1212" s="121" t="s">
        <v>2157</v>
      </c>
      <c r="D1212" s="122">
        <v>0.89</v>
      </c>
      <c r="E1212" s="122">
        <v>1.1399999999999999</v>
      </c>
      <c r="F1212" s="122">
        <v>10.5</v>
      </c>
    </row>
    <row r="1213" spans="2:6" x14ac:dyDescent="0.2">
      <c r="B1213" s="120" t="s">
        <v>2158</v>
      </c>
      <c r="C1213" s="121" t="s">
        <v>2159</v>
      </c>
      <c r="D1213" s="122">
        <v>0.37</v>
      </c>
      <c r="E1213" s="122">
        <v>0.87</v>
      </c>
      <c r="F1213" s="122">
        <v>6</v>
      </c>
    </row>
    <row r="1214" spans="2:6" x14ac:dyDescent="0.2">
      <c r="B1214" s="120" t="s">
        <v>2160</v>
      </c>
      <c r="C1214" s="121" t="s">
        <v>2161</v>
      </c>
      <c r="D1214" s="122">
        <v>1.88</v>
      </c>
      <c r="E1214" s="122">
        <v>1.1200000000000001</v>
      </c>
      <c r="F1214" s="122">
        <v>10.42</v>
      </c>
    </row>
    <row r="1215" spans="2:6" x14ac:dyDescent="0.2">
      <c r="B1215" s="120" t="s">
        <v>2162</v>
      </c>
      <c r="C1215" s="121" t="s">
        <v>2163</v>
      </c>
      <c r="D1215" s="122">
        <v>2.2000000000000002</v>
      </c>
      <c r="E1215" s="122">
        <v>3.57</v>
      </c>
      <c r="F1215" s="122">
        <v>21.17</v>
      </c>
    </row>
    <row r="1216" spans="2:6" x14ac:dyDescent="0.2">
      <c r="B1216" s="120" t="s">
        <v>4357</v>
      </c>
      <c r="C1216" s="121" t="s">
        <v>4358</v>
      </c>
      <c r="D1216" s="122">
        <v>0.71</v>
      </c>
      <c r="E1216" s="122">
        <v>1.28</v>
      </c>
      <c r="F1216" s="122">
        <v>9.0500000000000007</v>
      </c>
    </row>
    <row r="1217" spans="2:6" x14ac:dyDescent="0.2">
      <c r="B1217" s="120" t="s">
        <v>4359</v>
      </c>
      <c r="C1217" s="121" t="s">
        <v>4360</v>
      </c>
      <c r="D1217" s="122">
        <v>2.4</v>
      </c>
      <c r="E1217" s="122">
        <v>1.54</v>
      </c>
      <c r="F1217" s="122">
        <v>6.99</v>
      </c>
    </row>
    <row r="1218" spans="2:6" x14ac:dyDescent="0.2">
      <c r="B1218" s="120" t="s">
        <v>4361</v>
      </c>
      <c r="C1218" s="121" t="s">
        <v>4362</v>
      </c>
      <c r="D1218" s="122">
        <v>0.53</v>
      </c>
      <c r="E1218" s="122">
        <v>0.75</v>
      </c>
      <c r="F1218" s="122">
        <v>8.9700000000000006</v>
      </c>
    </row>
    <row r="1219" spans="2:6" x14ac:dyDescent="0.2">
      <c r="B1219" s="120" t="s">
        <v>2164</v>
      </c>
      <c r="C1219" s="121" t="s">
        <v>2165</v>
      </c>
      <c r="D1219" s="122">
        <v>3.95</v>
      </c>
      <c r="E1219" s="122">
        <v>6.27</v>
      </c>
      <c r="F1219" s="122">
        <v>21.42</v>
      </c>
    </row>
    <row r="1220" spans="2:6" x14ac:dyDescent="0.2">
      <c r="B1220" s="120" t="s">
        <v>4363</v>
      </c>
      <c r="C1220" s="121" t="s">
        <v>4364</v>
      </c>
      <c r="D1220" s="122">
        <v>0.83</v>
      </c>
      <c r="E1220" s="122">
        <v>0.73</v>
      </c>
      <c r="F1220" s="122">
        <v>12.88</v>
      </c>
    </row>
    <row r="1221" spans="2:6" x14ac:dyDescent="0.2">
      <c r="B1221" s="120" t="s">
        <v>2166</v>
      </c>
      <c r="C1221" s="121" t="s">
        <v>2167</v>
      </c>
      <c r="D1221" s="122">
        <v>2</v>
      </c>
      <c r="E1221" s="122">
        <v>1.57</v>
      </c>
      <c r="F1221" s="122">
        <v>7.38</v>
      </c>
    </row>
    <row r="1222" spans="2:6" x14ac:dyDescent="0.2">
      <c r="B1222" s="120" t="s">
        <v>2168</v>
      </c>
      <c r="C1222" s="121" t="s">
        <v>2169</v>
      </c>
      <c r="D1222" s="122">
        <v>2.69</v>
      </c>
      <c r="E1222" s="122">
        <v>2.6</v>
      </c>
      <c r="F1222" s="122">
        <v>16.34</v>
      </c>
    </row>
    <row r="1223" spans="2:6" x14ac:dyDescent="0.2">
      <c r="B1223" s="120" t="s">
        <v>4365</v>
      </c>
      <c r="C1223" s="121" t="s">
        <v>4366</v>
      </c>
      <c r="D1223" s="122">
        <v>1.84</v>
      </c>
      <c r="E1223" s="122">
        <v>1.68</v>
      </c>
      <c r="F1223" s="122">
        <v>10.06</v>
      </c>
    </row>
    <row r="1224" spans="2:6" x14ac:dyDescent="0.2">
      <c r="B1224" s="120" t="s">
        <v>2170</v>
      </c>
      <c r="C1224" s="121" t="s">
        <v>2171</v>
      </c>
      <c r="D1224" s="122">
        <v>27.53</v>
      </c>
      <c r="E1224" s="122">
        <v>19.29</v>
      </c>
      <c r="F1224" s="122">
        <v>29.85</v>
      </c>
    </row>
    <row r="1225" spans="2:6" x14ac:dyDescent="0.2">
      <c r="B1225" s="120" t="s">
        <v>2172</v>
      </c>
      <c r="C1225" s="121" t="s">
        <v>2173</v>
      </c>
      <c r="D1225" s="122">
        <v>1.9</v>
      </c>
      <c r="E1225" s="122">
        <v>3.6</v>
      </c>
      <c r="F1225" s="122">
        <v>14.53</v>
      </c>
    </row>
    <row r="1226" spans="2:6" x14ac:dyDescent="0.2">
      <c r="B1226" s="120" t="s">
        <v>4367</v>
      </c>
      <c r="C1226" s="121" t="s">
        <v>4368</v>
      </c>
      <c r="D1226" s="122">
        <v>0.11</v>
      </c>
      <c r="E1226" s="122">
        <v>0.04</v>
      </c>
      <c r="F1226" s="122">
        <v>6.31</v>
      </c>
    </row>
    <row r="1227" spans="2:6" x14ac:dyDescent="0.2">
      <c r="B1227" s="120" t="s">
        <v>2174</v>
      </c>
      <c r="C1227" s="121" t="s">
        <v>2175</v>
      </c>
      <c r="D1227" s="122">
        <v>3.73</v>
      </c>
      <c r="E1227" s="122">
        <v>3.26</v>
      </c>
      <c r="F1227" s="122">
        <v>10.35</v>
      </c>
    </row>
    <row r="1228" spans="2:6" x14ac:dyDescent="0.2">
      <c r="B1228" s="120" t="s">
        <v>2176</v>
      </c>
      <c r="C1228" s="121" t="s">
        <v>2177</v>
      </c>
      <c r="D1228" s="122">
        <v>5.18</v>
      </c>
      <c r="E1228" s="122">
        <v>4.1900000000000004</v>
      </c>
      <c r="F1228" s="122">
        <v>16.86</v>
      </c>
    </row>
    <row r="1229" spans="2:6" x14ac:dyDescent="0.2">
      <c r="B1229" s="120" t="s">
        <v>4369</v>
      </c>
      <c r="C1229" s="121" t="s">
        <v>4370</v>
      </c>
      <c r="D1229" s="122">
        <v>4.76</v>
      </c>
      <c r="E1229" s="122"/>
      <c r="F1229" s="122"/>
    </row>
    <row r="1230" spans="2:6" x14ac:dyDescent="0.2">
      <c r="B1230" s="120" t="s">
        <v>2178</v>
      </c>
      <c r="C1230" s="121" t="s">
        <v>2179</v>
      </c>
      <c r="D1230" s="122">
        <v>3.27</v>
      </c>
      <c r="E1230" s="122">
        <v>6.19</v>
      </c>
      <c r="F1230" s="122">
        <v>29.72</v>
      </c>
    </row>
    <row r="1231" spans="2:6" x14ac:dyDescent="0.2">
      <c r="B1231" s="120" t="s">
        <v>2180</v>
      </c>
      <c r="C1231" s="121" t="s">
        <v>2181</v>
      </c>
      <c r="D1231" s="122">
        <v>2.99</v>
      </c>
      <c r="E1231" s="122">
        <v>9.4600000000000009</v>
      </c>
      <c r="F1231" s="122">
        <v>55.05</v>
      </c>
    </row>
    <row r="1232" spans="2:6" x14ac:dyDescent="0.2">
      <c r="B1232" s="120" t="s">
        <v>2182</v>
      </c>
      <c r="C1232" s="121" t="s">
        <v>2183</v>
      </c>
      <c r="D1232" s="122">
        <v>5.43</v>
      </c>
      <c r="E1232" s="122">
        <v>5.83</v>
      </c>
      <c r="F1232" s="122">
        <v>38.479999999999997</v>
      </c>
    </row>
    <row r="1233" spans="2:6" x14ac:dyDescent="0.2">
      <c r="B1233" s="120" t="s">
        <v>2184</v>
      </c>
      <c r="C1233" s="121" t="s">
        <v>2185</v>
      </c>
      <c r="D1233" s="122">
        <v>1.85</v>
      </c>
      <c r="E1233" s="122">
        <v>4.0999999999999996</v>
      </c>
      <c r="F1233" s="122">
        <v>20.72</v>
      </c>
    </row>
    <row r="1234" spans="2:6" x14ac:dyDescent="0.2">
      <c r="B1234" s="120" t="s">
        <v>4371</v>
      </c>
      <c r="C1234" s="121" t="s">
        <v>4372</v>
      </c>
      <c r="D1234" s="122">
        <v>0.86</v>
      </c>
      <c r="E1234" s="122">
        <v>2.0699999999999998</v>
      </c>
      <c r="F1234" s="122">
        <v>17.09</v>
      </c>
    </row>
    <row r="1235" spans="2:6" x14ac:dyDescent="0.2">
      <c r="B1235" s="120" t="s">
        <v>2186</v>
      </c>
      <c r="C1235" s="121" t="s">
        <v>2187</v>
      </c>
      <c r="D1235" s="122">
        <v>7.97</v>
      </c>
      <c r="E1235" s="122">
        <v>7.84</v>
      </c>
      <c r="F1235" s="122">
        <v>28.1</v>
      </c>
    </row>
    <row r="1236" spans="2:6" x14ac:dyDescent="0.2">
      <c r="B1236" s="120" t="s">
        <v>2188</v>
      </c>
      <c r="C1236" s="121" t="s">
        <v>2189</v>
      </c>
      <c r="D1236" s="122">
        <v>3.03</v>
      </c>
      <c r="E1236" s="122">
        <v>5.27</v>
      </c>
      <c r="F1236" s="122">
        <v>51.53</v>
      </c>
    </row>
    <row r="1237" spans="2:6" x14ac:dyDescent="0.2">
      <c r="B1237" s="120" t="s">
        <v>2190</v>
      </c>
      <c r="C1237" s="121" t="s">
        <v>4373</v>
      </c>
      <c r="D1237" s="122">
        <v>1.07</v>
      </c>
      <c r="E1237" s="122">
        <v>2.23</v>
      </c>
      <c r="F1237" s="122">
        <v>13.89</v>
      </c>
    </row>
    <row r="1238" spans="2:6" x14ac:dyDescent="0.2">
      <c r="B1238" s="120" t="s">
        <v>2192</v>
      </c>
      <c r="C1238" s="121" t="s">
        <v>2193</v>
      </c>
      <c r="D1238" s="122">
        <v>0.41</v>
      </c>
      <c r="E1238" s="122">
        <v>4.13</v>
      </c>
      <c r="F1238" s="122">
        <v>51.49</v>
      </c>
    </row>
    <row r="1239" spans="2:6" x14ac:dyDescent="0.2">
      <c r="B1239" s="120" t="s">
        <v>2194</v>
      </c>
      <c r="C1239" s="121" t="s">
        <v>2195</v>
      </c>
      <c r="D1239" s="122">
        <v>3.25</v>
      </c>
      <c r="E1239" s="122">
        <v>4.22</v>
      </c>
      <c r="F1239" s="122">
        <v>21.74</v>
      </c>
    </row>
    <row r="1240" spans="2:6" x14ac:dyDescent="0.2">
      <c r="B1240" s="120" t="s">
        <v>2196</v>
      </c>
      <c r="C1240" s="121" t="s">
        <v>2197</v>
      </c>
      <c r="D1240" s="122"/>
      <c r="E1240" s="122">
        <v>1.62</v>
      </c>
      <c r="F1240" s="122"/>
    </row>
    <row r="1241" spans="2:6" x14ac:dyDescent="0.2">
      <c r="B1241" s="120" t="s">
        <v>2198</v>
      </c>
      <c r="C1241" s="121" t="s">
        <v>2199</v>
      </c>
      <c r="D1241" s="122">
        <v>7.43</v>
      </c>
      <c r="E1241" s="122">
        <v>24.64</v>
      </c>
      <c r="F1241" s="122">
        <v>27.23</v>
      </c>
    </row>
    <row r="1242" spans="2:6" x14ac:dyDescent="0.2">
      <c r="B1242" s="120" t="s">
        <v>4374</v>
      </c>
      <c r="C1242" s="121" t="s">
        <v>4375</v>
      </c>
      <c r="D1242" s="122">
        <v>28.36</v>
      </c>
      <c r="E1242" s="122">
        <v>7.09</v>
      </c>
      <c r="F1242" s="122">
        <v>-8.33</v>
      </c>
    </row>
    <row r="1243" spans="2:6" x14ac:dyDescent="0.2">
      <c r="B1243" s="120" t="s">
        <v>4376</v>
      </c>
      <c r="C1243" s="121" t="s">
        <v>4377</v>
      </c>
      <c r="D1243" s="122">
        <v>6.41</v>
      </c>
      <c r="E1243" s="122">
        <v>6.75</v>
      </c>
      <c r="F1243" s="122">
        <v>17.36</v>
      </c>
    </row>
    <row r="1244" spans="2:6" x14ac:dyDescent="0.2">
      <c r="B1244" s="120" t="s">
        <v>2200</v>
      </c>
      <c r="C1244" s="121" t="s">
        <v>2201</v>
      </c>
      <c r="D1244" s="122">
        <v>0.84</v>
      </c>
      <c r="E1244" s="122">
        <v>0.75</v>
      </c>
      <c r="F1244" s="122">
        <v>6.87</v>
      </c>
    </row>
    <row r="1245" spans="2:6" x14ac:dyDescent="0.2">
      <c r="B1245" s="120" t="s">
        <v>2202</v>
      </c>
      <c r="C1245" s="121" t="s">
        <v>2203</v>
      </c>
      <c r="D1245" s="122">
        <v>0.31</v>
      </c>
      <c r="E1245" s="122">
        <v>0.85</v>
      </c>
      <c r="F1245" s="122">
        <v>9.5500000000000007</v>
      </c>
    </row>
    <row r="1246" spans="2:6" x14ac:dyDescent="0.2">
      <c r="B1246" s="120" t="s">
        <v>2204</v>
      </c>
      <c r="C1246" s="121" t="s">
        <v>2205</v>
      </c>
      <c r="D1246" s="122">
        <v>4.74</v>
      </c>
      <c r="E1246" s="122">
        <v>3.48</v>
      </c>
      <c r="F1246" s="122">
        <v>27.94</v>
      </c>
    </row>
    <row r="1247" spans="2:6" x14ac:dyDescent="0.2">
      <c r="B1247" s="120" t="s">
        <v>2206</v>
      </c>
      <c r="C1247" s="121" t="s">
        <v>2207</v>
      </c>
      <c r="D1247" s="122">
        <v>11.32</v>
      </c>
      <c r="E1247" s="122">
        <v>1.53</v>
      </c>
      <c r="F1247" s="122">
        <v>6.84</v>
      </c>
    </row>
    <row r="1248" spans="2:6" x14ac:dyDescent="0.2">
      <c r="B1248" s="120" t="s">
        <v>2208</v>
      </c>
      <c r="C1248" s="121" t="s">
        <v>2209</v>
      </c>
      <c r="D1248" s="122">
        <v>11.01</v>
      </c>
      <c r="E1248" s="122">
        <v>9.4700000000000006</v>
      </c>
      <c r="F1248" s="122">
        <v>16.600000000000001</v>
      </c>
    </row>
    <row r="1249" spans="2:6" x14ac:dyDescent="0.2">
      <c r="B1249" s="120" t="s">
        <v>4378</v>
      </c>
      <c r="C1249" s="121" t="s">
        <v>4379</v>
      </c>
      <c r="D1249" s="122">
        <v>2.12</v>
      </c>
      <c r="E1249" s="122">
        <v>2.15</v>
      </c>
      <c r="F1249" s="122">
        <v>12.71</v>
      </c>
    </row>
    <row r="1250" spans="2:6" x14ac:dyDescent="0.2">
      <c r="B1250" s="120" t="s">
        <v>2210</v>
      </c>
      <c r="C1250" s="121" t="s">
        <v>2211</v>
      </c>
      <c r="D1250" s="122">
        <v>7.05</v>
      </c>
      <c r="E1250" s="122">
        <v>3.58</v>
      </c>
      <c r="F1250" s="122">
        <v>8.11</v>
      </c>
    </row>
    <row r="1251" spans="2:6" x14ac:dyDescent="0.2">
      <c r="B1251" s="120" t="s">
        <v>2212</v>
      </c>
      <c r="C1251" s="121" t="s">
        <v>2213</v>
      </c>
      <c r="D1251" s="122">
        <v>4.91</v>
      </c>
      <c r="E1251" s="122">
        <v>7.9</v>
      </c>
      <c r="F1251" s="122">
        <v>43.34</v>
      </c>
    </row>
    <row r="1252" spans="2:6" x14ac:dyDescent="0.2">
      <c r="B1252" s="120" t="s">
        <v>2214</v>
      </c>
      <c r="C1252" s="121" t="s">
        <v>2215</v>
      </c>
      <c r="D1252" s="122"/>
      <c r="E1252" s="122">
        <v>4.4400000000000004</v>
      </c>
      <c r="F1252" s="122"/>
    </row>
    <row r="1253" spans="2:6" x14ac:dyDescent="0.2">
      <c r="B1253" s="120" t="s">
        <v>2216</v>
      </c>
      <c r="C1253" s="121" t="s">
        <v>2217</v>
      </c>
      <c r="D1253" s="122">
        <v>1.75</v>
      </c>
      <c r="E1253" s="122">
        <v>0.89</v>
      </c>
      <c r="F1253" s="122">
        <v>6.32</v>
      </c>
    </row>
    <row r="1254" spans="2:6" x14ac:dyDescent="0.2">
      <c r="B1254" s="120" t="s">
        <v>2218</v>
      </c>
      <c r="C1254" s="121" t="s">
        <v>2219</v>
      </c>
      <c r="D1254" s="122"/>
      <c r="E1254" s="122">
        <v>7.77</v>
      </c>
      <c r="F1254" s="122">
        <v>-48.18</v>
      </c>
    </row>
    <row r="1255" spans="2:6" x14ac:dyDescent="0.2">
      <c r="B1255" s="120" t="s">
        <v>2220</v>
      </c>
      <c r="C1255" s="121" t="s">
        <v>2221</v>
      </c>
      <c r="D1255" s="122">
        <v>5.68</v>
      </c>
      <c r="E1255" s="122">
        <v>2.2999999999999998</v>
      </c>
      <c r="F1255" s="122">
        <v>5.25</v>
      </c>
    </row>
    <row r="1256" spans="2:6" x14ac:dyDescent="0.2">
      <c r="B1256" s="120" t="s">
        <v>2222</v>
      </c>
      <c r="C1256" s="121" t="s">
        <v>2223</v>
      </c>
      <c r="D1256" s="122"/>
      <c r="E1256" s="122">
        <v>0.99</v>
      </c>
      <c r="F1256" s="122"/>
    </row>
    <row r="1257" spans="2:6" x14ac:dyDescent="0.2">
      <c r="B1257" s="120" t="s">
        <v>2224</v>
      </c>
      <c r="C1257" s="121" t="s">
        <v>2225</v>
      </c>
      <c r="D1257" s="122">
        <v>1.4</v>
      </c>
      <c r="E1257" s="122">
        <v>0.99</v>
      </c>
      <c r="F1257" s="122">
        <v>11.04</v>
      </c>
    </row>
    <row r="1258" spans="2:6" x14ac:dyDescent="0.2">
      <c r="B1258" s="120" t="s">
        <v>2226</v>
      </c>
      <c r="C1258" s="121" t="s">
        <v>2227</v>
      </c>
      <c r="D1258" s="122">
        <v>3.05</v>
      </c>
      <c r="E1258" s="122">
        <v>6.08</v>
      </c>
      <c r="F1258" s="122">
        <v>28.35</v>
      </c>
    </row>
    <row r="1259" spans="2:6" x14ac:dyDescent="0.2">
      <c r="B1259" s="120" t="s">
        <v>2228</v>
      </c>
      <c r="C1259" s="121" t="s">
        <v>2229</v>
      </c>
      <c r="D1259" s="122">
        <v>0.41</v>
      </c>
      <c r="E1259" s="122">
        <v>0.81</v>
      </c>
      <c r="F1259" s="122">
        <v>6.52</v>
      </c>
    </row>
    <row r="1260" spans="2:6" x14ac:dyDescent="0.2">
      <c r="B1260" s="120" t="s">
        <v>4380</v>
      </c>
      <c r="C1260" s="121" t="s">
        <v>4381</v>
      </c>
      <c r="D1260" s="122">
        <v>0.27</v>
      </c>
      <c r="E1260" s="122">
        <v>0.67</v>
      </c>
      <c r="F1260" s="122">
        <v>8.41</v>
      </c>
    </row>
    <row r="1261" spans="2:6" x14ac:dyDescent="0.2">
      <c r="B1261" s="120" t="s">
        <v>2230</v>
      </c>
      <c r="C1261" s="121" t="s">
        <v>2231</v>
      </c>
      <c r="D1261" s="122">
        <v>12.95</v>
      </c>
      <c r="E1261" s="122"/>
      <c r="F1261" s="122">
        <v>-599.91999999999996</v>
      </c>
    </row>
    <row r="1262" spans="2:6" x14ac:dyDescent="0.2">
      <c r="B1262" s="120" t="s">
        <v>2232</v>
      </c>
      <c r="C1262" s="121" t="s">
        <v>2233</v>
      </c>
      <c r="D1262" s="122">
        <v>8.4600000000000009</v>
      </c>
      <c r="E1262" s="122">
        <v>10.4</v>
      </c>
      <c r="F1262" s="122">
        <v>39.26</v>
      </c>
    </row>
    <row r="1263" spans="2:6" x14ac:dyDescent="0.2">
      <c r="B1263" s="120" t="s">
        <v>2234</v>
      </c>
      <c r="C1263" s="121" t="s">
        <v>2235</v>
      </c>
      <c r="D1263" s="122">
        <v>3.91</v>
      </c>
      <c r="E1263" s="122">
        <v>2.42</v>
      </c>
      <c r="F1263" s="122">
        <v>0.43</v>
      </c>
    </row>
    <row r="1264" spans="2:6" x14ac:dyDescent="0.2">
      <c r="B1264" s="120" t="s">
        <v>2236</v>
      </c>
      <c r="C1264" s="121" t="s">
        <v>2237</v>
      </c>
      <c r="D1264" s="122">
        <v>3.61</v>
      </c>
      <c r="E1264" s="122"/>
      <c r="F1264" s="122">
        <v>-105.22</v>
      </c>
    </row>
    <row r="1265" spans="2:6" x14ac:dyDescent="0.2">
      <c r="B1265" s="120" t="s">
        <v>2238</v>
      </c>
      <c r="C1265" s="121" t="s">
        <v>2239</v>
      </c>
      <c r="D1265" s="122">
        <v>1.1399999999999999</v>
      </c>
      <c r="E1265" s="122">
        <v>2.63</v>
      </c>
      <c r="F1265" s="122">
        <v>21.08</v>
      </c>
    </row>
    <row r="1266" spans="2:6" x14ac:dyDescent="0.2">
      <c r="B1266" s="120" t="s">
        <v>2240</v>
      </c>
      <c r="C1266" s="121" t="s">
        <v>2241</v>
      </c>
      <c r="D1266" s="122">
        <v>0.2</v>
      </c>
      <c r="E1266" s="122">
        <v>0.35</v>
      </c>
      <c r="F1266" s="122">
        <v>8.39</v>
      </c>
    </row>
    <row r="1267" spans="2:6" x14ac:dyDescent="0.2">
      <c r="B1267" s="120" t="s">
        <v>2242</v>
      </c>
      <c r="C1267" s="121" t="s">
        <v>2243</v>
      </c>
      <c r="D1267" s="122">
        <v>3.07</v>
      </c>
      <c r="E1267" s="122">
        <v>1.48</v>
      </c>
      <c r="F1267" s="122">
        <v>14.26</v>
      </c>
    </row>
    <row r="1268" spans="2:6" x14ac:dyDescent="0.2">
      <c r="B1268" s="120" t="s">
        <v>2244</v>
      </c>
      <c r="C1268" s="121" t="s">
        <v>2245</v>
      </c>
      <c r="D1268" s="122">
        <v>11.87</v>
      </c>
      <c r="E1268" s="122">
        <v>105.37</v>
      </c>
      <c r="F1268" s="122">
        <v>166.69</v>
      </c>
    </row>
    <row r="1269" spans="2:6" x14ac:dyDescent="0.2">
      <c r="B1269" s="120" t="s">
        <v>2246</v>
      </c>
      <c r="C1269" s="121" t="s">
        <v>2247</v>
      </c>
      <c r="D1269" s="122">
        <v>5.89</v>
      </c>
      <c r="E1269" s="122">
        <v>34.619999999999997</v>
      </c>
      <c r="F1269" s="122">
        <v>98.65</v>
      </c>
    </row>
    <row r="1270" spans="2:6" x14ac:dyDescent="0.2">
      <c r="B1270" s="120" t="s">
        <v>2248</v>
      </c>
      <c r="C1270" s="121" t="s">
        <v>2249</v>
      </c>
      <c r="D1270" s="122">
        <v>3.98</v>
      </c>
      <c r="E1270" s="122">
        <v>1.1499999999999999</v>
      </c>
      <c r="F1270" s="122">
        <v>17.55</v>
      </c>
    </row>
    <row r="1271" spans="2:6" x14ac:dyDescent="0.2">
      <c r="B1271" s="120" t="s">
        <v>2250</v>
      </c>
      <c r="C1271" s="121" t="s">
        <v>2251</v>
      </c>
      <c r="D1271" s="122">
        <v>0.3</v>
      </c>
      <c r="E1271" s="122">
        <v>0.63</v>
      </c>
      <c r="F1271" s="122">
        <v>10.71</v>
      </c>
    </row>
    <row r="1272" spans="2:6" x14ac:dyDescent="0.2">
      <c r="B1272" s="120" t="s">
        <v>2252</v>
      </c>
      <c r="C1272" s="121" t="s">
        <v>2253</v>
      </c>
      <c r="D1272" s="122">
        <v>4.2300000000000004</v>
      </c>
      <c r="E1272" s="122">
        <v>5.01</v>
      </c>
      <c r="F1272" s="122">
        <v>18.25</v>
      </c>
    </row>
    <row r="1273" spans="2:6" x14ac:dyDescent="0.2">
      <c r="B1273" s="120" t="s">
        <v>4382</v>
      </c>
      <c r="C1273" s="121" t="s">
        <v>4383</v>
      </c>
      <c r="D1273" s="122"/>
      <c r="E1273" s="122">
        <v>1.9</v>
      </c>
      <c r="F1273" s="122"/>
    </row>
    <row r="1274" spans="2:6" x14ac:dyDescent="0.2">
      <c r="B1274" s="120" t="s">
        <v>4384</v>
      </c>
      <c r="C1274" s="121" t="s">
        <v>4385</v>
      </c>
      <c r="D1274" s="122">
        <v>2.5499999999999998</v>
      </c>
      <c r="E1274" s="122">
        <v>5.42</v>
      </c>
      <c r="F1274" s="122">
        <v>23.67</v>
      </c>
    </row>
    <row r="1275" spans="2:6" x14ac:dyDescent="0.2">
      <c r="B1275" s="120" t="s">
        <v>2254</v>
      </c>
      <c r="C1275" s="121" t="s">
        <v>2255</v>
      </c>
      <c r="D1275" s="122">
        <v>0.66</v>
      </c>
      <c r="E1275" s="122">
        <v>3.11</v>
      </c>
      <c r="F1275" s="122">
        <v>23.43</v>
      </c>
    </row>
    <row r="1276" spans="2:6" x14ac:dyDescent="0.2">
      <c r="B1276" s="120" t="s">
        <v>2256</v>
      </c>
      <c r="C1276" s="121" t="s">
        <v>2257</v>
      </c>
      <c r="D1276" s="122">
        <v>2.0099999999999998</v>
      </c>
      <c r="E1276" s="122">
        <v>1.5</v>
      </c>
      <c r="F1276" s="122">
        <v>30.94</v>
      </c>
    </row>
    <row r="1277" spans="2:6" x14ac:dyDescent="0.2">
      <c r="B1277" s="120" t="s">
        <v>4386</v>
      </c>
      <c r="C1277" s="121" t="s">
        <v>4387</v>
      </c>
      <c r="D1277" s="122"/>
      <c r="E1277" s="122"/>
      <c r="F1277" s="122"/>
    </row>
    <row r="1278" spans="2:6" x14ac:dyDescent="0.2">
      <c r="B1278" s="120" t="s">
        <v>2258</v>
      </c>
      <c r="C1278" s="121" t="s">
        <v>2259</v>
      </c>
      <c r="D1278" s="122">
        <v>1.1000000000000001</v>
      </c>
      <c r="E1278" s="122">
        <v>0.42</v>
      </c>
      <c r="F1278" s="122">
        <v>6.46</v>
      </c>
    </row>
    <row r="1279" spans="2:6" x14ac:dyDescent="0.2">
      <c r="B1279" s="120" t="s">
        <v>2260</v>
      </c>
      <c r="C1279" s="121" t="s">
        <v>2261</v>
      </c>
      <c r="D1279" s="122">
        <v>1.4</v>
      </c>
      <c r="E1279" s="122">
        <v>0.79</v>
      </c>
      <c r="F1279" s="122">
        <v>3.48</v>
      </c>
    </row>
    <row r="1280" spans="2:6" x14ac:dyDescent="0.2">
      <c r="B1280" s="120" t="s">
        <v>4388</v>
      </c>
      <c r="C1280" s="121" t="s">
        <v>4389</v>
      </c>
      <c r="D1280" s="122">
        <v>0.69</v>
      </c>
      <c r="E1280" s="122">
        <v>1.31</v>
      </c>
      <c r="F1280" s="122">
        <v>8.6</v>
      </c>
    </row>
    <row r="1281" spans="2:6" x14ac:dyDescent="0.2">
      <c r="B1281" s="120" t="s">
        <v>4390</v>
      </c>
      <c r="C1281" s="121" t="s">
        <v>4391</v>
      </c>
      <c r="D1281" s="122">
        <v>0.62</v>
      </c>
      <c r="E1281" s="122">
        <v>1.38</v>
      </c>
      <c r="F1281" s="122">
        <v>10.69</v>
      </c>
    </row>
    <row r="1282" spans="2:6" x14ac:dyDescent="0.2">
      <c r="B1282" s="120" t="s">
        <v>2262</v>
      </c>
      <c r="C1282" s="121" t="s">
        <v>2263</v>
      </c>
      <c r="D1282" s="122">
        <v>1.47</v>
      </c>
      <c r="E1282" s="122">
        <v>4.01</v>
      </c>
      <c r="F1282" s="122">
        <v>21.12</v>
      </c>
    </row>
    <row r="1283" spans="2:6" x14ac:dyDescent="0.2">
      <c r="B1283" s="120" t="s">
        <v>2264</v>
      </c>
      <c r="C1283" s="121" t="s">
        <v>2265</v>
      </c>
      <c r="D1283" s="122">
        <v>6.68</v>
      </c>
      <c r="E1283" s="122">
        <v>8.44</v>
      </c>
      <c r="F1283" s="122">
        <v>37.75</v>
      </c>
    </row>
    <row r="1284" spans="2:6" x14ac:dyDescent="0.2">
      <c r="B1284" s="120" t="s">
        <v>2266</v>
      </c>
      <c r="C1284" s="121" t="s">
        <v>2267</v>
      </c>
      <c r="D1284" s="122">
        <v>0.96</v>
      </c>
      <c r="E1284" s="122">
        <v>0.91</v>
      </c>
      <c r="F1284" s="122">
        <v>18.93</v>
      </c>
    </row>
    <row r="1285" spans="2:6" x14ac:dyDescent="0.2">
      <c r="B1285" s="120" t="s">
        <v>2268</v>
      </c>
      <c r="C1285" s="121" t="s">
        <v>2269</v>
      </c>
      <c r="D1285" s="122">
        <v>0.18</v>
      </c>
      <c r="E1285" s="122">
        <v>0.5</v>
      </c>
      <c r="F1285" s="122">
        <v>5.85</v>
      </c>
    </row>
    <row r="1286" spans="2:6" x14ac:dyDescent="0.2">
      <c r="B1286" s="120" t="s">
        <v>2270</v>
      </c>
      <c r="C1286" s="121" t="s">
        <v>2271</v>
      </c>
      <c r="D1286" s="122"/>
      <c r="E1286" s="122">
        <v>1.46</v>
      </c>
      <c r="F1286" s="122"/>
    </row>
    <row r="1287" spans="2:6" x14ac:dyDescent="0.2">
      <c r="B1287" s="120" t="s">
        <v>4392</v>
      </c>
      <c r="C1287" s="121" t="s">
        <v>4393</v>
      </c>
      <c r="D1287" s="122">
        <v>4.17</v>
      </c>
      <c r="E1287" s="122">
        <v>4.8</v>
      </c>
      <c r="F1287" s="122">
        <v>15.03</v>
      </c>
    </row>
    <row r="1288" spans="2:6" x14ac:dyDescent="0.2">
      <c r="B1288" s="120" t="s">
        <v>2272</v>
      </c>
      <c r="C1288" s="121" t="s">
        <v>2273</v>
      </c>
      <c r="D1288" s="122">
        <v>0.53</v>
      </c>
      <c r="E1288" s="122">
        <v>0.92</v>
      </c>
      <c r="F1288" s="122">
        <v>16.82</v>
      </c>
    </row>
    <row r="1289" spans="2:6" x14ac:dyDescent="0.2">
      <c r="B1289" s="120" t="s">
        <v>2274</v>
      </c>
      <c r="C1289" s="121" t="s">
        <v>2275</v>
      </c>
      <c r="D1289" s="122">
        <v>15.26</v>
      </c>
      <c r="E1289" s="122">
        <v>19.09</v>
      </c>
      <c r="F1289" s="122">
        <v>0.46</v>
      </c>
    </row>
    <row r="1290" spans="2:6" x14ac:dyDescent="0.2">
      <c r="B1290" s="120" t="s">
        <v>2276</v>
      </c>
      <c r="C1290" s="121" t="s">
        <v>2277</v>
      </c>
      <c r="D1290" s="122">
        <v>2.4</v>
      </c>
      <c r="E1290" s="122">
        <v>1.1000000000000001</v>
      </c>
      <c r="F1290" s="122">
        <v>0.87</v>
      </c>
    </row>
    <row r="1291" spans="2:6" x14ac:dyDescent="0.2">
      <c r="B1291" s="120" t="s">
        <v>2278</v>
      </c>
      <c r="C1291" s="121" t="s">
        <v>2279</v>
      </c>
      <c r="D1291" s="122">
        <v>1.83</v>
      </c>
      <c r="E1291" s="122">
        <v>1.88</v>
      </c>
      <c r="F1291" s="122">
        <v>19.149999999999999</v>
      </c>
    </row>
    <row r="1292" spans="2:6" x14ac:dyDescent="0.2">
      <c r="B1292" s="120" t="s">
        <v>4394</v>
      </c>
      <c r="C1292" s="121" t="s">
        <v>4395</v>
      </c>
      <c r="D1292" s="122"/>
      <c r="E1292" s="122">
        <v>2.58</v>
      </c>
      <c r="F1292" s="122"/>
    </row>
    <row r="1293" spans="2:6" x14ac:dyDescent="0.2">
      <c r="B1293" s="120" t="s">
        <v>2280</v>
      </c>
      <c r="C1293" s="121" t="s">
        <v>2281</v>
      </c>
      <c r="D1293" s="122">
        <v>0.59</v>
      </c>
      <c r="E1293" s="122">
        <v>7.16</v>
      </c>
      <c r="F1293" s="122">
        <v>86.8</v>
      </c>
    </row>
    <row r="1294" spans="2:6" x14ac:dyDescent="0.2">
      <c r="B1294" s="120" t="s">
        <v>2282</v>
      </c>
      <c r="C1294" s="121" t="s">
        <v>2283</v>
      </c>
      <c r="D1294" s="122"/>
      <c r="E1294" s="122"/>
      <c r="F1294" s="122"/>
    </row>
    <row r="1295" spans="2:6" x14ac:dyDescent="0.2">
      <c r="B1295" s="120" t="s">
        <v>2284</v>
      </c>
      <c r="C1295" s="121" t="s">
        <v>2285</v>
      </c>
      <c r="D1295" s="122">
        <v>3.95</v>
      </c>
      <c r="E1295" s="122">
        <v>2.99</v>
      </c>
      <c r="F1295" s="122">
        <v>14.68</v>
      </c>
    </row>
    <row r="1296" spans="2:6" x14ac:dyDescent="0.2">
      <c r="B1296" s="120" t="s">
        <v>4396</v>
      </c>
      <c r="C1296" s="121" t="s">
        <v>4397</v>
      </c>
      <c r="D1296" s="122">
        <v>1.07</v>
      </c>
      <c r="E1296" s="122">
        <v>1.25</v>
      </c>
      <c r="F1296" s="122">
        <v>9.68</v>
      </c>
    </row>
    <row r="1297" spans="2:6" x14ac:dyDescent="0.2">
      <c r="B1297" s="120" t="s">
        <v>4398</v>
      </c>
      <c r="C1297" s="121" t="s">
        <v>4399</v>
      </c>
      <c r="D1297" s="122"/>
      <c r="E1297" s="122"/>
      <c r="F1297" s="122"/>
    </row>
    <row r="1298" spans="2:6" x14ac:dyDescent="0.2">
      <c r="B1298" s="120" t="s">
        <v>2286</v>
      </c>
      <c r="C1298" s="121" t="s">
        <v>2287</v>
      </c>
      <c r="D1298" s="122">
        <v>3.79</v>
      </c>
      <c r="E1298" s="122">
        <v>5.34</v>
      </c>
      <c r="F1298" s="122">
        <v>21.96</v>
      </c>
    </row>
    <row r="1299" spans="2:6" x14ac:dyDescent="0.2">
      <c r="B1299" s="120" t="s">
        <v>4400</v>
      </c>
      <c r="C1299" s="121" t="s">
        <v>4401</v>
      </c>
      <c r="D1299" s="122"/>
      <c r="E1299" s="122"/>
      <c r="F1299" s="122"/>
    </row>
    <row r="1300" spans="2:6" x14ac:dyDescent="0.2">
      <c r="B1300" s="120" t="s">
        <v>2288</v>
      </c>
      <c r="C1300" s="121" t="s">
        <v>2289</v>
      </c>
      <c r="D1300" s="122">
        <v>6.06</v>
      </c>
      <c r="E1300" s="122">
        <v>2.81</v>
      </c>
      <c r="F1300" s="122">
        <v>10.46</v>
      </c>
    </row>
    <row r="1301" spans="2:6" x14ac:dyDescent="0.2">
      <c r="B1301" s="120" t="s">
        <v>2290</v>
      </c>
      <c r="C1301" s="121" t="s">
        <v>2291</v>
      </c>
      <c r="D1301" s="122">
        <v>4.17</v>
      </c>
      <c r="E1301" s="122">
        <v>1.61</v>
      </c>
      <c r="F1301" s="122">
        <v>4.79</v>
      </c>
    </row>
    <row r="1302" spans="2:6" x14ac:dyDescent="0.2">
      <c r="B1302" s="120" t="s">
        <v>2292</v>
      </c>
      <c r="C1302" s="121" t="s">
        <v>2293</v>
      </c>
      <c r="D1302" s="122">
        <v>9.49</v>
      </c>
      <c r="E1302" s="122">
        <v>6.13</v>
      </c>
      <c r="F1302" s="122">
        <v>9.86</v>
      </c>
    </row>
    <row r="1303" spans="2:6" x14ac:dyDescent="0.2">
      <c r="B1303" s="120" t="s">
        <v>4402</v>
      </c>
      <c r="C1303" s="121" t="s">
        <v>4403</v>
      </c>
      <c r="D1303" s="122">
        <v>2.36</v>
      </c>
      <c r="E1303" s="122">
        <v>8.8000000000000007</v>
      </c>
      <c r="F1303" s="122">
        <v>47.25</v>
      </c>
    </row>
    <row r="1304" spans="2:6" x14ac:dyDescent="0.2">
      <c r="B1304" s="120" t="s">
        <v>2296</v>
      </c>
      <c r="C1304" s="121" t="s">
        <v>2297</v>
      </c>
      <c r="D1304" s="122">
        <v>7.21</v>
      </c>
      <c r="E1304" s="122">
        <v>10.26</v>
      </c>
      <c r="F1304" s="122">
        <v>-8.5500000000000007</v>
      </c>
    </row>
    <row r="1305" spans="2:6" x14ac:dyDescent="0.2">
      <c r="B1305" s="120" t="s">
        <v>2298</v>
      </c>
      <c r="C1305" s="121" t="s">
        <v>2299</v>
      </c>
      <c r="D1305" s="122"/>
      <c r="E1305" s="122">
        <v>6.79</v>
      </c>
      <c r="F1305" s="122"/>
    </row>
    <row r="1306" spans="2:6" x14ac:dyDescent="0.2">
      <c r="B1306" s="120" t="s">
        <v>2300</v>
      </c>
      <c r="C1306" s="121" t="s">
        <v>2301</v>
      </c>
      <c r="D1306" s="122">
        <v>2.42</v>
      </c>
      <c r="E1306" s="122">
        <v>1.9</v>
      </c>
      <c r="F1306" s="122">
        <v>14.53</v>
      </c>
    </row>
    <row r="1307" spans="2:6" x14ac:dyDescent="0.2">
      <c r="B1307" s="120" t="s">
        <v>2302</v>
      </c>
      <c r="C1307" s="121" t="s">
        <v>2303</v>
      </c>
      <c r="D1307" s="122">
        <v>6.72</v>
      </c>
      <c r="E1307" s="122">
        <v>19.420000000000002</v>
      </c>
      <c r="F1307" s="122">
        <v>20.88</v>
      </c>
    </row>
    <row r="1308" spans="2:6" x14ac:dyDescent="0.2">
      <c r="B1308" s="120" t="s">
        <v>2304</v>
      </c>
      <c r="C1308" s="121" t="s">
        <v>2305</v>
      </c>
      <c r="D1308" s="122"/>
      <c r="E1308" s="122">
        <v>1.54</v>
      </c>
      <c r="F1308" s="122"/>
    </row>
    <row r="1309" spans="2:6" x14ac:dyDescent="0.2">
      <c r="B1309" s="120" t="s">
        <v>2306</v>
      </c>
      <c r="C1309" s="121" t="s">
        <v>2307</v>
      </c>
      <c r="D1309" s="122"/>
      <c r="E1309" s="122">
        <v>1.1100000000000001</v>
      </c>
      <c r="F1309" s="122"/>
    </row>
    <row r="1310" spans="2:6" x14ac:dyDescent="0.2">
      <c r="B1310" s="120" t="s">
        <v>2308</v>
      </c>
      <c r="C1310" s="121" t="s">
        <v>2309</v>
      </c>
      <c r="D1310" s="122">
        <v>3.02</v>
      </c>
      <c r="E1310" s="122">
        <v>9.19</v>
      </c>
      <c r="F1310" s="122">
        <v>54.67</v>
      </c>
    </row>
    <row r="1311" spans="2:6" x14ac:dyDescent="0.2">
      <c r="B1311" s="120" t="s">
        <v>2310</v>
      </c>
      <c r="C1311" s="121" t="s">
        <v>2311</v>
      </c>
      <c r="D1311" s="122">
        <v>11.88</v>
      </c>
      <c r="E1311" s="122">
        <v>2.5299999999999998</v>
      </c>
      <c r="F1311" s="122">
        <v>11</v>
      </c>
    </row>
    <row r="1312" spans="2:6" x14ac:dyDescent="0.2">
      <c r="B1312" s="120" t="s">
        <v>2312</v>
      </c>
      <c r="C1312" s="121" t="s">
        <v>2313</v>
      </c>
      <c r="D1312" s="122">
        <v>0.4</v>
      </c>
      <c r="E1312" s="122">
        <v>0.74</v>
      </c>
      <c r="F1312" s="122">
        <v>2.14</v>
      </c>
    </row>
    <row r="1313" spans="2:6" x14ac:dyDescent="0.2">
      <c r="B1313" s="120" t="s">
        <v>2314</v>
      </c>
      <c r="C1313" s="121" t="s">
        <v>2315</v>
      </c>
      <c r="D1313" s="122">
        <v>2.11</v>
      </c>
      <c r="E1313" s="122">
        <v>2.16</v>
      </c>
      <c r="F1313" s="122">
        <v>10.6</v>
      </c>
    </row>
    <row r="1314" spans="2:6" x14ac:dyDescent="0.2">
      <c r="B1314" s="120" t="s">
        <v>2316</v>
      </c>
      <c r="C1314" s="121" t="s">
        <v>2317</v>
      </c>
      <c r="D1314" s="122">
        <v>6.06</v>
      </c>
      <c r="E1314" s="122">
        <v>4.33</v>
      </c>
      <c r="F1314" s="122">
        <v>12.09</v>
      </c>
    </row>
    <row r="1315" spans="2:6" x14ac:dyDescent="0.2">
      <c r="B1315" s="120" t="s">
        <v>4404</v>
      </c>
      <c r="C1315" s="121" t="s">
        <v>4405</v>
      </c>
      <c r="D1315" s="122"/>
      <c r="E1315" s="122">
        <v>11.39</v>
      </c>
      <c r="F1315" s="122"/>
    </row>
    <row r="1316" spans="2:6" x14ac:dyDescent="0.2">
      <c r="B1316" s="120" t="s">
        <v>2318</v>
      </c>
      <c r="C1316" s="121" t="s">
        <v>2319</v>
      </c>
      <c r="D1316" s="122">
        <v>0.82</v>
      </c>
      <c r="E1316" s="122">
        <v>0.94</v>
      </c>
      <c r="F1316" s="122">
        <v>9.64</v>
      </c>
    </row>
    <row r="1317" spans="2:6" x14ac:dyDescent="0.2">
      <c r="B1317" s="120" t="s">
        <v>2320</v>
      </c>
      <c r="C1317" s="121" t="s">
        <v>2321</v>
      </c>
      <c r="D1317" s="122"/>
      <c r="E1317" s="122">
        <v>8.9499999999999993</v>
      </c>
      <c r="F1317" s="122"/>
    </row>
    <row r="1318" spans="2:6" x14ac:dyDescent="0.2">
      <c r="B1318" s="120" t="s">
        <v>2322</v>
      </c>
      <c r="C1318" s="121" t="s">
        <v>2323</v>
      </c>
      <c r="D1318" s="122">
        <v>3.08</v>
      </c>
      <c r="E1318" s="122">
        <v>4.74</v>
      </c>
      <c r="F1318" s="122">
        <v>7.66</v>
      </c>
    </row>
    <row r="1319" spans="2:6" x14ac:dyDescent="0.2">
      <c r="B1319" s="120" t="s">
        <v>2324</v>
      </c>
      <c r="C1319" s="121" t="s">
        <v>2325</v>
      </c>
      <c r="D1319" s="122">
        <v>1.45</v>
      </c>
      <c r="E1319" s="122">
        <v>2.52</v>
      </c>
      <c r="F1319" s="122">
        <v>7.93</v>
      </c>
    </row>
    <row r="1320" spans="2:6" x14ac:dyDescent="0.2">
      <c r="B1320" s="120" t="s">
        <v>2326</v>
      </c>
      <c r="C1320" s="121" t="s">
        <v>2327</v>
      </c>
      <c r="D1320" s="122">
        <v>3.47</v>
      </c>
      <c r="E1320" s="122">
        <v>15.07</v>
      </c>
      <c r="F1320" s="122">
        <v>45.12</v>
      </c>
    </row>
    <row r="1321" spans="2:6" x14ac:dyDescent="0.2">
      <c r="B1321" s="120" t="s">
        <v>2328</v>
      </c>
      <c r="C1321" s="121" t="s">
        <v>2329</v>
      </c>
      <c r="D1321" s="122">
        <v>29.65</v>
      </c>
      <c r="E1321" s="122">
        <v>2.2599999999999998</v>
      </c>
      <c r="F1321" s="122">
        <v>-25.25</v>
      </c>
    </row>
    <row r="1322" spans="2:6" x14ac:dyDescent="0.2">
      <c r="B1322" s="120" t="s">
        <v>2330</v>
      </c>
      <c r="C1322" s="121" t="s">
        <v>2331</v>
      </c>
      <c r="D1322" s="122">
        <v>1.23</v>
      </c>
      <c r="E1322" s="122">
        <v>2.66</v>
      </c>
      <c r="F1322" s="122">
        <v>18.97</v>
      </c>
    </row>
    <row r="1323" spans="2:6" x14ac:dyDescent="0.2">
      <c r="B1323" s="120" t="s">
        <v>2332</v>
      </c>
      <c r="C1323" s="121" t="s">
        <v>2333</v>
      </c>
      <c r="D1323" s="122">
        <v>4.5199999999999996</v>
      </c>
      <c r="E1323" s="122">
        <v>0.96</v>
      </c>
      <c r="F1323" s="122">
        <v>12.04</v>
      </c>
    </row>
    <row r="1324" spans="2:6" x14ac:dyDescent="0.2">
      <c r="B1324" s="120" t="s">
        <v>2334</v>
      </c>
      <c r="C1324" s="121" t="s">
        <v>2335</v>
      </c>
      <c r="D1324" s="122"/>
      <c r="E1324" s="122"/>
      <c r="F1324" s="122"/>
    </row>
    <row r="1325" spans="2:6" x14ac:dyDescent="0.2">
      <c r="B1325" s="120" t="s">
        <v>2336</v>
      </c>
      <c r="C1325" s="121" t="s">
        <v>2337</v>
      </c>
      <c r="D1325" s="122">
        <v>0.95</v>
      </c>
      <c r="E1325" s="122">
        <v>0.59</v>
      </c>
      <c r="F1325" s="122">
        <v>-1.74</v>
      </c>
    </row>
    <row r="1326" spans="2:6" x14ac:dyDescent="0.2">
      <c r="B1326" s="120" t="s">
        <v>2338</v>
      </c>
      <c r="C1326" s="121" t="s">
        <v>2339</v>
      </c>
      <c r="D1326" s="122">
        <v>3.76</v>
      </c>
      <c r="E1326" s="122">
        <v>4.32</v>
      </c>
      <c r="F1326" s="122"/>
    </row>
    <row r="1327" spans="2:6" x14ac:dyDescent="0.2">
      <c r="B1327" s="120" t="s">
        <v>4406</v>
      </c>
      <c r="C1327" s="121" t="s">
        <v>4407</v>
      </c>
      <c r="D1327" s="122">
        <v>0.52</v>
      </c>
      <c r="E1327" s="122">
        <v>0.37</v>
      </c>
      <c r="F1327" s="122">
        <v>5.0999999999999996</v>
      </c>
    </row>
    <row r="1328" spans="2:6" x14ac:dyDescent="0.2">
      <c r="B1328" s="120" t="s">
        <v>2340</v>
      </c>
      <c r="C1328" s="121" t="s">
        <v>2341</v>
      </c>
      <c r="D1328" s="122">
        <v>14.17</v>
      </c>
      <c r="E1328" s="122">
        <v>2.54</v>
      </c>
      <c r="F1328" s="122">
        <v>7.88</v>
      </c>
    </row>
    <row r="1329" spans="2:6" x14ac:dyDescent="0.2">
      <c r="B1329" s="120" t="s">
        <v>2342</v>
      </c>
      <c r="C1329" s="121" t="s">
        <v>2343</v>
      </c>
      <c r="D1329" s="122">
        <v>1.89</v>
      </c>
      <c r="E1329" s="122">
        <v>6.76</v>
      </c>
      <c r="F1329" s="122">
        <v>42.21</v>
      </c>
    </row>
    <row r="1330" spans="2:6" x14ac:dyDescent="0.2">
      <c r="B1330" s="120" t="s">
        <v>2344</v>
      </c>
      <c r="C1330" s="121" t="s">
        <v>2345</v>
      </c>
      <c r="D1330" s="122">
        <v>1.1299999999999999</v>
      </c>
      <c r="E1330" s="122">
        <v>1.84</v>
      </c>
      <c r="F1330" s="122">
        <v>7.84</v>
      </c>
    </row>
    <row r="1331" spans="2:6" x14ac:dyDescent="0.2">
      <c r="B1331" s="120" t="s">
        <v>2346</v>
      </c>
      <c r="C1331" s="121" t="s">
        <v>2347</v>
      </c>
      <c r="D1331" s="122">
        <v>1.53</v>
      </c>
      <c r="E1331" s="122">
        <v>1.46</v>
      </c>
      <c r="F1331" s="122">
        <v>9.6300000000000008</v>
      </c>
    </row>
    <row r="1332" spans="2:6" x14ac:dyDescent="0.2">
      <c r="B1332" s="120" t="s">
        <v>2348</v>
      </c>
      <c r="C1332" s="121" t="s">
        <v>2349</v>
      </c>
      <c r="D1332" s="122">
        <v>1.01</v>
      </c>
      <c r="E1332" s="122">
        <v>1.03</v>
      </c>
      <c r="F1332" s="122">
        <v>-0.64</v>
      </c>
    </row>
    <row r="1333" spans="2:6" x14ac:dyDescent="0.2">
      <c r="B1333" s="120" t="s">
        <v>2350</v>
      </c>
      <c r="C1333" s="121" t="s">
        <v>2351</v>
      </c>
      <c r="D1333" s="122">
        <v>16.88</v>
      </c>
      <c r="E1333" s="122">
        <v>40.32</v>
      </c>
      <c r="F1333" s="122">
        <v>4.29</v>
      </c>
    </row>
    <row r="1334" spans="2:6" x14ac:dyDescent="0.2">
      <c r="B1334" s="120" t="s">
        <v>2352</v>
      </c>
      <c r="C1334" s="121" t="s">
        <v>2353</v>
      </c>
      <c r="D1334" s="122"/>
      <c r="E1334" s="122"/>
      <c r="F1334" s="122"/>
    </row>
    <row r="1335" spans="2:6" x14ac:dyDescent="0.2">
      <c r="B1335" s="120" t="s">
        <v>4408</v>
      </c>
      <c r="C1335" s="121" t="s">
        <v>4409</v>
      </c>
      <c r="D1335" s="122">
        <v>0.23</v>
      </c>
      <c r="E1335" s="122">
        <v>0.4</v>
      </c>
      <c r="F1335" s="122">
        <v>5.36</v>
      </c>
    </row>
    <row r="1336" spans="2:6" x14ac:dyDescent="0.2">
      <c r="B1336" s="120" t="s">
        <v>4410</v>
      </c>
      <c r="C1336" s="121" t="s">
        <v>4411</v>
      </c>
      <c r="D1336" s="122">
        <v>0.53</v>
      </c>
      <c r="E1336" s="122">
        <v>0.96</v>
      </c>
      <c r="F1336" s="122">
        <v>8.65</v>
      </c>
    </row>
    <row r="1337" spans="2:6" x14ac:dyDescent="0.2">
      <c r="B1337" s="120" t="s">
        <v>4412</v>
      </c>
      <c r="C1337" s="121" t="s">
        <v>4413</v>
      </c>
      <c r="D1337" s="122"/>
      <c r="E1337" s="122">
        <v>2.5299999999999998</v>
      </c>
      <c r="F1337" s="122"/>
    </row>
    <row r="1338" spans="2:6" x14ac:dyDescent="0.2">
      <c r="B1338" s="120" t="s">
        <v>4414</v>
      </c>
      <c r="C1338" s="121" t="s">
        <v>4415</v>
      </c>
      <c r="D1338" s="122">
        <v>2.42</v>
      </c>
      <c r="E1338" s="122">
        <v>0.83</v>
      </c>
      <c r="F1338" s="122">
        <v>7.07</v>
      </c>
    </row>
    <row r="1339" spans="2:6" x14ac:dyDescent="0.2">
      <c r="B1339" s="120" t="s">
        <v>2354</v>
      </c>
      <c r="C1339" s="121" t="s">
        <v>2355</v>
      </c>
      <c r="D1339" s="122">
        <v>1.02</v>
      </c>
      <c r="E1339" s="122"/>
      <c r="F1339" s="122">
        <v>-45.11</v>
      </c>
    </row>
    <row r="1340" spans="2:6" x14ac:dyDescent="0.2">
      <c r="B1340" s="120" t="s">
        <v>2356</v>
      </c>
      <c r="C1340" s="121" t="s">
        <v>2357</v>
      </c>
      <c r="D1340" s="122">
        <v>3.25</v>
      </c>
      <c r="E1340" s="122">
        <v>3.73</v>
      </c>
      <c r="F1340" s="122">
        <v>12.72</v>
      </c>
    </row>
    <row r="1341" spans="2:6" x14ac:dyDescent="0.2">
      <c r="B1341" s="120" t="s">
        <v>2358</v>
      </c>
      <c r="C1341" s="121" t="s">
        <v>2359</v>
      </c>
      <c r="D1341" s="122">
        <v>3.65</v>
      </c>
      <c r="E1341" s="122">
        <v>0.93</v>
      </c>
      <c r="F1341" s="122">
        <v>13.22</v>
      </c>
    </row>
    <row r="1342" spans="2:6" x14ac:dyDescent="0.2">
      <c r="B1342" s="120" t="s">
        <v>2360</v>
      </c>
      <c r="C1342" s="121" t="s">
        <v>2361</v>
      </c>
      <c r="D1342" s="122">
        <v>1.66</v>
      </c>
      <c r="E1342" s="122">
        <v>2.87</v>
      </c>
      <c r="F1342" s="122">
        <v>31.79</v>
      </c>
    </row>
    <row r="1343" spans="2:6" x14ac:dyDescent="0.2">
      <c r="B1343" s="120" t="s">
        <v>2362</v>
      </c>
      <c r="C1343" s="121" t="s">
        <v>2363</v>
      </c>
      <c r="D1343" s="122">
        <v>0.25</v>
      </c>
      <c r="E1343" s="122">
        <v>0.51</v>
      </c>
      <c r="F1343" s="122">
        <v>5.1100000000000003</v>
      </c>
    </row>
    <row r="1344" spans="2:6" x14ac:dyDescent="0.2">
      <c r="B1344" s="120" t="s">
        <v>2364</v>
      </c>
      <c r="C1344" s="121" t="s">
        <v>2365</v>
      </c>
      <c r="D1344" s="122">
        <v>4.0999999999999996</v>
      </c>
      <c r="E1344" s="122">
        <v>3.11</v>
      </c>
      <c r="F1344" s="122">
        <v>18.239999999999998</v>
      </c>
    </row>
    <row r="1345" spans="2:6" x14ac:dyDescent="0.2">
      <c r="B1345" s="120" t="s">
        <v>2366</v>
      </c>
      <c r="C1345" s="121" t="s">
        <v>2367</v>
      </c>
      <c r="D1345" s="122">
        <v>1</v>
      </c>
      <c r="E1345" s="122">
        <v>30.37</v>
      </c>
      <c r="F1345" s="122">
        <v>136.63</v>
      </c>
    </row>
    <row r="1346" spans="2:6" x14ac:dyDescent="0.2">
      <c r="B1346" s="120" t="s">
        <v>2368</v>
      </c>
      <c r="C1346" s="121" t="s">
        <v>2369</v>
      </c>
      <c r="D1346" s="122"/>
      <c r="E1346" s="122">
        <v>5.52</v>
      </c>
      <c r="F1346" s="122"/>
    </row>
    <row r="1347" spans="2:6" x14ac:dyDescent="0.2">
      <c r="B1347" s="120" t="s">
        <v>2370</v>
      </c>
      <c r="C1347" s="121" t="s">
        <v>2371</v>
      </c>
      <c r="D1347" s="122">
        <v>2.1800000000000002</v>
      </c>
      <c r="E1347" s="122">
        <v>14.91</v>
      </c>
      <c r="F1347" s="122">
        <v>77.11</v>
      </c>
    </row>
    <row r="1348" spans="2:6" x14ac:dyDescent="0.2">
      <c r="B1348" s="120" t="s">
        <v>2372</v>
      </c>
      <c r="C1348" s="121" t="s">
        <v>2373</v>
      </c>
      <c r="D1348" s="122">
        <v>4.3499999999999996</v>
      </c>
      <c r="E1348" s="122">
        <v>3.69</v>
      </c>
      <c r="F1348" s="122">
        <v>13.03</v>
      </c>
    </row>
    <row r="1349" spans="2:6" x14ac:dyDescent="0.2">
      <c r="B1349" s="120" t="s">
        <v>2374</v>
      </c>
      <c r="C1349" s="121" t="s">
        <v>2375</v>
      </c>
      <c r="D1349" s="122">
        <v>0.94</v>
      </c>
      <c r="E1349" s="122">
        <v>2.11</v>
      </c>
      <c r="F1349" s="122">
        <v>10.050000000000001</v>
      </c>
    </row>
    <row r="1350" spans="2:6" x14ac:dyDescent="0.2">
      <c r="B1350" s="120" t="s">
        <v>2376</v>
      </c>
      <c r="C1350" s="121" t="s">
        <v>2377</v>
      </c>
      <c r="D1350" s="122">
        <v>3.19</v>
      </c>
      <c r="E1350" s="122">
        <v>4.7</v>
      </c>
      <c r="F1350" s="122">
        <v>18.39</v>
      </c>
    </row>
    <row r="1351" spans="2:6" x14ac:dyDescent="0.2">
      <c r="B1351" s="120" t="s">
        <v>2378</v>
      </c>
      <c r="C1351" s="121" t="s">
        <v>2379</v>
      </c>
      <c r="D1351" s="122">
        <v>1.86</v>
      </c>
      <c r="E1351" s="122">
        <v>1.79</v>
      </c>
      <c r="F1351" s="122">
        <v>18.260000000000002</v>
      </c>
    </row>
    <row r="1352" spans="2:6" x14ac:dyDescent="0.2">
      <c r="B1352" s="120" t="s">
        <v>2380</v>
      </c>
      <c r="C1352" s="121" t="s">
        <v>2381</v>
      </c>
      <c r="D1352" s="122">
        <v>3.94</v>
      </c>
      <c r="E1352" s="122">
        <v>15.92</v>
      </c>
      <c r="F1352" s="122">
        <v>-150.86000000000001</v>
      </c>
    </row>
    <row r="1353" spans="2:6" x14ac:dyDescent="0.2">
      <c r="B1353" s="120" t="s">
        <v>2382</v>
      </c>
      <c r="C1353" s="121" t="s">
        <v>2383</v>
      </c>
      <c r="D1353" s="122">
        <v>1.47</v>
      </c>
      <c r="E1353" s="122"/>
      <c r="F1353" s="122"/>
    </row>
    <row r="1354" spans="2:6" x14ac:dyDescent="0.2">
      <c r="B1354" s="120" t="s">
        <v>2384</v>
      </c>
      <c r="C1354" s="121" t="s">
        <v>2385</v>
      </c>
      <c r="D1354" s="122">
        <v>2.96</v>
      </c>
      <c r="E1354" s="122">
        <v>2.04</v>
      </c>
      <c r="F1354" s="122">
        <v>15.74</v>
      </c>
    </row>
    <row r="1355" spans="2:6" x14ac:dyDescent="0.2">
      <c r="B1355" s="120" t="s">
        <v>2386</v>
      </c>
      <c r="C1355" s="121" t="s">
        <v>2387</v>
      </c>
      <c r="D1355" s="122">
        <v>0.85</v>
      </c>
      <c r="E1355" s="122">
        <v>0.91</v>
      </c>
      <c r="F1355" s="122">
        <v>7.21</v>
      </c>
    </row>
    <row r="1356" spans="2:6" x14ac:dyDescent="0.2">
      <c r="B1356" s="120" t="s">
        <v>2388</v>
      </c>
      <c r="C1356" s="121" t="s">
        <v>2389</v>
      </c>
      <c r="D1356" s="122">
        <v>2.52</v>
      </c>
      <c r="E1356" s="122">
        <v>2.34</v>
      </c>
      <c r="F1356" s="122">
        <v>13.93</v>
      </c>
    </row>
    <row r="1357" spans="2:6" x14ac:dyDescent="0.2">
      <c r="B1357" s="120" t="s">
        <v>2390</v>
      </c>
      <c r="C1357" s="121" t="s">
        <v>2391</v>
      </c>
      <c r="D1357" s="122">
        <v>0.64</v>
      </c>
      <c r="E1357" s="122">
        <v>1.49</v>
      </c>
      <c r="F1357" s="122">
        <v>21.65</v>
      </c>
    </row>
    <row r="1358" spans="2:6" x14ac:dyDescent="0.2">
      <c r="B1358" s="120" t="s">
        <v>2392</v>
      </c>
      <c r="C1358" s="121" t="s">
        <v>2393</v>
      </c>
      <c r="D1358" s="122">
        <v>3.08</v>
      </c>
      <c r="E1358" s="122">
        <v>4.03</v>
      </c>
      <c r="F1358" s="122">
        <v>15.09</v>
      </c>
    </row>
    <row r="1359" spans="2:6" x14ac:dyDescent="0.2">
      <c r="B1359" s="120" t="s">
        <v>2394</v>
      </c>
      <c r="C1359" s="121" t="s">
        <v>2395</v>
      </c>
      <c r="D1359" s="122">
        <v>27.13</v>
      </c>
      <c r="E1359" s="122">
        <v>50.27</v>
      </c>
      <c r="F1359" s="122">
        <v>-31.8</v>
      </c>
    </row>
    <row r="1360" spans="2:6" x14ac:dyDescent="0.2">
      <c r="B1360" s="120" t="s">
        <v>2396</v>
      </c>
      <c r="C1360" s="121" t="s">
        <v>2397</v>
      </c>
      <c r="D1360" s="122">
        <v>10.33</v>
      </c>
      <c r="E1360" s="122">
        <v>10.17</v>
      </c>
      <c r="F1360" s="122">
        <v>24.4</v>
      </c>
    </row>
    <row r="1361" spans="2:6" x14ac:dyDescent="0.2">
      <c r="B1361" s="120" t="s">
        <v>2398</v>
      </c>
      <c r="C1361" s="121" t="s">
        <v>2399</v>
      </c>
      <c r="D1361" s="122">
        <v>7.03</v>
      </c>
      <c r="E1361" s="122">
        <v>16.22</v>
      </c>
      <c r="F1361" s="122">
        <v>75.16</v>
      </c>
    </row>
    <row r="1362" spans="2:6" x14ac:dyDescent="0.2">
      <c r="B1362" s="120" t="s">
        <v>2400</v>
      </c>
      <c r="C1362" s="121" t="s">
        <v>2401</v>
      </c>
      <c r="D1362" s="122">
        <v>1.85</v>
      </c>
      <c r="E1362" s="122">
        <v>6.27</v>
      </c>
      <c r="F1362" s="122">
        <v>44.03</v>
      </c>
    </row>
    <row r="1363" spans="2:6" x14ac:dyDescent="0.2">
      <c r="B1363" s="120" t="s">
        <v>2402</v>
      </c>
      <c r="C1363" s="121" t="s">
        <v>2403</v>
      </c>
      <c r="D1363" s="122">
        <v>4.08</v>
      </c>
      <c r="E1363" s="122">
        <v>3.88</v>
      </c>
      <c r="F1363" s="122">
        <v>18.55</v>
      </c>
    </row>
    <row r="1364" spans="2:6" x14ac:dyDescent="0.2">
      <c r="B1364" s="120" t="s">
        <v>2404</v>
      </c>
      <c r="C1364" s="121" t="s">
        <v>2405</v>
      </c>
      <c r="D1364" s="122">
        <v>1.67</v>
      </c>
      <c r="E1364" s="122">
        <v>1.46</v>
      </c>
      <c r="F1364" s="122">
        <v>11.69</v>
      </c>
    </row>
    <row r="1365" spans="2:6" x14ac:dyDescent="0.2">
      <c r="B1365" s="120" t="s">
        <v>2406</v>
      </c>
      <c r="C1365" s="121" t="s">
        <v>2407</v>
      </c>
      <c r="D1365" s="122">
        <v>5.8</v>
      </c>
      <c r="E1365" s="122">
        <v>7.64</v>
      </c>
      <c r="F1365" s="122">
        <v>28.54</v>
      </c>
    </row>
    <row r="1366" spans="2:6" x14ac:dyDescent="0.2">
      <c r="B1366" s="120" t="s">
        <v>2408</v>
      </c>
      <c r="C1366" s="121" t="s">
        <v>2409</v>
      </c>
      <c r="D1366" s="122">
        <v>3.03</v>
      </c>
      <c r="E1366" s="122">
        <v>1.87</v>
      </c>
      <c r="F1366" s="122">
        <v>9.86</v>
      </c>
    </row>
    <row r="1367" spans="2:6" x14ac:dyDescent="0.2">
      <c r="B1367" s="120" t="s">
        <v>2410</v>
      </c>
      <c r="C1367" s="121" t="s">
        <v>2411</v>
      </c>
      <c r="D1367" s="122">
        <v>0.89</v>
      </c>
      <c r="E1367" s="122">
        <v>1.5</v>
      </c>
      <c r="F1367" s="122">
        <v>13.54</v>
      </c>
    </row>
    <row r="1368" spans="2:6" x14ac:dyDescent="0.2">
      <c r="B1368" s="120" t="s">
        <v>2412</v>
      </c>
      <c r="C1368" s="121" t="s">
        <v>4416</v>
      </c>
      <c r="D1368" s="122">
        <v>0.83</v>
      </c>
      <c r="E1368" s="122">
        <v>0.81</v>
      </c>
      <c r="F1368" s="122">
        <v>2.59</v>
      </c>
    </row>
    <row r="1369" spans="2:6" x14ac:dyDescent="0.2">
      <c r="B1369" s="120" t="s">
        <v>2412</v>
      </c>
      <c r="C1369" s="121" t="s">
        <v>2413</v>
      </c>
      <c r="D1369" s="122">
        <v>0.81</v>
      </c>
      <c r="E1369" s="122">
        <v>0.79</v>
      </c>
      <c r="F1369" s="122">
        <v>2.59</v>
      </c>
    </row>
    <row r="1370" spans="2:6" x14ac:dyDescent="0.2">
      <c r="B1370" s="120" t="s">
        <v>2414</v>
      </c>
      <c r="C1370" s="121" t="s">
        <v>2415</v>
      </c>
      <c r="D1370" s="122"/>
      <c r="E1370" s="122"/>
      <c r="F1370" s="122"/>
    </row>
    <row r="1371" spans="2:6" x14ac:dyDescent="0.2">
      <c r="B1371" s="120" t="s">
        <v>2416</v>
      </c>
      <c r="C1371" s="121" t="s">
        <v>2417</v>
      </c>
      <c r="D1371" s="122">
        <v>3.76</v>
      </c>
      <c r="E1371" s="122">
        <v>3.69</v>
      </c>
      <c r="F1371" s="122">
        <v>22.22</v>
      </c>
    </row>
    <row r="1372" spans="2:6" x14ac:dyDescent="0.2">
      <c r="B1372" s="120" t="s">
        <v>2418</v>
      </c>
      <c r="C1372" s="121" t="s">
        <v>2419</v>
      </c>
      <c r="D1372" s="122">
        <v>1.72</v>
      </c>
      <c r="E1372" s="122">
        <v>2.4300000000000002</v>
      </c>
      <c r="F1372" s="122">
        <v>21.05</v>
      </c>
    </row>
    <row r="1373" spans="2:6" x14ac:dyDescent="0.2">
      <c r="B1373" s="120" t="s">
        <v>2420</v>
      </c>
      <c r="C1373" s="121" t="s">
        <v>2421</v>
      </c>
      <c r="D1373" s="122">
        <v>3.14</v>
      </c>
      <c r="E1373" s="122">
        <v>0.95</v>
      </c>
      <c r="F1373" s="122">
        <v>6.52</v>
      </c>
    </row>
    <row r="1374" spans="2:6" x14ac:dyDescent="0.2">
      <c r="B1374" s="120" t="s">
        <v>2422</v>
      </c>
      <c r="C1374" s="121" t="s">
        <v>2423</v>
      </c>
      <c r="D1374" s="122">
        <v>2.68</v>
      </c>
      <c r="E1374" s="122">
        <v>4.4400000000000004</v>
      </c>
      <c r="F1374" s="122">
        <v>13.4</v>
      </c>
    </row>
    <row r="1375" spans="2:6" x14ac:dyDescent="0.2">
      <c r="B1375" s="120" t="s">
        <v>2424</v>
      </c>
      <c r="C1375" s="121" t="s">
        <v>2425</v>
      </c>
      <c r="D1375" s="122">
        <v>17.239999999999998</v>
      </c>
      <c r="E1375" s="122">
        <v>2.72</v>
      </c>
      <c r="F1375" s="122">
        <v>4.79</v>
      </c>
    </row>
    <row r="1376" spans="2:6" x14ac:dyDescent="0.2">
      <c r="B1376" s="120" t="s">
        <v>2426</v>
      </c>
      <c r="C1376" s="121" t="s">
        <v>2427</v>
      </c>
      <c r="D1376" s="122">
        <v>6.05</v>
      </c>
      <c r="E1376" s="122">
        <v>4.2300000000000004</v>
      </c>
      <c r="F1376" s="122">
        <v>19.02</v>
      </c>
    </row>
    <row r="1377" spans="2:6" x14ac:dyDescent="0.2">
      <c r="B1377" s="120" t="s">
        <v>2428</v>
      </c>
      <c r="C1377" s="121" t="s">
        <v>2429</v>
      </c>
      <c r="D1377" s="122"/>
      <c r="E1377" s="122"/>
      <c r="F1377" s="122"/>
    </row>
    <row r="1378" spans="2:6" x14ac:dyDescent="0.2">
      <c r="B1378" s="120" t="s">
        <v>4417</v>
      </c>
      <c r="C1378" s="121" t="s">
        <v>4418</v>
      </c>
      <c r="D1378" s="122">
        <v>0.38</v>
      </c>
      <c r="E1378" s="122"/>
      <c r="F1378" s="122"/>
    </row>
    <row r="1379" spans="2:6" x14ac:dyDescent="0.2">
      <c r="B1379" s="120" t="s">
        <v>2430</v>
      </c>
      <c r="C1379" s="121" t="s">
        <v>2431</v>
      </c>
      <c r="D1379" s="122">
        <v>0.93</v>
      </c>
      <c r="E1379" s="122">
        <v>1.49</v>
      </c>
      <c r="F1379" s="122">
        <v>12.18</v>
      </c>
    </row>
    <row r="1380" spans="2:6" x14ac:dyDescent="0.2">
      <c r="B1380" s="120" t="s">
        <v>4419</v>
      </c>
      <c r="C1380" s="121" t="s">
        <v>4420</v>
      </c>
      <c r="D1380" s="122"/>
      <c r="E1380" s="122">
        <v>20.72</v>
      </c>
      <c r="F1380" s="122"/>
    </row>
    <row r="1381" spans="2:6" x14ac:dyDescent="0.2">
      <c r="B1381" s="120" t="s">
        <v>2432</v>
      </c>
      <c r="C1381" s="121" t="s">
        <v>2433</v>
      </c>
      <c r="D1381" s="122">
        <v>2.52</v>
      </c>
      <c r="E1381" s="122">
        <v>4.6399999999999997</v>
      </c>
      <c r="F1381" s="122">
        <v>3.5</v>
      </c>
    </row>
    <row r="1382" spans="2:6" x14ac:dyDescent="0.2">
      <c r="B1382" s="120" t="s">
        <v>2434</v>
      </c>
      <c r="C1382" s="121" t="s">
        <v>2435</v>
      </c>
      <c r="D1382" s="122">
        <v>3.28</v>
      </c>
      <c r="E1382" s="122">
        <v>4.91</v>
      </c>
      <c r="F1382" s="122">
        <v>23.57</v>
      </c>
    </row>
    <row r="1383" spans="2:6" x14ac:dyDescent="0.2">
      <c r="B1383" s="120" t="s">
        <v>2436</v>
      </c>
      <c r="C1383" s="121" t="s">
        <v>2437</v>
      </c>
      <c r="D1383" s="122"/>
      <c r="E1383" s="122"/>
      <c r="F1383" s="122"/>
    </row>
    <row r="1384" spans="2:6" x14ac:dyDescent="0.2">
      <c r="B1384" s="120" t="s">
        <v>2438</v>
      </c>
      <c r="C1384" s="121" t="s">
        <v>2439</v>
      </c>
      <c r="D1384" s="122">
        <v>5.42</v>
      </c>
      <c r="E1384" s="122">
        <v>1.89</v>
      </c>
      <c r="F1384" s="122">
        <v>10.039999999999999</v>
      </c>
    </row>
    <row r="1385" spans="2:6" x14ac:dyDescent="0.2">
      <c r="B1385" s="120" t="s">
        <v>2440</v>
      </c>
      <c r="C1385" s="121" t="s">
        <v>2441</v>
      </c>
      <c r="D1385" s="122">
        <v>4.0599999999999996</v>
      </c>
      <c r="E1385" s="122">
        <v>2.25</v>
      </c>
      <c r="F1385" s="122">
        <v>10.17</v>
      </c>
    </row>
    <row r="1386" spans="2:6" x14ac:dyDescent="0.2">
      <c r="B1386" s="120" t="s">
        <v>2442</v>
      </c>
      <c r="C1386" s="121" t="s">
        <v>2443</v>
      </c>
      <c r="D1386" s="122">
        <v>3</v>
      </c>
      <c r="E1386" s="122">
        <v>2.36</v>
      </c>
      <c r="F1386" s="122">
        <v>8.66</v>
      </c>
    </row>
    <row r="1387" spans="2:6" x14ac:dyDescent="0.2">
      <c r="B1387" s="120" t="s">
        <v>4421</v>
      </c>
      <c r="C1387" s="121" t="s">
        <v>4422</v>
      </c>
      <c r="D1387" s="122">
        <v>0.68</v>
      </c>
      <c r="E1387" s="122">
        <v>0.04</v>
      </c>
      <c r="F1387" s="122"/>
    </row>
    <row r="1388" spans="2:6" x14ac:dyDescent="0.2">
      <c r="B1388" s="120" t="s">
        <v>2444</v>
      </c>
      <c r="C1388" s="121" t="s">
        <v>2445</v>
      </c>
      <c r="D1388" s="122">
        <v>10.039999999999999</v>
      </c>
      <c r="E1388" s="122">
        <v>2.09</v>
      </c>
      <c r="F1388" s="122">
        <v>6.79</v>
      </c>
    </row>
    <row r="1389" spans="2:6" x14ac:dyDescent="0.2">
      <c r="B1389" s="120" t="s">
        <v>4423</v>
      </c>
      <c r="C1389" s="121" t="s">
        <v>4424</v>
      </c>
      <c r="D1389" s="122">
        <v>1.0900000000000001</v>
      </c>
      <c r="E1389" s="122">
        <v>0.02</v>
      </c>
      <c r="F1389" s="122">
        <v>95.79</v>
      </c>
    </row>
    <row r="1390" spans="2:6" x14ac:dyDescent="0.2">
      <c r="B1390" s="120" t="s">
        <v>2446</v>
      </c>
      <c r="C1390" s="121" t="s">
        <v>2447</v>
      </c>
      <c r="D1390" s="122">
        <v>2.66</v>
      </c>
      <c r="E1390" s="122">
        <v>4.93</v>
      </c>
      <c r="F1390" s="122">
        <v>19.3</v>
      </c>
    </row>
    <row r="1391" spans="2:6" x14ac:dyDescent="0.2">
      <c r="B1391" s="120" t="s">
        <v>2448</v>
      </c>
      <c r="C1391" s="121" t="s">
        <v>2449</v>
      </c>
      <c r="D1391" s="122">
        <v>25.46</v>
      </c>
      <c r="E1391" s="122">
        <v>49.43</v>
      </c>
      <c r="F1391" s="122">
        <v>-53.93</v>
      </c>
    </row>
    <row r="1392" spans="2:6" x14ac:dyDescent="0.2">
      <c r="B1392" s="120" t="s">
        <v>2450</v>
      </c>
      <c r="C1392" s="121" t="s">
        <v>2451</v>
      </c>
      <c r="D1392" s="122">
        <v>10.02</v>
      </c>
      <c r="E1392" s="122">
        <v>6.59</v>
      </c>
      <c r="F1392" s="122">
        <v>11.63</v>
      </c>
    </row>
    <row r="1393" spans="2:6" x14ac:dyDescent="0.2">
      <c r="B1393" s="120" t="s">
        <v>2452</v>
      </c>
      <c r="C1393" s="121" t="s">
        <v>2453</v>
      </c>
      <c r="D1393" s="122">
        <v>24.21</v>
      </c>
      <c r="E1393" s="122">
        <v>11.4</v>
      </c>
      <c r="F1393" s="122">
        <v>16.52</v>
      </c>
    </row>
    <row r="1394" spans="2:6" x14ac:dyDescent="0.2">
      <c r="B1394" s="120" t="s">
        <v>2454</v>
      </c>
      <c r="C1394" s="121" t="s">
        <v>2455</v>
      </c>
      <c r="D1394" s="122">
        <v>2.98</v>
      </c>
      <c r="E1394" s="122">
        <v>3.91</v>
      </c>
      <c r="F1394" s="122">
        <v>12.67</v>
      </c>
    </row>
    <row r="1395" spans="2:6" x14ac:dyDescent="0.2">
      <c r="B1395" s="120" t="s">
        <v>2456</v>
      </c>
      <c r="C1395" s="121" t="s">
        <v>2457</v>
      </c>
      <c r="D1395" s="122">
        <v>0.46</v>
      </c>
      <c r="E1395" s="122">
        <v>1.1000000000000001</v>
      </c>
      <c r="F1395" s="122">
        <v>7.82</v>
      </c>
    </row>
    <row r="1396" spans="2:6" x14ac:dyDescent="0.2">
      <c r="B1396" s="120" t="s">
        <v>2458</v>
      </c>
      <c r="C1396" s="121" t="s">
        <v>17</v>
      </c>
      <c r="D1396" s="122">
        <v>1.1299999999999999</v>
      </c>
      <c r="E1396" s="122">
        <v>5.72</v>
      </c>
      <c r="F1396" s="122">
        <v>43.86</v>
      </c>
    </row>
    <row r="1397" spans="2:6" x14ac:dyDescent="0.2">
      <c r="B1397" s="120" t="s">
        <v>2459</v>
      </c>
      <c r="C1397" s="121" t="s">
        <v>2460</v>
      </c>
      <c r="D1397" s="122">
        <v>3.71</v>
      </c>
      <c r="E1397" s="122">
        <v>4.01</v>
      </c>
      <c r="F1397" s="122">
        <v>11.85</v>
      </c>
    </row>
    <row r="1398" spans="2:6" x14ac:dyDescent="0.2">
      <c r="B1398" s="120" t="s">
        <v>2461</v>
      </c>
      <c r="C1398" s="121" t="s">
        <v>2462</v>
      </c>
      <c r="D1398" s="122">
        <v>1.23</v>
      </c>
      <c r="E1398" s="122">
        <v>1.23</v>
      </c>
      <c r="F1398" s="122">
        <v>19.989999999999998</v>
      </c>
    </row>
    <row r="1399" spans="2:6" x14ac:dyDescent="0.2">
      <c r="B1399" s="120" t="s">
        <v>2463</v>
      </c>
      <c r="C1399" s="121" t="s">
        <v>2464</v>
      </c>
      <c r="D1399" s="122">
        <v>0.63</v>
      </c>
      <c r="E1399" s="122">
        <v>0.95</v>
      </c>
      <c r="F1399" s="122">
        <v>10.23</v>
      </c>
    </row>
    <row r="1400" spans="2:6" x14ac:dyDescent="0.2">
      <c r="B1400" s="120" t="s">
        <v>2465</v>
      </c>
      <c r="C1400" s="121" t="s">
        <v>2466</v>
      </c>
      <c r="D1400" s="122">
        <v>1.37</v>
      </c>
      <c r="E1400" s="122">
        <v>2.42</v>
      </c>
      <c r="F1400" s="122">
        <v>25.36</v>
      </c>
    </row>
    <row r="1401" spans="2:6" x14ac:dyDescent="0.2">
      <c r="B1401" s="120" t="s">
        <v>2467</v>
      </c>
      <c r="C1401" s="121" t="s">
        <v>2468</v>
      </c>
      <c r="D1401" s="122">
        <v>3.37</v>
      </c>
      <c r="E1401" s="122">
        <v>1.08</v>
      </c>
      <c r="F1401" s="122">
        <v>8.7200000000000006</v>
      </c>
    </row>
    <row r="1402" spans="2:6" x14ac:dyDescent="0.2">
      <c r="B1402" s="120" t="s">
        <v>2469</v>
      </c>
      <c r="C1402" s="121" t="s">
        <v>2470</v>
      </c>
      <c r="D1402" s="122">
        <v>67.760000000000005</v>
      </c>
      <c r="E1402" s="122">
        <v>9.91</v>
      </c>
      <c r="F1402" s="122">
        <v>-48.7</v>
      </c>
    </row>
    <row r="1403" spans="2:6" x14ac:dyDescent="0.2">
      <c r="B1403" s="120" t="s">
        <v>4425</v>
      </c>
      <c r="C1403" s="121" t="s">
        <v>4426</v>
      </c>
      <c r="D1403" s="122">
        <v>0.47</v>
      </c>
      <c r="E1403" s="122">
        <v>1.1200000000000001</v>
      </c>
      <c r="F1403" s="122">
        <v>3.63</v>
      </c>
    </row>
    <row r="1404" spans="2:6" x14ac:dyDescent="0.2">
      <c r="B1404" s="120" t="s">
        <v>4427</v>
      </c>
      <c r="C1404" s="121" t="s">
        <v>4428</v>
      </c>
      <c r="D1404" s="122">
        <v>3.61</v>
      </c>
      <c r="E1404" s="122"/>
      <c r="F1404" s="122">
        <v>9.25</v>
      </c>
    </row>
    <row r="1405" spans="2:6" x14ac:dyDescent="0.2">
      <c r="B1405" s="120" t="s">
        <v>2471</v>
      </c>
      <c r="C1405" s="121" t="s">
        <v>2472</v>
      </c>
      <c r="D1405" s="122">
        <v>5.04</v>
      </c>
      <c r="E1405" s="122">
        <v>2.4900000000000002</v>
      </c>
      <c r="F1405" s="122">
        <v>6.07</v>
      </c>
    </row>
    <row r="1406" spans="2:6" x14ac:dyDescent="0.2">
      <c r="B1406" s="120" t="s">
        <v>2473</v>
      </c>
      <c r="C1406" s="121" t="s">
        <v>2474</v>
      </c>
      <c r="D1406" s="122"/>
      <c r="E1406" s="122">
        <v>1.1200000000000001</v>
      </c>
      <c r="F1406" s="122"/>
    </row>
    <row r="1407" spans="2:6" x14ac:dyDescent="0.2">
      <c r="B1407" s="120" t="s">
        <v>4429</v>
      </c>
      <c r="C1407" s="121" t="s">
        <v>4430</v>
      </c>
      <c r="D1407" s="122"/>
      <c r="E1407" s="122">
        <v>1.1399999999999999</v>
      </c>
      <c r="F1407" s="122"/>
    </row>
    <row r="1408" spans="2:6" x14ac:dyDescent="0.2">
      <c r="B1408" s="120" t="s">
        <v>2475</v>
      </c>
      <c r="C1408" s="121" t="s">
        <v>2476</v>
      </c>
      <c r="D1408" s="122">
        <v>4.45</v>
      </c>
      <c r="E1408" s="122">
        <v>9.24</v>
      </c>
      <c r="F1408" s="122">
        <v>48.85</v>
      </c>
    </row>
    <row r="1409" spans="2:6" x14ac:dyDescent="0.2">
      <c r="B1409" s="120" t="s">
        <v>4431</v>
      </c>
      <c r="C1409" s="121" t="s">
        <v>4432</v>
      </c>
      <c r="D1409" s="122">
        <v>1.06</v>
      </c>
      <c r="E1409" s="122">
        <v>1.18</v>
      </c>
      <c r="F1409" s="122">
        <v>10.210000000000001</v>
      </c>
    </row>
    <row r="1410" spans="2:6" x14ac:dyDescent="0.2">
      <c r="B1410" s="120" t="s">
        <v>2477</v>
      </c>
      <c r="C1410" s="121" t="s">
        <v>2478</v>
      </c>
      <c r="D1410" s="122">
        <v>4.74</v>
      </c>
      <c r="E1410" s="122">
        <v>7.65</v>
      </c>
      <c r="F1410" s="122">
        <v>23.84</v>
      </c>
    </row>
    <row r="1411" spans="2:6" x14ac:dyDescent="0.2">
      <c r="B1411" s="120" t="s">
        <v>4433</v>
      </c>
      <c r="C1411" s="121" t="s">
        <v>4434</v>
      </c>
      <c r="D1411" s="122">
        <v>1.82</v>
      </c>
      <c r="E1411" s="122">
        <v>2.2999999999999998</v>
      </c>
      <c r="F1411" s="122">
        <v>10.38</v>
      </c>
    </row>
    <row r="1412" spans="2:6" x14ac:dyDescent="0.2">
      <c r="B1412" s="120" t="s">
        <v>2479</v>
      </c>
      <c r="C1412" s="121" t="s">
        <v>2480</v>
      </c>
      <c r="D1412" s="122">
        <v>3.11</v>
      </c>
      <c r="E1412" s="122">
        <v>210.93</v>
      </c>
      <c r="F1412" s="122">
        <v>391.89</v>
      </c>
    </row>
    <row r="1413" spans="2:6" x14ac:dyDescent="0.2">
      <c r="B1413" s="120" t="s">
        <v>4435</v>
      </c>
      <c r="C1413" s="121" t="s">
        <v>4436</v>
      </c>
      <c r="D1413" s="122">
        <v>0.98</v>
      </c>
      <c r="E1413" s="122">
        <v>1.53</v>
      </c>
      <c r="F1413" s="122">
        <v>3.07</v>
      </c>
    </row>
    <row r="1414" spans="2:6" x14ac:dyDescent="0.2">
      <c r="B1414" s="120" t="s">
        <v>2481</v>
      </c>
      <c r="C1414" s="121" t="s">
        <v>2482</v>
      </c>
      <c r="D1414" s="122">
        <v>0.62</v>
      </c>
      <c r="E1414" s="122">
        <v>1.98</v>
      </c>
      <c r="F1414" s="122">
        <v>22.7</v>
      </c>
    </row>
    <row r="1415" spans="2:6" x14ac:dyDescent="0.2">
      <c r="B1415" s="120" t="s">
        <v>2483</v>
      </c>
      <c r="C1415" s="121" t="s">
        <v>2484</v>
      </c>
      <c r="D1415" s="122">
        <v>3.9</v>
      </c>
      <c r="E1415" s="122">
        <v>2.87</v>
      </c>
      <c r="F1415" s="122">
        <v>7.5</v>
      </c>
    </row>
    <row r="1416" spans="2:6" x14ac:dyDescent="0.2">
      <c r="B1416" s="120" t="s">
        <v>2485</v>
      </c>
      <c r="C1416" s="121" t="s">
        <v>2486</v>
      </c>
      <c r="D1416" s="122">
        <v>2.37</v>
      </c>
      <c r="E1416" s="122">
        <v>3.5</v>
      </c>
      <c r="F1416" s="122">
        <v>14.27</v>
      </c>
    </row>
    <row r="1417" spans="2:6" x14ac:dyDescent="0.2">
      <c r="B1417" s="120" t="s">
        <v>2487</v>
      </c>
      <c r="C1417" s="121" t="s">
        <v>2488</v>
      </c>
      <c r="D1417" s="122">
        <v>3.2</v>
      </c>
      <c r="E1417" s="122"/>
      <c r="F1417" s="122"/>
    </row>
    <row r="1418" spans="2:6" x14ac:dyDescent="0.2">
      <c r="B1418" s="120" t="s">
        <v>2489</v>
      </c>
      <c r="C1418" s="121" t="s">
        <v>2490</v>
      </c>
      <c r="D1418" s="122">
        <v>1.75</v>
      </c>
      <c r="E1418" s="122">
        <v>1.6</v>
      </c>
      <c r="F1418" s="122">
        <v>17.059999999999999</v>
      </c>
    </row>
    <row r="1419" spans="2:6" x14ac:dyDescent="0.2">
      <c r="B1419" s="120" t="s">
        <v>2491</v>
      </c>
      <c r="C1419" s="121" t="s">
        <v>2492</v>
      </c>
      <c r="D1419" s="122">
        <v>2.77</v>
      </c>
      <c r="E1419" s="122">
        <v>0.88</v>
      </c>
      <c r="F1419" s="122">
        <v>10.72</v>
      </c>
    </row>
    <row r="1420" spans="2:6" x14ac:dyDescent="0.2">
      <c r="B1420" s="120" t="s">
        <v>2493</v>
      </c>
      <c r="C1420" s="121" t="s">
        <v>2494</v>
      </c>
      <c r="D1420" s="122">
        <v>0.46</v>
      </c>
      <c r="E1420" s="122">
        <v>1.45</v>
      </c>
      <c r="F1420" s="122">
        <v>21.81</v>
      </c>
    </row>
    <row r="1421" spans="2:6" x14ac:dyDescent="0.2">
      <c r="B1421" s="120" t="s">
        <v>2495</v>
      </c>
      <c r="C1421" s="121" t="s">
        <v>2496</v>
      </c>
      <c r="D1421" s="122">
        <v>4.01</v>
      </c>
      <c r="E1421" s="122">
        <v>1.45</v>
      </c>
      <c r="F1421" s="122">
        <v>0.56000000000000005</v>
      </c>
    </row>
    <row r="1422" spans="2:6" x14ac:dyDescent="0.2">
      <c r="B1422" s="120" t="s">
        <v>2497</v>
      </c>
      <c r="C1422" s="121" t="s">
        <v>2498</v>
      </c>
      <c r="D1422" s="122">
        <v>7.24</v>
      </c>
      <c r="E1422" s="122">
        <v>5.74</v>
      </c>
      <c r="F1422" s="122">
        <v>24.65</v>
      </c>
    </row>
    <row r="1423" spans="2:6" x14ac:dyDescent="0.2">
      <c r="B1423" s="120" t="s">
        <v>2499</v>
      </c>
      <c r="C1423" s="121" t="s">
        <v>2500</v>
      </c>
      <c r="D1423" s="122">
        <v>3.18</v>
      </c>
      <c r="E1423" s="122">
        <v>0.9</v>
      </c>
      <c r="F1423" s="122">
        <v>9.83</v>
      </c>
    </row>
    <row r="1424" spans="2:6" x14ac:dyDescent="0.2">
      <c r="B1424" s="120" t="s">
        <v>2501</v>
      </c>
      <c r="C1424" s="121" t="s">
        <v>2502</v>
      </c>
      <c r="D1424" s="122">
        <v>0.17</v>
      </c>
      <c r="E1424" s="122">
        <v>1.41</v>
      </c>
      <c r="F1424" s="122">
        <v>16.559999999999999</v>
      </c>
    </row>
    <row r="1425" spans="2:6" x14ac:dyDescent="0.2">
      <c r="B1425" s="120" t="s">
        <v>2503</v>
      </c>
      <c r="C1425" s="121" t="s">
        <v>2504</v>
      </c>
      <c r="D1425" s="122">
        <v>0.11</v>
      </c>
      <c r="E1425" s="122">
        <v>0.25</v>
      </c>
      <c r="F1425" s="122">
        <v>3.71</v>
      </c>
    </row>
    <row r="1426" spans="2:6" x14ac:dyDescent="0.2">
      <c r="B1426" s="120" t="s">
        <v>2505</v>
      </c>
      <c r="C1426" s="121" t="s">
        <v>2506</v>
      </c>
      <c r="D1426" s="122">
        <v>11.9</v>
      </c>
      <c r="E1426" s="122">
        <v>8.4499999999999993</v>
      </c>
      <c r="F1426" s="122">
        <v>18.82</v>
      </c>
    </row>
    <row r="1427" spans="2:6" x14ac:dyDescent="0.2">
      <c r="B1427" s="120" t="s">
        <v>2507</v>
      </c>
      <c r="C1427" s="121" t="s">
        <v>2508</v>
      </c>
      <c r="D1427" s="122">
        <v>6.97</v>
      </c>
      <c r="E1427" s="122">
        <v>12.73</v>
      </c>
      <c r="F1427" s="122">
        <v>4.82</v>
      </c>
    </row>
    <row r="1428" spans="2:6" x14ac:dyDescent="0.2">
      <c r="B1428" s="120" t="s">
        <v>2509</v>
      </c>
      <c r="C1428" s="121" t="s">
        <v>2510</v>
      </c>
      <c r="D1428" s="122">
        <v>19.32</v>
      </c>
      <c r="E1428" s="122">
        <v>29.02</v>
      </c>
      <c r="F1428" s="122">
        <v>38.25</v>
      </c>
    </row>
    <row r="1429" spans="2:6" x14ac:dyDescent="0.2">
      <c r="B1429" s="120" t="s">
        <v>2511</v>
      </c>
      <c r="C1429" s="121" t="s">
        <v>2512</v>
      </c>
      <c r="D1429" s="122">
        <v>7.84</v>
      </c>
      <c r="E1429" s="122">
        <v>11.31</v>
      </c>
      <c r="F1429" s="122">
        <v>40.99</v>
      </c>
    </row>
    <row r="1430" spans="2:6" x14ac:dyDescent="0.2">
      <c r="B1430" s="120" t="s">
        <v>2513</v>
      </c>
      <c r="C1430" s="121" t="s">
        <v>18</v>
      </c>
      <c r="D1430" s="122">
        <v>5.59</v>
      </c>
      <c r="E1430" s="122">
        <v>1.18</v>
      </c>
      <c r="F1430" s="122">
        <v>8.1199999999999992</v>
      </c>
    </row>
    <row r="1431" spans="2:6" x14ac:dyDescent="0.2">
      <c r="B1431" s="120" t="s">
        <v>2514</v>
      </c>
      <c r="C1431" s="121" t="s">
        <v>2515</v>
      </c>
      <c r="D1431" s="122">
        <v>3.36</v>
      </c>
      <c r="E1431" s="122">
        <v>2.08</v>
      </c>
      <c r="F1431" s="122">
        <v>13.92</v>
      </c>
    </row>
    <row r="1432" spans="2:6" x14ac:dyDescent="0.2">
      <c r="B1432" s="120" t="s">
        <v>2516</v>
      </c>
      <c r="C1432" s="121" t="s">
        <v>2517</v>
      </c>
      <c r="D1432" s="122">
        <v>3</v>
      </c>
      <c r="E1432" s="122">
        <v>0.93</v>
      </c>
      <c r="F1432" s="122">
        <v>8.2100000000000009</v>
      </c>
    </row>
    <row r="1433" spans="2:6" x14ac:dyDescent="0.2">
      <c r="B1433" s="120" t="s">
        <v>2518</v>
      </c>
      <c r="C1433" s="121" t="s">
        <v>2519</v>
      </c>
      <c r="D1433" s="122">
        <v>1.07</v>
      </c>
      <c r="E1433" s="122">
        <v>1.17</v>
      </c>
      <c r="F1433" s="122">
        <v>12.74</v>
      </c>
    </row>
    <row r="1434" spans="2:6" x14ac:dyDescent="0.2">
      <c r="B1434" s="120" t="s">
        <v>2518</v>
      </c>
      <c r="C1434" s="121" t="s">
        <v>4437</v>
      </c>
      <c r="D1434" s="122">
        <v>0.95</v>
      </c>
      <c r="E1434" s="122">
        <v>1.05</v>
      </c>
      <c r="F1434" s="122">
        <v>12.74</v>
      </c>
    </row>
    <row r="1435" spans="2:6" x14ac:dyDescent="0.2">
      <c r="B1435" s="120" t="s">
        <v>4438</v>
      </c>
      <c r="C1435" s="121" t="s">
        <v>4439</v>
      </c>
      <c r="D1435" s="122">
        <v>0.72</v>
      </c>
      <c r="E1435" s="122"/>
      <c r="F1435" s="122"/>
    </row>
    <row r="1436" spans="2:6" x14ac:dyDescent="0.2">
      <c r="B1436" s="120" t="s">
        <v>2520</v>
      </c>
      <c r="C1436" s="121" t="s">
        <v>2521</v>
      </c>
      <c r="D1436" s="122">
        <v>0.97</v>
      </c>
      <c r="E1436" s="122">
        <v>2.5299999999999998</v>
      </c>
      <c r="F1436" s="122">
        <v>25.99</v>
      </c>
    </row>
    <row r="1437" spans="2:6" x14ac:dyDescent="0.2">
      <c r="B1437" s="120" t="s">
        <v>4440</v>
      </c>
      <c r="C1437" s="121" t="s">
        <v>4441</v>
      </c>
      <c r="D1437" s="122"/>
      <c r="E1437" s="122">
        <v>1.74</v>
      </c>
      <c r="F1437" s="122"/>
    </row>
    <row r="1438" spans="2:6" x14ac:dyDescent="0.2">
      <c r="B1438" s="120" t="s">
        <v>2522</v>
      </c>
      <c r="C1438" s="121" t="s">
        <v>2523</v>
      </c>
      <c r="D1438" s="122">
        <v>0.37</v>
      </c>
      <c r="E1438" s="122">
        <v>0.57999999999999996</v>
      </c>
      <c r="F1438" s="122">
        <v>15.16</v>
      </c>
    </row>
    <row r="1439" spans="2:6" x14ac:dyDescent="0.2">
      <c r="B1439" s="120" t="s">
        <v>2524</v>
      </c>
      <c r="C1439" s="121" t="s">
        <v>2525</v>
      </c>
      <c r="D1439" s="122">
        <v>0.28999999999999998</v>
      </c>
      <c r="E1439" s="122">
        <v>1.1599999999999999</v>
      </c>
      <c r="F1439" s="122">
        <v>13.68</v>
      </c>
    </row>
    <row r="1440" spans="2:6" x14ac:dyDescent="0.2">
      <c r="B1440" s="120" t="s">
        <v>2526</v>
      </c>
      <c r="C1440" s="121" t="s">
        <v>2527</v>
      </c>
      <c r="D1440" s="122">
        <v>11.28</v>
      </c>
      <c r="E1440" s="122">
        <v>17</v>
      </c>
      <c r="F1440" s="122">
        <v>18.190000000000001</v>
      </c>
    </row>
    <row r="1441" spans="2:6" x14ac:dyDescent="0.2">
      <c r="B1441" s="120" t="s">
        <v>4440</v>
      </c>
      <c r="C1441" s="121" t="s">
        <v>4442</v>
      </c>
      <c r="D1441" s="122"/>
      <c r="E1441" s="122"/>
      <c r="F1441" s="122"/>
    </row>
    <row r="1442" spans="2:6" x14ac:dyDescent="0.2">
      <c r="B1442" s="120" t="s">
        <v>4443</v>
      </c>
      <c r="C1442" s="121" t="s">
        <v>4444</v>
      </c>
      <c r="D1442" s="122"/>
      <c r="E1442" s="122"/>
      <c r="F1442" s="122"/>
    </row>
    <row r="1443" spans="2:6" x14ac:dyDescent="0.2">
      <c r="B1443" s="120" t="s">
        <v>2528</v>
      </c>
      <c r="C1443" s="121" t="s">
        <v>2529</v>
      </c>
      <c r="D1443" s="122">
        <v>12.44</v>
      </c>
      <c r="E1443" s="122">
        <v>10.32</v>
      </c>
      <c r="F1443" s="122">
        <v>-28.55</v>
      </c>
    </row>
    <row r="1444" spans="2:6" x14ac:dyDescent="0.2">
      <c r="B1444" s="120" t="s">
        <v>2530</v>
      </c>
      <c r="C1444" s="121" t="s">
        <v>2531</v>
      </c>
      <c r="D1444" s="122"/>
      <c r="E1444" s="122"/>
      <c r="F1444" s="122"/>
    </row>
    <row r="1445" spans="2:6" x14ac:dyDescent="0.2">
      <c r="B1445" s="120" t="s">
        <v>4445</v>
      </c>
      <c r="C1445" s="121" t="s">
        <v>4446</v>
      </c>
      <c r="D1445" s="122"/>
      <c r="E1445" s="122">
        <v>1.43</v>
      </c>
      <c r="F1445" s="122"/>
    </row>
    <row r="1446" spans="2:6" x14ac:dyDescent="0.2">
      <c r="B1446" s="120" t="s">
        <v>2532</v>
      </c>
      <c r="C1446" s="121" t="s">
        <v>2533</v>
      </c>
      <c r="D1446" s="122">
        <v>3.1</v>
      </c>
      <c r="E1446" s="122">
        <v>0.91</v>
      </c>
      <c r="F1446" s="122">
        <v>5.72</v>
      </c>
    </row>
    <row r="1447" spans="2:6" x14ac:dyDescent="0.2">
      <c r="B1447" s="120" t="s">
        <v>2534</v>
      </c>
      <c r="C1447" s="121" t="s">
        <v>2535</v>
      </c>
      <c r="D1447" s="122">
        <v>2.93</v>
      </c>
      <c r="E1447" s="122">
        <v>0.99</v>
      </c>
      <c r="F1447" s="122">
        <v>-0.1</v>
      </c>
    </row>
    <row r="1448" spans="2:6" x14ac:dyDescent="0.2">
      <c r="B1448" s="120" t="s">
        <v>2536</v>
      </c>
      <c r="C1448" s="121" t="s">
        <v>19</v>
      </c>
      <c r="D1448" s="122">
        <v>3.08</v>
      </c>
      <c r="E1448" s="122">
        <v>2.12</v>
      </c>
      <c r="F1448" s="122">
        <v>11.02</v>
      </c>
    </row>
    <row r="1449" spans="2:6" x14ac:dyDescent="0.2">
      <c r="B1449" s="120" t="s">
        <v>2537</v>
      </c>
      <c r="C1449" s="121" t="s">
        <v>2538</v>
      </c>
      <c r="D1449" s="122">
        <v>6.45</v>
      </c>
      <c r="E1449" s="122">
        <v>10.16</v>
      </c>
      <c r="F1449" s="122">
        <v>-9.39</v>
      </c>
    </row>
    <row r="1450" spans="2:6" x14ac:dyDescent="0.2">
      <c r="B1450" s="120" t="s">
        <v>2539</v>
      </c>
      <c r="C1450" s="121" t="s">
        <v>2540</v>
      </c>
      <c r="D1450" s="122">
        <v>10.39</v>
      </c>
      <c r="E1450" s="122">
        <v>11.33</v>
      </c>
      <c r="F1450" s="122">
        <v>6.8</v>
      </c>
    </row>
    <row r="1451" spans="2:6" x14ac:dyDescent="0.2">
      <c r="B1451" s="120" t="s">
        <v>2541</v>
      </c>
      <c r="C1451" s="121" t="s">
        <v>2542</v>
      </c>
      <c r="D1451" s="122">
        <v>2.88</v>
      </c>
      <c r="E1451" s="122">
        <v>13.42</v>
      </c>
      <c r="F1451" s="122">
        <v>59.5</v>
      </c>
    </row>
    <row r="1452" spans="2:6" x14ac:dyDescent="0.2">
      <c r="B1452" s="120" t="s">
        <v>2543</v>
      </c>
      <c r="C1452" s="121" t="s">
        <v>2544</v>
      </c>
      <c r="D1452" s="122">
        <v>3.78</v>
      </c>
      <c r="E1452" s="122">
        <v>3.41</v>
      </c>
      <c r="F1452" s="122">
        <v>28.1</v>
      </c>
    </row>
    <row r="1453" spans="2:6" x14ac:dyDescent="0.2">
      <c r="B1453" s="120" t="s">
        <v>4447</v>
      </c>
      <c r="C1453" s="121" t="s">
        <v>4448</v>
      </c>
      <c r="D1453" s="122"/>
      <c r="E1453" s="122"/>
      <c r="F1453" s="122"/>
    </row>
    <row r="1454" spans="2:6" x14ac:dyDescent="0.2">
      <c r="B1454" s="120" t="s">
        <v>2545</v>
      </c>
      <c r="C1454" s="121" t="s">
        <v>2546</v>
      </c>
      <c r="D1454" s="122">
        <v>1</v>
      </c>
      <c r="E1454" s="122">
        <v>1.1200000000000001</v>
      </c>
      <c r="F1454" s="122">
        <v>12.98</v>
      </c>
    </row>
    <row r="1455" spans="2:6" x14ac:dyDescent="0.2">
      <c r="B1455" s="120" t="s">
        <v>2547</v>
      </c>
      <c r="C1455" s="121" t="s">
        <v>2548</v>
      </c>
      <c r="D1455" s="122">
        <v>0.25</v>
      </c>
      <c r="E1455" s="122">
        <v>3.73</v>
      </c>
      <c r="F1455" s="122">
        <v>15.86</v>
      </c>
    </row>
    <row r="1456" spans="2:6" x14ac:dyDescent="0.2">
      <c r="B1456" s="120" t="s">
        <v>2549</v>
      </c>
      <c r="C1456" s="121" t="s">
        <v>2550</v>
      </c>
      <c r="D1456" s="122">
        <v>8.94</v>
      </c>
      <c r="E1456" s="122">
        <v>13.61</v>
      </c>
      <c r="F1456" s="122">
        <v>-11.24</v>
      </c>
    </row>
    <row r="1457" spans="2:6" x14ac:dyDescent="0.2">
      <c r="B1457" s="120" t="s">
        <v>2551</v>
      </c>
      <c r="C1457" s="121" t="s">
        <v>2552</v>
      </c>
      <c r="D1457" s="122">
        <v>4.5199999999999996</v>
      </c>
      <c r="E1457" s="122">
        <v>6.57</v>
      </c>
      <c r="F1457" s="122">
        <v>23.03</v>
      </c>
    </row>
    <row r="1458" spans="2:6" x14ac:dyDescent="0.2">
      <c r="B1458" s="120" t="s">
        <v>4449</v>
      </c>
      <c r="C1458" s="121" t="s">
        <v>4450</v>
      </c>
      <c r="D1458" s="122"/>
      <c r="E1458" s="122"/>
      <c r="F1458" s="122"/>
    </row>
    <row r="1459" spans="2:6" x14ac:dyDescent="0.2">
      <c r="B1459" s="120" t="s">
        <v>2553</v>
      </c>
      <c r="C1459" s="121" t="s">
        <v>2554</v>
      </c>
      <c r="D1459" s="122">
        <v>1.26</v>
      </c>
      <c r="E1459" s="122">
        <v>3.46</v>
      </c>
      <c r="F1459" s="122">
        <v>28.12</v>
      </c>
    </row>
    <row r="1460" spans="2:6" x14ac:dyDescent="0.2">
      <c r="B1460" s="120" t="s">
        <v>2555</v>
      </c>
      <c r="C1460" s="121" t="s">
        <v>2556</v>
      </c>
      <c r="D1460" s="122">
        <v>4.01</v>
      </c>
      <c r="E1460" s="122">
        <v>0.64</v>
      </c>
      <c r="F1460" s="122">
        <v>1.06</v>
      </c>
    </row>
    <row r="1461" spans="2:6" x14ac:dyDescent="0.2">
      <c r="B1461" s="120" t="s">
        <v>4451</v>
      </c>
      <c r="C1461" s="121" t="s">
        <v>4452</v>
      </c>
      <c r="D1461" s="122"/>
      <c r="E1461" s="122"/>
      <c r="F1461" s="122"/>
    </row>
    <row r="1462" spans="2:6" x14ac:dyDescent="0.2">
      <c r="B1462" s="120" t="s">
        <v>2557</v>
      </c>
      <c r="C1462" s="121" t="s">
        <v>2558</v>
      </c>
      <c r="D1462" s="122">
        <v>1.59</v>
      </c>
      <c r="E1462" s="122">
        <v>3.81</v>
      </c>
      <c r="F1462" s="122">
        <v>26.11</v>
      </c>
    </row>
    <row r="1463" spans="2:6" x14ac:dyDescent="0.2">
      <c r="B1463" s="120" t="s">
        <v>2559</v>
      </c>
      <c r="C1463" s="121" t="s">
        <v>2560</v>
      </c>
      <c r="D1463" s="122">
        <v>2.0299999999999998</v>
      </c>
      <c r="E1463" s="122">
        <v>3.31</v>
      </c>
      <c r="F1463" s="122">
        <v>13.79</v>
      </c>
    </row>
    <row r="1464" spans="2:6" x14ac:dyDescent="0.2">
      <c r="B1464" s="120" t="s">
        <v>2561</v>
      </c>
      <c r="C1464" s="121" t="s">
        <v>2562</v>
      </c>
      <c r="D1464" s="122">
        <v>1.5</v>
      </c>
      <c r="E1464" s="122">
        <v>2.09</v>
      </c>
      <c r="F1464" s="122">
        <v>22.02</v>
      </c>
    </row>
    <row r="1465" spans="2:6" x14ac:dyDescent="0.2">
      <c r="B1465" s="120" t="s">
        <v>2563</v>
      </c>
      <c r="C1465" s="121" t="s">
        <v>2564</v>
      </c>
      <c r="D1465" s="122">
        <v>0.97</v>
      </c>
      <c r="E1465" s="122">
        <v>1.93</v>
      </c>
      <c r="F1465" s="122">
        <v>20.68</v>
      </c>
    </row>
    <row r="1466" spans="2:6" x14ac:dyDescent="0.2">
      <c r="B1466" s="120" t="s">
        <v>2565</v>
      </c>
      <c r="C1466" s="121" t="s">
        <v>2566</v>
      </c>
      <c r="D1466" s="122">
        <v>0.82</v>
      </c>
      <c r="E1466" s="122">
        <v>5.66</v>
      </c>
      <c r="F1466" s="122">
        <v>45.12</v>
      </c>
    </row>
    <row r="1467" spans="2:6" x14ac:dyDescent="0.2">
      <c r="B1467" s="120" t="s">
        <v>2567</v>
      </c>
      <c r="C1467" s="121" t="s">
        <v>2568</v>
      </c>
      <c r="D1467" s="122">
        <v>2.93</v>
      </c>
      <c r="E1467" s="122"/>
      <c r="F1467" s="122">
        <v>-29.71</v>
      </c>
    </row>
    <row r="1468" spans="2:6" x14ac:dyDescent="0.2">
      <c r="B1468" s="120" t="s">
        <v>4453</v>
      </c>
      <c r="C1468" s="121" t="s">
        <v>4454</v>
      </c>
      <c r="D1468" s="122"/>
      <c r="E1468" s="122">
        <v>7.91</v>
      </c>
      <c r="F1468" s="122"/>
    </row>
    <row r="1469" spans="2:6" x14ac:dyDescent="0.2">
      <c r="B1469" s="120" t="s">
        <v>4455</v>
      </c>
      <c r="C1469" s="121" t="s">
        <v>4456</v>
      </c>
      <c r="D1469" s="122">
        <v>1.94</v>
      </c>
      <c r="E1469" s="122">
        <v>0.94</v>
      </c>
      <c r="F1469" s="122">
        <v>5.0599999999999996</v>
      </c>
    </row>
    <row r="1470" spans="2:6" x14ac:dyDescent="0.2">
      <c r="B1470" s="120" t="s">
        <v>2569</v>
      </c>
      <c r="C1470" s="121" t="s">
        <v>2570</v>
      </c>
      <c r="D1470" s="122">
        <v>1.38</v>
      </c>
      <c r="E1470" s="122">
        <v>3.33</v>
      </c>
      <c r="F1470" s="122">
        <v>29.23</v>
      </c>
    </row>
    <row r="1471" spans="2:6" x14ac:dyDescent="0.2">
      <c r="B1471" s="120" t="s">
        <v>2571</v>
      </c>
      <c r="C1471" s="121" t="s">
        <v>2572</v>
      </c>
      <c r="D1471" s="122">
        <v>3.43</v>
      </c>
      <c r="E1471" s="122">
        <v>3.55</v>
      </c>
      <c r="F1471" s="122">
        <v>16.07</v>
      </c>
    </row>
    <row r="1472" spans="2:6" x14ac:dyDescent="0.2">
      <c r="B1472" s="120" t="s">
        <v>4457</v>
      </c>
      <c r="C1472" s="121" t="s">
        <v>4458</v>
      </c>
      <c r="D1472" s="122">
        <v>0.28999999999999998</v>
      </c>
      <c r="E1472" s="122">
        <v>0.39</v>
      </c>
      <c r="F1472" s="122">
        <v>3.06</v>
      </c>
    </row>
    <row r="1473" spans="2:6" x14ac:dyDescent="0.2">
      <c r="B1473" s="120" t="s">
        <v>2573</v>
      </c>
      <c r="C1473" s="121" t="s">
        <v>2574</v>
      </c>
      <c r="D1473" s="122">
        <v>23.96</v>
      </c>
      <c r="E1473" s="122">
        <v>22.98</v>
      </c>
      <c r="F1473" s="122">
        <v>-46.52</v>
      </c>
    </row>
    <row r="1474" spans="2:6" x14ac:dyDescent="0.2">
      <c r="B1474" s="120" t="s">
        <v>2575</v>
      </c>
      <c r="C1474" s="121" t="s">
        <v>2576</v>
      </c>
      <c r="D1474" s="122">
        <v>17.440000000000001</v>
      </c>
      <c r="E1474" s="122">
        <v>2.0699999999999998</v>
      </c>
      <c r="F1474" s="122">
        <v>6.55</v>
      </c>
    </row>
    <row r="1475" spans="2:6" x14ac:dyDescent="0.2">
      <c r="B1475" s="120" t="s">
        <v>2577</v>
      </c>
      <c r="C1475" s="121" t="s">
        <v>2578</v>
      </c>
      <c r="D1475" s="122">
        <v>8.7100000000000009</v>
      </c>
      <c r="E1475" s="122"/>
      <c r="F1475" s="122">
        <v>-46.45</v>
      </c>
    </row>
    <row r="1476" spans="2:6" x14ac:dyDescent="0.2">
      <c r="B1476" s="120" t="s">
        <v>4459</v>
      </c>
      <c r="C1476" s="121" t="s">
        <v>4460</v>
      </c>
      <c r="D1476" s="122">
        <v>0.82</v>
      </c>
      <c r="E1476" s="122">
        <v>8.51</v>
      </c>
      <c r="F1476" s="122">
        <v>12.71</v>
      </c>
    </row>
    <row r="1477" spans="2:6" x14ac:dyDescent="0.2">
      <c r="B1477" s="120" t="s">
        <v>2579</v>
      </c>
      <c r="C1477" s="121" t="s">
        <v>2580</v>
      </c>
      <c r="D1477" s="122">
        <v>1.42</v>
      </c>
      <c r="E1477" s="122"/>
      <c r="F1477" s="122">
        <v>-80.959999999999994</v>
      </c>
    </row>
    <row r="1478" spans="2:6" x14ac:dyDescent="0.2">
      <c r="B1478" s="120" t="s">
        <v>2581</v>
      </c>
      <c r="C1478" s="121" t="s">
        <v>2582</v>
      </c>
      <c r="D1478" s="122">
        <v>2.99</v>
      </c>
      <c r="E1478" s="122">
        <v>1.27</v>
      </c>
      <c r="F1478" s="122">
        <v>11.1</v>
      </c>
    </row>
    <row r="1479" spans="2:6" x14ac:dyDescent="0.2">
      <c r="B1479" s="120" t="s">
        <v>2583</v>
      </c>
      <c r="C1479" s="121" t="s">
        <v>2584</v>
      </c>
      <c r="D1479" s="122">
        <v>3.4</v>
      </c>
      <c r="E1479" s="122">
        <v>1.03</v>
      </c>
      <c r="F1479" s="122">
        <v>9.82</v>
      </c>
    </row>
    <row r="1480" spans="2:6" x14ac:dyDescent="0.2">
      <c r="B1480" s="120" t="s">
        <v>4461</v>
      </c>
      <c r="C1480" s="121" t="s">
        <v>4462</v>
      </c>
      <c r="D1480" s="122">
        <v>1.25</v>
      </c>
      <c r="E1480" s="122">
        <v>1.96</v>
      </c>
      <c r="F1480" s="122">
        <v>19.22</v>
      </c>
    </row>
    <row r="1481" spans="2:6" x14ac:dyDescent="0.2">
      <c r="B1481" s="120" t="s">
        <v>2585</v>
      </c>
      <c r="C1481" s="121" t="s">
        <v>2586</v>
      </c>
      <c r="D1481" s="122">
        <v>2.83</v>
      </c>
      <c r="E1481" s="122">
        <v>2.4500000000000002</v>
      </c>
      <c r="F1481" s="122">
        <v>8.08</v>
      </c>
    </row>
    <row r="1482" spans="2:6" x14ac:dyDescent="0.2">
      <c r="B1482" s="120" t="s">
        <v>2587</v>
      </c>
      <c r="C1482" s="121" t="s">
        <v>2588</v>
      </c>
      <c r="D1482" s="122">
        <v>2.09</v>
      </c>
      <c r="E1482" s="122">
        <v>3.41</v>
      </c>
      <c r="F1482" s="122">
        <v>21.15</v>
      </c>
    </row>
    <row r="1483" spans="2:6" x14ac:dyDescent="0.2">
      <c r="B1483" s="120" t="s">
        <v>2589</v>
      </c>
      <c r="C1483" s="121" t="s">
        <v>2590</v>
      </c>
      <c r="D1483" s="122">
        <v>3</v>
      </c>
      <c r="E1483" s="122">
        <v>2.04</v>
      </c>
      <c r="F1483" s="122">
        <v>9.33</v>
      </c>
    </row>
    <row r="1484" spans="2:6" x14ac:dyDescent="0.2">
      <c r="B1484" s="120" t="s">
        <v>2591</v>
      </c>
      <c r="C1484" s="121" t="s">
        <v>2592</v>
      </c>
      <c r="D1484" s="122">
        <v>14.39</v>
      </c>
      <c r="E1484" s="122">
        <v>37.590000000000003</v>
      </c>
      <c r="F1484" s="122">
        <v>7.85</v>
      </c>
    </row>
    <row r="1485" spans="2:6" x14ac:dyDescent="0.2">
      <c r="B1485" s="120" t="s">
        <v>2593</v>
      </c>
      <c r="C1485" s="121" t="s">
        <v>2594</v>
      </c>
      <c r="D1485" s="122">
        <v>2.5499999999999998</v>
      </c>
      <c r="E1485" s="122">
        <v>22.8</v>
      </c>
      <c r="F1485" s="122">
        <v>82.89</v>
      </c>
    </row>
    <row r="1486" spans="2:6" x14ac:dyDescent="0.2">
      <c r="B1486" s="120" t="s">
        <v>2595</v>
      </c>
      <c r="C1486" s="121" t="s">
        <v>2596</v>
      </c>
      <c r="D1486" s="122">
        <v>2.42</v>
      </c>
      <c r="E1486" s="122">
        <v>1.99</v>
      </c>
      <c r="F1486" s="122">
        <v>7.93</v>
      </c>
    </row>
    <row r="1487" spans="2:6" x14ac:dyDescent="0.2">
      <c r="B1487" s="120" t="s">
        <v>2597</v>
      </c>
      <c r="C1487" s="121" t="s">
        <v>2598</v>
      </c>
      <c r="D1487" s="122"/>
      <c r="E1487" s="122"/>
      <c r="F1487" s="122"/>
    </row>
    <row r="1488" spans="2:6" x14ac:dyDescent="0.2">
      <c r="B1488" s="120" t="s">
        <v>2599</v>
      </c>
      <c r="C1488" s="121" t="s">
        <v>2600</v>
      </c>
      <c r="D1488" s="122">
        <v>1.32</v>
      </c>
      <c r="E1488" s="122">
        <v>2.41</v>
      </c>
      <c r="F1488" s="122">
        <v>11.15</v>
      </c>
    </row>
    <row r="1489" spans="2:6" x14ac:dyDescent="0.2">
      <c r="B1489" s="120" t="s">
        <v>2601</v>
      </c>
      <c r="C1489" s="121" t="s">
        <v>2602</v>
      </c>
      <c r="D1489" s="122">
        <v>0.7</v>
      </c>
      <c r="E1489" s="122">
        <v>3.34</v>
      </c>
      <c r="F1489" s="122">
        <v>15.58</v>
      </c>
    </row>
    <row r="1490" spans="2:6" x14ac:dyDescent="0.2">
      <c r="B1490" s="120" t="s">
        <v>4463</v>
      </c>
      <c r="C1490" s="121" t="s">
        <v>4464</v>
      </c>
      <c r="D1490" s="122"/>
      <c r="E1490" s="122"/>
      <c r="F1490" s="122"/>
    </row>
    <row r="1491" spans="2:6" x14ac:dyDescent="0.2">
      <c r="B1491" s="120" t="s">
        <v>2603</v>
      </c>
      <c r="C1491" s="121" t="s">
        <v>2604</v>
      </c>
      <c r="D1491" s="122">
        <v>1.87</v>
      </c>
      <c r="E1491" s="122">
        <v>5.43</v>
      </c>
      <c r="F1491" s="122">
        <v>27.89</v>
      </c>
    </row>
    <row r="1492" spans="2:6" x14ac:dyDescent="0.2">
      <c r="B1492" s="120" t="s">
        <v>2605</v>
      </c>
      <c r="C1492" s="121" t="s">
        <v>2606</v>
      </c>
      <c r="D1492" s="122">
        <v>2.97</v>
      </c>
      <c r="E1492" s="122">
        <v>1.91</v>
      </c>
      <c r="F1492" s="122">
        <v>14.57</v>
      </c>
    </row>
    <row r="1493" spans="2:6" x14ac:dyDescent="0.2">
      <c r="B1493" s="120" t="s">
        <v>2607</v>
      </c>
      <c r="C1493" s="121" t="s">
        <v>2608</v>
      </c>
      <c r="D1493" s="122"/>
      <c r="E1493" s="122">
        <v>5.44</v>
      </c>
      <c r="F1493" s="122"/>
    </row>
    <row r="1494" spans="2:6" x14ac:dyDescent="0.2">
      <c r="B1494" s="120" t="s">
        <v>2609</v>
      </c>
      <c r="C1494" s="121" t="s">
        <v>2610</v>
      </c>
      <c r="D1494" s="122">
        <v>2.4</v>
      </c>
      <c r="E1494" s="122">
        <v>6.04</v>
      </c>
      <c r="F1494" s="122">
        <v>26.64</v>
      </c>
    </row>
    <row r="1495" spans="2:6" x14ac:dyDescent="0.2">
      <c r="B1495" s="120" t="s">
        <v>2611</v>
      </c>
      <c r="C1495" s="121" t="s">
        <v>2612</v>
      </c>
      <c r="D1495" s="122">
        <v>1.62</v>
      </c>
      <c r="E1495" s="122">
        <v>1.31</v>
      </c>
      <c r="F1495" s="122">
        <v>9.57</v>
      </c>
    </row>
    <row r="1496" spans="2:6" x14ac:dyDescent="0.2">
      <c r="B1496" s="120" t="s">
        <v>2613</v>
      </c>
      <c r="C1496" s="121" t="s">
        <v>2614</v>
      </c>
      <c r="D1496" s="122">
        <v>2.71</v>
      </c>
      <c r="E1496" s="122">
        <v>3.41</v>
      </c>
      <c r="F1496" s="122">
        <v>22.77</v>
      </c>
    </row>
    <row r="1497" spans="2:6" x14ac:dyDescent="0.2">
      <c r="B1497" s="120" t="s">
        <v>2615</v>
      </c>
      <c r="C1497" s="121" t="s">
        <v>2616</v>
      </c>
      <c r="D1497" s="122">
        <v>0.98</v>
      </c>
      <c r="E1497" s="122">
        <v>1.99</v>
      </c>
      <c r="F1497" s="122">
        <v>14.4</v>
      </c>
    </row>
    <row r="1498" spans="2:6" x14ac:dyDescent="0.2">
      <c r="B1498" s="120" t="s">
        <v>2617</v>
      </c>
      <c r="C1498" s="121" t="s">
        <v>2618</v>
      </c>
      <c r="D1498" s="122">
        <v>0.6</v>
      </c>
      <c r="E1498" s="122">
        <v>0.57999999999999996</v>
      </c>
      <c r="F1498" s="122">
        <v>9.24</v>
      </c>
    </row>
    <row r="1499" spans="2:6" x14ac:dyDescent="0.2">
      <c r="B1499" s="120" t="s">
        <v>2619</v>
      </c>
      <c r="C1499" s="121" t="s">
        <v>2620</v>
      </c>
      <c r="D1499" s="122">
        <v>15.46</v>
      </c>
      <c r="E1499" s="122">
        <v>8.5399999999999991</v>
      </c>
      <c r="F1499" s="122">
        <v>33.78</v>
      </c>
    </row>
    <row r="1500" spans="2:6" x14ac:dyDescent="0.2">
      <c r="B1500" s="120" t="s">
        <v>2621</v>
      </c>
      <c r="C1500" s="121" t="s">
        <v>2622</v>
      </c>
      <c r="D1500" s="122">
        <v>11.68</v>
      </c>
      <c r="E1500" s="122">
        <v>4.8600000000000003</v>
      </c>
      <c r="F1500" s="122">
        <v>14.84</v>
      </c>
    </row>
    <row r="1501" spans="2:6" x14ac:dyDescent="0.2">
      <c r="B1501" s="120" t="s">
        <v>4465</v>
      </c>
      <c r="C1501" s="121" t="s">
        <v>4466</v>
      </c>
      <c r="D1501" s="122"/>
      <c r="E1501" s="122"/>
      <c r="F1501" s="122"/>
    </row>
    <row r="1502" spans="2:6" x14ac:dyDescent="0.2">
      <c r="B1502" s="120" t="s">
        <v>4467</v>
      </c>
      <c r="C1502" s="121" t="s">
        <v>4468</v>
      </c>
      <c r="D1502" s="122"/>
      <c r="E1502" s="122">
        <v>1.95</v>
      </c>
      <c r="F1502" s="122"/>
    </row>
    <row r="1503" spans="2:6" x14ac:dyDescent="0.2">
      <c r="B1503" s="120" t="s">
        <v>4469</v>
      </c>
      <c r="C1503" s="121" t="s">
        <v>4470</v>
      </c>
      <c r="D1503" s="122"/>
      <c r="E1503" s="122"/>
      <c r="F1503" s="122"/>
    </row>
    <row r="1504" spans="2:6" x14ac:dyDescent="0.2">
      <c r="B1504" s="120" t="s">
        <v>4471</v>
      </c>
      <c r="C1504" s="121" t="s">
        <v>4472</v>
      </c>
      <c r="D1504" s="122"/>
      <c r="E1504" s="122">
        <v>1.49</v>
      </c>
      <c r="F1504" s="122"/>
    </row>
    <row r="1505" spans="2:6" x14ac:dyDescent="0.2">
      <c r="B1505" s="120" t="s">
        <v>2623</v>
      </c>
      <c r="C1505" s="121" t="s">
        <v>2624</v>
      </c>
      <c r="D1505" s="122">
        <v>2.93</v>
      </c>
      <c r="E1505" s="122">
        <v>6.04</v>
      </c>
      <c r="F1505" s="122">
        <v>-25.22</v>
      </c>
    </row>
    <row r="1506" spans="2:6" x14ac:dyDescent="0.2">
      <c r="B1506" s="120" t="s">
        <v>2625</v>
      </c>
      <c r="C1506" s="121" t="s">
        <v>2626</v>
      </c>
      <c r="D1506" s="122">
        <v>0.41</v>
      </c>
      <c r="E1506" s="122">
        <v>1.7</v>
      </c>
      <c r="F1506" s="122">
        <v>19.75</v>
      </c>
    </row>
    <row r="1507" spans="2:6" x14ac:dyDescent="0.2">
      <c r="B1507" s="120" t="s">
        <v>2627</v>
      </c>
      <c r="C1507" s="121" t="s">
        <v>2628</v>
      </c>
      <c r="D1507" s="122">
        <v>4.55</v>
      </c>
      <c r="E1507" s="122">
        <v>3.89</v>
      </c>
      <c r="F1507" s="122">
        <v>48.7</v>
      </c>
    </row>
    <row r="1508" spans="2:6" x14ac:dyDescent="0.2">
      <c r="B1508" s="120" t="s">
        <v>2629</v>
      </c>
      <c r="C1508" s="121" t="s">
        <v>2630</v>
      </c>
      <c r="D1508" s="122">
        <v>6.07</v>
      </c>
      <c r="E1508" s="122">
        <v>6.41</v>
      </c>
      <c r="F1508" s="122">
        <v>10.44</v>
      </c>
    </row>
    <row r="1509" spans="2:6" x14ac:dyDescent="0.2">
      <c r="B1509" s="120" t="s">
        <v>2631</v>
      </c>
      <c r="C1509" s="121" t="s">
        <v>2632</v>
      </c>
      <c r="D1509" s="122">
        <v>0.27</v>
      </c>
      <c r="E1509" s="122">
        <v>0.46</v>
      </c>
      <c r="F1509" s="122">
        <v>3.77</v>
      </c>
    </row>
    <row r="1510" spans="2:6" x14ac:dyDescent="0.2">
      <c r="B1510" s="120" t="s">
        <v>2633</v>
      </c>
      <c r="C1510" s="121" t="s">
        <v>2634</v>
      </c>
      <c r="D1510" s="122"/>
      <c r="E1510" s="122">
        <v>1.45</v>
      </c>
      <c r="F1510" s="122"/>
    </row>
    <row r="1511" spans="2:6" x14ac:dyDescent="0.2">
      <c r="B1511" s="120" t="s">
        <v>2635</v>
      </c>
      <c r="C1511" s="121" t="s">
        <v>2636</v>
      </c>
      <c r="D1511" s="122"/>
      <c r="E1511" s="122">
        <v>1.02</v>
      </c>
      <c r="F1511" s="122"/>
    </row>
    <row r="1512" spans="2:6" x14ac:dyDescent="0.2">
      <c r="B1512" s="120" t="s">
        <v>2637</v>
      </c>
      <c r="C1512" s="121" t="s">
        <v>2638</v>
      </c>
      <c r="D1512" s="122"/>
      <c r="E1512" s="122">
        <v>1.86</v>
      </c>
      <c r="F1512" s="122"/>
    </row>
    <row r="1513" spans="2:6" x14ac:dyDescent="0.2">
      <c r="B1513" s="120" t="s">
        <v>2639</v>
      </c>
      <c r="C1513" s="121" t="s">
        <v>2640</v>
      </c>
      <c r="D1513" s="122">
        <v>0.66</v>
      </c>
      <c r="E1513" s="122">
        <v>1.0900000000000001</v>
      </c>
      <c r="F1513" s="122">
        <v>12.64</v>
      </c>
    </row>
    <row r="1514" spans="2:6" x14ac:dyDescent="0.2">
      <c r="B1514" s="120" t="s">
        <v>2641</v>
      </c>
      <c r="C1514" s="121" t="s">
        <v>2642</v>
      </c>
      <c r="D1514" s="122">
        <v>5.71</v>
      </c>
      <c r="E1514" s="122">
        <v>3.09</v>
      </c>
      <c r="F1514" s="122">
        <v>-9.92</v>
      </c>
    </row>
    <row r="1515" spans="2:6" x14ac:dyDescent="0.2">
      <c r="B1515" s="120" t="s">
        <v>2643</v>
      </c>
      <c r="C1515" s="121" t="s">
        <v>2644</v>
      </c>
      <c r="D1515" s="122">
        <v>0.46</v>
      </c>
      <c r="E1515" s="122">
        <v>1.42</v>
      </c>
      <c r="F1515" s="122">
        <v>11.41</v>
      </c>
    </row>
    <row r="1516" spans="2:6" x14ac:dyDescent="0.2">
      <c r="B1516" s="120" t="s">
        <v>2645</v>
      </c>
      <c r="C1516" s="121" t="s">
        <v>2646</v>
      </c>
      <c r="D1516" s="122">
        <v>2.37</v>
      </c>
      <c r="E1516" s="122">
        <v>1.91</v>
      </c>
      <c r="F1516" s="122">
        <v>10.039999999999999</v>
      </c>
    </row>
    <row r="1517" spans="2:6" x14ac:dyDescent="0.2">
      <c r="B1517" s="120" t="s">
        <v>2647</v>
      </c>
      <c r="C1517" s="121" t="s">
        <v>2648</v>
      </c>
      <c r="D1517" s="122">
        <v>7.53</v>
      </c>
      <c r="E1517" s="122">
        <v>7.63</v>
      </c>
      <c r="F1517" s="122">
        <v>17.14</v>
      </c>
    </row>
    <row r="1518" spans="2:6" x14ac:dyDescent="0.2">
      <c r="B1518" s="120" t="s">
        <v>2649</v>
      </c>
      <c r="C1518" s="121" t="s">
        <v>2650</v>
      </c>
      <c r="D1518" s="122">
        <v>3.68</v>
      </c>
      <c r="E1518" s="122">
        <v>17.010000000000002</v>
      </c>
      <c r="F1518" s="122">
        <v>112.21</v>
      </c>
    </row>
    <row r="1519" spans="2:6" x14ac:dyDescent="0.2">
      <c r="B1519" s="120" t="s">
        <v>2651</v>
      </c>
      <c r="C1519" s="121" t="s">
        <v>2652</v>
      </c>
      <c r="D1519" s="122">
        <v>5.0199999999999996</v>
      </c>
      <c r="E1519" s="122">
        <v>2.88</v>
      </c>
      <c r="F1519" s="122">
        <v>12.1</v>
      </c>
    </row>
    <row r="1520" spans="2:6" x14ac:dyDescent="0.2">
      <c r="B1520" s="120" t="s">
        <v>2653</v>
      </c>
      <c r="C1520" s="121" t="s">
        <v>2654</v>
      </c>
      <c r="D1520" s="122">
        <v>10.210000000000001</v>
      </c>
      <c r="E1520" s="122">
        <v>7.99</v>
      </c>
      <c r="F1520" s="122">
        <v>16.53</v>
      </c>
    </row>
    <row r="1521" spans="2:6" x14ac:dyDescent="0.2">
      <c r="B1521" s="120" t="s">
        <v>4473</v>
      </c>
      <c r="C1521" s="121" t="s">
        <v>4474</v>
      </c>
      <c r="D1521" s="122"/>
      <c r="E1521" s="122"/>
      <c r="F1521" s="122"/>
    </row>
    <row r="1522" spans="2:6" x14ac:dyDescent="0.2">
      <c r="B1522" s="120" t="s">
        <v>2655</v>
      </c>
      <c r="C1522" s="121" t="s">
        <v>2656</v>
      </c>
      <c r="D1522" s="122">
        <v>0.32</v>
      </c>
      <c r="E1522" s="122">
        <v>0.79</v>
      </c>
      <c r="F1522" s="122">
        <v>14.15</v>
      </c>
    </row>
    <row r="1523" spans="2:6" x14ac:dyDescent="0.2">
      <c r="B1523" s="120" t="s">
        <v>2655</v>
      </c>
      <c r="C1523" s="121" t="s">
        <v>4475</v>
      </c>
      <c r="D1523" s="122">
        <v>0.33</v>
      </c>
      <c r="E1523" s="122">
        <v>0.81</v>
      </c>
      <c r="F1523" s="122">
        <v>14.15</v>
      </c>
    </row>
    <row r="1524" spans="2:6" x14ac:dyDescent="0.2">
      <c r="B1524" s="120" t="s">
        <v>2657</v>
      </c>
      <c r="C1524" s="121" t="s">
        <v>2658</v>
      </c>
      <c r="D1524" s="122">
        <v>2.82</v>
      </c>
      <c r="E1524" s="122">
        <v>2.06</v>
      </c>
      <c r="F1524" s="122">
        <v>15.77</v>
      </c>
    </row>
    <row r="1525" spans="2:6" x14ac:dyDescent="0.2">
      <c r="B1525" s="120" t="s">
        <v>2659</v>
      </c>
      <c r="C1525" s="121" t="s">
        <v>2660</v>
      </c>
      <c r="D1525" s="122">
        <v>3.43</v>
      </c>
      <c r="E1525" s="122">
        <v>4.7</v>
      </c>
      <c r="F1525" s="122">
        <v>30.53</v>
      </c>
    </row>
    <row r="1526" spans="2:6" x14ac:dyDescent="0.2">
      <c r="B1526" s="120" t="s">
        <v>2661</v>
      </c>
      <c r="C1526" s="121" t="s">
        <v>2662</v>
      </c>
      <c r="D1526" s="122">
        <v>13.78</v>
      </c>
      <c r="E1526" s="122">
        <v>9.17</v>
      </c>
      <c r="F1526" s="122">
        <v>-13.4</v>
      </c>
    </row>
    <row r="1527" spans="2:6" x14ac:dyDescent="0.2">
      <c r="B1527" s="120" t="s">
        <v>2663</v>
      </c>
      <c r="C1527" s="121" t="s">
        <v>2664</v>
      </c>
      <c r="D1527" s="122">
        <v>6.99</v>
      </c>
      <c r="E1527" s="122">
        <v>18.48</v>
      </c>
      <c r="F1527" s="122">
        <v>50.99</v>
      </c>
    </row>
    <row r="1528" spans="2:6" x14ac:dyDescent="0.2">
      <c r="B1528" s="120" t="s">
        <v>4476</v>
      </c>
      <c r="C1528" s="121" t="s">
        <v>4477</v>
      </c>
      <c r="D1528" s="122">
        <v>1.04</v>
      </c>
      <c r="E1528" s="122">
        <v>0.53</v>
      </c>
      <c r="F1528" s="122">
        <v>8.84</v>
      </c>
    </row>
    <row r="1529" spans="2:6" x14ac:dyDescent="0.2">
      <c r="B1529" s="120" t="s">
        <v>2665</v>
      </c>
      <c r="C1529" s="121" t="s">
        <v>2666</v>
      </c>
      <c r="D1529" s="122">
        <v>10.34</v>
      </c>
      <c r="E1529" s="122">
        <v>2.54</v>
      </c>
      <c r="F1529" s="122">
        <v>-10.06</v>
      </c>
    </row>
    <row r="1530" spans="2:6" x14ac:dyDescent="0.2">
      <c r="B1530" s="120" t="s">
        <v>4478</v>
      </c>
      <c r="C1530" s="121" t="s">
        <v>4479</v>
      </c>
      <c r="D1530" s="122">
        <v>0.35</v>
      </c>
      <c r="E1530" s="122">
        <v>2.11</v>
      </c>
      <c r="F1530" s="122">
        <v>18.93</v>
      </c>
    </row>
    <row r="1531" spans="2:6" x14ac:dyDescent="0.2">
      <c r="B1531" s="120" t="s">
        <v>2667</v>
      </c>
      <c r="C1531" s="121" t="s">
        <v>2668</v>
      </c>
      <c r="D1531" s="122">
        <v>3.18</v>
      </c>
      <c r="E1531" s="122">
        <v>4.96</v>
      </c>
      <c r="F1531" s="122">
        <v>15.27</v>
      </c>
    </row>
    <row r="1532" spans="2:6" x14ac:dyDescent="0.2">
      <c r="B1532" s="120" t="s">
        <v>2669</v>
      </c>
      <c r="C1532" s="121" t="s">
        <v>2670</v>
      </c>
      <c r="D1532" s="122">
        <v>0.86</v>
      </c>
      <c r="E1532" s="122">
        <v>1.28</v>
      </c>
      <c r="F1532" s="122">
        <v>10.81</v>
      </c>
    </row>
    <row r="1533" spans="2:6" x14ac:dyDescent="0.2">
      <c r="B1533" s="120" t="s">
        <v>2671</v>
      </c>
      <c r="C1533" s="121" t="s">
        <v>2672</v>
      </c>
      <c r="D1533" s="122"/>
      <c r="E1533" s="122">
        <v>2.84</v>
      </c>
      <c r="F1533" s="122"/>
    </row>
    <row r="1534" spans="2:6" x14ac:dyDescent="0.2">
      <c r="B1534" s="120" t="s">
        <v>2673</v>
      </c>
      <c r="C1534" s="121" t="s">
        <v>2674</v>
      </c>
      <c r="D1534" s="122">
        <v>1.54</v>
      </c>
      <c r="E1534" s="122">
        <v>0.54</v>
      </c>
      <c r="F1534" s="122">
        <v>6.04</v>
      </c>
    </row>
    <row r="1535" spans="2:6" x14ac:dyDescent="0.2">
      <c r="B1535" s="120" t="s">
        <v>4480</v>
      </c>
      <c r="C1535" s="121" t="s">
        <v>4481</v>
      </c>
      <c r="D1535" s="122">
        <v>1.46</v>
      </c>
      <c r="E1535" s="122">
        <v>0.51</v>
      </c>
      <c r="F1535" s="122">
        <v>6.04</v>
      </c>
    </row>
    <row r="1536" spans="2:6" x14ac:dyDescent="0.2">
      <c r="B1536" s="120" t="s">
        <v>4482</v>
      </c>
      <c r="C1536" s="121" t="s">
        <v>4483</v>
      </c>
      <c r="D1536" s="122">
        <v>4.5999999999999996</v>
      </c>
      <c r="E1536" s="122"/>
      <c r="F1536" s="122"/>
    </row>
    <row r="1537" spans="2:6" x14ac:dyDescent="0.2">
      <c r="B1537" s="120" t="s">
        <v>2675</v>
      </c>
      <c r="C1537" s="121" t="s">
        <v>2676</v>
      </c>
      <c r="D1537" s="122">
        <v>2.2599999999999998</v>
      </c>
      <c r="E1537" s="122">
        <v>3.91</v>
      </c>
      <c r="F1537" s="122">
        <v>26.66</v>
      </c>
    </row>
    <row r="1538" spans="2:6" x14ac:dyDescent="0.2">
      <c r="B1538" s="120" t="s">
        <v>2677</v>
      </c>
      <c r="C1538" s="121" t="s">
        <v>2678</v>
      </c>
      <c r="D1538" s="122">
        <v>2.2599999999999998</v>
      </c>
      <c r="E1538" s="122">
        <v>2.0299999999999998</v>
      </c>
      <c r="F1538" s="122">
        <v>17.39</v>
      </c>
    </row>
    <row r="1539" spans="2:6" x14ac:dyDescent="0.2">
      <c r="B1539" s="120" t="s">
        <v>2679</v>
      </c>
      <c r="C1539" s="121" t="s">
        <v>2680</v>
      </c>
      <c r="D1539" s="122">
        <v>2.4700000000000002</v>
      </c>
      <c r="E1539" s="122">
        <v>6.16</v>
      </c>
      <c r="F1539" s="122">
        <v>19.55</v>
      </c>
    </row>
    <row r="1540" spans="2:6" x14ac:dyDescent="0.2">
      <c r="B1540" s="120" t="s">
        <v>2681</v>
      </c>
      <c r="C1540" s="121" t="s">
        <v>2682</v>
      </c>
      <c r="D1540" s="122">
        <v>3.43</v>
      </c>
      <c r="E1540" s="122">
        <v>1.32</v>
      </c>
      <c r="F1540" s="122">
        <v>17.68</v>
      </c>
    </row>
    <row r="1541" spans="2:6" x14ac:dyDescent="0.2">
      <c r="B1541" s="120" t="s">
        <v>2683</v>
      </c>
      <c r="C1541" s="121" t="s">
        <v>2684</v>
      </c>
      <c r="D1541" s="122">
        <v>0.62</v>
      </c>
      <c r="E1541" s="122">
        <v>1.21</v>
      </c>
      <c r="F1541" s="122">
        <v>10.029999999999999</v>
      </c>
    </row>
    <row r="1542" spans="2:6" x14ac:dyDescent="0.2">
      <c r="B1542" s="120" t="s">
        <v>2683</v>
      </c>
      <c r="C1542" s="121" t="s">
        <v>4484</v>
      </c>
      <c r="D1542" s="122">
        <v>0.62</v>
      </c>
      <c r="E1542" s="122">
        <v>1.22</v>
      </c>
      <c r="F1542" s="122">
        <v>10.029999999999999</v>
      </c>
    </row>
    <row r="1543" spans="2:6" x14ac:dyDescent="0.2">
      <c r="B1543" s="120" t="s">
        <v>2685</v>
      </c>
      <c r="C1543" s="121" t="s">
        <v>2686</v>
      </c>
      <c r="D1543" s="122">
        <v>1.87</v>
      </c>
      <c r="E1543" s="122">
        <v>2.2999999999999998</v>
      </c>
      <c r="F1543" s="122">
        <v>13.69</v>
      </c>
    </row>
    <row r="1544" spans="2:6" x14ac:dyDescent="0.2">
      <c r="B1544" s="120" t="s">
        <v>2687</v>
      </c>
      <c r="C1544" s="121" t="s">
        <v>2688</v>
      </c>
      <c r="D1544" s="122">
        <v>2.95</v>
      </c>
      <c r="E1544" s="122">
        <v>3.06</v>
      </c>
      <c r="F1544" s="122">
        <v>14.94</v>
      </c>
    </row>
    <row r="1545" spans="2:6" x14ac:dyDescent="0.2">
      <c r="B1545" s="120" t="s">
        <v>2689</v>
      </c>
      <c r="C1545" s="121" t="s">
        <v>2690</v>
      </c>
      <c r="D1545" s="122">
        <v>1.4</v>
      </c>
      <c r="E1545" s="122">
        <v>1.21</v>
      </c>
      <c r="F1545" s="122">
        <v>6.37</v>
      </c>
    </row>
    <row r="1546" spans="2:6" x14ac:dyDescent="0.2">
      <c r="B1546" s="120" t="s">
        <v>2691</v>
      </c>
      <c r="C1546" s="121" t="s">
        <v>2692</v>
      </c>
      <c r="D1546" s="122">
        <v>10.09</v>
      </c>
      <c r="E1546" s="122">
        <v>1.79</v>
      </c>
      <c r="F1546" s="122">
        <v>4.5999999999999996</v>
      </c>
    </row>
    <row r="1547" spans="2:6" x14ac:dyDescent="0.2">
      <c r="B1547" s="120" t="s">
        <v>2693</v>
      </c>
      <c r="C1547" s="121" t="s">
        <v>2694</v>
      </c>
      <c r="D1547" s="122">
        <v>4.49</v>
      </c>
      <c r="E1547" s="122">
        <v>3.33</v>
      </c>
      <c r="F1547" s="122">
        <v>25.79</v>
      </c>
    </row>
    <row r="1548" spans="2:6" x14ac:dyDescent="0.2">
      <c r="B1548" s="120" t="s">
        <v>4485</v>
      </c>
      <c r="C1548" s="121" t="s">
        <v>4486</v>
      </c>
      <c r="D1548" s="122"/>
      <c r="E1548" s="122">
        <v>8.5399999999999991</v>
      </c>
      <c r="F1548" s="122"/>
    </row>
    <row r="1549" spans="2:6" x14ac:dyDescent="0.2">
      <c r="B1549" s="120" t="s">
        <v>4487</v>
      </c>
      <c r="C1549" s="121" t="s">
        <v>4488</v>
      </c>
      <c r="D1549" s="122"/>
      <c r="E1549" s="122">
        <v>4.24</v>
      </c>
      <c r="F1549" s="122"/>
    </row>
    <row r="1550" spans="2:6" x14ac:dyDescent="0.2">
      <c r="B1550" s="120" t="s">
        <v>2695</v>
      </c>
      <c r="C1550" s="121" t="s">
        <v>2696</v>
      </c>
      <c r="D1550" s="122">
        <v>0.41</v>
      </c>
      <c r="E1550" s="122">
        <v>0.68</v>
      </c>
      <c r="F1550" s="122">
        <v>6.06</v>
      </c>
    </row>
    <row r="1551" spans="2:6" x14ac:dyDescent="0.2">
      <c r="B1551" s="120" t="s">
        <v>2697</v>
      </c>
      <c r="C1551" s="121" t="s">
        <v>2698</v>
      </c>
      <c r="D1551" s="122">
        <v>20.5</v>
      </c>
      <c r="E1551" s="122">
        <v>2.2000000000000002</v>
      </c>
      <c r="F1551" s="122">
        <v>2.63</v>
      </c>
    </row>
    <row r="1552" spans="2:6" x14ac:dyDescent="0.2">
      <c r="B1552" s="120" t="s">
        <v>2699</v>
      </c>
      <c r="C1552" s="121" t="s">
        <v>2700</v>
      </c>
      <c r="D1552" s="122">
        <v>2.4</v>
      </c>
      <c r="E1552" s="122">
        <v>1.06</v>
      </c>
      <c r="F1552" s="122">
        <v>10.86</v>
      </c>
    </row>
    <row r="1553" spans="2:6" x14ac:dyDescent="0.2">
      <c r="B1553" s="120" t="s">
        <v>2701</v>
      </c>
      <c r="C1553" s="121" t="s">
        <v>2702</v>
      </c>
      <c r="D1553" s="122">
        <v>0.74</v>
      </c>
      <c r="E1553" s="122">
        <v>0.93</v>
      </c>
      <c r="F1553" s="122">
        <v>9.19</v>
      </c>
    </row>
    <row r="1554" spans="2:6" x14ac:dyDescent="0.2">
      <c r="B1554" s="120" t="s">
        <v>2703</v>
      </c>
      <c r="C1554" s="121" t="s">
        <v>2704</v>
      </c>
      <c r="D1554" s="122">
        <v>18.100000000000001</v>
      </c>
      <c r="E1554" s="122">
        <v>4.8</v>
      </c>
      <c r="F1554" s="122">
        <v>6.92</v>
      </c>
    </row>
    <row r="1555" spans="2:6" x14ac:dyDescent="0.2">
      <c r="B1555" s="120" t="s">
        <v>2705</v>
      </c>
      <c r="C1555" s="121" t="s">
        <v>2706</v>
      </c>
      <c r="D1555" s="122">
        <v>19.75</v>
      </c>
      <c r="E1555" s="122">
        <v>3.85</v>
      </c>
      <c r="F1555" s="122">
        <v>4.42</v>
      </c>
    </row>
    <row r="1556" spans="2:6" x14ac:dyDescent="0.2">
      <c r="B1556" s="120" t="s">
        <v>2707</v>
      </c>
      <c r="C1556" s="121" t="s">
        <v>2708</v>
      </c>
      <c r="D1556" s="122">
        <v>1.21</v>
      </c>
      <c r="E1556" s="122"/>
      <c r="F1556" s="122">
        <v>-230.09</v>
      </c>
    </row>
    <row r="1557" spans="2:6" x14ac:dyDescent="0.2">
      <c r="B1557" s="120" t="s">
        <v>2709</v>
      </c>
      <c r="C1557" s="121" t="s">
        <v>2710</v>
      </c>
      <c r="D1557" s="122"/>
      <c r="E1557" s="122">
        <v>7.86</v>
      </c>
      <c r="F1557" s="122"/>
    </row>
    <row r="1558" spans="2:6" x14ac:dyDescent="0.2">
      <c r="B1558" s="120" t="s">
        <v>2711</v>
      </c>
      <c r="C1558" s="121" t="s">
        <v>2712</v>
      </c>
      <c r="D1558" s="122">
        <v>1.0900000000000001</v>
      </c>
      <c r="E1558" s="122">
        <v>5.89</v>
      </c>
      <c r="F1558" s="122">
        <v>41.46</v>
      </c>
    </row>
    <row r="1559" spans="2:6" x14ac:dyDescent="0.2">
      <c r="B1559" s="120" t="s">
        <v>2713</v>
      </c>
      <c r="C1559" s="121" t="s">
        <v>2714</v>
      </c>
      <c r="D1559" s="122">
        <v>2.95</v>
      </c>
      <c r="E1559" s="122">
        <v>9.7100000000000009</v>
      </c>
      <c r="F1559" s="122">
        <v>63.53</v>
      </c>
    </row>
    <row r="1560" spans="2:6" x14ac:dyDescent="0.2">
      <c r="B1560" s="120" t="s">
        <v>2715</v>
      </c>
      <c r="C1560" s="121" t="s">
        <v>2716</v>
      </c>
      <c r="D1560" s="122">
        <v>0.38</v>
      </c>
      <c r="E1560" s="122">
        <v>0.74</v>
      </c>
      <c r="F1560" s="122">
        <v>5.55</v>
      </c>
    </row>
    <row r="1561" spans="2:6" x14ac:dyDescent="0.2">
      <c r="B1561" s="120" t="s">
        <v>2717</v>
      </c>
      <c r="C1561" s="121" t="s">
        <v>2718</v>
      </c>
      <c r="D1561" s="122">
        <v>1.1599999999999999</v>
      </c>
      <c r="E1561" s="122">
        <v>0.28000000000000003</v>
      </c>
      <c r="F1561" s="122">
        <v>-4.18</v>
      </c>
    </row>
    <row r="1562" spans="2:6" x14ac:dyDescent="0.2">
      <c r="B1562" s="120" t="s">
        <v>2719</v>
      </c>
      <c r="C1562" s="121" t="s">
        <v>2720</v>
      </c>
      <c r="D1562" s="122"/>
      <c r="E1562" s="122">
        <v>1.52</v>
      </c>
      <c r="F1562" s="122"/>
    </row>
    <row r="1563" spans="2:6" x14ac:dyDescent="0.2">
      <c r="B1563" s="120" t="s">
        <v>2721</v>
      </c>
      <c r="C1563" s="121" t="s">
        <v>2722</v>
      </c>
      <c r="D1563" s="122">
        <v>1.48</v>
      </c>
      <c r="E1563" s="122">
        <v>1.81</v>
      </c>
      <c r="F1563" s="122">
        <v>16.12</v>
      </c>
    </row>
    <row r="1564" spans="2:6" x14ac:dyDescent="0.2">
      <c r="B1564" s="120" t="s">
        <v>4489</v>
      </c>
      <c r="C1564" s="121" t="s">
        <v>4490</v>
      </c>
      <c r="D1564" s="122">
        <v>1.27</v>
      </c>
      <c r="E1564" s="122">
        <v>1.74</v>
      </c>
      <c r="F1564" s="122">
        <v>29.42</v>
      </c>
    </row>
    <row r="1565" spans="2:6" x14ac:dyDescent="0.2">
      <c r="B1565" s="120" t="s">
        <v>2723</v>
      </c>
      <c r="C1565" s="121" t="s">
        <v>20</v>
      </c>
      <c r="D1565" s="122">
        <v>1.1299999999999999</v>
      </c>
      <c r="E1565" s="122">
        <v>2.4</v>
      </c>
      <c r="F1565" s="122">
        <v>18.329999999999998</v>
      </c>
    </row>
    <row r="1566" spans="2:6" x14ac:dyDescent="0.2">
      <c r="B1566" s="120" t="s">
        <v>2724</v>
      </c>
      <c r="C1566" s="121" t="s">
        <v>2725</v>
      </c>
      <c r="D1566" s="122">
        <v>4.51</v>
      </c>
      <c r="E1566" s="122">
        <v>4.3</v>
      </c>
      <c r="F1566" s="122">
        <v>11.34</v>
      </c>
    </row>
    <row r="1567" spans="2:6" x14ac:dyDescent="0.2">
      <c r="B1567" s="120" t="s">
        <v>2726</v>
      </c>
      <c r="C1567" s="121" t="s">
        <v>2727</v>
      </c>
      <c r="D1567" s="122">
        <v>7.42</v>
      </c>
      <c r="E1567" s="122">
        <v>9.33</v>
      </c>
      <c r="F1567" s="122">
        <v>26.49</v>
      </c>
    </row>
    <row r="1568" spans="2:6" x14ac:dyDescent="0.2">
      <c r="B1568" s="120" t="s">
        <v>2728</v>
      </c>
      <c r="C1568" s="121" t="s">
        <v>2729</v>
      </c>
      <c r="D1568" s="122">
        <v>14.22</v>
      </c>
      <c r="E1568" s="122">
        <v>30.78</v>
      </c>
      <c r="F1568" s="122">
        <v>-1.1299999999999999</v>
      </c>
    </row>
    <row r="1569" spans="2:6" x14ac:dyDescent="0.2">
      <c r="B1569" s="120" t="s">
        <v>2730</v>
      </c>
      <c r="C1569" s="121" t="s">
        <v>2731</v>
      </c>
      <c r="D1569" s="122"/>
      <c r="E1569" s="122">
        <v>0.43</v>
      </c>
      <c r="F1569" s="122"/>
    </row>
    <row r="1570" spans="2:6" x14ac:dyDescent="0.2">
      <c r="B1570" s="120" t="s">
        <v>2732</v>
      </c>
      <c r="C1570" s="121" t="s">
        <v>2733</v>
      </c>
      <c r="D1570" s="122">
        <v>2.61</v>
      </c>
      <c r="E1570" s="122">
        <v>1.6</v>
      </c>
      <c r="F1570" s="122">
        <v>8.8699999999999992</v>
      </c>
    </row>
    <row r="1571" spans="2:6" x14ac:dyDescent="0.2">
      <c r="B1571" s="120" t="s">
        <v>2734</v>
      </c>
      <c r="C1571" s="121" t="s">
        <v>2735</v>
      </c>
      <c r="D1571" s="122"/>
      <c r="E1571" s="122"/>
      <c r="F1571" s="122"/>
    </row>
    <row r="1572" spans="2:6" x14ac:dyDescent="0.2">
      <c r="B1572" s="120" t="s">
        <v>4491</v>
      </c>
      <c r="C1572" s="121" t="s">
        <v>4492</v>
      </c>
      <c r="D1572" s="122">
        <v>2.27</v>
      </c>
      <c r="E1572" s="122">
        <v>1.18</v>
      </c>
      <c r="F1572" s="122">
        <v>6.46</v>
      </c>
    </row>
    <row r="1573" spans="2:6" x14ac:dyDescent="0.2">
      <c r="B1573" s="120" t="s">
        <v>2736</v>
      </c>
      <c r="C1573" s="121" t="s">
        <v>2737</v>
      </c>
      <c r="D1573" s="122">
        <v>2.83</v>
      </c>
      <c r="E1573" s="122">
        <v>16.399999999999999</v>
      </c>
      <c r="F1573" s="122">
        <v>78.709999999999994</v>
      </c>
    </row>
    <row r="1574" spans="2:6" x14ac:dyDescent="0.2">
      <c r="B1574" s="120" t="s">
        <v>2738</v>
      </c>
      <c r="C1574" s="121" t="s">
        <v>2739</v>
      </c>
      <c r="D1574" s="122">
        <v>13.86</v>
      </c>
      <c r="E1574" s="122">
        <v>26.6</v>
      </c>
      <c r="F1574" s="122">
        <v>-6.77</v>
      </c>
    </row>
    <row r="1575" spans="2:6" x14ac:dyDescent="0.2">
      <c r="B1575" s="120" t="s">
        <v>2740</v>
      </c>
      <c r="C1575" s="121" t="s">
        <v>2741</v>
      </c>
      <c r="D1575" s="122">
        <v>6</v>
      </c>
      <c r="E1575" s="122">
        <v>15.04</v>
      </c>
      <c r="F1575" s="122">
        <v>31.43</v>
      </c>
    </row>
    <row r="1576" spans="2:6" x14ac:dyDescent="0.2">
      <c r="B1576" s="120" t="s">
        <v>2742</v>
      </c>
      <c r="C1576" s="121" t="s">
        <v>2743</v>
      </c>
      <c r="D1576" s="122">
        <v>5.85</v>
      </c>
      <c r="E1576" s="122">
        <v>4.16</v>
      </c>
      <c r="F1576" s="122">
        <v>12.82</v>
      </c>
    </row>
    <row r="1577" spans="2:6" x14ac:dyDescent="0.2">
      <c r="B1577" s="120" t="s">
        <v>2744</v>
      </c>
      <c r="C1577" s="121" t="s">
        <v>2745</v>
      </c>
      <c r="D1577" s="122">
        <v>7.04</v>
      </c>
      <c r="E1577" s="122">
        <v>4.4800000000000004</v>
      </c>
      <c r="F1577" s="122">
        <v>16.7</v>
      </c>
    </row>
    <row r="1578" spans="2:6" x14ac:dyDescent="0.2">
      <c r="B1578" s="120" t="s">
        <v>2746</v>
      </c>
      <c r="C1578" s="121" t="s">
        <v>2747</v>
      </c>
      <c r="D1578" s="122">
        <v>2.46</v>
      </c>
      <c r="E1578" s="122">
        <v>11.5</v>
      </c>
      <c r="F1578" s="122">
        <v>49.21</v>
      </c>
    </row>
    <row r="1579" spans="2:6" x14ac:dyDescent="0.2">
      <c r="B1579" s="120" t="s">
        <v>4493</v>
      </c>
      <c r="C1579" s="121" t="s">
        <v>4494</v>
      </c>
      <c r="D1579" s="122">
        <v>0.61</v>
      </c>
      <c r="E1579" s="122">
        <v>0.78</v>
      </c>
      <c r="F1579" s="122">
        <v>6.21</v>
      </c>
    </row>
    <row r="1580" spans="2:6" x14ac:dyDescent="0.2">
      <c r="B1580" s="120" t="s">
        <v>2748</v>
      </c>
      <c r="C1580" s="121" t="s">
        <v>2749</v>
      </c>
      <c r="D1580" s="122">
        <v>6.59</v>
      </c>
      <c r="E1580" s="122">
        <v>5.47</v>
      </c>
      <c r="F1580" s="122">
        <v>9.86</v>
      </c>
    </row>
    <row r="1581" spans="2:6" x14ac:dyDescent="0.2">
      <c r="B1581" s="120" t="s">
        <v>2750</v>
      </c>
      <c r="C1581" s="121" t="s">
        <v>2751</v>
      </c>
      <c r="D1581" s="122">
        <v>1.59</v>
      </c>
      <c r="E1581" s="122">
        <v>6.37</v>
      </c>
      <c r="F1581" s="122">
        <v>23.46</v>
      </c>
    </row>
    <row r="1582" spans="2:6" x14ac:dyDescent="0.2">
      <c r="B1582" s="120" t="s">
        <v>2752</v>
      </c>
      <c r="C1582" s="121" t="s">
        <v>2753</v>
      </c>
      <c r="D1582" s="122">
        <v>0.57999999999999996</v>
      </c>
      <c r="E1582" s="122">
        <v>1.35</v>
      </c>
      <c r="F1582" s="122">
        <v>12.85</v>
      </c>
    </row>
    <row r="1583" spans="2:6" x14ac:dyDescent="0.2">
      <c r="B1583" s="120" t="s">
        <v>2754</v>
      </c>
      <c r="C1583" s="121" t="s">
        <v>2755</v>
      </c>
      <c r="D1583" s="122">
        <v>2.76</v>
      </c>
      <c r="E1583" s="122">
        <v>3.53</v>
      </c>
      <c r="F1583" s="122">
        <v>12.86</v>
      </c>
    </row>
    <row r="1584" spans="2:6" x14ac:dyDescent="0.2">
      <c r="B1584" s="120" t="s">
        <v>4495</v>
      </c>
      <c r="C1584" s="121" t="s">
        <v>4496</v>
      </c>
      <c r="D1584" s="122"/>
      <c r="E1584" s="122"/>
      <c r="F1584" s="122"/>
    </row>
    <row r="1585" spans="2:6" x14ac:dyDescent="0.2">
      <c r="B1585" s="120" t="s">
        <v>2756</v>
      </c>
      <c r="C1585" s="121" t="s">
        <v>2757</v>
      </c>
      <c r="D1585" s="122">
        <v>1.94</v>
      </c>
      <c r="E1585" s="122">
        <v>4.45</v>
      </c>
      <c r="F1585" s="122">
        <v>26.34</v>
      </c>
    </row>
    <row r="1586" spans="2:6" x14ac:dyDescent="0.2">
      <c r="B1586" s="120" t="s">
        <v>2758</v>
      </c>
      <c r="C1586" s="121" t="s">
        <v>2759</v>
      </c>
      <c r="D1586" s="122"/>
      <c r="E1586" s="122">
        <v>9.7100000000000009</v>
      </c>
      <c r="F1586" s="122"/>
    </row>
    <row r="1587" spans="2:6" x14ac:dyDescent="0.2">
      <c r="B1587" s="120" t="s">
        <v>2760</v>
      </c>
      <c r="C1587" s="121" t="s">
        <v>2761</v>
      </c>
      <c r="D1587" s="122"/>
      <c r="E1587" s="122">
        <v>4.8</v>
      </c>
      <c r="F1587" s="122"/>
    </row>
    <row r="1588" spans="2:6" x14ac:dyDescent="0.2">
      <c r="B1588" s="120" t="s">
        <v>2762</v>
      </c>
      <c r="C1588" s="121" t="s">
        <v>2763</v>
      </c>
      <c r="D1588" s="122">
        <v>0.76</v>
      </c>
      <c r="E1588" s="122">
        <v>1.34</v>
      </c>
      <c r="F1588" s="122">
        <v>-8.7200000000000006</v>
      </c>
    </row>
    <row r="1589" spans="2:6" x14ac:dyDescent="0.2">
      <c r="B1589" s="120" t="s">
        <v>2764</v>
      </c>
      <c r="C1589" s="121" t="s">
        <v>2765</v>
      </c>
      <c r="D1589" s="122">
        <v>2.36</v>
      </c>
      <c r="E1589" s="122">
        <v>2.02</v>
      </c>
      <c r="F1589" s="122">
        <v>17.18</v>
      </c>
    </row>
    <row r="1590" spans="2:6" x14ac:dyDescent="0.2">
      <c r="B1590" s="120" t="s">
        <v>2766</v>
      </c>
      <c r="C1590" s="121" t="s">
        <v>2767</v>
      </c>
      <c r="D1590" s="122">
        <v>1.56</v>
      </c>
      <c r="E1590" s="122">
        <v>2.4900000000000002</v>
      </c>
      <c r="F1590" s="122">
        <v>18.39</v>
      </c>
    </row>
    <row r="1591" spans="2:6" x14ac:dyDescent="0.2">
      <c r="B1591" s="120" t="s">
        <v>2768</v>
      </c>
      <c r="C1591" s="121" t="s">
        <v>2769</v>
      </c>
      <c r="D1591" s="122"/>
      <c r="E1591" s="122"/>
      <c r="F1591" s="122"/>
    </row>
    <row r="1592" spans="2:6" x14ac:dyDescent="0.2">
      <c r="B1592" s="120" t="s">
        <v>2770</v>
      </c>
      <c r="C1592" s="121" t="s">
        <v>2771</v>
      </c>
      <c r="D1592" s="122">
        <v>4.9000000000000004</v>
      </c>
      <c r="E1592" s="122">
        <v>2.2799999999999998</v>
      </c>
      <c r="F1592" s="122">
        <v>4.18</v>
      </c>
    </row>
    <row r="1593" spans="2:6" x14ac:dyDescent="0.2">
      <c r="B1593" s="120" t="s">
        <v>2772</v>
      </c>
      <c r="C1593" s="121" t="s">
        <v>2773</v>
      </c>
      <c r="D1593" s="122">
        <v>0.8</v>
      </c>
      <c r="E1593" s="122">
        <v>1.03</v>
      </c>
      <c r="F1593" s="122">
        <v>-0.84</v>
      </c>
    </row>
    <row r="1594" spans="2:6" x14ac:dyDescent="0.2">
      <c r="B1594" s="120" t="s">
        <v>2774</v>
      </c>
      <c r="C1594" s="121" t="s">
        <v>2775</v>
      </c>
      <c r="D1594" s="122">
        <v>1.6</v>
      </c>
      <c r="E1594" s="122">
        <v>6.88</v>
      </c>
      <c r="F1594" s="122">
        <v>34.130000000000003</v>
      </c>
    </row>
    <row r="1595" spans="2:6" x14ac:dyDescent="0.2">
      <c r="B1595" s="120" t="s">
        <v>2776</v>
      </c>
      <c r="C1595" s="121" t="s">
        <v>2777</v>
      </c>
      <c r="D1595" s="122">
        <v>1.03</v>
      </c>
      <c r="E1595" s="122">
        <v>2.37</v>
      </c>
      <c r="F1595" s="122">
        <v>2.86</v>
      </c>
    </row>
    <row r="1596" spans="2:6" x14ac:dyDescent="0.2">
      <c r="B1596" s="120" t="s">
        <v>2778</v>
      </c>
      <c r="C1596" s="121" t="s">
        <v>2779</v>
      </c>
      <c r="D1596" s="122"/>
      <c r="E1596" s="122">
        <v>4.67</v>
      </c>
      <c r="F1596" s="122"/>
    </row>
    <row r="1597" spans="2:6" x14ac:dyDescent="0.2">
      <c r="B1597" s="120" t="s">
        <v>2780</v>
      </c>
      <c r="C1597" s="121" t="s">
        <v>2781</v>
      </c>
      <c r="D1597" s="122"/>
      <c r="E1597" s="122">
        <v>7.03</v>
      </c>
      <c r="F1597" s="122">
        <v>-56.05</v>
      </c>
    </row>
    <row r="1598" spans="2:6" x14ac:dyDescent="0.2">
      <c r="B1598" s="120" t="s">
        <v>2782</v>
      </c>
      <c r="C1598" s="121" t="s">
        <v>2783</v>
      </c>
      <c r="D1598" s="122">
        <v>0.87</v>
      </c>
      <c r="E1598" s="122">
        <v>3.61</v>
      </c>
      <c r="F1598" s="122">
        <v>23.15</v>
      </c>
    </row>
    <row r="1599" spans="2:6" x14ac:dyDescent="0.2">
      <c r="B1599" s="120" t="s">
        <v>2784</v>
      </c>
      <c r="C1599" s="121" t="s">
        <v>2785</v>
      </c>
      <c r="D1599" s="122">
        <v>3.73</v>
      </c>
      <c r="E1599" s="122">
        <v>7.65</v>
      </c>
      <c r="F1599" s="122">
        <v>22.89</v>
      </c>
    </row>
    <row r="1600" spans="2:6" x14ac:dyDescent="0.2">
      <c r="B1600" s="120" t="s">
        <v>2786</v>
      </c>
      <c r="C1600" s="121" t="s">
        <v>2787</v>
      </c>
      <c r="D1600" s="122">
        <v>1.18</v>
      </c>
      <c r="E1600" s="122">
        <v>0.53</v>
      </c>
      <c r="F1600" s="122">
        <v>7.27</v>
      </c>
    </row>
    <row r="1601" spans="2:6" x14ac:dyDescent="0.2">
      <c r="B1601" s="120" t="s">
        <v>2788</v>
      </c>
      <c r="C1601" s="121" t="s">
        <v>2789</v>
      </c>
      <c r="D1601" s="122">
        <v>4.91</v>
      </c>
      <c r="E1601" s="122">
        <v>4.72</v>
      </c>
      <c r="F1601" s="122">
        <v>15.39</v>
      </c>
    </row>
    <row r="1602" spans="2:6" x14ac:dyDescent="0.2">
      <c r="B1602" s="120" t="s">
        <v>2790</v>
      </c>
      <c r="C1602" s="121" t="s">
        <v>2791</v>
      </c>
      <c r="D1602" s="122"/>
      <c r="E1602" s="122"/>
      <c r="F1602" s="122"/>
    </row>
    <row r="1603" spans="2:6" x14ac:dyDescent="0.2">
      <c r="B1603" s="120" t="s">
        <v>2792</v>
      </c>
      <c r="C1603" s="121" t="s">
        <v>2793</v>
      </c>
      <c r="D1603" s="122">
        <v>2.89</v>
      </c>
      <c r="E1603" s="122">
        <v>4.9000000000000004</v>
      </c>
      <c r="F1603" s="122">
        <v>20.23</v>
      </c>
    </row>
    <row r="1604" spans="2:6" x14ac:dyDescent="0.2">
      <c r="B1604" s="120" t="s">
        <v>2794</v>
      </c>
      <c r="C1604" s="121" t="s">
        <v>2795</v>
      </c>
      <c r="D1604" s="122">
        <v>1.83</v>
      </c>
      <c r="E1604" s="122">
        <v>0.92</v>
      </c>
      <c r="F1604" s="122">
        <v>0.46</v>
      </c>
    </row>
    <row r="1605" spans="2:6" x14ac:dyDescent="0.2">
      <c r="B1605" s="120" t="s">
        <v>2796</v>
      </c>
      <c r="C1605" s="121" t="s">
        <v>2797</v>
      </c>
      <c r="D1605" s="122"/>
      <c r="E1605" s="122"/>
      <c r="F1605" s="122"/>
    </row>
    <row r="1606" spans="2:6" x14ac:dyDescent="0.2">
      <c r="B1606" s="120" t="s">
        <v>4497</v>
      </c>
      <c r="C1606" s="121" t="s">
        <v>4498</v>
      </c>
      <c r="D1606" s="122"/>
      <c r="E1606" s="122">
        <v>1.51</v>
      </c>
      <c r="F1606" s="122">
        <v>11.3</v>
      </c>
    </row>
    <row r="1607" spans="2:6" x14ac:dyDescent="0.2">
      <c r="B1607" s="120" t="s">
        <v>2798</v>
      </c>
      <c r="C1607" s="121" t="s">
        <v>2799</v>
      </c>
      <c r="D1607" s="122">
        <v>14.94</v>
      </c>
      <c r="E1607" s="122"/>
      <c r="F1607" s="122">
        <v>-4.12</v>
      </c>
    </row>
    <row r="1608" spans="2:6" x14ac:dyDescent="0.2">
      <c r="B1608" s="120" t="s">
        <v>2800</v>
      </c>
      <c r="C1608" s="121" t="s">
        <v>2801</v>
      </c>
      <c r="D1608" s="122">
        <v>1.28</v>
      </c>
      <c r="E1608" s="122">
        <v>2.63</v>
      </c>
      <c r="F1608" s="122">
        <v>23.05</v>
      </c>
    </row>
    <row r="1609" spans="2:6" x14ac:dyDescent="0.2">
      <c r="B1609" s="120" t="s">
        <v>4499</v>
      </c>
      <c r="C1609" s="121" t="s">
        <v>4500</v>
      </c>
      <c r="D1609" s="122"/>
      <c r="E1609" s="122">
        <v>1.84</v>
      </c>
      <c r="F1609" s="122"/>
    </row>
    <row r="1610" spans="2:6" x14ac:dyDescent="0.2">
      <c r="B1610" s="120" t="s">
        <v>4501</v>
      </c>
      <c r="C1610" s="121" t="s">
        <v>4502</v>
      </c>
      <c r="D1610" s="122">
        <v>1.67</v>
      </c>
      <c r="E1610" s="122"/>
      <c r="F1610" s="122">
        <v>9.93</v>
      </c>
    </row>
    <row r="1611" spans="2:6" x14ac:dyDescent="0.2">
      <c r="B1611" s="120" t="s">
        <v>4503</v>
      </c>
      <c r="C1611" s="121" t="s">
        <v>4504</v>
      </c>
      <c r="D1611" s="122"/>
      <c r="E1611" s="122"/>
      <c r="F1611" s="122"/>
    </row>
    <row r="1612" spans="2:6" x14ac:dyDescent="0.2">
      <c r="B1612" s="120" t="s">
        <v>2802</v>
      </c>
      <c r="C1612" s="121" t="s">
        <v>2803</v>
      </c>
      <c r="D1612" s="122">
        <v>3.52</v>
      </c>
      <c r="E1612" s="122">
        <v>1.41</v>
      </c>
      <c r="F1612" s="122">
        <v>13.61</v>
      </c>
    </row>
    <row r="1613" spans="2:6" x14ac:dyDescent="0.2">
      <c r="B1613" s="120" t="s">
        <v>2804</v>
      </c>
      <c r="C1613" s="121" t="s">
        <v>2805</v>
      </c>
      <c r="D1613" s="122">
        <v>6.64</v>
      </c>
      <c r="E1613" s="122">
        <v>1.25</v>
      </c>
      <c r="F1613" s="122">
        <v>0.67</v>
      </c>
    </row>
    <row r="1614" spans="2:6" x14ac:dyDescent="0.2">
      <c r="B1614" s="120" t="s">
        <v>4505</v>
      </c>
      <c r="C1614" s="121" t="s">
        <v>4506</v>
      </c>
      <c r="D1614" s="122">
        <v>1.92</v>
      </c>
      <c r="E1614" s="122">
        <v>1.34</v>
      </c>
      <c r="F1614" s="122">
        <v>22.06</v>
      </c>
    </row>
    <row r="1615" spans="2:6" x14ac:dyDescent="0.2">
      <c r="B1615" s="120" t="s">
        <v>2806</v>
      </c>
      <c r="C1615" s="121" t="s">
        <v>2807</v>
      </c>
      <c r="D1615" s="122">
        <v>1.89</v>
      </c>
      <c r="E1615" s="122">
        <v>1.51</v>
      </c>
      <c r="F1615" s="122">
        <v>16.02</v>
      </c>
    </row>
    <row r="1616" spans="2:6" x14ac:dyDescent="0.2">
      <c r="B1616" s="120" t="s">
        <v>2808</v>
      </c>
      <c r="C1616" s="121" t="s">
        <v>2809</v>
      </c>
      <c r="D1616" s="122">
        <v>4.1399999999999997</v>
      </c>
      <c r="E1616" s="122"/>
      <c r="F1616" s="122">
        <v>-125.91</v>
      </c>
    </row>
    <row r="1617" spans="2:6" x14ac:dyDescent="0.2">
      <c r="B1617" s="120" t="s">
        <v>2810</v>
      </c>
      <c r="C1617" s="121" t="s">
        <v>2811</v>
      </c>
      <c r="D1617" s="122">
        <v>1.18</v>
      </c>
      <c r="E1617" s="122">
        <v>1.22</v>
      </c>
      <c r="F1617" s="122">
        <v>13.29</v>
      </c>
    </row>
    <row r="1618" spans="2:6" x14ac:dyDescent="0.2">
      <c r="B1618" s="120" t="s">
        <v>2812</v>
      </c>
      <c r="C1618" s="121" t="s">
        <v>2813</v>
      </c>
      <c r="D1618" s="122"/>
      <c r="E1618" s="122"/>
      <c r="F1618" s="122"/>
    </row>
    <row r="1619" spans="2:6" x14ac:dyDescent="0.2">
      <c r="B1619" s="120" t="s">
        <v>2814</v>
      </c>
      <c r="C1619" s="121" t="s">
        <v>2815</v>
      </c>
      <c r="D1619" s="122">
        <v>3.81</v>
      </c>
      <c r="E1619" s="122">
        <v>3.93</v>
      </c>
      <c r="F1619" s="122">
        <v>21.75</v>
      </c>
    </row>
    <row r="1620" spans="2:6" x14ac:dyDescent="0.2">
      <c r="B1620" s="120" t="s">
        <v>2816</v>
      </c>
      <c r="C1620" s="121" t="s">
        <v>2817</v>
      </c>
      <c r="D1620" s="122">
        <v>0.85</v>
      </c>
      <c r="E1620" s="122">
        <v>0.32</v>
      </c>
      <c r="F1620" s="122">
        <v>6.38</v>
      </c>
    </row>
    <row r="1621" spans="2:6" x14ac:dyDescent="0.2">
      <c r="B1621" s="120" t="s">
        <v>2818</v>
      </c>
      <c r="C1621" s="121" t="s">
        <v>2819</v>
      </c>
      <c r="D1621" s="122">
        <v>5.25</v>
      </c>
      <c r="E1621" s="122">
        <v>3.08</v>
      </c>
      <c r="F1621" s="122">
        <v>20.52</v>
      </c>
    </row>
    <row r="1622" spans="2:6" x14ac:dyDescent="0.2">
      <c r="B1622" s="120" t="s">
        <v>4507</v>
      </c>
      <c r="C1622" s="121" t="s">
        <v>4508</v>
      </c>
      <c r="D1622" s="122"/>
      <c r="E1622" s="122">
        <v>8.64</v>
      </c>
      <c r="F1622" s="122"/>
    </row>
    <row r="1623" spans="2:6" x14ac:dyDescent="0.2">
      <c r="B1623" s="120" t="s">
        <v>2820</v>
      </c>
      <c r="C1623" s="121" t="s">
        <v>2821</v>
      </c>
      <c r="D1623" s="122">
        <v>2.67</v>
      </c>
      <c r="E1623" s="122">
        <v>4.91</v>
      </c>
      <c r="F1623" s="122">
        <v>20.55</v>
      </c>
    </row>
    <row r="1624" spans="2:6" x14ac:dyDescent="0.2">
      <c r="B1624" s="120" t="s">
        <v>2822</v>
      </c>
      <c r="C1624" s="121" t="s">
        <v>2823</v>
      </c>
      <c r="D1624" s="122">
        <v>2.21</v>
      </c>
      <c r="E1624" s="122">
        <v>3.06</v>
      </c>
      <c r="F1624" s="122">
        <v>18.12</v>
      </c>
    </row>
    <row r="1625" spans="2:6" x14ac:dyDescent="0.2">
      <c r="B1625" s="120" t="s">
        <v>2824</v>
      </c>
      <c r="C1625" s="121" t="s">
        <v>2825</v>
      </c>
      <c r="D1625" s="122">
        <v>0.52</v>
      </c>
      <c r="E1625" s="122">
        <v>1.19</v>
      </c>
      <c r="F1625" s="122">
        <v>5.71</v>
      </c>
    </row>
    <row r="1626" spans="2:6" x14ac:dyDescent="0.2">
      <c r="B1626" s="120" t="s">
        <v>2826</v>
      </c>
      <c r="C1626" s="121" t="s">
        <v>2827</v>
      </c>
      <c r="D1626" s="122">
        <v>1.81</v>
      </c>
      <c r="E1626" s="122">
        <v>3.14</v>
      </c>
      <c r="F1626" s="122">
        <v>22.89</v>
      </c>
    </row>
    <row r="1627" spans="2:6" x14ac:dyDescent="0.2">
      <c r="B1627" s="120" t="s">
        <v>4509</v>
      </c>
      <c r="C1627" s="121" t="s">
        <v>4510</v>
      </c>
      <c r="D1627" s="122"/>
      <c r="E1627" s="122"/>
      <c r="F1627" s="122"/>
    </row>
    <row r="1628" spans="2:6" x14ac:dyDescent="0.2">
      <c r="B1628" s="120" t="s">
        <v>4511</v>
      </c>
      <c r="C1628" s="121" t="s">
        <v>4512</v>
      </c>
      <c r="D1628" s="122"/>
      <c r="E1628" s="122"/>
      <c r="F1628" s="122"/>
    </row>
    <row r="1629" spans="2:6" x14ac:dyDescent="0.2">
      <c r="B1629" s="120" t="s">
        <v>2828</v>
      </c>
      <c r="C1629" s="121" t="s">
        <v>2829</v>
      </c>
      <c r="D1629" s="122">
        <v>8.27</v>
      </c>
      <c r="E1629" s="122">
        <v>7.33</v>
      </c>
      <c r="F1629" s="122">
        <v>-158.33000000000001</v>
      </c>
    </row>
    <row r="1630" spans="2:6" x14ac:dyDescent="0.2">
      <c r="B1630" s="120" t="s">
        <v>4513</v>
      </c>
      <c r="C1630" s="121" t="s">
        <v>4514</v>
      </c>
      <c r="D1630" s="122">
        <v>0.71</v>
      </c>
      <c r="E1630" s="122">
        <v>1.39</v>
      </c>
      <c r="F1630" s="122">
        <v>5.35</v>
      </c>
    </row>
    <row r="1631" spans="2:6" x14ac:dyDescent="0.2">
      <c r="B1631" s="120" t="s">
        <v>2830</v>
      </c>
      <c r="C1631" s="121" t="s">
        <v>2831</v>
      </c>
      <c r="D1631" s="122">
        <v>3.91</v>
      </c>
      <c r="E1631" s="122">
        <v>6.25</v>
      </c>
      <c r="F1631" s="122">
        <v>17.809999999999999</v>
      </c>
    </row>
    <row r="1632" spans="2:6" x14ac:dyDescent="0.2">
      <c r="B1632" s="120" t="s">
        <v>2832</v>
      </c>
      <c r="C1632" s="121" t="s">
        <v>2833</v>
      </c>
      <c r="D1632" s="122">
        <v>1.35</v>
      </c>
      <c r="E1632" s="122"/>
      <c r="F1632" s="122">
        <v>-121.14</v>
      </c>
    </row>
    <row r="1633" spans="2:6" x14ac:dyDescent="0.2">
      <c r="B1633" s="120" t="s">
        <v>2834</v>
      </c>
      <c r="C1633" s="121" t="s">
        <v>2835</v>
      </c>
      <c r="D1633" s="122"/>
      <c r="E1633" s="122">
        <v>1.1200000000000001</v>
      </c>
      <c r="F1633" s="122"/>
    </row>
    <row r="1634" spans="2:6" x14ac:dyDescent="0.2">
      <c r="B1634" s="120" t="s">
        <v>2836</v>
      </c>
      <c r="C1634" s="121" t="s">
        <v>2837</v>
      </c>
      <c r="D1634" s="122">
        <v>5.5</v>
      </c>
      <c r="E1634" s="122">
        <v>5.47</v>
      </c>
      <c r="F1634" s="122">
        <v>29.86</v>
      </c>
    </row>
    <row r="1635" spans="2:6" x14ac:dyDescent="0.2">
      <c r="B1635" s="129" t="s">
        <v>2838</v>
      </c>
      <c r="C1635" s="122" t="s">
        <v>2839</v>
      </c>
      <c r="D1635" s="122">
        <v>0.51</v>
      </c>
      <c r="E1635" s="122"/>
      <c r="F1635" s="122">
        <v>10.25</v>
      </c>
    </row>
    <row r="1636" spans="2:6" x14ac:dyDescent="0.2">
      <c r="B1636" s="129" t="s">
        <v>4515</v>
      </c>
      <c r="C1636" s="122" t="s">
        <v>4516</v>
      </c>
      <c r="D1636" s="122">
        <v>0.77</v>
      </c>
      <c r="E1636" s="122">
        <v>1.2</v>
      </c>
      <c r="F1636" s="122">
        <v>15.12</v>
      </c>
    </row>
    <row r="1637" spans="2:6" x14ac:dyDescent="0.2">
      <c r="B1637" s="129" t="s">
        <v>2840</v>
      </c>
      <c r="C1637" s="122" t="s">
        <v>2841</v>
      </c>
      <c r="D1637" s="122"/>
      <c r="E1637" s="122">
        <v>2.36</v>
      </c>
      <c r="F1637" s="122"/>
    </row>
    <row r="1638" spans="2:6" x14ac:dyDescent="0.2">
      <c r="B1638" s="129" t="s">
        <v>2842</v>
      </c>
      <c r="C1638" s="122" t="s">
        <v>2843</v>
      </c>
      <c r="D1638" s="122">
        <v>3.22</v>
      </c>
      <c r="E1638" s="122">
        <v>3.28</v>
      </c>
      <c r="F1638" s="122">
        <v>11.17</v>
      </c>
    </row>
    <row r="1639" spans="2:6" x14ac:dyDescent="0.2">
      <c r="B1639" s="129" t="s">
        <v>2844</v>
      </c>
      <c r="C1639" s="122" t="s">
        <v>2845</v>
      </c>
      <c r="D1639" s="122">
        <v>1.28</v>
      </c>
      <c r="E1639" s="122">
        <v>1.28</v>
      </c>
      <c r="F1639" s="122">
        <v>14.73</v>
      </c>
    </row>
    <row r="1640" spans="2:6" x14ac:dyDescent="0.2">
      <c r="B1640" s="129" t="s">
        <v>4517</v>
      </c>
      <c r="C1640" s="122" t="s">
        <v>4518</v>
      </c>
      <c r="D1640" s="122">
        <v>1.07</v>
      </c>
      <c r="E1640" s="122">
        <v>1.1200000000000001</v>
      </c>
      <c r="F1640" s="122">
        <v>17.93</v>
      </c>
    </row>
    <row r="1641" spans="2:6" x14ac:dyDescent="0.2">
      <c r="B1641" s="129" t="s">
        <v>4519</v>
      </c>
      <c r="C1641" s="122" t="s">
        <v>4520</v>
      </c>
      <c r="D1641" s="122">
        <v>2.92</v>
      </c>
      <c r="E1641" s="122">
        <v>1.7</v>
      </c>
      <c r="F1641" s="122">
        <v>9.58</v>
      </c>
    </row>
    <row r="1642" spans="2:6" x14ac:dyDescent="0.2">
      <c r="B1642" s="129" t="s">
        <v>4521</v>
      </c>
      <c r="C1642" s="122" t="s">
        <v>4522</v>
      </c>
      <c r="D1642" s="122"/>
      <c r="E1642" s="122"/>
      <c r="F1642" s="122"/>
    </row>
    <row r="1643" spans="2:6" x14ac:dyDescent="0.2">
      <c r="B1643" s="129" t="s">
        <v>2846</v>
      </c>
      <c r="C1643" s="122" t="s">
        <v>2847</v>
      </c>
      <c r="D1643" s="122">
        <v>15.8</v>
      </c>
      <c r="E1643" s="122">
        <v>9.41</v>
      </c>
      <c r="F1643" s="122">
        <v>-17.16</v>
      </c>
    </row>
    <row r="1644" spans="2:6" x14ac:dyDescent="0.2">
      <c r="B1644" s="129" t="s">
        <v>2848</v>
      </c>
      <c r="C1644" s="122" t="s">
        <v>2849</v>
      </c>
      <c r="D1644" s="122"/>
      <c r="E1644" s="122">
        <v>5.21</v>
      </c>
      <c r="F1644" s="122"/>
    </row>
    <row r="1645" spans="2:6" x14ac:dyDescent="0.2">
      <c r="B1645" s="129" t="s">
        <v>2850</v>
      </c>
      <c r="C1645" s="122" t="s">
        <v>2851</v>
      </c>
      <c r="D1645" s="122"/>
      <c r="E1645" s="122">
        <v>13.72</v>
      </c>
      <c r="F1645" s="122"/>
    </row>
    <row r="1646" spans="2:6" x14ac:dyDescent="0.2">
      <c r="B1646" s="129" t="s">
        <v>4523</v>
      </c>
      <c r="C1646" s="122" t="s">
        <v>4524</v>
      </c>
      <c r="D1646" s="122"/>
      <c r="E1646" s="122"/>
      <c r="F1646" s="122"/>
    </row>
    <row r="1647" spans="2:6" x14ac:dyDescent="0.2">
      <c r="B1647" s="129" t="s">
        <v>2852</v>
      </c>
      <c r="C1647" s="122" t="s">
        <v>2853</v>
      </c>
      <c r="D1647" s="122">
        <v>7.35</v>
      </c>
      <c r="E1647" s="122">
        <v>12.93</v>
      </c>
      <c r="F1647" s="122">
        <v>9.01</v>
      </c>
    </row>
    <row r="1648" spans="2:6" x14ac:dyDescent="0.2">
      <c r="B1648" s="129" t="s">
        <v>4525</v>
      </c>
      <c r="C1648" s="122" t="s">
        <v>4526</v>
      </c>
      <c r="D1648" s="122"/>
      <c r="E1648" s="122">
        <v>0.56000000000000005</v>
      </c>
      <c r="F1648" s="122"/>
    </row>
    <row r="1649" spans="2:6" x14ac:dyDescent="0.2">
      <c r="B1649" s="129" t="s">
        <v>2854</v>
      </c>
      <c r="C1649" s="122" t="s">
        <v>2855</v>
      </c>
      <c r="D1649" s="122">
        <v>0.28000000000000003</v>
      </c>
      <c r="E1649" s="122">
        <v>2.5099999999999998</v>
      </c>
      <c r="F1649" s="122">
        <v>-159.01</v>
      </c>
    </row>
    <row r="1650" spans="2:6" x14ac:dyDescent="0.2">
      <c r="B1650" s="129" t="s">
        <v>2856</v>
      </c>
      <c r="C1650" s="122" t="s">
        <v>2857</v>
      </c>
      <c r="D1650" s="122">
        <v>3.25</v>
      </c>
      <c r="E1650" s="122"/>
      <c r="F1650" s="122">
        <v>13.55</v>
      </c>
    </row>
    <row r="1651" spans="2:6" x14ac:dyDescent="0.2">
      <c r="B1651" s="129" t="s">
        <v>2858</v>
      </c>
      <c r="C1651" s="122" t="s">
        <v>2859</v>
      </c>
      <c r="D1651" s="122">
        <v>0.71</v>
      </c>
      <c r="E1651" s="122">
        <v>0.46</v>
      </c>
      <c r="F1651" s="122">
        <v>12.35</v>
      </c>
    </row>
    <row r="1652" spans="2:6" x14ac:dyDescent="0.2">
      <c r="B1652" s="129" t="s">
        <v>2860</v>
      </c>
      <c r="C1652" s="122" t="s">
        <v>2861</v>
      </c>
      <c r="D1652" s="122">
        <v>0.21</v>
      </c>
      <c r="E1652" s="122">
        <v>0.76</v>
      </c>
      <c r="F1652" s="122">
        <v>9.68</v>
      </c>
    </row>
    <row r="1653" spans="2:6" x14ac:dyDescent="0.2">
      <c r="B1653" s="129" t="s">
        <v>2862</v>
      </c>
      <c r="C1653" s="122" t="s">
        <v>2863</v>
      </c>
      <c r="D1653" s="122">
        <v>8.7200000000000006</v>
      </c>
      <c r="E1653" s="122"/>
      <c r="F1653" s="122">
        <v>-137.43</v>
      </c>
    </row>
    <row r="1654" spans="2:6" x14ac:dyDescent="0.2">
      <c r="B1654" s="129" t="s">
        <v>4527</v>
      </c>
      <c r="C1654" s="122" t="s">
        <v>4528</v>
      </c>
      <c r="D1654" s="122"/>
      <c r="E1654" s="122"/>
      <c r="F1654" s="122"/>
    </row>
    <row r="1655" spans="2:6" x14ac:dyDescent="0.2">
      <c r="B1655" s="129" t="s">
        <v>4529</v>
      </c>
      <c r="C1655" s="122" t="s">
        <v>4530</v>
      </c>
      <c r="D1655" s="122">
        <v>0.47</v>
      </c>
      <c r="E1655" s="122">
        <v>1.1100000000000001</v>
      </c>
      <c r="F1655" s="122">
        <v>13.3</v>
      </c>
    </row>
    <row r="1656" spans="2:6" x14ac:dyDescent="0.2">
      <c r="B1656" s="129" t="s">
        <v>2864</v>
      </c>
      <c r="C1656" s="122" t="s">
        <v>2865</v>
      </c>
      <c r="D1656" s="122"/>
      <c r="E1656" s="122"/>
      <c r="F1656" s="122"/>
    </row>
    <row r="1657" spans="2:6" x14ac:dyDescent="0.2">
      <c r="B1657" s="129" t="s">
        <v>2866</v>
      </c>
      <c r="C1657" s="122" t="s">
        <v>2867</v>
      </c>
      <c r="D1657" s="122">
        <v>2.76</v>
      </c>
      <c r="E1657" s="122">
        <v>1.25</v>
      </c>
      <c r="F1657" s="122">
        <v>8.9700000000000006</v>
      </c>
    </row>
    <row r="1658" spans="2:6" x14ac:dyDescent="0.2">
      <c r="B1658" s="129" t="s">
        <v>2868</v>
      </c>
      <c r="C1658" s="122" t="s">
        <v>2869</v>
      </c>
      <c r="D1658" s="122">
        <v>27.43</v>
      </c>
      <c r="E1658" s="122">
        <v>16.45</v>
      </c>
      <c r="F1658" s="122">
        <v>-3.85</v>
      </c>
    </row>
    <row r="1659" spans="2:6" x14ac:dyDescent="0.2">
      <c r="B1659" s="129" t="s">
        <v>4531</v>
      </c>
      <c r="C1659" s="122" t="s">
        <v>4532</v>
      </c>
      <c r="D1659" s="122"/>
      <c r="E1659" s="122"/>
      <c r="F1659" s="122"/>
    </row>
    <row r="1660" spans="2:6" x14ac:dyDescent="0.2">
      <c r="B1660" s="129" t="s">
        <v>2870</v>
      </c>
      <c r="C1660" s="122" t="s">
        <v>2871</v>
      </c>
      <c r="D1660" s="122">
        <v>2.87</v>
      </c>
      <c r="E1660" s="122">
        <v>13.55</v>
      </c>
      <c r="F1660" s="122">
        <v>48.92</v>
      </c>
    </row>
    <row r="1661" spans="2:6" x14ac:dyDescent="0.2">
      <c r="B1661" s="129" t="s">
        <v>2872</v>
      </c>
      <c r="C1661" s="122" t="s">
        <v>2873</v>
      </c>
      <c r="D1661" s="122">
        <v>3.59</v>
      </c>
      <c r="E1661" s="122">
        <v>8.69</v>
      </c>
      <c r="F1661" s="122">
        <v>41.79</v>
      </c>
    </row>
    <row r="1662" spans="2:6" x14ac:dyDescent="0.2">
      <c r="B1662" s="129" t="s">
        <v>4533</v>
      </c>
      <c r="C1662" s="122" t="s">
        <v>4534</v>
      </c>
      <c r="D1662" s="122"/>
      <c r="E1662" s="122"/>
      <c r="F1662" s="122"/>
    </row>
    <row r="1663" spans="2:6" x14ac:dyDescent="0.2">
      <c r="B1663" s="129" t="s">
        <v>4535</v>
      </c>
      <c r="C1663" s="122" t="s">
        <v>4536</v>
      </c>
      <c r="D1663" s="122"/>
      <c r="E1663" s="122"/>
      <c r="F1663" s="122"/>
    </row>
    <row r="1664" spans="2:6" x14ac:dyDescent="0.2">
      <c r="B1664" s="129" t="s">
        <v>4537</v>
      </c>
      <c r="C1664" s="122" t="s">
        <v>4538</v>
      </c>
      <c r="D1664" s="122"/>
      <c r="E1664" s="122">
        <v>0.49</v>
      </c>
      <c r="F1664" s="122"/>
    </row>
    <row r="1665" spans="2:6" x14ac:dyDescent="0.2">
      <c r="B1665" s="129" t="s">
        <v>2874</v>
      </c>
      <c r="C1665" s="122" t="s">
        <v>2875</v>
      </c>
      <c r="D1665" s="122">
        <v>0.7</v>
      </c>
      <c r="E1665" s="122">
        <v>1.45</v>
      </c>
      <c r="F1665" s="122">
        <v>40.909999999999997</v>
      </c>
    </row>
    <row r="1666" spans="2:6" x14ac:dyDescent="0.2">
      <c r="B1666" s="129" t="s">
        <v>2876</v>
      </c>
      <c r="C1666" s="122" t="s">
        <v>2877</v>
      </c>
      <c r="D1666" s="122">
        <v>0.94</v>
      </c>
      <c r="E1666" s="122">
        <v>1.71</v>
      </c>
      <c r="F1666" s="122">
        <v>9.15</v>
      </c>
    </row>
    <row r="1667" spans="2:6" x14ac:dyDescent="0.2">
      <c r="B1667" s="129" t="s">
        <v>2878</v>
      </c>
      <c r="C1667" s="122" t="s">
        <v>2879</v>
      </c>
      <c r="D1667" s="122">
        <v>1.63</v>
      </c>
      <c r="E1667" s="122">
        <v>2.14</v>
      </c>
      <c r="F1667" s="122">
        <v>13.53</v>
      </c>
    </row>
    <row r="1668" spans="2:6" x14ac:dyDescent="0.2">
      <c r="B1668" s="129" t="s">
        <v>2880</v>
      </c>
      <c r="C1668" s="122" t="s">
        <v>2881</v>
      </c>
      <c r="D1668" s="122">
        <v>1.42</v>
      </c>
      <c r="E1668" s="122">
        <v>0.76</v>
      </c>
      <c r="F1668" s="122">
        <v>3.8</v>
      </c>
    </row>
    <row r="1669" spans="2:6" x14ac:dyDescent="0.2">
      <c r="B1669" s="129" t="s">
        <v>2882</v>
      </c>
      <c r="C1669" s="122" t="s">
        <v>2883</v>
      </c>
      <c r="D1669" s="122">
        <v>4.17</v>
      </c>
      <c r="E1669" s="122"/>
      <c r="F1669" s="122">
        <v>-117.72</v>
      </c>
    </row>
    <row r="1670" spans="2:6" x14ac:dyDescent="0.2">
      <c r="B1670" s="129" t="s">
        <v>2884</v>
      </c>
      <c r="C1670" s="122" t="s">
        <v>2885</v>
      </c>
      <c r="D1670" s="122">
        <v>1.38</v>
      </c>
      <c r="E1670" s="122">
        <v>8.86</v>
      </c>
      <c r="F1670" s="122">
        <v>22.24</v>
      </c>
    </row>
    <row r="1671" spans="2:6" x14ac:dyDescent="0.2">
      <c r="B1671" s="129" t="s">
        <v>2886</v>
      </c>
      <c r="C1671" s="122" t="s">
        <v>2887</v>
      </c>
      <c r="D1671" s="122">
        <v>3.48</v>
      </c>
      <c r="E1671" s="122">
        <v>2</v>
      </c>
      <c r="F1671" s="122">
        <v>21.44</v>
      </c>
    </row>
    <row r="1672" spans="2:6" x14ac:dyDescent="0.2">
      <c r="B1672" s="129" t="s">
        <v>2888</v>
      </c>
      <c r="C1672" s="122" t="s">
        <v>2889</v>
      </c>
      <c r="D1672" s="122">
        <v>2.95</v>
      </c>
      <c r="E1672" s="122"/>
      <c r="F1672" s="122">
        <v>-41.03</v>
      </c>
    </row>
    <row r="1673" spans="2:6" x14ac:dyDescent="0.2">
      <c r="B1673" s="129" t="s">
        <v>2892</v>
      </c>
      <c r="C1673" s="122" t="s">
        <v>2893</v>
      </c>
      <c r="D1673" s="122">
        <v>1.59</v>
      </c>
      <c r="E1673" s="122">
        <v>1.54</v>
      </c>
      <c r="F1673" s="122">
        <v>11.49</v>
      </c>
    </row>
    <row r="1674" spans="2:6" x14ac:dyDescent="0.2">
      <c r="B1674" s="129" t="s">
        <v>4539</v>
      </c>
      <c r="C1674" s="122" t="s">
        <v>4540</v>
      </c>
      <c r="D1674" s="122"/>
      <c r="E1674" s="122"/>
      <c r="F1674" s="122"/>
    </row>
    <row r="1675" spans="2:6" x14ac:dyDescent="0.2">
      <c r="B1675" s="129" t="s">
        <v>4541</v>
      </c>
      <c r="C1675" s="122" t="s">
        <v>4542</v>
      </c>
      <c r="D1675" s="122">
        <v>2.46</v>
      </c>
      <c r="E1675" s="122">
        <v>2.12</v>
      </c>
      <c r="F1675" s="122">
        <v>12.54</v>
      </c>
    </row>
    <row r="1676" spans="2:6" x14ac:dyDescent="0.2">
      <c r="B1676" s="129" t="s">
        <v>2894</v>
      </c>
      <c r="C1676" s="122" t="s">
        <v>2895</v>
      </c>
      <c r="D1676" s="122">
        <v>0.83</v>
      </c>
      <c r="E1676" s="122">
        <v>2.06</v>
      </c>
      <c r="F1676" s="122">
        <v>19.079999999999998</v>
      </c>
    </row>
    <row r="1677" spans="2:6" x14ac:dyDescent="0.2">
      <c r="B1677" s="129" t="s">
        <v>4543</v>
      </c>
      <c r="C1677" s="122" t="s">
        <v>4544</v>
      </c>
      <c r="D1677" s="122">
        <v>0.63</v>
      </c>
      <c r="E1677" s="122">
        <v>1.25</v>
      </c>
      <c r="F1677" s="122">
        <v>13.02</v>
      </c>
    </row>
    <row r="1678" spans="2:6" x14ac:dyDescent="0.2">
      <c r="B1678" s="129" t="s">
        <v>2896</v>
      </c>
      <c r="C1678" s="122" t="s">
        <v>2897</v>
      </c>
      <c r="D1678" s="122">
        <v>0.64</v>
      </c>
      <c r="E1678" s="122">
        <v>0.71</v>
      </c>
      <c r="F1678" s="122">
        <v>15.02</v>
      </c>
    </row>
    <row r="1679" spans="2:6" x14ac:dyDescent="0.2">
      <c r="B1679" s="129" t="s">
        <v>2898</v>
      </c>
      <c r="C1679" s="122" t="s">
        <v>2899</v>
      </c>
      <c r="D1679" s="122">
        <v>1.17</v>
      </c>
      <c r="E1679" s="122">
        <v>2.35</v>
      </c>
      <c r="F1679" s="122">
        <v>14.59</v>
      </c>
    </row>
    <row r="1680" spans="2:6" x14ac:dyDescent="0.2">
      <c r="B1680" s="129" t="s">
        <v>2900</v>
      </c>
      <c r="C1680" s="122" t="s">
        <v>2901</v>
      </c>
      <c r="D1680" s="122">
        <v>0.97</v>
      </c>
      <c r="E1680" s="122">
        <v>1.46</v>
      </c>
      <c r="F1680" s="122">
        <v>15.47</v>
      </c>
    </row>
    <row r="1681" spans="2:6" x14ac:dyDescent="0.2">
      <c r="B1681" s="129" t="s">
        <v>2902</v>
      </c>
      <c r="C1681" s="122" t="s">
        <v>2903</v>
      </c>
      <c r="D1681" s="122">
        <v>5.77</v>
      </c>
      <c r="E1681" s="122">
        <v>4.6100000000000003</v>
      </c>
      <c r="F1681" s="122">
        <v>9.9700000000000006</v>
      </c>
    </row>
    <row r="1682" spans="2:6" x14ac:dyDescent="0.2">
      <c r="B1682" s="129" t="s">
        <v>2904</v>
      </c>
      <c r="C1682" s="122" t="s">
        <v>2905</v>
      </c>
      <c r="D1682" s="122">
        <v>1.57</v>
      </c>
      <c r="E1682" s="122">
        <v>1.42</v>
      </c>
      <c r="F1682" s="122">
        <v>5.62</v>
      </c>
    </row>
    <row r="1683" spans="2:6" x14ac:dyDescent="0.2">
      <c r="B1683" s="129" t="s">
        <v>2906</v>
      </c>
      <c r="C1683" s="122" t="s">
        <v>2907</v>
      </c>
      <c r="D1683" s="122">
        <v>0.98</v>
      </c>
      <c r="E1683" s="122">
        <v>1.58</v>
      </c>
      <c r="F1683" s="122">
        <v>13.37</v>
      </c>
    </row>
    <row r="1684" spans="2:6" x14ac:dyDescent="0.2">
      <c r="B1684" s="129" t="s">
        <v>2908</v>
      </c>
      <c r="C1684" s="122" t="s">
        <v>2909</v>
      </c>
      <c r="D1684" s="122"/>
      <c r="E1684" s="122">
        <v>0.89</v>
      </c>
      <c r="F1684" s="122"/>
    </row>
    <row r="1685" spans="2:6" x14ac:dyDescent="0.2">
      <c r="B1685" s="129" t="s">
        <v>2910</v>
      </c>
      <c r="C1685" s="122" t="s">
        <v>2911</v>
      </c>
      <c r="D1685" s="122">
        <v>5.4</v>
      </c>
      <c r="E1685" s="122">
        <v>1.1299999999999999</v>
      </c>
      <c r="F1685" s="122">
        <v>3.99</v>
      </c>
    </row>
    <row r="1686" spans="2:6" x14ac:dyDescent="0.2">
      <c r="B1686" s="129" t="s">
        <v>2912</v>
      </c>
      <c r="C1686" s="122" t="s">
        <v>2913</v>
      </c>
      <c r="D1686" s="122">
        <v>0.73</v>
      </c>
      <c r="E1686" s="122">
        <v>3.53</v>
      </c>
      <c r="F1686" s="122">
        <v>26.45</v>
      </c>
    </row>
    <row r="1687" spans="2:6" x14ac:dyDescent="0.2">
      <c r="B1687" s="129" t="s">
        <v>2914</v>
      </c>
      <c r="C1687" s="122" t="s">
        <v>2915</v>
      </c>
      <c r="D1687" s="122">
        <v>1.92</v>
      </c>
      <c r="E1687" s="122">
        <v>1.52</v>
      </c>
      <c r="F1687" s="122">
        <v>20.440000000000001</v>
      </c>
    </row>
    <row r="1688" spans="2:6" x14ac:dyDescent="0.2">
      <c r="B1688" s="129" t="s">
        <v>4545</v>
      </c>
      <c r="C1688" s="122" t="s">
        <v>4546</v>
      </c>
      <c r="D1688" s="122"/>
      <c r="E1688" s="122"/>
      <c r="F1688" s="122"/>
    </row>
    <row r="1689" spans="2:6" x14ac:dyDescent="0.2">
      <c r="B1689" s="129" t="s">
        <v>2916</v>
      </c>
      <c r="C1689" s="122" t="s">
        <v>2917</v>
      </c>
      <c r="D1689" s="122">
        <v>19.37</v>
      </c>
      <c r="E1689" s="122">
        <v>7.93</v>
      </c>
      <c r="F1689" s="122">
        <v>-24.74</v>
      </c>
    </row>
    <row r="1690" spans="2:6" x14ac:dyDescent="0.2">
      <c r="B1690" s="129" t="s">
        <v>2918</v>
      </c>
      <c r="C1690" s="122" t="s">
        <v>2919</v>
      </c>
      <c r="D1690" s="122">
        <v>5.55</v>
      </c>
      <c r="E1690" s="122">
        <v>2.48</v>
      </c>
      <c r="F1690" s="122">
        <v>9.51</v>
      </c>
    </row>
    <row r="1691" spans="2:6" x14ac:dyDescent="0.2">
      <c r="B1691" s="129" t="s">
        <v>2920</v>
      </c>
      <c r="C1691" s="122" t="s">
        <v>2921</v>
      </c>
      <c r="D1691" s="122">
        <v>0.95</v>
      </c>
      <c r="E1691" s="122">
        <v>0.47</v>
      </c>
      <c r="F1691" s="122">
        <v>6.23</v>
      </c>
    </row>
    <row r="1692" spans="2:6" x14ac:dyDescent="0.2">
      <c r="B1692" s="129" t="s">
        <v>2922</v>
      </c>
      <c r="C1692" s="122" t="s">
        <v>2923</v>
      </c>
      <c r="D1692" s="122"/>
      <c r="E1692" s="122">
        <v>2.13</v>
      </c>
      <c r="F1692" s="122"/>
    </row>
    <row r="1693" spans="2:6" x14ac:dyDescent="0.2">
      <c r="B1693" s="129" t="s">
        <v>2924</v>
      </c>
      <c r="C1693" s="122" t="s">
        <v>2925</v>
      </c>
      <c r="D1693" s="122">
        <v>1.8</v>
      </c>
      <c r="E1693" s="122">
        <v>6.9</v>
      </c>
      <c r="F1693" s="122">
        <v>51.15</v>
      </c>
    </row>
    <row r="1694" spans="2:6" x14ac:dyDescent="0.2">
      <c r="B1694" s="129" t="s">
        <v>4547</v>
      </c>
      <c r="C1694" s="122" t="s">
        <v>4548</v>
      </c>
      <c r="D1694" s="122">
        <v>0.4</v>
      </c>
      <c r="E1694" s="122">
        <v>0.83</v>
      </c>
      <c r="F1694" s="122">
        <v>4.82</v>
      </c>
    </row>
    <row r="1695" spans="2:6" x14ac:dyDescent="0.2">
      <c r="B1695" s="129" t="s">
        <v>2926</v>
      </c>
      <c r="C1695" s="122" t="s">
        <v>2927</v>
      </c>
      <c r="D1695" s="122"/>
      <c r="E1695" s="122">
        <v>2.91</v>
      </c>
      <c r="F1695" s="122"/>
    </row>
    <row r="1696" spans="2:6" x14ac:dyDescent="0.2">
      <c r="B1696" s="129" t="s">
        <v>2928</v>
      </c>
      <c r="C1696" s="122" t="s">
        <v>2929</v>
      </c>
      <c r="D1696" s="122">
        <v>2.19</v>
      </c>
      <c r="E1696" s="122">
        <v>0.71</v>
      </c>
      <c r="F1696" s="122">
        <v>0.64</v>
      </c>
    </row>
    <row r="1697" spans="2:6" x14ac:dyDescent="0.2">
      <c r="B1697" s="129" t="s">
        <v>4549</v>
      </c>
      <c r="C1697" s="122" t="s">
        <v>4550</v>
      </c>
      <c r="D1697" s="122">
        <v>4.37</v>
      </c>
      <c r="E1697" s="122"/>
      <c r="F1697" s="122"/>
    </row>
    <row r="1698" spans="2:6" x14ac:dyDescent="0.2">
      <c r="B1698" s="129" t="s">
        <v>4551</v>
      </c>
      <c r="C1698" s="122" t="s">
        <v>4552</v>
      </c>
      <c r="D1698" s="122">
        <v>0.48</v>
      </c>
      <c r="E1698" s="122"/>
      <c r="F1698" s="122">
        <v>7.6</v>
      </c>
    </row>
    <row r="1699" spans="2:6" x14ac:dyDescent="0.2">
      <c r="B1699" s="129" t="s">
        <v>2930</v>
      </c>
      <c r="C1699" s="122" t="s">
        <v>2931</v>
      </c>
      <c r="D1699" s="122">
        <v>5.16</v>
      </c>
      <c r="E1699" s="122">
        <v>4.5</v>
      </c>
      <c r="F1699" s="122">
        <v>12.91</v>
      </c>
    </row>
    <row r="1700" spans="2:6" x14ac:dyDescent="0.2">
      <c r="B1700" s="129" t="s">
        <v>2932</v>
      </c>
      <c r="C1700" s="122" t="s">
        <v>2933</v>
      </c>
      <c r="D1700" s="122">
        <v>2.31</v>
      </c>
      <c r="E1700" s="122">
        <v>2.6</v>
      </c>
      <c r="F1700" s="122">
        <v>21.4</v>
      </c>
    </row>
    <row r="1701" spans="2:6" x14ac:dyDescent="0.2">
      <c r="B1701" s="129" t="s">
        <v>2934</v>
      </c>
      <c r="C1701" s="122" t="s">
        <v>2935</v>
      </c>
      <c r="D1701" s="122">
        <v>16.84</v>
      </c>
      <c r="E1701" s="122">
        <v>11.05</v>
      </c>
      <c r="F1701" s="122">
        <v>-46.46</v>
      </c>
    </row>
    <row r="1702" spans="2:6" x14ac:dyDescent="0.2">
      <c r="B1702" s="129" t="s">
        <v>2936</v>
      </c>
      <c r="C1702" s="122" t="s">
        <v>2937</v>
      </c>
      <c r="D1702" s="122">
        <v>0.77</v>
      </c>
      <c r="E1702" s="122">
        <v>1.76</v>
      </c>
      <c r="F1702" s="122">
        <v>11.94</v>
      </c>
    </row>
    <row r="1703" spans="2:6" x14ac:dyDescent="0.2">
      <c r="B1703" s="129" t="s">
        <v>2938</v>
      </c>
      <c r="C1703" s="122" t="s">
        <v>2939</v>
      </c>
      <c r="D1703" s="122">
        <v>0.96</v>
      </c>
      <c r="E1703" s="122">
        <v>1.81</v>
      </c>
      <c r="F1703" s="122">
        <v>19.21</v>
      </c>
    </row>
    <row r="1704" spans="2:6" x14ac:dyDescent="0.2">
      <c r="B1704" s="129" t="s">
        <v>4553</v>
      </c>
      <c r="C1704" s="122" t="s">
        <v>4554</v>
      </c>
      <c r="D1704" s="122"/>
      <c r="E1704" s="122"/>
      <c r="F1704" s="122"/>
    </row>
    <row r="1705" spans="2:6" x14ac:dyDescent="0.2">
      <c r="B1705" s="129" t="s">
        <v>2940</v>
      </c>
      <c r="C1705" s="122" t="s">
        <v>2941</v>
      </c>
      <c r="D1705" s="122"/>
      <c r="E1705" s="122">
        <v>4.22</v>
      </c>
      <c r="F1705" s="122"/>
    </row>
    <row r="1706" spans="2:6" x14ac:dyDescent="0.2">
      <c r="B1706" s="129" t="s">
        <v>2942</v>
      </c>
      <c r="C1706" s="122" t="s">
        <v>2943</v>
      </c>
      <c r="D1706" s="122">
        <v>0.16</v>
      </c>
      <c r="E1706" s="122">
        <v>0.56999999999999995</v>
      </c>
      <c r="F1706" s="122">
        <v>8.1300000000000008</v>
      </c>
    </row>
    <row r="1707" spans="2:6" x14ac:dyDescent="0.2">
      <c r="B1707" s="129" t="s">
        <v>2944</v>
      </c>
      <c r="C1707" s="122" t="s">
        <v>2945</v>
      </c>
      <c r="D1707" s="122">
        <v>6.17</v>
      </c>
      <c r="E1707" s="122">
        <v>5.18</v>
      </c>
      <c r="F1707" s="122">
        <v>16.559999999999999</v>
      </c>
    </row>
    <row r="1708" spans="2:6" x14ac:dyDescent="0.2">
      <c r="B1708" s="129" t="s">
        <v>2946</v>
      </c>
      <c r="C1708" s="122" t="s">
        <v>2947</v>
      </c>
      <c r="D1708" s="122"/>
      <c r="E1708" s="122"/>
      <c r="F1708" s="122"/>
    </row>
    <row r="1709" spans="2:6" x14ac:dyDescent="0.2">
      <c r="B1709" s="129" t="s">
        <v>2948</v>
      </c>
      <c r="C1709" s="122" t="s">
        <v>2949</v>
      </c>
      <c r="D1709" s="122">
        <v>2.71</v>
      </c>
      <c r="E1709" s="122">
        <v>1.25</v>
      </c>
      <c r="F1709" s="122">
        <v>15.11</v>
      </c>
    </row>
    <row r="1710" spans="2:6" x14ac:dyDescent="0.2">
      <c r="B1710" s="129" t="s">
        <v>2950</v>
      </c>
      <c r="C1710" s="122" t="s">
        <v>2951</v>
      </c>
      <c r="D1710" s="122">
        <v>0.23</v>
      </c>
      <c r="E1710" s="122">
        <v>1.42</v>
      </c>
      <c r="F1710" s="122">
        <v>17.649999999999999</v>
      </c>
    </row>
    <row r="1711" spans="2:6" x14ac:dyDescent="0.2">
      <c r="B1711" s="129" t="s">
        <v>2952</v>
      </c>
      <c r="C1711" s="122" t="s">
        <v>2953</v>
      </c>
      <c r="D1711" s="122">
        <v>2.88</v>
      </c>
      <c r="E1711" s="122">
        <v>1.83</v>
      </c>
      <c r="F1711" s="122">
        <v>18.190000000000001</v>
      </c>
    </row>
    <row r="1712" spans="2:6" x14ac:dyDescent="0.2">
      <c r="B1712" s="129" t="s">
        <v>4555</v>
      </c>
      <c r="C1712" s="122" t="s">
        <v>4556</v>
      </c>
      <c r="D1712" s="122">
        <v>0.66</v>
      </c>
      <c r="E1712" s="122"/>
      <c r="F1712" s="122">
        <v>10.09</v>
      </c>
    </row>
    <row r="1713" spans="2:6" x14ac:dyDescent="0.2">
      <c r="B1713" s="129" t="s">
        <v>2954</v>
      </c>
      <c r="C1713" s="122" t="s">
        <v>2955</v>
      </c>
      <c r="D1713" s="122">
        <v>2.89</v>
      </c>
      <c r="E1713" s="122">
        <v>2.04</v>
      </c>
      <c r="F1713" s="122">
        <v>10.039999999999999</v>
      </c>
    </row>
    <row r="1714" spans="2:6" x14ac:dyDescent="0.2">
      <c r="B1714" s="129" t="s">
        <v>4557</v>
      </c>
      <c r="C1714" s="122" t="s">
        <v>4558</v>
      </c>
      <c r="D1714" s="122"/>
      <c r="E1714" s="122"/>
      <c r="F1714" s="122"/>
    </row>
    <row r="1715" spans="2:6" x14ac:dyDescent="0.2">
      <c r="B1715" s="129" t="s">
        <v>2956</v>
      </c>
      <c r="C1715" s="122" t="s">
        <v>2957</v>
      </c>
      <c r="D1715" s="122">
        <v>2.16</v>
      </c>
      <c r="E1715" s="122"/>
      <c r="F1715" s="122">
        <v>8.9600000000000009</v>
      </c>
    </row>
    <row r="1716" spans="2:6" x14ac:dyDescent="0.2">
      <c r="B1716" s="129" t="s">
        <v>2958</v>
      </c>
      <c r="C1716" s="122" t="s">
        <v>2959</v>
      </c>
      <c r="D1716" s="122"/>
      <c r="E1716" s="122"/>
      <c r="F1716" s="122"/>
    </row>
    <row r="1717" spans="2:6" x14ac:dyDescent="0.2">
      <c r="B1717" s="129" t="s">
        <v>2960</v>
      </c>
      <c r="C1717" s="122" t="s">
        <v>2961</v>
      </c>
      <c r="D1717" s="122">
        <v>1.07</v>
      </c>
      <c r="E1717" s="122">
        <v>3.13</v>
      </c>
      <c r="F1717" s="122">
        <v>19.55</v>
      </c>
    </row>
    <row r="1718" spans="2:6" x14ac:dyDescent="0.2">
      <c r="B1718" s="129" t="s">
        <v>2962</v>
      </c>
      <c r="C1718" s="122" t="s">
        <v>2963</v>
      </c>
      <c r="D1718" s="122"/>
      <c r="E1718" s="122">
        <v>5.98</v>
      </c>
      <c r="F1718" s="122"/>
    </row>
    <row r="1719" spans="2:6" x14ac:dyDescent="0.2">
      <c r="B1719" s="129" t="s">
        <v>2964</v>
      </c>
      <c r="C1719" s="122" t="s">
        <v>2965</v>
      </c>
      <c r="D1719" s="122"/>
      <c r="E1719" s="122"/>
      <c r="F1719" s="122"/>
    </row>
    <row r="1720" spans="2:6" x14ac:dyDescent="0.2">
      <c r="B1720" s="129" t="s">
        <v>2966</v>
      </c>
      <c r="C1720" s="122" t="s">
        <v>2967</v>
      </c>
      <c r="D1720" s="122">
        <v>8.35</v>
      </c>
      <c r="E1720" s="122">
        <v>14.38</v>
      </c>
      <c r="F1720" s="122">
        <v>63.49</v>
      </c>
    </row>
    <row r="1721" spans="2:6" x14ac:dyDescent="0.2">
      <c r="B1721" s="129" t="s">
        <v>2968</v>
      </c>
      <c r="C1721" s="122" t="s">
        <v>2969</v>
      </c>
      <c r="D1721" s="122">
        <v>9.7899999999999991</v>
      </c>
      <c r="E1721" s="122">
        <v>109.23</v>
      </c>
      <c r="F1721" s="122">
        <v>341.54</v>
      </c>
    </row>
    <row r="1722" spans="2:6" x14ac:dyDescent="0.2">
      <c r="B1722" s="129" t="s">
        <v>4559</v>
      </c>
      <c r="C1722" s="122" t="s">
        <v>4560</v>
      </c>
      <c r="D1722" s="122"/>
      <c r="E1722" s="122">
        <v>5.1100000000000003</v>
      </c>
      <c r="F1722" s="122"/>
    </row>
    <row r="1723" spans="2:6" x14ac:dyDescent="0.2">
      <c r="B1723" s="129" t="s">
        <v>2970</v>
      </c>
      <c r="C1723" s="122" t="s">
        <v>2971</v>
      </c>
      <c r="D1723" s="122">
        <v>9</v>
      </c>
      <c r="E1723" s="122">
        <v>12.84</v>
      </c>
      <c r="F1723" s="122">
        <v>-12.74</v>
      </c>
    </row>
    <row r="1724" spans="2:6" x14ac:dyDescent="0.2">
      <c r="B1724" s="129" t="s">
        <v>2972</v>
      </c>
      <c r="C1724" s="122" t="s">
        <v>2973</v>
      </c>
      <c r="D1724" s="122">
        <v>3.18</v>
      </c>
      <c r="E1724" s="122">
        <v>9.99</v>
      </c>
      <c r="F1724" s="122">
        <v>13.23</v>
      </c>
    </row>
    <row r="1725" spans="2:6" x14ac:dyDescent="0.2">
      <c r="B1725" s="129" t="s">
        <v>2974</v>
      </c>
      <c r="C1725" s="122" t="s">
        <v>2975</v>
      </c>
      <c r="D1725" s="122">
        <v>1.1299999999999999</v>
      </c>
      <c r="E1725" s="122">
        <v>5.95</v>
      </c>
      <c r="F1725" s="122">
        <v>56.85</v>
      </c>
    </row>
    <row r="1726" spans="2:6" x14ac:dyDescent="0.2">
      <c r="B1726" s="129" t="s">
        <v>2976</v>
      </c>
      <c r="C1726" s="122" t="s">
        <v>2977</v>
      </c>
      <c r="D1726" s="122"/>
      <c r="E1726" s="122"/>
      <c r="F1726" s="122"/>
    </row>
    <row r="1727" spans="2:6" x14ac:dyDescent="0.2">
      <c r="B1727" s="129" t="s">
        <v>4561</v>
      </c>
      <c r="C1727" s="122" t="s">
        <v>4562</v>
      </c>
      <c r="D1727" s="122"/>
      <c r="E1727" s="122"/>
      <c r="F1727" s="122"/>
    </row>
    <row r="1728" spans="2:6" x14ac:dyDescent="0.2">
      <c r="B1728" s="129" t="s">
        <v>2978</v>
      </c>
      <c r="C1728" s="122" t="s">
        <v>2979</v>
      </c>
      <c r="D1728" s="122">
        <v>6.26</v>
      </c>
      <c r="E1728" s="122">
        <v>20.82</v>
      </c>
      <c r="F1728" s="122">
        <v>2.65</v>
      </c>
    </row>
    <row r="1729" spans="2:6" x14ac:dyDescent="0.2">
      <c r="B1729" s="129" t="s">
        <v>2980</v>
      </c>
      <c r="C1729" s="122" t="s">
        <v>2981</v>
      </c>
      <c r="D1729" s="122">
        <v>3.48</v>
      </c>
      <c r="E1729" s="122">
        <v>3.43</v>
      </c>
      <c r="F1729" s="122">
        <v>16.04</v>
      </c>
    </row>
    <row r="1730" spans="2:6" x14ac:dyDescent="0.2">
      <c r="B1730" s="129" t="s">
        <v>2982</v>
      </c>
      <c r="C1730" s="122" t="s">
        <v>2983</v>
      </c>
      <c r="D1730" s="122">
        <v>2.33</v>
      </c>
      <c r="E1730" s="122">
        <v>2.71</v>
      </c>
      <c r="F1730" s="122">
        <v>8.35</v>
      </c>
    </row>
    <row r="1731" spans="2:6" x14ac:dyDescent="0.2">
      <c r="B1731" s="129" t="s">
        <v>2984</v>
      </c>
      <c r="C1731" s="122" t="s">
        <v>2985</v>
      </c>
      <c r="D1731" s="122">
        <v>2.23</v>
      </c>
      <c r="E1731" s="122">
        <v>1.85</v>
      </c>
      <c r="F1731" s="122">
        <v>7.56</v>
      </c>
    </row>
    <row r="1732" spans="2:6" x14ac:dyDescent="0.2">
      <c r="B1732" s="129" t="s">
        <v>2986</v>
      </c>
      <c r="C1732" s="122" t="s">
        <v>2987</v>
      </c>
      <c r="D1732" s="122">
        <v>9.26</v>
      </c>
      <c r="E1732" s="122">
        <v>1.52</v>
      </c>
      <c r="F1732" s="122">
        <v>6.54</v>
      </c>
    </row>
    <row r="1733" spans="2:6" x14ac:dyDescent="0.2">
      <c r="B1733" s="129" t="s">
        <v>2988</v>
      </c>
      <c r="C1733" s="122" t="s">
        <v>2989</v>
      </c>
      <c r="D1733" s="122">
        <v>1.36</v>
      </c>
      <c r="E1733" s="122">
        <v>1.79</v>
      </c>
      <c r="F1733" s="122">
        <v>10.9</v>
      </c>
    </row>
    <row r="1734" spans="2:6" x14ac:dyDescent="0.2">
      <c r="B1734" s="129" t="s">
        <v>2990</v>
      </c>
      <c r="C1734" s="122" t="s">
        <v>2991</v>
      </c>
      <c r="D1734" s="122">
        <v>3.46</v>
      </c>
      <c r="E1734" s="122">
        <v>2.2799999999999998</v>
      </c>
      <c r="F1734" s="122">
        <v>10.18</v>
      </c>
    </row>
    <row r="1735" spans="2:6" x14ac:dyDescent="0.2">
      <c r="B1735" s="129" t="s">
        <v>2992</v>
      </c>
      <c r="C1735" s="122" t="s">
        <v>2993</v>
      </c>
      <c r="D1735" s="122">
        <v>17.8</v>
      </c>
      <c r="E1735" s="122">
        <v>5.57</v>
      </c>
      <c r="F1735" s="122">
        <v>-55.37</v>
      </c>
    </row>
    <row r="1736" spans="2:6" x14ac:dyDescent="0.2">
      <c r="B1736" s="129" t="s">
        <v>2994</v>
      </c>
      <c r="C1736" s="122" t="s">
        <v>2995</v>
      </c>
      <c r="D1736" s="122">
        <v>2.8</v>
      </c>
      <c r="E1736" s="122">
        <v>3.52</v>
      </c>
      <c r="F1736" s="122">
        <v>14.69</v>
      </c>
    </row>
    <row r="1737" spans="2:6" x14ac:dyDescent="0.2">
      <c r="B1737" s="129" t="s">
        <v>2996</v>
      </c>
      <c r="C1737" s="122" t="s">
        <v>2997</v>
      </c>
      <c r="D1737" s="122">
        <v>3.25</v>
      </c>
      <c r="E1737" s="122">
        <v>7.15</v>
      </c>
      <c r="F1737" s="122">
        <v>14.95</v>
      </c>
    </row>
    <row r="1738" spans="2:6" x14ac:dyDescent="0.2">
      <c r="B1738" s="129" t="s">
        <v>2998</v>
      </c>
      <c r="C1738" s="122" t="s">
        <v>2999</v>
      </c>
      <c r="D1738" s="122"/>
      <c r="E1738" s="122">
        <v>2.0499999999999998</v>
      </c>
      <c r="F1738" s="122"/>
    </row>
    <row r="1739" spans="2:6" x14ac:dyDescent="0.2">
      <c r="B1739" s="129" t="s">
        <v>3000</v>
      </c>
      <c r="C1739" s="122" t="s">
        <v>3001</v>
      </c>
      <c r="D1739" s="122"/>
      <c r="E1739" s="122">
        <v>188.29</v>
      </c>
      <c r="F1739" s="122"/>
    </row>
    <row r="1740" spans="2:6" x14ac:dyDescent="0.2">
      <c r="B1740" s="129" t="s">
        <v>4563</v>
      </c>
      <c r="C1740" s="122" t="s">
        <v>4564</v>
      </c>
      <c r="D1740" s="122">
        <v>5.35</v>
      </c>
      <c r="E1740" s="122">
        <v>5.9</v>
      </c>
      <c r="F1740" s="122">
        <v>16.13</v>
      </c>
    </row>
    <row r="1741" spans="2:6" x14ac:dyDescent="0.2">
      <c r="B1741" s="129" t="s">
        <v>3002</v>
      </c>
      <c r="C1741" s="122" t="s">
        <v>3003</v>
      </c>
      <c r="D1741" s="122">
        <v>2.9</v>
      </c>
      <c r="E1741" s="122">
        <v>2.63</v>
      </c>
      <c r="F1741" s="122">
        <v>18.78</v>
      </c>
    </row>
    <row r="1742" spans="2:6" x14ac:dyDescent="0.2">
      <c r="B1742" s="129" t="s">
        <v>4565</v>
      </c>
      <c r="C1742" s="122" t="s">
        <v>4566</v>
      </c>
      <c r="D1742" s="122">
        <v>58.72</v>
      </c>
      <c r="E1742" s="122"/>
      <c r="F1742" s="122"/>
    </row>
    <row r="1743" spans="2:6" x14ac:dyDescent="0.2">
      <c r="B1743" s="129" t="s">
        <v>3004</v>
      </c>
      <c r="C1743" s="122" t="s">
        <v>3005</v>
      </c>
      <c r="D1743" s="122"/>
      <c r="E1743" s="122">
        <v>1.21</v>
      </c>
      <c r="F1743" s="122"/>
    </row>
    <row r="1744" spans="2:6" x14ac:dyDescent="0.2">
      <c r="B1744" s="129" t="s">
        <v>4567</v>
      </c>
      <c r="C1744" s="122" t="s">
        <v>4568</v>
      </c>
      <c r="D1744" s="122">
        <v>0.42</v>
      </c>
      <c r="E1744" s="122">
        <v>0.79</v>
      </c>
      <c r="F1744" s="122">
        <v>10.74</v>
      </c>
    </row>
    <row r="1745" spans="2:6" x14ac:dyDescent="0.2">
      <c r="B1745" s="129" t="s">
        <v>3006</v>
      </c>
      <c r="C1745" s="122" t="s">
        <v>3007</v>
      </c>
      <c r="D1745" s="122">
        <v>2.34</v>
      </c>
      <c r="E1745" s="122">
        <v>3.1</v>
      </c>
      <c r="F1745" s="122">
        <v>23.71</v>
      </c>
    </row>
    <row r="1746" spans="2:6" x14ac:dyDescent="0.2">
      <c r="B1746" s="129" t="s">
        <v>3008</v>
      </c>
      <c r="C1746" s="122" t="s">
        <v>3009</v>
      </c>
      <c r="D1746" s="122">
        <v>10.17</v>
      </c>
      <c r="E1746" s="122">
        <v>2.02</v>
      </c>
      <c r="F1746" s="122">
        <v>4.57</v>
      </c>
    </row>
    <row r="1747" spans="2:6" x14ac:dyDescent="0.2">
      <c r="B1747" s="129" t="s">
        <v>4569</v>
      </c>
      <c r="C1747" s="122" t="s">
        <v>4570</v>
      </c>
      <c r="D1747" s="122"/>
      <c r="E1747" s="122"/>
      <c r="F1747" s="122"/>
    </row>
    <row r="1748" spans="2:6" x14ac:dyDescent="0.2">
      <c r="B1748" s="129" t="s">
        <v>3010</v>
      </c>
      <c r="C1748" s="122" t="s">
        <v>3011</v>
      </c>
      <c r="D1748" s="122">
        <v>4.37</v>
      </c>
      <c r="E1748" s="122">
        <v>3.82</v>
      </c>
      <c r="F1748" s="122">
        <v>13.8</v>
      </c>
    </row>
    <row r="1749" spans="2:6" x14ac:dyDescent="0.2">
      <c r="B1749" s="129" t="s">
        <v>3012</v>
      </c>
      <c r="C1749" s="122" t="s">
        <v>3013</v>
      </c>
      <c r="D1749" s="122">
        <v>2.68</v>
      </c>
      <c r="E1749" s="122">
        <v>1.26</v>
      </c>
      <c r="F1749" s="122">
        <v>11.86</v>
      </c>
    </row>
    <row r="1750" spans="2:6" x14ac:dyDescent="0.2">
      <c r="B1750" s="129" t="s">
        <v>3014</v>
      </c>
      <c r="C1750" s="122" t="s">
        <v>3015</v>
      </c>
      <c r="D1750" s="122">
        <v>3.14</v>
      </c>
      <c r="E1750" s="122">
        <v>0.98</v>
      </c>
      <c r="F1750" s="122">
        <v>10.37</v>
      </c>
    </row>
    <row r="1751" spans="2:6" x14ac:dyDescent="0.2">
      <c r="B1751" s="129" t="s">
        <v>3016</v>
      </c>
      <c r="C1751" s="122" t="s">
        <v>3017</v>
      </c>
      <c r="D1751" s="122">
        <v>0.56999999999999995</v>
      </c>
      <c r="E1751" s="122">
        <v>1.73</v>
      </c>
      <c r="F1751" s="122">
        <v>28.5</v>
      </c>
    </row>
    <row r="1752" spans="2:6" x14ac:dyDescent="0.2">
      <c r="B1752" s="129" t="s">
        <v>3018</v>
      </c>
      <c r="C1752" s="122" t="s">
        <v>3019</v>
      </c>
      <c r="D1752" s="122">
        <v>1.84</v>
      </c>
      <c r="E1752" s="122">
        <v>2.63</v>
      </c>
      <c r="F1752" s="122">
        <v>17.59</v>
      </c>
    </row>
    <row r="1753" spans="2:6" x14ac:dyDescent="0.2">
      <c r="B1753" s="129" t="s">
        <v>3020</v>
      </c>
      <c r="C1753" s="122" t="s">
        <v>3021</v>
      </c>
      <c r="D1753" s="122">
        <v>18.63</v>
      </c>
      <c r="E1753" s="122">
        <v>7.2</v>
      </c>
      <c r="F1753" s="122">
        <v>10.16</v>
      </c>
    </row>
    <row r="1754" spans="2:6" x14ac:dyDescent="0.2">
      <c r="B1754" s="129" t="s">
        <v>3022</v>
      </c>
      <c r="C1754" s="122" t="s">
        <v>3023</v>
      </c>
      <c r="D1754" s="122">
        <v>14.12</v>
      </c>
      <c r="E1754" s="122">
        <v>2.0699999999999998</v>
      </c>
      <c r="F1754" s="122">
        <v>5.73</v>
      </c>
    </row>
    <row r="1755" spans="2:6" x14ac:dyDescent="0.2">
      <c r="B1755" s="129" t="s">
        <v>3024</v>
      </c>
      <c r="C1755" s="122" t="s">
        <v>3025</v>
      </c>
      <c r="D1755" s="122">
        <v>3.61</v>
      </c>
      <c r="E1755" s="122">
        <v>2.2400000000000002</v>
      </c>
      <c r="F1755" s="122">
        <v>8.65</v>
      </c>
    </row>
    <row r="1756" spans="2:6" x14ac:dyDescent="0.2">
      <c r="B1756" s="129" t="s">
        <v>3026</v>
      </c>
      <c r="C1756" s="122" t="s">
        <v>3027</v>
      </c>
      <c r="D1756" s="122">
        <v>1.72</v>
      </c>
      <c r="E1756" s="122">
        <v>1.03</v>
      </c>
      <c r="F1756" s="122">
        <v>12.13</v>
      </c>
    </row>
    <row r="1757" spans="2:6" x14ac:dyDescent="0.2">
      <c r="B1757" s="129" t="s">
        <v>3028</v>
      </c>
      <c r="C1757" s="122" t="s">
        <v>3029</v>
      </c>
      <c r="D1757" s="122">
        <v>5.81</v>
      </c>
      <c r="E1757" s="122">
        <v>1.42</v>
      </c>
      <c r="F1757" s="122">
        <v>10.51</v>
      </c>
    </row>
    <row r="1758" spans="2:6" x14ac:dyDescent="0.2">
      <c r="B1758" s="129" t="s">
        <v>3030</v>
      </c>
      <c r="C1758" s="122" t="s">
        <v>3031</v>
      </c>
      <c r="D1758" s="122">
        <v>1.33</v>
      </c>
      <c r="E1758" s="122">
        <v>6.52</v>
      </c>
      <c r="F1758" s="122">
        <v>72.069999999999993</v>
      </c>
    </row>
    <row r="1759" spans="2:6" x14ac:dyDescent="0.2">
      <c r="B1759" s="129" t="s">
        <v>3032</v>
      </c>
      <c r="C1759" s="122" t="s">
        <v>3033</v>
      </c>
      <c r="D1759" s="122">
        <v>4.4000000000000004</v>
      </c>
      <c r="E1759" s="122">
        <v>3.13</v>
      </c>
      <c r="F1759" s="122">
        <v>14.98</v>
      </c>
    </row>
    <row r="1760" spans="2:6" x14ac:dyDescent="0.2">
      <c r="B1760" s="129" t="s">
        <v>3032</v>
      </c>
      <c r="C1760" s="122" t="s">
        <v>4571</v>
      </c>
      <c r="D1760" s="122">
        <v>4.4400000000000004</v>
      </c>
      <c r="E1760" s="122">
        <v>3.16</v>
      </c>
      <c r="F1760" s="122">
        <v>14.98</v>
      </c>
    </row>
    <row r="1761" spans="2:6" x14ac:dyDescent="0.2">
      <c r="B1761" s="129" t="s">
        <v>3034</v>
      </c>
      <c r="C1761" s="122" t="s">
        <v>3035</v>
      </c>
      <c r="D1761" s="122">
        <v>1.66</v>
      </c>
      <c r="E1761" s="122">
        <v>1.46</v>
      </c>
      <c r="F1761" s="122">
        <v>10.199999999999999</v>
      </c>
    </row>
    <row r="1762" spans="2:6" x14ac:dyDescent="0.2">
      <c r="B1762" s="129" t="s">
        <v>3036</v>
      </c>
      <c r="C1762" s="122" t="s">
        <v>3037</v>
      </c>
      <c r="D1762" s="122">
        <v>0.88</v>
      </c>
      <c r="E1762" s="122">
        <v>0.63</v>
      </c>
      <c r="F1762" s="122">
        <v>2.17</v>
      </c>
    </row>
    <row r="1763" spans="2:6" x14ac:dyDescent="0.2">
      <c r="B1763" s="129" t="s">
        <v>3038</v>
      </c>
      <c r="C1763" s="122" t="s">
        <v>3039</v>
      </c>
      <c r="D1763" s="122"/>
      <c r="E1763" s="122">
        <v>0.59</v>
      </c>
      <c r="F1763" s="122"/>
    </row>
    <row r="1764" spans="2:6" x14ac:dyDescent="0.2">
      <c r="B1764" s="129" t="s">
        <v>3040</v>
      </c>
      <c r="C1764" s="122" t="s">
        <v>3041</v>
      </c>
      <c r="D1764" s="122">
        <v>11.35</v>
      </c>
      <c r="E1764" s="122">
        <v>3.79</v>
      </c>
      <c r="F1764" s="122">
        <v>4.01</v>
      </c>
    </row>
    <row r="1765" spans="2:6" x14ac:dyDescent="0.2">
      <c r="B1765" s="129" t="s">
        <v>3042</v>
      </c>
      <c r="C1765" s="122" t="s">
        <v>3043</v>
      </c>
      <c r="D1765" s="122">
        <v>0.19</v>
      </c>
      <c r="E1765" s="122">
        <v>4.07</v>
      </c>
      <c r="F1765" s="122">
        <v>35.57</v>
      </c>
    </row>
    <row r="1766" spans="2:6" x14ac:dyDescent="0.2">
      <c r="B1766" s="129" t="s">
        <v>3044</v>
      </c>
      <c r="C1766" s="122" t="s">
        <v>3045</v>
      </c>
      <c r="D1766" s="122">
        <v>1.5</v>
      </c>
      <c r="E1766" s="122">
        <v>1.33</v>
      </c>
      <c r="F1766" s="122"/>
    </row>
    <row r="1767" spans="2:6" x14ac:dyDescent="0.2">
      <c r="B1767" s="129" t="s">
        <v>4572</v>
      </c>
      <c r="C1767" s="122" t="s">
        <v>4573</v>
      </c>
      <c r="D1767" s="122"/>
      <c r="E1767" s="122"/>
      <c r="F1767" s="122"/>
    </row>
    <row r="1768" spans="2:6" x14ac:dyDescent="0.2">
      <c r="B1768" s="129" t="s">
        <v>4574</v>
      </c>
      <c r="C1768" s="122" t="s">
        <v>4575</v>
      </c>
      <c r="D1768" s="122">
        <v>1.63</v>
      </c>
      <c r="E1768" s="122">
        <v>1.59</v>
      </c>
      <c r="F1768" s="122">
        <v>5.44</v>
      </c>
    </row>
    <row r="1769" spans="2:6" x14ac:dyDescent="0.2">
      <c r="B1769" s="129" t="s">
        <v>3046</v>
      </c>
      <c r="C1769" s="122" t="s">
        <v>3047</v>
      </c>
      <c r="D1769" s="122">
        <v>2.61</v>
      </c>
      <c r="E1769" s="122">
        <v>1.37</v>
      </c>
      <c r="F1769" s="122">
        <v>8.84</v>
      </c>
    </row>
    <row r="1770" spans="2:6" x14ac:dyDescent="0.2">
      <c r="B1770" s="129" t="s">
        <v>4576</v>
      </c>
      <c r="C1770" s="122" t="s">
        <v>4577</v>
      </c>
      <c r="D1770" s="122"/>
      <c r="E1770" s="122"/>
      <c r="F1770" s="122"/>
    </row>
    <row r="1771" spans="2:6" x14ac:dyDescent="0.2">
      <c r="B1771" s="129" t="s">
        <v>4578</v>
      </c>
      <c r="C1771" s="122" t="s">
        <v>4579</v>
      </c>
      <c r="D1771" s="122"/>
      <c r="E1771" s="122">
        <v>1.42</v>
      </c>
      <c r="F1771" s="122"/>
    </row>
    <row r="1772" spans="2:6" x14ac:dyDescent="0.2">
      <c r="B1772" s="129" t="s">
        <v>3048</v>
      </c>
      <c r="C1772" s="122" t="s">
        <v>3049</v>
      </c>
      <c r="D1772" s="122">
        <v>9.02</v>
      </c>
      <c r="E1772" s="122">
        <v>5.57</v>
      </c>
      <c r="F1772" s="122">
        <v>2.6</v>
      </c>
    </row>
    <row r="1773" spans="2:6" x14ac:dyDescent="0.2">
      <c r="B1773" s="129" t="s">
        <v>4580</v>
      </c>
      <c r="C1773" s="122" t="s">
        <v>4581</v>
      </c>
      <c r="D1773" s="122">
        <v>2.56</v>
      </c>
      <c r="E1773" s="122">
        <v>1.1599999999999999</v>
      </c>
      <c r="F1773" s="122">
        <v>16.100000000000001</v>
      </c>
    </row>
    <row r="1774" spans="2:6" x14ac:dyDescent="0.2">
      <c r="B1774" s="129" t="s">
        <v>4582</v>
      </c>
      <c r="C1774" s="122" t="s">
        <v>4583</v>
      </c>
      <c r="D1774" s="122"/>
      <c r="E1774" s="122">
        <v>3.67</v>
      </c>
      <c r="F1774" s="122"/>
    </row>
    <row r="1775" spans="2:6" x14ac:dyDescent="0.2">
      <c r="B1775" s="129" t="s">
        <v>3050</v>
      </c>
      <c r="C1775" s="122" t="s">
        <v>3051</v>
      </c>
      <c r="D1775" s="122">
        <v>6.7</v>
      </c>
      <c r="E1775" s="122">
        <v>2.2400000000000002</v>
      </c>
      <c r="F1775" s="122">
        <v>8.56</v>
      </c>
    </row>
    <row r="1776" spans="2:6" x14ac:dyDescent="0.2">
      <c r="B1776" s="129" t="s">
        <v>3052</v>
      </c>
      <c r="C1776" s="122" t="s">
        <v>3053</v>
      </c>
      <c r="D1776" s="122">
        <v>1.51</v>
      </c>
      <c r="E1776" s="122">
        <v>2.86</v>
      </c>
      <c r="F1776" s="122">
        <v>17.100000000000001</v>
      </c>
    </row>
    <row r="1777" spans="2:6" x14ac:dyDescent="0.2">
      <c r="B1777" s="129" t="s">
        <v>3054</v>
      </c>
      <c r="C1777" s="122" t="s">
        <v>3055</v>
      </c>
      <c r="D1777" s="122">
        <v>3.85</v>
      </c>
      <c r="E1777" s="122">
        <v>3.36</v>
      </c>
      <c r="F1777" s="122">
        <v>26.6</v>
      </c>
    </row>
    <row r="1778" spans="2:6" x14ac:dyDescent="0.2">
      <c r="B1778" s="129" t="s">
        <v>3056</v>
      </c>
      <c r="C1778" s="122" t="s">
        <v>3057</v>
      </c>
      <c r="D1778" s="122"/>
      <c r="E1778" s="122">
        <v>0.88</v>
      </c>
      <c r="F1778" s="122"/>
    </row>
    <row r="1779" spans="2:6" x14ac:dyDescent="0.2">
      <c r="B1779" s="129" t="s">
        <v>4584</v>
      </c>
      <c r="C1779" s="122" t="s">
        <v>4585</v>
      </c>
      <c r="D1779" s="122"/>
      <c r="E1779" s="122"/>
      <c r="F1779" s="122"/>
    </row>
    <row r="1780" spans="2:6" x14ac:dyDescent="0.2">
      <c r="B1780" s="129" t="s">
        <v>3058</v>
      </c>
      <c r="C1780" s="122" t="s">
        <v>3059</v>
      </c>
      <c r="D1780" s="122">
        <v>1.66</v>
      </c>
      <c r="E1780" s="122">
        <v>2.02</v>
      </c>
      <c r="F1780" s="122">
        <v>8.86</v>
      </c>
    </row>
    <row r="1781" spans="2:6" x14ac:dyDescent="0.2">
      <c r="B1781" s="129" t="s">
        <v>3060</v>
      </c>
      <c r="C1781" s="122" t="s">
        <v>3061</v>
      </c>
      <c r="D1781" s="122">
        <v>1.17</v>
      </c>
      <c r="E1781" s="122">
        <v>1.52</v>
      </c>
      <c r="F1781" s="122">
        <v>19.5</v>
      </c>
    </row>
    <row r="1782" spans="2:6" x14ac:dyDescent="0.2">
      <c r="B1782" s="129" t="s">
        <v>4586</v>
      </c>
      <c r="C1782" s="122" t="s">
        <v>4587</v>
      </c>
      <c r="D1782" s="122"/>
      <c r="E1782" s="122"/>
      <c r="F1782" s="122"/>
    </row>
    <row r="1783" spans="2:6" x14ac:dyDescent="0.2">
      <c r="B1783" s="129" t="s">
        <v>3062</v>
      </c>
      <c r="C1783" s="122" t="s">
        <v>3063</v>
      </c>
      <c r="D1783" s="122">
        <v>5.83</v>
      </c>
      <c r="E1783" s="122">
        <v>6.93</v>
      </c>
      <c r="F1783" s="122">
        <v>25.98</v>
      </c>
    </row>
    <row r="1784" spans="2:6" x14ac:dyDescent="0.2">
      <c r="B1784" s="129" t="s">
        <v>3064</v>
      </c>
      <c r="C1784" s="122" t="s">
        <v>3065</v>
      </c>
      <c r="D1784" s="122">
        <v>3.06</v>
      </c>
      <c r="E1784" s="122">
        <v>2.81</v>
      </c>
      <c r="F1784" s="122">
        <v>14.94</v>
      </c>
    </row>
    <row r="1785" spans="2:6" x14ac:dyDescent="0.2">
      <c r="B1785" s="129" t="s">
        <v>3066</v>
      </c>
      <c r="C1785" s="122" t="s">
        <v>3067</v>
      </c>
      <c r="D1785" s="122">
        <v>1.25</v>
      </c>
      <c r="E1785" s="122">
        <v>2.02</v>
      </c>
      <c r="F1785" s="122">
        <v>9.82</v>
      </c>
    </row>
    <row r="1786" spans="2:6" x14ac:dyDescent="0.2">
      <c r="B1786" s="129" t="s">
        <v>3068</v>
      </c>
      <c r="C1786" s="122" t="s">
        <v>3069</v>
      </c>
      <c r="D1786" s="122">
        <v>0.67</v>
      </c>
      <c r="E1786" s="122">
        <v>16.07</v>
      </c>
      <c r="F1786" s="122">
        <v>76.8</v>
      </c>
    </row>
    <row r="1787" spans="2:6" x14ac:dyDescent="0.2">
      <c r="B1787" s="129" t="s">
        <v>4588</v>
      </c>
      <c r="C1787" s="122" t="s">
        <v>4589</v>
      </c>
      <c r="D1787" s="122"/>
      <c r="E1787" s="122">
        <v>0.94</v>
      </c>
      <c r="F1787" s="122"/>
    </row>
    <row r="1788" spans="2:6" x14ac:dyDescent="0.2">
      <c r="B1788" s="129" t="s">
        <v>3070</v>
      </c>
      <c r="C1788" s="122" t="s">
        <v>3071</v>
      </c>
      <c r="D1788" s="122">
        <v>0.56000000000000005</v>
      </c>
      <c r="E1788" s="122">
        <v>1.23</v>
      </c>
      <c r="F1788" s="122">
        <v>12.61</v>
      </c>
    </row>
    <row r="1789" spans="2:6" x14ac:dyDescent="0.2">
      <c r="B1789" s="129" t="s">
        <v>3072</v>
      </c>
      <c r="C1789" s="122" t="s">
        <v>3073</v>
      </c>
      <c r="D1789" s="122">
        <v>1.51</v>
      </c>
      <c r="E1789" s="122">
        <v>1.43</v>
      </c>
      <c r="F1789" s="122">
        <v>13.38</v>
      </c>
    </row>
    <row r="1790" spans="2:6" x14ac:dyDescent="0.2">
      <c r="B1790" s="129" t="s">
        <v>3074</v>
      </c>
      <c r="C1790" s="122" t="s">
        <v>3075</v>
      </c>
      <c r="D1790" s="122">
        <v>1.39</v>
      </c>
      <c r="E1790" s="122">
        <v>0.61</v>
      </c>
      <c r="F1790" s="122">
        <v>11.23</v>
      </c>
    </row>
    <row r="1791" spans="2:6" x14ac:dyDescent="0.2">
      <c r="B1791" s="129" t="s">
        <v>3076</v>
      </c>
      <c r="C1791" s="122" t="s">
        <v>3077</v>
      </c>
      <c r="D1791" s="122">
        <v>7.58</v>
      </c>
      <c r="E1791" s="122">
        <v>7.96</v>
      </c>
      <c r="F1791" s="122">
        <v>13.33</v>
      </c>
    </row>
    <row r="1792" spans="2:6" x14ac:dyDescent="0.2">
      <c r="B1792" s="129" t="s">
        <v>3078</v>
      </c>
      <c r="C1792" s="122" t="s">
        <v>3079</v>
      </c>
      <c r="D1792" s="122">
        <v>0.93</v>
      </c>
      <c r="E1792" s="122">
        <v>0.86</v>
      </c>
      <c r="F1792" s="122">
        <v>7.33</v>
      </c>
    </row>
    <row r="1793" spans="2:6" x14ac:dyDescent="0.2">
      <c r="B1793" s="129" t="s">
        <v>3080</v>
      </c>
      <c r="C1793" s="122" t="s">
        <v>3081</v>
      </c>
      <c r="D1793" s="122">
        <v>4.62</v>
      </c>
      <c r="E1793" s="122">
        <v>1.58</v>
      </c>
      <c r="F1793" s="122">
        <v>13.9</v>
      </c>
    </row>
    <row r="1794" spans="2:6" x14ac:dyDescent="0.2">
      <c r="B1794" s="129" t="s">
        <v>3082</v>
      </c>
      <c r="C1794" s="122" t="s">
        <v>3083</v>
      </c>
      <c r="D1794" s="122"/>
      <c r="E1794" s="122">
        <v>2.2200000000000002</v>
      </c>
      <c r="F1794" s="122"/>
    </row>
    <row r="1795" spans="2:6" x14ac:dyDescent="0.2">
      <c r="B1795" s="129" t="s">
        <v>3084</v>
      </c>
      <c r="C1795" s="122" t="s">
        <v>3085</v>
      </c>
      <c r="D1795" s="122">
        <v>8.2100000000000009</v>
      </c>
      <c r="E1795" s="122">
        <v>6.89</v>
      </c>
      <c r="F1795" s="122">
        <v>19.760000000000002</v>
      </c>
    </row>
    <row r="1796" spans="2:6" x14ac:dyDescent="0.2">
      <c r="B1796" s="129" t="s">
        <v>4590</v>
      </c>
      <c r="C1796" s="122" t="s">
        <v>4591</v>
      </c>
      <c r="D1796" s="122">
        <v>0.88</v>
      </c>
      <c r="E1796" s="122"/>
      <c r="F1796" s="122"/>
    </row>
    <row r="1797" spans="2:6" x14ac:dyDescent="0.2">
      <c r="B1797" s="129" t="s">
        <v>3086</v>
      </c>
      <c r="C1797" s="122" t="s">
        <v>3087</v>
      </c>
      <c r="D1797" s="122">
        <v>2.37</v>
      </c>
      <c r="E1797" s="122">
        <v>1.73</v>
      </c>
      <c r="F1797" s="122">
        <v>16.079999999999998</v>
      </c>
    </row>
    <row r="1798" spans="2:6" x14ac:dyDescent="0.2">
      <c r="B1798" s="129" t="s">
        <v>3088</v>
      </c>
      <c r="C1798" s="122" t="s">
        <v>3089</v>
      </c>
      <c r="D1798" s="122">
        <v>1.75</v>
      </c>
      <c r="E1798" s="122">
        <v>10.09</v>
      </c>
      <c r="F1798" s="122">
        <v>23.03</v>
      </c>
    </row>
    <row r="1799" spans="2:6" x14ac:dyDescent="0.2">
      <c r="B1799" s="129" t="s">
        <v>3090</v>
      </c>
      <c r="C1799" s="122" t="s">
        <v>3091</v>
      </c>
      <c r="D1799" s="122">
        <v>5.75</v>
      </c>
      <c r="E1799" s="122"/>
      <c r="F1799" s="122">
        <v>-59.21</v>
      </c>
    </row>
    <row r="1800" spans="2:6" x14ac:dyDescent="0.2">
      <c r="B1800" s="129" t="s">
        <v>3092</v>
      </c>
      <c r="C1800" s="122" t="s">
        <v>3093</v>
      </c>
      <c r="D1800" s="122">
        <v>10.55</v>
      </c>
      <c r="E1800" s="122">
        <v>5.18</v>
      </c>
      <c r="F1800" s="122">
        <v>-10.64</v>
      </c>
    </row>
    <row r="1801" spans="2:6" x14ac:dyDescent="0.2">
      <c r="B1801" s="129" t="s">
        <v>3094</v>
      </c>
      <c r="C1801" s="122" t="s">
        <v>3095</v>
      </c>
      <c r="D1801" s="122">
        <v>3.86</v>
      </c>
      <c r="E1801" s="122">
        <v>4.6900000000000004</v>
      </c>
      <c r="F1801" s="122">
        <v>15.09</v>
      </c>
    </row>
    <row r="1802" spans="2:6" x14ac:dyDescent="0.2">
      <c r="B1802" s="129" t="s">
        <v>3096</v>
      </c>
      <c r="C1802" s="122" t="s">
        <v>3097</v>
      </c>
      <c r="D1802" s="122">
        <v>13.37</v>
      </c>
      <c r="E1802" s="122">
        <v>28.61</v>
      </c>
      <c r="F1802" s="122">
        <v>-2.4500000000000002</v>
      </c>
    </row>
    <row r="1803" spans="2:6" x14ac:dyDescent="0.2">
      <c r="B1803" s="129" t="s">
        <v>3098</v>
      </c>
      <c r="C1803" s="122" t="s">
        <v>3099</v>
      </c>
      <c r="D1803" s="122">
        <v>0.1</v>
      </c>
      <c r="E1803" s="122">
        <v>1.26</v>
      </c>
      <c r="F1803" s="122">
        <v>15.96</v>
      </c>
    </row>
    <row r="1804" spans="2:6" x14ac:dyDescent="0.2">
      <c r="B1804" s="129" t="s">
        <v>3100</v>
      </c>
      <c r="C1804" s="122" t="s">
        <v>3101</v>
      </c>
      <c r="D1804" s="122">
        <v>10.64</v>
      </c>
      <c r="E1804" s="122">
        <v>6.51</v>
      </c>
      <c r="F1804" s="122">
        <v>13.2</v>
      </c>
    </row>
    <row r="1805" spans="2:6" x14ac:dyDescent="0.2">
      <c r="B1805" s="129" t="s">
        <v>3102</v>
      </c>
      <c r="C1805" s="122" t="s">
        <v>3103</v>
      </c>
      <c r="D1805" s="122">
        <v>0.99</v>
      </c>
      <c r="E1805" s="122">
        <v>0.54</v>
      </c>
      <c r="F1805" s="122">
        <v>8.49</v>
      </c>
    </row>
    <row r="1806" spans="2:6" x14ac:dyDescent="0.2">
      <c r="B1806" s="129" t="s">
        <v>3104</v>
      </c>
      <c r="C1806" s="122" t="s">
        <v>3105</v>
      </c>
      <c r="D1806" s="122">
        <v>0.7</v>
      </c>
      <c r="E1806" s="122">
        <v>1.31</v>
      </c>
      <c r="F1806" s="122">
        <v>16.21</v>
      </c>
    </row>
    <row r="1807" spans="2:6" x14ac:dyDescent="0.2">
      <c r="B1807" s="129" t="s">
        <v>3106</v>
      </c>
      <c r="C1807" s="122" t="s">
        <v>3107</v>
      </c>
      <c r="D1807" s="122">
        <v>2.29</v>
      </c>
      <c r="E1807" s="122">
        <v>2.95</v>
      </c>
      <c r="F1807" s="122">
        <v>18.329999999999998</v>
      </c>
    </row>
    <row r="1808" spans="2:6" x14ac:dyDescent="0.2">
      <c r="B1808" s="129" t="s">
        <v>3108</v>
      </c>
      <c r="C1808" s="122" t="s">
        <v>3109</v>
      </c>
      <c r="D1808" s="122">
        <v>2.27</v>
      </c>
      <c r="E1808" s="122">
        <v>5.84</v>
      </c>
      <c r="F1808" s="122">
        <v>25.08</v>
      </c>
    </row>
    <row r="1809" spans="2:6" x14ac:dyDescent="0.2">
      <c r="B1809" s="129" t="s">
        <v>3110</v>
      </c>
      <c r="C1809" s="122" t="s">
        <v>3111</v>
      </c>
      <c r="D1809" s="122">
        <v>0.81</v>
      </c>
      <c r="E1809" s="122">
        <v>0.68</v>
      </c>
      <c r="F1809" s="122">
        <v>5.85</v>
      </c>
    </row>
    <row r="1810" spans="2:6" x14ac:dyDescent="0.2">
      <c r="B1810" s="129" t="s">
        <v>3112</v>
      </c>
      <c r="C1810" s="122" t="s">
        <v>3113</v>
      </c>
      <c r="D1810" s="122">
        <v>4.6100000000000003</v>
      </c>
      <c r="E1810" s="122">
        <v>6.74</v>
      </c>
      <c r="F1810" s="122">
        <v>29.58</v>
      </c>
    </row>
    <row r="1811" spans="2:6" x14ac:dyDescent="0.2">
      <c r="B1811" s="129" t="s">
        <v>3114</v>
      </c>
      <c r="C1811" s="122" t="s">
        <v>3115</v>
      </c>
      <c r="D1811" s="122">
        <v>3.91</v>
      </c>
      <c r="E1811" s="122">
        <v>1.43</v>
      </c>
      <c r="F1811" s="122">
        <v>-2.15</v>
      </c>
    </row>
    <row r="1812" spans="2:6" x14ac:dyDescent="0.2">
      <c r="B1812" s="129" t="s">
        <v>3116</v>
      </c>
      <c r="C1812" s="122" t="s">
        <v>3117</v>
      </c>
      <c r="D1812" s="122">
        <v>0.46</v>
      </c>
      <c r="E1812" s="122">
        <v>0.53</v>
      </c>
      <c r="F1812" s="122">
        <v>16.04</v>
      </c>
    </row>
    <row r="1813" spans="2:6" x14ac:dyDescent="0.2">
      <c r="B1813" s="129" t="s">
        <v>4592</v>
      </c>
      <c r="C1813" s="122" t="s">
        <v>4593</v>
      </c>
      <c r="D1813" s="122"/>
      <c r="E1813" s="122"/>
      <c r="F1813" s="122"/>
    </row>
    <row r="1814" spans="2:6" x14ac:dyDescent="0.2">
      <c r="B1814" s="129" t="s">
        <v>4594</v>
      </c>
      <c r="C1814" s="122" t="s">
        <v>4595</v>
      </c>
      <c r="D1814" s="122">
        <v>8.3000000000000007</v>
      </c>
      <c r="E1814" s="122">
        <v>2.95</v>
      </c>
      <c r="F1814" s="122">
        <v>4.62</v>
      </c>
    </row>
    <row r="1815" spans="2:6" x14ac:dyDescent="0.2">
      <c r="B1815" s="129" t="s">
        <v>3118</v>
      </c>
      <c r="C1815" s="122" t="s">
        <v>3119</v>
      </c>
      <c r="D1815" s="122">
        <v>6.31</v>
      </c>
      <c r="E1815" s="122">
        <v>5.95</v>
      </c>
      <c r="F1815" s="122">
        <v>18.57</v>
      </c>
    </row>
    <row r="1816" spans="2:6" x14ac:dyDescent="0.2">
      <c r="B1816" s="129" t="s">
        <v>3120</v>
      </c>
      <c r="C1816" s="122" t="s">
        <v>3121</v>
      </c>
      <c r="D1816" s="122">
        <v>6.81</v>
      </c>
      <c r="E1816" s="122">
        <v>2.4700000000000002</v>
      </c>
      <c r="F1816" s="122">
        <v>10.71</v>
      </c>
    </row>
    <row r="1817" spans="2:6" x14ac:dyDescent="0.2">
      <c r="B1817" s="129" t="s">
        <v>3122</v>
      </c>
      <c r="C1817" s="122" t="s">
        <v>3123</v>
      </c>
      <c r="D1817" s="122">
        <v>1.47</v>
      </c>
      <c r="E1817" s="122">
        <v>2.21</v>
      </c>
      <c r="F1817" s="122">
        <v>28.43</v>
      </c>
    </row>
    <row r="1818" spans="2:6" x14ac:dyDescent="0.2">
      <c r="B1818" s="129" t="s">
        <v>3124</v>
      </c>
      <c r="C1818" s="122" t="s">
        <v>3125</v>
      </c>
      <c r="D1818" s="122">
        <v>0.71</v>
      </c>
      <c r="E1818" s="122">
        <v>4.5999999999999996</v>
      </c>
      <c r="F1818" s="122">
        <v>27.43</v>
      </c>
    </row>
    <row r="1819" spans="2:6" x14ac:dyDescent="0.2">
      <c r="B1819" s="129" t="s">
        <v>3126</v>
      </c>
      <c r="C1819" s="122" t="s">
        <v>3127</v>
      </c>
      <c r="D1819" s="122">
        <v>1.1100000000000001</v>
      </c>
      <c r="E1819" s="122">
        <v>1.82</v>
      </c>
      <c r="F1819" s="122">
        <v>10.44</v>
      </c>
    </row>
    <row r="1820" spans="2:6" x14ac:dyDescent="0.2">
      <c r="B1820" s="129" t="s">
        <v>4596</v>
      </c>
      <c r="C1820" s="122" t="s">
        <v>4597</v>
      </c>
      <c r="D1820" s="122">
        <v>0.95</v>
      </c>
      <c r="E1820" s="122"/>
      <c r="F1820" s="122"/>
    </row>
    <row r="1821" spans="2:6" x14ac:dyDescent="0.2">
      <c r="B1821" s="129" t="s">
        <v>3128</v>
      </c>
      <c r="C1821" s="122" t="s">
        <v>3129</v>
      </c>
      <c r="D1821" s="122">
        <v>0.57999999999999996</v>
      </c>
      <c r="E1821" s="122">
        <v>1.6</v>
      </c>
      <c r="F1821" s="122">
        <v>5.73</v>
      </c>
    </row>
    <row r="1822" spans="2:6" x14ac:dyDescent="0.2">
      <c r="B1822" s="129" t="s">
        <v>3134</v>
      </c>
      <c r="C1822" s="122" t="s">
        <v>4598</v>
      </c>
      <c r="D1822" s="122"/>
      <c r="E1822" s="122">
        <v>0.47</v>
      </c>
      <c r="F1822" s="122"/>
    </row>
    <row r="1823" spans="2:6" x14ac:dyDescent="0.2">
      <c r="B1823" s="129" t="s">
        <v>3130</v>
      </c>
      <c r="C1823" s="122" t="s">
        <v>3131</v>
      </c>
      <c r="D1823" s="122">
        <v>2.5299999999999998</v>
      </c>
      <c r="E1823" s="122">
        <v>3.47</v>
      </c>
      <c r="F1823" s="122">
        <v>17.670000000000002</v>
      </c>
    </row>
    <row r="1824" spans="2:6" x14ac:dyDescent="0.2">
      <c r="B1824" s="129" t="s">
        <v>3132</v>
      </c>
      <c r="C1824" s="122" t="s">
        <v>3133</v>
      </c>
      <c r="D1824" s="122">
        <v>1.1200000000000001</v>
      </c>
      <c r="E1824" s="122">
        <v>2</v>
      </c>
      <c r="F1824" s="122">
        <v>-0.95</v>
      </c>
    </row>
    <row r="1825" spans="2:6" x14ac:dyDescent="0.2">
      <c r="B1825" s="129" t="s">
        <v>3134</v>
      </c>
      <c r="C1825" s="122" t="s">
        <v>3135</v>
      </c>
      <c r="D1825" s="122"/>
      <c r="E1825" s="122">
        <v>0.48</v>
      </c>
      <c r="F1825" s="122"/>
    </row>
    <row r="1826" spans="2:6" x14ac:dyDescent="0.2">
      <c r="B1826" s="129" t="s">
        <v>4599</v>
      </c>
      <c r="C1826" s="122" t="s">
        <v>4600</v>
      </c>
      <c r="D1826" s="122">
        <v>0.47</v>
      </c>
      <c r="E1826" s="122">
        <v>0.99</v>
      </c>
      <c r="F1826" s="122">
        <v>10.56</v>
      </c>
    </row>
    <row r="1827" spans="2:6" x14ac:dyDescent="0.2">
      <c r="B1827" s="129" t="s">
        <v>4601</v>
      </c>
      <c r="C1827" s="122" t="s">
        <v>4602</v>
      </c>
      <c r="D1827" s="122"/>
      <c r="E1827" s="122"/>
      <c r="F1827" s="122"/>
    </row>
    <row r="1828" spans="2:6" x14ac:dyDescent="0.2">
      <c r="B1828" s="129" t="s">
        <v>3136</v>
      </c>
      <c r="C1828" s="122" t="s">
        <v>3137</v>
      </c>
      <c r="D1828" s="122">
        <v>1.66</v>
      </c>
      <c r="E1828" s="122">
        <v>12.5</v>
      </c>
      <c r="F1828" s="122">
        <v>57.64</v>
      </c>
    </row>
    <row r="1829" spans="2:6" x14ac:dyDescent="0.2">
      <c r="B1829" s="129" t="s">
        <v>3138</v>
      </c>
      <c r="C1829" s="122" t="s">
        <v>3139</v>
      </c>
      <c r="D1829" s="122">
        <v>0.99</v>
      </c>
      <c r="E1829" s="122">
        <v>1.82</v>
      </c>
      <c r="F1829" s="122">
        <v>12.58</v>
      </c>
    </row>
    <row r="1830" spans="2:6" x14ac:dyDescent="0.2">
      <c r="B1830" s="129" t="s">
        <v>3140</v>
      </c>
      <c r="C1830" s="122" t="s">
        <v>3141</v>
      </c>
      <c r="D1830" s="122">
        <v>0.24</v>
      </c>
      <c r="E1830" s="122">
        <v>2.46</v>
      </c>
      <c r="F1830" s="122">
        <v>-16.829999999999998</v>
      </c>
    </row>
    <row r="1831" spans="2:6" x14ac:dyDescent="0.2">
      <c r="B1831" s="129" t="s">
        <v>3142</v>
      </c>
      <c r="C1831" s="122" t="s">
        <v>3143</v>
      </c>
      <c r="D1831" s="122">
        <v>1.1599999999999999</v>
      </c>
      <c r="E1831" s="122">
        <v>1.64</v>
      </c>
      <c r="F1831" s="122">
        <v>12.1</v>
      </c>
    </row>
    <row r="1832" spans="2:6" x14ac:dyDescent="0.2">
      <c r="B1832" s="129" t="s">
        <v>3144</v>
      </c>
      <c r="C1832" s="122" t="s">
        <v>3145</v>
      </c>
      <c r="D1832" s="122">
        <v>0.78</v>
      </c>
      <c r="E1832" s="122"/>
      <c r="F1832" s="122">
        <v>8.11</v>
      </c>
    </row>
    <row r="1833" spans="2:6" x14ac:dyDescent="0.2">
      <c r="B1833" s="129" t="s">
        <v>3146</v>
      </c>
      <c r="C1833" s="122" t="s">
        <v>3147</v>
      </c>
      <c r="D1833" s="122">
        <v>0.89</v>
      </c>
      <c r="E1833" s="122">
        <v>1.88</v>
      </c>
      <c r="F1833" s="122">
        <v>21.4</v>
      </c>
    </row>
    <row r="1834" spans="2:6" x14ac:dyDescent="0.2">
      <c r="B1834" s="129" t="s">
        <v>4603</v>
      </c>
      <c r="C1834" s="122" t="s">
        <v>4604</v>
      </c>
      <c r="D1834" s="122"/>
      <c r="E1834" s="122">
        <v>3.97</v>
      </c>
      <c r="F1834" s="122"/>
    </row>
    <row r="1835" spans="2:6" x14ac:dyDescent="0.2">
      <c r="B1835" s="129" t="s">
        <v>3148</v>
      </c>
      <c r="C1835" s="122" t="s">
        <v>3149</v>
      </c>
      <c r="D1835" s="122">
        <v>2.12</v>
      </c>
      <c r="E1835" s="122">
        <v>2</v>
      </c>
      <c r="F1835" s="122">
        <v>7.76</v>
      </c>
    </row>
    <row r="1836" spans="2:6" x14ac:dyDescent="0.2">
      <c r="B1836" s="129" t="s">
        <v>3150</v>
      </c>
      <c r="C1836" s="122" t="s">
        <v>3151</v>
      </c>
      <c r="D1836" s="122"/>
      <c r="E1836" s="122"/>
      <c r="F1836" s="122"/>
    </row>
    <row r="1837" spans="2:6" x14ac:dyDescent="0.2">
      <c r="B1837" s="129" t="s">
        <v>4605</v>
      </c>
      <c r="C1837" s="122" t="s">
        <v>4606</v>
      </c>
      <c r="D1837" s="122"/>
      <c r="E1837" s="122"/>
      <c r="F1837" s="122"/>
    </row>
    <row r="1838" spans="2:6" x14ac:dyDescent="0.2">
      <c r="B1838" s="129" t="s">
        <v>3152</v>
      </c>
      <c r="C1838" s="122" t="s">
        <v>3153</v>
      </c>
      <c r="D1838" s="122">
        <v>2.11</v>
      </c>
      <c r="E1838" s="122">
        <v>1.78</v>
      </c>
      <c r="F1838" s="122">
        <v>3.89</v>
      </c>
    </row>
    <row r="1839" spans="2:6" x14ac:dyDescent="0.2">
      <c r="B1839" s="129" t="s">
        <v>3154</v>
      </c>
      <c r="C1839" s="122" t="s">
        <v>3155</v>
      </c>
      <c r="D1839" s="122">
        <v>0.73</v>
      </c>
      <c r="E1839" s="122">
        <v>1.0900000000000001</v>
      </c>
      <c r="F1839" s="122">
        <v>9.5399999999999991</v>
      </c>
    </row>
    <row r="1840" spans="2:6" x14ac:dyDescent="0.2">
      <c r="B1840" s="129" t="s">
        <v>3156</v>
      </c>
      <c r="C1840" s="122" t="s">
        <v>3157</v>
      </c>
      <c r="D1840" s="122"/>
      <c r="E1840" s="122">
        <v>3.72</v>
      </c>
      <c r="F1840" s="122"/>
    </row>
    <row r="1841" spans="2:6" x14ac:dyDescent="0.2">
      <c r="B1841" s="129" t="s">
        <v>3158</v>
      </c>
      <c r="C1841" s="122" t="s">
        <v>3159</v>
      </c>
      <c r="D1841" s="122">
        <v>4.71</v>
      </c>
      <c r="E1841" s="122">
        <v>4.3899999999999997</v>
      </c>
      <c r="F1841" s="122">
        <v>15.82</v>
      </c>
    </row>
    <row r="1842" spans="2:6" x14ac:dyDescent="0.2">
      <c r="B1842" s="129" t="s">
        <v>4607</v>
      </c>
      <c r="C1842" s="122" t="s">
        <v>4608</v>
      </c>
      <c r="D1842" s="122"/>
      <c r="E1842" s="122"/>
      <c r="F1842" s="122"/>
    </row>
    <row r="1843" spans="2:6" x14ac:dyDescent="0.2">
      <c r="B1843" s="129" t="s">
        <v>3160</v>
      </c>
      <c r="C1843" s="122" t="s">
        <v>3161</v>
      </c>
      <c r="D1843" s="122">
        <v>4.7699999999999996</v>
      </c>
      <c r="E1843" s="122">
        <v>4.13</v>
      </c>
      <c r="F1843" s="122">
        <v>17.11</v>
      </c>
    </row>
    <row r="1844" spans="2:6" x14ac:dyDescent="0.2">
      <c r="B1844" s="129" t="s">
        <v>3162</v>
      </c>
      <c r="C1844" s="122" t="s">
        <v>3163</v>
      </c>
      <c r="D1844" s="122">
        <v>1.55</v>
      </c>
      <c r="E1844" s="122">
        <v>2.5499999999999998</v>
      </c>
      <c r="F1844" s="122">
        <v>13.89</v>
      </c>
    </row>
    <row r="1845" spans="2:6" x14ac:dyDescent="0.2">
      <c r="B1845" s="129" t="s">
        <v>4609</v>
      </c>
      <c r="C1845" s="122" t="s">
        <v>4610</v>
      </c>
      <c r="D1845" s="122"/>
      <c r="E1845" s="122"/>
      <c r="F1845" s="122"/>
    </row>
    <row r="1846" spans="2:6" x14ac:dyDescent="0.2">
      <c r="B1846" s="129" t="s">
        <v>3164</v>
      </c>
      <c r="C1846" s="122" t="s">
        <v>3165</v>
      </c>
      <c r="D1846" s="122">
        <v>13.3</v>
      </c>
      <c r="E1846" s="122">
        <v>25.78</v>
      </c>
      <c r="F1846" s="122">
        <v>-19.309999999999999</v>
      </c>
    </row>
    <row r="1847" spans="2:6" x14ac:dyDescent="0.2">
      <c r="B1847" s="129" t="s">
        <v>3166</v>
      </c>
      <c r="C1847" s="122" t="s">
        <v>3167</v>
      </c>
      <c r="D1847" s="122">
        <v>1.25</v>
      </c>
      <c r="E1847" s="122">
        <v>10.43</v>
      </c>
      <c r="F1847" s="122">
        <v>46.35</v>
      </c>
    </row>
    <row r="1848" spans="2:6" x14ac:dyDescent="0.2">
      <c r="B1848" s="129" t="s">
        <v>3168</v>
      </c>
      <c r="C1848" s="122" t="s">
        <v>3169</v>
      </c>
      <c r="D1848" s="122">
        <v>2.64</v>
      </c>
      <c r="E1848" s="122"/>
      <c r="F1848" s="122">
        <v>33.090000000000003</v>
      </c>
    </row>
    <row r="1849" spans="2:6" x14ac:dyDescent="0.2">
      <c r="B1849" s="129" t="s">
        <v>3170</v>
      </c>
      <c r="C1849" s="122" t="s">
        <v>3171</v>
      </c>
      <c r="D1849" s="122">
        <v>0.75</v>
      </c>
      <c r="E1849" s="122">
        <v>1.1000000000000001</v>
      </c>
      <c r="F1849" s="122">
        <v>14.26</v>
      </c>
    </row>
    <row r="1850" spans="2:6" x14ac:dyDescent="0.2">
      <c r="B1850" s="129" t="s">
        <v>4611</v>
      </c>
      <c r="C1850" s="122" t="s">
        <v>4612</v>
      </c>
      <c r="D1850" s="122">
        <v>0.62</v>
      </c>
      <c r="E1850" s="122">
        <v>1.33</v>
      </c>
      <c r="F1850" s="122">
        <v>0.76</v>
      </c>
    </row>
    <row r="1851" spans="2:6" x14ac:dyDescent="0.2">
      <c r="B1851" s="129" t="s">
        <v>3172</v>
      </c>
      <c r="C1851" s="122" t="s">
        <v>3173</v>
      </c>
      <c r="D1851" s="122">
        <v>0.68</v>
      </c>
      <c r="E1851" s="122">
        <v>1.1299999999999999</v>
      </c>
      <c r="F1851" s="122">
        <v>10.68</v>
      </c>
    </row>
    <row r="1852" spans="2:6" x14ac:dyDescent="0.2">
      <c r="B1852" s="129" t="s">
        <v>4613</v>
      </c>
      <c r="C1852" s="122" t="s">
        <v>4614</v>
      </c>
      <c r="D1852" s="122">
        <v>20.329999999999998</v>
      </c>
      <c r="E1852" s="122">
        <v>12.99</v>
      </c>
      <c r="F1852" s="122">
        <v>104.77</v>
      </c>
    </row>
    <row r="1853" spans="2:6" x14ac:dyDescent="0.2">
      <c r="B1853" s="129" t="s">
        <v>4615</v>
      </c>
      <c r="C1853" s="122" t="s">
        <v>4616</v>
      </c>
      <c r="D1853" s="122">
        <v>1.2</v>
      </c>
      <c r="E1853" s="122">
        <v>2.08</v>
      </c>
      <c r="F1853" s="122">
        <v>21.64</v>
      </c>
    </row>
    <row r="1854" spans="2:6" x14ac:dyDescent="0.2">
      <c r="B1854" s="129" t="s">
        <v>3174</v>
      </c>
      <c r="C1854" s="122" t="s">
        <v>3175</v>
      </c>
      <c r="D1854" s="122">
        <v>1.47</v>
      </c>
      <c r="E1854" s="122">
        <v>13.58</v>
      </c>
      <c r="F1854" s="122">
        <v>72.95</v>
      </c>
    </row>
    <row r="1855" spans="2:6" x14ac:dyDescent="0.2">
      <c r="B1855" s="129" t="s">
        <v>3176</v>
      </c>
      <c r="C1855" s="122" t="s">
        <v>3177</v>
      </c>
      <c r="D1855" s="122">
        <v>4.49</v>
      </c>
      <c r="E1855" s="122">
        <v>11.29</v>
      </c>
      <c r="F1855" s="122">
        <v>12.54</v>
      </c>
    </row>
    <row r="1856" spans="2:6" x14ac:dyDescent="0.2">
      <c r="B1856" s="129" t="s">
        <v>3178</v>
      </c>
      <c r="C1856" s="122" t="s">
        <v>3179</v>
      </c>
      <c r="D1856" s="122">
        <v>7.37</v>
      </c>
      <c r="E1856" s="122">
        <v>13.03</v>
      </c>
      <c r="F1856" s="122">
        <v>35.94</v>
      </c>
    </row>
    <row r="1857" spans="2:6" x14ac:dyDescent="0.2">
      <c r="B1857" s="129" t="s">
        <v>3180</v>
      </c>
      <c r="C1857" s="122" t="s">
        <v>3181</v>
      </c>
      <c r="D1857" s="122">
        <v>0.98</v>
      </c>
      <c r="E1857" s="122">
        <v>1.08</v>
      </c>
      <c r="F1857" s="122">
        <v>-0.17</v>
      </c>
    </row>
    <row r="1858" spans="2:6" x14ac:dyDescent="0.2">
      <c r="B1858" s="129" t="s">
        <v>3182</v>
      </c>
      <c r="C1858" s="122" t="s">
        <v>3183</v>
      </c>
      <c r="D1858" s="122">
        <v>5.85</v>
      </c>
      <c r="E1858" s="122">
        <v>3.68</v>
      </c>
      <c r="F1858" s="122">
        <v>5.16</v>
      </c>
    </row>
    <row r="1859" spans="2:6" x14ac:dyDescent="0.2">
      <c r="B1859" s="129" t="s">
        <v>3184</v>
      </c>
      <c r="C1859" s="122" t="s">
        <v>3185</v>
      </c>
      <c r="D1859" s="122">
        <v>3.4</v>
      </c>
      <c r="E1859" s="122">
        <v>3.46</v>
      </c>
      <c r="F1859" s="122">
        <v>10.63</v>
      </c>
    </row>
    <row r="1860" spans="2:6" x14ac:dyDescent="0.2">
      <c r="B1860" s="129" t="s">
        <v>3186</v>
      </c>
      <c r="C1860" s="122" t="s">
        <v>3187</v>
      </c>
      <c r="D1860" s="122">
        <v>3</v>
      </c>
      <c r="E1860" s="122">
        <v>3.43</v>
      </c>
      <c r="F1860" s="122">
        <v>15.96</v>
      </c>
    </row>
    <row r="1861" spans="2:6" x14ac:dyDescent="0.2">
      <c r="B1861" s="129" t="s">
        <v>3188</v>
      </c>
      <c r="C1861" s="122" t="s">
        <v>3189</v>
      </c>
      <c r="D1861" s="122">
        <v>21.01</v>
      </c>
      <c r="E1861" s="122">
        <v>2.34</v>
      </c>
      <c r="F1861" s="122">
        <v>4.55</v>
      </c>
    </row>
    <row r="1862" spans="2:6" x14ac:dyDescent="0.2">
      <c r="B1862" s="129" t="s">
        <v>3190</v>
      </c>
      <c r="C1862" s="122" t="s">
        <v>3191</v>
      </c>
      <c r="D1862" s="122">
        <v>4.97</v>
      </c>
      <c r="E1862" s="122">
        <v>4.09</v>
      </c>
      <c r="F1862" s="122">
        <v>28.8</v>
      </c>
    </row>
    <row r="1863" spans="2:6" x14ac:dyDescent="0.2">
      <c r="B1863" s="129" t="s">
        <v>3192</v>
      </c>
      <c r="C1863" s="122" t="s">
        <v>3193</v>
      </c>
      <c r="D1863" s="122">
        <v>4.58</v>
      </c>
      <c r="E1863" s="122">
        <v>2.3199999999999998</v>
      </c>
      <c r="F1863" s="122">
        <v>14.01</v>
      </c>
    </row>
    <row r="1864" spans="2:6" x14ac:dyDescent="0.2">
      <c r="B1864" s="129" t="s">
        <v>3194</v>
      </c>
      <c r="C1864" s="122" t="s">
        <v>3195</v>
      </c>
      <c r="D1864" s="122">
        <v>6.09</v>
      </c>
      <c r="E1864" s="122">
        <v>7.22</v>
      </c>
      <c r="F1864" s="122">
        <v>22.94</v>
      </c>
    </row>
    <row r="1865" spans="2:6" x14ac:dyDescent="0.2">
      <c r="B1865" s="129" t="s">
        <v>4617</v>
      </c>
      <c r="C1865" s="122" t="s">
        <v>4618</v>
      </c>
      <c r="D1865" s="122">
        <v>4.46</v>
      </c>
      <c r="E1865" s="122"/>
      <c r="F1865" s="122"/>
    </row>
    <row r="1866" spans="2:6" x14ac:dyDescent="0.2">
      <c r="B1866" s="129" t="s">
        <v>3196</v>
      </c>
      <c r="C1866" s="122" t="s">
        <v>3197</v>
      </c>
      <c r="D1866" s="122">
        <v>1.23</v>
      </c>
      <c r="E1866" s="122">
        <v>1.5</v>
      </c>
      <c r="F1866" s="122">
        <v>10.73</v>
      </c>
    </row>
    <row r="1867" spans="2:6" x14ac:dyDescent="0.2">
      <c r="B1867" s="129" t="s">
        <v>3198</v>
      </c>
      <c r="C1867" s="122" t="s">
        <v>3199</v>
      </c>
      <c r="D1867" s="122">
        <v>0.57999999999999996</v>
      </c>
      <c r="E1867" s="122"/>
      <c r="F1867" s="122">
        <v>8.15</v>
      </c>
    </row>
    <row r="1868" spans="2:6" x14ac:dyDescent="0.2">
      <c r="B1868" s="129" t="s">
        <v>3200</v>
      </c>
      <c r="C1868" s="122" t="s">
        <v>3201</v>
      </c>
      <c r="D1868" s="122">
        <v>1.64</v>
      </c>
      <c r="E1868" s="122">
        <v>1.05</v>
      </c>
      <c r="F1868" s="122">
        <v>7.97</v>
      </c>
    </row>
    <row r="1869" spans="2:6" x14ac:dyDescent="0.2">
      <c r="B1869" s="129" t="s">
        <v>3202</v>
      </c>
      <c r="C1869" s="122" t="s">
        <v>3203</v>
      </c>
      <c r="D1869" s="122"/>
      <c r="E1869" s="122">
        <v>1.49</v>
      </c>
      <c r="F1869" s="122"/>
    </row>
    <row r="1870" spans="2:6" x14ac:dyDescent="0.2">
      <c r="B1870" s="129" t="s">
        <v>3204</v>
      </c>
      <c r="C1870" s="122" t="s">
        <v>3205</v>
      </c>
      <c r="D1870" s="122">
        <v>1.32</v>
      </c>
      <c r="E1870" s="122">
        <v>6.98</v>
      </c>
      <c r="F1870" s="122">
        <v>36.119999999999997</v>
      </c>
    </row>
    <row r="1871" spans="2:6" x14ac:dyDescent="0.2">
      <c r="B1871" s="129" t="s">
        <v>3206</v>
      </c>
      <c r="C1871" s="122" t="s">
        <v>3207</v>
      </c>
      <c r="D1871" s="122">
        <v>1.86</v>
      </c>
      <c r="E1871" s="122">
        <v>1.04</v>
      </c>
      <c r="F1871" s="122">
        <v>11.76</v>
      </c>
    </row>
    <row r="1872" spans="2:6" x14ac:dyDescent="0.2">
      <c r="B1872" s="129" t="s">
        <v>4619</v>
      </c>
      <c r="C1872" s="122" t="s">
        <v>4620</v>
      </c>
      <c r="D1872" s="122"/>
      <c r="E1872" s="122"/>
      <c r="F1872" s="122"/>
    </row>
    <row r="1873" spans="2:6" x14ac:dyDescent="0.2">
      <c r="B1873" s="129" t="s">
        <v>3208</v>
      </c>
      <c r="C1873" s="122" t="s">
        <v>3209</v>
      </c>
      <c r="D1873" s="122">
        <v>1.73</v>
      </c>
      <c r="E1873" s="122">
        <v>6.56</v>
      </c>
      <c r="F1873" s="122">
        <v>-11.42</v>
      </c>
    </row>
    <row r="1874" spans="2:6" x14ac:dyDescent="0.2">
      <c r="B1874" s="129" t="s">
        <v>3210</v>
      </c>
      <c r="C1874" s="122" t="s">
        <v>3211</v>
      </c>
      <c r="D1874" s="122">
        <v>6.95</v>
      </c>
      <c r="E1874" s="122">
        <v>4.55</v>
      </c>
      <c r="F1874" s="122">
        <v>19.37</v>
      </c>
    </row>
    <row r="1875" spans="2:6" x14ac:dyDescent="0.2">
      <c r="B1875" s="129" t="s">
        <v>3212</v>
      </c>
      <c r="C1875" s="122" t="s">
        <v>3213</v>
      </c>
      <c r="D1875" s="122">
        <v>0.77</v>
      </c>
      <c r="E1875" s="122">
        <v>2.25</v>
      </c>
      <c r="F1875" s="122">
        <v>15.92</v>
      </c>
    </row>
    <row r="1876" spans="2:6" x14ac:dyDescent="0.2">
      <c r="B1876" s="129" t="s">
        <v>3214</v>
      </c>
      <c r="C1876" s="122" t="s">
        <v>3215</v>
      </c>
      <c r="D1876" s="122">
        <v>1.55</v>
      </c>
      <c r="E1876" s="122">
        <v>1.23</v>
      </c>
      <c r="F1876" s="122">
        <v>12.16</v>
      </c>
    </row>
    <row r="1877" spans="2:6" x14ac:dyDescent="0.2">
      <c r="B1877" s="129" t="s">
        <v>4621</v>
      </c>
      <c r="C1877" s="122" t="s">
        <v>4622</v>
      </c>
      <c r="D1877" s="122"/>
      <c r="E1877" s="122"/>
      <c r="F1877" s="122"/>
    </row>
    <row r="1878" spans="2:6" x14ac:dyDescent="0.2">
      <c r="B1878" s="129" t="s">
        <v>3216</v>
      </c>
      <c r="C1878" s="122" t="s">
        <v>3217</v>
      </c>
      <c r="D1878" s="122">
        <v>2.62</v>
      </c>
      <c r="E1878" s="122">
        <v>9.1300000000000008</v>
      </c>
      <c r="F1878" s="122">
        <v>40.520000000000003</v>
      </c>
    </row>
    <row r="1879" spans="2:6" x14ac:dyDescent="0.2">
      <c r="B1879" s="129" t="s">
        <v>3218</v>
      </c>
      <c r="C1879" s="122" t="s">
        <v>3219</v>
      </c>
      <c r="D1879" s="122">
        <v>16.63</v>
      </c>
      <c r="E1879" s="122">
        <v>18.899999999999999</v>
      </c>
      <c r="F1879" s="122">
        <v>23.63</v>
      </c>
    </row>
    <row r="1880" spans="2:6" x14ac:dyDescent="0.2">
      <c r="B1880" s="129" t="s">
        <v>3220</v>
      </c>
      <c r="C1880" s="122" t="s">
        <v>3221</v>
      </c>
      <c r="D1880" s="122">
        <v>0.94</v>
      </c>
      <c r="E1880" s="122"/>
      <c r="F1880" s="122">
        <v>9.69</v>
      </c>
    </row>
    <row r="1881" spans="2:6" x14ac:dyDescent="0.2">
      <c r="B1881" s="129" t="s">
        <v>3222</v>
      </c>
      <c r="C1881" s="122" t="s">
        <v>3223</v>
      </c>
      <c r="D1881" s="122">
        <v>1.53</v>
      </c>
      <c r="E1881" s="122">
        <v>4.54</v>
      </c>
      <c r="F1881" s="122">
        <v>17.36</v>
      </c>
    </row>
    <row r="1882" spans="2:6" x14ac:dyDescent="0.2">
      <c r="B1882" s="129" t="s">
        <v>3224</v>
      </c>
      <c r="C1882" s="122" t="s">
        <v>3225</v>
      </c>
      <c r="D1882" s="122">
        <v>0.15</v>
      </c>
      <c r="E1882" s="122">
        <v>0.8</v>
      </c>
      <c r="F1882" s="122">
        <v>-4.54</v>
      </c>
    </row>
    <row r="1883" spans="2:6" x14ac:dyDescent="0.2">
      <c r="B1883" s="129" t="s">
        <v>4623</v>
      </c>
      <c r="C1883" s="122" t="s">
        <v>4624</v>
      </c>
      <c r="D1883" s="122"/>
      <c r="E1883" s="122">
        <v>4.1100000000000003</v>
      </c>
      <c r="F1883" s="122"/>
    </row>
    <row r="1884" spans="2:6" x14ac:dyDescent="0.2">
      <c r="B1884" s="129" t="s">
        <v>3226</v>
      </c>
      <c r="C1884" s="122" t="s">
        <v>3227</v>
      </c>
      <c r="D1884" s="122">
        <v>5.24</v>
      </c>
      <c r="E1884" s="122">
        <v>7.08</v>
      </c>
      <c r="F1884" s="122">
        <v>23.95</v>
      </c>
    </row>
    <row r="1885" spans="2:6" x14ac:dyDescent="0.2">
      <c r="B1885" s="129" t="s">
        <v>3228</v>
      </c>
      <c r="C1885" s="122" t="s">
        <v>3229</v>
      </c>
      <c r="D1885" s="122">
        <v>1.99</v>
      </c>
      <c r="E1885" s="122">
        <v>2.8</v>
      </c>
      <c r="F1885" s="122">
        <v>16.75</v>
      </c>
    </row>
    <row r="1886" spans="2:6" x14ac:dyDescent="0.2">
      <c r="B1886" s="129" t="s">
        <v>4625</v>
      </c>
      <c r="C1886" s="122" t="s">
        <v>4626</v>
      </c>
      <c r="D1886" s="122">
        <v>0.27</v>
      </c>
      <c r="E1886" s="122">
        <v>1.62</v>
      </c>
      <c r="F1886" s="122">
        <v>17.899999999999999</v>
      </c>
    </row>
    <row r="1887" spans="2:6" x14ac:dyDescent="0.2">
      <c r="B1887" s="129" t="s">
        <v>3230</v>
      </c>
      <c r="C1887" s="122" t="s">
        <v>3231</v>
      </c>
      <c r="D1887" s="122">
        <v>1.19</v>
      </c>
      <c r="E1887" s="122">
        <v>1.1399999999999999</v>
      </c>
      <c r="F1887" s="122">
        <v>2.4</v>
      </c>
    </row>
    <row r="1888" spans="2:6" x14ac:dyDescent="0.2">
      <c r="B1888" s="129" t="s">
        <v>3232</v>
      </c>
      <c r="C1888" s="122" t="s">
        <v>3233</v>
      </c>
      <c r="D1888" s="122"/>
      <c r="E1888" s="122"/>
      <c r="F1888" s="122"/>
    </row>
    <row r="1889" spans="2:6" x14ac:dyDescent="0.2">
      <c r="B1889" s="129" t="s">
        <v>4627</v>
      </c>
      <c r="C1889" s="122" t="s">
        <v>4628</v>
      </c>
      <c r="D1889" s="122"/>
      <c r="E1889" s="122">
        <v>2.0099999999999998</v>
      </c>
      <c r="F1889" s="122"/>
    </row>
    <row r="1890" spans="2:6" x14ac:dyDescent="0.2">
      <c r="B1890" s="129" t="s">
        <v>3234</v>
      </c>
      <c r="C1890" s="122" t="s">
        <v>3235</v>
      </c>
      <c r="D1890" s="122">
        <v>17.61</v>
      </c>
      <c r="E1890" s="122">
        <v>3.61</v>
      </c>
      <c r="F1890" s="122">
        <v>-7.22</v>
      </c>
    </row>
    <row r="1891" spans="2:6" x14ac:dyDescent="0.2">
      <c r="B1891" s="129" t="s">
        <v>3236</v>
      </c>
      <c r="C1891" s="122" t="s">
        <v>3237</v>
      </c>
      <c r="D1891" s="122">
        <v>3.31</v>
      </c>
      <c r="E1891" s="122">
        <v>0.94</v>
      </c>
      <c r="F1891" s="122">
        <v>13.49</v>
      </c>
    </row>
    <row r="1892" spans="2:6" x14ac:dyDescent="0.2">
      <c r="B1892" s="129" t="s">
        <v>4629</v>
      </c>
      <c r="C1892" s="122" t="s">
        <v>4630</v>
      </c>
      <c r="D1892" s="122"/>
      <c r="E1892" s="122"/>
      <c r="F1892" s="122"/>
    </row>
    <row r="1893" spans="2:6" x14ac:dyDescent="0.2">
      <c r="B1893" s="129" t="s">
        <v>3238</v>
      </c>
      <c r="C1893" s="122" t="s">
        <v>3239</v>
      </c>
      <c r="D1893" s="122">
        <v>10.14</v>
      </c>
      <c r="E1893" s="122">
        <v>4</v>
      </c>
      <c r="F1893" s="122">
        <v>7.93</v>
      </c>
    </row>
    <row r="1894" spans="2:6" x14ac:dyDescent="0.2">
      <c r="B1894" s="129" t="s">
        <v>3240</v>
      </c>
      <c r="C1894" s="122" t="s">
        <v>3241</v>
      </c>
      <c r="D1894" s="122">
        <v>0.34</v>
      </c>
      <c r="E1894" s="122">
        <v>0.48</v>
      </c>
      <c r="F1894" s="122">
        <v>16.62</v>
      </c>
    </row>
    <row r="1895" spans="2:6" x14ac:dyDescent="0.2">
      <c r="B1895" s="129" t="s">
        <v>3242</v>
      </c>
      <c r="C1895" s="122" t="s">
        <v>3243</v>
      </c>
      <c r="D1895" s="122">
        <v>7.76</v>
      </c>
      <c r="E1895" s="122">
        <v>13.94</v>
      </c>
      <c r="F1895" s="122">
        <v>57.25</v>
      </c>
    </row>
    <row r="1896" spans="2:6" x14ac:dyDescent="0.2">
      <c r="B1896" s="129" t="s">
        <v>3244</v>
      </c>
      <c r="C1896" s="122" t="s">
        <v>3245</v>
      </c>
      <c r="D1896" s="122">
        <v>1.39</v>
      </c>
      <c r="E1896" s="122">
        <v>3.97</v>
      </c>
      <c r="F1896" s="122">
        <v>16.3</v>
      </c>
    </row>
    <row r="1897" spans="2:6" x14ac:dyDescent="0.2">
      <c r="B1897" s="129" t="s">
        <v>3246</v>
      </c>
      <c r="C1897" s="122" t="s">
        <v>3247</v>
      </c>
      <c r="D1897" s="122">
        <v>0.88</v>
      </c>
      <c r="E1897" s="122">
        <v>2.2000000000000002</v>
      </c>
      <c r="F1897" s="122">
        <v>15.55</v>
      </c>
    </row>
    <row r="1898" spans="2:6" x14ac:dyDescent="0.2">
      <c r="B1898" s="129" t="s">
        <v>4631</v>
      </c>
      <c r="C1898" s="122" t="s">
        <v>4632</v>
      </c>
      <c r="D1898" s="122"/>
      <c r="E1898" s="122"/>
      <c r="F1898" s="122"/>
    </row>
    <row r="1899" spans="2:6" x14ac:dyDescent="0.2">
      <c r="B1899" s="129" t="s">
        <v>3248</v>
      </c>
      <c r="C1899" s="122" t="s">
        <v>3249</v>
      </c>
      <c r="D1899" s="122">
        <v>9.9499999999999993</v>
      </c>
      <c r="E1899" s="122">
        <v>6.97</v>
      </c>
      <c r="F1899" s="122">
        <v>11.44</v>
      </c>
    </row>
    <row r="1900" spans="2:6" x14ac:dyDescent="0.2">
      <c r="B1900" s="129" t="s">
        <v>3250</v>
      </c>
      <c r="C1900" s="122" t="s">
        <v>4633</v>
      </c>
      <c r="D1900" s="122">
        <v>1.55</v>
      </c>
      <c r="E1900" s="122">
        <v>3.96</v>
      </c>
      <c r="F1900" s="122">
        <v>7.83</v>
      </c>
    </row>
    <row r="1901" spans="2:6" x14ac:dyDescent="0.2">
      <c r="B1901" s="129" t="s">
        <v>3250</v>
      </c>
      <c r="C1901" s="122" t="s">
        <v>3251</v>
      </c>
      <c r="D1901" s="122">
        <v>1.7</v>
      </c>
      <c r="E1901" s="122">
        <v>4.33</v>
      </c>
      <c r="F1901" s="122">
        <v>7.86</v>
      </c>
    </row>
    <row r="1902" spans="2:6" x14ac:dyDescent="0.2">
      <c r="B1902" s="129" t="s">
        <v>3252</v>
      </c>
      <c r="C1902" s="122" t="s">
        <v>3253</v>
      </c>
      <c r="D1902" s="122">
        <v>0.54</v>
      </c>
      <c r="E1902" s="122">
        <v>2.2200000000000002</v>
      </c>
      <c r="F1902" s="122">
        <v>29.33</v>
      </c>
    </row>
    <row r="1903" spans="2:6" x14ac:dyDescent="0.2">
      <c r="B1903" s="129" t="s">
        <v>4634</v>
      </c>
      <c r="C1903" s="122" t="s">
        <v>4635</v>
      </c>
      <c r="D1903" s="122"/>
      <c r="E1903" s="122">
        <v>3.48</v>
      </c>
      <c r="F1903" s="122"/>
    </row>
    <row r="1904" spans="2:6" x14ac:dyDescent="0.2">
      <c r="B1904" s="129" t="s">
        <v>3254</v>
      </c>
      <c r="C1904" s="122" t="s">
        <v>3255</v>
      </c>
      <c r="D1904" s="122">
        <v>1.32</v>
      </c>
      <c r="E1904" s="122">
        <v>0.79</v>
      </c>
      <c r="F1904" s="122">
        <v>8.07</v>
      </c>
    </row>
    <row r="1905" spans="2:6" x14ac:dyDescent="0.2">
      <c r="B1905" s="129" t="s">
        <v>4636</v>
      </c>
      <c r="C1905" s="122" t="s">
        <v>4637</v>
      </c>
      <c r="D1905" s="122"/>
      <c r="E1905" s="122"/>
      <c r="F1905" s="122"/>
    </row>
    <row r="1906" spans="2:6" x14ac:dyDescent="0.2">
      <c r="B1906" s="129" t="s">
        <v>3256</v>
      </c>
      <c r="C1906" s="122" t="s">
        <v>3257</v>
      </c>
      <c r="D1906" s="122">
        <v>4.38</v>
      </c>
      <c r="E1906" s="122">
        <v>1.18</v>
      </c>
      <c r="F1906" s="122">
        <v>7.9</v>
      </c>
    </row>
    <row r="1907" spans="2:6" x14ac:dyDescent="0.2">
      <c r="B1907" s="129" t="s">
        <v>4638</v>
      </c>
      <c r="C1907" s="122" t="s">
        <v>4639</v>
      </c>
      <c r="D1907" s="122"/>
      <c r="E1907" s="122"/>
      <c r="F1907" s="122"/>
    </row>
    <row r="1908" spans="2:6" x14ac:dyDescent="0.2">
      <c r="B1908" s="129" t="s">
        <v>3258</v>
      </c>
      <c r="C1908" s="122" t="s">
        <v>3259</v>
      </c>
      <c r="D1908" s="122"/>
      <c r="E1908" s="122"/>
      <c r="F1908" s="122"/>
    </row>
    <row r="1909" spans="2:6" x14ac:dyDescent="0.2">
      <c r="B1909" s="129" t="s">
        <v>3260</v>
      </c>
      <c r="C1909" s="122" t="s">
        <v>3261</v>
      </c>
      <c r="D1909" s="122">
        <v>12.92</v>
      </c>
      <c r="E1909" s="122">
        <v>4.68</v>
      </c>
      <c r="F1909" s="122">
        <v>5.59</v>
      </c>
    </row>
    <row r="1910" spans="2:6" x14ac:dyDescent="0.2">
      <c r="B1910" s="129" t="s">
        <v>3262</v>
      </c>
      <c r="C1910" s="122" t="s">
        <v>3263</v>
      </c>
      <c r="D1910" s="122">
        <v>1.17</v>
      </c>
      <c r="E1910" s="122">
        <v>2.08</v>
      </c>
      <c r="F1910" s="122">
        <v>10.56</v>
      </c>
    </row>
    <row r="1911" spans="2:6" x14ac:dyDescent="0.2">
      <c r="B1911" s="129" t="s">
        <v>3264</v>
      </c>
      <c r="C1911" s="122" t="s">
        <v>3265</v>
      </c>
      <c r="D1911" s="122">
        <v>0.21</v>
      </c>
      <c r="E1911" s="122">
        <v>1.89</v>
      </c>
      <c r="F1911" s="122">
        <v>11.93</v>
      </c>
    </row>
    <row r="1912" spans="2:6" x14ac:dyDescent="0.2">
      <c r="B1912" s="129" t="s">
        <v>3266</v>
      </c>
      <c r="C1912" s="122" t="s">
        <v>3267</v>
      </c>
      <c r="D1912" s="122">
        <v>1.99</v>
      </c>
      <c r="E1912" s="122">
        <v>1.9</v>
      </c>
      <c r="F1912" s="122">
        <v>9.69</v>
      </c>
    </row>
    <row r="1913" spans="2:6" x14ac:dyDescent="0.2">
      <c r="B1913" s="129" t="s">
        <v>3268</v>
      </c>
      <c r="C1913" s="122" t="s">
        <v>3269</v>
      </c>
      <c r="D1913" s="122">
        <v>1.2</v>
      </c>
      <c r="E1913" s="122">
        <v>2.48</v>
      </c>
      <c r="F1913" s="122">
        <v>16.41</v>
      </c>
    </row>
    <row r="1914" spans="2:6" x14ac:dyDescent="0.2">
      <c r="B1914" s="129" t="s">
        <v>3270</v>
      </c>
      <c r="C1914" s="122" t="s">
        <v>3271</v>
      </c>
      <c r="D1914" s="122">
        <v>7</v>
      </c>
      <c r="E1914" s="122">
        <v>84.22</v>
      </c>
      <c r="F1914" s="122">
        <v>206.17</v>
      </c>
    </row>
    <row r="1915" spans="2:6" x14ac:dyDescent="0.2">
      <c r="B1915" s="129" t="s">
        <v>3272</v>
      </c>
      <c r="C1915" s="122" t="s">
        <v>3273</v>
      </c>
      <c r="D1915" s="122"/>
      <c r="E1915" s="122">
        <v>4.6500000000000004</v>
      </c>
      <c r="F1915" s="122"/>
    </row>
    <row r="1916" spans="2:6" x14ac:dyDescent="0.2">
      <c r="B1916" s="129" t="s">
        <v>3274</v>
      </c>
      <c r="C1916" s="122" t="s">
        <v>3275</v>
      </c>
      <c r="D1916" s="122">
        <v>1.9</v>
      </c>
      <c r="E1916" s="122">
        <v>7.32</v>
      </c>
      <c r="F1916" s="122">
        <v>37.04</v>
      </c>
    </row>
    <row r="1917" spans="2:6" x14ac:dyDescent="0.2">
      <c r="B1917" s="129" t="s">
        <v>3276</v>
      </c>
      <c r="C1917" s="122" t="s">
        <v>3277</v>
      </c>
      <c r="D1917" s="122">
        <v>2.62</v>
      </c>
      <c r="E1917" s="122">
        <v>1.3</v>
      </c>
      <c r="F1917" s="122">
        <v>8.68</v>
      </c>
    </row>
    <row r="1918" spans="2:6" x14ac:dyDescent="0.2">
      <c r="B1918" s="129" t="s">
        <v>4640</v>
      </c>
      <c r="C1918" s="122" t="s">
        <v>4641</v>
      </c>
      <c r="D1918" s="122">
        <v>1.0900000000000001</v>
      </c>
      <c r="E1918" s="122">
        <v>0.78</v>
      </c>
      <c r="F1918" s="122">
        <v>1.41</v>
      </c>
    </row>
    <row r="1919" spans="2:6" x14ac:dyDescent="0.2">
      <c r="B1919" s="129" t="s">
        <v>3278</v>
      </c>
      <c r="C1919" s="122" t="s">
        <v>3279</v>
      </c>
      <c r="D1919" s="122">
        <v>2.6</v>
      </c>
      <c r="E1919" s="122">
        <v>0.88</v>
      </c>
      <c r="F1919" s="122">
        <v>8.7100000000000009</v>
      </c>
    </row>
    <row r="1920" spans="2:6" x14ac:dyDescent="0.2">
      <c r="B1920" s="129" t="s">
        <v>3280</v>
      </c>
      <c r="C1920" s="122" t="s">
        <v>3281</v>
      </c>
      <c r="D1920" s="122"/>
      <c r="E1920" s="122">
        <v>6.76</v>
      </c>
      <c r="F1920" s="122"/>
    </row>
    <row r="1921" spans="2:6" x14ac:dyDescent="0.2">
      <c r="B1921" s="129" t="s">
        <v>3282</v>
      </c>
      <c r="C1921" s="122" t="s">
        <v>3283</v>
      </c>
      <c r="D1921" s="122"/>
      <c r="E1921" s="122"/>
      <c r="F1921" s="122"/>
    </row>
    <row r="1922" spans="2:6" x14ac:dyDescent="0.2">
      <c r="B1922" s="129" t="s">
        <v>3284</v>
      </c>
      <c r="C1922" s="122" t="s">
        <v>3285</v>
      </c>
      <c r="D1922" s="122">
        <v>2.1</v>
      </c>
      <c r="E1922" s="122">
        <v>2.2999999999999998</v>
      </c>
      <c r="F1922" s="122">
        <v>9.67</v>
      </c>
    </row>
    <row r="1923" spans="2:6" x14ac:dyDescent="0.2">
      <c r="B1923" s="129" t="s">
        <v>3286</v>
      </c>
      <c r="C1923" s="122" t="s">
        <v>3287</v>
      </c>
      <c r="D1923" s="122">
        <v>0.94</v>
      </c>
      <c r="E1923" s="122">
        <v>3.96</v>
      </c>
      <c r="F1923" s="122">
        <v>25.2</v>
      </c>
    </row>
    <row r="1924" spans="2:6" x14ac:dyDescent="0.2">
      <c r="B1924" s="129" t="s">
        <v>4642</v>
      </c>
      <c r="C1924" s="122" t="s">
        <v>4643</v>
      </c>
      <c r="D1924" s="122">
        <v>3.07</v>
      </c>
      <c r="E1924" s="122"/>
      <c r="F1924" s="122"/>
    </row>
    <row r="1925" spans="2:6" x14ac:dyDescent="0.2">
      <c r="B1925" s="129" t="s">
        <v>3288</v>
      </c>
      <c r="C1925" s="122" t="s">
        <v>3289</v>
      </c>
      <c r="D1925" s="122">
        <v>0.52</v>
      </c>
      <c r="E1925" s="122">
        <v>0.65</v>
      </c>
      <c r="F1925" s="122">
        <v>12.9</v>
      </c>
    </row>
    <row r="1926" spans="2:6" x14ac:dyDescent="0.2">
      <c r="B1926" s="129" t="s">
        <v>3290</v>
      </c>
      <c r="C1926" s="122" t="s">
        <v>3291</v>
      </c>
      <c r="D1926" s="122">
        <v>5.17</v>
      </c>
      <c r="E1926" s="122">
        <v>6.45</v>
      </c>
      <c r="F1926" s="122">
        <v>31.74</v>
      </c>
    </row>
    <row r="1927" spans="2:6" x14ac:dyDescent="0.2">
      <c r="B1927" s="129" t="s">
        <v>3292</v>
      </c>
      <c r="C1927" s="122" t="s">
        <v>3293</v>
      </c>
      <c r="D1927" s="122">
        <v>0.42</v>
      </c>
      <c r="E1927" s="122">
        <v>2.09</v>
      </c>
      <c r="F1927" s="122">
        <v>15.03</v>
      </c>
    </row>
    <row r="1928" spans="2:6" x14ac:dyDescent="0.2">
      <c r="B1928" s="129" t="s">
        <v>3294</v>
      </c>
      <c r="C1928" s="122" t="s">
        <v>3295</v>
      </c>
      <c r="D1928" s="122">
        <v>3.39</v>
      </c>
      <c r="E1928" s="122"/>
      <c r="F1928" s="122"/>
    </row>
    <row r="1929" spans="2:6" x14ac:dyDescent="0.2">
      <c r="B1929" s="129" t="s">
        <v>3296</v>
      </c>
      <c r="C1929" s="122" t="s">
        <v>3297</v>
      </c>
      <c r="D1929" s="122">
        <v>1.43</v>
      </c>
      <c r="E1929" s="122">
        <v>23.43</v>
      </c>
      <c r="F1929" s="122">
        <v>175.6</v>
      </c>
    </row>
    <row r="1930" spans="2:6" x14ac:dyDescent="0.2">
      <c r="B1930" s="129" t="s">
        <v>3298</v>
      </c>
      <c r="C1930" s="122" t="s">
        <v>3299</v>
      </c>
      <c r="D1930" s="122">
        <v>1.1100000000000001</v>
      </c>
      <c r="E1930" s="122">
        <v>2.81</v>
      </c>
      <c r="F1930" s="122">
        <v>41.97</v>
      </c>
    </row>
    <row r="1931" spans="2:6" x14ac:dyDescent="0.2">
      <c r="B1931" s="129" t="s">
        <v>3300</v>
      </c>
      <c r="C1931" s="122" t="s">
        <v>3301</v>
      </c>
      <c r="D1931" s="122">
        <v>3.24</v>
      </c>
      <c r="E1931" s="122">
        <v>1.86</v>
      </c>
      <c r="F1931" s="122">
        <v>15.45</v>
      </c>
    </row>
    <row r="1932" spans="2:6" x14ac:dyDescent="0.2">
      <c r="B1932" s="129" t="s">
        <v>3302</v>
      </c>
      <c r="C1932" s="122" t="s">
        <v>3303</v>
      </c>
      <c r="D1932" s="122">
        <v>0.38</v>
      </c>
      <c r="E1932" s="122">
        <v>2.72</v>
      </c>
      <c r="F1932" s="122">
        <v>14.15</v>
      </c>
    </row>
    <row r="1933" spans="2:6" x14ac:dyDescent="0.2">
      <c r="B1933" s="129" t="s">
        <v>3304</v>
      </c>
      <c r="C1933" s="122" t="s">
        <v>3305</v>
      </c>
      <c r="D1933" s="122">
        <v>0.82</v>
      </c>
      <c r="E1933" s="122">
        <v>0.78</v>
      </c>
      <c r="F1933" s="122">
        <v>3.46</v>
      </c>
    </row>
    <row r="1934" spans="2:6" x14ac:dyDescent="0.2">
      <c r="B1934" s="129" t="s">
        <v>3306</v>
      </c>
      <c r="C1934" s="122" t="s">
        <v>3307</v>
      </c>
      <c r="D1934" s="122"/>
      <c r="E1934" s="122"/>
      <c r="F1934" s="122"/>
    </row>
    <row r="1935" spans="2:6" x14ac:dyDescent="0.2">
      <c r="B1935" s="129" t="s">
        <v>3308</v>
      </c>
      <c r="C1935" s="122" t="s">
        <v>3309</v>
      </c>
      <c r="D1935" s="122">
        <v>2.46</v>
      </c>
      <c r="E1935" s="122">
        <v>1.47</v>
      </c>
      <c r="F1935" s="122">
        <v>-4.54</v>
      </c>
    </row>
    <row r="1936" spans="2:6" x14ac:dyDescent="0.2">
      <c r="B1936" s="129" t="s">
        <v>3310</v>
      </c>
      <c r="C1936" s="122" t="s">
        <v>3311</v>
      </c>
      <c r="D1936" s="122">
        <v>1.61</v>
      </c>
      <c r="E1936" s="122">
        <v>2.72</v>
      </c>
      <c r="F1936" s="122">
        <v>16.809999999999999</v>
      </c>
    </row>
    <row r="1937" spans="2:6" x14ac:dyDescent="0.2">
      <c r="B1937" s="129" t="s">
        <v>4644</v>
      </c>
      <c r="C1937" s="122" t="s">
        <v>4645</v>
      </c>
      <c r="D1937" s="122"/>
      <c r="E1937" s="122"/>
      <c r="F1937" s="122"/>
    </row>
    <row r="1938" spans="2:6" x14ac:dyDescent="0.2">
      <c r="B1938" s="129" t="s">
        <v>3312</v>
      </c>
      <c r="C1938" s="122" t="s">
        <v>3313</v>
      </c>
      <c r="D1938" s="122">
        <v>15.5</v>
      </c>
      <c r="E1938" s="122">
        <v>11.7</v>
      </c>
      <c r="F1938" s="122">
        <v>41.04</v>
      </c>
    </row>
    <row r="1939" spans="2:6" x14ac:dyDescent="0.2">
      <c r="B1939" s="129" t="s">
        <v>3314</v>
      </c>
      <c r="C1939" s="122" t="s">
        <v>3315</v>
      </c>
      <c r="D1939" s="122">
        <v>1.2</v>
      </c>
      <c r="E1939" s="122">
        <v>1.44</v>
      </c>
      <c r="F1939" s="122">
        <v>8.11</v>
      </c>
    </row>
    <row r="1940" spans="2:6" x14ac:dyDescent="0.2">
      <c r="B1940" s="129" t="s">
        <v>3316</v>
      </c>
      <c r="C1940" s="122" t="s">
        <v>3317</v>
      </c>
      <c r="D1940" s="122">
        <v>1.62</v>
      </c>
      <c r="E1940" s="122">
        <v>1.4</v>
      </c>
      <c r="F1940" s="122">
        <v>21.11</v>
      </c>
    </row>
    <row r="1941" spans="2:6" x14ac:dyDescent="0.2">
      <c r="B1941" s="129" t="s">
        <v>3318</v>
      </c>
      <c r="C1941" s="122" t="s">
        <v>3319</v>
      </c>
      <c r="D1941" s="122">
        <v>3.4</v>
      </c>
      <c r="E1941" s="122">
        <v>6.09</v>
      </c>
      <c r="F1941" s="122">
        <v>24.91</v>
      </c>
    </row>
    <row r="1942" spans="2:6" x14ac:dyDescent="0.2">
      <c r="B1942" s="129" t="s">
        <v>4646</v>
      </c>
      <c r="C1942" s="122" t="s">
        <v>4647</v>
      </c>
      <c r="D1942" s="122"/>
      <c r="E1942" s="122">
        <v>2.74</v>
      </c>
      <c r="F1942" s="122"/>
    </row>
    <row r="1943" spans="2:6" x14ac:dyDescent="0.2">
      <c r="B1943" s="129" t="s">
        <v>4648</v>
      </c>
      <c r="C1943" s="122" t="s">
        <v>4649</v>
      </c>
      <c r="D1943" s="122">
        <v>0.65</v>
      </c>
      <c r="E1943" s="122">
        <v>0.79</v>
      </c>
      <c r="F1943" s="122">
        <v>17.03</v>
      </c>
    </row>
    <row r="1944" spans="2:6" x14ac:dyDescent="0.2">
      <c r="B1944" s="129" t="s">
        <v>3320</v>
      </c>
      <c r="C1944" s="122" t="s">
        <v>3321</v>
      </c>
      <c r="D1944" s="122">
        <v>22.86</v>
      </c>
      <c r="E1944" s="122">
        <v>15.32</v>
      </c>
      <c r="F1944" s="122">
        <v>18.100000000000001</v>
      </c>
    </row>
    <row r="1945" spans="2:6" x14ac:dyDescent="0.2">
      <c r="B1945" s="129" t="s">
        <v>3322</v>
      </c>
      <c r="C1945" s="122" t="s">
        <v>3323</v>
      </c>
      <c r="D1945" s="122"/>
      <c r="E1945" s="122"/>
      <c r="F1945" s="122"/>
    </row>
    <row r="1946" spans="2:6" x14ac:dyDescent="0.2">
      <c r="B1946" s="129" t="s">
        <v>3324</v>
      </c>
      <c r="C1946" s="122" t="s">
        <v>3325</v>
      </c>
      <c r="D1946" s="122">
        <v>0.47</v>
      </c>
      <c r="E1946" s="122">
        <v>1.42</v>
      </c>
      <c r="F1946" s="122">
        <v>-15.89</v>
      </c>
    </row>
    <row r="1947" spans="2:6" x14ac:dyDescent="0.2">
      <c r="B1947" s="129" t="s">
        <v>3326</v>
      </c>
      <c r="C1947" s="122" t="s">
        <v>3327</v>
      </c>
      <c r="D1947" s="122">
        <v>7.59</v>
      </c>
      <c r="E1947" s="122">
        <v>1.3</v>
      </c>
      <c r="F1947" s="122">
        <v>4.2300000000000004</v>
      </c>
    </row>
    <row r="1948" spans="2:6" x14ac:dyDescent="0.2">
      <c r="B1948" s="129" t="s">
        <v>3328</v>
      </c>
      <c r="C1948" s="122" t="s">
        <v>3329</v>
      </c>
      <c r="D1948" s="122">
        <v>2.56</v>
      </c>
      <c r="E1948" s="122">
        <v>8.2200000000000006</v>
      </c>
      <c r="F1948" s="122">
        <v>34.520000000000003</v>
      </c>
    </row>
    <row r="1949" spans="2:6" x14ac:dyDescent="0.2">
      <c r="B1949" s="129" t="s">
        <v>4650</v>
      </c>
      <c r="C1949" s="122" t="s">
        <v>4651</v>
      </c>
      <c r="D1949" s="122"/>
      <c r="E1949" s="122"/>
      <c r="F1949" s="122"/>
    </row>
    <row r="1950" spans="2:6" x14ac:dyDescent="0.2">
      <c r="B1950" s="129" t="s">
        <v>3332</v>
      </c>
      <c r="C1950" s="122" t="s">
        <v>4652</v>
      </c>
      <c r="D1950" s="122">
        <v>0.83</v>
      </c>
      <c r="E1950" s="122">
        <v>1.27</v>
      </c>
      <c r="F1950" s="122">
        <v>21.71</v>
      </c>
    </row>
    <row r="1951" spans="2:6" x14ac:dyDescent="0.2">
      <c r="B1951" s="129" t="s">
        <v>4653</v>
      </c>
      <c r="C1951" s="122" t="s">
        <v>4654</v>
      </c>
      <c r="D1951" s="122">
        <v>3.97</v>
      </c>
      <c r="E1951" s="122"/>
      <c r="F1951" s="122"/>
    </row>
    <row r="1952" spans="2:6" x14ac:dyDescent="0.2">
      <c r="B1952" s="129" t="s">
        <v>3332</v>
      </c>
      <c r="C1952" s="122" t="s">
        <v>3333</v>
      </c>
      <c r="D1952" s="122">
        <v>0.78</v>
      </c>
      <c r="E1952" s="122">
        <v>1.19</v>
      </c>
      <c r="F1952" s="122">
        <v>21.71</v>
      </c>
    </row>
    <row r="1953" spans="2:6" x14ac:dyDescent="0.2">
      <c r="B1953" s="129" t="s">
        <v>3334</v>
      </c>
      <c r="C1953" s="122" t="s">
        <v>3335</v>
      </c>
      <c r="D1953" s="122">
        <v>2.97</v>
      </c>
      <c r="E1953" s="122">
        <v>4.62</v>
      </c>
      <c r="F1953" s="122">
        <v>16.75</v>
      </c>
    </row>
    <row r="1954" spans="2:6" x14ac:dyDescent="0.2">
      <c r="B1954" s="129" t="s">
        <v>3336</v>
      </c>
      <c r="C1954" s="122" t="s">
        <v>3337</v>
      </c>
      <c r="D1954" s="122">
        <v>11.84</v>
      </c>
      <c r="E1954" s="122">
        <v>1.31</v>
      </c>
      <c r="F1954" s="122">
        <v>8.15</v>
      </c>
    </row>
    <row r="1955" spans="2:6" x14ac:dyDescent="0.2">
      <c r="B1955" s="129" t="s">
        <v>3338</v>
      </c>
      <c r="C1955" s="122" t="s">
        <v>3339</v>
      </c>
      <c r="D1955" s="122">
        <v>0.5</v>
      </c>
      <c r="E1955" s="122">
        <v>2.29</v>
      </c>
      <c r="F1955" s="122">
        <v>14.63</v>
      </c>
    </row>
    <row r="1956" spans="2:6" x14ac:dyDescent="0.2">
      <c r="B1956" s="129" t="s">
        <v>3340</v>
      </c>
      <c r="C1956" s="122" t="s">
        <v>3341</v>
      </c>
      <c r="D1956" s="122">
        <v>2.4700000000000002</v>
      </c>
      <c r="E1956" s="122">
        <v>2.7</v>
      </c>
      <c r="F1956" s="122">
        <v>17.64</v>
      </c>
    </row>
    <row r="1957" spans="2:6" x14ac:dyDescent="0.2">
      <c r="B1957" s="129" t="s">
        <v>3342</v>
      </c>
      <c r="C1957" s="122" t="s">
        <v>3343</v>
      </c>
      <c r="D1957" s="122">
        <v>1.94</v>
      </c>
      <c r="E1957" s="122">
        <v>1.23</v>
      </c>
      <c r="F1957" s="122">
        <v>10.26</v>
      </c>
    </row>
    <row r="1958" spans="2:6" x14ac:dyDescent="0.2">
      <c r="B1958" s="129" t="s">
        <v>3344</v>
      </c>
      <c r="C1958" s="122" t="s">
        <v>3345</v>
      </c>
      <c r="D1958" s="122"/>
      <c r="E1958" s="122">
        <v>1.71</v>
      </c>
      <c r="F1958" s="122"/>
    </row>
    <row r="1959" spans="2:6" x14ac:dyDescent="0.2">
      <c r="B1959" s="129" t="s">
        <v>3346</v>
      </c>
      <c r="C1959" s="122" t="s">
        <v>3347</v>
      </c>
      <c r="D1959" s="122"/>
      <c r="E1959" s="122">
        <v>1.22</v>
      </c>
      <c r="F1959" s="122"/>
    </row>
    <row r="1960" spans="2:6" x14ac:dyDescent="0.2">
      <c r="B1960" s="129" t="s">
        <v>3348</v>
      </c>
      <c r="C1960" s="122" t="s">
        <v>3349</v>
      </c>
      <c r="D1960" s="122">
        <v>0.3</v>
      </c>
      <c r="E1960" s="122">
        <v>1.57</v>
      </c>
      <c r="F1960" s="122">
        <v>11.31</v>
      </c>
    </row>
    <row r="1961" spans="2:6" x14ac:dyDescent="0.2">
      <c r="B1961" s="129" t="s">
        <v>3350</v>
      </c>
      <c r="C1961" s="122" t="s">
        <v>3351</v>
      </c>
      <c r="D1961" s="122">
        <v>0.28000000000000003</v>
      </c>
      <c r="E1961" s="122">
        <v>0.6</v>
      </c>
      <c r="F1961" s="122">
        <v>7.92</v>
      </c>
    </row>
    <row r="1962" spans="2:6" x14ac:dyDescent="0.2">
      <c r="B1962" s="129" t="s">
        <v>3352</v>
      </c>
      <c r="C1962" s="122" t="s">
        <v>3353</v>
      </c>
      <c r="D1962" s="122">
        <v>0.64</v>
      </c>
      <c r="E1962" s="122">
        <v>2.16</v>
      </c>
      <c r="F1962" s="122">
        <v>28.38</v>
      </c>
    </row>
    <row r="1963" spans="2:6" x14ac:dyDescent="0.2">
      <c r="B1963" s="129" t="s">
        <v>3354</v>
      </c>
      <c r="C1963" s="122" t="s">
        <v>3355</v>
      </c>
      <c r="D1963" s="122">
        <v>2.5</v>
      </c>
      <c r="E1963" s="122">
        <v>1.1100000000000001</v>
      </c>
      <c r="F1963" s="122">
        <v>9.3800000000000008</v>
      </c>
    </row>
    <row r="1964" spans="2:6" x14ac:dyDescent="0.2">
      <c r="B1964" s="129" t="s">
        <v>3356</v>
      </c>
      <c r="C1964" s="122" t="s">
        <v>3357</v>
      </c>
      <c r="D1964" s="122">
        <v>4.26</v>
      </c>
      <c r="E1964" s="122">
        <v>3.69</v>
      </c>
      <c r="F1964" s="122">
        <v>11.07</v>
      </c>
    </row>
    <row r="1965" spans="2:6" x14ac:dyDescent="0.2">
      <c r="B1965" s="129" t="s">
        <v>3360</v>
      </c>
      <c r="C1965" s="122" t="s">
        <v>3361</v>
      </c>
      <c r="D1965" s="122">
        <v>6.49</v>
      </c>
      <c r="E1965" s="122">
        <v>11.85</v>
      </c>
      <c r="F1965" s="122">
        <v>47.55</v>
      </c>
    </row>
    <row r="1966" spans="2:6" x14ac:dyDescent="0.2">
      <c r="B1966" s="129" t="s">
        <v>3362</v>
      </c>
      <c r="C1966" s="122" t="s">
        <v>3363</v>
      </c>
      <c r="D1966" s="122">
        <v>5.74</v>
      </c>
      <c r="E1966" s="122">
        <v>1.81</v>
      </c>
      <c r="F1966" s="122">
        <v>8.5299999999999994</v>
      </c>
    </row>
    <row r="1967" spans="2:6" x14ac:dyDescent="0.2">
      <c r="B1967" s="129" t="s">
        <v>3364</v>
      </c>
      <c r="C1967" s="122" t="s">
        <v>3365</v>
      </c>
      <c r="D1967" s="122">
        <v>14.11</v>
      </c>
      <c r="E1967" s="122">
        <v>2.52</v>
      </c>
      <c r="F1967" s="122">
        <v>0.62</v>
      </c>
    </row>
    <row r="1968" spans="2:6" x14ac:dyDescent="0.2">
      <c r="B1968" s="129" t="s">
        <v>4655</v>
      </c>
      <c r="C1968" s="122" t="s">
        <v>4656</v>
      </c>
      <c r="D1968" s="122"/>
      <c r="E1968" s="122"/>
      <c r="F1968" s="122"/>
    </row>
    <row r="1969" spans="2:6" x14ac:dyDescent="0.2">
      <c r="B1969" s="129" t="s">
        <v>3366</v>
      </c>
      <c r="C1969" s="122" t="s">
        <v>3367</v>
      </c>
      <c r="D1969" s="122"/>
      <c r="E1969" s="122">
        <v>0.72</v>
      </c>
      <c r="F1969" s="122"/>
    </row>
    <row r="1970" spans="2:6" x14ac:dyDescent="0.2">
      <c r="B1970" s="129" t="s">
        <v>4657</v>
      </c>
      <c r="C1970" s="122" t="s">
        <v>4658</v>
      </c>
      <c r="D1970" s="122">
        <v>7.92</v>
      </c>
      <c r="E1970" s="122"/>
      <c r="F1970" s="122"/>
    </row>
    <row r="1971" spans="2:6" x14ac:dyDescent="0.2">
      <c r="B1971" s="129" t="s">
        <v>3368</v>
      </c>
      <c r="C1971" s="122" t="s">
        <v>3369</v>
      </c>
      <c r="D1971" s="122"/>
      <c r="E1971" s="122">
        <v>1.94</v>
      </c>
      <c r="F1971" s="122"/>
    </row>
    <row r="1972" spans="2:6" x14ac:dyDescent="0.2">
      <c r="B1972" s="129" t="s">
        <v>3370</v>
      </c>
      <c r="C1972" s="122" t="s">
        <v>3371</v>
      </c>
      <c r="D1972" s="122">
        <v>0.86</v>
      </c>
      <c r="E1972" s="122">
        <v>0.74</v>
      </c>
      <c r="F1972" s="122">
        <v>8.4700000000000006</v>
      </c>
    </row>
    <row r="1973" spans="2:6" x14ac:dyDescent="0.2">
      <c r="B1973" s="129" t="s">
        <v>3372</v>
      </c>
      <c r="C1973" s="122" t="s">
        <v>3373</v>
      </c>
      <c r="D1973" s="122">
        <v>2.36</v>
      </c>
      <c r="E1973" s="122">
        <v>2.34</v>
      </c>
      <c r="F1973" s="122">
        <v>13.44</v>
      </c>
    </row>
    <row r="1974" spans="2:6" x14ac:dyDescent="0.2">
      <c r="B1974" s="129" t="s">
        <v>3374</v>
      </c>
      <c r="C1974" s="122" t="s">
        <v>3375</v>
      </c>
      <c r="D1974" s="122">
        <v>10.4</v>
      </c>
      <c r="E1974" s="122">
        <v>11.72</v>
      </c>
      <c r="F1974" s="122">
        <v>33.049999999999997</v>
      </c>
    </row>
    <row r="1975" spans="2:6" x14ac:dyDescent="0.2">
      <c r="B1975" s="129" t="s">
        <v>3376</v>
      </c>
      <c r="C1975" s="122" t="s">
        <v>3377</v>
      </c>
      <c r="D1975" s="122">
        <v>18.41</v>
      </c>
      <c r="E1975" s="122"/>
      <c r="F1975" s="122">
        <v>-43.63</v>
      </c>
    </row>
    <row r="1976" spans="2:6" x14ac:dyDescent="0.2">
      <c r="B1976" s="129" t="s">
        <v>3378</v>
      </c>
      <c r="C1976" s="122" t="s">
        <v>3379</v>
      </c>
      <c r="D1976" s="122">
        <v>13.25</v>
      </c>
      <c r="E1976" s="122">
        <v>9.0299999999999994</v>
      </c>
      <c r="F1976" s="122">
        <v>21.73</v>
      </c>
    </row>
    <row r="1977" spans="2:6" x14ac:dyDescent="0.2">
      <c r="B1977" s="129" t="s">
        <v>3380</v>
      </c>
      <c r="C1977" s="122" t="s">
        <v>3381</v>
      </c>
      <c r="D1977" s="122">
        <v>2.2000000000000002</v>
      </c>
      <c r="E1977" s="122">
        <v>2.41</v>
      </c>
      <c r="F1977" s="122">
        <v>-2.2599999999999998</v>
      </c>
    </row>
    <row r="1978" spans="2:6" x14ac:dyDescent="0.2">
      <c r="B1978" s="129" t="s">
        <v>3382</v>
      </c>
      <c r="C1978" s="122" t="s">
        <v>3383</v>
      </c>
      <c r="D1978" s="122">
        <v>4.26</v>
      </c>
      <c r="E1978" s="122">
        <v>28.05</v>
      </c>
      <c r="F1978" s="122">
        <v>99.97</v>
      </c>
    </row>
    <row r="1979" spans="2:6" x14ac:dyDescent="0.2">
      <c r="B1979" s="129" t="s">
        <v>3384</v>
      </c>
      <c r="C1979" s="122" t="s">
        <v>3385</v>
      </c>
      <c r="D1979" s="122">
        <v>1.1499999999999999</v>
      </c>
      <c r="E1979" s="122">
        <v>1.66</v>
      </c>
      <c r="F1979" s="122">
        <v>7.52</v>
      </c>
    </row>
    <row r="1980" spans="2:6" x14ac:dyDescent="0.2">
      <c r="B1980" s="129" t="s">
        <v>4659</v>
      </c>
      <c r="C1980" s="122" t="s">
        <v>4660</v>
      </c>
      <c r="D1980" s="122"/>
      <c r="E1980" s="122"/>
      <c r="F1980" s="122"/>
    </row>
    <row r="1981" spans="2:6" x14ac:dyDescent="0.2">
      <c r="B1981" s="129" t="s">
        <v>3386</v>
      </c>
      <c r="C1981" s="122" t="s">
        <v>3387</v>
      </c>
      <c r="D1981" s="122">
        <v>7.17</v>
      </c>
      <c r="E1981" s="122">
        <v>2.4700000000000002</v>
      </c>
      <c r="F1981" s="122">
        <v>4.78</v>
      </c>
    </row>
    <row r="1982" spans="2:6" x14ac:dyDescent="0.2">
      <c r="B1982" s="129" t="s">
        <v>3388</v>
      </c>
      <c r="C1982" s="122" t="s">
        <v>3389</v>
      </c>
      <c r="D1982" s="122">
        <v>1.76</v>
      </c>
      <c r="E1982" s="122"/>
      <c r="F1982" s="122">
        <v>-80.900000000000006</v>
      </c>
    </row>
    <row r="1983" spans="2:6" x14ac:dyDescent="0.2">
      <c r="B1983" s="129" t="s">
        <v>3390</v>
      </c>
      <c r="C1983" s="122" t="s">
        <v>3391</v>
      </c>
      <c r="D1983" s="122">
        <v>0.32</v>
      </c>
      <c r="E1983" s="122">
        <v>0.67</v>
      </c>
      <c r="F1983" s="122">
        <v>9.8800000000000008</v>
      </c>
    </row>
    <row r="1984" spans="2:6" x14ac:dyDescent="0.2">
      <c r="B1984" s="129" t="s">
        <v>4661</v>
      </c>
      <c r="C1984" s="122" t="s">
        <v>4662</v>
      </c>
      <c r="D1984" s="122">
        <v>1.45</v>
      </c>
      <c r="E1984" s="122">
        <v>4.76</v>
      </c>
      <c r="F1984" s="122">
        <v>16.68</v>
      </c>
    </row>
    <row r="1985" spans="2:6" x14ac:dyDescent="0.2">
      <c r="B1985" s="129" t="s">
        <v>4663</v>
      </c>
      <c r="C1985" s="122" t="s">
        <v>4664</v>
      </c>
      <c r="D1985" s="122"/>
      <c r="E1985" s="122"/>
      <c r="F1985" s="122"/>
    </row>
    <row r="1986" spans="2:6" x14ac:dyDescent="0.2">
      <c r="B1986" s="129" t="s">
        <v>3392</v>
      </c>
      <c r="C1986" s="122" t="s">
        <v>3393</v>
      </c>
      <c r="D1986" s="122">
        <v>1.9</v>
      </c>
      <c r="E1986" s="122">
        <v>4.3</v>
      </c>
      <c r="F1986" s="122">
        <v>34.909999999999997</v>
      </c>
    </row>
    <row r="1987" spans="2:6" x14ac:dyDescent="0.2">
      <c r="B1987" s="129" t="s">
        <v>3394</v>
      </c>
      <c r="C1987" s="122" t="s">
        <v>3395</v>
      </c>
      <c r="D1987" s="122">
        <v>1.42</v>
      </c>
      <c r="E1987" s="122"/>
      <c r="F1987" s="122"/>
    </row>
    <row r="1988" spans="2:6" x14ac:dyDescent="0.2">
      <c r="B1988" s="129" t="s">
        <v>3396</v>
      </c>
      <c r="C1988" s="122" t="s">
        <v>3397</v>
      </c>
      <c r="D1988" s="122">
        <v>2.31</v>
      </c>
      <c r="E1988" s="122">
        <v>1.42</v>
      </c>
      <c r="F1988" s="122">
        <v>8.34</v>
      </c>
    </row>
    <row r="1989" spans="2:6" x14ac:dyDescent="0.2">
      <c r="B1989" s="129" t="s">
        <v>3398</v>
      </c>
      <c r="C1989" s="122" t="s">
        <v>3399</v>
      </c>
      <c r="D1989" s="122">
        <v>4.0199999999999996</v>
      </c>
      <c r="E1989" s="122">
        <v>1.68</v>
      </c>
      <c r="F1989" s="122">
        <v>17.760000000000002</v>
      </c>
    </row>
    <row r="1990" spans="2:6" x14ac:dyDescent="0.2">
      <c r="B1990" s="129" t="s">
        <v>3400</v>
      </c>
      <c r="C1990" s="122" t="s">
        <v>3401</v>
      </c>
      <c r="D1990" s="122">
        <v>6.35</v>
      </c>
      <c r="E1990" s="122">
        <v>27.45</v>
      </c>
      <c r="F1990" s="122">
        <v>50.64</v>
      </c>
    </row>
    <row r="1991" spans="2:6" x14ac:dyDescent="0.2">
      <c r="B1991" s="129" t="s">
        <v>3402</v>
      </c>
      <c r="C1991" s="122" t="s">
        <v>3403</v>
      </c>
      <c r="D1991" s="122">
        <v>6.07</v>
      </c>
      <c r="E1991" s="122">
        <v>5.31</v>
      </c>
      <c r="F1991" s="122">
        <v>32.08</v>
      </c>
    </row>
    <row r="1992" spans="2:6" x14ac:dyDescent="0.2">
      <c r="B1992" s="129" t="s">
        <v>4665</v>
      </c>
      <c r="C1992" s="122" t="s">
        <v>4666</v>
      </c>
      <c r="D1992" s="122">
        <v>0.36</v>
      </c>
      <c r="E1992" s="122">
        <v>2.0099999999999998</v>
      </c>
      <c r="F1992" s="122">
        <v>22.08</v>
      </c>
    </row>
    <row r="1993" spans="2:6" x14ac:dyDescent="0.2">
      <c r="B1993" s="129" t="s">
        <v>3404</v>
      </c>
      <c r="C1993" s="122" t="s">
        <v>3405</v>
      </c>
      <c r="D1993" s="122">
        <v>1.87</v>
      </c>
      <c r="E1993" s="122">
        <v>4.8499999999999996</v>
      </c>
      <c r="F1993" s="122">
        <v>27.31</v>
      </c>
    </row>
    <row r="1994" spans="2:6" x14ac:dyDescent="0.2">
      <c r="B1994" s="129" t="s">
        <v>3406</v>
      </c>
      <c r="C1994" s="122" t="s">
        <v>3407</v>
      </c>
      <c r="D1994" s="122"/>
      <c r="E1994" s="122">
        <v>1.52</v>
      </c>
      <c r="F1994" s="122"/>
    </row>
    <row r="1995" spans="2:6" x14ac:dyDescent="0.2">
      <c r="B1995" s="129" t="s">
        <v>3408</v>
      </c>
      <c r="C1995" s="122" t="s">
        <v>3409</v>
      </c>
      <c r="D1995" s="122">
        <v>3.14</v>
      </c>
      <c r="E1995" s="122">
        <v>1.53</v>
      </c>
      <c r="F1995" s="122">
        <v>13.8</v>
      </c>
    </row>
    <row r="1996" spans="2:6" x14ac:dyDescent="0.2">
      <c r="B1996" s="129" t="s">
        <v>4667</v>
      </c>
      <c r="C1996" s="122" t="s">
        <v>4668</v>
      </c>
      <c r="D1996" s="122">
        <v>8.85</v>
      </c>
      <c r="E1996" s="122"/>
      <c r="F1996" s="122"/>
    </row>
    <row r="1997" spans="2:6" x14ac:dyDescent="0.2">
      <c r="B1997" s="129" t="s">
        <v>3410</v>
      </c>
      <c r="C1997" s="122" t="s">
        <v>3411</v>
      </c>
      <c r="D1997" s="122">
        <v>0.55000000000000004</v>
      </c>
      <c r="E1997" s="122">
        <v>2.95</v>
      </c>
      <c r="F1997" s="122">
        <v>14.95</v>
      </c>
    </row>
    <row r="1998" spans="2:6" x14ac:dyDescent="0.2">
      <c r="B1998" s="129" t="s">
        <v>3412</v>
      </c>
      <c r="C1998" s="122" t="s">
        <v>3413</v>
      </c>
      <c r="D1998" s="122">
        <v>4.63</v>
      </c>
      <c r="E1998" s="122">
        <v>3.56</v>
      </c>
      <c r="F1998" s="122">
        <v>10.57</v>
      </c>
    </row>
    <row r="1999" spans="2:6" x14ac:dyDescent="0.2">
      <c r="B1999" s="129" t="s">
        <v>3414</v>
      </c>
      <c r="C1999" s="122" t="s">
        <v>3415</v>
      </c>
      <c r="D1999" s="122">
        <v>12.3</v>
      </c>
      <c r="E1999" s="122">
        <v>18.05</v>
      </c>
      <c r="F1999" s="122">
        <v>-15.05</v>
      </c>
    </row>
    <row r="2000" spans="2:6" x14ac:dyDescent="0.2">
      <c r="B2000" s="129" t="s">
        <v>3416</v>
      </c>
      <c r="C2000" s="122" t="s">
        <v>3417</v>
      </c>
      <c r="D2000" s="122">
        <v>1.08</v>
      </c>
      <c r="E2000" s="122">
        <v>1.78</v>
      </c>
      <c r="F2000" s="122">
        <v>10.73</v>
      </c>
    </row>
    <row r="2001" spans="2:6" x14ac:dyDescent="0.2">
      <c r="B2001" s="129" t="s">
        <v>3418</v>
      </c>
      <c r="C2001" s="122" t="s">
        <v>3419</v>
      </c>
      <c r="D2001" s="122">
        <v>3.84</v>
      </c>
      <c r="E2001" s="122">
        <v>2.92</v>
      </c>
      <c r="F2001" s="122">
        <v>11</v>
      </c>
    </row>
    <row r="2002" spans="2:6" x14ac:dyDescent="0.2">
      <c r="B2002" s="129" t="s">
        <v>3420</v>
      </c>
      <c r="C2002" s="122" t="s">
        <v>3421</v>
      </c>
      <c r="D2002" s="122"/>
      <c r="E2002" s="122">
        <v>1.56</v>
      </c>
      <c r="F2002" s="122"/>
    </row>
    <row r="2003" spans="2:6" x14ac:dyDescent="0.2">
      <c r="B2003" s="129" t="s">
        <v>4669</v>
      </c>
      <c r="C2003" s="122" t="s">
        <v>4670</v>
      </c>
      <c r="D2003" s="122"/>
      <c r="E2003" s="122"/>
      <c r="F2003" s="122"/>
    </row>
    <row r="2004" spans="2:6" x14ac:dyDescent="0.2">
      <c r="B2004" s="129" t="s">
        <v>3422</v>
      </c>
      <c r="C2004" s="122" t="s">
        <v>3423</v>
      </c>
      <c r="D2004" s="122">
        <v>7.1</v>
      </c>
      <c r="E2004" s="122">
        <v>2.25</v>
      </c>
      <c r="F2004" s="122">
        <v>4.62</v>
      </c>
    </row>
    <row r="2005" spans="2:6" x14ac:dyDescent="0.2">
      <c r="B2005" s="129" t="s">
        <v>3424</v>
      </c>
      <c r="C2005" s="122" t="s">
        <v>3425</v>
      </c>
      <c r="D2005" s="122">
        <v>2.92</v>
      </c>
      <c r="E2005" s="122">
        <v>7.39</v>
      </c>
      <c r="F2005" s="122">
        <v>23.16</v>
      </c>
    </row>
    <row r="2006" spans="2:6" x14ac:dyDescent="0.2">
      <c r="B2006" s="129" t="s">
        <v>3426</v>
      </c>
      <c r="C2006" s="122" t="s">
        <v>3427</v>
      </c>
      <c r="D2006" s="122">
        <v>4.9400000000000004</v>
      </c>
      <c r="E2006" s="122">
        <v>3.43</v>
      </c>
      <c r="F2006" s="122">
        <v>14.63</v>
      </c>
    </row>
    <row r="2007" spans="2:6" x14ac:dyDescent="0.2">
      <c r="B2007" s="129" t="s">
        <v>3428</v>
      </c>
      <c r="C2007" s="122" t="s">
        <v>3429</v>
      </c>
      <c r="D2007" s="122">
        <v>5.6</v>
      </c>
      <c r="E2007" s="122">
        <v>4.82</v>
      </c>
      <c r="F2007" s="122">
        <v>17.88</v>
      </c>
    </row>
    <row r="2008" spans="2:6" x14ac:dyDescent="0.2">
      <c r="B2008" s="129" t="s">
        <v>3430</v>
      </c>
      <c r="C2008" s="122" t="s">
        <v>3431</v>
      </c>
      <c r="D2008" s="122">
        <v>0.68</v>
      </c>
      <c r="E2008" s="122">
        <v>0.34</v>
      </c>
      <c r="F2008" s="122">
        <v>8.43</v>
      </c>
    </row>
    <row r="2009" spans="2:6" x14ac:dyDescent="0.2">
      <c r="B2009" s="129" t="s">
        <v>3432</v>
      </c>
      <c r="C2009" s="122" t="s">
        <v>3433</v>
      </c>
      <c r="D2009" s="122">
        <v>2.06</v>
      </c>
      <c r="E2009" s="122">
        <v>1.21</v>
      </c>
      <c r="F2009" s="122">
        <v>13.74</v>
      </c>
    </row>
    <row r="2010" spans="2:6" x14ac:dyDescent="0.2">
      <c r="B2010" s="129" t="s">
        <v>3434</v>
      </c>
      <c r="C2010" s="122" t="s">
        <v>3435</v>
      </c>
      <c r="D2010" s="122">
        <v>2.41</v>
      </c>
      <c r="E2010" s="122">
        <v>3.95</v>
      </c>
      <c r="F2010" s="122">
        <v>19.91</v>
      </c>
    </row>
    <row r="2011" spans="2:6" x14ac:dyDescent="0.2">
      <c r="B2011" s="129" t="s">
        <v>3436</v>
      </c>
      <c r="C2011" s="122" t="s">
        <v>3437</v>
      </c>
      <c r="D2011" s="122">
        <v>0.45</v>
      </c>
      <c r="E2011" s="122">
        <v>2.57</v>
      </c>
      <c r="F2011" s="122">
        <v>30.55</v>
      </c>
    </row>
    <row r="2012" spans="2:6" x14ac:dyDescent="0.2">
      <c r="B2012" s="129" t="s">
        <v>3438</v>
      </c>
      <c r="C2012" s="122" t="s">
        <v>3439</v>
      </c>
      <c r="D2012" s="122"/>
      <c r="E2012" s="122">
        <v>6.61</v>
      </c>
      <c r="F2012" s="122"/>
    </row>
    <row r="2013" spans="2:6" x14ac:dyDescent="0.2">
      <c r="B2013" s="129" t="s">
        <v>3440</v>
      </c>
      <c r="C2013" s="122" t="s">
        <v>3441</v>
      </c>
      <c r="D2013" s="122">
        <v>2.64</v>
      </c>
      <c r="E2013" s="122">
        <v>2.59</v>
      </c>
      <c r="F2013" s="122">
        <v>16.57</v>
      </c>
    </row>
    <row r="2014" spans="2:6" x14ac:dyDescent="0.2">
      <c r="B2014" s="129" t="s">
        <v>3442</v>
      </c>
      <c r="C2014" s="122" t="s">
        <v>3443</v>
      </c>
      <c r="D2014" s="122">
        <v>8.94</v>
      </c>
      <c r="E2014" s="122">
        <v>35.17</v>
      </c>
      <c r="F2014" s="122">
        <v>-21.6</v>
      </c>
    </row>
    <row r="2015" spans="2:6" x14ac:dyDescent="0.2">
      <c r="B2015" s="129" t="s">
        <v>3444</v>
      </c>
      <c r="C2015" s="122" t="s">
        <v>3445</v>
      </c>
      <c r="D2015" s="122">
        <v>1.23</v>
      </c>
      <c r="E2015" s="122">
        <v>1.59</v>
      </c>
      <c r="F2015" s="122">
        <v>11</v>
      </c>
    </row>
    <row r="2016" spans="2:6" x14ac:dyDescent="0.2">
      <c r="B2016" s="129" t="s">
        <v>3446</v>
      </c>
      <c r="C2016" s="122" t="s">
        <v>3447</v>
      </c>
      <c r="D2016" s="122">
        <v>0.99</v>
      </c>
      <c r="E2016" s="122">
        <v>1.33</v>
      </c>
      <c r="F2016" s="122">
        <v>11.05</v>
      </c>
    </row>
    <row r="2017" spans="2:6" x14ac:dyDescent="0.2">
      <c r="B2017" s="129" t="s">
        <v>4671</v>
      </c>
      <c r="C2017" s="122" t="s">
        <v>4672</v>
      </c>
      <c r="D2017" s="122">
        <v>0.4</v>
      </c>
      <c r="E2017" s="122">
        <v>1</v>
      </c>
      <c r="F2017" s="122">
        <v>7.1</v>
      </c>
    </row>
    <row r="2018" spans="2:6" x14ac:dyDescent="0.2">
      <c r="B2018" s="129" t="s">
        <v>3448</v>
      </c>
      <c r="C2018" s="122" t="s">
        <v>3449</v>
      </c>
      <c r="D2018" s="122">
        <v>2.95</v>
      </c>
      <c r="E2018" s="122">
        <v>2.48</v>
      </c>
      <c r="F2018" s="122">
        <v>13</v>
      </c>
    </row>
    <row r="2019" spans="2:6" x14ac:dyDescent="0.2">
      <c r="B2019" s="129" t="s">
        <v>4673</v>
      </c>
      <c r="C2019" s="122" t="s">
        <v>4674</v>
      </c>
      <c r="D2019" s="122"/>
      <c r="E2019" s="122"/>
      <c r="F2019" s="122"/>
    </row>
    <row r="2020" spans="2:6" x14ac:dyDescent="0.2">
      <c r="B2020" s="129" t="s">
        <v>3450</v>
      </c>
      <c r="C2020" s="122" t="s">
        <v>3451</v>
      </c>
      <c r="D2020" s="122">
        <v>3.2</v>
      </c>
      <c r="E2020" s="122">
        <v>7.56</v>
      </c>
      <c r="F2020" s="122">
        <v>29.15</v>
      </c>
    </row>
    <row r="2021" spans="2:6" x14ac:dyDescent="0.2">
      <c r="B2021" s="129" t="s">
        <v>3452</v>
      </c>
      <c r="C2021" s="122" t="s">
        <v>3453</v>
      </c>
      <c r="D2021" s="122">
        <v>3.48</v>
      </c>
      <c r="E2021" s="122">
        <v>1.76</v>
      </c>
      <c r="F2021" s="122">
        <v>6.46</v>
      </c>
    </row>
    <row r="2022" spans="2:6" x14ac:dyDescent="0.2">
      <c r="B2022" s="129" t="s">
        <v>3454</v>
      </c>
      <c r="C2022" s="122" t="s">
        <v>3455</v>
      </c>
      <c r="D2022" s="122">
        <v>1.52</v>
      </c>
      <c r="E2022" s="122">
        <v>6.32</v>
      </c>
      <c r="F2022" s="122">
        <v>24.62</v>
      </c>
    </row>
    <row r="2023" spans="2:6" x14ac:dyDescent="0.2">
      <c r="B2023" s="129" t="s">
        <v>3456</v>
      </c>
      <c r="C2023" s="122" t="s">
        <v>21</v>
      </c>
      <c r="D2023" s="122">
        <v>0.64</v>
      </c>
      <c r="E2023" s="122">
        <v>4.3099999999999996</v>
      </c>
      <c r="F2023" s="122">
        <v>18.23</v>
      </c>
    </row>
    <row r="2024" spans="2:6" x14ac:dyDescent="0.2">
      <c r="B2024" s="129" t="s">
        <v>4675</v>
      </c>
      <c r="C2024" s="122" t="s">
        <v>4676</v>
      </c>
      <c r="D2024" s="122">
        <v>0.34</v>
      </c>
      <c r="E2024" s="122">
        <v>1.3</v>
      </c>
      <c r="F2024" s="122">
        <v>7.4</v>
      </c>
    </row>
    <row r="2025" spans="2:6" x14ac:dyDescent="0.2">
      <c r="B2025" s="129" t="s">
        <v>3457</v>
      </c>
      <c r="C2025" s="122" t="s">
        <v>3458</v>
      </c>
      <c r="D2025" s="122">
        <v>3.7</v>
      </c>
      <c r="E2025" s="122">
        <v>5.71</v>
      </c>
      <c r="F2025" s="122">
        <v>23.92</v>
      </c>
    </row>
    <row r="2026" spans="2:6" x14ac:dyDescent="0.2">
      <c r="B2026" s="129" t="s">
        <v>4677</v>
      </c>
      <c r="C2026" s="122" t="s">
        <v>4678</v>
      </c>
      <c r="D2026" s="122"/>
      <c r="E2026" s="122"/>
      <c r="F2026" s="122"/>
    </row>
    <row r="2027" spans="2:6" x14ac:dyDescent="0.2">
      <c r="B2027" s="129" t="s">
        <v>4679</v>
      </c>
      <c r="C2027" s="122" t="s">
        <v>4680</v>
      </c>
      <c r="D2027" s="122"/>
      <c r="E2027" s="122">
        <v>18.41</v>
      </c>
      <c r="F2027" s="122"/>
    </row>
    <row r="2028" spans="2:6" x14ac:dyDescent="0.2">
      <c r="B2028" s="129" t="s">
        <v>3459</v>
      </c>
      <c r="C2028" s="122" t="s">
        <v>3460</v>
      </c>
      <c r="D2028" s="122">
        <v>14.57</v>
      </c>
      <c r="E2028" s="122">
        <v>2.2000000000000002</v>
      </c>
      <c r="F2028" s="122">
        <v>6.72</v>
      </c>
    </row>
    <row r="2029" spans="2:6" x14ac:dyDescent="0.2">
      <c r="B2029" s="129" t="s">
        <v>3461</v>
      </c>
      <c r="C2029" s="122" t="s">
        <v>3462</v>
      </c>
      <c r="D2029" s="122">
        <v>15.34</v>
      </c>
      <c r="E2029" s="122">
        <v>2.39</v>
      </c>
      <c r="F2029" s="122">
        <v>3.35</v>
      </c>
    </row>
    <row r="2030" spans="2:6" x14ac:dyDescent="0.2">
      <c r="B2030" s="129" t="s">
        <v>3463</v>
      </c>
      <c r="C2030" s="122" t="s">
        <v>3464</v>
      </c>
      <c r="D2030" s="122"/>
      <c r="E2030" s="122">
        <v>1.29</v>
      </c>
      <c r="F2030" s="122"/>
    </row>
    <row r="2031" spans="2:6" x14ac:dyDescent="0.2">
      <c r="B2031" s="129" t="s">
        <v>3465</v>
      </c>
      <c r="C2031" s="122" t="s">
        <v>3466</v>
      </c>
      <c r="D2031" s="122">
        <v>1.82</v>
      </c>
      <c r="E2031" s="122">
        <v>1.02</v>
      </c>
      <c r="F2031" s="122">
        <v>2.2799999999999998</v>
      </c>
    </row>
    <row r="2032" spans="2:6" x14ac:dyDescent="0.2">
      <c r="B2032" s="129" t="s">
        <v>3467</v>
      </c>
      <c r="C2032" s="122" t="s">
        <v>3468</v>
      </c>
      <c r="D2032" s="122">
        <v>1.67</v>
      </c>
      <c r="E2032" s="122">
        <v>2.1800000000000002</v>
      </c>
      <c r="F2032" s="122">
        <v>10.55</v>
      </c>
    </row>
    <row r="2033" spans="2:6" x14ac:dyDescent="0.2">
      <c r="B2033" s="129" t="s">
        <v>3469</v>
      </c>
      <c r="C2033" s="122" t="s">
        <v>3470</v>
      </c>
      <c r="D2033" s="122">
        <v>7.35</v>
      </c>
      <c r="E2033" s="122">
        <v>2.06</v>
      </c>
      <c r="F2033" s="122">
        <v>13.06</v>
      </c>
    </row>
    <row r="2034" spans="2:6" x14ac:dyDescent="0.2">
      <c r="B2034" s="129" t="s">
        <v>3471</v>
      </c>
      <c r="C2034" s="122" t="s">
        <v>3472</v>
      </c>
      <c r="D2034" s="122">
        <v>0.52</v>
      </c>
      <c r="E2034" s="122">
        <v>0.78</v>
      </c>
      <c r="F2034" s="122">
        <v>8.9700000000000006</v>
      </c>
    </row>
    <row r="2035" spans="2:6" x14ac:dyDescent="0.2">
      <c r="B2035" s="129" t="s">
        <v>4681</v>
      </c>
      <c r="C2035" s="122" t="s">
        <v>4682</v>
      </c>
      <c r="D2035" s="122">
        <v>1.26</v>
      </c>
      <c r="E2035" s="122">
        <v>2.94</v>
      </c>
      <c r="F2035" s="122">
        <v>15.97</v>
      </c>
    </row>
    <row r="2036" spans="2:6" x14ac:dyDescent="0.2">
      <c r="B2036" s="129" t="s">
        <v>3473</v>
      </c>
      <c r="C2036" s="122" t="s">
        <v>3474</v>
      </c>
      <c r="D2036" s="122">
        <v>0.88</v>
      </c>
      <c r="E2036" s="122">
        <v>4.53</v>
      </c>
      <c r="F2036" s="122">
        <v>33.89</v>
      </c>
    </row>
    <row r="2037" spans="2:6" x14ac:dyDescent="0.2">
      <c r="B2037" s="129" t="s">
        <v>3475</v>
      </c>
      <c r="C2037" s="122" t="s">
        <v>3476</v>
      </c>
      <c r="D2037" s="122">
        <v>1.36</v>
      </c>
      <c r="E2037" s="122">
        <v>3.79</v>
      </c>
      <c r="F2037" s="122">
        <v>14.63</v>
      </c>
    </row>
    <row r="2038" spans="2:6" x14ac:dyDescent="0.2">
      <c r="B2038" s="129" t="s">
        <v>3475</v>
      </c>
      <c r="C2038" s="122" t="s">
        <v>4683</v>
      </c>
      <c r="D2038" s="122">
        <v>1.41</v>
      </c>
      <c r="E2038" s="122">
        <v>3.92</v>
      </c>
      <c r="F2038" s="122">
        <v>14.63</v>
      </c>
    </row>
    <row r="2039" spans="2:6" x14ac:dyDescent="0.2">
      <c r="B2039" s="129" t="s">
        <v>3477</v>
      </c>
      <c r="C2039" s="122" t="s">
        <v>3478</v>
      </c>
      <c r="D2039" s="122">
        <v>5.97</v>
      </c>
      <c r="E2039" s="122">
        <v>7.3</v>
      </c>
      <c r="F2039" s="122">
        <v>16.93</v>
      </c>
    </row>
    <row r="2040" spans="2:6" x14ac:dyDescent="0.2">
      <c r="B2040" s="129" t="s">
        <v>3479</v>
      </c>
      <c r="C2040" s="122" t="s">
        <v>3480</v>
      </c>
      <c r="D2040" s="122">
        <v>2.2400000000000002</v>
      </c>
      <c r="E2040" s="122">
        <v>1.1200000000000001</v>
      </c>
      <c r="F2040" s="122">
        <v>10.72</v>
      </c>
    </row>
    <row r="2041" spans="2:6" x14ac:dyDescent="0.2">
      <c r="B2041" s="129" t="s">
        <v>4684</v>
      </c>
      <c r="C2041" s="122" t="s">
        <v>4685</v>
      </c>
      <c r="D2041" s="122"/>
      <c r="E2041" s="122">
        <v>7.65</v>
      </c>
      <c r="F2041" s="122"/>
    </row>
    <row r="2042" spans="2:6" x14ac:dyDescent="0.2">
      <c r="B2042" s="129" t="s">
        <v>4686</v>
      </c>
      <c r="C2042" s="122" t="s">
        <v>4687</v>
      </c>
      <c r="D2042" s="122">
        <v>4.4000000000000004</v>
      </c>
      <c r="E2042" s="122">
        <v>1.1399999999999999</v>
      </c>
      <c r="F2042" s="122">
        <v>-0.88</v>
      </c>
    </row>
    <row r="2043" spans="2:6" x14ac:dyDescent="0.2">
      <c r="B2043" s="129" t="s">
        <v>3481</v>
      </c>
      <c r="C2043" s="122" t="s">
        <v>3482</v>
      </c>
      <c r="D2043" s="122">
        <v>11.25</v>
      </c>
      <c r="E2043" s="122">
        <v>2.5099999999999998</v>
      </c>
      <c r="F2043" s="122">
        <v>10.130000000000001</v>
      </c>
    </row>
    <row r="2044" spans="2:6" x14ac:dyDescent="0.2">
      <c r="B2044" s="129" t="s">
        <v>3483</v>
      </c>
      <c r="C2044" s="122" t="s">
        <v>3484</v>
      </c>
      <c r="D2044" s="122">
        <v>2.0299999999999998</v>
      </c>
      <c r="E2044" s="122">
        <v>3.44</v>
      </c>
      <c r="F2044" s="122">
        <v>14.76</v>
      </c>
    </row>
    <row r="2045" spans="2:6" x14ac:dyDescent="0.2">
      <c r="B2045" s="129" t="s">
        <v>3485</v>
      </c>
      <c r="C2045" s="122" t="s">
        <v>3486</v>
      </c>
      <c r="D2045" s="122">
        <v>1.75</v>
      </c>
      <c r="E2045" s="122">
        <v>315.95</v>
      </c>
      <c r="F2045" s="122">
        <v>-309.12</v>
      </c>
    </row>
    <row r="2046" spans="2:6" x14ac:dyDescent="0.2">
      <c r="B2046" s="129" t="s">
        <v>3487</v>
      </c>
      <c r="C2046" s="122" t="s">
        <v>3488</v>
      </c>
      <c r="D2046" s="122">
        <v>3.89</v>
      </c>
      <c r="E2046" s="122">
        <v>2.0499999999999998</v>
      </c>
      <c r="F2046" s="122">
        <v>25.35</v>
      </c>
    </row>
    <row r="2047" spans="2:6" x14ac:dyDescent="0.2">
      <c r="B2047" s="129" t="s">
        <v>3489</v>
      </c>
      <c r="C2047" s="122" t="s">
        <v>3490</v>
      </c>
      <c r="D2047" s="122">
        <v>2.31</v>
      </c>
      <c r="E2047" s="122">
        <v>3.93</v>
      </c>
      <c r="F2047" s="122">
        <v>19.79</v>
      </c>
    </row>
    <row r="2048" spans="2:6" x14ac:dyDescent="0.2">
      <c r="B2048" s="129" t="s">
        <v>3491</v>
      </c>
      <c r="C2048" s="122" t="s">
        <v>3492</v>
      </c>
      <c r="D2048" s="122">
        <v>6.35</v>
      </c>
      <c r="E2048" s="122">
        <v>17.670000000000002</v>
      </c>
      <c r="F2048" s="122">
        <v>23.92</v>
      </c>
    </row>
    <row r="2049" spans="2:6" x14ac:dyDescent="0.2">
      <c r="B2049" s="129" t="s">
        <v>4688</v>
      </c>
      <c r="C2049" s="122" t="s">
        <v>4689</v>
      </c>
      <c r="D2049" s="122"/>
      <c r="E2049" s="122"/>
      <c r="F2049" s="122"/>
    </row>
    <row r="2050" spans="2:6" x14ac:dyDescent="0.2">
      <c r="B2050" s="129" t="s">
        <v>4690</v>
      </c>
      <c r="C2050" s="122" t="s">
        <v>4691</v>
      </c>
      <c r="D2050" s="122"/>
      <c r="E2050" s="122"/>
      <c r="F2050" s="122"/>
    </row>
    <row r="2051" spans="2:6" x14ac:dyDescent="0.2">
      <c r="B2051" s="129" t="s">
        <v>3493</v>
      </c>
      <c r="C2051" s="122" t="s">
        <v>3494</v>
      </c>
      <c r="D2051" s="122">
        <v>2.99</v>
      </c>
      <c r="E2051" s="122">
        <v>2.36</v>
      </c>
      <c r="F2051" s="122">
        <v>5.47</v>
      </c>
    </row>
    <row r="2052" spans="2:6" x14ac:dyDescent="0.2">
      <c r="B2052" s="129" t="s">
        <v>3495</v>
      </c>
      <c r="C2052" s="122" t="s">
        <v>3496</v>
      </c>
      <c r="D2052" s="122">
        <v>1.08</v>
      </c>
      <c r="E2052" s="122"/>
      <c r="F2052" s="122">
        <v>-90.37</v>
      </c>
    </row>
    <row r="2053" spans="2:6" x14ac:dyDescent="0.2">
      <c r="B2053" s="129" t="s">
        <v>4692</v>
      </c>
      <c r="C2053" s="122" t="s">
        <v>4693</v>
      </c>
      <c r="D2053" s="122"/>
      <c r="E2053" s="122"/>
      <c r="F2053" s="122"/>
    </row>
    <row r="2054" spans="2:6" x14ac:dyDescent="0.2">
      <c r="B2054" s="129" t="s">
        <v>3497</v>
      </c>
      <c r="C2054" s="122" t="s">
        <v>3498</v>
      </c>
      <c r="D2054" s="122">
        <v>1.75</v>
      </c>
      <c r="E2054" s="122">
        <v>6.33</v>
      </c>
      <c r="F2054" s="122">
        <v>34.979999999999997</v>
      </c>
    </row>
    <row r="2055" spans="2:6" x14ac:dyDescent="0.2">
      <c r="B2055" s="129" t="s">
        <v>4694</v>
      </c>
      <c r="C2055" s="122" t="s">
        <v>4695</v>
      </c>
      <c r="D2055" s="122"/>
      <c r="E2055" s="122"/>
      <c r="F2055" s="122"/>
    </row>
    <row r="2056" spans="2:6" x14ac:dyDescent="0.2">
      <c r="B2056" s="129" t="s">
        <v>3499</v>
      </c>
      <c r="C2056" s="122" t="s">
        <v>3500</v>
      </c>
      <c r="D2056" s="122">
        <v>2.2000000000000002</v>
      </c>
      <c r="E2056" s="122">
        <v>1.33</v>
      </c>
      <c r="F2056" s="122">
        <v>16.59</v>
      </c>
    </row>
    <row r="2057" spans="2:6" x14ac:dyDescent="0.2">
      <c r="B2057" s="129" t="s">
        <v>3501</v>
      </c>
      <c r="C2057" s="122" t="s">
        <v>3502</v>
      </c>
      <c r="D2057" s="122">
        <v>2.86</v>
      </c>
      <c r="E2057" s="122">
        <v>2.69</v>
      </c>
      <c r="F2057" s="122">
        <v>10.26</v>
      </c>
    </row>
    <row r="2058" spans="2:6" x14ac:dyDescent="0.2">
      <c r="B2058" s="129" t="s">
        <v>4696</v>
      </c>
      <c r="C2058" s="122" t="s">
        <v>4697</v>
      </c>
      <c r="D2058" s="122"/>
      <c r="E2058" s="122"/>
      <c r="F2058" s="122"/>
    </row>
    <row r="2059" spans="2:6" x14ac:dyDescent="0.2">
      <c r="B2059" s="129" t="s">
        <v>4698</v>
      </c>
      <c r="C2059" s="122" t="s">
        <v>4699</v>
      </c>
      <c r="D2059" s="122"/>
      <c r="E2059" s="122"/>
      <c r="F2059" s="122"/>
    </row>
    <row r="2060" spans="2:6" x14ac:dyDescent="0.2">
      <c r="B2060" s="129" t="s">
        <v>3503</v>
      </c>
      <c r="C2060" s="122" t="s">
        <v>3504</v>
      </c>
      <c r="D2060" s="122">
        <v>7.56</v>
      </c>
      <c r="E2060" s="122">
        <v>9.33</v>
      </c>
      <c r="F2060" s="122">
        <v>35.99</v>
      </c>
    </row>
    <row r="2061" spans="2:6" x14ac:dyDescent="0.2">
      <c r="B2061" s="129" t="s">
        <v>4700</v>
      </c>
      <c r="C2061" s="122" t="s">
        <v>4701</v>
      </c>
      <c r="D2061" s="122"/>
      <c r="E2061" s="122"/>
      <c r="F2061" s="122"/>
    </row>
    <row r="2062" spans="2:6" x14ac:dyDescent="0.2">
      <c r="B2062" s="129" t="s">
        <v>4702</v>
      </c>
      <c r="C2062" s="122" t="s">
        <v>4703</v>
      </c>
      <c r="D2062" s="122"/>
      <c r="E2062" s="122"/>
      <c r="F2062" s="122"/>
    </row>
    <row r="2063" spans="2:6" x14ac:dyDescent="0.2">
      <c r="B2063" s="129" t="s">
        <v>3505</v>
      </c>
      <c r="C2063" s="122" t="s">
        <v>3506</v>
      </c>
      <c r="D2063" s="122"/>
      <c r="E2063" s="122">
        <v>2.93</v>
      </c>
      <c r="F2063" s="122"/>
    </row>
    <row r="2064" spans="2:6" x14ac:dyDescent="0.2">
      <c r="B2064" s="129" t="s">
        <v>3507</v>
      </c>
      <c r="C2064" s="122" t="s">
        <v>22</v>
      </c>
      <c r="D2064" s="122">
        <v>1.08</v>
      </c>
      <c r="E2064" s="122">
        <v>1.54</v>
      </c>
      <c r="F2064" s="122">
        <v>9.16</v>
      </c>
    </row>
    <row r="2065" spans="2:6" x14ac:dyDescent="0.2">
      <c r="B2065" s="129" t="s">
        <v>3508</v>
      </c>
      <c r="C2065" s="122" t="s">
        <v>3509</v>
      </c>
      <c r="D2065" s="122">
        <v>0.39</v>
      </c>
      <c r="E2065" s="122">
        <v>2.31</v>
      </c>
      <c r="F2065" s="122">
        <v>11.92</v>
      </c>
    </row>
    <row r="2066" spans="2:6" x14ac:dyDescent="0.2">
      <c r="B2066" s="129" t="s">
        <v>3510</v>
      </c>
      <c r="C2066" s="122" t="s">
        <v>3511</v>
      </c>
      <c r="D2066" s="122">
        <v>2.91</v>
      </c>
      <c r="E2066" s="122">
        <v>2.21</v>
      </c>
      <c r="F2066" s="122">
        <v>9.19</v>
      </c>
    </row>
    <row r="2067" spans="2:6" x14ac:dyDescent="0.2">
      <c r="B2067" s="129" t="s">
        <v>3512</v>
      </c>
      <c r="C2067" s="122" t="s">
        <v>3513</v>
      </c>
      <c r="D2067" s="122">
        <v>0.71</v>
      </c>
      <c r="E2067" s="122">
        <v>1.33</v>
      </c>
      <c r="F2067" s="122">
        <v>18.78</v>
      </c>
    </row>
    <row r="2068" spans="2:6" x14ac:dyDescent="0.2">
      <c r="B2068" s="129" t="s">
        <v>4704</v>
      </c>
      <c r="C2068" s="122" t="s">
        <v>4705</v>
      </c>
      <c r="D2068" s="122"/>
      <c r="E2068" s="122"/>
      <c r="F2068" s="122"/>
    </row>
    <row r="2069" spans="2:6" x14ac:dyDescent="0.2">
      <c r="B2069" s="129" t="s">
        <v>3514</v>
      </c>
      <c r="C2069" s="122" t="s">
        <v>3515</v>
      </c>
      <c r="D2069" s="122">
        <v>2.65</v>
      </c>
      <c r="E2069" s="122">
        <v>4.8</v>
      </c>
      <c r="F2069" s="122">
        <v>19.23</v>
      </c>
    </row>
    <row r="2070" spans="2:6" x14ac:dyDescent="0.2">
      <c r="B2070" s="129" t="s">
        <v>3516</v>
      </c>
      <c r="C2070" s="122" t="s">
        <v>3517</v>
      </c>
      <c r="D2070" s="122">
        <v>1.4</v>
      </c>
      <c r="E2070" s="122">
        <v>1.28</v>
      </c>
      <c r="F2070" s="122">
        <v>2.88</v>
      </c>
    </row>
    <row r="2071" spans="2:6" x14ac:dyDescent="0.2">
      <c r="B2071" s="129" t="s">
        <v>3518</v>
      </c>
      <c r="C2071" s="122" t="s">
        <v>3519</v>
      </c>
      <c r="D2071" s="122">
        <v>1.61</v>
      </c>
      <c r="E2071" s="122"/>
      <c r="F2071" s="122">
        <v>7.11</v>
      </c>
    </row>
    <row r="2072" spans="2:6" x14ac:dyDescent="0.2">
      <c r="B2072" s="129" t="s">
        <v>3520</v>
      </c>
      <c r="C2072" s="122" t="s">
        <v>3521</v>
      </c>
      <c r="D2072" s="122">
        <v>0.43</v>
      </c>
      <c r="E2072" s="122">
        <v>0.99</v>
      </c>
      <c r="F2072" s="122">
        <v>12.66</v>
      </c>
    </row>
    <row r="2073" spans="2:6" x14ac:dyDescent="0.2">
      <c r="B2073" s="129" t="s">
        <v>4706</v>
      </c>
      <c r="C2073" s="122" t="s">
        <v>4707</v>
      </c>
      <c r="D2073" s="122">
        <v>0.87</v>
      </c>
      <c r="E2073" s="122">
        <v>1.28</v>
      </c>
      <c r="F2073" s="122">
        <v>7.56</v>
      </c>
    </row>
    <row r="2074" spans="2:6" x14ac:dyDescent="0.2">
      <c r="B2074" s="129" t="s">
        <v>4708</v>
      </c>
      <c r="C2074" s="122" t="s">
        <v>4709</v>
      </c>
      <c r="D2074" s="122"/>
      <c r="E2074" s="122">
        <v>4.53</v>
      </c>
      <c r="F2074" s="122"/>
    </row>
    <row r="2075" spans="2:6" x14ac:dyDescent="0.2">
      <c r="B2075" s="129" t="s">
        <v>3522</v>
      </c>
      <c r="C2075" s="122" t="s">
        <v>3523</v>
      </c>
      <c r="D2075" s="122">
        <v>5.08</v>
      </c>
      <c r="E2075" s="122">
        <v>3.51</v>
      </c>
      <c r="F2075" s="122">
        <v>12.09</v>
      </c>
    </row>
    <row r="2076" spans="2:6" x14ac:dyDescent="0.2">
      <c r="B2076" s="129" t="s">
        <v>3524</v>
      </c>
      <c r="C2076" s="122" t="s">
        <v>3525</v>
      </c>
      <c r="D2076" s="122">
        <v>0.24</v>
      </c>
      <c r="E2076" s="122">
        <v>0.4</v>
      </c>
      <c r="F2076" s="122">
        <v>5.22</v>
      </c>
    </row>
    <row r="2077" spans="2:6" x14ac:dyDescent="0.2">
      <c r="B2077" s="129" t="s">
        <v>4710</v>
      </c>
      <c r="C2077" s="122" t="s">
        <v>4711</v>
      </c>
      <c r="D2077" s="122"/>
      <c r="E2077" s="122">
        <v>0.97</v>
      </c>
      <c r="F2077" s="122"/>
    </row>
    <row r="2078" spans="2:6" x14ac:dyDescent="0.2">
      <c r="B2078" s="129" t="s">
        <v>3526</v>
      </c>
      <c r="C2078" s="122" t="s">
        <v>3527</v>
      </c>
      <c r="D2078" s="122">
        <v>6.2</v>
      </c>
      <c r="E2078" s="122"/>
      <c r="F2078" s="122">
        <v>-13.02</v>
      </c>
    </row>
    <row r="2079" spans="2:6" x14ac:dyDescent="0.2">
      <c r="B2079" s="129" t="s">
        <v>3528</v>
      </c>
      <c r="C2079" s="122" t="s">
        <v>3529</v>
      </c>
      <c r="D2079" s="122">
        <v>1.97</v>
      </c>
      <c r="E2079" s="122">
        <v>5.47</v>
      </c>
      <c r="F2079" s="122">
        <v>21.03</v>
      </c>
    </row>
    <row r="2080" spans="2:6" x14ac:dyDescent="0.2">
      <c r="B2080" s="129" t="s">
        <v>3530</v>
      </c>
      <c r="C2080" s="122" t="s">
        <v>3531</v>
      </c>
      <c r="D2080" s="122">
        <v>1.38</v>
      </c>
      <c r="E2080" s="122">
        <v>0.73</v>
      </c>
      <c r="F2080" s="122">
        <v>9.7100000000000009</v>
      </c>
    </row>
    <row r="2081" spans="2:6" x14ac:dyDescent="0.2">
      <c r="B2081" s="129" t="s">
        <v>4712</v>
      </c>
      <c r="C2081" s="122" t="s">
        <v>4713</v>
      </c>
      <c r="D2081" s="122"/>
      <c r="E2081" s="122"/>
      <c r="F2081" s="122"/>
    </row>
    <row r="2082" spans="2:6" x14ac:dyDescent="0.2">
      <c r="B2082" s="129" t="s">
        <v>4714</v>
      </c>
      <c r="C2082" s="122" t="s">
        <v>4715</v>
      </c>
      <c r="D2082" s="122">
        <v>3.56</v>
      </c>
      <c r="E2082" s="122">
        <v>1.92</v>
      </c>
      <c r="F2082" s="122">
        <v>-5.12</v>
      </c>
    </row>
    <row r="2083" spans="2:6" x14ac:dyDescent="0.2">
      <c r="B2083" s="129" t="s">
        <v>3532</v>
      </c>
      <c r="C2083" s="122" t="s">
        <v>3533</v>
      </c>
      <c r="D2083" s="122">
        <v>3.11</v>
      </c>
      <c r="E2083" s="122">
        <v>5.95</v>
      </c>
      <c r="F2083" s="122">
        <v>11.27</v>
      </c>
    </row>
    <row r="2084" spans="2:6" x14ac:dyDescent="0.2">
      <c r="B2084" s="129" t="s">
        <v>3534</v>
      </c>
      <c r="C2084" s="122" t="s">
        <v>3535</v>
      </c>
      <c r="D2084" s="122">
        <v>3.7</v>
      </c>
      <c r="E2084" s="122">
        <v>2.4900000000000002</v>
      </c>
      <c r="F2084" s="122">
        <v>13.4</v>
      </c>
    </row>
    <row r="2085" spans="2:6" x14ac:dyDescent="0.2">
      <c r="B2085" s="129" t="s">
        <v>3536</v>
      </c>
      <c r="C2085" s="122" t="s">
        <v>3537</v>
      </c>
      <c r="D2085" s="122">
        <v>2.5099999999999998</v>
      </c>
      <c r="E2085" s="122">
        <v>7.07</v>
      </c>
      <c r="F2085" s="122">
        <v>43.6</v>
      </c>
    </row>
    <row r="2086" spans="2:6" x14ac:dyDescent="0.2">
      <c r="B2086" s="129" t="s">
        <v>3538</v>
      </c>
      <c r="C2086" s="122" t="s">
        <v>3539</v>
      </c>
      <c r="D2086" s="122">
        <v>12.23</v>
      </c>
      <c r="E2086" s="122">
        <v>19.88</v>
      </c>
      <c r="F2086" s="122">
        <v>-27.44</v>
      </c>
    </row>
    <row r="2087" spans="2:6" x14ac:dyDescent="0.2">
      <c r="B2087" s="129" t="s">
        <v>4714</v>
      </c>
      <c r="C2087" s="122" t="s">
        <v>4716</v>
      </c>
      <c r="D2087" s="122">
        <v>3.57</v>
      </c>
      <c r="E2087" s="122">
        <v>1.92</v>
      </c>
      <c r="F2087" s="122">
        <v>-5.12</v>
      </c>
    </row>
    <row r="2088" spans="2:6" x14ac:dyDescent="0.2">
      <c r="B2088" s="129" t="s">
        <v>3540</v>
      </c>
      <c r="C2088" s="122" t="s">
        <v>3541</v>
      </c>
      <c r="D2088" s="122">
        <v>2.4700000000000002</v>
      </c>
      <c r="E2088" s="122">
        <v>1.1599999999999999</v>
      </c>
      <c r="F2088" s="122">
        <v>12.26</v>
      </c>
    </row>
    <row r="2089" spans="2:6" x14ac:dyDescent="0.2">
      <c r="B2089" s="129" t="s">
        <v>4717</v>
      </c>
      <c r="C2089" s="122" t="s">
        <v>4718</v>
      </c>
      <c r="D2089" s="122">
        <v>1.68</v>
      </c>
      <c r="E2089" s="122">
        <v>6.32</v>
      </c>
      <c r="F2089" s="122">
        <v>3.27</v>
      </c>
    </row>
    <row r="2090" spans="2:6" x14ac:dyDescent="0.2">
      <c r="B2090" s="129" t="s">
        <v>4719</v>
      </c>
      <c r="C2090" s="122" t="s">
        <v>4720</v>
      </c>
      <c r="D2090" s="122"/>
      <c r="E2090" s="122">
        <v>30.27</v>
      </c>
      <c r="F2090" s="122"/>
    </row>
    <row r="2091" spans="2:6" x14ac:dyDescent="0.2">
      <c r="B2091" s="129" t="s">
        <v>3542</v>
      </c>
      <c r="C2091" s="122" t="s">
        <v>3543</v>
      </c>
      <c r="D2091" s="122">
        <v>5.5</v>
      </c>
      <c r="E2091" s="122">
        <v>3.36</v>
      </c>
      <c r="F2091" s="122">
        <v>-10.42</v>
      </c>
    </row>
    <row r="2092" spans="2:6" x14ac:dyDescent="0.2">
      <c r="B2092" s="129" t="s">
        <v>3544</v>
      </c>
      <c r="C2092" s="122" t="s">
        <v>3545</v>
      </c>
      <c r="D2092" s="122">
        <v>0.35</v>
      </c>
      <c r="E2092" s="122">
        <v>0.68</v>
      </c>
      <c r="F2092" s="122">
        <v>3.57</v>
      </c>
    </row>
    <row r="2093" spans="2:6" x14ac:dyDescent="0.2">
      <c r="B2093" s="129" t="s">
        <v>3546</v>
      </c>
      <c r="C2093" s="122" t="s">
        <v>3547</v>
      </c>
      <c r="D2093" s="122">
        <v>21.65</v>
      </c>
      <c r="E2093" s="122">
        <v>21.25</v>
      </c>
      <c r="F2093" s="122">
        <v>-9.4600000000000009</v>
      </c>
    </row>
    <row r="2094" spans="2:6" x14ac:dyDescent="0.2">
      <c r="B2094" s="129" t="s">
        <v>3548</v>
      </c>
      <c r="C2094" s="122" t="s">
        <v>3549</v>
      </c>
      <c r="D2094" s="122">
        <v>0.97</v>
      </c>
      <c r="E2094" s="122">
        <v>2.38</v>
      </c>
      <c r="F2094" s="122">
        <v>-2.2999999999999998</v>
      </c>
    </row>
    <row r="2095" spans="2:6" x14ac:dyDescent="0.2">
      <c r="B2095" s="129" t="s">
        <v>3550</v>
      </c>
      <c r="C2095" s="122" t="s">
        <v>3551</v>
      </c>
      <c r="D2095" s="122">
        <v>3.8</v>
      </c>
      <c r="E2095" s="122">
        <v>2.19</v>
      </c>
      <c r="F2095" s="122">
        <v>13.73</v>
      </c>
    </row>
    <row r="2096" spans="2:6" x14ac:dyDescent="0.2">
      <c r="B2096" s="129" t="s">
        <v>3552</v>
      </c>
      <c r="C2096" s="122" t="s">
        <v>3553</v>
      </c>
      <c r="D2096" s="122">
        <v>9.92</v>
      </c>
      <c r="E2096" s="122">
        <v>24.94</v>
      </c>
      <c r="F2096" s="122">
        <v>72.86</v>
      </c>
    </row>
    <row r="2097" spans="2:6" x14ac:dyDescent="0.2">
      <c r="B2097" s="129" t="s">
        <v>3554</v>
      </c>
      <c r="C2097" s="122" t="s">
        <v>3555</v>
      </c>
      <c r="D2097" s="122"/>
      <c r="E2097" s="122">
        <v>1.81</v>
      </c>
      <c r="F2097" s="1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69653-6D80-4146-9520-CF3817A5DE2E}">
  <sheetPr codeName="Sheet2"/>
  <dimension ref="B1:AE370"/>
  <sheetViews>
    <sheetView topLeftCell="A15" zoomScale="160" zoomScaleNormal="160" workbookViewId="0">
      <selection activeCell="J16" sqref="J16:J27"/>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 t="s">
        <v>16</v>
      </c>
      <c r="G2" s="10" t="s">
        <v>15</v>
      </c>
      <c r="H2" s="11"/>
    </row>
    <row r="3" spans="2:31" ht="16" thickBot="1" x14ac:dyDescent="0.25"/>
    <row r="4" spans="2:31" x14ac:dyDescent="0.2">
      <c r="B4" s="12" t="s">
        <v>26</v>
      </c>
      <c r="C4" s="13">
        <v>192.21</v>
      </c>
      <c r="D4" s="14"/>
      <c r="E4" s="15"/>
      <c r="F4" s="15"/>
      <c r="G4" s="15"/>
      <c r="H4" s="16"/>
      <c r="J4" s="17">
        <v>43703</v>
      </c>
      <c r="K4" s="15" t="s">
        <v>27</v>
      </c>
      <c r="L4" s="15"/>
      <c r="M4" s="15"/>
      <c r="N4" s="16"/>
    </row>
    <row r="5" spans="2:31" ht="16" thickBot="1" x14ac:dyDescent="0.25">
      <c r="B5" s="18"/>
      <c r="C5" s="7"/>
      <c r="D5" s="7"/>
      <c r="H5" s="19"/>
      <c r="J5" s="20">
        <v>43808</v>
      </c>
      <c r="K5" s="21" t="s">
        <v>28</v>
      </c>
      <c r="L5" s="21"/>
      <c r="M5" s="21"/>
      <c r="N5" s="22"/>
    </row>
    <row r="6" spans="2:31" ht="16" thickBot="1" x14ac:dyDescent="0.25">
      <c r="B6" s="23" t="s">
        <v>29</v>
      </c>
      <c r="C6" s="24">
        <v>216.25999450683594</v>
      </c>
      <c r="D6" s="25">
        <f>(C4-C6)/C6</f>
        <v>-0.1112087076561713</v>
      </c>
      <c r="E6" s="26" t="s">
        <v>30</v>
      </c>
      <c r="F6" s="27" t="str">
        <f>E25</f>
        <v>40,9x</v>
      </c>
      <c r="G6" s="26" t="s">
        <v>31</v>
      </c>
      <c r="H6" s="28">
        <f>C4/F36</f>
        <v>15.626829268292683</v>
      </c>
      <c r="L6" s="29"/>
      <c r="M6" s="30"/>
    </row>
    <row r="7" spans="2:31" x14ac:dyDescent="0.2">
      <c r="B7" s="23" t="s">
        <v>32</v>
      </c>
      <c r="C7" s="24">
        <v>153.1300048828125</v>
      </c>
      <c r="D7" s="25">
        <f>(C4-C7)/C7</f>
        <v>0.25520795318392819</v>
      </c>
      <c r="E7" s="26" t="s">
        <v>33</v>
      </c>
      <c r="F7" s="7" t="str">
        <f>F25</f>
        <v>41,5x</v>
      </c>
      <c r="G7" s="26" t="s">
        <v>34</v>
      </c>
      <c r="H7" s="31">
        <v>0.39400000000000002</v>
      </c>
      <c r="L7" s="32"/>
      <c r="M7" s="30"/>
      <c r="N7" s="2"/>
      <c r="R7" s="12" t="s">
        <v>35</v>
      </c>
      <c r="S7" s="15"/>
      <c r="T7" s="33"/>
    </row>
    <row r="8" spans="2:31" x14ac:dyDescent="0.2">
      <c r="B8" s="23" t="s">
        <v>36</v>
      </c>
      <c r="C8" s="34">
        <v>0.58050000000000002</v>
      </c>
      <c r="D8" s="35"/>
      <c r="E8" s="26" t="s">
        <v>19</v>
      </c>
      <c r="F8" s="7"/>
      <c r="G8" s="26" t="s">
        <v>4</v>
      </c>
      <c r="H8" s="19" t="str">
        <f>VLOOKUP(B2,[1]Database!L:S,5,)</f>
        <v>NASDAQ GS</v>
      </c>
      <c r="R8" s="36" t="s">
        <v>37</v>
      </c>
      <c r="T8" s="37"/>
    </row>
    <row r="9" spans="2:31" x14ac:dyDescent="0.2">
      <c r="B9" s="23" t="s">
        <v>38</v>
      </c>
      <c r="C9" s="8">
        <v>25040</v>
      </c>
      <c r="D9" s="7"/>
      <c r="E9" s="26" t="s">
        <v>39</v>
      </c>
      <c r="F9" s="7" t="s">
        <v>40</v>
      </c>
      <c r="G9" s="26" t="s">
        <v>23</v>
      </c>
      <c r="H9" s="19" t="str">
        <f>VLOOKUP(B2,[1]Database!L:S,6,)</f>
        <v>Consumer Discretionary</v>
      </c>
      <c r="R9" s="36" t="s">
        <v>41</v>
      </c>
      <c r="T9" s="37"/>
    </row>
    <row r="10" spans="2:31" x14ac:dyDescent="0.2">
      <c r="B10" s="23" t="s">
        <v>11</v>
      </c>
      <c r="C10" s="38">
        <v>23846</v>
      </c>
      <c r="D10" s="8">
        <f>C10-C9</f>
        <v>-1194</v>
      </c>
      <c r="E10" s="26" t="s">
        <v>42</v>
      </c>
      <c r="F10" s="35" t="str">
        <f>IF(F9&lt;"-",F9/C4,"")</f>
        <v/>
      </c>
      <c r="G10" s="26" t="s">
        <v>5</v>
      </c>
      <c r="H10" s="19" t="str">
        <f>VLOOKUP(B2,[1]Database!L:S,7,)</f>
        <v>Textiles, Apparel &amp; Luxury Goo</v>
      </c>
      <c r="R10" s="36" t="s">
        <v>43</v>
      </c>
      <c r="T10" s="37"/>
    </row>
    <row r="11" spans="2:31" ht="16" thickBot="1" x14ac:dyDescent="0.25">
      <c r="B11" s="23" t="s">
        <v>44</v>
      </c>
      <c r="C11" s="24">
        <v>1.4650000333786011</v>
      </c>
      <c r="D11" s="7"/>
      <c r="E11" s="26" t="s">
        <v>9</v>
      </c>
      <c r="F11" s="24">
        <v>1.26</v>
      </c>
      <c r="G11" s="26" t="s">
        <v>45</v>
      </c>
      <c r="H11" s="39" t="s">
        <v>46</v>
      </c>
      <c r="R11" s="40" t="s">
        <v>47</v>
      </c>
      <c r="S11" s="21"/>
      <c r="T11" s="41"/>
    </row>
    <row r="12" spans="2:31" ht="15.75" customHeight="1" thickBot="1" x14ac:dyDescent="0.25">
      <c r="B12" s="42" t="s">
        <v>48</v>
      </c>
      <c r="C12" s="43">
        <v>194.9</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47</v>
      </c>
      <c r="O15" s="52" t="s">
        <v>54</v>
      </c>
      <c r="AA15" s="6" t="s">
        <v>26</v>
      </c>
      <c r="AB15" s="6">
        <v>383.3</v>
      </c>
      <c r="AC15" s="6">
        <v>88.27</v>
      </c>
      <c r="AD15" s="6">
        <v>27.19</v>
      </c>
      <c r="AE15" s="6">
        <v>38.64</v>
      </c>
    </row>
    <row r="16" spans="2:31" x14ac:dyDescent="0.2">
      <c r="B16" s="23" t="s">
        <v>55</v>
      </c>
      <c r="C16" s="8">
        <v>2344</v>
      </c>
      <c r="D16" s="8">
        <v>2649</v>
      </c>
      <c r="E16" s="8">
        <v>3288</v>
      </c>
      <c r="F16" s="8">
        <v>3821</v>
      </c>
      <c r="G16" s="8">
        <v>4346</v>
      </c>
      <c r="H16" s="53">
        <v>4947</v>
      </c>
      <c r="J16" s="23" t="s">
        <v>38</v>
      </c>
      <c r="K16" s="8">
        <f t="shared" ref="K16:M17" si="0">IF(AB16&lt;&gt;0,AB16,"")</f>
        <v>191403</v>
      </c>
      <c r="L16" s="8">
        <f t="shared" si="0"/>
        <v>35478</v>
      </c>
      <c r="M16" s="8">
        <f t="shared" si="0"/>
        <v>11620</v>
      </c>
      <c r="N16" s="8">
        <v>9790</v>
      </c>
      <c r="O16" s="53">
        <f t="shared" ref="O16:O18" si="1">AVERAGE(K16:N16)</f>
        <v>62072.75</v>
      </c>
      <c r="AA16" s="6" t="s">
        <v>38</v>
      </c>
      <c r="AB16" s="6">
        <v>191403</v>
      </c>
      <c r="AC16" s="6">
        <v>35478</v>
      </c>
      <c r="AD16" s="6">
        <v>11620</v>
      </c>
      <c r="AE16" s="6" t="s">
        <v>56</v>
      </c>
    </row>
    <row r="17" spans="2:31" ht="15" customHeight="1" x14ac:dyDescent="0.2">
      <c r="B17" s="23" t="s">
        <v>57</v>
      </c>
      <c r="C17" s="7"/>
      <c r="D17" s="35">
        <f>(D16-C16)/C16</f>
        <v>0.13011945392491467</v>
      </c>
      <c r="E17" s="35">
        <f t="shared" ref="E17:H17" si="2">(E16-D16)/D16</f>
        <v>0.24122310305775765</v>
      </c>
      <c r="F17" s="35">
        <f t="shared" si="2"/>
        <v>0.16210462287104624</v>
      </c>
      <c r="G17" s="35">
        <f t="shared" si="2"/>
        <v>0.13739858675739336</v>
      </c>
      <c r="H17" s="54">
        <f t="shared" si="2"/>
        <v>0.13828808099401749</v>
      </c>
      <c r="J17" s="23" t="s">
        <v>11</v>
      </c>
      <c r="K17" s="8">
        <f t="shared" si="0"/>
        <v>192879</v>
      </c>
      <c r="L17" s="8">
        <f t="shared" si="0"/>
        <v>37143</v>
      </c>
      <c r="M17" s="8">
        <f t="shared" si="0"/>
        <v>11760</v>
      </c>
      <c r="N17" s="8">
        <v>8920</v>
      </c>
      <c r="O17" s="53">
        <f t="shared" si="1"/>
        <v>62675.5</v>
      </c>
      <c r="AA17" s="6" t="s">
        <v>11</v>
      </c>
      <c r="AB17" s="4">
        <v>192879</v>
      </c>
      <c r="AC17" s="6">
        <v>37143</v>
      </c>
      <c r="AD17" s="6">
        <v>11760</v>
      </c>
      <c r="AE17" s="6" t="s">
        <v>58</v>
      </c>
    </row>
    <row r="18" spans="2:31" ht="15" customHeight="1" x14ac:dyDescent="0.2">
      <c r="B18" s="23" t="s">
        <v>59</v>
      </c>
      <c r="C18" s="8">
        <v>509</v>
      </c>
      <c r="D18" s="8">
        <v>611</v>
      </c>
      <c r="E18" s="8">
        <v>828</v>
      </c>
      <c r="F18" s="8">
        <v>972</v>
      </c>
      <c r="G18" s="8">
        <v>1138</v>
      </c>
      <c r="H18" s="53">
        <v>1320</v>
      </c>
      <c r="J18" s="23" t="s">
        <v>60</v>
      </c>
      <c r="K18" s="55">
        <f>IF(AB15&lt;&gt;0,AB15/AB18,"")</f>
        <v>23.956250000000001</v>
      </c>
      <c r="L18" s="55">
        <v>27.6</v>
      </c>
      <c r="M18" s="55">
        <f>IF(AD15&lt;&gt;0,AD15/AD18,"")</f>
        <v>55.489795918367349</v>
      </c>
      <c r="N18" s="55">
        <f>IF(AE15&lt;&gt;0,AE15/AE18,"")</f>
        <v>25.09090909090909</v>
      </c>
      <c r="O18" s="56">
        <f t="shared" si="1"/>
        <v>33.034238752319112</v>
      </c>
      <c r="AA18" s="6" t="s">
        <v>61</v>
      </c>
      <c r="AB18" s="4">
        <v>16</v>
      </c>
      <c r="AD18" s="6">
        <v>0.49</v>
      </c>
      <c r="AE18" s="6">
        <v>1.54</v>
      </c>
    </row>
    <row r="19" spans="2:31" ht="15" customHeight="1" x14ac:dyDescent="0.2">
      <c r="B19" s="23" t="s">
        <v>62</v>
      </c>
      <c r="C19" s="57">
        <f>IF(C18&lt;"-",C18/C16,"")</f>
        <v>0.21715017064846417</v>
      </c>
      <c r="D19" s="57">
        <f t="shared" ref="D19:H19" si="3">IF(D18&lt;"-",D18/D16,"")</f>
        <v>0.23065307663269158</v>
      </c>
      <c r="E19" s="57">
        <f t="shared" si="3"/>
        <v>0.2518248175182482</v>
      </c>
      <c r="F19" s="57">
        <f t="shared" si="3"/>
        <v>0.25438366919654543</v>
      </c>
      <c r="G19" s="57">
        <f t="shared" si="3"/>
        <v>0.26184997699033596</v>
      </c>
      <c r="H19" s="58">
        <f t="shared" si="3"/>
        <v>0.26682838083687083</v>
      </c>
      <c r="J19" s="23" t="s">
        <v>63</v>
      </c>
      <c r="K19" s="55">
        <v>14.2</v>
      </c>
      <c r="L19" s="55">
        <v>19.100000000000001</v>
      </c>
      <c r="M19" s="55">
        <v>27.7</v>
      </c>
      <c r="N19" s="55">
        <v>15.9</v>
      </c>
      <c r="O19" s="56">
        <f>AVERAGE(K19:N19)</f>
        <v>19.225000000000001</v>
      </c>
      <c r="AA19" s="6" t="s">
        <v>64</v>
      </c>
      <c r="AB19" s="6">
        <v>13603</v>
      </c>
      <c r="AC19" s="4" t="s">
        <v>65</v>
      </c>
      <c r="AD19" s="6">
        <v>425</v>
      </c>
      <c r="AE19" s="6">
        <v>576</v>
      </c>
    </row>
    <row r="20" spans="2:31" ht="15" customHeight="1" x14ac:dyDescent="0.2">
      <c r="B20" s="23" t="s">
        <v>66</v>
      </c>
      <c r="C20" s="8">
        <v>421</v>
      </c>
      <c r="D20" s="8">
        <v>503</v>
      </c>
      <c r="E20" s="8">
        <v>706</v>
      </c>
      <c r="F20" s="8">
        <v>837</v>
      </c>
      <c r="G20" s="8">
        <v>982</v>
      </c>
      <c r="H20" s="53">
        <v>1141</v>
      </c>
      <c r="J20" s="23" t="s">
        <v>67</v>
      </c>
      <c r="K20" s="55">
        <f>IF(AB17&lt;&gt;0,AB17/AB20,"")</f>
        <v>16.931091994382022</v>
      </c>
      <c r="L20" s="55">
        <v>22.7</v>
      </c>
      <c r="M20" s="55">
        <f>IF(AD17&lt;&gt;0,AD17/AD20,"")</f>
        <v>50.256410256410255</v>
      </c>
      <c r="N20" s="55">
        <v>18.5</v>
      </c>
      <c r="O20" s="56">
        <f>AVERAGE(K20:N20)</f>
        <v>27.096875562698067</v>
      </c>
      <c r="AA20" s="6" t="s">
        <v>68</v>
      </c>
      <c r="AB20" s="6">
        <v>11392</v>
      </c>
      <c r="AD20" s="6">
        <v>234</v>
      </c>
      <c r="AE20" s="6">
        <v>495</v>
      </c>
    </row>
    <row r="21" spans="2:31" ht="15" customHeight="1" x14ac:dyDescent="0.2">
      <c r="B21" s="23" t="s">
        <v>69</v>
      </c>
      <c r="C21" s="57">
        <f>C20/C16</f>
        <v>0.17960750853242322</v>
      </c>
      <c r="D21" s="57">
        <f>D20/D16</f>
        <v>0.18988297470743676</v>
      </c>
      <c r="E21" s="57">
        <f t="shared" ref="E21:H21" si="4">E20/E16</f>
        <v>0.21472019464720193</v>
      </c>
      <c r="F21" s="57">
        <f t="shared" si="4"/>
        <v>0.21905260403035853</v>
      </c>
      <c r="G21" s="57">
        <f t="shared" si="4"/>
        <v>0.22595490105844454</v>
      </c>
      <c r="H21" s="58">
        <f t="shared" si="4"/>
        <v>0.23064483525368912</v>
      </c>
      <c r="J21" s="23" t="s">
        <v>70</v>
      </c>
      <c r="K21" s="55">
        <f>IF(AB17&lt;&gt;0,AB17/AB21,"")</f>
        <v>3.5964087934217153</v>
      </c>
      <c r="L21" s="55">
        <v>3.1</v>
      </c>
      <c r="M21" s="55">
        <f>IF(AD17&lt;&gt;0,AD17/AD21,"")</f>
        <v>2.186686500557828</v>
      </c>
      <c r="N21" s="55">
        <v>5.6</v>
      </c>
      <c r="O21" s="56">
        <f t="shared" ref="O21:O22" si="5">AVERAGE(K21:N21)</f>
        <v>3.6207738234948859</v>
      </c>
      <c r="AA21" s="6" t="s">
        <v>71</v>
      </c>
      <c r="AB21" s="6">
        <v>53631</v>
      </c>
      <c r="AC21" s="4" t="s">
        <v>65</v>
      </c>
      <c r="AD21" s="6">
        <v>5378</v>
      </c>
      <c r="AE21" s="6">
        <v>1642</v>
      </c>
    </row>
    <row r="22" spans="2:31" ht="15" customHeight="1" x14ac:dyDescent="0.2">
      <c r="B22" s="23" t="s">
        <v>72</v>
      </c>
      <c r="C22" s="8">
        <v>303</v>
      </c>
      <c r="D22" s="8">
        <v>259</v>
      </c>
      <c r="E22" s="8">
        <v>484</v>
      </c>
      <c r="F22" s="8">
        <v>605</v>
      </c>
      <c r="G22" s="8">
        <v>710</v>
      </c>
      <c r="H22" s="53">
        <v>830</v>
      </c>
      <c r="J22" s="23" t="s">
        <v>18</v>
      </c>
      <c r="K22" s="24">
        <f>IF(AB15&lt;&gt;0,AB15/AB22,"")</f>
        <v>4.6404358353510897</v>
      </c>
      <c r="L22" s="24">
        <f>IF(AC15&lt;&gt;0,AC15/AC22,"")</f>
        <v>6.6871212121212125</v>
      </c>
      <c r="M22" s="24">
        <f>IF(AD15&lt;&gt;0,AD15/AD22,"")</f>
        <v>5.0445269016697596</v>
      </c>
      <c r="N22" s="24">
        <f>IF(AE15&lt;&gt;0,AE15/AE22,"")</f>
        <v>6.0280811232449301</v>
      </c>
      <c r="O22" s="56">
        <f t="shared" si="5"/>
        <v>5.6000412680967484</v>
      </c>
      <c r="AA22" s="6" t="s">
        <v>73</v>
      </c>
      <c r="AB22" s="4">
        <v>82.6</v>
      </c>
      <c r="AC22" s="4">
        <v>13.2</v>
      </c>
      <c r="AD22" s="6">
        <v>5.39</v>
      </c>
      <c r="AE22" s="4">
        <v>6.41</v>
      </c>
    </row>
    <row r="23" spans="2:31" ht="15" customHeight="1" x14ac:dyDescent="0.2">
      <c r="B23" s="23" t="s">
        <v>74</v>
      </c>
      <c r="C23" s="57">
        <f>C22/C16</f>
        <v>0.12926621160409557</v>
      </c>
      <c r="D23" s="57">
        <f t="shared" ref="D23:H23" si="6">D22/D16</f>
        <v>9.7772744431861083E-2</v>
      </c>
      <c r="E23" s="57">
        <f>E22/E16</f>
        <v>0.14720194647201945</v>
      </c>
      <c r="F23" s="57">
        <f t="shared" si="6"/>
        <v>0.15833551426328185</v>
      </c>
      <c r="G23" s="57">
        <f t="shared" si="6"/>
        <v>0.16336861481822365</v>
      </c>
      <c r="H23" s="58">
        <f t="shared" si="6"/>
        <v>0.16777845158682028</v>
      </c>
      <c r="J23" s="23" t="s">
        <v>62</v>
      </c>
      <c r="K23" s="25">
        <f>IF(AB19&lt;&gt;0,AB19/AB21,"")</f>
        <v>0.25364061829911805</v>
      </c>
      <c r="L23" s="25">
        <v>0.16500000000000001</v>
      </c>
      <c r="M23" s="25">
        <f>IF(AD19&lt;&gt;0,AD19/AD21,"")</f>
        <v>7.9025660096690223E-2</v>
      </c>
      <c r="N23" s="25">
        <f>IF(AE19&lt;&gt;0,AE19/AE21,"")</f>
        <v>0.3507917174177832</v>
      </c>
      <c r="O23" s="59">
        <f>AVERAGE(K23:N23)</f>
        <v>0.21211449895339785</v>
      </c>
      <c r="AA23" s="6" t="s">
        <v>75</v>
      </c>
      <c r="AB23" s="6">
        <f>IF(AB21&lt;&gt;0,AB19/AB21,"")</f>
        <v>0.25364061829911805</v>
      </c>
      <c r="AC23" s="6" t="e">
        <f t="shared" ref="AC23:AE23" si="7">IF(AC21&lt;&gt;0,AC19/AC21,"")</f>
        <v>#VALUE!</v>
      </c>
      <c r="AD23" s="6">
        <f t="shared" si="7"/>
        <v>7.9025660096690223E-2</v>
      </c>
      <c r="AE23" s="6">
        <f t="shared" si="7"/>
        <v>0.3507917174177832</v>
      </c>
    </row>
    <row r="24" spans="2:31" ht="15" customHeight="1" x14ac:dyDescent="0.2">
      <c r="B24" s="23"/>
      <c r="C24" s="7"/>
      <c r="D24" s="60">
        <f>(D22-C22)/C22</f>
        <v>-0.14521452145214522</v>
      </c>
      <c r="E24" s="60">
        <f t="shared" ref="E24:H24" si="8">(E22-D22)/D22</f>
        <v>0.86872586872586877</v>
      </c>
      <c r="F24" s="60">
        <f t="shared" si="8"/>
        <v>0.25</v>
      </c>
      <c r="G24" s="60">
        <f t="shared" si="8"/>
        <v>0.17355371900826447</v>
      </c>
      <c r="H24" s="61">
        <f t="shared" si="8"/>
        <v>0.16901408450704225</v>
      </c>
      <c r="J24" s="23" t="s">
        <v>69</v>
      </c>
      <c r="K24" s="25">
        <f>IF(AB20&lt;&gt;0,AB20/AB21,"")</f>
        <v>0.21241446178516157</v>
      </c>
      <c r="L24" s="25" t="str">
        <f>IF(AC20&lt;&gt;0,AC20/AC21,"")</f>
        <v/>
      </c>
      <c r="M24" s="25">
        <f>IF(AD20&lt;&gt;0,AD20/AD21,"")</f>
        <v>4.3510598735589441E-2</v>
      </c>
      <c r="N24" s="25">
        <f>IF(AE20&lt;&gt;0,AE20/AE21,"")</f>
        <v>0.30146163215590743</v>
      </c>
      <c r="O24" s="59">
        <f>AVERAGE(K24:N24)</f>
        <v>0.1857955642255528</v>
      </c>
      <c r="AA24" s="6" t="s">
        <v>76</v>
      </c>
      <c r="AB24" s="6">
        <f>IF(AB21&lt;&gt;0,AB20/AB21,"")</f>
        <v>0.21241446178516157</v>
      </c>
      <c r="AC24" s="6" t="e">
        <f t="shared" ref="AC24:AE24" si="9">IF(AC21&lt;&gt;0,AC20/AC21,"")</f>
        <v>#VALUE!</v>
      </c>
      <c r="AD24" s="6">
        <f t="shared" si="9"/>
        <v>4.3510598735589441E-2</v>
      </c>
      <c r="AE24" s="6">
        <f t="shared" si="9"/>
        <v>0.30146163215590743</v>
      </c>
    </row>
    <row r="25" spans="2:31" ht="15" customHeight="1" x14ac:dyDescent="0.2">
      <c r="B25" s="23" t="s">
        <v>77</v>
      </c>
      <c r="C25" s="7" t="s">
        <v>78</v>
      </c>
      <c r="D25" s="7" t="s">
        <v>79</v>
      </c>
      <c r="E25" s="27" t="s">
        <v>80</v>
      </c>
      <c r="F25" s="7" t="s">
        <v>81</v>
      </c>
      <c r="G25" s="7" t="s">
        <v>82</v>
      </c>
      <c r="H25" s="62" t="s">
        <v>83</v>
      </c>
      <c r="J25" s="23" t="s">
        <v>84</v>
      </c>
      <c r="K25" s="25">
        <f>IF(AB25&lt;&gt;0,AB25/AB21,"")</f>
        <v>0.15041673658891314</v>
      </c>
      <c r="L25" s="25">
        <v>0.112</v>
      </c>
      <c r="M25" s="25">
        <f>IF(AD25&lt;&gt;0,AD25/AD21,"")</f>
        <v>4.1279285979918187E-2</v>
      </c>
      <c r="N25" s="25">
        <f>IF(AE25&lt;&gt;0,AE25/AE21,"")</f>
        <v>0.23751522533495736</v>
      </c>
      <c r="O25" s="59">
        <f>AVERAGE(K25:N25)</f>
        <v>0.13530281197594718</v>
      </c>
      <c r="AA25" s="6" t="s">
        <v>85</v>
      </c>
      <c r="AB25" s="6">
        <v>8067</v>
      </c>
      <c r="AC25" s="4" t="s">
        <v>65</v>
      </c>
      <c r="AD25" s="6">
        <v>222</v>
      </c>
      <c r="AE25" s="6">
        <v>390</v>
      </c>
    </row>
    <row r="26" spans="2:31" ht="15" customHeight="1" x14ac:dyDescent="0.2">
      <c r="B26" s="23" t="s">
        <v>86</v>
      </c>
      <c r="C26" s="7">
        <v>2.21</v>
      </c>
      <c r="D26" s="7">
        <v>1.9</v>
      </c>
      <c r="E26" s="24">
        <v>3.61</v>
      </c>
      <c r="F26" s="7">
        <v>4.63</v>
      </c>
      <c r="G26" s="7">
        <v>5.47</v>
      </c>
      <c r="H26" s="62">
        <v>6.48</v>
      </c>
      <c r="J26" s="23" t="s">
        <v>87</v>
      </c>
      <c r="K26" s="35">
        <f>IF(AB26&lt;&gt;0,AB26/AB15,"")</f>
        <v>1.987998956430994E-2</v>
      </c>
      <c r="L26" s="35">
        <f>IF(AC26&lt;&gt;0,AC26/AC15,"")</f>
        <v>2.4130508666591142E-2</v>
      </c>
      <c r="M26" s="35">
        <v>0</v>
      </c>
      <c r="N26" s="35">
        <f>IF(AE26&lt;&gt;0,AE26/AE15,"")</f>
        <v>1.3457556935817806E-2</v>
      </c>
      <c r="O26" s="54">
        <f>AVERAGE(K26:N26)</f>
        <v>1.4367013791679723E-2</v>
      </c>
      <c r="AA26" s="6" t="s">
        <v>88</v>
      </c>
      <c r="AB26" s="6">
        <v>7.62</v>
      </c>
      <c r="AC26" s="6">
        <v>2.13</v>
      </c>
      <c r="AD26" s="6" t="s">
        <v>40</v>
      </c>
      <c r="AE26" s="6">
        <v>0.52</v>
      </c>
    </row>
    <row r="27" spans="2:31" ht="15" customHeight="1" thickBot="1" x14ac:dyDescent="0.25">
      <c r="B27" s="23" t="s">
        <v>57</v>
      </c>
      <c r="C27" s="7"/>
      <c r="D27" s="35">
        <f>(D26-C26)/ABS(C26)</f>
        <v>-0.14027149321266971</v>
      </c>
      <c r="E27" s="35">
        <f t="shared" ref="E27:H27" si="10">IF(D26&gt;0,(E26-D26)/D26,"")</f>
        <v>0.9</v>
      </c>
      <c r="F27" s="35">
        <f t="shared" si="10"/>
        <v>0.28254847645429365</v>
      </c>
      <c r="G27" s="35">
        <f t="shared" si="10"/>
        <v>0.1814254859611231</v>
      </c>
      <c r="H27" s="54">
        <f t="shared" si="10"/>
        <v>0.18464351005484475</v>
      </c>
      <c r="J27" s="42" t="s">
        <v>34</v>
      </c>
      <c r="K27" s="44">
        <f>IF(AB27&lt;&gt;0,AB27,"")</f>
        <v>0.21</v>
      </c>
      <c r="L27" s="44">
        <f>IF(AC27&lt;&gt;0,AC27,"")</f>
        <v>0.29399999999999998</v>
      </c>
      <c r="M27" s="44">
        <f>IF(AD27&lt;&gt;0,AD27,"")</f>
        <v>7.3400000000000007E-2</v>
      </c>
      <c r="N27" s="44">
        <f>IF(AE27&lt;&gt;0,AE27,"")</f>
        <v>0.29499999999999998</v>
      </c>
      <c r="O27" s="63">
        <f>AVERAGE(K27:N27)</f>
        <v>0.21810000000000002</v>
      </c>
      <c r="AA27" s="6" t="s">
        <v>34</v>
      </c>
      <c r="AB27" s="64">
        <v>0.21</v>
      </c>
      <c r="AC27" s="30">
        <v>0.29399999999999998</v>
      </c>
      <c r="AD27" s="30">
        <v>7.3400000000000007E-2</v>
      </c>
      <c r="AE27" s="30">
        <v>0.29499999999999998</v>
      </c>
    </row>
    <row r="28" spans="2:31" ht="15" customHeight="1" x14ac:dyDescent="0.2">
      <c r="B28" s="23" t="s">
        <v>63</v>
      </c>
      <c r="C28" s="55">
        <f>IF(C18&lt;"-",$C$10/C18,"")</f>
        <v>46.848722986247544</v>
      </c>
      <c r="D28" s="55">
        <f t="shared" ref="D28:H28" si="11">IF(D18&lt;"-",$C$10/D18,"")</f>
        <v>39.0278232405892</v>
      </c>
      <c r="E28" s="55">
        <f t="shared" si="11"/>
        <v>28.79951690821256</v>
      </c>
      <c r="F28" s="55">
        <f t="shared" si="11"/>
        <v>24.532921810699587</v>
      </c>
      <c r="G28" s="55">
        <f t="shared" si="11"/>
        <v>20.954305799648505</v>
      </c>
      <c r="H28" s="56">
        <f t="shared" si="11"/>
        <v>18.065151515151516</v>
      </c>
    </row>
    <row r="29" spans="2:31" ht="15" customHeight="1" x14ac:dyDescent="0.2">
      <c r="B29" s="23" t="s">
        <v>67</v>
      </c>
      <c r="C29" s="55">
        <f>$C$10/C20</f>
        <v>56.641330166270784</v>
      </c>
      <c r="D29" s="55">
        <f t="shared" ref="D29:H29" si="12">$C$10/D20</f>
        <v>47.407554671968192</v>
      </c>
      <c r="E29" s="55">
        <f t="shared" si="12"/>
        <v>33.776203966005667</v>
      </c>
      <c r="F29" s="55">
        <f t="shared" si="12"/>
        <v>28.48984468339307</v>
      </c>
      <c r="G29" s="55">
        <f t="shared" si="12"/>
        <v>24.283095723014256</v>
      </c>
      <c r="H29" s="56">
        <f t="shared" si="12"/>
        <v>20.899211218229624</v>
      </c>
    </row>
    <row r="30" spans="2:31" ht="15" customHeight="1" thickBot="1" x14ac:dyDescent="0.25">
      <c r="B30" s="42" t="s">
        <v>70</v>
      </c>
      <c r="C30" s="65">
        <f>$C$10/C16</f>
        <v>10.17320819112628</v>
      </c>
      <c r="D30" s="65">
        <f t="shared" ref="D30:H30" si="13">$C$10/D16</f>
        <v>9.001887504718761</v>
      </c>
      <c r="E30" s="65">
        <f t="shared" si="13"/>
        <v>7.252433090024331</v>
      </c>
      <c r="F30" s="65">
        <f t="shared" si="13"/>
        <v>6.2407746663177175</v>
      </c>
      <c r="G30" s="65">
        <f t="shared" si="13"/>
        <v>5.4868844914864239</v>
      </c>
      <c r="H30" s="66">
        <f t="shared" si="13"/>
        <v>4.8202951283606223</v>
      </c>
      <c r="J30" s="2" t="s">
        <v>89</v>
      </c>
    </row>
    <row r="31" spans="2:31" ht="16" thickBot="1" x14ac:dyDescent="0.25">
      <c r="J31" s="50"/>
      <c r="K31" s="67"/>
      <c r="L31" s="48" t="s">
        <v>90</v>
      </c>
      <c r="M31" s="48" t="s">
        <v>91</v>
      </c>
      <c r="N31" s="48" t="s">
        <v>92</v>
      </c>
      <c r="O31" s="52" t="s">
        <v>93</v>
      </c>
    </row>
    <row r="32" spans="2:31" x14ac:dyDescent="0.2">
      <c r="B32" s="12" t="s">
        <v>94</v>
      </c>
      <c r="C32" s="68"/>
      <c r="D32" s="69"/>
      <c r="E32" s="69"/>
      <c r="F32" s="69"/>
      <c r="G32" s="69"/>
      <c r="H32" s="70"/>
      <c r="J32" s="23" t="s">
        <v>95</v>
      </c>
      <c r="K32" s="26" t="s">
        <v>55</v>
      </c>
      <c r="L32" s="8">
        <v>755.31</v>
      </c>
      <c r="M32" s="8">
        <v>782.32</v>
      </c>
      <c r="N32" s="8">
        <v>27.01</v>
      </c>
      <c r="O32" s="71">
        <v>3.58</v>
      </c>
    </row>
    <row r="33" spans="2:15" x14ac:dyDescent="0.2">
      <c r="B33" s="23" t="s">
        <v>59</v>
      </c>
      <c r="C33" s="8">
        <f>C18</f>
        <v>509</v>
      </c>
      <c r="D33" s="8">
        <f t="shared" ref="D33:H33" si="14">D18</f>
        <v>611</v>
      </c>
      <c r="E33" s="8">
        <f t="shared" si="14"/>
        <v>828</v>
      </c>
      <c r="F33" s="8">
        <f t="shared" si="14"/>
        <v>972</v>
      </c>
      <c r="G33" s="8">
        <f t="shared" si="14"/>
        <v>1138</v>
      </c>
      <c r="H33" s="53">
        <f t="shared" si="14"/>
        <v>1320</v>
      </c>
      <c r="J33" s="23"/>
      <c r="K33" s="26" t="s">
        <v>96</v>
      </c>
      <c r="L33" s="7">
        <v>0.7</v>
      </c>
      <c r="M33" s="7">
        <v>0.74</v>
      </c>
      <c r="N33" s="7">
        <v>0.04</v>
      </c>
      <c r="O33" s="71">
        <v>5.32</v>
      </c>
    </row>
    <row r="34" spans="2:15" x14ac:dyDescent="0.2">
      <c r="B34" s="23" t="s">
        <v>97</v>
      </c>
      <c r="C34" s="24" t="str">
        <f>IF(C32&gt;0,C32/C33,"")</f>
        <v/>
      </c>
      <c r="D34" s="24" t="str">
        <f t="shared" ref="D34:H34" si="15">IF(D32&gt;0,D32/D33,"")</f>
        <v/>
      </c>
      <c r="E34" s="24" t="str">
        <f t="shared" si="15"/>
        <v/>
      </c>
      <c r="F34" s="24" t="str">
        <f t="shared" si="15"/>
        <v/>
      </c>
      <c r="G34" s="24" t="str">
        <f t="shared" si="15"/>
        <v/>
      </c>
      <c r="H34" s="28" t="str">
        <f t="shared" si="15"/>
        <v/>
      </c>
      <c r="J34" s="23" t="s">
        <v>98</v>
      </c>
      <c r="K34" s="26" t="s">
        <v>55</v>
      </c>
      <c r="L34" s="8">
        <v>1150.72</v>
      </c>
      <c r="M34" s="8">
        <v>1167.46</v>
      </c>
      <c r="N34" s="8">
        <v>16.739999999999998</v>
      </c>
      <c r="O34" s="71">
        <v>1.45</v>
      </c>
    </row>
    <row r="35" spans="2:15" x14ac:dyDescent="0.2">
      <c r="B35" s="23" t="s">
        <v>99</v>
      </c>
      <c r="C35" s="72">
        <v>2.8</v>
      </c>
      <c r="D35" s="72">
        <v>3.59</v>
      </c>
      <c r="E35" s="72">
        <v>5.54</v>
      </c>
      <c r="F35" s="72">
        <v>4.5</v>
      </c>
      <c r="G35" s="72">
        <v>5.98</v>
      </c>
      <c r="H35" s="73">
        <v>7.5</v>
      </c>
      <c r="J35" s="23"/>
      <c r="K35" s="26" t="s">
        <v>96</v>
      </c>
      <c r="L35" s="7">
        <v>1.74</v>
      </c>
      <c r="M35" s="7">
        <v>1.85</v>
      </c>
      <c r="N35" s="7">
        <v>0.11</v>
      </c>
      <c r="O35" s="71">
        <v>6.14</v>
      </c>
    </row>
    <row r="36" spans="2:15" ht="16" thickBot="1" x14ac:dyDescent="0.25">
      <c r="B36" s="42" t="s">
        <v>100</v>
      </c>
      <c r="C36" s="74">
        <v>9.92</v>
      </c>
      <c r="D36" s="74">
        <v>11.7</v>
      </c>
      <c r="E36" s="74">
        <v>10.8</v>
      </c>
      <c r="F36" s="74">
        <v>12.3</v>
      </c>
      <c r="G36" s="74">
        <v>15.4</v>
      </c>
      <c r="H36" s="75">
        <v>17</v>
      </c>
      <c r="J36" s="23" t="s">
        <v>101</v>
      </c>
      <c r="K36" s="26" t="s">
        <v>55</v>
      </c>
      <c r="L36" s="8">
        <v>737.45</v>
      </c>
      <c r="M36" s="8">
        <v>747.66</v>
      </c>
      <c r="N36" s="8">
        <v>10.199999999999999</v>
      </c>
      <c r="O36" s="71">
        <v>1.38</v>
      </c>
    </row>
    <row r="37" spans="2:15" ht="16" thickBot="1" x14ac:dyDescent="0.25">
      <c r="J37" s="23"/>
      <c r="K37" s="26" t="s">
        <v>96</v>
      </c>
      <c r="L37" s="7">
        <v>0.7</v>
      </c>
      <c r="M37" s="7">
        <v>0.75</v>
      </c>
      <c r="N37" s="7">
        <v>0.05</v>
      </c>
      <c r="O37" s="71">
        <v>7.88</v>
      </c>
    </row>
    <row r="38" spans="2:15" x14ac:dyDescent="0.2">
      <c r="B38" s="12" t="s">
        <v>102</v>
      </c>
      <c r="C38" s="76">
        <v>1067781</v>
      </c>
      <c r="F38" s="12" t="s">
        <v>103</v>
      </c>
      <c r="G38" s="77">
        <v>182.26</v>
      </c>
      <c r="H38" s="78">
        <f>(C4-G38)/G38</f>
        <v>5.4592340612312176E-2</v>
      </c>
      <c r="J38" s="23" t="s">
        <v>104</v>
      </c>
      <c r="K38" s="26" t="s">
        <v>55</v>
      </c>
      <c r="L38" s="8">
        <v>667.94</v>
      </c>
      <c r="M38" s="8">
        <v>723.5</v>
      </c>
      <c r="N38" s="8">
        <v>55.56</v>
      </c>
      <c r="O38" s="71">
        <v>8.32</v>
      </c>
    </row>
    <row r="39" spans="2:15" ht="16" thickBot="1" x14ac:dyDescent="0.25">
      <c r="B39" s="23" t="s">
        <v>105</v>
      </c>
      <c r="C39" s="53" t="s">
        <v>106</v>
      </c>
      <c r="F39" s="42" t="s">
        <v>107</v>
      </c>
      <c r="G39" s="79">
        <v>164.11</v>
      </c>
      <c r="H39" s="80">
        <f>(C4-G39)/G39</f>
        <v>0.17122661629394914</v>
      </c>
      <c r="J39" s="42"/>
      <c r="K39" s="81" t="s">
        <v>96</v>
      </c>
      <c r="L39" s="82">
        <v>0.49</v>
      </c>
      <c r="M39" s="82">
        <v>0.71</v>
      </c>
      <c r="N39" s="82">
        <v>0.22</v>
      </c>
      <c r="O39" s="83">
        <v>43.87</v>
      </c>
    </row>
    <row r="40" spans="2:15" ht="16" thickBot="1" x14ac:dyDescent="0.25">
      <c r="B40" s="42" t="s">
        <v>108</v>
      </c>
      <c r="C40" s="84" t="s">
        <v>109</v>
      </c>
    </row>
    <row r="41" spans="2:15" ht="16" x14ac:dyDescent="0.2">
      <c r="F41" s="12" t="s">
        <v>110</v>
      </c>
      <c r="G41" s="15"/>
      <c r="H41" s="85" t="s">
        <v>111</v>
      </c>
    </row>
    <row r="42" spans="2:15" ht="16" thickBot="1" x14ac:dyDescent="0.25">
      <c r="F42" s="42" t="s">
        <v>112</v>
      </c>
      <c r="G42" s="21"/>
      <c r="H42" s="22"/>
    </row>
    <row r="43" spans="2:15" ht="19.5" customHeight="1" thickBot="1" x14ac:dyDescent="0.25"/>
    <row r="44" spans="2:15" ht="18" customHeight="1" x14ac:dyDescent="0.2">
      <c r="B44" s="12" t="s">
        <v>113</v>
      </c>
      <c r="C44" s="86" t="s">
        <v>114</v>
      </c>
      <c r="D44" s="33">
        <v>0.73599999999999999</v>
      </c>
      <c r="F44" s="12" t="s">
        <v>115</v>
      </c>
      <c r="G44" s="86" t="s">
        <v>116</v>
      </c>
      <c r="H44" s="33">
        <v>0.72699999999999998</v>
      </c>
      <c r="J44" s="152" t="s">
        <v>117</v>
      </c>
      <c r="K44" s="153"/>
      <c r="L44" s="153"/>
      <c r="M44" s="153"/>
      <c r="N44" s="153"/>
      <c r="O44" s="154"/>
    </row>
    <row r="45" spans="2:15" x14ac:dyDescent="0.2">
      <c r="B45" s="87"/>
      <c r="C45" s="88" t="s">
        <v>118</v>
      </c>
      <c r="D45" s="89">
        <v>0.191</v>
      </c>
      <c r="F45" s="87"/>
      <c r="G45" s="88" t="s">
        <v>119</v>
      </c>
      <c r="H45" s="89">
        <v>0.193</v>
      </c>
      <c r="J45" s="155"/>
      <c r="K45" s="151"/>
      <c r="L45" s="151"/>
      <c r="M45" s="151"/>
      <c r="N45" s="151"/>
      <c r="O45" s="156"/>
    </row>
    <row r="46" spans="2:15" ht="32" x14ac:dyDescent="0.2">
      <c r="B46" s="87"/>
      <c r="C46" s="90" t="s">
        <v>120</v>
      </c>
      <c r="D46" s="89">
        <v>7.2999999999999995E-2</v>
      </c>
      <c r="F46" s="87"/>
      <c r="G46" s="90"/>
      <c r="H46" s="89"/>
      <c r="J46" s="155"/>
      <c r="K46" s="151"/>
      <c r="L46" s="151"/>
      <c r="M46" s="151"/>
      <c r="N46" s="151"/>
      <c r="O46" s="156"/>
    </row>
    <row r="47" spans="2:15" ht="25.5" customHeight="1" thickBot="1" x14ac:dyDescent="0.25">
      <c r="B47" s="91"/>
      <c r="C47" s="92"/>
      <c r="D47" s="93"/>
      <c r="F47" s="91"/>
      <c r="G47" s="94"/>
      <c r="H47" s="93"/>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5" priority="3" operator="lessThan">
      <formula>0</formula>
    </cfRule>
    <cfRule type="cellIs" dxfId="34" priority="4" operator="greaterThan">
      <formula>0</formula>
    </cfRule>
  </conditionalFormatting>
  <conditionalFormatting sqref="O33:O39">
    <cfRule type="cellIs" dxfId="33" priority="1" operator="lessThan">
      <formula>0</formula>
    </cfRule>
    <cfRule type="cellIs" dxfId="32"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FB84B-1840-4F0B-BFA6-4EE0CC6F1B7D}">
  <sheetPr codeName="Sheet4"/>
  <dimension ref="B1:AE370"/>
  <sheetViews>
    <sheetView topLeftCell="A26" zoomScale="140" zoomScaleNormal="140" workbookViewId="0">
      <selection activeCell="Z66" sqref="Z66"/>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 t="s">
        <v>13</v>
      </c>
      <c r="G2" s="10" t="s">
        <v>124</v>
      </c>
      <c r="H2" s="11"/>
    </row>
    <row r="3" spans="2:31" ht="16" thickBot="1" x14ac:dyDescent="0.25"/>
    <row r="4" spans="2:31" x14ac:dyDescent="0.2">
      <c r="B4" s="12" t="s">
        <v>26</v>
      </c>
      <c r="C4" s="13">
        <v>46.13</v>
      </c>
      <c r="D4" s="14"/>
      <c r="E4" s="15"/>
      <c r="F4" s="15"/>
      <c r="G4" s="15"/>
      <c r="H4" s="16"/>
      <c r="J4" s="17">
        <v>43682</v>
      </c>
      <c r="K4" s="15" t="s">
        <v>125</v>
      </c>
      <c r="L4" s="15"/>
      <c r="M4" s="15"/>
      <c r="N4" s="16"/>
    </row>
    <row r="5" spans="2:31" ht="16" thickBot="1" x14ac:dyDescent="0.25">
      <c r="B5" s="18"/>
      <c r="C5" s="7"/>
      <c r="D5" s="7"/>
      <c r="H5" s="19"/>
      <c r="J5" s="20" t="s">
        <v>126</v>
      </c>
      <c r="K5" s="21" t="s">
        <v>127</v>
      </c>
      <c r="L5" s="21"/>
      <c r="M5" s="21"/>
      <c r="N5" s="22"/>
    </row>
    <row r="6" spans="2:31" ht="16" thickBot="1" x14ac:dyDescent="0.25">
      <c r="B6" s="23" t="s">
        <v>29</v>
      </c>
      <c r="C6" s="24">
        <v>72.269996643066406</v>
      </c>
      <c r="D6" s="25">
        <v>-0.37332223462410902</v>
      </c>
      <c r="E6" s="26" t="s">
        <v>30</v>
      </c>
      <c r="F6" s="27" t="s">
        <v>128</v>
      </c>
      <c r="G6" s="26" t="s">
        <v>31</v>
      </c>
      <c r="H6" s="28">
        <v>11.553571428571429</v>
      </c>
      <c r="L6" s="29"/>
      <c r="M6" s="30"/>
    </row>
    <row r="7" spans="2:31" x14ac:dyDescent="0.2">
      <c r="B7" s="23" t="s">
        <v>32</v>
      </c>
      <c r="C7" s="24">
        <v>31.670000076293945</v>
      </c>
      <c r="D7" s="25">
        <v>0.43005999023981939</v>
      </c>
      <c r="E7" s="26" t="s">
        <v>33</v>
      </c>
      <c r="F7" s="7" t="s">
        <v>129</v>
      </c>
      <c r="G7" s="26" t="s">
        <v>34</v>
      </c>
      <c r="H7" s="31">
        <v>0.40100000000000002</v>
      </c>
      <c r="L7" s="32"/>
      <c r="M7" s="30"/>
      <c r="N7" s="2"/>
      <c r="R7" s="12" t="s">
        <v>35</v>
      </c>
      <c r="S7" s="15"/>
      <c r="T7" s="33"/>
    </row>
    <row r="8" spans="2:31" x14ac:dyDescent="0.2">
      <c r="B8" s="23" t="s">
        <v>36</v>
      </c>
      <c r="C8" s="34">
        <v>3.5900000000000001E-2</v>
      </c>
      <c r="D8" s="35"/>
      <c r="E8" s="26" t="s">
        <v>19</v>
      </c>
      <c r="F8" s="7"/>
      <c r="G8" s="26" t="s">
        <v>4</v>
      </c>
      <c r="H8" s="19" t="s">
        <v>130</v>
      </c>
      <c r="R8" s="36" t="s">
        <v>37</v>
      </c>
      <c r="T8" s="37"/>
    </row>
    <row r="9" spans="2:31" x14ac:dyDescent="0.2">
      <c r="B9" s="23" t="s">
        <v>38</v>
      </c>
      <c r="C9" s="8">
        <v>8629</v>
      </c>
      <c r="D9" s="7"/>
      <c r="E9" s="26" t="s">
        <v>39</v>
      </c>
      <c r="F9" s="7" t="s">
        <v>40</v>
      </c>
      <c r="G9" s="26" t="s">
        <v>23</v>
      </c>
      <c r="H9" s="19" t="s">
        <v>25</v>
      </c>
      <c r="R9" s="36" t="s">
        <v>41</v>
      </c>
      <c r="T9" s="37"/>
    </row>
    <row r="10" spans="2:31" x14ac:dyDescent="0.2">
      <c r="B10" s="23" t="s">
        <v>11</v>
      </c>
      <c r="C10" s="38">
        <v>8580</v>
      </c>
      <c r="D10" s="8">
        <v>-49</v>
      </c>
      <c r="E10" s="26" t="s">
        <v>42</v>
      </c>
      <c r="F10" s="35" t="s">
        <v>122</v>
      </c>
      <c r="G10" s="26" t="s">
        <v>5</v>
      </c>
      <c r="H10" s="19" t="s">
        <v>123</v>
      </c>
      <c r="R10" s="36" t="s">
        <v>43</v>
      </c>
      <c r="T10" s="37"/>
    </row>
    <row r="11" spans="2:31" ht="16" thickBot="1" x14ac:dyDescent="0.25">
      <c r="B11" s="23" t="s">
        <v>44</v>
      </c>
      <c r="C11" s="24">
        <v>5.4285714285714288</v>
      </c>
      <c r="D11" s="7"/>
      <c r="E11" s="26" t="s">
        <v>9</v>
      </c>
      <c r="F11" s="24">
        <v>3.3599998950958252</v>
      </c>
      <c r="G11" s="26" t="s">
        <v>45</v>
      </c>
      <c r="H11" s="39"/>
      <c r="R11" s="40" t="s">
        <v>47</v>
      </c>
      <c r="S11" s="21"/>
      <c r="T11" s="41"/>
    </row>
    <row r="12" spans="2:31" ht="15.75" customHeight="1" thickBot="1" x14ac:dyDescent="0.25">
      <c r="B12" s="42" t="s">
        <v>48</v>
      </c>
      <c r="C12" s="43"/>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2">
      <c r="B16" s="23" t="s">
        <v>55</v>
      </c>
      <c r="C16" s="8">
        <v>404</v>
      </c>
      <c r="D16" s="8">
        <v>591</v>
      </c>
      <c r="E16" s="8">
        <v>831</v>
      </c>
      <c r="F16" s="8">
        <v>1036</v>
      </c>
      <c r="G16" s="8">
        <v>1260</v>
      </c>
      <c r="H16" s="53">
        <v>1454</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2">
      <c r="B17" s="23" t="s">
        <v>57</v>
      </c>
      <c r="C17" s="7"/>
      <c r="D17" s="35">
        <v>0.46287128712871289</v>
      </c>
      <c r="E17" s="35">
        <v>0.40609137055837563</v>
      </c>
      <c r="F17" s="35">
        <v>0.24669073405535499</v>
      </c>
      <c r="G17" s="35">
        <v>0.21621621621621623</v>
      </c>
      <c r="H17" s="54">
        <v>0.15396825396825398</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2">
      <c r="B18" s="23" t="s">
        <v>59</v>
      </c>
      <c r="C18" s="8" t="s">
        <v>132</v>
      </c>
      <c r="D18" s="8">
        <v>149</v>
      </c>
      <c r="E18" s="8">
        <v>230</v>
      </c>
      <c r="F18" s="8">
        <v>298</v>
      </c>
      <c r="G18" s="8">
        <v>371</v>
      </c>
      <c r="H18" s="53">
        <v>434</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2">
      <c r="B19" s="23" t="s">
        <v>62</v>
      </c>
      <c r="C19" s="57" t="s">
        <v>122</v>
      </c>
      <c r="D19" s="57">
        <v>0.25211505922165822</v>
      </c>
      <c r="E19" s="57">
        <v>0.27677496991576411</v>
      </c>
      <c r="F19" s="57">
        <v>0.28764478764478763</v>
      </c>
      <c r="G19" s="57">
        <v>0.29444444444444445</v>
      </c>
      <c r="H19" s="58">
        <v>0.29848693259972492</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2">
      <c r="B20" s="23" t="s">
        <v>66</v>
      </c>
      <c r="C20" s="8" t="s">
        <v>133</v>
      </c>
      <c r="D20" s="8">
        <v>135</v>
      </c>
      <c r="E20" s="8">
        <v>212</v>
      </c>
      <c r="F20" s="8">
        <v>263</v>
      </c>
      <c r="G20" s="8">
        <v>329</v>
      </c>
      <c r="H20" s="53">
        <v>400</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2">
      <c r="B21" s="23" t="s">
        <v>69</v>
      </c>
      <c r="C21" s="57" t="e">
        <v>#VALUE!</v>
      </c>
      <c r="D21" s="57">
        <v>0.22842639593908629</v>
      </c>
      <c r="E21" s="57">
        <v>0.25511432009626955</v>
      </c>
      <c r="F21" s="57">
        <v>0.25386100386100385</v>
      </c>
      <c r="G21" s="57">
        <v>0.26111111111111113</v>
      </c>
      <c r="H21" s="58">
        <v>0.27510316368638238</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2">
      <c r="B22" s="23" t="s">
        <v>72</v>
      </c>
      <c r="C22" s="8">
        <v>21.6</v>
      </c>
      <c r="D22" s="8">
        <v>96.1</v>
      </c>
      <c r="E22" s="8">
        <v>144</v>
      </c>
      <c r="F22" s="8">
        <v>191</v>
      </c>
      <c r="G22" s="8">
        <v>243</v>
      </c>
      <c r="H22" s="53">
        <v>302</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2">
      <c r="B23" s="23" t="s">
        <v>74</v>
      </c>
      <c r="C23" s="57">
        <v>5.3465346534653471E-2</v>
      </c>
      <c r="D23" s="57">
        <v>0.1626057529610829</v>
      </c>
      <c r="E23" s="57">
        <v>0.17328519855595667</v>
      </c>
      <c r="F23" s="57">
        <v>0.18436293436293436</v>
      </c>
      <c r="G23" s="57">
        <v>0.19285714285714287</v>
      </c>
      <c r="H23" s="58">
        <v>0.2077028885832187</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2">
      <c r="B24" s="23"/>
      <c r="C24" s="7"/>
      <c r="D24" s="60">
        <v>3.449074074074074</v>
      </c>
      <c r="E24" s="60">
        <v>0.49843912591050998</v>
      </c>
      <c r="F24" s="60">
        <v>0.3263888888888889</v>
      </c>
      <c r="G24" s="60">
        <v>0.27225130890052357</v>
      </c>
      <c r="H24" s="61">
        <v>0.24279835390946503</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2">
      <c r="B25" s="23" t="s">
        <v>77</v>
      </c>
      <c r="C25" s="7" t="s">
        <v>134</v>
      </c>
      <c r="D25" s="7" t="s">
        <v>135</v>
      </c>
      <c r="E25" s="27" t="s">
        <v>128</v>
      </c>
      <c r="F25" s="7" t="s">
        <v>129</v>
      </c>
      <c r="G25" s="7" t="s">
        <v>136</v>
      </c>
      <c r="H25" s="62" t="s">
        <v>137</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2">
      <c r="B26" s="23" t="s">
        <v>86</v>
      </c>
      <c r="C26" s="7">
        <v>0.16</v>
      </c>
      <c r="D26" s="7">
        <v>0.65</v>
      </c>
      <c r="E26" s="24">
        <v>0.95</v>
      </c>
      <c r="F26" s="7">
        <v>1.28</v>
      </c>
      <c r="G26" s="7">
        <v>1.61</v>
      </c>
      <c r="H26" s="62">
        <v>1.97</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25">
      <c r="B27" s="23" t="s">
        <v>57</v>
      </c>
      <c r="C27" s="7"/>
      <c r="D27" s="35">
        <v>3.0625</v>
      </c>
      <c r="E27" s="35">
        <v>0.4615384615384614</v>
      </c>
      <c r="F27" s="35">
        <v>0.34736842105263166</v>
      </c>
      <c r="G27" s="35">
        <v>0.25781250000000006</v>
      </c>
      <c r="H27" s="54">
        <v>0.22360248447204961</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2">
      <c r="B28" s="23" t="s">
        <v>63</v>
      </c>
      <c r="C28" s="55" t="s">
        <v>122</v>
      </c>
      <c r="D28" s="55">
        <v>57.583892617449663</v>
      </c>
      <c r="E28" s="55">
        <v>37.304347826086953</v>
      </c>
      <c r="F28" s="55">
        <v>28.791946308724832</v>
      </c>
      <c r="G28" s="55">
        <v>23.126684636118597</v>
      </c>
      <c r="H28" s="56">
        <v>19.769585253456221</v>
      </c>
    </row>
    <row r="29" spans="2:31" ht="15" customHeight="1" x14ac:dyDescent="0.2">
      <c r="B29" s="23" t="s">
        <v>67</v>
      </c>
      <c r="C29" s="55" t="e">
        <v>#VALUE!</v>
      </c>
      <c r="D29" s="55">
        <v>63.555555555555557</v>
      </c>
      <c r="E29" s="55">
        <v>40.471698113207545</v>
      </c>
      <c r="F29" s="55">
        <v>32.623574144486689</v>
      </c>
      <c r="G29" s="55">
        <v>26.079027355623101</v>
      </c>
      <c r="H29" s="56">
        <v>21.45</v>
      </c>
    </row>
    <row r="30" spans="2:31" ht="15" customHeight="1" thickBot="1" x14ac:dyDescent="0.25">
      <c r="B30" s="42" t="s">
        <v>70</v>
      </c>
      <c r="C30" s="65">
        <v>21.237623762376238</v>
      </c>
      <c r="D30" s="65">
        <v>14.517766497461929</v>
      </c>
      <c r="E30" s="65">
        <v>10.324909747292418</v>
      </c>
      <c r="F30" s="65">
        <v>8.281853281853282</v>
      </c>
      <c r="G30" s="65">
        <v>6.8095238095238093</v>
      </c>
      <c r="H30" s="66">
        <v>5.9009628610729026</v>
      </c>
      <c r="J30" s="2" t="s">
        <v>89</v>
      </c>
    </row>
    <row r="31" spans="2:31" ht="16" thickBot="1" x14ac:dyDescent="0.25">
      <c r="J31" s="50"/>
      <c r="K31" s="67"/>
      <c r="L31" s="48" t="s">
        <v>90</v>
      </c>
      <c r="M31" s="48" t="s">
        <v>91</v>
      </c>
      <c r="N31" s="48" t="s">
        <v>92</v>
      </c>
      <c r="O31" s="52" t="s">
        <v>93</v>
      </c>
    </row>
    <row r="32" spans="2:31" x14ac:dyDescent="0.2">
      <c r="B32" s="12" t="s">
        <v>94</v>
      </c>
      <c r="C32" s="68">
        <v>130</v>
      </c>
      <c r="D32" s="69">
        <v>41.8</v>
      </c>
      <c r="E32" s="69">
        <v>56.6</v>
      </c>
      <c r="F32" s="69"/>
      <c r="G32" s="69"/>
      <c r="H32" s="70"/>
      <c r="J32" s="23" t="s">
        <v>95</v>
      </c>
      <c r="K32" s="26" t="s">
        <v>55</v>
      </c>
      <c r="L32" s="8">
        <v>156.77000000000001</v>
      </c>
      <c r="M32" s="8">
        <v>156.19999999999999</v>
      </c>
      <c r="N32" s="8">
        <v>0.57999999999999996</v>
      </c>
      <c r="O32" s="71">
        <v>0.37</v>
      </c>
    </row>
    <row r="33" spans="2:15" x14ac:dyDescent="0.2">
      <c r="B33" s="23" t="s">
        <v>59</v>
      </c>
      <c r="C33" s="8">
        <v>81</v>
      </c>
      <c r="D33" s="8">
        <v>149</v>
      </c>
      <c r="E33" s="8">
        <v>230</v>
      </c>
      <c r="F33" s="8">
        <v>298</v>
      </c>
      <c r="G33" s="8">
        <v>371</v>
      </c>
      <c r="H33" s="53">
        <v>434</v>
      </c>
      <c r="J33" s="23"/>
      <c r="K33" s="26" t="s">
        <v>96</v>
      </c>
      <c r="L33" s="7">
        <v>0.06</v>
      </c>
      <c r="M33" s="7">
        <v>0.09</v>
      </c>
      <c r="N33" s="7">
        <v>0.03</v>
      </c>
      <c r="O33" s="71">
        <v>63.04</v>
      </c>
    </row>
    <row r="34" spans="2:15" x14ac:dyDescent="0.2">
      <c r="B34" s="23" t="s">
        <v>97</v>
      </c>
      <c r="C34" s="24">
        <v>1.6049382716049383</v>
      </c>
      <c r="D34" s="24">
        <v>0.28053691275167786</v>
      </c>
      <c r="E34" s="24">
        <v>0.24608695652173915</v>
      </c>
      <c r="F34" s="24" t="s">
        <v>122</v>
      </c>
      <c r="G34" s="24" t="s">
        <v>122</v>
      </c>
      <c r="H34" s="28" t="s">
        <v>122</v>
      </c>
      <c r="J34" s="23" t="s">
        <v>98</v>
      </c>
      <c r="K34" s="26" t="s">
        <v>55</v>
      </c>
      <c r="L34" s="8">
        <v>358.44</v>
      </c>
      <c r="M34" s="8">
        <v>399.3</v>
      </c>
      <c r="N34" s="8">
        <v>40.86</v>
      </c>
      <c r="O34" s="71">
        <v>11.4</v>
      </c>
    </row>
    <row r="35" spans="2:15" x14ac:dyDescent="0.2">
      <c r="B35" s="23" t="s">
        <v>99</v>
      </c>
      <c r="C35" s="72">
        <v>0.28999999999999998</v>
      </c>
      <c r="D35" s="72">
        <v>0.86</v>
      </c>
      <c r="E35" s="72">
        <v>0.49</v>
      </c>
      <c r="F35" s="72">
        <v>1.31</v>
      </c>
      <c r="G35" s="72">
        <v>1.7</v>
      </c>
      <c r="H35" s="73">
        <v>2.2000000000000002</v>
      </c>
      <c r="J35" s="23"/>
      <c r="K35" s="26" t="s">
        <v>96</v>
      </c>
      <c r="L35" s="7">
        <v>0.81</v>
      </c>
      <c r="M35" s="7">
        <v>0.96</v>
      </c>
      <c r="N35" s="7">
        <v>0.15</v>
      </c>
      <c r="O35" s="71">
        <v>18.149999999999999</v>
      </c>
    </row>
    <row r="36" spans="2:15" ht="16" thickBot="1" x14ac:dyDescent="0.25">
      <c r="B36" s="42" t="s">
        <v>100</v>
      </c>
      <c r="C36" s="74">
        <v>1.08</v>
      </c>
      <c r="D36" s="74">
        <v>1.66</v>
      </c>
      <c r="E36" s="74">
        <v>2.7</v>
      </c>
      <c r="F36" s="74">
        <v>3.92</v>
      </c>
      <c r="G36" s="74">
        <v>5.46</v>
      </c>
      <c r="H36" s="75">
        <v>8.02</v>
      </c>
      <c r="J36" s="23" t="s">
        <v>101</v>
      </c>
      <c r="K36" s="26" t="s">
        <v>55</v>
      </c>
      <c r="L36" s="8">
        <v>199.64</v>
      </c>
      <c r="M36" s="8">
        <v>230.3</v>
      </c>
      <c r="N36" s="8">
        <v>30.66</v>
      </c>
      <c r="O36" s="71">
        <v>15.36</v>
      </c>
    </row>
    <row r="37" spans="2:15" ht="16" thickBot="1" x14ac:dyDescent="0.25">
      <c r="J37" s="23"/>
      <c r="K37" s="26" t="s">
        <v>96</v>
      </c>
      <c r="L37" s="7">
        <v>0.26</v>
      </c>
      <c r="M37" s="7">
        <v>0.46</v>
      </c>
      <c r="N37" s="7">
        <v>0.2</v>
      </c>
      <c r="O37" s="71">
        <v>76.180000000000007</v>
      </c>
    </row>
    <row r="38" spans="2:15" x14ac:dyDescent="0.2">
      <c r="B38" s="12" t="s">
        <v>102</v>
      </c>
      <c r="C38" s="76">
        <v>334183</v>
      </c>
      <c r="F38" s="12" t="s">
        <v>103</v>
      </c>
      <c r="G38" s="77">
        <v>39.130000000000003</v>
      </c>
      <c r="H38" s="78">
        <v>0.17889087656529515</v>
      </c>
      <c r="J38" s="23" t="s">
        <v>104</v>
      </c>
      <c r="K38" s="26" t="s">
        <v>55</v>
      </c>
      <c r="L38" s="8">
        <v>36.24</v>
      </c>
      <c r="M38" s="8">
        <v>44.7</v>
      </c>
      <c r="N38" s="8">
        <v>8.4600000000000009</v>
      </c>
      <c r="O38" s="71">
        <v>23.33</v>
      </c>
    </row>
    <row r="39" spans="2:15" ht="16" thickBot="1" x14ac:dyDescent="0.25">
      <c r="B39" s="23" t="s">
        <v>105</v>
      </c>
      <c r="C39" s="53" t="s">
        <v>138</v>
      </c>
      <c r="F39" s="42" t="s">
        <v>107</v>
      </c>
      <c r="G39" s="79">
        <v>47.38</v>
      </c>
      <c r="H39" s="80">
        <v>-2.6382439848037145E-2</v>
      </c>
      <c r="J39" s="42"/>
      <c r="K39" s="81" t="s">
        <v>96</v>
      </c>
      <c r="L39" s="82">
        <v>-0.21</v>
      </c>
      <c r="M39" s="82">
        <v>-0.16</v>
      </c>
      <c r="N39" s="82">
        <v>0.05</v>
      </c>
      <c r="O39" s="83">
        <v>-23.41</v>
      </c>
    </row>
    <row r="40" spans="2:15" ht="16" thickBot="1" x14ac:dyDescent="0.25">
      <c r="B40" s="42" t="s">
        <v>108</v>
      </c>
      <c r="C40" s="84" t="s">
        <v>139</v>
      </c>
    </row>
    <row r="41" spans="2:15" x14ac:dyDescent="0.2">
      <c r="F41" s="12" t="s">
        <v>110</v>
      </c>
      <c r="G41" s="15"/>
      <c r="H41" s="85"/>
    </row>
    <row r="42" spans="2:15" ht="16" thickBot="1" x14ac:dyDescent="0.25">
      <c r="F42" s="42" t="s">
        <v>112</v>
      </c>
      <c r="G42" s="21"/>
      <c r="H42" s="22"/>
    </row>
    <row r="43" spans="2:15" ht="19.5" customHeight="1" thickBot="1" x14ac:dyDescent="0.25"/>
    <row r="44" spans="2:15" ht="18" customHeight="1" x14ac:dyDescent="0.2">
      <c r="B44" s="12" t="s">
        <v>113</v>
      </c>
      <c r="C44" s="86" t="s">
        <v>118</v>
      </c>
      <c r="D44" s="33">
        <v>0.38400000000000001</v>
      </c>
      <c r="F44" s="12" t="s">
        <v>115</v>
      </c>
      <c r="G44" s="86" t="s">
        <v>140</v>
      </c>
      <c r="H44" s="33">
        <v>0.71499999999999997</v>
      </c>
      <c r="J44" s="152"/>
      <c r="K44" s="153"/>
      <c r="L44" s="153"/>
      <c r="M44" s="153"/>
      <c r="N44" s="153"/>
      <c r="O44" s="154"/>
    </row>
    <row r="45" spans="2:15" x14ac:dyDescent="0.2">
      <c r="B45" s="87"/>
      <c r="C45" s="88" t="s">
        <v>114</v>
      </c>
      <c r="D45" s="89">
        <v>0.32700000000000001</v>
      </c>
      <c r="F45" s="87"/>
      <c r="G45" s="88" t="s">
        <v>141</v>
      </c>
      <c r="H45" s="89">
        <v>0.28499999999999998</v>
      </c>
      <c r="J45" s="155"/>
      <c r="K45" s="151"/>
      <c r="L45" s="151"/>
      <c r="M45" s="151"/>
      <c r="N45" s="151"/>
      <c r="O45" s="156"/>
    </row>
    <row r="46" spans="2:15" ht="16" x14ac:dyDescent="0.2">
      <c r="B46" s="87"/>
      <c r="C46" s="90" t="s">
        <v>142</v>
      </c>
      <c r="D46" s="89">
        <v>0.28899999999999998</v>
      </c>
      <c r="F46" s="87"/>
      <c r="G46" s="90"/>
      <c r="H46" s="89"/>
      <c r="J46" s="155"/>
      <c r="K46" s="151"/>
      <c r="L46" s="151"/>
      <c r="M46" s="151"/>
      <c r="N46" s="151"/>
      <c r="O46" s="156"/>
    </row>
    <row r="47" spans="2:15" ht="25.5" customHeight="1" thickBot="1" x14ac:dyDescent="0.25">
      <c r="B47" s="91"/>
      <c r="C47" s="92"/>
      <c r="D47" s="93"/>
      <c r="F47" s="91"/>
      <c r="G47" s="94"/>
      <c r="H47" s="93"/>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1" priority="3" operator="lessThan">
      <formula>0</formula>
    </cfRule>
    <cfRule type="cellIs" dxfId="30" priority="4" operator="greaterThan">
      <formula>0</formula>
    </cfRule>
  </conditionalFormatting>
  <conditionalFormatting sqref="O33:O39">
    <cfRule type="cellIs" dxfId="29" priority="1" operator="lessThan">
      <formula>0</formula>
    </cfRule>
    <cfRule type="cellIs" dxfId="28" priority="2" operator="greaterThan">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2385C-57D4-4F66-8971-A9DB9B1D23BB}">
  <sheetPr codeName="Sheet5"/>
  <dimension ref="B1:AE370"/>
  <sheetViews>
    <sheetView workbookViewId="0">
      <selection activeCell="C21" sqref="C21"/>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20</v>
      </c>
      <c r="G2" s="10" t="s">
        <v>143</v>
      </c>
      <c r="H2" s="11"/>
    </row>
    <row r="3" spans="2:31" ht="16" thickBot="1" x14ac:dyDescent="0.25"/>
    <row r="4" spans="2:31" x14ac:dyDescent="0.2">
      <c r="B4" s="12" t="s">
        <v>26</v>
      </c>
      <c r="C4" s="13">
        <v>110.89</v>
      </c>
      <c r="D4" s="14"/>
      <c r="E4" s="15"/>
      <c r="F4" s="15"/>
      <c r="G4" s="15"/>
      <c r="H4" s="16"/>
      <c r="J4" s="17">
        <v>43682</v>
      </c>
      <c r="K4" s="15" t="s">
        <v>125</v>
      </c>
      <c r="L4" s="15"/>
      <c r="M4" s="15"/>
      <c r="N4" s="16"/>
    </row>
    <row r="5" spans="2:31" ht="16" thickBot="1" x14ac:dyDescent="0.25">
      <c r="B5" s="18"/>
      <c r="C5" s="7"/>
      <c r="D5" s="7"/>
      <c r="H5" s="19"/>
      <c r="J5" s="20" t="s">
        <v>126</v>
      </c>
      <c r="K5" s="21" t="s">
        <v>127</v>
      </c>
      <c r="L5" s="21"/>
      <c r="M5" s="21"/>
      <c r="N5" s="22"/>
    </row>
    <row r="6" spans="2:31" ht="16" thickBot="1" x14ac:dyDescent="0.25">
      <c r="B6" s="23" t="s">
        <v>29</v>
      </c>
      <c r="C6" s="24">
        <v>147.78999328613281</v>
      </c>
      <c r="D6" s="25">
        <v>-0.24967856392476845</v>
      </c>
      <c r="E6" s="26" t="s">
        <v>30</v>
      </c>
      <c r="F6" s="27" t="s">
        <v>144</v>
      </c>
      <c r="G6" s="26" t="s">
        <v>31</v>
      </c>
      <c r="H6" s="28">
        <v>2.6915048543689317</v>
      </c>
      <c r="L6" s="29"/>
      <c r="M6" s="30"/>
    </row>
    <row r="7" spans="2:31" x14ac:dyDescent="0.2">
      <c r="B7" s="23" t="s">
        <v>32</v>
      </c>
      <c r="C7" s="24">
        <v>95.629997253417969</v>
      </c>
      <c r="D7" s="25">
        <v>0.15957338894555512</v>
      </c>
      <c r="E7" s="26" t="s">
        <v>33</v>
      </c>
      <c r="F7" s="7" t="s">
        <v>145</v>
      </c>
      <c r="G7" s="26" t="s">
        <v>34</v>
      </c>
      <c r="H7" s="31">
        <v>0.188</v>
      </c>
      <c r="L7" s="32"/>
      <c r="M7" s="30"/>
      <c r="N7" s="2"/>
      <c r="R7" s="12" t="s">
        <v>35</v>
      </c>
      <c r="S7" s="15"/>
      <c r="T7" s="33"/>
    </row>
    <row r="8" spans="2:31" x14ac:dyDescent="0.2">
      <c r="B8" s="23" t="s">
        <v>36</v>
      </c>
      <c r="C8" s="34">
        <v>6.0600000000000001E-2</v>
      </c>
      <c r="D8" s="35"/>
      <c r="E8" s="26" t="s">
        <v>19</v>
      </c>
      <c r="F8" s="7"/>
      <c r="G8" s="26" t="s">
        <v>4</v>
      </c>
      <c r="H8" s="19" t="s">
        <v>130</v>
      </c>
      <c r="R8" s="36" t="s">
        <v>37</v>
      </c>
      <c r="T8" s="37"/>
    </row>
    <row r="9" spans="2:31" x14ac:dyDescent="0.2">
      <c r="B9" s="23" t="s">
        <v>38</v>
      </c>
      <c r="C9" s="8">
        <v>8480</v>
      </c>
      <c r="D9" s="7"/>
      <c r="E9" s="26" t="s">
        <v>39</v>
      </c>
      <c r="F9" s="7">
        <v>3</v>
      </c>
      <c r="G9" s="26" t="s">
        <v>23</v>
      </c>
      <c r="H9" s="19" t="s">
        <v>25</v>
      </c>
      <c r="R9" s="36" t="s">
        <v>41</v>
      </c>
      <c r="T9" s="37"/>
    </row>
    <row r="10" spans="2:31" x14ac:dyDescent="0.2">
      <c r="B10" s="23" t="s">
        <v>11</v>
      </c>
      <c r="C10" s="38">
        <v>7467</v>
      </c>
      <c r="D10" s="8">
        <v>-1013</v>
      </c>
      <c r="E10" s="26" t="s">
        <v>42</v>
      </c>
      <c r="F10" s="35">
        <v>2.7053837135900441E-2</v>
      </c>
      <c r="G10" s="26" t="s">
        <v>5</v>
      </c>
      <c r="H10" s="19" t="s">
        <v>123</v>
      </c>
      <c r="R10" s="36" t="s">
        <v>43</v>
      </c>
      <c r="T10" s="37"/>
    </row>
    <row r="11" spans="2:31" ht="16" thickBot="1" x14ac:dyDescent="0.25">
      <c r="B11" s="23" t="s">
        <v>44</v>
      </c>
      <c r="C11" s="24">
        <v>4.743119190802993</v>
      </c>
      <c r="D11" s="7"/>
      <c r="E11" s="26" t="s">
        <v>9</v>
      </c>
      <c r="F11" s="24">
        <v>1.190000057220459</v>
      </c>
      <c r="G11" s="26" t="s">
        <v>45</v>
      </c>
      <c r="H11" s="39"/>
      <c r="R11" s="40" t="s">
        <v>47</v>
      </c>
      <c r="S11" s="21"/>
      <c r="T11" s="41"/>
    </row>
    <row r="12" spans="2:31" ht="15.75" customHeight="1" thickBot="1" x14ac:dyDescent="0.25">
      <c r="B12" s="42" t="s">
        <v>48</v>
      </c>
      <c r="C12" s="43" t="s">
        <v>146</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2">
      <c r="B16" s="23" t="s">
        <v>55</v>
      </c>
      <c r="C16" s="8">
        <v>6653</v>
      </c>
      <c r="D16" s="8">
        <v>6182</v>
      </c>
      <c r="E16" s="8">
        <v>6313</v>
      </c>
      <c r="F16" s="8">
        <v>6445</v>
      </c>
      <c r="G16" s="8">
        <v>6637</v>
      </c>
      <c r="H16" s="53">
        <v>6890</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2">
      <c r="B17" s="23" t="s">
        <v>57</v>
      </c>
      <c r="C17" s="7"/>
      <c r="D17" s="35">
        <v>-7.0795130016533897E-2</v>
      </c>
      <c r="E17" s="35">
        <v>2.1190553219022971E-2</v>
      </c>
      <c r="F17" s="35">
        <v>2.0909234912086173E-2</v>
      </c>
      <c r="G17" s="35">
        <v>2.9790535298681149E-2</v>
      </c>
      <c r="H17" s="54">
        <v>3.8119632364019891E-2</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2">
      <c r="B18" s="23" t="s">
        <v>59</v>
      </c>
      <c r="C18" s="8">
        <v>983</v>
      </c>
      <c r="D18" s="8">
        <v>959</v>
      </c>
      <c r="E18" s="8">
        <v>1006</v>
      </c>
      <c r="F18" s="8">
        <v>1041</v>
      </c>
      <c r="G18" s="8">
        <v>1104</v>
      </c>
      <c r="H18" s="53">
        <v>1181</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2">
      <c r="B19" s="23" t="s">
        <v>62</v>
      </c>
      <c r="C19" s="57">
        <v>0.14775289343153464</v>
      </c>
      <c r="D19" s="57">
        <v>0.15512779035910709</v>
      </c>
      <c r="E19" s="57">
        <v>0.1593537145572628</v>
      </c>
      <c r="F19" s="57">
        <v>0.16152055857253686</v>
      </c>
      <c r="G19" s="57">
        <v>0.16634021395208679</v>
      </c>
      <c r="H19" s="58">
        <v>0.17140783744557331</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2">
      <c r="B20" s="23" t="s">
        <v>66</v>
      </c>
      <c r="C20" s="8">
        <v>676</v>
      </c>
      <c r="D20" s="8">
        <v>664</v>
      </c>
      <c r="E20" s="8">
        <v>725</v>
      </c>
      <c r="F20" s="8">
        <v>766</v>
      </c>
      <c r="G20" s="8">
        <v>825</v>
      </c>
      <c r="H20" s="53">
        <v>902</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2">
      <c r="B21" s="23" t="s">
        <v>69</v>
      </c>
      <c r="C21" s="57">
        <v>0.10160829700886818</v>
      </c>
      <c r="D21" s="57">
        <v>0.1074086056292462</v>
      </c>
      <c r="E21" s="57">
        <v>0.11484238872168541</v>
      </c>
      <c r="F21" s="57">
        <v>0.11885182311869666</v>
      </c>
      <c r="G21" s="57">
        <v>0.12430314901310834</v>
      </c>
      <c r="H21" s="58">
        <v>0.13091436865021772</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2">
      <c r="B22" s="23" t="s">
        <v>72</v>
      </c>
      <c r="C22" s="8">
        <v>-99.3</v>
      </c>
      <c r="D22" s="8">
        <v>163</v>
      </c>
      <c r="E22" s="8">
        <v>431</v>
      </c>
      <c r="F22" s="8">
        <v>600</v>
      </c>
      <c r="G22" s="8">
        <v>640</v>
      </c>
      <c r="H22" s="53">
        <v>698</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2">
      <c r="B23" s="23" t="s">
        <v>74</v>
      </c>
      <c r="C23" s="57">
        <v>-1.4925597474823388E-2</v>
      </c>
      <c r="D23" s="57">
        <v>2.6366871562601101E-2</v>
      </c>
      <c r="E23" s="57">
        <v>6.8271820053857124E-2</v>
      </c>
      <c r="F23" s="57">
        <v>9.3095422808378583E-2</v>
      </c>
      <c r="G23" s="57">
        <v>9.6429109537441618E-2</v>
      </c>
      <c r="H23" s="58">
        <v>0.10130624092888244</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2">
      <c r="B24" s="23"/>
      <c r="C24" s="7"/>
      <c r="D24" s="60">
        <v>-2.6414904330312186</v>
      </c>
      <c r="E24" s="60">
        <v>1.6441717791411044</v>
      </c>
      <c r="F24" s="60">
        <v>0.39211136890951276</v>
      </c>
      <c r="G24" s="60">
        <v>6.6666666666666666E-2</v>
      </c>
      <c r="H24" s="61">
        <v>9.0624999999999997E-2</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2">
      <c r="B25" s="23" t="s">
        <v>77</v>
      </c>
      <c r="C25" s="7" t="s">
        <v>147</v>
      </c>
      <c r="D25" s="7" t="s">
        <v>148</v>
      </c>
      <c r="E25" s="27" t="s">
        <v>144</v>
      </c>
      <c r="F25" s="7" t="s">
        <v>145</v>
      </c>
      <c r="G25" s="7" t="s">
        <v>149</v>
      </c>
      <c r="H25" s="62" t="s">
        <v>150</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2">
      <c r="B26" s="23" t="s">
        <v>86</v>
      </c>
      <c r="C26" s="7">
        <v>-1.2</v>
      </c>
      <c r="D26" s="7">
        <v>1.97</v>
      </c>
      <c r="E26" s="24">
        <v>5.27</v>
      </c>
      <c r="F26" s="7">
        <v>7.59</v>
      </c>
      <c r="G26" s="7">
        <v>8.5399999999999991</v>
      </c>
      <c r="H26" s="62">
        <v>9.36</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25">
      <c r="B27" s="23" t="s">
        <v>57</v>
      </c>
      <c r="C27" s="7"/>
      <c r="D27" s="35">
        <v>2.6416666666666666</v>
      </c>
      <c r="E27" s="35">
        <v>1.6751269035532994</v>
      </c>
      <c r="F27" s="35">
        <v>0.44022770398481981</v>
      </c>
      <c r="G27" s="35">
        <v>0.12516469038208158</v>
      </c>
      <c r="H27" s="54">
        <v>9.6018735362997695E-2</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2">
      <c r="B28" s="23" t="s">
        <v>63</v>
      </c>
      <c r="C28" s="55">
        <v>7.5961342828077312</v>
      </c>
      <c r="D28" s="55">
        <v>7.7862356621480711</v>
      </c>
      <c r="E28" s="55">
        <v>7.4224652087475151</v>
      </c>
      <c r="F28" s="55">
        <v>7.1729106628242079</v>
      </c>
      <c r="G28" s="55">
        <v>6.7635869565217392</v>
      </c>
      <c r="H28" s="56">
        <v>6.3226079593564775</v>
      </c>
    </row>
    <row r="29" spans="2:31" ht="15" customHeight="1" x14ac:dyDescent="0.2">
      <c r="B29" s="23" t="s">
        <v>67</v>
      </c>
      <c r="C29" s="55">
        <v>11.045857988165681</v>
      </c>
      <c r="D29" s="55">
        <v>11.245481927710843</v>
      </c>
      <c r="E29" s="55">
        <v>10.299310344827585</v>
      </c>
      <c r="F29" s="55">
        <v>9.7480417754569189</v>
      </c>
      <c r="G29" s="55">
        <v>9.0509090909090908</v>
      </c>
      <c r="H29" s="56">
        <v>8.2782705099778262</v>
      </c>
    </row>
    <row r="30" spans="2:31" ht="15" customHeight="1" thickBot="1" x14ac:dyDescent="0.25">
      <c r="B30" s="42" t="s">
        <v>70</v>
      </c>
      <c r="C30" s="65">
        <v>1.1223508191793177</v>
      </c>
      <c r="D30" s="65">
        <v>1.2078615334843092</v>
      </c>
      <c r="E30" s="65">
        <v>1.1827974021859655</v>
      </c>
      <c r="F30" s="65">
        <v>1.1585725368502715</v>
      </c>
      <c r="G30" s="65">
        <v>1.1250565014313696</v>
      </c>
      <c r="H30" s="66">
        <v>1.0837445573294631</v>
      </c>
      <c r="J30" s="2" t="s">
        <v>89</v>
      </c>
    </row>
    <row r="31" spans="2:31" ht="16" thickBot="1" x14ac:dyDescent="0.25">
      <c r="J31" s="50"/>
      <c r="K31" s="67"/>
      <c r="L31" s="48" t="s">
        <v>90</v>
      </c>
      <c r="M31" s="48" t="s">
        <v>91</v>
      </c>
      <c r="N31" s="48" t="s">
        <v>92</v>
      </c>
      <c r="O31" s="52" t="s">
        <v>93</v>
      </c>
    </row>
    <row r="32" spans="2:31" x14ac:dyDescent="0.2">
      <c r="B32" s="12" t="s">
        <v>94</v>
      </c>
      <c r="C32" s="68"/>
      <c r="D32" s="69"/>
      <c r="E32" s="69"/>
      <c r="F32" s="69"/>
      <c r="G32" s="69"/>
      <c r="H32" s="70"/>
      <c r="J32" s="23" t="s">
        <v>95</v>
      </c>
      <c r="K32" s="26" t="s">
        <v>55</v>
      </c>
      <c r="L32" s="8">
        <v>1474.56</v>
      </c>
      <c r="M32" s="8">
        <v>1505.7</v>
      </c>
      <c r="N32" s="8">
        <v>31.14</v>
      </c>
      <c r="O32" s="71">
        <v>2.11</v>
      </c>
    </row>
    <row r="33" spans="2:15" x14ac:dyDescent="0.2">
      <c r="B33" s="23" t="s">
        <v>59</v>
      </c>
      <c r="C33" s="8">
        <v>81</v>
      </c>
      <c r="D33" s="8">
        <v>149</v>
      </c>
      <c r="E33" s="8">
        <v>1006</v>
      </c>
      <c r="F33" s="8">
        <v>1041</v>
      </c>
      <c r="G33" s="8">
        <v>1104</v>
      </c>
      <c r="H33" s="53">
        <v>1181</v>
      </c>
      <c r="J33" s="23"/>
      <c r="K33" s="26" t="s">
        <v>96</v>
      </c>
      <c r="L33" s="7">
        <v>0.9</v>
      </c>
      <c r="M33" s="7">
        <v>1.07</v>
      </c>
      <c r="N33" s="7">
        <v>0.17</v>
      </c>
      <c r="O33" s="71">
        <v>19.38</v>
      </c>
    </row>
    <row r="34" spans="2:15" x14ac:dyDescent="0.2">
      <c r="B34" s="23" t="s">
        <v>97</v>
      </c>
      <c r="C34" s="24" t="s">
        <v>122</v>
      </c>
      <c r="D34" s="24" t="s">
        <v>122</v>
      </c>
      <c r="E34" s="24" t="s">
        <v>122</v>
      </c>
      <c r="F34" s="24" t="s">
        <v>122</v>
      </c>
      <c r="G34" s="24" t="s">
        <v>122</v>
      </c>
      <c r="H34" s="28" t="s">
        <v>122</v>
      </c>
      <c r="J34" s="23" t="s">
        <v>98</v>
      </c>
      <c r="K34" s="26" t="s">
        <v>55</v>
      </c>
      <c r="L34" s="8">
        <v>1658.41</v>
      </c>
      <c r="M34" s="8">
        <v>1725.8</v>
      </c>
      <c r="N34" s="8">
        <v>67.39</v>
      </c>
      <c r="O34" s="71">
        <v>4.0599999999999996</v>
      </c>
    </row>
    <row r="35" spans="2:15" x14ac:dyDescent="0.2">
      <c r="B35" s="23" t="s">
        <v>99</v>
      </c>
      <c r="C35" s="72">
        <v>11.5</v>
      </c>
      <c r="D35" s="72">
        <v>11.8</v>
      </c>
      <c r="E35" s="72">
        <v>9.59</v>
      </c>
      <c r="F35" s="72">
        <v>11.7</v>
      </c>
      <c r="G35" s="72">
        <v>12.8</v>
      </c>
      <c r="H35" s="73">
        <v>12.7</v>
      </c>
      <c r="J35" s="23"/>
      <c r="K35" s="26" t="s">
        <v>96</v>
      </c>
      <c r="L35" s="7">
        <v>2.15</v>
      </c>
      <c r="M35" s="7">
        <v>2.3199999999999998</v>
      </c>
      <c r="N35" s="7">
        <v>0.17</v>
      </c>
      <c r="O35" s="71">
        <v>8.09</v>
      </c>
    </row>
    <row r="36" spans="2:15" ht="16" thickBot="1" x14ac:dyDescent="0.25">
      <c r="B36" s="42" t="s">
        <v>100</v>
      </c>
      <c r="C36" s="74">
        <v>39.9</v>
      </c>
      <c r="D36" s="74">
        <v>41.9</v>
      </c>
      <c r="E36" s="74">
        <v>40.200000000000003</v>
      </c>
      <c r="F36" s="74">
        <v>41.2</v>
      </c>
      <c r="G36" s="74">
        <v>42.9</v>
      </c>
      <c r="H36" s="75">
        <v>43.3</v>
      </c>
      <c r="J36" s="23" t="s">
        <v>101</v>
      </c>
      <c r="K36" s="26" t="s">
        <v>55</v>
      </c>
      <c r="L36" s="8">
        <v>1651.72</v>
      </c>
      <c r="M36" s="8">
        <v>1690.9</v>
      </c>
      <c r="N36" s="8">
        <v>39.18</v>
      </c>
      <c r="O36" s="71">
        <v>2.37</v>
      </c>
    </row>
    <row r="37" spans="2:15" ht="16" thickBot="1" x14ac:dyDescent="0.25">
      <c r="J37" s="23"/>
      <c r="K37" s="26" t="s">
        <v>96</v>
      </c>
      <c r="L37" s="7">
        <v>2.16</v>
      </c>
      <c r="M37" s="7">
        <v>2.2599999999999998</v>
      </c>
      <c r="N37" s="7">
        <v>0.1</v>
      </c>
      <c r="O37" s="71">
        <v>4.82</v>
      </c>
    </row>
    <row r="38" spans="2:15" x14ac:dyDescent="0.2">
      <c r="B38" s="12" t="s">
        <v>102</v>
      </c>
      <c r="C38" s="76">
        <v>245252</v>
      </c>
      <c r="F38" s="12" t="s">
        <v>103</v>
      </c>
      <c r="G38" s="77">
        <v>112.13</v>
      </c>
      <c r="H38" s="78">
        <v>-1.1058592704896057E-2</v>
      </c>
      <c r="J38" s="23" t="s">
        <v>104</v>
      </c>
      <c r="K38" s="26" t="s">
        <v>55</v>
      </c>
      <c r="L38" s="8">
        <v>1360.82</v>
      </c>
      <c r="M38" s="8">
        <v>1390.6</v>
      </c>
      <c r="N38" s="8">
        <v>29.78</v>
      </c>
      <c r="O38" s="71">
        <v>2.19</v>
      </c>
    </row>
    <row r="39" spans="2:15" ht="16" thickBot="1" x14ac:dyDescent="0.25">
      <c r="B39" s="23" t="s">
        <v>105</v>
      </c>
      <c r="C39" s="53" t="s">
        <v>151</v>
      </c>
      <c r="F39" s="42" t="s">
        <v>107</v>
      </c>
      <c r="G39" s="79">
        <v>118.72</v>
      </c>
      <c r="H39" s="80">
        <v>-6.5953504043126665E-2</v>
      </c>
      <c r="J39" s="42"/>
      <c r="K39" s="81" t="s">
        <v>96</v>
      </c>
      <c r="L39" s="82">
        <v>1.36</v>
      </c>
      <c r="M39" s="82">
        <v>1.54</v>
      </c>
      <c r="N39" s="82">
        <v>0.18</v>
      </c>
      <c r="O39" s="83">
        <v>12.86</v>
      </c>
    </row>
    <row r="40" spans="2:15" ht="16" thickBot="1" x14ac:dyDescent="0.25">
      <c r="B40" s="42" t="s">
        <v>108</v>
      </c>
      <c r="C40" s="84" t="s">
        <v>152</v>
      </c>
    </row>
    <row r="41" spans="2:15" ht="16" x14ac:dyDescent="0.2">
      <c r="F41" s="12" t="s">
        <v>110</v>
      </c>
      <c r="G41" s="15"/>
      <c r="H41" s="85" t="s">
        <v>153</v>
      </c>
    </row>
    <row r="42" spans="2:15" ht="16" thickBot="1" x14ac:dyDescent="0.25">
      <c r="F42" s="42" t="s">
        <v>112</v>
      </c>
      <c r="G42" s="21"/>
      <c r="H42" s="22" t="s">
        <v>154</v>
      </c>
    </row>
    <row r="43" spans="2:15" ht="19.5" customHeight="1" thickBot="1" x14ac:dyDescent="0.25"/>
    <row r="44" spans="2:15" ht="18" customHeight="1" x14ac:dyDescent="0.2">
      <c r="B44" s="12" t="s">
        <v>113</v>
      </c>
      <c r="C44" s="86" t="s">
        <v>114</v>
      </c>
      <c r="D44" s="33">
        <v>0.6</v>
      </c>
      <c r="F44" s="12" t="s">
        <v>115</v>
      </c>
      <c r="G44" s="86" t="s">
        <v>155</v>
      </c>
      <c r="H44" s="33">
        <v>0.56999999999999995</v>
      </c>
      <c r="J44" s="152"/>
      <c r="K44" s="153"/>
      <c r="L44" s="153"/>
      <c r="M44" s="153"/>
      <c r="N44" s="153"/>
      <c r="O44" s="154"/>
    </row>
    <row r="45" spans="2:15" x14ac:dyDescent="0.2">
      <c r="B45" s="87"/>
      <c r="C45" s="88" t="s">
        <v>156</v>
      </c>
      <c r="D45" s="89">
        <v>0.23400000000000001</v>
      </c>
      <c r="F45" s="87"/>
      <c r="G45" s="88" t="s">
        <v>156</v>
      </c>
      <c r="H45" s="89">
        <v>0.23200000000000001</v>
      </c>
      <c r="J45" s="155"/>
      <c r="K45" s="151"/>
      <c r="L45" s="151"/>
      <c r="M45" s="151"/>
      <c r="N45" s="151"/>
      <c r="O45" s="156"/>
    </row>
    <row r="46" spans="2:15" ht="16" x14ac:dyDescent="0.2">
      <c r="B46" s="87"/>
      <c r="C46" s="90" t="s">
        <v>157</v>
      </c>
      <c r="D46" s="89">
        <v>0.13300000000000001</v>
      </c>
      <c r="F46" s="87"/>
      <c r="G46" s="90" t="s">
        <v>157</v>
      </c>
      <c r="H46" s="89">
        <v>0.13300000000000001</v>
      </c>
      <c r="J46" s="155"/>
      <c r="K46" s="151"/>
      <c r="L46" s="151"/>
      <c r="M46" s="151"/>
      <c r="N46" s="151"/>
      <c r="O46" s="156"/>
    </row>
    <row r="47" spans="2:15" ht="25.5" customHeight="1" thickBot="1" x14ac:dyDescent="0.25">
      <c r="B47" s="91"/>
      <c r="C47" s="92" t="s">
        <v>158</v>
      </c>
      <c r="D47" s="93">
        <v>3.4000000000000002E-2</v>
      </c>
      <c r="F47" s="91"/>
      <c r="G47" s="94" t="s">
        <v>159</v>
      </c>
      <c r="H47" s="93">
        <v>6.5000000000000002E-2</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27" priority="3" operator="lessThan">
      <formula>0</formula>
    </cfRule>
    <cfRule type="cellIs" dxfId="26" priority="4" operator="greaterThan">
      <formula>0</formula>
    </cfRule>
  </conditionalFormatting>
  <conditionalFormatting sqref="O33:O39">
    <cfRule type="cellIs" dxfId="25" priority="1" operator="lessThan">
      <formula>0</formula>
    </cfRule>
    <cfRule type="cellIs" dxfId="24" priority="2" operator="greaterThan">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3E5DD-7445-4C38-8B8D-54D22F9E4298}">
  <sheetPr codeName="Sheet6"/>
  <dimension ref="B1:AE370"/>
  <sheetViews>
    <sheetView zoomScaleNormal="100" workbookViewId="0">
      <selection activeCell="U60" sqref="U60"/>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10</v>
      </c>
      <c r="G2" s="10" t="s">
        <v>160</v>
      </c>
      <c r="H2" s="11"/>
      <c r="Q2" s="6">
        <v>20</v>
      </c>
    </row>
    <row r="3" spans="2:31" ht="16" thickBot="1" x14ac:dyDescent="0.25"/>
    <row r="4" spans="2:31" x14ac:dyDescent="0.2">
      <c r="B4" s="12" t="s">
        <v>26</v>
      </c>
      <c r="C4" s="13">
        <v>1898.53</v>
      </c>
      <c r="D4" s="14"/>
      <c r="E4" s="15"/>
      <c r="F4" s="15"/>
      <c r="G4" s="15"/>
      <c r="H4" s="16"/>
      <c r="J4" s="17">
        <v>43760</v>
      </c>
      <c r="K4" s="15" t="s">
        <v>161</v>
      </c>
      <c r="L4" s="15"/>
      <c r="M4" s="15"/>
      <c r="N4" s="16"/>
    </row>
    <row r="5" spans="2:31" ht="16" thickBot="1" x14ac:dyDescent="0.25">
      <c r="B5" s="18"/>
      <c r="C5" s="7"/>
      <c r="D5" s="7"/>
      <c r="H5" s="19"/>
      <c r="J5" s="20">
        <v>43764</v>
      </c>
      <c r="K5" s="21" t="s">
        <v>28</v>
      </c>
      <c r="L5" s="21"/>
      <c r="M5" s="21"/>
      <c r="N5" s="22"/>
    </row>
    <row r="6" spans="2:31" ht="16" thickBot="1" x14ac:dyDescent="0.25">
      <c r="B6" s="23" t="s">
        <v>29</v>
      </c>
      <c r="C6" s="24">
        <v>2050.5</v>
      </c>
      <c r="D6" s="25">
        <f>(C4-C6)/C6</f>
        <v>-7.4113630821750806E-2</v>
      </c>
      <c r="E6" s="26" t="s">
        <v>30</v>
      </c>
      <c r="F6" s="27" t="s">
        <v>162</v>
      </c>
      <c r="G6" s="26" t="s">
        <v>31</v>
      </c>
      <c r="H6" s="28">
        <v>15.561721311475409</v>
      </c>
      <c r="L6" s="29"/>
      <c r="M6" s="30"/>
    </row>
    <row r="7" spans="2:31" x14ac:dyDescent="0.2">
      <c r="B7" s="23" t="s">
        <v>32</v>
      </c>
      <c r="C7" s="24">
        <v>1307</v>
      </c>
      <c r="D7" s="25">
        <f>(C4-C7)/C7</f>
        <v>0.45258607498087222</v>
      </c>
      <c r="E7" s="26" t="s">
        <v>33</v>
      </c>
      <c r="F7" s="7" t="s">
        <v>163</v>
      </c>
      <c r="G7" s="26" t="s">
        <v>34</v>
      </c>
      <c r="H7" s="31">
        <v>0.26600000000000001</v>
      </c>
      <c r="L7" s="32"/>
      <c r="M7" s="30"/>
      <c r="N7" s="2"/>
      <c r="R7" s="12" t="s">
        <v>35</v>
      </c>
      <c r="S7" s="15"/>
      <c r="T7" s="33"/>
    </row>
    <row r="8" spans="2:31" x14ac:dyDescent="0.2">
      <c r="B8" s="23" t="s">
        <v>36</v>
      </c>
      <c r="C8" s="34">
        <v>0.2429</v>
      </c>
      <c r="D8" s="35"/>
      <c r="E8" s="26" t="s">
        <v>19</v>
      </c>
      <c r="F8" s="7"/>
      <c r="G8" s="26" t="s">
        <v>4</v>
      </c>
      <c r="H8" s="19" t="s">
        <v>121</v>
      </c>
      <c r="R8" s="36" t="s">
        <v>37</v>
      </c>
      <c r="T8" s="37"/>
    </row>
    <row r="9" spans="2:31" x14ac:dyDescent="0.2">
      <c r="B9" s="23" t="s">
        <v>38</v>
      </c>
      <c r="C9" s="8">
        <v>923414</v>
      </c>
      <c r="D9" s="7"/>
      <c r="E9" s="26" t="s">
        <v>39</v>
      </c>
      <c r="F9" s="7" t="s">
        <v>40</v>
      </c>
      <c r="G9" s="26" t="s">
        <v>23</v>
      </c>
      <c r="H9" s="19" t="s">
        <v>25</v>
      </c>
      <c r="R9" s="36" t="s">
        <v>41</v>
      </c>
      <c r="T9" s="37"/>
    </row>
    <row r="10" spans="2:31" x14ac:dyDescent="0.2">
      <c r="B10" s="23" t="s">
        <v>11</v>
      </c>
      <c r="C10" s="38">
        <v>870739</v>
      </c>
      <c r="D10" s="8">
        <v>-52675</v>
      </c>
      <c r="E10" s="26" t="s">
        <v>42</v>
      </c>
      <c r="F10" s="35" t="s">
        <v>122</v>
      </c>
      <c r="G10" s="26" t="s">
        <v>5</v>
      </c>
      <c r="H10" s="19" t="s">
        <v>164</v>
      </c>
      <c r="R10" s="36" t="s">
        <v>43</v>
      </c>
      <c r="T10" s="37"/>
    </row>
    <row r="11" spans="2:31" ht="16" thickBot="1" x14ac:dyDescent="0.25">
      <c r="B11" s="23" t="s">
        <v>44</v>
      </c>
      <c r="C11" s="24">
        <v>0.87728458538572518</v>
      </c>
      <c r="D11" s="7"/>
      <c r="E11" s="26" t="s">
        <v>9</v>
      </c>
      <c r="F11" s="24">
        <v>1.6200000047683716</v>
      </c>
      <c r="G11" s="26" t="s">
        <v>45</v>
      </c>
      <c r="H11" s="39" t="s">
        <v>165</v>
      </c>
      <c r="R11" s="40" t="s">
        <v>47</v>
      </c>
      <c r="S11" s="21"/>
      <c r="T11" s="41"/>
    </row>
    <row r="12" spans="2:31" ht="15.75" customHeight="1" thickBot="1" x14ac:dyDescent="0.25">
      <c r="B12" s="42" t="s">
        <v>48</v>
      </c>
      <c r="C12" s="43">
        <v>2272.1999999999998</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167</v>
      </c>
      <c r="L15" s="51" t="s">
        <v>168</v>
      </c>
      <c r="M15" s="51" t="s">
        <v>169</v>
      </c>
      <c r="N15" s="51" t="s">
        <v>170</v>
      </c>
      <c r="O15" s="52" t="s">
        <v>54</v>
      </c>
      <c r="AA15" s="6" t="s">
        <v>26</v>
      </c>
      <c r="AB15" s="6">
        <v>383.3</v>
      </c>
      <c r="AC15" s="6">
        <v>88.27</v>
      </c>
      <c r="AD15" s="6">
        <v>27.19</v>
      </c>
      <c r="AE15" s="6">
        <v>38.64</v>
      </c>
    </row>
    <row r="16" spans="2:31" x14ac:dyDescent="0.2">
      <c r="B16" s="23" t="s">
        <v>55</v>
      </c>
      <c r="C16" s="8">
        <v>135987</v>
      </c>
      <c r="D16" s="8">
        <v>177866</v>
      </c>
      <c r="E16" s="8">
        <v>232887</v>
      </c>
      <c r="F16" s="8">
        <v>278956</v>
      </c>
      <c r="G16" s="8">
        <v>330986</v>
      </c>
      <c r="H16" s="53">
        <v>387905</v>
      </c>
      <c r="J16" s="23" t="s">
        <v>38</v>
      </c>
      <c r="K16" s="8">
        <v>12019</v>
      </c>
      <c r="L16" s="8">
        <v>8055</v>
      </c>
      <c r="M16" s="8">
        <v>6076</v>
      </c>
      <c r="N16" s="8"/>
      <c r="O16" s="53">
        <f>AVERAGE(K16:N16)</f>
        <v>8716.6666666666661</v>
      </c>
      <c r="AA16" s="6" t="s">
        <v>38</v>
      </c>
      <c r="AB16" s="6">
        <v>191403</v>
      </c>
      <c r="AC16" s="6">
        <v>35478</v>
      </c>
      <c r="AD16" s="6">
        <v>11620</v>
      </c>
      <c r="AE16" s="6" t="s">
        <v>56</v>
      </c>
    </row>
    <row r="17" spans="2:31" ht="15" customHeight="1" x14ac:dyDescent="0.2">
      <c r="B17" s="23" t="s">
        <v>57</v>
      </c>
      <c r="C17" s="8"/>
      <c r="D17" s="98">
        <v>0.30796326119408474</v>
      </c>
      <c r="E17" s="98">
        <v>0.3093396152159491</v>
      </c>
      <c r="F17" s="98">
        <v>0.19781696702692722</v>
      </c>
      <c r="G17" s="98">
        <v>0.18651687004402129</v>
      </c>
      <c r="H17" s="99">
        <v>0.17196799864646842</v>
      </c>
      <c r="J17" s="23" t="s">
        <v>11</v>
      </c>
      <c r="K17" s="8">
        <v>12294</v>
      </c>
      <c r="L17" s="8">
        <v>7582</v>
      </c>
      <c r="M17" s="8">
        <v>11601</v>
      </c>
      <c r="N17" s="8"/>
      <c r="O17" s="53">
        <f t="shared" ref="O17:O27" si="0">AVERAGE(K17:N17)</f>
        <v>10492.333333333334</v>
      </c>
      <c r="AA17" s="6" t="s">
        <v>11</v>
      </c>
      <c r="AB17" s="4">
        <v>192879</v>
      </c>
      <c r="AC17" s="6">
        <v>37143</v>
      </c>
      <c r="AD17" s="6">
        <v>11760</v>
      </c>
      <c r="AE17" s="6" t="s">
        <v>58</v>
      </c>
    </row>
    <row r="18" spans="2:31" ht="15" customHeight="1" x14ac:dyDescent="0.2">
      <c r="B18" s="23" t="s">
        <v>59</v>
      </c>
      <c r="C18" s="8">
        <v>15444</v>
      </c>
      <c r="D18" s="8">
        <v>20013</v>
      </c>
      <c r="E18" s="8">
        <v>33476</v>
      </c>
      <c r="F18" s="8">
        <v>41691</v>
      </c>
      <c r="G18" s="8">
        <v>52720</v>
      </c>
      <c r="H18" s="53">
        <v>65556</v>
      </c>
      <c r="J18" s="23" t="s">
        <v>60</v>
      </c>
      <c r="K18" s="55">
        <v>-17.947154471544714</v>
      </c>
      <c r="L18" s="55">
        <v>62.962962962962962</v>
      </c>
      <c r="M18" s="55"/>
      <c r="N18" s="55"/>
      <c r="O18" s="56">
        <f t="shared" si="0"/>
        <v>22.507904245709124</v>
      </c>
      <c r="AA18" s="6" t="s">
        <v>61</v>
      </c>
      <c r="AB18" s="4">
        <v>16</v>
      </c>
      <c r="AD18" s="6">
        <v>0.49</v>
      </c>
      <c r="AE18" s="6">
        <v>1.54</v>
      </c>
    </row>
    <row r="19" spans="2:31" ht="15" customHeight="1" x14ac:dyDescent="0.2">
      <c r="B19" s="23" t="s">
        <v>62</v>
      </c>
      <c r="C19" s="25">
        <v>0.11356967945465375</v>
      </c>
      <c r="D19" s="25">
        <v>0.11251728829568326</v>
      </c>
      <c r="E19" s="25">
        <v>0.14374353227101555</v>
      </c>
      <c r="F19" s="25">
        <v>0.1494536772824388</v>
      </c>
      <c r="G19" s="25">
        <v>0.15928166146000133</v>
      </c>
      <c r="H19" s="59">
        <v>0.16900014178729328</v>
      </c>
      <c r="J19" s="23" t="s">
        <v>63</v>
      </c>
      <c r="K19" s="55">
        <v>-37.367781155015194</v>
      </c>
      <c r="L19" s="55">
        <v>38.683673469387756</v>
      </c>
      <c r="M19" s="55"/>
      <c r="N19" s="55"/>
      <c r="O19" s="56">
        <f t="shared" si="0"/>
        <v>0.6579461571862808</v>
      </c>
      <c r="AA19" s="6" t="s">
        <v>64</v>
      </c>
      <c r="AB19" s="6">
        <v>13603</v>
      </c>
      <c r="AC19" s="4" t="s">
        <v>65</v>
      </c>
      <c r="AD19" s="6">
        <v>425</v>
      </c>
      <c r="AE19" s="6">
        <v>576</v>
      </c>
    </row>
    <row r="20" spans="2:31" ht="15" customHeight="1" x14ac:dyDescent="0.2">
      <c r="B20" s="23" t="s">
        <v>66</v>
      </c>
      <c r="C20" s="8">
        <v>4186</v>
      </c>
      <c r="D20" s="8">
        <v>4106</v>
      </c>
      <c r="E20" s="8">
        <v>12421</v>
      </c>
      <c r="F20" s="8">
        <v>14923</v>
      </c>
      <c r="G20" s="8">
        <v>21797</v>
      </c>
      <c r="H20" s="53">
        <v>31263</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2">
      <c r="B21" s="23" t="s">
        <v>69</v>
      </c>
      <c r="C21" s="25">
        <v>3.0782354195621642E-2</v>
      </c>
      <c r="D21" s="25">
        <v>2.3084794170892695E-2</v>
      </c>
      <c r="E21" s="25">
        <v>5.3334879147397665E-2</v>
      </c>
      <c r="F21" s="25">
        <v>5.3495891825234086E-2</v>
      </c>
      <c r="G21" s="25">
        <v>6.5854749143468297E-2</v>
      </c>
      <c r="H21" s="59">
        <v>8.0594475451463629E-2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2">
      <c r="B22" s="23" t="s">
        <v>72</v>
      </c>
      <c r="C22" s="8">
        <v>2371</v>
      </c>
      <c r="D22" s="8">
        <v>3033</v>
      </c>
      <c r="E22" s="8">
        <v>10073</v>
      </c>
      <c r="F22" s="8">
        <v>11852</v>
      </c>
      <c r="G22" s="8">
        <v>17091</v>
      </c>
      <c r="H22" s="53">
        <v>25703</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2">
      <c r="B23" s="23" t="s">
        <v>74</v>
      </c>
      <c r="C23" s="25">
        <v>1.7435490157147373E-2</v>
      </c>
      <c r="D23" s="25">
        <v>1.7052162864178651E-2</v>
      </c>
      <c r="E23" s="25">
        <v>4.3252736305590261E-2</v>
      </c>
      <c r="F23" s="25">
        <v>4.2486987195113207E-2</v>
      </c>
      <c r="G23" s="25">
        <v>5.1636625114053161E-2</v>
      </c>
      <c r="H23" s="59">
        <v>6.6261069076191337E-2</v>
      </c>
      <c r="J23" s="23" t="s">
        <v>62</v>
      </c>
      <c r="K23" s="25">
        <v>-3.5788099641031218E-2</v>
      </c>
      <c r="L23" s="25">
        <v>0.24716267339218159</v>
      </c>
      <c r="M23" s="25"/>
      <c r="N23" s="25"/>
      <c r="O23" s="59">
        <f t="shared" si="0"/>
        <v>0.10568728687557519</v>
      </c>
      <c r="AA23" s="6" t="s">
        <v>75</v>
      </c>
      <c r="AB23" s="6">
        <v>0.25364061829911805</v>
      </c>
      <c r="AC23" s="6" t="e">
        <v>#VALUE!</v>
      </c>
      <c r="AD23" s="6">
        <v>7.9025660096690223E-2</v>
      </c>
      <c r="AE23" s="6">
        <v>0.3507917174177832</v>
      </c>
    </row>
    <row r="24" spans="2:31" ht="15" customHeight="1" x14ac:dyDescent="0.2">
      <c r="B24" s="23"/>
      <c r="C24" s="8"/>
      <c r="D24" s="100">
        <v>0.27920708561788277</v>
      </c>
      <c r="E24" s="100">
        <v>2.3211341905703922</v>
      </c>
      <c r="F24" s="100">
        <v>0.17661074158641915</v>
      </c>
      <c r="G24" s="100">
        <v>0.44203509956125547</v>
      </c>
      <c r="H24" s="101">
        <v>0.50389093675033647</v>
      </c>
      <c r="J24" s="23" t="s">
        <v>69</v>
      </c>
      <c r="K24" s="25">
        <v>-5.5585771782878275E-2</v>
      </c>
      <c r="L24" s="25">
        <v>0.1424968474148802</v>
      </c>
      <c r="M24" s="25"/>
      <c r="N24" s="25"/>
      <c r="O24" s="59">
        <f t="shared" si="0"/>
        <v>4.3455537816000964E-2</v>
      </c>
      <c r="AA24" s="6" t="s">
        <v>76</v>
      </c>
      <c r="AB24" s="6">
        <v>0.21241446178516157</v>
      </c>
      <c r="AC24" s="6" t="e">
        <v>#VALUE!</v>
      </c>
      <c r="AD24" s="6">
        <v>4.3510598735589441E-2</v>
      </c>
      <c r="AE24" s="6">
        <v>0.30146163215590743</v>
      </c>
    </row>
    <row r="25" spans="2:31" ht="15" customHeight="1" x14ac:dyDescent="0.2">
      <c r="B25" s="23" t="s">
        <v>77</v>
      </c>
      <c r="C25" s="8" t="s">
        <v>171</v>
      </c>
      <c r="D25" s="8" t="s">
        <v>172</v>
      </c>
      <c r="E25" s="8" t="s">
        <v>162</v>
      </c>
      <c r="F25" s="8" t="s">
        <v>163</v>
      </c>
      <c r="G25" s="8" t="s">
        <v>173</v>
      </c>
      <c r="H25" s="53" t="s">
        <v>174</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2">
      <c r="B26" s="23" t="s">
        <v>86</v>
      </c>
      <c r="C26" s="8">
        <v>4.9000000000000004</v>
      </c>
      <c r="D26" s="8">
        <v>6.15</v>
      </c>
      <c r="E26" s="8">
        <v>20.100000000000001</v>
      </c>
      <c r="F26" s="8">
        <v>23.7</v>
      </c>
      <c r="G26" s="8">
        <v>33.799999999999997</v>
      </c>
      <c r="H26" s="53">
        <v>48.6</v>
      </c>
      <c r="J26" s="23" t="s">
        <v>87</v>
      </c>
      <c r="K26" s="35"/>
      <c r="L26" s="35"/>
      <c r="M26" s="35"/>
      <c r="N26" s="35" t="s">
        <v>122</v>
      </c>
      <c r="O26" s="54"/>
      <c r="AA26" s="6" t="s">
        <v>88</v>
      </c>
      <c r="AB26" s="6">
        <v>7.62</v>
      </c>
      <c r="AC26" s="6">
        <v>2.13</v>
      </c>
      <c r="AD26" s="6" t="s">
        <v>40</v>
      </c>
      <c r="AE26" s="6">
        <v>0.52</v>
      </c>
    </row>
    <row r="27" spans="2:31" ht="15" customHeight="1" thickBot="1" x14ac:dyDescent="0.25">
      <c r="B27" s="23" t="s">
        <v>57</v>
      </c>
      <c r="C27" s="8"/>
      <c r="D27" s="100">
        <v>0.25510204081632654</v>
      </c>
      <c r="E27" s="100">
        <v>2.2682926829268295</v>
      </c>
      <c r="F27" s="100">
        <v>0.17910447761194018</v>
      </c>
      <c r="G27" s="100">
        <v>0.42616033755274252</v>
      </c>
      <c r="H27" s="101">
        <v>0.43786982248520728</v>
      </c>
      <c r="J27" s="42" t="s">
        <v>34</v>
      </c>
      <c r="K27" s="44" t="s">
        <v>175</v>
      </c>
      <c r="L27" s="44">
        <v>0.27700000000000002</v>
      </c>
      <c r="M27" s="44">
        <v>0.121</v>
      </c>
      <c r="N27" s="44">
        <v>7.3400000000000007E-2</v>
      </c>
      <c r="O27" s="63">
        <f t="shared" si="0"/>
        <v>0.15713333333333335</v>
      </c>
      <c r="AA27" s="6" t="s">
        <v>34</v>
      </c>
      <c r="AB27" s="64">
        <v>0.21</v>
      </c>
      <c r="AC27" s="30">
        <v>0.29399999999999998</v>
      </c>
      <c r="AD27" s="30">
        <v>7.3400000000000007E-2</v>
      </c>
      <c r="AE27" s="30">
        <v>0.29499999999999998</v>
      </c>
    </row>
    <row r="28" spans="2:31" ht="15" customHeight="1" x14ac:dyDescent="0.2">
      <c r="B28" s="23" t="s">
        <v>63</v>
      </c>
      <c r="C28" s="8">
        <v>56.380406630406632</v>
      </c>
      <c r="D28" s="8">
        <v>43.508669364912805</v>
      </c>
      <c r="E28" s="8">
        <v>26.010843589437208</v>
      </c>
      <c r="F28" s="8">
        <v>20.885538845314336</v>
      </c>
      <c r="G28" s="8">
        <v>16.516293626707132</v>
      </c>
      <c r="H28" s="53">
        <v>13.282369272072732</v>
      </c>
    </row>
    <row r="29" spans="2:31" ht="15" customHeight="1" x14ac:dyDescent="0.2">
      <c r="B29" s="23" t="s">
        <v>67</v>
      </c>
      <c r="C29" s="8">
        <v>208.01218346870522</v>
      </c>
      <c r="D29" s="8">
        <v>212.06502679006331</v>
      </c>
      <c r="E29" s="8">
        <v>70.102165687142744</v>
      </c>
      <c r="F29" s="8">
        <v>58.348790457682775</v>
      </c>
      <c r="G29" s="8">
        <v>39.947653346790844</v>
      </c>
      <c r="H29" s="53">
        <v>27.852061542398364</v>
      </c>
    </row>
    <row r="30" spans="2:31" ht="15" customHeight="1" thickBot="1" x14ac:dyDescent="0.25">
      <c r="B30" s="42" t="s">
        <v>70</v>
      </c>
      <c r="C30" s="65">
        <v>6.4031047085383159</v>
      </c>
      <c r="D30" s="65">
        <v>1.2078615334843092</v>
      </c>
      <c r="E30" s="102">
        <v>3.7388905348946055</v>
      </c>
      <c r="F30" s="102">
        <v>3.1214205824574486</v>
      </c>
      <c r="G30" s="102">
        <v>2.6307426900231428</v>
      </c>
      <c r="H30" s="103">
        <v>2.2447222902514792</v>
      </c>
      <c r="J30" s="2" t="s">
        <v>89</v>
      </c>
    </row>
    <row r="31" spans="2:31" ht="16" thickBot="1" x14ac:dyDescent="0.25">
      <c r="J31" s="50"/>
      <c r="K31" s="67"/>
      <c r="L31" s="48" t="s">
        <v>90</v>
      </c>
      <c r="M31" s="48" t="s">
        <v>91</v>
      </c>
      <c r="N31" s="48" t="s">
        <v>92</v>
      </c>
      <c r="O31" s="52" t="s">
        <v>93</v>
      </c>
    </row>
    <row r="32" spans="2:31" x14ac:dyDescent="0.2">
      <c r="B32" s="12" t="s">
        <v>94</v>
      </c>
      <c r="C32" s="68"/>
      <c r="D32" s="68"/>
      <c r="E32" s="68"/>
      <c r="F32" s="68"/>
      <c r="G32" s="68"/>
      <c r="H32" s="76"/>
      <c r="J32" s="23" t="s">
        <v>95</v>
      </c>
      <c r="K32" s="26" t="s">
        <v>55</v>
      </c>
      <c r="L32" s="8">
        <v>62451.199999999997</v>
      </c>
      <c r="M32" s="8">
        <v>63404</v>
      </c>
      <c r="N32" s="8">
        <v>952.8</v>
      </c>
      <c r="O32" s="104">
        <v>1.5256712441074037E-2</v>
      </c>
    </row>
    <row r="33" spans="2:15" x14ac:dyDescent="0.2">
      <c r="B33" s="23" t="s">
        <v>59</v>
      </c>
      <c r="C33" s="8">
        <v>81</v>
      </c>
      <c r="D33" s="8">
        <v>149</v>
      </c>
      <c r="E33" s="8">
        <v>33476</v>
      </c>
      <c r="F33" s="8">
        <v>41691</v>
      </c>
      <c r="G33" s="8">
        <v>52720</v>
      </c>
      <c r="H33" s="53">
        <v>65556</v>
      </c>
      <c r="J33" s="23"/>
      <c r="K33" s="26" t="s">
        <v>96</v>
      </c>
      <c r="L33" s="7">
        <v>5.56</v>
      </c>
      <c r="M33" s="7">
        <v>5.22</v>
      </c>
      <c r="N33" s="7">
        <v>0.34</v>
      </c>
      <c r="O33" s="104">
        <v>-6.1151079136690628E-2</v>
      </c>
    </row>
    <row r="34" spans="2:15" x14ac:dyDescent="0.2">
      <c r="B34" s="23" t="s">
        <v>97</v>
      </c>
      <c r="C34" s="24"/>
      <c r="D34" s="24"/>
      <c r="E34" s="24"/>
      <c r="F34" s="24"/>
      <c r="G34" s="24"/>
      <c r="H34" s="28"/>
      <c r="J34" s="23" t="s">
        <v>98</v>
      </c>
      <c r="K34" s="26" t="s">
        <v>55</v>
      </c>
      <c r="L34" s="8">
        <v>59686.8</v>
      </c>
      <c r="M34" s="8">
        <v>59700</v>
      </c>
      <c r="N34" s="8">
        <v>13.18</v>
      </c>
      <c r="O34" s="104">
        <v>2.2115442610421549E-4</v>
      </c>
    </row>
    <row r="35" spans="2:15" x14ac:dyDescent="0.2">
      <c r="B35" s="23" t="s">
        <v>99</v>
      </c>
      <c r="C35" s="72">
        <v>34</v>
      </c>
      <c r="D35" s="72">
        <v>37.4</v>
      </c>
      <c r="E35" s="72">
        <v>61.4</v>
      </c>
      <c r="F35" s="72">
        <v>94.5</v>
      </c>
      <c r="G35" s="72">
        <v>108</v>
      </c>
      <c r="H35" s="73">
        <v>130</v>
      </c>
      <c r="J35" s="23"/>
      <c r="K35" s="26" t="s">
        <v>96</v>
      </c>
      <c r="L35" s="7">
        <v>4.72</v>
      </c>
      <c r="M35" s="7">
        <v>7.09</v>
      </c>
      <c r="N35" s="7">
        <v>2.37</v>
      </c>
      <c r="O35" s="104">
        <v>0.5021186440677966</v>
      </c>
    </row>
    <row r="36" spans="2:15" ht="16" thickBot="1" x14ac:dyDescent="0.25">
      <c r="B36" s="42" t="s">
        <v>100</v>
      </c>
      <c r="C36" s="74">
        <v>40.4</v>
      </c>
      <c r="D36" s="74">
        <v>57.3</v>
      </c>
      <c r="E36" s="74">
        <v>88.7</v>
      </c>
      <c r="F36" s="74">
        <v>122</v>
      </c>
      <c r="G36" s="74">
        <v>167</v>
      </c>
      <c r="H36" s="75">
        <v>232</v>
      </c>
      <c r="J36" s="23" t="s">
        <v>101</v>
      </c>
      <c r="K36" s="26" t="s">
        <v>55</v>
      </c>
      <c r="L36" s="8">
        <v>71872.899999999994</v>
      </c>
      <c r="M36" s="8">
        <v>72383</v>
      </c>
      <c r="N36" s="8">
        <v>510.14</v>
      </c>
      <c r="O36" s="104">
        <v>7.0972508414159701E-3</v>
      </c>
    </row>
    <row r="37" spans="2:15" ht="16" thickBot="1" x14ac:dyDescent="0.25">
      <c r="J37" s="23"/>
      <c r="K37" s="26" t="s">
        <v>96</v>
      </c>
      <c r="L37" s="7">
        <v>5.64</v>
      </c>
      <c r="M37" s="7">
        <v>6.04</v>
      </c>
      <c r="N37" s="7">
        <v>0.4</v>
      </c>
      <c r="O37" s="104">
        <v>7.0921985815602898E-2</v>
      </c>
    </row>
    <row r="38" spans="2:15" x14ac:dyDescent="0.2">
      <c r="B38" s="12" t="s">
        <v>102</v>
      </c>
      <c r="C38" s="76">
        <v>4470727</v>
      </c>
      <c r="F38" s="12" t="s">
        <v>103</v>
      </c>
      <c r="G38" s="68">
        <v>1938.72</v>
      </c>
      <c r="H38" s="105">
        <v>-2.0730172484938542E-2</v>
      </c>
      <c r="J38" s="23" t="s">
        <v>104</v>
      </c>
      <c r="K38" s="26" t="s">
        <v>55</v>
      </c>
      <c r="L38" s="8">
        <v>57057.2</v>
      </c>
      <c r="M38" s="8">
        <v>56576</v>
      </c>
      <c r="N38" s="8">
        <v>481.24</v>
      </c>
      <c r="O38" s="104">
        <v>-8.4336420294020224E-3</v>
      </c>
    </row>
    <row r="39" spans="2:15" ht="16" thickBot="1" x14ac:dyDescent="0.25">
      <c r="B39" s="23" t="s">
        <v>105</v>
      </c>
      <c r="C39" s="53" t="s">
        <v>176</v>
      </c>
      <c r="F39" s="42" t="s">
        <v>107</v>
      </c>
      <c r="G39" s="102">
        <v>1805.98</v>
      </c>
      <c r="H39" s="63">
        <v>5.1246414688977705E-2</v>
      </c>
      <c r="J39" s="42"/>
      <c r="K39" s="81" t="s">
        <v>96</v>
      </c>
      <c r="L39" s="82">
        <v>3.12</v>
      </c>
      <c r="M39" s="82">
        <v>5.75</v>
      </c>
      <c r="N39" s="82">
        <v>2.63</v>
      </c>
      <c r="O39" s="106">
        <v>0.84294871794871784</v>
      </c>
    </row>
    <row r="40" spans="2:15" ht="16" thickBot="1" x14ac:dyDescent="0.25">
      <c r="B40" s="42" t="s">
        <v>108</v>
      </c>
      <c r="C40" s="103" t="s">
        <v>177</v>
      </c>
    </row>
    <row r="41" spans="2:15" x14ac:dyDescent="0.2">
      <c r="F41" s="12" t="s">
        <v>110</v>
      </c>
      <c r="G41" s="15"/>
      <c r="H41" s="76">
        <v>0</v>
      </c>
    </row>
    <row r="42" spans="2:15" ht="16" thickBot="1" x14ac:dyDescent="0.25">
      <c r="F42" s="42" t="s">
        <v>112</v>
      </c>
      <c r="G42" s="21"/>
      <c r="H42" s="103">
        <v>0</v>
      </c>
    </row>
    <row r="43" spans="2:15" ht="19.5" customHeight="1" thickBot="1" x14ac:dyDescent="0.25"/>
    <row r="44" spans="2:15" ht="18" customHeight="1" x14ac:dyDescent="0.2">
      <c r="B44" s="12" t="s">
        <v>113</v>
      </c>
      <c r="C44" s="68" t="s">
        <v>155</v>
      </c>
      <c r="D44" s="107">
        <v>0.59699999999999998</v>
      </c>
      <c r="F44" s="12" t="s">
        <v>115</v>
      </c>
      <c r="G44" s="68" t="s">
        <v>178</v>
      </c>
      <c r="H44" s="105">
        <v>0.60899999999999999</v>
      </c>
      <c r="J44" s="152" t="s">
        <v>179</v>
      </c>
      <c r="K44" s="153"/>
      <c r="L44" s="153"/>
      <c r="M44" s="153"/>
      <c r="N44" s="153"/>
      <c r="O44" s="154"/>
    </row>
    <row r="45" spans="2:15" x14ac:dyDescent="0.2">
      <c r="B45" s="87"/>
      <c r="C45" s="8" t="s">
        <v>180</v>
      </c>
      <c r="D45" s="99">
        <v>0.40300000000000002</v>
      </c>
      <c r="F45" s="87"/>
      <c r="G45" s="8" t="s">
        <v>181</v>
      </c>
      <c r="H45" s="54">
        <v>0.17899999999999999</v>
      </c>
      <c r="J45" s="155"/>
      <c r="K45" s="151"/>
      <c r="L45" s="151"/>
      <c r="M45" s="151"/>
      <c r="N45" s="151"/>
      <c r="O45" s="156"/>
    </row>
    <row r="46" spans="2:15" x14ac:dyDescent="0.2">
      <c r="B46" s="87"/>
      <c r="C46" s="8"/>
      <c r="D46" s="53" t="s">
        <v>182</v>
      </c>
      <c r="F46" s="87"/>
      <c r="G46" s="8" t="s">
        <v>183</v>
      </c>
      <c r="H46" s="54">
        <v>9.8000000000000004E-2</v>
      </c>
      <c r="J46" s="155"/>
      <c r="K46" s="151"/>
      <c r="L46" s="151"/>
      <c r="M46" s="151"/>
      <c r="N46" s="151"/>
      <c r="O46" s="156"/>
    </row>
    <row r="47" spans="2:15" ht="25.5" customHeight="1" thickBot="1" x14ac:dyDescent="0.25">
      <c r="B47" s="91"/>
      <c r="C47" s="102"/>
      <c r="D47" s="103" t="s">
        <v>184</v>
      </c>
      <c r="F47" s="91"/>
      <c r="G47" s="102" t="s">
        <v>185</v>
      </c>
      <c r="H47" s="63">
        <v>5.5E-2</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dxfId="23" priority="3" operator="lessThan">
      <formula>0</formula>
    </cfRule>
    <cfRule type="cellIs" dxfId="22" priority="4" operator="greaterThan">
      <formula>0</formula>
    </cfRule>
  </conditionalFormatting>
  <conditionalFormatting sqref="O39">
    <cfRule type="cellIs" dxfId="21" priority="1" operator="lessThan">
      <formula>0</formula>
    </cfRule>
    <cfRule type="cellIs" dxfId="20" priority="2" operator="greaterThan">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CA8EC-86A3-4414-A98E-21F06C8B91E7}">
  <sheetPr codeName="Sheet7"/>
  <dimension ref="B1:AE370"/>
  <sheetViews>
    <sheetView zoomScale="85" zoomScaleNormal="85" workbookViewId="0">
      <selection activeCell="AE68" sqref="AE68"/>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17</v>
      </c>
      <c r="G2" s="10" t="s">
        <v>186</v>
      </c>
      <c r="H2" s="11"/>
      <c r="Q2" s="6">
        <v>20</v>
      </c>
    </row>
    <row r="3" spans="2:31" ht="16" thickBot="1" x14ac:dyDescent="0.25"/>
    <row r="4" spans="2:31" x14ac:dyDescent="0.2">
      <c r="B4" s="12" t="s">
        <v>26</v>
      </c>
      <c r="C4" s="13">
        <v>79.25</v>
      </c>
      <c r="D4" s="14"/>
      <c r="E4" s="15"/>
      <c r="F4" s="15"/>
      <c r="G4" s="15"/>
      <c r="H4" s="16"/>
      <c r="J4" s="17">
        <v>43727</v>
      </c>
      <c r="K4" s="15" t="s">
        <v>187</v>
      </c>
      <c r="L4" s="15"/>
      <c r="M4" s="15"/>
      <c r="N4" s="16"/>
    </row>
    <row r="5" spans="2:31" ht="16" thickBot="1" x14ac:dyDescent="0.25">
      <c r="B5" s="18"/>
      <c r="C5" s="7"/>
      <c r="D5" s="7"/>
      <c r="H5" s="19"/>
      <c r="J5" s="20">
        <v>43752</v>
      </c>
      <c r="K5" s="21" t="s">
        <v>28</v>
      </c>
      <c r="L5" s="21"/>
      <c r="M5" s="21"/>
      <c r="N5" s="22"/>
    </row>
    <row r="6" spans="2:31" ht="16" thickBot="1" x14ac:dyDescent="0.25">
      <c r="B6" s="23" t="s">
        <v>29</v>
      </c>
      <c r="C6" s="24">
        <v>85.050003051757812</v>
      </c>
      <c r="D6" s="25">
        <v>-6.8195212741240907E-2</v>
      </c>
      <c r="E6" s="26" t="s">
        <v>30</v>
      </c>
      <c r="F6" s="27" t="s">
        <v>188</v>
      </c>
      <c r="G6" s="26" t="s">
        <v>31</v>
      </c>
      <c r="H6" s="28">
        <v>6.4430894308943083</v>
      </c>
      <c r="L6" s="29"/>
      <c r="M6" s="30"/>
    </row>
    <row r="7" spans="2:31" x14ac:dyDescent="0.2">
      <c r="B7" s="23" t="s">
        <v>32</v>
      </c>
      <c r="C7" s="24">
        <v>65.849998474121094</v>
      </c>
      <c r="D7" s="25">
        <v>0.20349281452367957</v>
      </c>
      <c r="E7" s="26" t="s">
        <v>33</v>
      </c>
      <c r="F7" s="7" t="s">
        <v>189</v>
      </c>
      <c r="G7" s="26" t="s">
        <v>34</v>
      </c>
      <c r="H7" s="31">
        <v>0.46899999999999997</v>
      </c>
      <c r="L7" s="32"/>
      <c r="M7" s="30"/>
      <c r="N7" s="2"/>
      <c r="R7" s="12" t="s">
        <v>35</v>
      </c>
      <c r="S7" s="15"/>
      <c r="T7" s="33"/>
    </row>
    <row r="8" spans="2:31" x14ac:dyDescent="0.2">
      <c r="B8" s="23" t="s">
        <v>36</v>
      </c>
      <c r="C8" s="34">
        <v>8.2100000000000006E-2</v>
      </c>
      <c r="D8" s="35"/>
      <c r="E8" s="26" t="s">
        <v>19</v>
      </c>
      <c r="F8" s="7"/>
      <c r="G8" s="26" t="s">
        <v>4</v>
      </c>
      <c r="H8" s="19" t="s">
        <v>130</v>
      </c>
      <c r="R8" s="36" t="s">
        <v>37</v>
      </c>
      <c r="T8" s="37"/>
    </row>
    <row r="9" spans="2:31" x14ac:dyDescent="0.2">
      <c r="B9" s="23" t="s">
        <v>38</v>
      </c>
      <c r="C9" s="8">
        <v>17239</v>
      </c>
      <c r="D9" s="7"/>
      <c r="E9" s="26" t="s">
        <v>39</v>
      </c>
      <c r="F9" s="7">
        <v>2.69</v>
      </c>
      <c r="G9" s="26" t="s">
        <v>23</v>
      </c>
      <c r="H9" s="19" t="s">
        <v>25</v>
      </c>
      <c r="R9" s="36" t="s">
        <v>41</v>
      </c>
      <c r="T9" s="37"/>
    </row>
    <row r="10" spans="2:31" x14ac:dyDescent="0.2">
      <c r="B10" s="23" t="s">
        <v>11</v>
      </c>
      <c r="C10" s="38">
        <v>18141</v>
      </c>
      <c r="D10" s="8">
        <v>902</v>
      </c>
      <c r="E10" s="26" t="s">
        <v>42</v>
      </c>
      <c r="F10" s="35">
        <v>3.3943217665615144E-2</v>
      </c>
      <c r="G10" s="26" t="s">
        <v>5</v>
      </c>
      <c r="H10" s="19" t="s">
        <v>3</v>
      </c>
      <c r="R10" s="36" t="s">
        <v>43</v>
      </c>
      <c r="T10" s="37"/>
    </row>
    <row r="11" spans="2:31" ht="16" thickBot="1" x14ac:dyDescent="0.25">
      <c r="B11" s="23" t="s">
        <v>44</v>
      </c>
      <c r="C11" s="24">
        <v>13.797872659495214</v>
      </c>
      <c r="D11" s="7"/>
      <c r="E11" s="26" t="s">
        <v>9</v>
      </c>
      <c r="F11" s="24">
        <v>0.34000000357627869</v>
      </c>
      <c r="G11" s="26" t="s">
        <v>45</v>
      </c>
      <c r="H11" s="39" t="s">
        <v>190</v>
      </c>
      <c r="R11" s="40" t="s">
        <v>47</v>
      </c>
      <c r="S11" s="21"/>
      <c r="T11" s="41"/>
    </row>
    <row r="12" spans="2:31" ht="15.75" customHeight="1" thickBot="1" x14ac:dyDescent="0.25">
      <c r="B12" s="42" t="s">
        <v>48</v>
      </c>
      <c r="C12" s="43" t="s">
        <v>191</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192</v>
      </c>
      <c r="L15" s="51" t="s">
        <v>193</v>
      </c>
      <c r="M15" s="51" t="s">
        <v>194</v>
      </c>
      <c r="N15" s="51" t="s">
        <v>195</v>
      </c>
      <c r="O15" s="52" t="s">
        <v>54</v>
      </c>
      <c r="AA15" s="6" t="s">
        <v>26</v>
      </c>
      <c r="AB15" s="6">
        <v>383.3</v>
      </c>
      <c r="AC15" s="6">
        <v>88.27</v>
      </c>
      <c r="AD15" s="6">
        <v>27.19</v>
      </c>
      <c r="AE15" s="6">
        <v>38.64</v>
      </c>
    </row>
    <row r="16" spans="2:31" x14ac:dyDescent="0.2">
      <c r="B16" s="23" t="s">
        <v>55</v>
      </c>
      <c r="C16" s="8">
        <v>15417</v>
      </c>
      <c r="D16" s="8">
        <v>15274</v>
      </c>
      <c r="E16" s="8">
        <v>15290</v>
      </c>
      <c r="F16" s="8">
        <v>14938</v>
      </c>
      <c r="G16" s="8">
        <v>15271</v>
      </c>
      <c r="H16" s="53">
        <v>15805</v>
      </c>
      <c r="J16" s="23" t="s">
        <v>38</v>
      </c>
      <c r="K16" s="8">
        <v>12311</v>
      </c>
      <c r="L16" s="8">
        <v>10520</v>
      </c>
      <c r="M16" s="8">
        <v>8616</v>
      </c>
      <c r="N16" s="8">
        <v>5540</v>
      </c>
      <c r="O16" s="53">
        <v>9246.75</v>
      </c>
      <c r="AA16" s="6" t="s">
        <v>38</v>
      </c>
      <c r="AB16" s="6">
        <v>191403</v>
      </c>
      <c r="AC16" s="6">
        <v>35478</v>
      </c>
      <c r="AD16" s="6">
        <v>11620</v>
      </c>
      <c r="AE16" s="6" t="s">
        <v>56</v>
      </c>
    </row>
    <row r="17" spans="2:31" ht="15" customHeight="1" x14ac:dyDescent="0.2">
      <c r="B17" s="23" t="s">
        <v>57</v>
      </c>
      <c r="C17" s="8"/>
      <c r="D17" s="98">
        <v>-9.2754751248621658E-3</v>
      </c>
      <c r="E17" s="98">
        <v>1.0475317533062722E-3</v>
      </c>
      <c r="F17" s="98">
        <v>-2.302158273381295E-2</v>
      </c>
      <c r="G17" s="98">
        <v>2.2292140848841881E-2</v>
      </c>
      <c r="H17" s="99">
        <v>3.4968240455765832E-2</v>
      </c>
      <c r="J17" s="23" t="s">
        <v>11</v>
      </c>
      <c r="K17" s="8">
        <v>16954</v>
      </c>
      <c r="L17" s="8">
        <v>11744</v>
      </c>
      <c r="M17" s="8">
        <v>10802</v>
      </c>
      <c r="N17" s="8">
        <v>6429</v>
      </c>
      <c r="O17" s="53">
        <v>11482.25</v>
      </c>
      <c r="AA17" s="6" t="s">
        <v>11</v>
      </c>
      <c r="AB17" s="4">
        <v>192879</v>
      </c>
      <c r="AC17" s="6">
        <v>37143</v>
      </c>
      <c r="AD17" s="6">
        <v>11760</v>
      </c>
      <c r="AE17" s="6" t="s">
        <v>58</v>
      </c>
    </row>
    <row r="18" spans="2:31" ht="15" customHeight="1" x14ac:dyDescent="0.2">
      <c r="B18" s="23" t="s">
        <v>59</v>
      </c>
      <c r="C18" s="8">
        <v>2302</v>
      </c>
      <c r="D18" s="8">
        <v>2342</v>
      </c>
      <c r="E18" s="8">
        <v>2369</v>
      </c>
      <c r="F18" s="8">
        <v>2377</v>
      </c>
      <c r="G18" s="8">
        <v>2428</v>
      </c>
      <c r="H18" s="53">
        <v>2515</v>
      </c>
      <c r="J18" s="23" t="s">
        <v>60</v>
      </c>
      <c r="K18" s="55">
        <v>11.69156626506024</v>
      </c>
      <c r="L18" s="55">
        <v>8.9599198396793582</v>
      </c>
      <c r="M18" s="8">
        <v>12.32258064516129</v>
      </c>
      <c r="N18" s="55">
        <v>18.265734265734267</v>
      </c>
      <c r="O18" s="56">
        <v>12.809950253908788</v>
      </c>
      <c r="AA18" s="6" t="s">
        <v>61</v>
      </c>
      <c r="AB18" s="4">
        <v>16</v>
      </c>
      <c r="AC18" s="6">
        <v>0</v>
      </c>
      <c r="AD18" s="6">
        <v>0.49</v>
      </c>
      <c r="AE18" s="6">
        <v>1.54</v>
      </c>
    </row>
    <row r="19" spans="2:31" ht="15" customHeight="1" x14ac:dyDescent="0.2">
      <c r="B19" s="23" t="s">
        <v>62</v>
      </c>
      <c r="C19" s="25">
        <v>0.14931569047155738</v>
      </c>
      <c r="D19" s="25">
        <v>0.15333246039020557</v>
      </c>
      <c r="E19" s="25">
        <v>0.15493786788750818</v>
      </c>
      <c r="F19" s="25">
        <v>0.15912438077386531</v>
      </c>
      <c r="G19" s="25">
        <v>0.15899417195992405</v>
      </c>
      <c r="H19" s="59">
        <v>0.15912685858905409</v>
      </c>
      <c r="J19" s="23" t="s">
        <v>63</v>
      </c>
      <c r="K19" s="55">
        <v>7.599282832810399</v>
      </c>
      <c r="L19" s="55">
        <v>5.117211328976035</v>
      </c>
      <c r="M19" s="55">
        <v>7.7267525035765381</v>
      </c>
      <c r="N19" s="55">
        <v>8.9415855354659257</v>
      </c>
      <c r="O19" s="56">
        <v>7.346208050207224</v>
      </c>
      <c r="AA19" s="6" t="s">
        <v>64</v>
      </c>
      <c r="AB19" s="6">
        <v>13603</v>
      </c>
      <c r="AC19" s="4" t="s">
        <v>65</v>
      </c>
      <c r="AD19" s="6">
        <v>425</v>
      </c>
      <c r="AE19" s="6">
        <v>576</v>
      </c>
    </row>
    <row r="20" spans="2:31" ht="15" customHeight="1" x14ac:dyDescent="0.2">
      <c r="B20" s="23" t="s">
        <v>66</v>
      </c>
      <c r="C20" s="8">
        <v>2009</v>
      </c>
      <c r="D20" s="8">
        <v>2060</v>
      </c>
      <c r="E20" s="8">
        <v>2105</v>
      </c>
      <c r="F20" s="8">
        <v>2131</v>
      </c>
      <c r="G20" s="8">
        <v>2193</v>
      </c>
      <c r="H20" s="53">
        <v>2268</v>
      </c>
      <c r="J20" s="23" t="s">
        <v>67</v>
      </c>
      <c r="K20" s="55">
        <v>8.8486430062630479</v>
      </c>
      <c r="L20" s="55">
        <v>7.078963230861965</v>
      </c>
      <c r="M20" s="55">
        <v>9.4920913884007021</v>
      </c>
      <c r="N20" s="55">
        <v>16.655440414507773</v>
      </c>
      <c r="O20" s="56">
        <v>10.518784510008372</v>
      </c>
      <c r="AA20" s="6" t="s">
        <v>68</v>
      </c>
      <c r="AB20" s="6">
        <v>11392</v>
      </c>
      <c r="AD20" s="6">
        <v>234</v>
      </c>
      <c r="AE20" s="6">
        <v>495</v>
      </c>
    </row>
    <row r="21" spans="2:31" ht="15" customHeight="1" x14ac:dyDescent="0.2">
      <c r="B21" s="23" t="s">
        <v>69</v>
      </c>
      <c r="C21" s="25">
        <v>0.13031069598495168</v>
      </c>
      <c r="D21" s="25">
        <v>0.13486971323818253</v>
      </c>
      <c r="E21" s="25">
        <v>0.13767168083714845</v>
      </c>
      <c r="F21" s="25">
        <v>0.14265631275940555</v>
      </c>
      <c r="G21" s="25">
        <v>0.14360552681553271</v>
      </c>
      <c r="H21" s="59">
        <v>0.14349889275545713</v>
      </c>
      <c r="J21" s="23" t="s">
        <v>70</v>
      </c>
      <c r="K21" s="55">
        <v>1.0847782967560304</v>
      </c>
      <c r="L21" s="55">
        <v>1.1890250075933988</v>
      </c>
      <c r="M21" s="55">
        <v>1.2413238336014709</v>
      </c>
      <c r="N21" s="55">
        <v>1.6193954659949623</v>
      </c>
      <c r="O21" s="56">
        <v>1.2836306509864657</v>
      </c>
      <c r="AA21" s="6" t="s">
        <v>71</v>
      </c>
      <c r="AB21" s="6">
        <v>53631</v>
      </c>
      <c r="AC21" s="4" t="s">
        <v>65</v>
      </c>
      <c r="AD21" s="6">
        <v>5378</v>
      </c>
      <c r="AE21" s="6">
        <v>1642</v>
      </c>
    </row>
    <row r="22" spans="2:31" ht="15" customHeight="1" x14ac:dyDescent="0.2">
      <c r="B22" s="23" t="s">
        <v>72</v>
      </c>
      <c r="C22" s="8">
        <v>1142</v>
      </c>
      <c r="D22" s="8">
        <v>1087</v>
      </c>
      <c r="E22" s="8">
        <v>1326</v>
      </c>
      <c r="F22" s="8">
        <v>1327</v>
      </c>
      <c r="G22" s="8">
        <v>1376</v>
      </c>
      <c r="H22" s="53">
        <v>1466</v>
      </c>
      <c r="J22" s="23" t="s">
        <v>18</v>
      </c>
      <c r="K22" s="24">
        <v>1.244102564102564</v>
      </c>
      <c r="L22" s="24">
        <v>1.288472622478386</v>
      </c>
      <c r="M22" s="24">
        <v>2.9160305343511452</v>
      </c>
      <c r="N22" s="24">
        <v>2.0406249999999999</v>
      </c>
      <c r="O22" s="56">
        <v>1.8723076802330239</v>
      </c>
      <c r="AA22" s="6" t="s">
        <v>73</v>
      </c>
      <c r="AB22" s="4">
        <v>82.6</v>
      </c>
      <c r="AC22" s="4">
        <v>13.2</v>
      </c>
      <c r="AD22" s="6">
        <v>5.39</v>
      </c>
      <c r="AE22" s="4">
        <v>6.41</v>
      </c>
    </row>
    <row r="23" spans="2:31" ht="15" customHeight="1" x14ac:dyDescent="0.2">
      <c r="B23" s="23" t="s">
        <v>74</v>
      </c>
      <c r="C23" s="25">
        <v>7.407407407407407E-2</v>
      </c>
      <c r="D23" s="25">
        <v>7.1166688490244864E-2</v>
      </c>
      <c r="E23" s="25">
        <v>8.6723348593852195E-2</v>
      </c>
      <c r="F23" s="25">
        <v>8.8833846565805327E-2</v>
      </c>
      <c r="G23" s="25">
        <v>9.0105428590138176E-2</v>
      </c>
      <c r="H23" s="59">
        <v>9.2755457133818414E-2</v>
      </c>
      <c r="J23" s="23" t="s">
        <v>62</v>
      </c>
      <c r="K23" s="25">
        <v>0.14274745665109731</v>
      </c>
      <c r="L23" s="25">
        <v>0.23235800344234078</v>
      </c>
      <c r="M23" s="25">
        <v>0.16065272351183635</v>
      </c>
      <c r="N23" s="25">
        <v>0.18110831234256927</v>
      </c>
      <c r="O23" s="59">
        <v>0.17921662398696095</v>
      </c>
      <c r="AA23" s="6" t="s">
        <v>75</v>
      </c>
      <c r="AB23" s="6">
        <v>0.25364061829911805</v>
      </c>
      <c r="AC23" s="6" t="e">
        <v>#VALUE!</v>
      </c>
      <c r="AD23" s="6">
        <v>7.9025660096690223E-2</v>
      </c>
      <c r="AE23" s="6">
        <v>0.3507917174177832</v>
      </c>
    </row>
    <row r="24" spans="2:31" ht="15" customHeight="1" x14ac:dyDescent="0.2">
      <c r="B24" s="23"/>
      <c r="C24" s="8"/>
      <c r="D24" s="100">
        <v>-4.816112084063047E-2</v>
      </c>
      <c r="E24" s="100">
        <v>0.21987120515179392</v>
      </c>
      <c r="F24" s="100">
        <v>7.5414781297134241E-4</v>
      </c>
      <c r="G24" s="100">
        <v>3.6925395629238883E-2</v>
      </c>
      <c r="H24" s="101">
        <v>6.5406976744186052E-2</v>
      </c>
      <c r="J24" s="23" t="s">
        <v>69</v>
      </c>
      <c r="K24" s="25">
        <v>0.1225926162902297</v>
      </c>
      <c r="L24" s="25">
        <v>0.16796598157335224</v>
      </c>
      <c r="M24" s="25">
        <v>0.13077453458974947</v>
      </c>
      <c r="N24" s="25">
        <v>9.7229219143576823E-2</v>
      </c>
      <c r="O24" s="59">
        <v>0.12964058789922706</v>
      </c>
      <c r="AA24" s="6" t="s">
        <v>76</v>
      </c>
      <c r="AB24" s="6">
        <v>0.21241446178516157</v>
      </c>
      <c r="AC24" s="6" t="e">
        <v>#VALUE!</v>
      </c>
      <c r="AD24" s="6">
        <v>4.3510598735589441E-2</v>
      </c>
      <c r="AE24" s="6">
        <v>0.30146163215590743</v>
      </c>
    </row>
    <row r="25" spans="2:31" ht="15" customHeight="1" x14ac:dyDescent="0.2">
      <c r="B25" s="23" t="s">
        <v>77</v>
      </c>
      <c r="C25" s="8" t="s">
        <v>196</v>
      </c>
      <c r="D25" s="8" t="s">
        <v>197</v>
      </c>
      <c r="E25" s="8" t="s">
        <v>188</v>
      </c>
      <c r="F25" s="8" t="s">
        <v>189</v>
      </c>
      <c r="G25" s="8" t="s">
        <v>198</v>
      </c>
      <c r="H25" s="53" t="s">
        <v>199</v>
      </c>
      <c r="J25" s="23" t="s">
        <v>84</v>
      </c>
      <c r="K25" s="25">
        <v>7.1533687376031732E-2</v>
      </c>
      <c r="L25" s="25">
        <v>0.11714083223650906</v>
      </c>
      <c r="M25" s="25">
        <v>8.3429096759365662E-2</v>
      </c>
      <c r="N25" s="25">
        <v>7.8337531486146098E-2</v>
      </c>
      <c r="O25" s="101">
        <v>8.7610286964513132E-2</v>
      </c>
      <c r="AA25" s="6" t="s">
        <v>85</v>
      </c>
      <c r="AB25" s="6">
        <v>8067</v>
      </c>
      <c r="AC25" s="4" t="s">
        <v>65</v>
      </c>
      <c r="AD25" s="6">
        <v>222</v>
      </c>
      <c r="AE25" s="6">
        <v>390</v>
      </c>
    </row>
    <row r="26" spans="2:31" ht="15" customHeight="1" x14ac:dyDescent="0.2">
      <c r="B26" s="23" t="s">
        <v>86</v>
      </c>
      <c r="C26" s="8">
        <v>4.78</v>
      </c>
      <c r="D26" s="8">
        <v>4.6500000000000004</v>
      </c>
      <c r="E26" s="8">
        <v>5.83</v>
      </c>
      <c r="F26" s="8">
        <v>5.98</v>
      </c>
      <c r="G26" s="8">
        <v>6.35</v>
      </c>
      <c r="H26" s="53">
        <v>6.98</v>
      </c>
      <c r="J26" s="23" t="s">
        <v>87</v>
      </c>
      <c r="K26" s="35">
        <v>6.1933223413025561E-2</v>
      </c>
      <c r="L26" s="35">
        <v>5.4350257213151426E-2</v>
      </c>
      <c r="M26" s="35">
        <v>4.4066317626527046E-2</v>
      </c>
      <c r="N26" s="35">
        <v>2.6033690658499236E-2</v>
      </c>
      <c r="O26" s="54">
        <v>4.6595872227800816E-2</v>
      </c>
      <c r="AA26" s="6" t="s">
        <v>88</v>
      </c>
      <c r="AB26" s="6">
        <v>7.62</v>
      </c>
      <c r="AC26" s="6">
        <v>2.13</v>
      </c>
      <c r="AD26" s="6" t="s">
        <v>40</v>
      </c>
      <c r="AE26" s="6">
        <v>0.52</v>
      </c>
    </row>
    <row r="27" spans="2:31" ht="15" customHeight="1" thickBot="1" x14ac:dyDescent="0.25">
      <c r="B27" s="23" t="s">
        <v>57</v>
      </c>
      <c r="C27" s="8"/>
      <c r="D27" s="100">
        <v>-2.7196652719665249E-2</v>
      </c>
      <c r="E27" s="100">
        <v>0.25376344086021496</v>
      </c>
      <c r="F27" s="100">
        <v>2.5728987993138996E-2</v>
      </c>
      <c r="G27" s="100">
        <v>6.1872909698996517E-2</v>
      </c>
      <c r="H27" s="101">
        <v>9.9212598425196974E-2</v>
      </c>
      <c r="J27" s="42" t="s">
        <v>34</v>
      </c>
      <c r="K27" s="44">
        <v>0.11799999999999999</v>
      </c>
      <c r="L27" s="44">
        <v>0.157</v>
      </c>
      <c r="M27" s="44">
        <v>0.28499999999999998</v>
      </c>
      <c r="N27" s="44">
        <v>0.109</v>
      </c>
      <c r="O27" s="63">
        <v>0.16725000000000001</v>
      </c>
      <c r="AA27" s="6" t="s">
        <v>34</v>
      </c>
      <c r="AB27" s="64">
        <v>0.21</v>
      </c>
      <c r="AC27" s="30">
        <v>0.29399999999999998</v>
      </c>
      <c r="AD27" s="30">
        <v>7.3400000000000007E-2</v>
      </c>
      <c r="AE27" s="30">
        <v>0.29499999999999998</v>
      </c>
    </row>
    <row r="28" spans="2:31" ht="15" customHeight="1" x14ac:dyDescent="0.2">
      <c r="B28" s="23" t="s">
        <v>63</v>
      </c>
      <c r="C28" s="8">
        <v>7.8805386620330147</v>
      </c>
      <c r="D28" s="8">
        <v>7.7459436379163105</v>
      </c>
      <c r="E28" s="8">
        <v>7.6576614605318696</v>
      </c>
      <c r="F28" s="8">
        <v>7.6318889356331514</v>
      </c>
      <c r="G28" s="8">
        <v>7.4715815485996702</v>
      </c>
      <c r="H28" s="53">
        <v>7.2131212723658056</v>
      </c>
    </row>
    <row r="29" spans="2:31" ht="15" customHeight="1" x14ac:dyDescent="0.2">
      <c r="B29" s="23" t="s">
        <v>67</v>
      </c>
      <c r="C29" s="8">
        <v>9.0298656047784966</v>
      </c>
      <c r="D29" s="8">
        <v>8.8063106796116504</v>
      </c>
      <c r="E29" s="8">
        <v>8.6180522565320672</v>
      </c>
      <c r="F29" s="8">
        <v>8.512904739558893</v>
      </c>
      <c r="G29" s="8">
        <v>8.2722298221614228</v>
      </c>
      <c r="H29" s="53">
        <v>7.9986772486772484</v>
      </c>
    </row>
    <row r="30" spans="2:31" ht="15" customHeight="1" thickBot="1" x14ac:dyDescent="0.25">
      <c r="B30" s="42" t="s">
        <v>70</v>
      </c>
      <c r="C30" s="65">
        <v>1.1766880716092625</v>
      </c>
      <c r="D30" s="65">
        <v>1.2078615334843092</v>
      </c>
      <c r="E30" s="102">
        <v>1.1864617396991497</v>
      </c>
      <c r="F30" s="102">
        <v>1.2144196010175392</v>
      </c>
      <c r="G30" s="102">
        <v>1.1879379215506516</v>
      </c>
      <c r="H30" s="103">
        <v>1.1478013286934514</v>
      </c>
      <c r="J30" s="2" t="s">
        <v>89</v>
      </c>
    </row>
    <row r="31" spans="2:31" ht="16" thickBot="1" x14ac:dyDescent="0.25">
      <c r="J31" s="50"/>
      <c r="K31" s="67"/>
      <c r="L31" s="48" t="s">
        <v>90</v>
      </c>
      <c r="M31" s="48" t="s">
        <v>91</v>
      </c>
      <c r="N31" s="48" t="s">
        <v>92</v>
      </c>
      <c r="O31" s="52" t="s">
        <v>93</v>
      </c>
    </row>
    <row r="32" spans="2:31" x14ac:dyDescent="0.2">
      <c r="B32" s="12" t="s">
        <v>94</v>
      </c>
      <c r="C32" s="68">
        <v>1927</v>
      </c>
      <c r="D32" s="68">
        <v>1128</v>
      </c>
      <c r="E32" s="68">
        <v>1234</v>
      </c>
      <c r="F32" s="68">
        <v>1135</v>
      </c>
      <c r="G32" s="68">
        <v>902</v>
      </c>
      <c r="H32" s="76">
        <v>686</v>
      </c>
      <c r="J32" s="23" t="s">
        <v>95</v>
      </c>
      <c r="K32" s="26" t="s">
        <v>55</v>
      </c>
      <c r="L32" s="8">
        <v>3716.11</v>
      </c>
      <c r="M32" s="8">
        <v>3719.8</v>
      </c>
      <c r="N32" s="8">
        <v>3.69</v>
      </c>
      <c r="O32" s="108">
        <v>9.9297383554309594E-4</v>
      </c>
    </row>
    <row r="33" spans="2:15" x14ac:dyDescent="0.2">
      <c r="B33" s="23" t="s">
        <v>59</v>
      </c>
      <c r="C33" s="8">
        <v>81</v>
      </c>
      <c r="D33" s="8">
        <v>149</v>
      </c>
      <c r="E33" s="8">
        <v>2369</v>
      </c>
      <c r="F33" s="8">
        <v>2377</v>
      </c>
      <c r="G33" s="8">
        <v>2428</v>
      </c>
      <c r="H33" s="53">
        <v>2515</v>
      </c>
      <c r="J33" s="23"/>
      <c r="K33" s="26" t="s">
        <v>96</v>
      </c>
      <c r="L33" s="7">
        <v>1.61</v>
      </c>
      <c r="M33" s="7">
        <v>1.68</v>
      </c>
      <c r="N33" s="7">
        <v>7.0000000000000007E-2</v>
      </c>
      <c r="O33" s="108">
        <v>4.3478260869565112E-2</v>
      </c>
    </row>
    <row r="34" spans="2:15" x14ac:dyDescent="0.2">
      <c r="B34" s="23" t="s">
        <v>97</v>
      </c>
      <c r="C34" s="24">
        <v>23.790123456790123</v>
      </c>
      <c r="D34" s="24">
        <v>7.5704697986577179</v>
      </c>
      <c r="E34" s="24">
        <v>0.52089489235964537</v>
      </c>
      <c r="F34" s="24">
        <v>0.47749263777871265</v>
      </c>
      <c r="G34" s="24">
        <v>0.37149917627677098</v>
      </c>
      <c r="H34" s="28">
        <v>0.2727634194831014</v>
      </c>
      <c r="J34" s="23" t="s">
        <v>98</v>
      </c>
      <c r="K34" s="26" t="s">
        <v>55</v>
      </c>
      <c r="L34" s="8">
        <v>3495.17</v>
      </c>
      <c r="M34" s="8">
        <v>3468.9</v>
      </c>
      <c r="N34" s="8">
        <v>26.27</v>
      </c>
      <c r="O34" s="108">
        <v>-7.516086485063668E-3</v>
      </c>
    </row>
    <row r="35" spans="2:15" x14ac:dyDescent="0.2">
      <c r="B35" s="23" t="s">
        <v>99</v>
      </c>
      <c r="C35" s="72">
        <v>6.72</v>
      </c>
      <c r="D35" s="72">
        <v>7.16</v>
      </c>
      <c r="E35" s="72">
        <v>7.21</v>
      </c>
      <c r="F35" s="72">
        <v>7.34</v>
      </c>
      <c r="G35" s="72">
        <v>7.63</v>
      </c>
      <c r="H35" s="73">
        <v>8.07</v>
      </c>
      <c r="J35" s="23"/>
      <c r="K35" s="26" t="s">
        <v>96</v>
      </c>
      <c r="L35" s="7">
        <v>1.0900000000000001</v>
      </c>
      <c r="M35" s="7">
        <v>1.17</v>
      </c>
      <c r="N35" s="7">
        <v>0.08</v>
      </c>
      <c r="O35" s="108">
        <v>7.3394495412843888E-2</v>
      </c>
    </row>
    <row r="36" spans="2:15" ht="16" thickBot="1" x14ac:dyDescent="0.25">
      <c r="B36" s="42" t="s">
        <v>100</v>
      </c>
      <c r="C36" s="74">
        <v>9.2100000000000009</v>
      </c>
      <c r="D36" s="74">
        <v>11.4</v>
      </c>
      <c r="E36" s="74">
        <v>11.4</v>
      </c>
      <c r="F36" s="74">
        <v>12.3</v>
      </c>
      <c r="G36" s="74">
        <v>13.3</v>
      </c>
      <c r="H36" s="75">
        <v>14.6</v>
      </c>
      <c r="J36" s="23" t="s">
        <v>101</v>
      </c>
      <c r="K36" s="26" t="s">
        <v>55</v>
      </c>
      <c r="L36" s="8">
        <v>4070.82</v>
      </c>
      <c r="M36" s="8">
        <v>4086.7</v>
      </c>
      <c r="N36" s="8">
        <v>15.88</v>
      </c>
      <c r="O36" s="108">
        <v>3.900933964164383E-3</v>
      </c>
    </row>
    <row r="37" spans="2:15" ht="16" thickBot="1" x14ac:dyDescent="0.25">
      <c r="J37" s="23"/>
      <c r="K37" s="26" t="s">
        <v>96</v>
      </c>
      <c r="L37" s="7">
        <v>1.66</v>
      </c>
      <c r="M37" s="7">
        <v>1.77</v>
      </c>
      <c r="N37" s="7">
        <v>0.11</v>
      </c>
      <c r="O37" s="108">
        <v>6.6265060240963916E-2</v>
      </c>
    </row>
    <row r="38" spans="2:15" x14ac:dyDescent="0.2">
      <c r="B38" s="12" t="s">
        <v>102</v>
      </c>
      <c r="C38" s="76">
        <v>1492005</v>
      </c>
      <c r="F38" s="12" t="s">
        <v>103</v>
      </c>
      <c r="G38" s="68">
        <v>81.81</v>
      </c>
      <c r="H38" s="105">
        <v>-3.1292018090697989E-2</v>
      </c>
      <c r="J38" s="23" t="s">
        <v>104</v>
      </c>
      <c r="K38" s="26" t="s">
        <v>55</v>
      </c>
      <c r="L38" s="8">
        <v>3695.98</v>
      </c>
      <c r="M38" s="8">
        <v>3714.3</v>
      </c>
      <c r="N38" s="8">
        <v>18.32</v>
      </c>
      <c r="O38" s="108">
        <v>4.9567367788787182E-3</v>
      </c>
    </row>
    <row r="39" spans="2:15" ht="16" thickBot="1" x14ac:dyDescent="0.25">
      <c r="B39" s="23" t="s">
        <v>105</v>
      </c>
      <c r="C39" s="53" t="s">
        <v>200</v>
      </c>
      <c r="F39" s="42" t="s">
        <v>107</v>
      </c>
      <c r="G39" s="102">
        <v>78.069999999999993</v>
      </c>
      <c r="H39" s="63">
        <v>1.5114640707057857E-2</v>
      </c>
      <c r="J39" s="42"/>
      <c r="K39" s="81" t="s">
        <v>96</v>
      </c>
      <c r="L39" s="82">
        <v>1.21</v>
      </c>
      <c r="M39" s="82">
        <v>1.24</v>
      </c>
      <c r="N39" s="82">
        <v>0.03</v>
      </c>
      <c r="O39" s="109">
        <v>2.4793388429752088E-2</v>
      </c>
    </row>
    <row r="40" spans="2:15" ht="16" thickBot="1" x14ac:dyDescent="0.25">
      <c r="B40" s="42" t="s">
        <v>108</v>
      </c>
      <c r="C40" s="103" t="s">
        <v>201</v>
      </c>
    </row>
    <row r="41" spans="2:15" x14ac:dyDescent="0.2">
      <c r="F41" s="12" t="s">
        <v>110</v>
      </c>
      <c r="G41" s="15"/>
      <c r="H41" s="76" t="s">
        <v>202</v>
      </c>
    </row>
    <row r="42" spans="2:15" ht="16" thickBot="1" x14ac:dyDescent="0.25">
      <c r="F42" s="42" t="s">
        <v>112</v>
      </c>
      <c r="G42" s="21"/>
      <c r="H42" s="103" t="s">
        <v>203</v>
      </c>
    </row>
    <row r="43" spans="2:15" ht="19.5" customHeight="1" thickBot="1" x14ac:dyDescent="0.25"/>
    <row r="44" spans="2:15" ht="18" customHeight="1" x14ac:dyDescent="0.2">
      <c r="B44" s="12" t="s">
        <v>113</v>
      </c>
      <c r="C44" s="68" t="s">
        <v>114</v>
      </c>
      <c r="D44" s="107">
        <v>0.56000000000000005</v>
      </c>
      <c r="F44" s="12" t="s">
        <v>115</v>
      </c>
      <c r="G44" s="68" t="s">
        <v>204</v>
      </c>
      <c r="H44" s="105">
        <v>0.53200000000000003</v>
      </c>
      <c r="J44" s="152" t="s">
        <v>205</v>
      </c>
      <c r="K44" s="153"/>
      <c r="L44" s="153"/>
      <c r="M44" s="153"/>
      <c r="N44" s="153"/>
      <c r="O44" s="154"/>
    </row>
    <row r="45" spans="2:15" x14ac:dyDescent="0.2">
      <c r="B45" s="87"/>
      <c r="C45" s="8" t="s">
        <v>156</v>
      </c>
      <c r="D45" s="99">
        <v>0.16200000000000001</v>
      </c>
      <c r="F45" s="87"/>
      <c r="G45" s="8" t="s">
        <v>206</v>
      </c>
      <c r="H45" s="54">
        <v>0.307</v>
      </c>
      <c r="J45" s="155"/>
      <c r="K45" s="151"/>
      <c r="L45" s="151"/>
      <c r="M45" s="151"/>
      <c r="N45" s="151"/>
      <c r="O45" s="156"/>
    </row>
    <row r="46" spans="2:15" x14ac:dyDescent="0.2">
      <c r="B46" s="87"/>
      <c r="C46" s="8" t="s">
        <v>207</v>
      </c>
      <c r="D46" s="110">
        <v>0.106</v>
      </c>
      <c r="F46" s="87"/>
      <c r="G46" s="8">
        <v>1375</v>
      </c>
      <c r="H46" s="54">
        <v>0</v>
      </c>
      <c r="J46" s="155"/>
      <c r="K46" s="151"/>
      <c r="L46" s="151"/>
      <c r="M46" s="151"/>
      <c r="N46" s="151"/>
      <c r="O46" s="156"/>
    </row>
    <row r="47" spans="2:15" ht="25.5" customHeight="1" thickBot="1" x14ac:dyDescent="0.25">
      <c r="B47" s="91"/>
      <c r="C47" s="102" t="s">
        <v>208</v>
      </c>
      <c r="D47" s="80">
        <v>9.0999999999999998E-2</v>
      </c>
      <c r="F47" s="91"/>
      <c r="G47" s="102">
        <v>1109</v>
      </c>
      <c r="H47" s="63">
        <v>0</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9" priority="5" operator="lessThan">
      <formula>0</formula>
    </cfRule>
    <cfRule type="cellIs" dxfId="18" priority="6" operator="greaterThan">
      <formula>0</formula>
    </cfRule>
  </conditionalFormatting>
  <conditionalFormatting sqref="O33:O39">
    <cfRule type="cellIs" dxfId="17" priority="3" operator="lessThan">
      <formula>0</formula>
    </cfRule>
    <cfRule type="cellIs" dxfId="16"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3BF31-DA20-4BAA-97E3-4470981DEB3E}">
  <sheetPr codeName="Sheet8"/>
  <dimension ref="B1:AE370"/>
  <sheetViews>
    <sheetView zoomScaleNormal="100" workbookViewId="0">
      <selection activeCell="Y62" sqref="Y62"/>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14</v>
      </c>
      <c r="G2" s="10" t="s">
        <v>209</v>
      </c>
      <c r="H2" s="11"/>
      <c r="Q2" s="6">
        <f>LEN([1]Summary!$C$1)</f>
        <v>27</v>
      </c>
    </row>
    <row r="3" spans="2:31" ht="16" thickBot="1" x14ac:dyDescent="0.25"/>
    <row r="4" spans="2:31" x14ac:dyDescent="0.2">
      <c r="B4" s="12" t="s">
        <v>26</v>
      </c>
      <c r="C4" s="13">
        <v>21.16</v>
      </c>
      <c r="D4" s="14"/>
      <c r="E4" s="15"/>
      <c r="F4" s="15"/>
      <c r="G4" s="15"/>
      <c r="H4" s="16"/>
      <c r="J4" s="17">
        <v>43691</v>
      </c>
      <c r="K4" s="15" t="s">
        <v>187</v>
      </c>
      <c r="L4" s="15"/>
      <c r="M4" s="15"/>
      <c r="N4" s="16"/>
    </row>
    <row r="5" spans="2:31" ht="16" thickBot="1" x14ac:dyDescent="0.25">
      <c r="B5" s="18"/>
      <c r="C5" s="7"/>
      <c r="D5" s="7"/>
      <c r="H5" s="19"/>
      <c r="J5" s="20">
        <v>43721</v>
      </c>
      <c r="K5" s="21" t="s">
        <v>27</v>
      </c>
      <c r="L5" s="21"/>
      <c r="M5" s="21"/>
      <c r="N5" s="22"/>
    </row>
    <row r="6" spans="2:31" ht="16" thickBot="1" x14ac:dyDescent="0.25">
      <c r="B6" s="23" t="s">
        <v>29</v>
      </c>
      <c r="C6" s="24">
        <v>32.740001678466797</v>
      </c>
      <c r="D6" s="25">
        <v>-0.35369581810629536</v>
      </c>
      <c r="E6" s="26" t="s">
        <v>30</v>
      </c>
      <c r="F6" s="27" t="s">
        <v>210</v>
      </c>
      <c r="G6" s="26" t="s">
        <v>31</v>
      </c>
      <c r="H6" s="28">
        <v>1.8241379310344827</v>
      </c>
      <c r="L6" s="29"/>
      <c r="M6" s="30"/>
    </row>
    <row r="7" spans="2:31" x14ac:dyDescent="0.2">
      <c r="B7" s="23" t="s">
        <v>32</v>
      </c>
      <c r="C7" s="24">
        <v>20.700000762939453</v>
      </c>
      <c r="D7" s="25">
        <v>2.2222184546201239E-2</v>
      </c>
      <c r="E7" s="26" t="s">
        <v>33</v>
      </c>
      <c r="F7" s="7" t="s">
        <v>211</v>
      </c>
      <c r="G7" s="26" t="s">
        <v>34</v>
      </c>
      <c r="H7" s="31">
        <v>0.21199999999999999</v>
      </c>
      <c r="L7" s="32"/>
      <c r="M7" s="30"/>
      <c r="N7" s="2"/>
      <c r="R7" s="12" t="s">
        <v>35</v>
      </c>
      <c r="S7" s="15"/>
      <c r="T7" s="33"/>
    </row>
    <row r="8" spans="2:31" x14ac:dyDescent="0.2">
      <c r="B8" s="23" t="s">
        <v>36</v>
      </c>
      <c r="C8" s="34">
        <v>-0.23050000000000001</v>
      </c>
      <c r="D8" s="35"/>
      <c r="E8" s="26" t="s">
        <v>19</v>
      </c>
      <c r="F8" s="7"/>
      <c r="G8" s="26" t="s">
        <v>4</v>
      </c>
      <c r="H8" s="19" t="s">
        <v>130</v>
      </c>
      <c r="R8" s="36" t="s">
        <v>37</v>
      </c>
      <c r="T8" s="37"/>
    </row>
    <row r="9" spans="2:31" x14ac:dyDescent="0.2">
      <c r="B9" s="23" t="s">
        <v>38</v>
      </c>
      <c r="C9" s="8">
        <v>16903</v>
      </c>
      <c r="D9" s="7"/>
      <c r="E9" s="26" t="s">
        <v>39</v>
      </c>
      <c r="F9" s="7">
        <v>0.62</v>
      </c>
      <c r="G9" s="26" t="s">
        <v>23</v>
      </c>
      <c r="H9" s="19" t="s">
        <v>24</v>
      </c>
      <c r="R9" s="36" t="s">
        <v>41</v>
      </c>
      <c r="T9" s="37"/>
    </row>
    <row r="10" spans="2:31" x14ac:dyDescent="0.2">
      <c r="B10" s="23" t="s">
        <v>11</v>
      </c>
      <c r="C10" s="38">
        <v>29730</v>
      </c>
      <c r="D10" s="8">
        <v>12827</v>
      </c>
      <c r="E10" s="26" t="s">
        <v>42</v>
      </c>
      <c r="F10" s="35">
        <v>2.9300567107750471E-2</v>
      </c>
      <c r="G10" s="26" t="s">
        <v>5</v>
      </c>
      <c r="H10" s="19" t="s">
        <v>212</v>
      </c>
      <c r="R10" s="36" t="s">
        <v>43</v>
      </c>
      <c r="T10" s="37"/>
    </row>
    <row r="11" spans="2:31" ht="16" thickBot="1" x14ac:dyDescent="0.25">
      <c r="B11" s="23" t="s">
        <v>44</v>
      </c>
      <c r="C11" s="24">
        <v>5.0975337255372386</v>
      </c>
      <c r="D11" s="7"/>
      <c r="E11" s="26" t="s">
        <v>9</v>
      </c>
      <c r="F11" s="24">
        <v>0.8399999737739563</v>
      </c>
      <c r="G11" s="26" t="s">
        <v>45</v>
      </c>
      <c r="H11" s="39" t="s">
        <v>213</v>
      </c>
      <c r="R11" s="40" t="s">
        <v>47</v>
      </c>
      <c r="S11" s="21"/>
      <c r="T11" s="41"/>
    </row>
    <row r="12" spans="2:31" ht="15.75" customHeight="1" thickBot="1" x14ac:dyDescent="0.25">
      <c r="B12" s="42" t="s">
        <v>48</v>
      </c>
      <c r="C12" s="43" t="s">
        <v>214</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215</v>
      </c>
      <c r="L15" s="51" t="s">
        <v>216</v>
      </c>
      <c r="M15" s="51" t="s">
        <v>217</v>
      </c>
      <c r="N15" s="51" t="s">
        <v>218</v>
      </c>
      <c r="O15" s="52" t="s">
        <v>54</v>
      </c>
      <c r="AA15" s="6" t="s">
        <v>26</v>
      </c>
      <c r="AB15" s="6">
        <v>383.3</v>
      </c>
      <c r="AC15" s="6">
        <v>88.27</v>
      </c>
      <c r="AD15" s="6">
        <v>27.19</v>
      </c>
      <c r="AE15" s="6">
        <v>38.64</v>
      </c>
    </row>
    <row r="16" spans="2:31" x14ac:dyDescent="0.2">
      <c r="B16" s="23" t="s">
        <v>55</v>
      </c>
      <c r="C16" s="8">
        <v>115337</v>
      </c>
      <c r="D16" s="8">
        <v>122662</v>
      </c>
      <c r="E16" s="8">
        <v>121162</v>
      </c>
      <c r="F16" s="8">
        <v>123008</v>
      </c>
      <c r="G16" s="8">
        <v>126176</v>
      </c>
      <c r="H16" s="53">
        <v>130035</v>
      </c>
      <c r="J16" s="23" t="s">
        <v>38</v>
      </c>
      <c r="K16" s="8">
        <v>12019</v>
      </c>
      <c r="L16" s="8">
        <v>8055</v>
      </c>
      <c r="M16" s="8">
        <v>6076</v>
      </c>
      <c r="N16" s="8"/>
      <c r="O16" s="53">
        <v>9442.5</v>
      </c>
      <c r="AA16" s="6" t="s">
        <v>38</v>
      </c>
      <c r="AB16" s="6">
        <v>191403</v>
      </c>
      <c r="AC16" s="6">
        <v>35478</v>
      </c>
      <c r="AD16" s="6">
        <v>11620</v>
      </c>
      <c r="AE16" s="6" t="s">
        <v>56</v>
      </c>
    </row>
    <row r="17" spans="2:31" ht="15" customHeight="1" x14ac:dyDescent="0.2">
      <c r="B17" s="23" t="s">
        <v>57</v>
      </c>
      <c r="C17" s="8"/>
      <c r="D17" s="98">
        <v>6.3509541604168648E-2</v>
      </c>
      <c r="E17" s="98">
        <v>-1.2228726092840489E-2</v>
      </c>
      <c r="F17" s="98">
        <v>1.5235800003301365E-2</v>
      </c>
      <c r="G17" s="98">
        <v>2.5754422476586887E-2</v>
      </c>
      <c r="H17" s="99">
        <v>3.0584263251331473E-2</v>
      </c>
      <c r="J17" s="23" t="s">
        <v>11</v>
      </c>
      <c r="K17" s="8">
        <v>12294</v>
      </c>
      <c r="L17" s="8">
        <v>7582</v>
      </c>
      <c r="M17" s="8">
        <v>11601</v>
      </c>
      <c r="N17" s="8"/>
      <c r="O17" s="53">
        <v>10809.25</v>
      </c>
      <c r="AA17" s="6" t="s">
        <v>11</v>
      </c>
      <c r="AB17" s="4">
        <v>192879</v>
      </c>
      <c r="AC17" s="6">
        <v>37143</v>
      </c>
      <c r="AD17" s="6">
        <v>11760</v>
      </c>
      <c r="AE17" s="6" t="s">
        <v>58</v>
      </c>
    </row>
    <row r="18" spans="2:31" ht="15" customHeight="1" x14ac:dyDescent="0.2">
      <c r="B18" s="23" t="s">
        <v>59</v>
      </c>
      <c r="C18" s="8">
        <v>5887</v>
      </c>
      <c r="D18" s="8">
        <v>5867</v>
      </c>
      <c r="E18" s="8">
        <v>5079</v>
      </c>
      <c r="F18" s="8">
        <v>5394</v>
      </c>
      <c r="G18" s="8">
        <v>5524</v>
      </c>
      <c r="H18" s="53">
        <v>5596</v>
      </c>
      <c r="J18" s="23" t="s">
        <v>60</v>
      </c>
      <c r="K18" s="55">
        <v>-17.947154471544714</v>
      </c>
      <c r="L18" s="55">
        <v>62.962962962962962</v>
      </c>
      <c r="M18" s="55"/>
      <c r="N18" s="55"/>
      <c r="O18" s="56">
        <f>AVERAGE(K18:N18)</f>
        <v>22.507904245709124</v>
      </c>
      <c r="AA18" s="6" t="s">
        <v>61</v>
      </c>
      <c r="AB18" s="4">
        <v>16</v>
      </c>
      <c r="AD18" s="6">
        <v>0.49</v>
      </c>
      <c r="AE18" s="6">
        <v>1.54</v>
      </c>
    </row>
    <row r="19" spans="2:31" ht="15" customHeight="1" x14ac:dyDescent="0.2">
      <c r="B19" s="23" t="s">
        <v>62</v>
      </c>
      <c r="C19" s="25">
        <v>5.104172988720012E-2</v>
      </c>
      <c r="D19" s="25">
        <v>4.7830623991130097E-2</v>
      </c>
      <c r="E19" s="25">
        <v>4.1919083541044219E-2</v>
      </c>
      <c r="F19" s="25">
        <v>4.3850806451612906E-2</v>
      </c>
      <c r="G19" s="25">
        <v>4.3780116662439764E-2</v>
      </c>
      <c r="H19" s="59">
        <v>4.3034567616410967E-2</v>
      </c>
      <c r="J19" s="23" t="s">
        <v>63</v>
      </c>
      <c r="K19" s="55">
        <v>-37.367781155015194</v>
      </c>
      <c r="L19" s="55">
        <v>38.683673469387756</v>
      </c>
      <c r="M19" s="55"/>
      <c r="N19" s="55"/>
      <c r="O19" s="56">
        <f t="shared" ref="O19:O25" si="0">AVERAGE(K19:N19)</f>
        <v>0.6579461571862808</v>
      </c>
      <c r="AA19" s="6" t="s">
        <v>64</v>
      </c>
      <c r="AB19" s="6">
        <v>13603</v>
      </c>
      <c r="AC19" s="4" t="s">
        <v>65</v>
      </c>
      <c r="AD19" s="6">
        <v>425</v>
      </c>
      <c r="AE19" s="6">
        <v>576</v>
      </c>
    </row>
    <row r="20" spans="2:31" ht="15" customHeight="1" x14ac:dyDescent="0.2">
      <c r="B20" s="23" t="s">
        <v>66</v>
      </c>
      <c r="C20" s="8">
        <v>3547</v>
      </c>
      <c r="D20" s="8">
        <v>3412</v>
      </c>
      <c r="E20" s="8">
        <v>2614</v>
      </c>
      <c r="F20" s="8">
        <v>2821</v>
      </c>
      <c r="G20" s="8">
        <v>2920</v>
      </c>
      <c r="H20" s="53">
        <v>2946</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2">
      <c r="B21" s="23" t="s">
        <v>69</v>
      </c>
      <c r="C21" s="25">
        <v>3.0753357552216549E-2</v>
      </c>
      <c r="D21" s="25">
        <v>2.7816275619181166E-2</v>
      </c>
      <c r="E21" s="25">
        <v>2.1574421023093048E-2</v>
      </c>
      <c r="F21" s="25">
        <v>2.2933467741935484E-2</v>
      </c>
      <c r="G21" s="25">
        <v>2.3142277453715446E-2</v>
      </c>
      <c r="H21" s="59">
        <v>2.2655438920290691E-2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2">
      <c r="B22" s="23" t="s">
        <v>72</v>
      </c>
      <c r="C22" s="8">
        <v>1975</v>
      </c>
      <c r="D22" s="8">
        <v>1907</v>
      </c>
      <c r="E22" s="8">
        <v>3110</v>
      </c>
      <c r="F22" s="8">
        <v>1823</v>
      </c>
      <c r="G22" s="8">
        <v>1830</v>
      </c>
      <c r="H22" s="53">
        <v>1844</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2">
      <c r="B23" s="23" t="s">
        <v>74</v>
      </c>
      <c r="C23" s="25">
        <v>1.7123733060509638E-2</v>
      </c>
      <c r="D23" s="25">
        <v>1.5546787106031208E-2</v>
      </c>
      <c r="E23" s="25">
        <v>2.5668113765041845E-2</v>
      </c>
      <c r="F23" s="25">
        <v>1.482017429760666E-2</v>
      </c>
      <c r="G23" s="25">
        <v>1.45035505959929E-2</v>
      </c>
      <c r="H23" s="59">
        <v>1.4180797477602184E-2</v>
      </c>
      <c r="J23" s="23" t="s">
        <v>62</v>
      </c>
      <c r="K23" s="25">
        <v>-3.5788099641031218E-2</v>
      </c>
      <c r="L23" s="25">
        <v>0.24716267339218159</v>
      </c>
      <c r="M23" s="25"/>
      <c r="N23" s="25"/>
      <c r="O23" s="59">
        <f t="shared" si="0"/>
        <v>0.10568728687557519</v>
      </c>
      <c r="AA23" s="6" t="s">
        <v>75</v>
      </c>
      <c r="AB23" s="6">
        <f>IF(AB21&lt;&gt;0,AB19/AB21,"")</f>
        <v>0.25364061829911805</v>
      </c>
      <c r="AC23" s="6" t="e">
        <f t="shared" ref="AC23:AE23" si="1">IF(AC21&lt;&gt;0,AC19/AC21,"")</f>
        <v>#VALUE!</v>
      </c>
      <c r="AD23" s="6">
        <f t="shared" si="1"/>
        <v>7.9025660096690223E-2</v>
      </c>
      <c r="AE23" s="6">
        <f t="shared" si="1"/>
        <v>0.3507917174177832</v>
      </c>
    </row>
    <row r="24" spans="2:31" ht="15" customHeight="1" x14ac:dyDescent="0.2">
      <c r="B24" s="23"/>
      <c r="C24" s="8"/>
      <c r="D24" s="100">
        <v>-3.4430379746835445E-2</v>
      </c>
      <c r="E24" s="100">
        <v>0.6308337703198742</v>
      </c>
      <c r="F24" s="100">
        <v>-0.41382636655948551</v>
      </c>
      <c r="G24" s="100">
        <v>3.8398244651673065E-3</v>
      </c>
      <c r="H24" s="101">
        <v>7.6502732240437158E-3</v>
      </c>
      <c r="J24" s="23" t="s">
        <v>69</v>
      </c>
      <c r="K24" s="25">
        <v>-5.5585771782878275E-2</v>
      </c>
      <c r="L24" s="25">
        <v>0.1424968474148802</v>
      </c>
      <c r="M24" s="25"/>
      <c r="N24" s="25"/>
      <c r="O24" s="59">
        <f t="shared" si="0"/>
        <v>4.3455537816000964E-2</v>
      </c>
      <c r="AA24" s="6" t="s">
        <v>76</v>
      </c>
      <c r="AB24" s="6">
        <f>IF(AB21&lt;&gt;0,AB20/AB21,"")</f>
        <v>0.21241446178516157</v>
      </c>
      <c r="AC24" s="6" t="e">
        <f t="shared" ref="AC24:AE24" si="2">IF(AC21&lt;&gt;0,AC20/AC21,"")</f>
        <v>#VALUE!</v>
      </c>
      <c r="AD24" s="6">
        <f t="shared" si="2"/>
        <v>4.3510598735589441E-2</v>
      </c>
      <c r="AE24" s="6">
        <f t="shared" si="2"/>
        <v>0.30146163215590743</v>
      </c>
    </row>
    <row r="25" spans="2:31" ht="15" customHeight="1" x14ac:dyDescent="0.2">
      <c r="B25" s="23" t="s">
        <v>77</v>
      </c>
      <c r="C25" s="8" t="s">
        <v>219</v>
      </c>
      <c r="D25" s="8" t="s">
        <v>145</v>
      </c>
      <c r="E25" s="8" t="s">
        <v>210</v>
      </c>
      <c r="F25" s="8" t="s">
        <v>211</v>
      </c>
      <c r="G25" s="8" t="s">
        <v>220</v>
      </c>
      <c r="H25" s="53" t="s">
        <v>221</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2">
      <c r="B26" s="23" t="s">
        <v>86</v>
      </c>
      <c r="C26" s="8">
        <v>2.0499999999999998</v>
      </c>
      <c r="D26" s="8">
        <v>2.09</v>
      </c>
      <c r="E26" s="8">
        <v>3.76</v>
      </c>
      <c r="F26" s="8">
        <v>2.31</v>
      </c>
      <c r="G26" s="8">
        <v>2.35</v>
      </c>
      <c r="H26" s="53">
        <v>2.7</v>
      </c>
      <c r="J26" s="23" t="s">
        <v>87</v>
      </c>
      <c r="K26" s="35"/>
      <c r="L26" s="35"/>
      <c r="M26" s="35"/>
      <c r="N26" s="35"/>
      <c r="O26" s="54"/>
      <c r="AA26" s="6" t="s">
        <v>88</v>
      </c>
      <c r="AB26" s="6">
        <v>7.62</v>
      </c>
      <c r="AC26" s="6">
        <v>2.13</v>
      </c>
      <c r="AD26" s="6" t="s">
        <v>40</v>
      </c>
      <c r="AE26" s="6">
        <v>0.52</v>
      </c>
    </row>
    <row r="27" spans="2:31" ht="15" customHeight="1" thickBot="1" x14ac:dyDescent="0.25">
      <c r="B27" s="23" t="s">
        <v>57</v>
      </c>
      <c r="C27" s="8"/>
      <c r="D27" s="100">
        <v>1.9512195121951237E-2</v>
      </c>
      <c r="E27" s="100">
        <v>0.799043062200957</v>
      </c>
      <c r="F27" s="100">
        <v>-0.38563829787234039</v>
      </c>
      <c r="G27" s="100">
        <v>1.731601731601733E-2</v>
      </c>
      <c r="H27" s="101">
        <v>0.14893617021276598</v>
      </c>
      <c r="J27" s="42" t="s">
        <v>34</v>
      </c>
      <c r="K27" s="44" t="s">
        <v>175</v>
      </c>
      <c r="L27" s="44">
        <v>0.27700000000000002</v>
      </c>
      <c r="M27" s="44">
        <v>0.121</v>
      </c>
      <c r="N27" s="44"/>
      <c r="O27" s="63">
        <v>0.15713333333333335</v>
      </c>
      <c r="AA27" s="6" t="s">
        <v>34</v>
      </c>
      <c r="AB27" s="64">
        <v>0.21</v>
      </c>
      <c r="AC27" s="30">
        <v>0.29399999999999998</v>
      </c>
      <c r="AD27" s="30">
        <v>7.3400000000000007E-2</v>
      </c>
      <c r="AE27" s="30">
        <v>0.29499999999999998</v>
      </c>
    </row>
    <row r="28" spans="2:31" ht="15" customHeight="1" x14ac:dyDescent="0.2">
      <c r="B28" s="23" t="s">
        <v>63</v>
      </c>
      <c r="C28" s="8">
        <v>5.0501104127739085</v>
      </c>
      <c r="D28" s="8">
        <v>5.0673257201295385</v>
      </c>
      <c r="E28" s="8">
        <v>5.8535144713526286</v>
      </c>
      <c r="F28" s="8">
        <v>5.5116796440489431</v>
      </c>
      <c r="G28" s="8">
        <v>5.3819695872556119</v>
      </c>
      <c r="H28" s="53">
        <v>5.3127233738384563</v>
      </c>
    </row>
    <row r="29" spans="2:31" ht="15" customHeight="1" x14ac:dyDescent="0.2">
      <c r="B29" s="23" t="s">
        <v>67</v>
      </c>
      <c r="C29" s="8">
        <v>8.3817310403157599</v>
      </c>
      <c r="D29" s="8">
        <v>8.7133645955451353</v>
      </c>
      <c r="E29" s="8">
        <v>11.373374139250192</v>
      </c>
      <c r="F29" s="8">
        <v>10.538816022686991</v>
      </c>
      <c r="G29" s="8">
        <v>10.181506849315069</v>
      </c>
      <c r="H29" s="53">
        <v>10.091649694501019</v>
      </c>
    </row>
    <row r="30" spans="2:31" ht="15" customHeight="1" thickBot="1" x14ac:dyDescent="0.25">
      <c r="B30" s="42" t="s">
        <v>70</v>
      </c>
      <c r="C30" s="65">
        <v>0.25776637158934251</v>
      </c>
      <c r="D30" s="65">
        <v>1.2078615334843092</v>
      </c>
      <c r="E30" s="102">
        <v>0.24537396213334214</v>
      </c>
      <c r="F30" s="102">
        <v>0.24169159729448492</v>
      </c>
      <c r="G30" s="102">
        <v>0.23562325640375348</v>
      </c>
      <c r="H30" s="103">
        <v>0.22863075325873802</v>
      </c>
      <c r="J30" s="2" t="s">
        <v>89</v>
      </c>
    </row>
    <row r="31" spans="2:31" ht="16" thickBot="1" x14ac:dyDescent="0.25">
      <c r="J31" s="50"/>
      <c r="K31" s="67"/>
      <c r="L31" s="48" t="s">
        <v>90</v>
      </c>
      <c r="M31" s="48" t="s">
        <v>91</v>
      </c>
      <c r="N31" s="48" t="s">
        <v>92</v>
      </c>
      <c r="O31" s="52" t="s">
        <v>93</v>
      </c>
    </row>
    <row r="32" spans="2:31" x14ac:dyDescent="0.2">
      <c r="B32" s="12" t="s">
        <v>94</v>
      </c>
      <c r="C32" s="68">
        <v>13755</v>
      </c>
      <c r="D32" s="68">
        <v>15242</v>
      </c>
      <c r="E32" s="68">
        <v>14800</v>
      </c>
      <c r="F32" s="68">
        <v>13158</v>
      </c>
      <c r="G32" s="68">
        <v>12828</v>
      </c>
      <c r="H32" s="76">
        <v>12874</v>
      </c>
      <c r="J32" s="23" t="s">
        <v>95</v>
      </c>
      <c r="K32" s="26" t="s">
        <v>55</v>
      </c>
      <c r="L32" s="8">
        <v>37207.4</v>
      </c>
      <c r="M32" s="8">
        <v>37251</v>
      </c>
      <c r="N32" s="8">
        <v>43.62</v>
      </c>
      <c r="O32" s="71">
        <v>0.12</v>
      </c>
    </row>
    <row r="33" spans="2:15" x14ac:dyDescent="0.2">
      <c r="B33" s="23" t="s">
        <v>59</v>
      </c>
      <c r="C33" s="8">
        <v>81</v>
      </c>
      <c r="D33" s="8">
        <v>149</v>
      </c>
      <c r="E33" s="8">
        <v>5079</v>
      </c>
      <c r="F33" s="8">
        <v>5394</v>
      </c>
      <c r="G33" s="8">
        <v>5524</v>
      </c>
      <c r="H33" s="53">
        <v>5596</v>
      </c>
      <c r="J33" s="23"/>
      <c r="K33" s="26" t="s">
        <v>96</v>
      </c>
      <c r="L33" s="7">
        <v>0.71</v>
      </c>
      <c r="M33" s="7">
        <v>0.72</v>
      </c>
      <c r="N33" s="7">
        <v>0.01</v>
      </c>
      <c r="O33" s="71">
        <v>1.02</v>
      </c>
    </row>
    <row r="34" spans="2:15" x14ac:dyDescent="0.2">
      <c r="B34" s="23" t="s">
        <v>97</v>
      </c>
      <c r="C34" s="24">
        <v>169.81481481481481</v>
      </c>
      <c r="D34" s="24">
        <v>102.29530201342281</v>
      </c>
      <c r="E34" s="24">
        <v>2.9139594408348102</v>
      </c>
      <c r="F34" s="24">
        <v>2.4393770856507229</v>
      </c>
      <c r="G34" s="24">
        <v>2.3222302679217957</v>
      </c>
      <c r="H34" s="28">
        <v>2.3005718370264474</v>
      </c>
      <c r="J34" s="23" t="s">
        <v>98</v>
      </c>
      <c r="K34" s="26" t="s">
        <v>55</v>
      </c>
      <c r="L34" s="8">
        <v>28380.1</v>
      </c>
      <c r="M34" s="8">
        <v>28091</v>
      </c>
      <c r="N34" s="8">
        <v>289.05</v>
      </c>
      <c r="O34" s="71">
        <v>1.02</v>
      </c>
    </row>
    <row r="35" spans="2:15" x14ac:dyDescent="0.2">
      <c r="B35" s="23" t="s">
        <v>99</v>
      </c>
      <c r="C35" s="72">
        <v>4.46</v>
      </c>
      <c r="D35" s="72">
        <v>3.78</v>
      </c>
      <c r="E35" s="72">
        <v>5.09</v>
      </c>
      <c r="F35" s="72">
        <v>5.56</v>
      </c>
      <c r="G35" s="72">
        <v>5.94</v>
      </c>
      <c r="H35" s="73">
        <v>6.03</v>
      </c>
      <c r="J35" s="23"/>
      <c r="K35" s="26" t="s">
        <v>96</v>
      </c>
      <c r="L35" s="7">
        <v>0.52</v>
      </c>
      <c r="M35" s="7">
        <v>0.48</v>
      </c>
      <c r="N35" s="7">
        <v>0.04</v>
      </c>
      <c r="O35" s="71">
        <v>8.36</v>
      </c>
    </row>
    <row r="36" spans="2:15" ht="16" thickBot="1" x14ac:dyDescent="0.25">
      <c r="B36" s="42" t="s">
        <v>100</v>
      </c>
      <c r="C36" s="74">
        <v>7.3</v>
      </c>
      <c r="D36" s="74">
        <v>7.94</v>
      </c>
      <c r="E36" s="74">
        <v>9.82</v>
      </c>
      <c r="F36" s="74">
        <v>11.6</v>
      </c>
      <c r="G36" s="74">
        <v>13.1</v>
      </c>
      <c r="H36" s="75">
        <v>14.9</v>
      </c>
      <c r="J36" s="23" t="s">
        <v>101</v>
      </c>
      <c r="K36" s="26" t="s">
        <v>55</v>
      </c>
      <c r="L36" s="8">
        <v>27655.1</v>
      </c>
      <c r="M36" s="8">
        <v>27672</v>
      </c>
      <c r="N36" s="8">
        <v>16.87</v>
      </c>
      <c r="O36" s="71">
        <v>0.06</v>
      </c>
    </row>
    <row r="37" spans="2:15" ht="16" thickBot="1" x14ac:dyDescent="0.25">
      <c r="J37" s="23"/>
      <c r="K37" s="26" t="s">
        <v>96</v>
      </c>
      <c r="L37" s="7">
        <v>0.43</v>
      </c>
      <c r="M37" s="7">
        <v>0.48</v>
      </c>
      <c r="N37" s="7">
        <v>0.05</v>
      </c>
      <c r="O37" s="71">
        <v>11.19</v>
      </c>
    </row>
    <row r="38" spans="2:15" x14ac:dyDescent="0.2">
      <c r="B38" s="12" t="s">
        <v>102</v>
      </c>
      <c r="C38" s="76">
        <v>10411302</v>
      </c>
      <c r="F38" s="12" t="s">
        <v>103</v>
      </c>
      <c r="G38" s="68">
        <v>22.19</v>
      </c>
      <c r="H38" s="105">
        <v>-4.6417305092384002E-2</v>
      </c>
      <c r="J38" s="23" t="s">
        <v>104</v>
      </c>
      <c r="K38" s="26" t="s">
        <v>55</v>
      </c>
      <c r="L38" s="8">
        <v>27952.9</v>
      </c>
      <c r="M38" s="8">
        <v>27869</v>
      </c>
      <c r="N38" s="8">
        <v>83.89</v>
      </c>
      <c r="O38" s="71">
        <v>0.3</v>
      </c>
    </row>
    <row r="39" spans="2:15" ht="16" thickBot="1" x14ac:dyDescent="0.25">
      <c r="B39" s="23" t="s">
        <v>105</v>
      </c>
      <c r="C39" s="53" t="s">
        <v>222</v>
      </c>
      <c r="F39" s="42" t="s">
        <v>107</v>
      </c>
      <c r="G39" s="102">
        <v>25.05</v>
      </c>
      <c r="H39" s="63">
        <v>-0.15528942115768465</v>
      </c>
      <c r="J39" s="42"/>
      <c r="K39" s="81" t="s">
        <v>96</v>
      </c>
      <c r="L39" s="82">
        <v>0.38</v>
      </c>
      <c r="M39" s="82">
        <v>0.41</v>
      </c>
      <c r="N39" s="82">
        <v>0.03</v>
      </c>
      <c r="O39" s="83">
        <v>8.52</v>
      </c>
    </row>
    <row r="40" spans="2:15" ht="16" thickBot="1" x14ac:dyDescent="0.25">
      <c r="B40" s="42" t="s">
        <v>108</v>
      </c>
      <c r="C40" s="103" t="s">
        <v>223</v>
      </c>
    </row>
    <row r="41" spans="2:15" x14ac:dyDescent="0.2">
      <c r="F41" s="12" t="s">
        <v>110</v>
      </c>
      <c r="G41" s="15"/>
      <c r="H41" s="76" t="s">
        <v>224</v>
      </c>
    </row>
    <row r="42" spans="2:15" ht="16" thickBot="1" x14ac:dyDescent="0.25">
      <c r="F42" s="42" t="s">
        <v>112</v>
      </c>
      <c r="G42" s="21"/>
      <c r="H42" s="103" t="s">
        <v>225</v>
      </c>
    </row>
    <row r="43" spans="2:15" ht="19.5" customHeight="1" thickBot="1" x14ac:dyDescent="0.25"/>
    <row r="44" spans="2:15" ht="18" customHeight="1" x14ac:dyDescent="0.2">
      <c r="B44" s="12" t="s">
        <v>113</v>
      </c>
      <c r="C44" s="68" t="s">
        <v>114</v>
      </c>
      <c r="D44" s="107">
        <v>1</v>
      </c>
      <c r="F44" s="12" t="s">
        <v>115</v>
      </c>
      <c r="G44" s="68" t="s">
        <v>226</v>
      </c>
      <c r="H44" s="105">
        <v>0.52200000000000002</v>
      </c>
      <c r="J44" s="152" t="s">
        <v>227</v>
      </c>
      <c r="K44" s="153"/>
      <c r="L44" s="153"/>
      <c r="M44" s="153"/>
      <c r="N44" s="153"/>
      <c r="O44" s="154"/>
    </row>
    <row r="45" spans="2:15" x14ac:dyDescent="0.2">
      <c r="B45" s="87"/>
      <c r="C45" s="8"/>
      <c r="D45" s="99"/>
      <c r="F45" s="87"/>
      <c r="G45" s="8" t="s">
        <v>228</v>
      </c>
      <c r="H45" s="54">
        <v>0.24</v>
      </c>
      <c r="J45" s="155"/>
      <c r="K45" s="151"/>
      <c r="L45" s="151"/>
      <c r="M45" s="151"/>
      <c r="N45" s="151"/>
      <c r="O45" s="156"/>
    </row>
    <row r="46" spans="2:15" x14ac:dyDescent="0.2">
      <c r="B46" s="87"/>
      <c r="C46" s="8"/>
      <c r="D46" s="53"/>
      <c r="F46" s="87"/>
      <c r="G46" s="8" t="s">
        <v>229</v>
      </c>
      <c r="H46" s="54">
        <v>0.121</v>
      </c>
      <c r="J46" s="155"/>
      <c r="K46" s="151"/>
      <c r="L46" s="151"/>
      <c r="M46" s="151"/>
      <c r="N46" s="151"/>
      <c r="O46" s="156"/>
    </row>
    <row r="47" spans="2:15" ht="25.5" customHeight="1" thickBot="1" x14ac:dyDescent="0.25">
      <c r="B47" s="91"/>
      <c r="C47" s="102"/>
      <c r="D47" s="103"/>
      <c r="F47" s="91"/>
      <c r="G47" s="102" t="s">
        <v>230</v>
      </c>
      <c r="H47" s="63">
        <v>0.09</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5" priority="5" operator="lessThan">
      <formula>0</formula>
    </cfRule>
    <cfRule type="cellIs" dxfId="14" priority="6" operator="greaterThan">
      <formula>0</formula>
    </cfRule>
  </conditionalFormatting>
  <conditionalFormatting sqref="O33:O39">
    <cfRule type="cellIs" dxfId="13" priority="3" operator="lessThan">
      <formula>0</formula>
    </cfRule>
    <cfRule type="cellIs" dxfId="12"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A65B5-F3FF-429A-A1D5-C86FD3084419}">
  <sheetPr codeName="Sheet9"/>
  <dimension ref="B1:AE370"/>
  <sheetViews>
    <sheetView zoomScaleNormal="100" workbookViewId="0">
      <selection activeCell="S62" sqref="S62"/>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21</v>
      </c>
      <c r="G2" s="10" t="s">
        <v>231</v>
      </c>
      <c r="H2" s="11"/>
      <c r="Q2" s="6">
        <f>LEN([1]Summary!$C$1)</f>
        <v>27</v>
      </c>
    </row>
    <row r="3" spans="2:31" ht="16" thickBot="1" x14ac:dyDescent="0.25"/>
    <row r="4" spans="2:31" x14ac:dyDescent="0.2">
      <c r="B4" s="12" t="s">
        <v>26</v>
      </c>
      <c r="C4" s="13">
        <v>110.38</v>
      </c>
      <c r="D4" s="14"/>
      <c r="E4" s="15"/>
      <c r="F4" s="15"/>
      <c r="G4" s="15"/>
      <c r="H4" s="16"/>
      <c r="J4" s="17">
        <v>43685</v>
      </c>
      <c r="K4" s="15" t="s">
        <v>187</v>
      </c>
      <c r="L4" s="15"/>
      <c r="M4" s="15"/>
      <c r="N4" s="16"/>
    </row>
    <row r="5" spans="2:31" ht="16" thickBot="1" x14ac:dyDescent="0.25">
      <c r="B5" s="18"/>
      <c r="C5" s="7"/>
      <c r="D5" s="7"/>
      <c r="H5" s="19"/>
      <c r="J5" s="20">
        <v>43692</v>
      </c>
      <c r="K5" s="21" t="s">
        <v>232</v>
      </c>
      <c r="L5" s="21"/>
      <c r="M5" s="21"/>
      <c r="N5" s="22"/>
    </row>
    <row r="6" spans="2:31" ht="16" thickBot="1" x14ac:dyDescent="0.25">
      <c r="B6" s="23" t="s">
        <v>29</v>
      </c>
      <c r="C6" s="24">
        <v>115.48999786376953</v>
      </c>
      <c r="D6" s="25">
        <v>-4.4246237408344415E-2</v>
      </c>
      <c r="E6" s="26" t="s">
        <v>30</v>
      </c>
      <c r="F6" s="27" t="s">
        <v>233</v>
      </c>
      <c r="G6" s="26" t="s">
        <v>31</v>
      </c>
      <c r="H6" s="28">
        <v>4.3456692913385826</v>
      </c>
      <c r="L6" s="29"/>
      <c r="M6" s="30"/>
    </row>
    <row r="7" spans="2:31" x14ac:dyDescent="0.2">
      <c r="B7" s="23" t="s">
        <v>32</v>
      </c>
      <c r="C7" s="24">
        <v>85.779998779296875</v>
      </c>
      <c r="D7" s="25">
        <v>0.28678015354134473</v>
      </c>
      <c r="E7" s="26" t="s">
        <v>33</v>
      </c>
      <c r="F7" s="7" t="s">
        <v>234</v>
      </c>
      <c r="G7" s="26" t="s">
        <v>34</v>
      </c>
      <c r="H7" s="31">
        <v>0.183</v>
      </c>
      <c r="L7" s="32"/>
      <c r="M7" s="30"/>
      <c r="N7" s="2"/>
      <c r="R7" s="12" t="s">
        <v>35</v>
      </c>
      <c r="S7" s="15"/>
      <c r="T7" s="33"/>
    </row>
    <row r="8" spans="2:31" x14ac:dyDescent="0.2">
      <c r="B8" s="23" t="s">
        <v>36</v>
      </c>
      <c r="C8" s="34">
        <v>0.185</v>
      </c>
      <c r="D8" s="35"/>
      <c r="E8" s="26" t="s">
        <v>19</v>
      </c>
      <c r="F8" s="7"/>
      <c r="G8" s="26" t="s">
        <v>4</v>
      </c>
      <c r="H8" s="19" t="s">
        <v>130</v>
      </c>
      <c r="R8" s="36" t="s">
        <v>37</v>
      </c>
      <c r="T8" s="37"/>
    </row>
    <row r="9" spans="2:31" x14ac:dyDescent="0.2">
      <c r="B9" s="23" t="s">
        <v>38</v>
      </c>
      <c r="C9" s="8">
        <v>315104</v>
      </c>
      <c r="D9" s="7"/>
      <c r="E9" s="26" t="s">
        <v>39</v>
      </c>
      <c r="F9" s="7">
        <v>2.21</v>
      </c>
      <c r="G9" s="26" t="s">
        <v>23</v>
      </c>
      <c r="H9" s="19" t="s">
        <v>24</v>
      </c>
      <c r="R9" s="36" t="s">
        <v>41</v>
      </c>
      <c r="T9" s="37"/>
    </row>
    <row r="10" spans="2:31" x14ac:dyDescent="0.2">
      <c r="B10" s="23" t="s">
        <v>11</v>
      </c>
      <c r="C10" s="38">
        <v>369636</v>
      </c>
      <c r="D10" s="8">
        <v>54532</v>
      </c>
      <c r="E10" s="26" t="s">
        <v>42</v>
      </c>
      <c r="F10" s="35">
        <v>2.0021743069396629E-2</v>
      </c>
      <c r="G10" s="26" t="s">
        <v>5</v>
      </c>
      <c r="H10" s="19" t="s">
        <v>212</v>
      </c>
      <c r="R10" s="36" t="s">
        <v>43</v>
      </c>
      <c r="T10" s="37"/>
    </row>
    <row r="11" spans="2:31" ht="16" thickBot="1" x14ac:dyDescent="0.25">
      <c r="B11" s="23" t="s">
        <v>44</v>
      </c>
      <c r="C11" s="24">
        <v>2.9218748706496473</v>
      </c>
      <c r="D11" s="7"/>
      <c r="E11" s="26" t="s">
        <v>9</v>
      </c>
      <c r="F11" s="24">
        <v>0.6600000262260437</v>
      </c>
      <c r="G11" s="26" t="s">
        <v>45</v>
      </c>
      <c r="H11" s="39" t="s">
        <v>235</v>
      </c>
      <c r="R11" s="40" t="s">
        <v>47</v>
      </c>
      <c r="S11" s="21"/>
      <c r="T11" s="41"/>
    </row>
    <row r="12" spans="2:31" ht="15.75" customHeight="1" thickBot="1" x14ac:dyDescent="0.25">
      <c r="B12" s="42" t="s">
        <v>48</v>
      </c>
      <c r="C12" s="43" t="s">
        <v>236</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237</v>
      </c>
      <c r="L15" s="51" t="s">
        <v>238</v>
      </c>
      <c r="M15" s="51" t="s">
        <v>239</v>
      </c>
      <c r="N15" s="51" t="s">
        <v>240</v>
      </c>
      <c r="O15" s="52" t="s">
        <v>54</v>
      </c>
      <c r="AA15" s="6" t="s">
        <v>26</v>
      </c>
      <c r="AB15" s="6">
        <v>383.3</v>
      </c>
      <c r="AC15" s="6">
        <v>88.27</v>
      </c>
      <c r="AD15" s="6">
        <v>27.19</v>
      </c>
      <c r="AE15" s="6">
        <v>38.64</v>
      </c>
    </row>
    <row r="16" spans="2:31" x14ac:dyDescent="0.2">
      <c r="B16" s="23" t="s">
        <v>55</v>
      </c>
      <c r="C16" s="8">
        <v>481317</v>
      </c>
      <c r="D16" s="8">
        <v>495761</v>
      </c>
      <c r="E16" s="8">
        <v>510329</v>
      </c>
      <c r="F16" s="8">
        <v>523957</v>
      </c>
      <c r="G16" s="8">
        <v>541774</v>
      </c>
      <c r="H16" s="53">
        <v>557065</v>
      </c>
      <c r="J16" s="23" t="s">
        <v>38</v>
      </c>
      <c r="K16" s="8">
        <v>121219</v>
      </c>
      <c r="L16" s="8">
        <v>16903</v>
      </c>
      <c r="M16" s="8">
        <v>13870</v>
      </c>
      <c r="N16" s="8">
        <v>44266</v>
      </c>
      <c r="O16" s="53">
        <v>49064.5</v>
      </c>
      <c r="AA16" s="6" t="s">
        <v>38</v>
      </c>
      <c r="AB16" s="6">
        <v>191403</v>
      </c>
      <c r="AC16" s="6">
        <v>35478</v>
      </c>
      <c r="AD16" s="6">
        <v>11620</v>
      </c>
      <c r="AE16" s="6" t="s">
        <v>56</v>
      </c>
    </row>
    <row r="17" spans="2:31" ht="15" customHeight="1" x14ac:dyDescent="0.2">
      <c r="B17" s="23" t="s">
        <v>57</v>
      </c>
      <c r="C17" s="8"/>
      <c r="D17" s="98">
        <v>3.0009328571398892E-2</v>
      </c>
      <c r="E17" s="98">
        <v>2.938512710761839E-2</v>
      </c>
      <c r="F17" s="98">
        <v>2.6704341708975975E-2</v>
      </c>
      <c r="G17" s="98">
        <v>3.4004698858875824E-2</v>
      </c>
      <c r="H17" s="99">
        <v>2.8223945778128888E-2</v>
      </c>
      <c r="J17" s="23" t="s">
        <v>11</v>
      </c>
      <c r="K17" s="8">
        <v>118876</v>
      </c>
      <c r="L17" s="8">
        <v>29730</v>
      </c>
      <c r="M17" s="8">
        <v>16457</v>
      </c>
      <c r="N17" s="8">
        <v>55436</v>
      </c>
      <c r="O17" s="53">
        <v>55124.75</v>
      </c>
      <c r="AA17" s="6" t="s">
        <v>11</v>
      </c>
      <c r="AB17" s="4">
        <v>192879</v>
      </c>
      <c r="AC17" s="6">
        <v>37143</v>
      </c>
      <c r="AD17" s="6">
        <v>11760</v>
      </c>
      <c r="AE17" s="6" t="s">
        <v>58</v>
      </c>
    </row>
    <row r="18" spans="2:31" ht="15" customHeight="1" x14ac:dyDescent="0.2">
      <c r="B18" s="23" t="s">
        <v>59</v>
      </c>
      <c r="C18" s="8">
        <v>32678</v>
      </c>
      <c r="D18" s="8">
        <v>33043</v>
      </c>
      <c r="E18" s="8">
        <v>32635</v>
      </c>
      <c r="F18" s="8">
        <v>32589</v>
      </c>
      <c r="G18" s="8">
        <v>33323</v>
      </c>
      <c r="H18" s="53">
        <v>34350</v>
      </c>
      <c r="J18" s="23" t="s">
        <v>60</v>
      </c>
      <c r="K18" s="55">
        <v>32.53783469150175</v>
      </c>
      <c r="L18" s="55">
        <v>9.1191489361702125</v>
      </c>
      <c r="M18" s="55">
        <v>14.036290322580646</v>
      </c>
      <c r="N18" s="55">
        <v>13.834394904458598</v>
      </c>
      <c r="O18" s="56">
        <v>17.381917213677802</v>
      </c>
      <c r="AA18" s="6" t="s">
        <v>61</v>
      </c>
      <c r="AB18" s="4">
        <v>16</v>
      </c>
      <c r="AD18" s="6">
        <v>0.49</v>
      </c>
      <c r="AE18" s="6">
        <v>1.54</v>
      </c>
    </row>
    <row r="19" spans="2:31" ht="15" customHeight="1" x14ac:dyDescent="0.2">
      <c r="B19" s="23" t="s">
        <v>62</v>
      </c>
      <c r="C19" s="25">
        <v>6.7892885561906188E-2</v>
      </c>
      <c r="D19" s="25">
        <v>6.6651067752404883E-2</v>
      </c>
      <c r="E19" s="25">
        <v>6.3948942740859327E-2</v>
      </c>
      <c r="F19" s="25">
        <v>6.2197852113818501E-2</v>
      </c>
      <c r="G19" s="25">
        <v>6.1507196727786866E-2</v>
      </c>
      <c r="H19" s="59">
        <v>6.166246308779047E-2</v>
      </c>
      <c r="J19" s="23" t="s">
        <v>63</v>
      </c>
      <c r="K19" s="55">
        <v>18.71768225476303</v>
      </c>
      <c r="L19" s="55">
        <v>5.5116796440489431</v>
      </c>
      <c r="M19" s="55">
        <v>4.6766126740551295</v>
      </c>
      <c r="N19" s="55">
        <v>8.2346999405822938</v>
      </c>
      <c r="O19" s="56">
        <v>9.2851686283623494</v>
      </c>
      <c r="AA19" s="6" t="s">
        <v>64</v>
      </c>
      <c r="AB19" s="6">
        <v>13603</v>
      </c>
      <c r="AC19" s="4" t="s">
        <v>65</v>
      </c>
      <c r="AD19" s="6">
        <v>425</v>
      </c>
      <c r="AE19" s="6">
        <v>576</v>
      </c>
    </row>
    <row r="20" spans="2:31" ht="15" customHeight="1" x14ac:dyDescent="0.2">
      <c r="B20" s="23" t="s">
        <v>66</v>
      </c>
      <c r="C20" s="8">
        <v>22608</v>
      </c>
      <c r="D20" s="8">
        <v>22514</v>
      </c>
      <c r="E20" s="8">
        <v>21957</v>
      </c>
      <c r="F20" s="8">
        <v>21642</v>
      </c>
      <c r="G20" s="8">
        <v>22197</v>
      </c>
      <c r="H20" s="53">
        <v>22997</v>
      </c>
      <c r="J20" s="23" t="s">
        <v>67</v>
      </c>
      <c r="K20" s="55">
        <v>24.525685991334846</v>
      </c>
      <c r="L20" s="55">
        <v>10.538816022686991</v>
      </c>
      <c r="M20" s="55">
        <v>7.9579303675048356</v>
      </c>
      <c r="N20" s="55">
        <v>12.567671729766493</v>
      </c>
      <c r="O20" s="56">
        <v>13.897526027823293</v>
      </c>
      <c r="AA20" s="6" t="s">
        <v>68</v>
      </c>
      <c r="AB20" s="6">
        <v>11392</v>
      </c>
      <c r="AD20" s="6">
        <v>234</v>
      </c>
      <c r="AE20" s="6">
        <v>495</v>
      </c>
    </row>
    <row r="21" spans="2:31" ht="15" customHeight="1" x14ac:dyDescent="0.2">
      <c r="B21" s="23" t="s">
        <v>69</v>
      </c>
      <c r="C21" s="25">
        <v>4.6971122981320002E-2</v>
      </c>
      <c r="D21" s="25">
        <v>4.5413011511595304E-2</v>
      </c>
      <c r="E21" s="25">
        <v>4.3025185713529902E-2</v>
      </c>
      <c r="F21" s="25">
        <v>4.1304916243126821E-2</v>
      </c>
      <c r="G21" s="25">
        <v>4.0970958370095283E-2</v>
      </c>
      <c r="H21" s="59">
        <v>4.1282435622413904E-2</v>
      </c>
      <c r="J21" s="23" t="s">
        <v>70</v>
      </c>
      <c r="K21" s="55">
        <v>0.7778366671246949</v>
      </c>
      <c r="L21" s="55">
        <v>0.24169159729448492</v>
      </c>
      <c r="M21" s="55">
        <v>0.22466587486860248</v>
      </c>
      <c r="N21" s="55">
        <v>0.70990792557210358</v>
      </c>
      <c r="O21" s="56">
        <v>0.48852551621497153</v>
      </c>
      <c r="AA21" s="6" t="s">
        <v>71</v>
      </c>
      <c r="AB21" s="6">
        <v>53631</v>
      </c>
      <c r="AC21" s="4" t="s">
        <v>65</v>
      </c>
      <c r="AD21" s="6">
        <v>5378</v>
      </c>
      <c r="AE21" s="6">
        <v>1642</v>
      </c>
    </row>
    <row r="22" spans="2:31" ht="15" customHeight="1" x14ac:dyDescent="0.2">
      <c r="B22" s="23" t="s">
        <v>72</v>
      </c>
      <c r="C22" s="8">
        <v>13643</v>
      </c>
      <c r="D22" s="8">
        <v>9862</v>
      </c>
      <c r="E22" s="8">
        <v>6670</v>
      </c>
      <c r="F22" s="8">
        <v>14239</v>
      </c>
      <c r="G22" s="8">
        <v>14087</v>
      </c>
      <c r="H22" s="53">
        <v>14920</v>
      </c>
      <c r="J22" s="23" t="s">
        <v>18</v>
      </c>
      <c r="K22" s="24">
        <v>7.3941798941798949</v>
      </c>
      <c r="L22" s="24">
        <v>1.6358778625954198</v>
      </c>
      <c r="M22" s="24">
        <v>1.2892592592592593</v>
      </c>
      <c r="N22" s="24">
        <v>3.6199999999999997</v>
      </c>
      <c r="O22" s="56">
        <v>3.484829254008643</v>
      </c>
      <c r="AA22" s="6" t="s">
        <v>73</v>
      </c>
      <c r="AB22" s="4">
        <v>82.6</v>
      </c>
      <c r="AC22" s="4">
        <v>13.2</v>
      </c>
      <c r="AD22" s="6">
        <v>5.39</v>
      </c>
      <c r="AE22" s="4">
        <v>6.41</v>
      </c>
    </row>
    <row r="23" spans="2:31" ht="15" customHeight="1" x14ac:dyDescent="0.2">
      <c r="B23" s="23" t="s">
        <v>74</v>
      </c>
      <c r="C23" s="25">
        <v>2.8345144675961997E-2</v>
      </c>
      <c r="D23" s="25">
        <v>1.989264988573123E-2</v>
      </c>
      <c r="E23" s="25">
        <v>1.3069999941214393E-2</v>
      </c>
      <c r="F23" s="25">
        <v>2.7175894205058813E-2</v>
      </c>
      <c r="G23" s="25">
        <v>2.600161691037222E-2</v>
      </c>
      <c r="H23" s="59">
        <v>2.6783229964187302E-2</v>
      </c>
      <c r="J23" s="23" t="s">
        <v>62</v>
      </c>
      <c r="K23" s="25">
        <v>4.1556249141197023E-2</v>
      </c>
      <c r="L23" s="25">
        <v>4.3850806451612906E-2</v>
      </c>
      <c r="M23" s="25">
        <v>4.8040299791129129E-2</v>
      </c>
      <c r="N23" s="25">
        <v>8.6209325257078459E-2</v>
      </c>
      <c r="O23" s="59">
        <v>5.4914170160254377E-2</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2">
      <c r="B24" s="23"/>
      <c r="C24" s="8"/>
      <c r="D24" s="100">
        <v>-0.27713845928314884</v>
      </c>
      <c r="E24" s="100">
        <v>-0.32366659906712636</v>
      </c>
      <c r="F24" s="100">
        <v>1.1347826086956523</v>
      </c>
      <c r="G24" s="100">
        <v>-1.067490694571248E-2</v>
      </c>
      <c r="H24" s="101">
        <v>5.9132533541563143E-2</v>
      </c>
      <c r="J24" s="23" t="s">
        <v>69</v>
      </c>
      <c r="K24" s="25">
        <v>3.1715184945265623E-2</v>
      </c>
      <c r="L24" s="25">
        <v>2.2933467741935484E-2</v>
      </c>
      <c r="M24" s="25">
        <v>2.823169649561098E-2</v>
      </c>
      <c r="N24" s="25">
        <v>5.6486829130863503E-2</v>
      </c>
      <c r="O24" s="59">
        <v>3.4841794578418898E-2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2">
      <c r="B25" s="23" t="s">
        <v>77</v>
      </c>
      <c r="C25" s="8" t="s">
        <v>241</v>
      </c>
      <c r="D25" s="8" t="s">
        <v>242</v>
      </c>
      <c r="E25" s="8" t="s">
        <v>233</v>
      </c>
      <c r="F25" s="8" t="s">
        <v>234</v>
      </c>
      <c r="G25" s="8" t="s">
        <v>243</v>
      </c>
      <c r="H25" s="53" t="s">
        <v>244</v>
      </c>
      <c r="J25" s="23" t="s">
        <v>84</v>
      </c>
      <c r="K25" s="25">
        <v>2.4569944185985643E-2</v>
      </c>
      <c r="L25" s="25">
        <v>1.4877081165452654E-2</v>
      </c>
      <c r="M25" s="25">
        <v>1.4020286412472185E-2</v>
      </c>
      <c r="N25" s="25">
        <v>4.0108081804095329E-2</v>
      </c>
      <c r="O25" s="59">
        <v>2.3393848392001454E-2</v>
      </c>
      <c r="AA25" s="6" t="s">
        <v>85</v>
      </c>
      <c r="AB25" s="6">
        <v>8067</v>
      </c>
      <c r="AC25" s="4" t="s">
        <v>65</v>
      </c>
      <c r="AD25" s="6">
        <v>222</v>
      </c>
      <c r="AE25" s="6">
        <v>390</v>
      </c>
    </row>
    <row r="26" spans="2:31" ht="15" customHeight="1" x14ac:dyDescent="0.2">
      <c r="B26" s="23" t="s">
        <v>86</v>
      </c>
      <c r="C26" s="8">
        <v>4.38</v>
      </c>
      <c r="D26" s="8">
        <v>3.28</v>
      </c>
      <c r="E26" s="8">
        <v>2.2599999999999998</v>
      </c>
      <c r="F26" s="8">
        <v>5.01</v>
      </c>
      <c r="G26" s="8">
        <v>5.05</v>
      </c>
      <c r="H26" s="53">
        <v>5.28</v>
      </c>
      <c r="J26" s="23" t="s">
        <v>87</v>
      </c>
      <c r="K26" s="35">
        <v>9.6243291592128799E-3</v>
      </c>
      <c r="L26" s="35">
        <v>2.8931404573028466E-2</v>
      </c>
      <c r="M26" s="35">
        <v>3.3323757540936506E-2</v>
      </c>
      <c r="N26" s="35">
        <v>3.1307550644567222E-2</v>
      </c>
      <c r="O26" s="54">
        <v>2.579676047943627E-2</v>
      </c>
      <c r="AA26" s="6" t="s">
        <v>88</v>
      </c>
      <c r="AB26" s="6">
        <v>7.62</v>
      </c>
      <c r="AC26" s="6">
        <v>2.13</v>
      </c>
      <c r="AD26" s="6" t="s">
        <v>40</v>
      </c>
      <c r="AE26" s="6">
        <v>0.52</v>
      </c>
    </row>
    <row r="27" spans="2:31" ht="15" customHeight="1" thickBot="1" x14ac:dyDescent="0.25">
      <c r="B27" s="23" t="s">
        <v>57</v>
      </c>
      <c r="C27" s="8"/>
      <c r="D27" s="100">
        <v>-0.25114155251141557</v>
      </c>
      <c r="E27" s="100">
        <v>-0.31097560975609756</v>
      </c>
      <c r="F27" s="100">
        <v>1.2168141592920354</v>
      </c>
      <c r="G27" s="100">
        <v>7.9840319361277525E-3</v>
      </c>
      <c r="H27" s="101">
        <v>4.5544554455445634E-2</v>
      </c>
      <c r="J27" s="42" t="s">
        <v>34</v>
      </c>
      <c r="K27" s="44">
        <v>0.26300000000000001</v>
      </c>
      <c r="L27" s="44">
        <v>0.21199999999999999</v>
      </c>
      <c r="M27" s="44">
        <v>0.10199999999999999</v>
      </c>
      <c r="N27" s="44">
        <v>0.26600000000000001</v>
      </c>
      <c r="O27" s="63">
        <v>0.21074999999999999</v>
      </c>
      <c r="AA27" s="6" t="s">
        <v>34</v>
      </c>
      <c r="AB27" s="64">
        <v>0.21</v>
      </c>
      <c r="AC27" s="30">
        <v>0.29399999999999998</v>
      </c>
      <c r="AD27" s="30">
        <v>7.3400000000000007E-2</v>
      </c>
      <c r="AE27" s="30">
        <v>0.29499999999999998</v>
      </c>
    </row>
    <row r="28" spans="2:31" ht="15" customHeight="1" x14ac:dyDescent="0.2">
      <c r="B28" s="23" t="s">
        <v>63</v>
      </c>
      <c r="C28" s="8">
        <v>11.311463369851277</v>
      </c>
      <c r="D28" s="8">
        <v>11.186514541657839</v>
      </c>
      <c r="E28" s="8">
        <v>11.326367396966447</v>
      </c>
      <c r="F28" s="8">
        <v>11.342354782288503</v>
      </c>
      <c r="G28" s="8">
        <v>11.092518680791045</v>
      </c>
      <c r="H28" s="53">
        <v>10.760873362445414</v>
      </c>
    </row>
    <row r="29" spans="2:31" ht="15" customHeight="1" x14ac:dyDescent="0.2">
      <c r="B29" s="23" t="s">
        <v>67</v>
      </c>
      <c r="C29" s="8">
        <v>16.349787685774945</v>
      </c>
      <c r="D29" s="8">
        <v>16.418050990494802</v>
      </c>
      <c r="E29" s="8">
        <v>16.834540237737396</v>
      </c>
      <c r="F29" s="8">
        <v>17.079567507624063</v>
      </c>
      <c r="G29" s="8">
        <v>16.652520610893365</v>
      </c>
      <c r="H29" s="53">
        <v>16.073226942644691</v>
      </c>
    </row>
    <row r="30" spans="2:31" ht="15" customHeight="1" thickBot="1" x14ac:dyDescent="0.25">
      <c r="B30" s="42" t="s">
        <v>70</v>
      </c>
      <c r="C30" s="65">
        <v>0.76796788810700645</v>
      </c>
      <c r="D30" s="65">
        <v>1.2078615334843092</v>
      </c>
      <c r="E30" s="102">
        <v>0.72430922013054322</v>
      </c>
      <c r="F30" s="102">
        <v>0.70547010537124233</v>
      </c>
      <c r="G30" s="102">
        <v>0.68226972870606561</v>
      </c>
      <c r="H30" s="103">
        <v>0.66354195650417813</v>
      </c>
      <c r="J30" s="2" t="s">
        <v>89</v>
      </c>
    </row>
    <row r="31" spans="2:31" ht="16" thickBot="1" x14ac:dyDescent="0.25">
      <c r="J31" s="50"/>
      <c r="K31" s="67"/>
      <c r="L31" s="48" t="s">
        <v>90</v>
      </c>
      <c r="M31" s="48" t="s">
        <v>91</v>
      </c>
      <c r="N31" s="48" t="s">
        <v>92</v>
      </c>
      <c r="O31" s="52" t="s">
        <v>93</v>
      </c>
    </row>
    <row r="32" spans="2:31" x14ac:dyDescent="0.2">
      <c r="B32" s="12" t="s">
        <v>94</v>
      </c>
      <c r="C32" s="68">
        <v>39071</v>
      </c>
      <c r="D32" s="68">
        <v>39731</v>
      </c>
      <c r="E32" s="68">
        <v>50311</v>
      </c>
      <c r="F32" s="68">
        <v>56056</v>
      </c>
      <c r="G32" s="68">
        <v>54532</v>
      </c>
      <c r="H32" s="76">
        <v>53450</v>
      </c>
      <c r="J32" s="23" t="s">
        <v>95</v>
      </c>
      <c r="K32" s="26" t="s">
        <v>55</v>
      </c>
      <c r="L32" s="8">
        <v>125033</v>
      </c>
      <c r="M32" s="8">
        <v>123925</v>
      </c>
      <c r="N32" s="8">
        <v>1108.01</v>
      </c>
      <c r="O32" s="71">
        <v>0.89</v>
      </c>
    </row>
    <row r="33" spans="2:15" x14ac:dyDescent="0.2">
      <c r="B33" s="23" t="s">
        <v>59</v>
      </c>
      <c r="C33" s="8">
        <v>81</v>
      </c>
      <c r="D33" s="8">
        <v>149</v>
      </c>
      <c r="E33" s="8">
        <v>32635</v>
      </c>
      <c r="F33" s="8">
        <v>32589</v>
      </c>
      <c r="G33" s="8">
        <v>33323</v>
      </c>
      <c r="H33" s="53">
        <v>34350</v>
      </c>
      <c r="J33" s="23"/>
      <c r="K33" s="26" t="s">
        <v>96</v>
      </c>
      <c r="L33" s="7">
        <v>1.02</v>
      </c>
      <c r="M33" s="7">
        <v>1.1299999999999999</v>
      </c>
      <c r="N33" s="7">
        <v>0.11</v>
      </c>
      <c r="O33" s="71">
        <v>10.82</v>
      </c>
    </row>
    <row r="34" spans="2:15" x14ac:dyDescent="0.2">
      <c r="B34" s="23" t="s">
        <v>97</v>
      </c>
      <c r="C34" s="24">
        <v>482.35802469135803</v>
      </c>
      <c r="D34" s="24">
        <v>266.65100671140942</v>
      </c>
      <c r="E34" s="24">
        <v>1.541627087482764</v>
      </c>
      <c r="F34" s="24">
        <v>1.7200896007855411</v>
      </c>
      <c r="G34" s="24">
        <v>1.636467304864508</v>
      </c>
      <c r="H34" s="28">
        <v>1.5560407569141192</v>
      </c>
      <c r="J34" s="23" t="s">
        <v>98</v>
      </c>
      <c r="K34" s="26" t="s">
        <v>55</v>
      </c>
      <c r="L34" s="8">
        <v>138654</v>
      </c>
      <c r="M34" s="8">
        <v>138793</v>
      </c>
      <c r="N34" s="8">
        <v>138.75</v>
      </c>
      <c r="O34" s="71">
        <v>0.1</v>
      </c>
    </row>
    <row r="35" spans="2:15" x14ac:dyDescent="0.2">
      <c r="B35" s="23" t="s">
        <v>99</v>
      </c>
      <c r="C35" s="72">
        <v>10.1</v>
      </c>
      <c r="D35" s="72">
        <v>9.41</v>
      </c>
      <c r="E35" s="72">
        <v>9.42</v>
      </c>
      <c r="F35" s="72">
        <v>8.64</v>
      </c>
      <c r="G35" s="72">
        <v>9.2799999999999994</v>
      </c>
      <c r="H35" s="73">
        <v>10</v>
      </c>
      <c r="J35" s="23"/>
      <c r="K35" s="26" t="s">
        <v>96</v>
      </c>
      <c r="L35" s="7">
        <v>1.33</v>
      </c>
      <c r="M35" s="7">
        <v>1.41</v>
      </c>
      <c r="N35" s="7">
        <v>0.08</v>
      </c>
      <c r="O35" s="71">
        <v>5.71</v>
      </c>
    </row>
    <row r="36" spans="2:15" ht="16" thickBot="1" x14ac:dyDescent="0.25">
      <c r="B36" s="42" t="s">
        <v>100</v>
      </c>
      <c r="C36" s="74">
        <v>25.1</v>
      </c>
      <c r="D36" s="74">
        <v>26.4</v>
      </c>
      <c r="E36" s="74">
        <v>24.6</v>
      </c>
      <c r="F36" s="74">
        <v>25.4</v>
      </c>
      <c r="G36" s="74">
        <v>24.5</v>
      </c>
      <c r="H36" s="75">
        <v>25.7</v>
      </c>
      <c r="J36" s="23" t="s">
        <v>101</v>
      </c>
      <c r="K36" s="26" t="s">
        <v>55</v>
      </c>
      <c r="L36" s="8">
        <v>125501</v>
      </c>
      <c r="M36" s="8">
        <v>124894</v>
      </c>
      <c r="N36" s="8">
        <v>607.49</v>
      </c>
      <c r="O36" s="71">
        <v>0.48</v>
      </c>
    </row>
    <row r="37" spans="2:15" ht="16" thickBot="1" x14ac:dyDescent="0.25">
      <c r="J37" s="23"/>
      <c r="K37" s="26" t="s">
        <v>96</v>
      </c>
      <c r="L37" s="7">
        <v>1.01</v>
      </c>
      <c r="M37" s="7">
        <v>1.08</v>
      </c>
      <c r="N37" s="7">
        <v>7.0000000000000007E-2</v>
      </c>
      <c r="O37" s="71">
        <v>6.69</v>
      </c>
    </row>
    <row r="38" spans="2:15" x14ac:dyDescent="0.2">
      <c r="B38" s="12" t="s">
        <v>102</v>
      </c>
      <c r="C38" s="76">
        <v>5660069</v>
      </c>
      <c r="F38" s="12" t="s">
        <v>103</v>
      </c>
      <c r="G38" s="68">
        <v>111.79</v>
      </c>
      <c r="H38" s="105">
        <v>-1.261293496734959E-2</v>
      </c>
      <c r="J38" s="23" t="s">
        <v>104</v>
      </c>
      <c r="K38" s="26" t="s">
        <v>55</v>
      </c>
      <c r="L38" s="8">
        <v>125973</v>
      </c>
      <c r="M38" s="8">
        <v>128028</v>
      </c>
      <c r="N38" s="8">
        <v>2055.0500000000002</v>
      </c>
      <c r="O38" s="71">
        <v>1.63</v>
      </c>
    </row>
    <row r="39" spans="2:15" ht="16" thickBot="1" x14ac:dyDescent="0.25">
      <c r="B39" s="23" t="s">
        <v>105</v>
      </c>
      <c r="C39" s="53" t="s">
        <v>245</v>
      </c>
      <c r="F39" s="42" t="s">
        <v>107</v>
      </c>
      <c r="G39" s="102">
        <v>102.73</v>
      </c>
      <c r="H39" s="63">
        <v>7.446704954735707E-2</v>
      </c>
      <c r="J39" s="42"/>
      <c r="K39" s="81" t="s">
        <v>96</v>
      </c>
      <c r="L39" s="82">
        <v>1.22</v>
      </c>
      <c r="M39" s="82">
        <v>1.29</v>
      </c>
      <c r="N39" s="82">
        <v>7.0000000000000007E-2</v>
      </c>
      <c r="O39" s="83">
        <v>5.96</v>
      </c>
    </row>
    <row r="40" spans="2:15" ht="16" thickBot="1" x14ac:dyDescent="0.25">
      <c r="B40" s="42" t="s">
        <v>108</v>
      </c>
      <c r="C40" s="103" t="s">
        <v>246</v>
      </c>
    </row>
    <row r="41" spans="2:15" x14ac:dyDescent="0.2">
      <c r="F41" s="12" t="s">
        <v>110</v>
      </c>
      <c r="G41" s="15"/>
      <c r="H41" s="76" t="s">
        <v>247</v>
      </c>
    </row>
    <row r="42" spans="2:15" ht="16" thickBot="1" x14ac:dyDescent="0.25">
      <c r="F42" s="42" t="s">
        <v>112</v>
      </c>
      <c r="G42" s="21"/>
      <c r="H42" s="103" t="s">
        <v>248</v>
      </c>
    </row>
    <row r="43" spans="2:15" ht="19.5" customHeight="1" thickBot="1" x14ac:dyDescent="0.25"/>
    <row r="44" spans="2:15" ht="18" customHeight="1" x14ac:dyDescent="0.2">
      <c r="B44" s="12" t="s">
        <v>113</v>
      </c>
      <c r="C44" s="68" t="str">
        <f>[1]Summary!C43</f>
        <v>United States</v>
      </c>
      <c r="D44" s="107">
        <f>[1]Summary!D43</f>
        <v>1</v>
      </c>
      <c r="F44" s="12" t="s">
        <v>115</v>
      </c>
      <c r="G44" s="68" t="str">
        <f>[1]Summary!G43</f>
        <v>Sales Cloud</v>
      </c>
      <c r="H44" s="105">
        <f>[1]Summary!H43</f>
        <v>0.36499999999999999</v>
      </c>
      <c r="J44" s="152">
        <f>[1]Summary!$J$43</f>
        <v>0</v>
      </c>
      <c r="K44" s="153"/>
      <c r="L44" s="153"/>
      <c r="M44" s="153"/>
      <c r="N44" s="153"/>
      <c r="O44" s="154"/>
    </row>
    <row r="45" spans="2:15" x14ac:dyDescent="0.2">
      <c r="B45" s="87"/>
      <c r="C45" s="8">
        <f>[1]Summary!C44</f>
        <v>0</v>
      </c>
      <c r="D45" s="99" t="str">
        <f>[1]Summary!D44</f>
        <v xml:space="preserve">
	</v>
      </c>
      <c r="F45" s="87"/>
      <c r="G45" s="8" t="str">
        <f>[1]Summary!G44</f>
        <v>Service Cloud</v>
      </c>
      <c r="H45" s="54">
        <f>[1]Summary!H44</f>
        <v>0.27700000000000002</v>
      </c>
      <c r="J45" s="155"/>
      <c r="K45" s="151"/>
      <c r="L45" s="151"/>
      <c r="M45" s="151"/>
      <c r="N45" s="151"/>
      <c r="O45" s="156"/>
    </row>
    <row r="46" spans="2:15" x14ac:dyDescent="0.2">
      <c r="B46" s="87"/>
      <c r="C46" s="8">
        <f>[1]Summary!C45</f>
        <v>0</v>
      </c>
      <c r="D46" s="110" t="str">
        <f>[1]Summary!D45</f>
        <v xml:space="preserve">_x000D_
</v>
      </c>
      <c r="F46" s="87"/>
      <c r="G46" s="8" t="str">
        <f>[1]Summary!G45</f>
        <v>Sales Force Platform and Other</v>
      </c>
      <c r="H46" s="54">
        <f>[1]Summary!H45</f>
        <v>0.17199999999999999</v>
      </c>
      <c r="J46" s="155"/>
      <c r="K46" s="151"/>
      <c r="L46" s="151"/>
      <c r="M46" s="151"/>
      <c r="N46" s="151"/>
      <c r="O46" s="156"/>
    </row>
    <row r="47" spans="2:15" ht="25.5" customHeight="1" thickBot="1" x14ac:dyDescent="0.25">
      <c r="B47" s="91"/>
      <c r="C47" s="102" t="str">
        <f>[1]Summary!C46</f>
        <v>Thomas Kingsbury</v>
      </c>
      <c r="D47" s="80">
        <f>[1]Summary!D46</f>
        <v>2008</v>
      </c>
      <c r="F47" s="91"/>
      <c r="G47" s="102" t="str">
        <f>[1]Summary!G46</f>
        <v>Marketing and Commerce Cloud</v>
      </c>
      <c r="H47" s="63">
        <f>[1]Summary!H46</f>
        <v>0.111</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1" priority="5" operator="lessThan">
      <formula>0</formula>
    </cfRule>
    <cfRule type="cellIs" dxfId="10" priority="6" operator="greaterThan">
      <formula>0</formula>
    </cfRule>
  </conditionalFormatting>
  <conditionalFormatting sqref="O33:O39">
    <cfRule type="cellIs" dxfId="9" priority="3" operator="lessThan">
      <formula>0</formula>
    </cfRule>
    <cfRule type="cellIs" dxfId="8"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B749-CAE9-414A-BA50-9B0BF2DF5094}">
  <sheetPr codeName="Sheet10"/>
  <dimension ref="B1:AE370"/>
  <sheetViews>
    <sheetView workbookViewId="0">
      <selection activeCell="M21" sqref="M21"/>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22</v>
      </c>
      <c r="G2" s="10" t="s">
        <v>249</v>
      </c>
      <c r="H2" s="11"/>
      <c r="Q2" s="6">
        <f>LEN([1]Summary!$C$1)</f>
        <v>27</v>
      </c>
    </row>
    <row r="3" spans="2:31" ht="16" thickBot="1" x14ac:dyDescent="0.25"/>
    <row r="4" spans="2:31" x14ac:dyDescent="0.2">
      <c r="B4" s="12" t="s">
        <v>26</v>
      </c>
      <c r="C4" s="13">
        <v>74.36</v>
      </c>
      <c r="D4" s="14"/>
      <c r="E4" s="15"/>
      <c r="F4" s="15"/>
      <c r="G4" s="15"/>
      <c r="H4" s="16"/>
      <c r="J4" s="17">
        <v>43504</v>
      </c>
      <c r="K4" s="15" t="s">
        <v>250</v>
      </c>
      <c r="L4" s="15"/>
      <c r="M4" s="15"/>
      <c r="N4" s="16"/>
    </row>
    <row r="5" spans="2:31" ht="16" thickBot="1" x14ac:dyDescent="0.25">
      <c r="B5" s="18"/>
      <c r="C5" s="7"/>
      <c r="D5" s="7"/>
      <c r="H5" s="19"/>
      <c r="J5" s="20">
        <v>43504</v>
      </c>
      <c r="K5" s="21" t="s">
        <v>251</v>
      </c>
      <c r="L5" s="21"/>
      <c r="M5" s="21"/>
      <c r="N5" s="22"/>
    </row>
    <row r="6" spans="2:31" ht="16" thickBot="1" x14ac:dyDescent="0.25">
      <c r="B6" s="23" t="s">
        <v>29</v>
      </c>
      <c r="C6" s="24">
        <v>87.360000610351562</v>
      </c>
      <c r="D6" s="25">
        <v>-0.14880952975647246</v>
      </c>
      <c r="E6" s="26" t="s">
        <v>30</v>
      </c>
      <c r="F6" s="27" t="s">
        <v>252</v>
      </c>
      <c r="G6" s="26" t="s">
        <v>31</v>
      </c>
      <c r="H6" s="28">
        <v>1.6378854625550661</v>
      </c>
      <c r="L6" s="29"/>
      <c r="M6" s="30"/>
    </row>
    <row r="7" spans="2:31" x14ac:dyDescent="0.2">
      <c r="B7" s="23" t="s">
        <v>32</v>
      </c>
      <c r="C7" s="24">
        <v>64.650001525878906</v>
      </c>
      <c r="D7" s="25">
        <v>0.15019332165420374</v>
      </c>
      <c r="E7" s="26" t="s">
        <v>33</v>
      </c>
      <c r="F7" s="7" t="s">
        <v>253</v>
      </c>
      <c r="G7" s="26" t="s">
        <v>34</v>
      </c>
      <c r="H7" s="31">
        <v>8.0600000000000005E-2</v>
      </c>
      <c r="L7" s="32"/>
      <c r="M7" s="30"/>
      <c r="N7" s="2"/>
      <c r="R7" s="12" t="s">
        <v>35</v>
      </c>
      <c r="S7" s="15"/>
      <c r="T7" s="33"/>
    </row>
    <row r="8" spans="2:31" x14ac:dyDescent="0.2">
      <c r="B8" s="23" t="s">
        <v>36</v>
      </c>
      <c r="C8" s="34">
        <v>9.0499999999999997E-2</v>
      </c>
      <c r="D8" s="35"/>
      <c r="E8" s="26" t="s">
        <v>19</v>
      </c>
      <c r="F8" s="7"/>
      <c r="G8" s="26" t="s">
        <v>4</v>
      </c>
      <c r="H8" s="19" t="s">
        <v>130</v>
      </c>
      <c r="R8" s="36" t="s">
        <v>37</v>
      </c>
      <c r="T8" s="37"/>
    </row>
    <row r="9" spans="2:31" x14ac:dyDescent="0.2">
      <c r="B9" s="23" t="s">
        <v>38</v>
      </c>
      <c r="C9" s="8">
        <v>314624</v>
      </c>
      <c r="D9" s="7"/>
      <c r="E9" s="26" t="s">
        <v>39</v>
      </c>
      <c r="F9" s="7">
        <v>3.55</v>
      </c>
      <c r="G9" s="26" t="s">
        <v>23</v>
      </c>
      <c r="H9" s="19" t="s">
        <v>7</v>
      </c>
      <c r="R9" s="36" t="s">
        <v>41</v>
      </c>
      <c r="T9" s="37"/>
    </row>
    <row r="10" spans="2:31" x14ac:dyDescent="0.2">
      <c r="B10" s="23" t="s">
        <v>11</v>
      </c>
      <c r="C10" s="38">
        <v>357012</v>
      </c>
      <c r="D10" s="8">
        <v>42388</v>
      </c>
      <c r="E10" s="26" t="s">
        <v>42</v>
      </c>
      <c r="F10" s="35">
        <v>4.774072081764389E-2</v>
      </c>
      <c r="G10" s="26" t="s">
        <v>5</v>
      </c>
      <c r="H10" s="19" t="s">
        <v>254</v>
      </c>
      <c r="R10" s="36" t="s">
        <v>43</v>
      </c>
      <c r="T10" s="37"/>
    </row>
    <row r="11" spans="2:31" ht="16" thickBot="1" x14ac:dyDescent="0.25">
      <c r="B11" s="23" t="s">
        <v>44</v>
      </c>
      <c r="C11" s="24">
        <v>3.4697853489230264</v>
      </c>
      <c r="D11" s="7"/>
      <c r="E11" s="26" t="s">
        <v>9</v>
      </c>
      <c r="F11" s="24">
        <v>1.1499999761581421</v>
      </c>
      <c r="G11" s="26" t="s">
        <v>45</v>
      </c>
      <c r="H11" s="39" t="s">
        <v>255</v>
      </c>
      <c r="R11" s="40" t="s">
        <v>47</v>
      </c>
      <c r="S11" s="21"/>
      <c r="T11" s="41"/>
    </row>
    <row r="12" spans="2:31" ht="15.75" customHeight="1" thickBot="1" x14ac:dyDescent="0.25">
      <c r="B12" s="42" t="s">
        <v>48</v>
      </c>
      <c r="C12" s="43" t="s">
        <v>256</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257</v>
      </c>
      <c r="L15" s="51" t="s">
        <v>258</v>
      </c>
      <c r="M15" s="51" t="s">
        <v>259</v>
      </c>
      <c r="N15" s="51" t="s">
        <v>260</v>
      </c>
      <c r="O15" s="52" t="s">
        <v>54</v>
      </c>
      <c r="AA15" s="6" t="s">
        <v>26</v>
      </c>
      <c r="AB15" s="6">
        <v>383.3</v>
      </c>
      <c r="AC15" s="6">
        <v>88.27</v>
      </c>
      <c r="AD15" s="6">
        <v>27.19</v>
      </c>
      <c r="AE15" s="6">
        <v>38.64</v>
      </c>
    </row>
    <row r="16" spans="2:31" x14ac:dyDescent="0.2">
      <c r="B16" s="23" t="s">
        <v>55</v>
      </c>
      <c r="C16" s="8">
        <v>226094</v>
      </c>
      <c r="D16" s="8">
        <v>244363</v>
      </c>
      <c r="E16" s="8">
        <v>290212</v>
      </c>
      <c r="F16" s="8">
        <v>268604</v>
      </c>
      <c r="G16" s="8">
        <v>289506</v>
      </c>
      <c r="H16" s="53">
        <v>273156</v>
      </c>
      <c r="J16" s="23" t="s">
        <v>38</v>
      </c>
      <c r="K16" s="8">
        <v>134123</v>
      </c>
      <c r="L16" s="8">
        <v>6911505</v>
      </c>
      <c r="M16" s="8">
        <v>475926235</v>
      </c>
      <c r="N16" s="8" t="s">
        <v>261</v>
      </c>
      <c r="O16" s="53"/>
      <c r="AA16" s="6" t="s">
        <v>38</v>
      </c>
      <c r="AB16" s="6">
        <v>191403</v>
      </c>
      <c r="AC16" s="6">
        <v>35478</v>
      </c>
      <c r="AD16" s="6">
        <v>11620</v>
      </c>
      <c r="AE16" s="6" t="s">
        <v>56</v>
      </c>
    </row>
    <row r="17" spans="2:31" ht="15" customHeight="1" x14ac:dyDescent="0.2">
      <c r="B17" s="23" t="s">
        <v>57</v>
      </c>
      <c r="C17" s="8"/>
      <c r="D17" s="98">
        <v>8.0802674993586732E-2</v>
      </c>
      <c r="E17" s="98">
        <v>0.18762660468237827</v>
      </c>
      <c r="F17" s="98">
        <v>-7.4455914986285884E-2</v>
      </c>
      <c r="G17" s="98">
        <v>7.7817158344626283E-2</v>
      </c>
      <c r="H17" s="99">
        <v>-5.6475513460860917E-2</v>
      </c>
      <c r="J17" s="23" t="s">
        <v>11</v>
      </c>
      <c r="K17" s="8">
        <v>173322</v>
      </c>
      <c r="L17" s="8">
        <v>9454236</v>
      </c>
      <c r="M17" s="8">
        <v>478468965</v>
      </c>
      <c r="N17" s="8" t="s">
        <v>262</v>
      </c>
      <c r="O17" s="53"/>
      <c r="AA17" s="6" t="s">
        <v>11</v>
      </c>
      <c r="AB17" s="4">
        <v>192879</v>
      </c>
      <c r="AC17" s="6">
        <v>37143</v>
      </c>
      <c r="AD17" s="6">
        <v>11760</v>
      </c>
      <c r="AE17" s="6" t="s">
        <v>58</v>
      </c>
    </row>
    <row r="18" spans="2:31" ht="15" customHeight="1" x14ac:dyDescent="0.2">
      <c r="B18" s="23" t="s">
        <v>59</v>
      </c>
      <c r="C18" s="8">
        <v>32757</v>
      </c>
      <c r="D18" s="8">
        <v>40689</v>
      </c>
      <c r="E18" s="8">
        <v>51171</v>
      </c>
      <c r="F18" s="8">
        <v>44414</v>
      </c>
      <c r="G18" s="8">
        <v>51340</v>
      </c>
      <c r="H18" s="53">
        <v>53716</v>
      </c>
      <c r="J18" s="23" t="s">
        <v>60</v>
      </c>
      <c r="K18" s="55">
        <v>852.65625</v>
      </c>
      <c r="L18" s="55">
        <v>13.048618784530388</v>
      </c>
      <c r="M18" s="55"/>
      <c r="N18" s="55">
        <v>10.134615384615383</v>
      </c>
      <c r="O18" s="56"/>
      <c r="AA18" s="6" t="s">
        <v>61</v>
      </c>
      <c r="AB18" s="4">
        <v>16</v>
      </c>
      <c r="AD18" s="6">
        <v>0.49</v>
      </c>
      <c r="AE18" s="6">
        <v>1.54</v>
      </c>
    </row>
    <row r="19" spans="2:31" ht="15" customHeight="1" x14ac:dyDescent="0.2">
      <c r="B19" s="23" t="s">
        <v>62</v>
      </c>
      <c r="C19" s="25">
        <v>0.14488221713092783</v>
      </c>
      <c r="D19" s="25">
        <v>0.16651047826389428</v>
      </c>
      <c r="E19" s="25">
        <v>0.17632282607197497</v>
      </c>
      <c r="F19" s="25">
        <v>0.16535122336227309</v>
      </c>
      <c r="G19" s="25">
        <v>0.17733656642694798</v>
      </c>
      <c r="H19" s="59">
        <v>0.19664953359984771</v>
      </c>
      <c r="J19" s="23" t="s">
        <v>63</v>
      </c>
      <c r="K19" s="55">
        <v>4.457182533559636</v>
      </c>
      <c r="L19" s="55">
        <v>9.9562185848284663</v>
      </c>
      <c r="M19" s="55">
        <v>503.87377696057524</v>
      </c>
      <c r="N19" s="55"/>
      <c r="O19" s="56"/>
      <c r="AA19" s="6" t="s">
        <v>64</v>
      </c>
      <c r="AB19" s="6">
        <v>13603</v>
      </c>
      <c r="AC19" s="4" t="s">
        <v>65</v>
      </c>
      <c r="AD19" s="6">
        <v>425</v>
      </c>
      <c r="AE19" s="6">
        <v>576</v>
      </c>
    </row>
    <row r="20" spans="2:31" ht="15" customHeight="1" x14ac:dyDescent="0.2">
      <c r="B20" s="23" t="s">
        <v>66</v>
      </c>
      <c r="C20" s="8">
        <v>10449</v>
      </c>
      <c r="D20" s="8">
        <v>20796</v>
      </c>
      <c r="E20" s="8">
        <v>32426</v>
      </c>
      <c r="F20" s="8">
        <v>26063</v>
      </c>
      <c r="G20" s="8">
        <v>36804</v>
      </c>
      <c r="H20" s="53">
        <v>35044</v>
      </c>
      <c r="J20" s="23" t="s">
        <v>67</v>
      </c>
      <c r="K20" s="55">
        <v>8.2334330910645583</v>
      </c>
      <c r="L20" s="55">
        <v>13.172743384533073</v>
      </c>
      <c r="M20" s="55">
        <v>666.65872244019886</v>
      </c>
      <c r="N20" s="55"/>
      <c r="O20" s="56"/>
      <c r="AA20" s="6" t="s">
        <v>68</v>
      </c>
      <c r="AB20" s="6">
        <v>11392</v>
      </c>
      <c r="AD20" s="6">
        <v>234</v>
      </c>
      <c r="AE20" s="6">
        <v>495</v>
      </c>
    </row>
    <row r="21" spans="2:31" ht="15" customHeight="1" x14ac:dyDescent="0.2">
      <c r="B21" s="23" t="s">
        <v>69</v>
      </c>
      <c r="C21" s="25">
        <v>4.6215290985165462E-2</v>
      </c>
      <c r="D21" s="25">
        <v>8.5102900193564493E-2</v>
      </c>
      <c r="E21" s="25">
        <v>0.11173211307595826</v>
      </c>
      <c r="F21" s="25">
        <v>9.7031317478518564E-2</v>
      </c>
      <c r="G21" s="25">
        <v>0.12712689892437462</v>
      </c>
      <c r="H21" s="59">
        <v>0.12829299008625109</v>
      </c>
      <c r="J21" s="23" t="s">
        <v>70</v>
      </c>
      <c r="K21" s="55">
        <v>0.61257943436371221</v>
      </c>
      <c r="L21" s="55">
        <v>1.5827018057651161</v>
      </c>
      <c r="M21" s="55">
        <v>80.098877890087167</v>
      </c>
      <c r="N21" s="55"/>
      <c r="O21" s="56"/>
      <c r="AA21" s="6" t="s">
        <v>71</v>
      </c>
      <c r="AB21" s="6">
        <v>53631</v>
      </c>
      <c r="AC21" s="4" t="s">
        <v>65</v>
      </c>
      <c r="AD21" s="6">
        <v>5378</v>
      </c>
      <c r="AE21" s="6">
        <v>1642</v>
      </c>
    </row>
    <row r="22" spans="2:31" ht="15" customHeight="1" x14ac:dyDescent="0.2">
      <c r="B22" s="23" t="s">
        <v>72</v>
      </c>
      <c r="C22" s="8">
        <v>7840</v>
      </c>
      <c r="D22" s="8">
        <v>19710</v>
      </c>
      <c r="E22" s="8">
        <v>20840</v>
      </c>
      <c r="F22" s="8">
        <v>15298</v>
      </c>
      <c r="G22" s="8">
        <v>19999</v>
      </c>
      <c r="H22" s="53">
        <v>19992</v>
      </c>
      <c r="J22" s="23" t="s">
        <v>18</v>
      </c>
      <c r="K22" s="24">
        <v>106.79060665362036</v>
      </c>
      <c r="L22" s="24">
        <v>1.5276843467011645</v>
      </c>
      <c r="M22" s="24"/>
      <c r="N22" s="24"/>
      <c r="O22" s="56"/>
      <c r="AA22" s="6" t="s">
        <v>73</v>
      </c>
      <c r="AB22" s="4">
        <v>82.6</v>
      </c>
      <c r="AC22" s="4">
        <v>13.2</v>
      </c>
      <c r="AD22" s="6">
        <v>5.39</v>
      </c>
      <c r="AE22" s="4">
        <v>6.41</v>
      </c>
    </row>
    <row r="23" spans="2:31" ht="15" customHeight="1" x14ac:dyDescent="0.2">
      <c r="B23" s="23" t="s">
        <v>74</v>
      </c>
      <c r="C23" s="25">
        <v>3.4675842791051507E-2</v>
      </c>
      <c r="D23" s="25">
        <v>8.0658692191534723E-2</v>
      </c>
      <c r="E23" s="25">
        <v>7.180957369095696E-2</v>
      </c>
      <c r="F23" s="25">
        <v>5.6953731143244327E-2</v>
      </c>
      <c r="G23" s="25">
        <v>6.9079742734174762E-2</v>
      </c>
      <c r="H23" s="59">
        <v>7.3188946975354746E-2</v>
      </c>
      <c r="J23" s="23" t="s">
        <v>62</v>
      </c>
      <c r="K23" s="25">
        <v>0.13743647018074631</v>
      </c>
      <c r="L23" s="25">
        <v>0.15896615690789237</v>
      </c>
      <c r="M23" s="25">
        <v>0.15896615690789237</v>
      </c>
      <c r="N23" s="25">
        <v>7.297017142149885E-2</v>
      </c>
      <c r="O23" s="59">
        <v>0.13208473885450747</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2">
      <c r="B24" s="23"/>
      <c r="C24" s="8"/>
      <c r="D24" s="100">
        <v>1.5140306122448979</v>
      </c>
      <c r="E24" s="100">
        <v>5.7331303906646369E-2</v>
      </c>
      <c r="F24" s="100">
        <v>-0.26593090211132436</v>
      </c>
      <c r="G24" s="100">
        <v>0.30729507125114391</v>
      </c>
      <c r="H24" s="101">
        <v>-3.5001750087504374E-4</v>
      </c>
      <c r="J24" s="23" t="s">
        <v>69</v>
      </c>
      <c r="K24" s="25">
        <v>7.4401458976878332E-2</v>
      </c>
      <c r="L24" s="25">
        <v>0.12014974858034991</v>
      </c>
      <c r="M24" s="25">
        <v>0.12014974858034991</v>
      </c>
      <c r="N24" s="25">
        <v>3.3471355675700004E-2</v>
      </c>
      <c r="O24" s="59">
        <v>8.7043077953319531E-2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2">
      <c r="B25" s="23" t="s">
        <v>77</v>
      </c>
      <c r="C25" s="8" t="s">
        <v>263</v>
      </c>
      <c r="D25" s="8" t="s">
        <v>264</v>
      </c>
      <c r="E25" s="8" t="s">
        <v>252</v>
      </c>
      <c r="F25" s="8" t="s">
        <v>253</v>
      </c>
      <c r="G25" s="8" t="s">
        <v>265</v>
      </c>
      <c r="H25" s="53" t="s">
        <v>266</v>
      </c>
      <c r="J25" s="23" t="s">
        <v>84</v>
      </c>
      <c r="K25" s="25">
        <v>4.6671002127674617E-2</v>
      </c>
      <c r="L25" s="25">
        <v>9.2169404127812285E-2</v>
      </c>
      <c r="M25" s="25">
        <v>9.2169404127812285E-2</v>
      </c>
      <c r="N25" s="25">
        <v>2.3028258949417436E-2</v>
      </c>
      <c r="O25" s="59">
        <v>6.3509517333179166E-2</v>
      </c>
      <c r="AA25" s="6" t="s">
        <v>85</v>
      </c>
      <c r="AB25" s="6">
        <v>8067</v>
      </c>
      <c r="AC25" s="4" t="s">
        <v>65</v>
      </c>
      <c r="AD25" s="6">
        <v>222</v>
      </c>
      <c r="AE25" s="6">
        <v>390</v>
      </c>
    </row>
    <row r="26" spans="2:31" ht="15" customHeight="1" x14ac:dyDescent="0.2">
      <c r="B26" s="23" t="s">
        <v>86</v>
      </c>
      <c r="C26" s="8">
        <v>1.88</v>
      </c>
      <c r="D26" s="8">
        <v>4.63</v>
      </c>
      <c r="E26" s="8">
        <v>4.88</v>
      </c>
      <c r="F26" s="8">
        <v>3.59</v>
      </c>
      <c r="G26" s="8">
        <v>5.05</v>
      </c>
      <c r="H26" s="53">
        <v>5.24</v>
      </c>
      <c r="J26" s="23" t="s">
        <v>87</v>
      </c>
      <c r="K26" s="35">
        <v>7.5132856881070177E-4</v>
      </c>
      <c r="L26" s="35">
        <v>6.9438563807265631E-3</v>
      </c>
      <c r="M26" s="35">
        <v>4.4576523031203564E-3</v>
      </c>
      <c r="N26" s="35">
        <v>5.3130929791271354E-2</v>
      </c>
      <c r="O26" s="54">
        <v>1.6320941760982245E-2</v>
      </c>
      <c r="AA26" s="6" t="s">
        <v>88</v>
      </c>
      <c r="AB26" s="6">
        <v>7.62</v>
      </c>
      <c r="AC26" s="6">
        <v>2.13</v>
      </c>
      <c r="AD26" s="6" t="s">
        <v>40</v>
      </c>
      <c r="AE26" s="6">
        <v>0.52</v>
      </c>
    </row>
    <row r="27" spans="2:31" ht="15" customHeight="1" thickBot="1" x14ac:dyDescent="0.25">
      <c r="B27" s="23" t="s">
        <v>57</v>
      </c>
      <c r="C27" s="8"/>
      <c r="D27" s="100">
        <v>1.4627659574468086</v>
      </c>
      <c r="E27" s="100">
        <v>5.3995680345572353E-2</v>
      </c>
      <c r="F27" s="100">
        <v>-0.26434426229508196</v>
      </c>
      <c r="G27" s="100">
        <v>0.40668523676880225</v>
      </c>
      <c r="H27" s="101">
        <v>3.7623762376237706E-2</v>
      </c>
      <c r="J27" s="42" t="s">
        <v>34</v>
      </c>
      <c r="K27" s="44">
        <v>9.9400000000000002E-2</v>
      </c>
      <c r="L27" s="44">
        <v>0.112</v>
      </c>
      <c r="M27" s="44">
        <v>0.112</v>
      </c>
      <c r="N27" s="44">
        <v>8.8300000000000003E-2</v>
      </c>
      <c r="O27" s="63">
        <v>0.102925</v>
      </c>
      <c r="AA27" s="6" t="s">
        <v>34</v>
      </c>
      <c r="AB27" s="64">
        <v>0.21</v>
      </c>
      <c r="AC27" s="30">
        <v>0.29399999999999998</v>
      </c>
      <c r="AD27" s="30">
        <v>7.3400000000000007E-2</v>
      </c>
      <c r="AE27" s="30">
        <v>0.29499999999999998</v>
      </c>
    </row>
    <row r="28" spans="2:31" ht="15" customHeight="1" x14ac:dyDescent="0.2">
      <c r="B28" s="23" t="s">
        <v>63</v>
      </c>
      <c r="C28" s="8">
        <v>10.89880025643374</v>
      </c>
      <c r="D28" s="8">
        <v>8.7741650077416509</v>
      </c>
      <c r="E28" s="8">
        <v>6.9768423521135015</v>
      </c>
      <c r="F28" s="8">
        <v>8.0382762192101591</v>
      </c>
      <c r="G28" s="8">
        <v>6.9538761199844172</v>
      </c>
      <c r="H28" s="53">
        <v>6.6462878844292206</v>
      </c>
    </row>
    <row r="29" spans="2:31" ht="15" customHeight="1" x14ac:dyDescent="0.2">
      <c r="B29" s="23" t="s">
        <v>67</v>
      </c>
      <c r="C29" s="8">
        <v>34.16709732988803</v>
      </c>
      <c r="D29" s="8">
        <v>17.167339873052509</v>
      </c>
      <c r="E29" s="8">
        <v>11.010053660642694</v>
      </c>
      <c r="F29" s="8">
        <v>13.698039366151249</v>
      </c>
      <c r="G29" s="8">
        <v>9.7003586566677527</v>
      </c>
      <c r="H29" s="53">
        <v>10.187535669444127</v>
      </c>
    </row>
    <row r="30" spans="2:31" ht="15" customHeight="1" thickBot="1" x14ac:dyDescent="0.25">
      <c r="B30" s="42" t="s">
        <v>70</v>
      </c>
      <c r="C30" s="65">
        <v>1.579042345219245</v>
      </c>
      <c r="D30" s="65">
        <v>1.2078615334843092</v>
      </c>
      <c r="E30" s="102">
        <v>1.2301765605832977</v>
      </c>
      <c r="F30" s="102">
        <v>1.329138806570267</v>
      </c>
      <c r="G30" s="102">
        <v>1.233176514476384</v>
      </c>
      <c r="H30" s="103">
        <v>1.3069894126433248</v>
      </c>
      <c r="J30" s="2" t="s">
        <v>89</v>
      </c>
    </row>
    <row r="31" spans="2:31" ht="16" thickBot="1" x14ac:dyDescent="0.25">
      <c r="J31" s="50"/>
      <c r="K31" s="67"/>
      <c r="L31" s="48" t="s">
        <v>90</v>
      </c>
      <c r="M31" s="48" t="s">
        <v>91</v>
      </c>
      <c r="N31" s="48" t="s">
        <v>92</v>
      </c>
      <c r="O31" s="52" t="s">
        <v>93</v>
      </c>
    </row>
    <row r="32" spans="2:31" x14ac:dyDescent="0.2">
      <c r="B32" s="12" t="s">
        <v>94</v>
      </c>
      <c r="C32" s="68">
        <v>39105</v>
      </c>
      <c r="D32" s="68">
        <v>39159</v>
      </c>
      <c r="E32" s="68">
        <v>34754</v>
      </c>
      <c r="F32" s="68">
        <v>39269</v>
      </c>
      <c r="G32" s="68">
        <v>42388</v>
      </c>
      <c r="H32" s="76">
        <v>43119</v>
      </c>
      <c r="J32" s="23" t="s">
        <v>95</v>
      </c>
      <c r="K32" s="26" t="s">
        <v>55</v>
      </c>
      <c r="L32" s="8">
        <v>64816.5</v>
      </c>
      <c r="M32" s="8">
        <v>63625</v>
      </c>
      <c r="N32" s="8">
        <v>1191.48</v>
      </c>
      <c r="O32" s="71">
        <v>1.84</v>
      </c>
    </row>
    <row r="33" spans="2:15" x14ac:dyDescent="0.2">
      <c r="B33" s="23" t="s">
        <v>59</v>
      </c>
      <c r="C33" s="8">
        <v>81</v>
      </c>
      <c r="D33" s="8">
        <v>149</v>
      </c>
      <c r="E33" s="8">
        <v>51171</v>
      </c>
      <c r="F33" s="8">
        <v>44414</v>
      </c>
      <c r="G33" s="8">
        <v>51340</v>
      </c>
      <c r="H33" s="53">
        <v>53716</v>
      </c>
      <c r="J33" s="23"/>
      <c r="K33" s="26" t="s">
        <v>96</v>
      </c>
      <c r="L33" s="7">
        <v>0.7</v>
      </c>
      <c r="M33" s="7">
        <v>0.55000000000000004</v>
      </c>
      <c r="N33" s="7">
        <v>0.15</v>
      </c>
      <c r="O33" s="71">
        <v>21.48</v>
      </c>
    </row>
    <row r="34" spans="2:15" x14ac:dyDescent="0.2">
      <c r="B34" s="23" t="s">
        <v>97</v>
      </c>
      <c r="C34" s="24">
        <v>482.77777777777777</v>
      </c>
      <c r="D34" s="24">
        <v>262.81208053691273</v>
      </c>
      <c r="E34" s="24">
        <v>0.67917375075726483</v>
      </c>
      <c r="F34" s="24">
        <v>0.88415814833160711</v>
      </c>
      <c r="G34" s="24">
        <v>0.82563303467082194</v>
      </c>
      <c r="H34" s="28">
        <v>0.80272172164718147</v>
      </c>
      <c r="J34" s="23" t="s">
        <v>98</v>
      </c>
      <c r="K34" s="26" t="s">
        <v>55</v>
      </c>
      <c r="L34" s="8">
        <v>77276.800000000003</v>
      </c>
      <c r="M34" s="8">
        <v>71895</v>
      </c>
      <c r="N34" s="8">
        <v>5381.77</v>
      </c>
      <c r="O34" s="71">
        <v>6.96</v>
      </c>
    </row>
    <row r="35" spans="2:15" x14ac:dyDescent="0.2">
      <c r="B35" s="23" t="s">
        <v>99</v>
      </c>
      <c r="C35" s="72">
        <v>5.29</v>
      </c>
      <c r="D35" s="72">
        <v>7.22</v>
      </c>
      <c r="E35" s="72">
        <v>8.1199999999999992</v>
      </c>
      <c r="F35" s="72">
        <v>8.0299999999999994</v>
      </c>
      <c r="G35" s="72">
        <v>10.1</v>
      </c>
      <c r="H35" s="73">
        <v>10.3</v>
      </c>
      <c r="J35" s="23"/>
      <c r="K35" s="26" t="s">
        <v>96</v>
      </c>
      <c r="L35" s="7">
        <v>1.08</v>
      </c>
      <c r="M35" s="7">
        <v>1.41</v>
      </c>
      <c r="N35" s="7">
        <v>0.33</v>
      </c>
      <c r="O35" s="71">
        <v>30.89</v>
      </c>
    </row>
    <row r="36" spans="2:15" ht="16" thickBot="1" x14ac:dyDescent="0.25">
      <c r="B36" s="42" t="s">
        <v>100</v>
      </c>
      <c r="C36" s="74">
        <v>40.4</v>
      </c>
      <c r="D36" s="74">
        <v>44.3</v>
      </c>
      <c r="E36" s="74">
        <v>45.3</v>
      </c>
      <c r="F36" s="74">
        <v>45.4</v>
      </c>
      <c r="G36" s="74">
        <v>46.3</v>
      </c>
      <c r="H36" s="75">
        <v>47</v>
      </c>
      <c r="J36" s="23" t="s">
        <v>101</v>
      </c>
      <c r="K36" s="26" t="s">
        <v>55</v>
      </c>
      <c r="L36" s="8">
        <v>73546.8</v>
      </c>
      <c r="M36" s="8">
        <v>76605</v>
      </c>
      <c r="N36" s="8">
        <v>3058.23</v>
      </c>
      <c r="O36" s="71">
        <v>4.16</v>
      </c>
    </row>
    <row r="37" spans="2:15" ht="16" thickBot="1" x14ac:dyDescent="0.25">
      <c r="J37" s="23"/>
      <c r="K37" s="26" t="s">
        <v>96</v>
      </c>
      <c r="L37" s="7">
        <v>1.23</v>
      </c>
      <c r="M37" s="7">
        <v>1.46</v>
      </c>
      <c r="N37" s="7">
        <v>0.23</v>
      </c>
      <c r="O37" s="71">
        <v>18.350000000000001</v>
      </c>
    </row>
    <row r="38" spans="2:15" x14ac:dyDescent="0.2">
      <c r="B38" s="12" t="s">
        <v>102</v>
      </c>
      <c r="C38" s="76">
        <v>12104856</v>
      </c>
      <c r="F38" s="12" t="s">
        <v>103</v>
      </c>
      <c r="G38" s="68">
        <v>75.88</v>
      </c>
      <c r="H38" s="105">
        <v>-2.0031628887717399E-2</v>
      </c>
      <c r="J38" s="23" t="s">
        <v>104</v>
      </c>
      <c r="K38" s="26" t="s">
        <v>55</v>
      </c>
      <c r="L38" s="8">
        <v>72584.600000000006</v>
      </c>
      <c r="M38" s="8">
        <v>73501</v>
      </c>
      <c r="N38" s="8">
        <v>916.4</v>
      </c>
      <c r="O38" s="71">
        <v>1.26</v>
      </c>
    </row>
    <row r="39" spans="2:15" ht="16" thickBot="1" x14ac:dyDescent="0.25">
      <c r="B39" s="23" t="s">
        <v>105</v>
      </c>
      <c r="C39" s="53" t="s">
        <v>267</v>
      </c>
      <c r="F39" s="42" t="s">
        <v>107</v>
      </c>
      <c r="G39" s="102">
        <v>77.03</v>
      </c>
      <c r="H39" s="63">
        <v>-3.4661820070102579E-2</v>
      </c>
      <c r="J39" s="42"/>
      <c r="K39" s="81" t="s">
        <v>96</v>
      </c>
      <c r="L39" s="82">
        <v>1.27</v>
      </c>
      <c r="M39" s="82">
        <v>0.92</v>
      </c>
      <c r="N39" s="82">
        <v>0.35</v>
      </c>
      <c r="O39" s="83">
        <v>27.55</v>
      </c>
    </row>
    <row r="40" spans="2:15" ht="16" thickBot="1" x14ac:dyDescent="0.25">
      <c r="B40" s="42" t="s">
        <v>108</v>
      </c>
      <c r="C40" s="103" t="s">
        <v>268</v>
      </c>
    </row>
    <row r="41" spans="2:15" x14ac:dyDescent="0.2">
      <c r="F41" s="12" t="s">
        <v>110</v>
      </c>
      <c r="G41" s="15"/>
      <c r="H41" s="76" t="s">
        <v>269</v>
      </c>
    </row>
    <row r="42" spans="2:15" ht="16" thickBot="1" x14ac:dyDescent="0.25">
      <c r="F42" s="42" t="s">
        <v>112</v>
      </c>
      <c r="G42" s="21"/>
      <c r="H42" s="103" t="s">
        <v>270</v>
      </c>
    </row>
    <row r="43" spans="2:15" ht="19.5" customHeight="1" thickBot="1" x14ac:dyDescent="0.25"/>
    <row r="44" spans="2:15" ht="18" customHeight="1" x14ac:dyDescent="0.2">
      <c r="B44" s="12" t="s">
        <v>113</v>
      </c>
      <c r="C44" s="68" t="s">
        <v>114</v>
      </c>
      <c r="D44" s="107">
        <v>0.372</v>
      </c>
      <c r="F44" s="12" t="s">
        <v>115</v>
      </c>
      <c r="G44" s="68" t="s">
        <v>271</v>
      </c>
      <c r="H44" s="105">
        <v>0.873</v>
      </c>
      <c r="J44" s="152" t="s">
        <v>272</v>
      </c>
      <c r="K44" s="153"/>
      <c r="L44" s="153"/>
      <c r="M44" s="153"/>
      <c r="N44" s="153"/>
      <c r="O44" s="154"/>
    </row>
    <row r="45" spans="2:15" x14ac:dyDescent="0.2">
      <c r="B45" s="87"/>
      <c r="C45" s="8" t="s">
        <v>273</v>
      </c>
      <c r="D45" s="99">
        <v>0.26600000000000001</v>
      </c>
      <c r="F45" s="87"/>
      <c r="G45" s="8" t="s">
        <v>274</v>
      </c>
      <c r="H45" s="54">
        <v>0.13200000000000001</v>
      </c>
      <c r="J45" s="155"/>
      <c r="K45" s="151"/>
      <c r="L45" s="151"/>
      <c r="M45" s="151"/>
      <c r="N45" s="151"/>
      <c r="O45" s="156"/>
    </row>
    <row r="46" spans="2:15" x14ac:dyDescent="0.2">
      <c r="B46" s="87"/>
      <c r="C46" s="8" t="s">
        <v>118</v>
      </c>
      <c r="D46" s="99">
        <v>0.107</v>
      </c>
      <c r="F46" s="87"/>
      <c r="G46" s="8" t="s">
        <v>275</v>
      </c>
      <c r="H46" s="54">
        <v>0.10199999999999999</v>
      </c>
      <c r="J46" s="155"/>
      <c r="K46" s="151"/>
      <c r="L46" s="151"/>
      <c r="M46" s="151"/>
      <c r="N46" s="151"/>
      <c r="O46" s="156"/>
    </row>
    <row r="47" spans="2:15" ht="25.5" customHeight="1" thickBot="1" x14ac:dyDescent="0.25">
      <c r="B47" s="91"/>
      <c r="C47" s="102" t="s">
        <v>208</v>
      </c>
      <c r="D47" s="111">
        <v>9.0999999999999998E-2</v>
      </c>
      <c r="F47" s="91"/>
      <c r="G47" s="102" t="s">
        <v>276</v>
      </c>
      <c r="H47" s="63">
        <v>0</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7" priority="5" operator="lessThan">
      <formula>0</formula>
    </cfRule>
    <cfRule type="cellIs" dxfId="6" priority="6" operator="greaterThan">
      <formula>0</formula>
    </cfRule>
  </conditionalFormatting>
  <conditionalFormatting sqref="O33:O39">
    <cfRule type="cellIs" dxfId="5" priority="3" operator="lessThan">
      <formula>0</formula>
    </cfRule>
    <cfRule type="cellIs" dxfId="4"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BC1D5-2FFC-4D4E-A864-3E09F14492CA}">
  <sheetPr codeName="Sheet11"/>
  <dimension ref="B1:AE370"/>
  <sheetViews>
    <sheetView zoomScaleNormal="100" workbookViewId="0">
      <selection sqref="A1:XFD1048576"/>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12</v>
      </c>
      <c r="G2" s="10" t="s">
        <v>277</v>
      </c>
      <c r="H2" s="11"/>
      <c r="Q2" s="6">
        <v>30</v>
      </c>
    </row>
    <row r="3" spans="2:31" ht="16" thickBot="1" x14ac:dyDescent="0.25"/>
    <row r="4" spans="2:31" x14ac:dyDescent="0.2">
      <c r="B4" s="12" t="s">
        <v>26</v>
      </c>
      <c r="C4" s="13">
        <v>10.08</v>
      </c>
      <c r="D4" s="14"/>
      <c r="E4" s="15"/>
      <c r="F4" s="15"/>
      <c r="G4" s="15"/>
      <c r="H4" s="16"/>
      <c r="J4" s="17">
        <v>43758</v>
      </c>
      <c r="K4" s="15" t="s">
        <v>28</v>
      </c>
      <c r="L4" s="15"/>
      <c r="M4" s="15"/>
      <c r="N4" s="16"/>
    </row>
    <row r="5" spans="2:31" ht="16" thickBot="1" x14ac:dyDescent="0.25">
      <c r="B5" s="18"/>
      <c r="C5" s="7"/>
      <c r="D5" s="7"/>
      <c r="H5" s="19"/>
      <c r="J5" s="20">
        <v>43849</v>
      </c>
      <c r="K5" s="21" t="s">
        <v>278</v>
      </c>
      <c r="L5" s="21"/>
      <c r="M5" s="21"/>
      <c r="N5" s="22"/>
    </row>
    <row r="6" spans="2:31" ht="16" thickBot="1" x14ac:dyDescent="0.25">
      <c r="B6" s="23" t="s">
        <v>29</v>
      </c>
      <c r="C6" s="24">
        <v>13.25</v>
      </c>
      <c r="D6" s="25">
        <v>-0.23924528301886791</v>
      </c>
      <c r="E6" s="26" t="s">
        <v>30</v>
      </c>
      <c r="F6" s="27" t="s">
        <v>279</v>
      </c>
      <c r="G6" s="26" t="s">
        <v>31</v>
      </c>
      <c r="H6" s="28">
        <v>2.4230769230769229</v>
      </c>
      <c r="L6" s="29"/>
      <c r="M6" s="30"/>
    </row>
    <row r="7" spans="2:31" x14ac:dyDescent="0.2">
      <c r="B7" s="23" t="s">
        <v>32</v>
      </c>
      <c r="C7" s="24">
        <v>6.4000000953674316</v>
      </c>
      <c r="D7" s="25">
        <v>0.57499997653067147</v>
      </c>
      <c r="E7" s="26" t="s">
        <v>33</v>
      </c>
      <c r="F7" s="7" t="s">
        <v>280</v>
      </c>
      <c r="G7" s="26" t="s">
        <v>34</v>
      </c>
      <c r="H7" s="31">
        <v>0.14000000000000001</v>
      </c>
      <c r="L7" s="32"/>
      <c r="M7" s="30"/>
      <c r="N7" s="2"/>
      <c r="R7" s="12" t="s">
        <v>35</v>
      </c>
      <c r="S7" s="15"/>
      <c r="T7" s="33"/>
    </row>
    <row r="8" spans="2:31" x14ac:dyDescent="0.2">
      <c r="B8" s="23" t="s">
        <v>36</v>
      </c>
      <c r="C8" s="34">
        <v>0.33160000000000001</v>
      </c>
      <c r="D8" s="35"/>
      <c r="E8" s="26" t="s">
        <v>19</v>
      </c>
      <c r="F8" s="7"/>
      <c r="G8" s="26" t="s">
        <v>4</v>
      </c>
      <c r="H8" s="19" t="s">
        <v>130</v>
      </c>
      <c r="R8" s="36" t="s">
        <v>37</v>
      </c>
      <c r="T8" s="37"/>
    </row>
    <row r="9" spans="2:31" x14ac:dyDescent="0.2">
      <c r="B9" s="23" t="s">
        <v>38</v>
      </c>
      <c r="C9" s="8">
        <v>87969</v>
      </c>
      <c r="D9" s="7"/>
      <c r="E9" s="26" t="s">
        <v>39</v>
      </c>
      <c r="F9" s="7">
        <v>0.04</v>
      </c>
      <c r="G9" s="26" t="s">
        <v>23</v>
      </c>
      <c r="H9" s="19" t="s">
        <v>2</v>
      </c>
      <c r="R9" s="36" t="s">
        <v>41</v>
      </c>
      <c r="T9" s="37"/>
    </row>
    <row r="10" spans="2:31" x14ac:dyDescent="0.2">
      <c r="B10" s="23" t="s">
        <v>11</v>
      </c>
      <c r="C10" s="38">
        <v>127675</v>
      </c>
      <c r="D10" s="8">
        <v>39706</v>
      </c>
      <c r="E10" s="26" t="s">
        <v>42</v>
      </c>
      <c r="F10" s="35">
        <v>3.968253968253968E-3</v>
      </c>
      <c r="G10" s="26" t="s">
        <v>5</v>
      </c>
      <c r="H10" s="19" t="s">
        <v>8</v>
      </c>
      <c r="R10" s="36" t="s">
        <v>43</v>
      </c>
      <c r="T10" s="37"/>
    </row>
    <row r="11" spans="2:31" ht="16" thickBot="1" x14ac:dyDescent="0.25">
      <c r="B11" s="23" t="s">
        <v>44</v>
      </c>
      <c r="C11" s="24">
        <v>1.8386211266834331</v>
      </c>
      <c r="D11" s="7"/>
      <c r="E11" s="26" t="s">
        <v>9</v>
      </c>
      <c r="F11" s="24">
        <v>1.0099999904632568</v>
      </c>
      <c r="G11" s="26" t="s">
        <v>45</v>
      </c>
      <c r="H11" s="39" t="s">
        <v>281</v>
      </c>
      <c r="R11" s="40" t="s">
        <v>47</v>
      </c>
      <c r="S11" s="21"/>
      <c r="T11" s="41"/>
    </row>
    <row r="12" spans="2:31" ht="15.75" customHeight="1" thickBot="1" x14ac:dyDescent="0.25">
      <c r="B12" s="42" t="s">
        <v>48</v>
      </c>
      <c r="C12" s="43" t="s">
        <v>282</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283</v>
      </c>
      <c r="L15" s="51" t="s">
        <v>284</v>
      </c>
      <c r="M15" s="51" t="s">
        <v>285</v>
      </c>
      <c r="N15" s="51" t="s">
        <v>286</v>
      </c>
      <c r="O15" s="52" t="s">
        <v>54</v>
      </c>
      <c r="AA15" s="6" t="s">
        <v>26</v>
      </c>
      <c r="AB15" s="6">
        <v>383.3</v>
      </c>
      <c r="AC15" s="6">
        <v>88.27</v>
      </c>
      <c r="AD15" s="6">
        <v>27.19</v>
      </c>
      <c r="AE15" s="6">
        <v>38.64</v>
      </c>
    </row>
    <row r="16" spans="2:31" x14ac:dyDescent="0.2">
      <c r="B16" s="23" t="s">
        <v>55</v>
      </c>
      <c r="C16" s="8">
        <v>123693</v>
      </c>
      <c r="D16" s="8">
        <v>122092</v>
      </c>
      <c r="E16" s="8">
        <v>121615</v>
      </c>
      <c r="F16" s="8">
        <v>116152</v>
      </c>
      <c r="G16" s="8">
        <v>112933</v>
      </c>
      <c r="H16" s="53">
        <v>118959</v>
      </c>
      <c r="J16" s="23" t="s">
        <v>38</v>
      </c>
      <c r="K16" s="8">
        <v>121993</v>
      </c>
      <c r="L16" s="8">
        <v>99730</v>
      </c>
      <c r="M16" s="8">
        <v>74486</v>
      </c>
      <c r="N16" s="8">
        <v>21738</v>
      </c>
      <c r="O16" s="53">
        <v>79486.75</v>
      </c>
      <c r="AA16" s="6" t="s">
        <v>38</v>
      </c>
      <c r="AB16" s="6">
        <v>191403</v>
      </c>
      <c r="AC16" s="6">
        <v>35478</v>
      </c>
      <c r="AD16" s="6">
        <v>11620</v>
      </c>
      <c r="AE16" s="6" t="s">
        <v>56</v>
      </c>
    </row>
    <row r="17" spans="2:31" ht="15" customHeight="1" x14ac:dyDescent="0.2">
      <c r="B17" s="23" t="s">
        <v>57</v>
      </c>
      <c r="C17" s="8"/>
      <c r="D17" s="98">
        <v>-1.2943335516156937E-2</v>
      </c>
      <c r="E17" s="98">
        <v>-3.9068898863152375E-3</v>
      </c>
      <c r="F17" s="98">
        <v>-4.4920445668708626E-2</v>
      </c>
      <c r="G17" s="98">
        <v>-2.7713685515531373E-2</v>
      </c>
      <c r="H17" s="99">
        <v>5.3359071307766549E-2</v>
      </c>
      <c r="J17" s="23" t="s">
        <v>11</v>
      </c>
      <c r="K17" s="8">
        <v>127325</v>
      </c>
      <c r="L17" s="8">
        <v>111266</v>
      </c>
      <c r="M17" s="8">
        <v>92428</v>
      </c>
      <c r="N17" s="8">
        <v>33221</v>
      </c>
      <c r="O17" s="53">
        <v>91060</v>
      </c>
      <c r="AA17" s="6" t="s">
        <v>11</v>
      </c>
      <c r="AB17" s="4">
        <v>192879</v>
      </c>
      <c r="AC17" s="6">
        <v>37143</v>
      </c>
      <c r="AD17" s="6">
        <v>11760</v>
      </c>
      <c r="AE17" s="6" t="s">
        <v>58</v>
      </c>
    </row>
    <row r="18" spans="2:31" ht="15" customHeight="1" x14ac:dyDescent="0.2">
      <c r="B18" s="23" t="s">
        <v>59</v>
      </c>
      <c r="C18" s="8">
        <v>24487</v>
      </c>
      <c r="D18" s="8">
        <v>19097</v>
      </c>
      <c r="E18" s="8">
        <v>13350</v>
      </c>
      <c r="F18" s="8">
        <v>12155</v>
      </c>
      <c r="G18" s="8">
        <v>14366</v>
      </c>
      <c r="H18" s="53">
        <v>15062</v>
      </c>
      <c r="J18" s="23" t="s">
        <v>60</v>
      </c>
      <c r="K18" s="55">
        <v>19.487005649717517</v>
      </c>
      <c r="L18" s="55">
        <v>17.129411764705882</v>
      </c>
      <c r="M18" s="55"/>
      <c r="N18" s="55">
        <v>12.54494382022472</v>
      </c>
      <c r="O18" s="56">
        <f>AVERAGE(K18:N18)</f>
        <v>16.387120411549372</v>
      </c>
      <c r="AA18" s="6" t="s">
        <v>61</v>
      </c>
      <c r="AB18" s="4">
        <v>16</v>
      </c>
      <c r="AD18" s="6">
        <v>0.49</v>
      </c>
      <c r="AE18" s="6">
        <v>1.54</v>
      </c>
    </row>
    <row r="19" spans="2:31" ht="15" customHeight="1" x14ac:dyDescent="0.2">
      <c r="B19" s="23" t="s">
        <v>62</v>
      </c>
      <c r="C19" s="25">
        <v>0.19796593178272012</v>
      </c>
      <c r="D19" s="25">
        <v>0.15641483471480522</v>
      </c>
      <c r="E19" s="25">
        <v>0.10977264317723966</v>
      </c>
      <c r="F19" s="25">
        <v>0.10464735863351471</v>
      </c>
      <c r="G19" s="25">
        <v>0.12720816767463894</v>
      </c>
      <c r="H19" s="59">
        <v>0.12661505224489109</v>
      </c>
      <c r="J19" s="23" t="s">
        <v>63</v>
      </c>
      <c r="K19" s="55">
        <v>14.531499657612418</v>
      </c>
      <c r="L19" s="55">
        <v>12.707400639561444</v>
      </c>
      <c r="M19" s="55">
        <v>9.4429914180629346</v>
      </c>
      <c r="N19" s="55">
        <v>6.633586261980831</v>
      </c>
      <c r="O19" s="56">
        <v>10.828869494304408</v>
      </c>
      <c r="AA19" s="6" t="s">
        <v>64</v>
      </c>
      <c r="AB19" s="6">
        <v>13603</v>
      </c>
      <c r="AC19" s="4" t="s">
        <v>65</v>
      </c>
      <c r="AD19" s="6">
        <v>425</v>
      </c>
      <c r="AE19" s="6">
        <v>576</v>
      </c>
    </row>
    <row r="20" spans="2:31" ht="15" customHeight="1" x14ac:dyDescent="0.2">
      <c r="B20" s="23" t="s">
        <v>66</v>
      </c>
      <c r="C20" s="8">
        <v>19490</v>
      </c>
      <c r="D20" s="8">
        <v>16240</v>
      </c>
      <c r="E20" s="8">
        <v>11390</v>
      </c>
      <c r="F20" s="8">
        <v>11328</v>
      </c>
      <c r="G20" s="8">
        <v>11692</v>
      </c>
      <c r="H20" s="53">
        <v>12456</v>
      </c>
      <c r="J20" s="23" t="s">
        <v>67</v>
      </c>
      <c r="K20" s="55">
        <v>16.589576547231271</v>
      </c>
      <c r="L20" s="55">
        <v>15.40653558571033</v>
      </c>
      <c r="M20" s="55">
        <v>14.006364600697076</v>
      </c>
      <c r="N20" s="55">
        <v>11.41222947440742</v>
      </c>
      <c r="O20" s="56">
        <v>14.353676552011523</v>
      </c>
      <c r="AA20" s="6" t="s">
        <v>68</v>
      </c>
      <c r="AB20" s="6">
        <v>11392</v>
      </c>
      <c r="AD20" s="6">
        <v>234</v>
      </c>
      <c r="AE20" s="6">
        <v>495</v>
      </c>
    </row>
    <row r="21" spans="2:31" ht="15" customHeight="1" x14ac:dyDescent="0.2">
      <c r="B21" s="23" t="s">
        <v>69</v>
      </c>
      <c r="C21" s="25">
        <v>0.15756752605240393</v>
      </c>
      <c r="D21" s="25">
        <v>0.13301444812108901</v>
      </c>
      <c r="E21" s="25">
        <v>9.3656210171442669E-2</v>
      </c>
      <c r="F21" s="25">
        <v>9.7527377918589439E-2</v>
      </c>
      <c r="G21" s="25">
        <v>0.10353041183710696</v>
      </c>
      <c r="H21" s="59">
        <v>0.10470834489193756</v>
      </c>
      <c r="J21" s="23" t="s">
        <v>70</v>
      </c>
      <c r="K21" s="55">
        <v>3.4375928075811983</v>
      </c>
      <c r="L21" s="55">
        <v>3.419676061099671</v>
      </c>
      <c r="M21" s="55">
        <v>1.0783051005646553</v>
      </c>
      <c r="N21" s="55">
        <v>0.51221129236177498</v>
      </c>
      <c r="O21" s="56">
        <v>2.1119463154018248</v>
      </c>
      <c r="AA21" s="6" t="s">
        <v>71</v>
      </c>
      <c r="AB21" s="6">
        <v>53631</v>
      </c>
      <c r="AC21" s="4" t="s">
        <v>65</v>
      </c>
      <c r="AD21" s="6">
        <v>5378</v>
      </c>
      <c r="AE21" s="6">
        <v>1642</v>
      </c>
    </row>
    <row r="22" spans="2:31" ht="15" customHeight="1" x14ac:dyDescent="0.2">
      <c r="B22" s="23" t="s">
        <v>72</v>
      </c>
      <c r="C22" s="8">
        <v>8176</v>
      </c>
      <c r="D22" s="8">
        <v>-6222</v>
      </c>
      <c r="E22" s="8">
        <v>-21076</v>
      </c>
      <c r="F22" s="8">
        <v>3886</v>
      </c>
      <c r="G22" s="8">
        <v>4366</v>
      </c>
      <c r="H22" s="53">
        <v>5592</v>
      </c>
      <c r="J22" s="23" t="s">
        <v>18</v>
      </c>
      <c r="K22" s="24">
        <v>6.2485507246376812</v>
      </c>
      <c r="L22" s="24">
        <v>8.2805687203791472</v>
      </c>
      <c r="M22" s="24">
        <v>0.24093178036605659</v>
      </c>
      <c r="N22" s="24">
        <v>1.321301775147929</v>
      </c>
      <c r="O22" s="56">
        <v>4.0228382501327031</v>
      </c>
      <c r="AA22" s="6" t="s">
        <v>73</v>
      </c>
      <c r="AB22" s="4">
        <v>82.6</v>
      </c>
      <c r="AC22" s="4">
        <v>13.2</v>
      </c>
      <c r="AD22" s="6">
        <v>5.39</v>
      </c>
      <c r="AE22" s="4">
        <v>6.41</v>
      </c>
    </row>
    <row r="23" spans="2:31" ht="15" customHeight="1" x14ac:dyDescent="0.2">
      <c r="B23" s="23" t="s">
        <v>74</v>
      </c>
      <c r="C23" s="25">
        <v>6.6099132529730861E-2</v>
      </c>
      <c r="D23" s="25">
        <v>-5.0961569963633983E-2</v>
      </c>
      <c r="E23" s="25">
        <v>-0.17330099083172307</v>
      </c>
      <c r="F23" s="25">
        <v>3.345616089262346E-2</v>
      </c>
      <c r="G23" s="25">
        <v>3.8660090496134877E-2</v>
      </c>
      <c r="H23" s="59">
        <v>4.7007792600812046E-2</v>
      </c>
      <c r="J23" s="23" t="s">
        <v>62</v>
      </c>
      <c r="K23" s="25">
        <v>0.23656146224250116</v>
      </c>
      <c r="L23" s="25">
        <v>0.26910901435289053</v>
      </c>
      <c r="M23" s="25">
        <v>0.11419104951234309</v>
      </c>
      <c r="N23" s="25">
        <v>7.7214838570415376E-2</v>
      </c>
      <c r="O23" s="59">
        <v>0.17426909116953751</v>
      </c>
      <c r="AA23" s="6" t="s">
        <v>75</v>
      </c>
      <c r="AB23" s="6">
        <v>0.25364061829911805</v>
      </c>
      <c r="AC23" s="6" t="e">
        <v>#VALUE!</v>
      </c>
      <c r="AD23" s="6">
        <v>7.9025660096690223E-2</v>
      </c>
      <c r="AE23" s="6">
        <v>0.3507917174177832</v>
      </c>
    </row>
    <row r="24" spans="2:31" ht="15" customHeight="1" x14ac:dyDescent="0.2">
      <c r="B24" s="23"/>
      <c r="C24" s="8"/>
      <c r="D24" s="100">
        <v>-1.7610078277886496</v>
      </c>
      <c r="E24" s="100">
        <v>2.3873352619736421</v>
      </c>
      <c r="F24" s="100">
        <v>-1.1843803378250142</v>
      </c>
      <c r="G24" s="100">
        <v>0.12352032938754504</v>
      </c>
      <c r="H24" s="101">
        <v>0.28080622995877236</v>
      </c>
      <c r="J24" s="23" t="s">
        <v>69</v>
      </c>
      <c r="K24" s="25">
        <v>0.20721401765706418</v>
      </c>
      <c r="L24" s="25">
        <v>0.22196268863140425</v>
      </c>
      <c r="M24" s="25">
        <v>7.6986793597461384E-2</v>
      </c>
      <c r="N24" s="25">
        <v>4.4882666748897591E-2</v>
      </c>
      <c r="O24" s="59">
        <v>0.13776154165870685</v>
      </c>
      <c r="AA24" s="6" t="s">
        <v>76</v>
      </c>
      <c r="AB24" s="6">
        <v>0.21241446178516157</v>
      </c>
      <c r="AC24" s="6" t="e">
        <v>#VALUE!</v>
      </c>
      <c r="AD24" s="6">
        <v>4.3510598735589441E-2</v>
      </c>
      <c r="AE24" s="6">
        <v>0.30146163215590743</v>
      </c>
    </row>
    <row r="25" spans="2:31" ht="15" customHeight="1" x14ac:dyDescent="0.2">
      <c r="B25" s="23" t="s">
        <v>77</v>
      </c>
      <c r="C25" s="8" t="s">
        <v>287</v>
      </c>
      <c r="D25" s="8" t="s">
        <v>288</v>
      </c>
      <c r="E25" s="8" t="s">
        <v>279</v>
      </c>
      <c r="F25" s="8" t="s">
        <v>280</v>
      </c>
      <c r="G25" s="8" t="s">
        <v>289</v>
      </c>
      <c r="H25" s="53" t="s">
        <v>290</v>
      </c>
      <c r="J25" s="23" t="s">
        <v>84</v>
      </c>
      <c r="K25" s="25">
        <v>0.17081994654283322</v>
      </c>
      <c r="L25" s="25">
        <v>0.1828994682976304</v>
      </c>
      <c r="M25" s="25">
        <v>6.7630314060385457E-2</v>
      </c>
      <c r="N25" s="25"/>
      <c r="O25" s="59">
        <f>AVERAGE(K25:N25)</f>
        <v>0.14044990963361637</v>
      </c>
      <c r="AA25" s="6" t="s">
        <v>85</v>
      </c>
      <c r="AB25" s="6">
        <v>8067</v>
      </c>
      <c r="AC25" s="4" t="s">
        <v>65</v>
      </c>
      <c r="AD25" s="6">
        <v>222</v>
      </c>
      <c r="AE25" s="6">
        <v>390</v>
      </c>
    </row>
    <row r="26" spans="2:31" ht="15" customHeight="1" x14ac:dyDescent="0.2">
      <c r="B26" s="23" t="s">
        <v>86</v>
      </c>
      <c r="C26" s="112">
        <v>0.89</v>
      </c>
      <c r="D26" s="112">
        <v>-0.72</v>
      </c>
      <c r="E26" s="112">
        <v>-2.4300000000000002</v>
      </c>
      <c r="F26" s="112">
        <v>0.39</v>
      </c>
      <c r="G26" s="112">
        <v>0.49</v>
      </c>
      <c r="H26" s="113">
        <v>0.51</v>
      </c>
      <c r="J26" s="23" t="s">
        <v>87</v>
      </c>
      <c r="K26" s="35">
        <v>2.0874405659283311E-2</v>
      </c>
      <c r="L26" s="35">
        <v>3.3768315018315023E-2</v>
      </c>
      <c r="M26" s="35">
        <v>0.27348066298342538</v>
      </c>
      <c r="N26" s="35">
        <v>4.1513658755038062E-2</v>
      </c>
      <c r="O26" s="54">
        <v>9.2409260604015442E-2</v>
      </c>
      <c r="AA26" s="6" t="s">
        <v>88</v>
      </c>
      <c r="AB26" s="6">
        <v>7.62</v>
      </c>
      <c r="AC26" s="6">
        <v>2.13</v>
      </c>
      <c r="AD26" s="6" t="s">
        <v>40</v>
      </c>
      <c r="AE26" s="6">
        <v>0.52</v>
      </c>
    </row>
    <row r="27" spans="2:31" ht="15" customHeight="1" thickBot="1" x14ac:dyDescent="0.25">
      <c r="B27" s="23" t="s">
        <v>57</v>
      </c>
      <c r="C27" s="8"/>
      <c r="D27" s="100">
        <v>-1.8089887640449436</v>
      </c>
      <c r="E27" s="100" t="s">
        <v>122</v>
      </c>
      <c r="F27" s="100" t="s">
        <v>122</v>
      </c>
      <c r="G27" s="100">
        <v>0.25641025641025633</v>
      </c>
      <c r="H27" s="101">
        <v>4.0816326530612283E-2</v>
      </c>
      <c r="J27" s="42" t="s">
        <v>34</v>
      </c>
      <c r="K27" s="44">
        <v>0.32300000000000001</v>
      </c>
      <c r="L27" s="44">
        <v>0.51200000000000001</v>
      </c>
      <c r="M27" s="44">
        <v>0.127</v>
      </c>
      <c r="N27" s="44">
        <v>0.109</v>
      </c>
      <c r="O27" s="63">
        <v>0.26774999999999999</v>
      </c>
      <c r="AA27" s="6" t="s">
        <v>34</v>
      </c>
      <c r="AB27" s="64">
        <v>0.21</v>
      </c>
      <c r="AC27" s="30">
        <v>0.29399999999999998</v>
      </c>
      <c r="AD27" s="30">
        <v>7.3400000000000007E-2</v>
      </c>
      <c r="AE27" s="30">
        <v>0.29499999999999998</v>
      </c>
    </row>
    <row r="28" spans="2:31" ht="15" customHeight="1" x14ac:dyDescent="0.2">
      <c r="B28" s="23" t="s">
        <v>63</v>
      </c>
      <c r="C28" s="8">
        <v>5.2139910973169439</v>
      </c>
      <c r="D28" s="8">
        <v>6.6856050688589832</v>
      </c>
      <c r="E28" s="8">
        <v>9.5636704119850187</v>
      </c>
      <c r="F28" s="8">
        <v>10.503907856849032</v>
      </c>
      <c r="G28" s="8">
        <v>8.8873033551440894</v>
      </c>
      <c r="H28" s="53">
        <v>8.4766299296242202</v>
      </c>
    </row>
    <row r="29" spans="2:31" ht="15" customHeight="1" x14ac:dyDescent="0.2">
      <c r="B29" s="23" t="s">
        <v>67</v>
      </c>
      <c r="C29" s="8">
        <v>6.5507952796305799</v>
      </c>
      <c r="D29" s="8">
        <v>7.8617610837438425</v>
      </c>
      <c r="E29" s="8">
        <v>11.209394205443372</v>
      </c>
      <c r="F29" s="8">
        <v>11.270745056497175</v>
      </c>
      <c r="G29" s="8">
        <v>10.919859733150872</v>
      </c>
      <c r="H29" s="53">
        <v>10.250080282594734</v>
      </c>
    </row>
    <row r="30" spans="2:31" ht="15" customHeight="1" thickBot="1" x14ac:dyDescent="0.25">
      <c r="B30" s="42" t="s">
        <v>70</v>
      </c>
      <c r="C30" s="65">
        <v>1.032192605887156</v>
      </c>
      <c r="D30" s="65">
        <v>1.2078615334843092</v>
      </c>
      <c r="E30" s="102">
        <v>1.0498293795995559</v>
      </c>
      <c r="F30" s="102">
        <v>1.0992062125490736</v>
      </c>
      <c r="G30" s="102">
        <v>1.1305375753765508</v>
      </c>
      <c r="H30" s="103">
        <v>1.0732689413999781</v>
      </c>
      <c r="J30" s="2" t="s">
        <v>89</v>
      </c>
    </row>
    <row r="31" spans="2:31" ht="16" thickBot="1" x14ac:dyDescent="0.25">
      <c r="J31" s="50"/>
      <c r="K31" s="67"/>
      <c r="L31" s="48" t="s">
        <v>90</v>
      </c>
      <c r="M31" s="48" t="s">
        <v>91</v>
      </c>
      <c r="N31" s="48" t="s">
        <v>92</v>
      </c>
      <c r="O31" s="52" t="s">
        <v>93</v>
      </c>
    </row>
    <row r="32" spans="2:31" x14ac:dyDescent="0.2">
      <c r="B32" s="12" t="s">
        <v>94</v>
      </c>
      <c r="C32" s="68">
        <v>43800</v>
      </c>
      <c r="D32" s="68">
        <v>52600</v>
      </c>
      <c r="E32" s="68">
        <v>41100</v>
      </c>
      <c r="F32" s="68">
        <v>40387</v>
      </c>
      <c r="G32" s="68">
        <v>39706</v>
      </c>
      <c r="H32" s="76">
        <v>40345</v>
      </c>
      <c r="J32" s="23" t="s">
        <v>95</v>
      </c>
      <c r="K32" s="26" t="s">
        <v>55</v>
      </c>
      <c r="L32" s="8">
        <v>27045.8</v>
      </c>
      <c r="M32" s="8">
        <v>27286</v>
      </c>
      <c r="N32" s="8">
        <v>240.23</v>
      </c>
      <c r="O32" s="108">
        <v>8.881231096880134E-3</v>
      </c>
    </row>
    <row r="33" spans="2:15" x14ac:dyDescent="0.2">
      <c r="B33" s="23" t="s">
        <v>59</v>
      </c>
      <c r="C33" s="8">
        <v>81</v>
      </c>
      <c r="D33" s="8">
        <v>149</v>
      </c>
      <c r="E33" s="8">
        <v>13350</v>
      </c>
      <c r="F33" s="8">
        <v>12155</v>
      </c>
      <c r="G33" s="8">
        <v>14366</v>
      </c>
      <c r="H33" s="53">
        <v>15062</v>
      </c>
      <c r="J33" s="23"/>
      <c r="K33" s="26" t="s">
        <v>96</v>
      </c>
      <c r="L33" s="7">
        <v>0.09</v>
      </c>
      <c r="M33" s="7">
        <v>0.14000000000000001</v>
      </c>
      <c r="N33" s="7">
        <v>0.05</v>
      </c>
      <c r="O33" s="108">
        <v>0.5555555555555558</v>
      </c>
    </row>
    <row r="34" spans="2:15" x14ac:dyDescent="0.2">
      <c r="B34" s="23" t="s">
        <v>97</v>
      </c>
      <c r="C34" s="24">
        <v>540.74074074074076</v>
      </c>
      <c r="D34" s="24">
        <v>353.02013422818794</v>
      </c>
      <c r="E34" s="24">
        <v>3.0786516853932584</v>
      </c>
      <c r="F34" s="24">
        <v>3.3226655697243932</v>
      </c>
      <c r="G34" s="24">
        <v>2.7638869553111514</v>
      </c>
      <c r="H34" s="28">
        <v>2.6785951400876375</v>
      </c>
      <c r="J34" s="23" t="s">
        <v>98</v>
      </c>
      <c r="K34" s="26" t="s">
        <v>55</v>
      </c>
      <c r="L34" s="8">
        <v>32609.4</v>
      </c>
      <c r="M34" s="8">
        <v>33278</v>
      </c>
      <c r="N34" s="8">
        <v>668.65</v>
      </c>
      <c r="O34" s="108">
        <v>2.0503290462259304E-2</v>
      </c>
    </row>
    <row r="35" spans="2:15" ht="16" x14ac:dyDescent="0.2">
      <c r="B35" s="23" t="s">
        <v>99</v>
      </c>
      <c r="C35" s="72" t="s">
        <v>40</v>
      </c>
      <c r="D35" s="72">
        <v>1.27</v>
      </c>
      <c r="E35" s="72">
        <v>0.49</v>
      </c>
      <c r="F35" s="72">
        <v>0.5</v>
      </c>
      <c r="G35" s="72">
        <v>0.86</v>
      </c>
      <c r="H35" s="73" t="s">
        <v>40</v>
      </c>
      <c r="J35" s="23"/>
      <c r="K35" s="26" t="s">
        <v>96</v>
      </c>
      <c r="L35" s="7">
        <v>0.22</v>
      </c>
      <c r="M35" s="7">
        <v>0.17</v>
      </c>
      <c r="N35" s="7">
        <v>0.05</v>
      </c>
      <c r="O35" s="108">
        <v>-0.22727272727272721</v>
      </c>
    </row>
    <row r="36" spans="2:15" ht="16" thickBot="1" x14ac:dyDescent="0.25">
      <c r="B36" s="42" t="s">
        <v>100</v>
      </c>
      <c r="C36" s="74">
        <v>8.67</v>
      </c>
      <c r="D36" s="74">
        <v>7.4</v>
      </c>
      <c r="E36" s="74">
        <v>3.57</v>
      </c>
      <c r="F36" s="74">
        <v>4.16</v>
      </c>
      <c r="G36" s="74">
        <v>4.47</v>
      </c>
      <c r="H36" s="75">
        <v>4.8</v>
      </c>
      <c r="J36" s="23" t="s">
        <v>101</v>
      </c>
      <c r="K36" s="26" t="s">
        <v>55</v>
      </c>
      <c r="L36" s="8">
        <v>29923.1</v>
      </c>
      <c r="M36" s="8">
        <v>29573</v>
      </c>
      <c r="N36" s="8">
        <v>350.05</v>
      </c>
      <c r="O36" s="108">
        <v>-1.1699990976870665E-2</v>
      </c>
    </row>
    <row r="37" spans="2:15" ht="16" thickBot="1" x14ac:dyDescent="0.25">
      <c r="J37" s="23"/>
      <c r="K37" s="26" t="s">
        <v>96</v>
      </c>
      <c r="L37" s="7">
        <v>0.2</v>
      </c>
      <c r="M37" s="7">
        <v>0.14000000000000001</v>
      </c>
      <c r="N37" s="7">
        <v>0.06</v>
      </c>
      <c r="O37" s="108">
        <v>-0.3</v>
      </c>
    </row>
    <row r="38" spans="2:15" x14ac:dyDescent="0.2">
      <c r="B38" s="12" t="s">
        <v>102</v>
      </c>
      <c r="C38" s="76">
        <v>81720191</v>
      </c>
      <c r="F38" s="12" t="s">
        <v>103</v>
      </c>
      <c r="G38" s="68">
        <v>10.36</v>
      </c>
      <c r="H38" s="105">
        <v>-2.7027027027026966E-2</v>
      </c>
      <c r="J38" s="23" t="s">
        <v>104</v>
      </c>
      <c r="K38" s="26" t="s">
        <v>55</v>
      </c>
      <c r="L38" s="8">
        <v>29310.6</v>
      </c>
      <c r="M38" s="8">
        <v>30104</v>
      </c>
      <c r="N38" s="8">
        <v>793.39</v>
      </c>
      <c r="O38" s="108">
        <v>2.7068705519504941E-2</v>
      </c>
    </row>
    <row r="39" spans="2:15" ht="16" thickBot="1" x14ac:dyDescent="0.25">
      <c r="B39" s="23" t="s">
        <v>105</v>
      </c>
      <c r="C39" s="53" t="s">
        <v>291</v>
      </c>
      <c r="F39" s="42" t="s">
        <v>107</v>
      </c>
      <c r="G39" s="102">
        <v>9.86</v>
      </c>
      <c r="H39" s="63">
        <v>2.2312373225152195E-2</v>
      </c>
      <c r="J39" s="42"/>
      <c r="K39" s="81" t="s">
        <v>96</v>
      </c>
      <c r="L39" s="82">
        <v>0.18</v>
      </c>
      <c r="M39" s="82">
        <v>0.19</v>
      </c>
      <c r="N39" s="82">
        <v>0.01</v>
      </c>
      <c r="O39" s="109">
        <v>5.5555555555555608E-2</v>
      </c>
    </row>
    <row r="40" spans="2:15" ht="16" thickBot="1" x14ac:dyDescent="0.25">
      <c r="B40" s="42" t="s">
        <v>108</v>
      </c>
      <c r="C40" s="103" t="s">
        <v>292</v>
      </c>
    </row>
    <row r="41" spans="2:15" x14ac:dyDescent="0.2">
      <c r="F41" s="12" t="s">
        <v>110</v>
      </c>
      <c r="G41" s="15"/>
      <c r="H41" s="76" t="s">
        <v>293</v>
      </c>
    </row>
    <row r="42" spans="2:15" ht="16" thickBot="1" x14ac:dyDescent="0.25">
      <c r="F42" s="42" t="s">
        <v>112</v>
      </c>
      <c r="G42" s="21"/>
      <c r="H42" s="103">
        <v>0</v>
      </c>
    </row>
    <row r="43" spans="2:15" ht="19.5" customHeight="1" thickBot="1" x14ac:dyDescent="0.25"/>
    <row r="44" spans="2:15" ht="18" customHeight="1" x14ac:dyDescent="0.2">
      <c r="B44" s="12" t="s">
        <v>113</v>
      </c>
      <c r="C44" s="68" t="s">
        <v>114</v>
      </c>
      <c r="D44" s="107">
        <v>0.44500000000000001</v>
      </c>
      <c r="F44" s="12" t="s">
        <v>115</v>
      </c>
      <c r="G44" s="68" t="s">
        <v>294</v>
      </c>
      <c r="H44" s="105">
        <v>0.218</v>
      </c>
      <c r="J44" s="152" t="s">
        <v>295</v>
      </c>
      <c r="K44" s="153"/>
      <c r="L44" s="153"/>
      <c r="M44" s="153"/>
      <c r="N44" s="153"/>
      <c r="O44" s="154"/>
    </row>
    <row r="45" spans="2:15" x14ac:dyDescent="0.2">
      <c r="B45" s="87"/>
      <c r="C45" s="8" t="s">
        <v>156</v>
      </c>
      <c r="D45" s="99">
        <v>0.18</v>
      </c>
      <c r="F45" s="87"/>
      <c r="G45" s="8" t="s">
        <v>296</v>
      </c>
      <c r="H45" s="54">
        <v>0.21299999999999999</v>
      </c>
      <c r="J45" s="155"/>
      <c r="K45" s="151"/>
      <c r="L45" s="151"/>
      <c r="M45" s="151"/>
      <c r="N45" s="151"/>
      <c r="O45" s="156"/>
    </row>
    <row r="46" spans="2:15" x14ac:dyDescent="0.2">
      <c r="B46" s="87"/>
      <c r="C46" s="8" t="s">
        <v>157</v>
      </c>
      <c r="D46" s="110">
        <v>0.17</v>
      </c>
      <c r="F46" s="87"/>
      <c r="G46" s="8" t="s">
        <v>6</v>
      </c>
      <c r="H46" s="54">
        <v>0.152</v>
      </c>
      <c r="J46" s="155"/>
      <c r="K46" s="151"/>
      <c r="L46" s="151"/>
      <c r="M46" s="151"/>
      <c r="N46" s="151"/>
      <c r="O46" s="156"/>
    </row>
    <row r="47" spans="2:15" ht="25.5" customHeight="1" thickBot="1" x14ac:dyDescent="0.25">
      <c r="B47" s="91"/>
      <c r="C47" s="102" t="s">
        <v>297</v>
      </c>
      <c r="D47" s="80">
        <v>0.14799999999999999</v>
      </c>
      <c r="F47" s="91"/>
      <c r="G47" s="102" t="s">
        <v>298</v>
      </c>
      <c r="H47" s="63">
        <v>0.11700000000000001</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20</vt:i4>
      </vt:variant>
    </vt:vector>
  </HeadingPairs>
  <TitlesOfParts>
    <vt:vector size="20" baseType="lpstr">
      <vt:lpstr>Note</vt:lpstr>
      <vt:lpstr>Database S&amp;P500</vt:lpstr>
      <vt:lpstr>Database Sectors</vt:lpstr>
      <vt:lpstr>Database US Companies</vt:lpstr>
      <vt:lpstr>Data S&amp;P 500</vt:lpstr>
      <vt:lpstr>Sales Growth</vt:lpstr>
      <vt:lpstr>Earnings Growth</vt:lpstr>
      <vt:lpstr>Dividend Yield</vt:lpstr>
      <vt:lpstr>Margins</vt:lpstr>
      <vt:lpstr>Debt  Balance-Sheet</vt:lpstr>
      <vt:lpstr>Value</vt:lpstr>
      <vt:lpstr>LULU</vt:lpstr>
      <vt:lpstr>GOOS</vt:lpstr>
      <vt:lpstr>RL</vt:lpstr>
      <vt:lpstr>AMZN</vt:lpstr>
      <vt:lpstr>OMC</vt:lpstr>
      <vt:lpstr>KR</vt:lpstr>
      <vt:lpstr>WMT</vt:lpstr>
      <vt:lpstr>XOM</vt:lpstr>
      <vt:lpstr>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2022-05-28T08:02:08Z</dcterms:modified>
</cp:coreProperties>
</file>